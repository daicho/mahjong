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C7AE5D42-016A-49B8-AF4A-70CB2817513D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53" r:id="rId6"/>
    <sheet name="だいち" sheetId="5455" r:id="rId7"/>
    <sheet name="りくと" sheetId="5457" r:id="rId8"/>
    <sheet name="ただ" sheetId="5459" r:id="rId9"/>
    <sheet name="れんたろう" sheetId="5461" r:id="rId10"/>
    <sheet name="たかの" sheetId="5463" r:id="rId11"/>
    <sheet name="ぱぱ" sheetId="5465" r:id="rId12"/>
    <sheet name="まっつん" sheetId="5467" r:id="rId13"/>
    <sheet name="あさひ" sheetId="5469" r:id="rId14"/>
    <sheet name="いっしー" sheetId="5471" r:id="rId15"/>
    <sheet name="ほたに" sheetId="5473" r:id="rId16"/>
    <sheet name="かわたつ" sheetId="5475" r:id="rId17"/>
    <sheet name="やがさき" sheetId="5477" r:id="rId18"/>
    <sheet name="やがさき2" sheetId="5478" state="hidden" r:id="rId19"/>
    <sheet name="かわたつ2" sheetId="5476" state="hidden" r:id="rId20"/>
    <sheet name="ほたに2" sheetId="5474" state="hidden" r:id="rId21"/>
    <sheet name="いっしー2" sheetId="5472" state="hidden" r:id="rId22"/>
    <sheet name="あさひ2" sheetId="5470" state="hidden" r:id="rId23"/>
    <sheet name="まっつん2" sheetId="5468" state="hidden" r:id="rId24"/>
    <sheet name="ぱぱ2" sheetId="5466" state="hidden" r:id="rId25"/>
    <sheet name="たかの2" sheetId="5464" state="hidden" r:id="rId26"/>
    <sheet name="れんたろう2" sheetId="5462" state="hidden" r:id="rId27"/>
    <sheet name="ただ2" sheetId="5460" state="hidden" r:id="rId28"/>
    <sheet name="りくと2" sheetId="5458" state="hidden" r:id="rId29"/>
    <sheet name="だいち2" sheetId="5456" state="hidden" r:id="rId30"/>
    <sheet name="全体2" sheetId="5454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55" l="1"/>
  <c r="O15" i="5477"/>
  <c r="O15" i="5459" l="1"/>
  <c r="O16" i="5463"/>
  <c r="O16" i="5453"/>
  <c r="O17" i="5477"/>
  <c r="O16" i="5477"/>
  <c r="C27" i="5477"/>
  <c r="B24" i="5477"/>
  <c r="C20" i="5477"/>
  <c r="B17" i="5477"/>
  <c r="H51" i="5477" s="1"/>
  <c r="C16" i="5477"/>
  <c r="C15" i="5477"/>
  <c r="C14" i="5477"/>
  <c r="C13" i="5477"/>
  <c r="O12" i="5477"/>
  <c r="C12" i="5477"/>
  <c r="O11" i="5477"/>
  <c r="C11" i="5477"/>
  <c r="O10" i="5477"/>
  <c r="C10" i="5477"/>
  <c r="C9" i="5477"/>
  <c r="C8" i="5477"/>
  <c r="O7" i="5477"/>
  <c r="C7" i="5477"/>
  <c r="O6" i="5477"/>
  <c r="B6" i="5477"/>
  <c r="O5" i="5477"/>
  <c r="B5" i="5477"/>
  <c r="O4" i="5477"/>
  <c r="O3" i="5477"/>
  <c r="O2" i="5477"/>
  <c r="O15" i="5475"/>
  <c r="O16" i="5475"/>
  <c r="C27" i="5475"/>
  <c r="B24" i="5475"/>
  <c r="C20" i="5475"/>
  <c r="B17" i="5475"/>
  <c r="H52" i="5475" s="1"/>
  <c r="C16" i="5475"/>
  <c r="C15" i="5475"/>
  <c r="C14" i="5475"/>
  <c r="C13" i="5475"/>
  <c r="O12" i="5475"/>
  <c r="C12" i="5475"/>
  <c r="O11" i="5475"/>
  <c r="C11" i="5475"/>
  <c r="O10" i="5475"/>
  <c r="C10" i="5475"/>
  <c r="C9" i="5475"/>
  <c r="C8" i="5475"/>
  <c r="O7" i="5475"/>
  <c r="C7" i="5475"/>
  <c r="O6" i="5475"/>
  <c r="B6" i="5475"/>
  <c r="O5" i="5475"/>
  <c r="B5" i="5475"/>
  <c r="O4" i="5475"/>
  <c r="O3" i="5475"/>
  <c r="O2" i="5475"/>
  <c r="O23" i="5461"/>
  <c r="O16" i="5455"/>
  <c r="O25" i="5453"/>
  <c r="H14" i="5477" l="1"/>
  <c r="H4" i="5477"/>
  <c r="H2" i="5477"/>
  <c r="H8" i="5477"/>
  <c r="H7" i="5477"/>
  <c r="H16" i="5477"/>
  <c r="H40" i="5477"/>
  <c r="B23" i="5477"/>
  <c r="H28" i="5477"/>
  <c r="H44" i="5477"/>
  <c r="H3" i="5477"/>
  <c r="H6" i="5477"/>
  <c r="H11" i="5477"/>
  <c r="C17" i="5477"/>
  <c r="H32" i="5477"/>
  <c r="H48" i="5477"/>
  <c r="H5" i="5477"/>
  <c r="H10" i="5477"/>
  <c r="H13" i="5477"/>
  <c r="C18" i="5477"/>
  <c r="H25" i="5477"/>
  <c r="H36" i="5477"/>
  <c r="H52" i="5477"/>
  <c r="H18" i="5477"/>
  <c r="H20" i="5477"/>
  <c r="H23" i="5477"/>
  <c r="H26" i="5477"/>
  <c r="H29" i="5477"/>
  <c r="H33" i="5477"/>
  <c r="H37" i="5477"/>
  <c r="H41" i="5477"/>
  <c r="H45" i="5477"/>
  <c r="H49" i="5477"/>
  <c r="H15" i="5477"/>
  <c r="C19" i="5477"/>
  <c r="H21" i="5477"/>
  <c r="H30" i="5477"/>
  <c r="H34" i="5477"/>
  <c r="H38" i="5477"/>
  <c r="H42" i="5477"/>
  <c r="H46" i="5477"/>
  <c r="H50" i="5477"/>
  <c r="H9" i="5477"/>
  <c r="H12" i="5477"/>
  <c r="H17" i="5477"/>
  <c r="H19" i="5477"/>
  <c r="H22" i="5477"/>
  <c r="H24" i="5477"/>
  <c r="H27" i="5477"/>
  <c r="H31" i="5477"/>
  <c r="H35" i="5477"/>
  <c r="H39" i="5477"/>
  <c r="H43" i="5477"/>
  <c r="H47" i="5477"/>
  <c r="H14" i="5475"/>
  <c r="H8" i="5475"/>
  <c r="B23" i="5475"/>
  <c r="H25" i="5475"/>
  <c r="H5" i="5475"/>
  <c r="C17" i="5475"/>
  <c r="H4" i="5475"/>
  <c r="H11" i="5475"/>
  <c r="C18" i="5475"/>
  <c r="H2" i="5475"/>
  <c r="H10" i="5475"/>
  <c r="H16" i="5475"/>
  <c r="H20" i="5475"/>
  <c r="H26" i="5475"/>
  <c r="H33" i="5475"/>
  <c r="H45" i="5475"/>
  <c r="H13" i="5475"/>
  <c r="H15" i="5475"/>
  <c r="C19" i="5475"/>
  <c r="H21" i="5475"/>
  <c r="H30" i="5475"/>
  <c r="H34" i="5475"/>
  <c r="H38" i="5475"/>
  <c r="H42" i="5475"/>
  <c r="H46" i="5475"/>
  <c r="H50" i="5475"/>
  <c r="H18" i="5475"/>
  <c r="H23" i="5475"/>
  <c r="H29" i="5475"/>
  <c r="H37" i="5475"/>
  <c r="H41" i="5475"/>
  <c r="H49" i="5475"/>
  <c r="H7" i="5475"/>
  <c r="H3" i="5475"/>
  <c r="H6" i="5475"/>
  <c r="H9" i="5475"/>
  <c r="H12" i="5475"/>
  <c r="H17" i="5475"/>
  <c r="H19" i="5475"/>
  <c r="H22" i="5475"/>
  <c r="H24" i="5475"/>
  <c r="H27" i="5475"/>
  <c r="H31" i="5475"/>
  <c r="H35" i="5475"/>
  <c r="H39" i="5475"/>
  <c r="H43" i="5475"/>
  <c r="H47" i="5475"/>
  <c r="H51" i="5475"/>
  <c r="H28" i="5475"/>
  <c r="H32" i="5475"/>
  <c r="H36" i="5475"/>
  <c r="H40" i="5475"/>
  <c r="H44" i="5475"/>
  <c r="H48" i="5475"/>
  <c r="O17" i="5463" l="1"/>
  <c r="O17" i="5471"/>
  <c r="O20" i="5473" l="1"/>
  <c r="O18" i="5473"/>
  <c r="O16" i="5467"/>
  <c r="O20" i="5457"/>
  <c r="O24" i="5455" l="1"/>
  <c r="O17" i="5473"/>
  <c r="O21" i="5465"/>
  <c r="O15" i="5473"/>
  <c r="O16" i="5473" l="1"/>
  <c r="O19" i="5473"/>
  <c r="C27" i="5473"/>
  <c r="B24" i="5473"/>
  <c r="C20" i="5473"/>
  <c r="B17" i="5473"/>
  <c r="H51" i="5473" s="1"/>
  <c r="C16" i="5473"/>
  <c r="C15" i="5473"/>
  <c r="C14" i="5473"/>
  <c r="C13" i="5473"/>
  <c r="O12" i="5473"/>
  <c r="C12" i="5473"/>
  <c r="O11" i="5473"/>
  <c r="C11" i="5473"/>
  <c r="O10" i="5473"/>
  <c r="C10" i="5473"/>
  <c r="C9" i="5473"/>
  <c r="C8" i="5473"/>
  <c r="O7" i="5473"/>
  <c r="C7" i="5473"/>
  <c r="O6" i="5473"/>
  <c r="B6" i="5473"/>
  <c r="O5" i="5473"/>
  <c r="B5" i="5473"/>
  <c r="O4" i="5473"/>
  <c r="O3" i="5473"/>
  <c r="O2" i="5473"/>
  <c r="O21" i="5461"/>
  <c r="O20" i="5463"/>
  <c r="O22" i="5453"/>
  <c r="H2" i="5473" l="1"/>
  <c r="H11" i="5473"/>
  <c r="H4" i="5473"/>
  <c r="H10" i="5473"/>
  <c r="H16" i="5473"/>
  <c r="H8" i="5473"/>
  <c r="H14" i="5473"/>
  <c r="H5" i="5473"/>
  <c r="C19" i="5473"/>
  <c r="H30" i="5473"/>
  <c r="H38" i="5473"/>
  <c r="H46" i="5473"/>
  <c r="H25" i="5473"/>
  <c r="H48" i="5473"/>
  <c r="H32" i="5473"/>
  <c r="H7" i="5473"/>
  <c r="H15" i="5473"/>
  <c r="H42" i="5473"/>
  <c r="H50" i="5473"/>
  <c r="H40" i="5473"/>
  <c r="H13" i="5473"/>
  <c r="C17" i="5473"/>
  <c r="H21" i="5473"/>
  <c r="H34" i="5473"/>
  <c r="H3" i="5473"/>
  <c r="H6" i="5473"/>
  <c r="H9" i="5473"/>
  <c r="H12" i="5473"/>
  <c r="C18" i="5473"/>
  <c r="B23" i="5473"/>
  <c r="H28" i="5473"/>
  <c r="H36" i="5473"/>
  <c r="H44" i="5473"/>
  <c r="H52" i="5473"/>
  <c r="H18" i="5473"/>
  <c r="H20" i="5473"/>
  <c r="H23" i="5473"/>
  <c r="H26" i="5473"/>
  <c r="H29" i="5473"/>
  <c r="H33" i="5473"/>
  <c r="H37" i="5473"/>
  <c r="H41" i="5473"/>
  <c r="H45" i="5473"/>
  <c r="H49" i="5473"/>
  <c r="H17" i="5473"/>
  <c r="H19" i="5473"/>
  <c r="H22" i="5473"/>
  <c r="H24" i="5473"/>
  <c r="H27" i="5473"/>
  <c r="H31" i="5473"/>
  <c r="H35" i="5473"/>
  <c r="H39" i="5473"/>
  <c r="H43" i="5473"/>
  <c r="H47" i="5473"/>
  <c r="O22" i="5463" l="1"/>
  <c r="O17" i="5459"/>
  <c r="O21" i="5467"/>
  <c r="O18" i="5467"/>
  <c r="O22" i="5455" l="1"/>
  <c r="O16" i="5471"/>
  <c r="O20" i="5471" l="1"/>
  <c r="O15" i="5471"/>
  <c r="O15" i="5461"/>
  <c r="O22" i="5459"/>
  <c r="O17" i="5469" l="1"/>
  <c r="O22" i="5465"/>
  <c r="O15" i="5469"/>
  <c r="O21" i="5471"/>
  <c r="O15" i="5457"/>
  <c r="O17" i="5467"/>
  <c r="O18" i="5453"/>
  <c r="O19" i="5471"/>
  <c r="O18" i="5471"/>
  <c r="C27" i="5471"/>
  <c r="B24" i="5471"/>
  <c r="C20" i="5471"/>
  <c r="B17" i="5471"/>
  <c r="H52" i="5471" s="1"/>
  <c r="C16" i="5471"/>
  <c r="C15" i="5471"/>
  <c r="C14" i="5471"/>
  <c r="C13" i="5471"/>
  <c r="O12" i="5471"/>
  <c r="C12" i="5471"/>
  <c r="O11" i="5471"/>
  <c r="C11" i="5471"/>
  <c r="O10" i="5471"/>
  <c r="C10" i="5471"/>
  <c r="C9" i="5471"/>
  <c r="C8" i="5471"/>
  <c r="O7" i="5471"/>
  <c r="C7" i="5471"/>
  <c r="O6" i="5471"/>
  <c r="B6" i="5471"/>
  <c r="O5" i="5471"/>
  <c r="B5" i="5471"/>
  <c r="O4" i="5471"/>
  <c r="O3" i="5471"/>
  <c r="O2" i="5471"/>
  <c r="O16" i="5469"/>
  <c r="O18" i="5469"/>
  <c r="C27" i="5469"/>
  <c r="B24" i="5469"/>
  <c r="C20" i="5469"/>
  <c r="B17" i="5469"/>
  <c r="H51" i="5469" s="1"/>
  <c r="C16" i="5469"/>
  <c r="C15" i="5469"/>
  <c r="C14" i="5469"/>
  <c r="C13" i="5469"/>
  <c r="O12" i="5469"/>
  <c r="C12" i="5469"/>
  <c r="O11" i="5469"/>
  <c r="C11" i="5469"/>
  <c r="O10" i="5469"/>
  <c r="C10" i="5469"/>
  <c r="C9" i="5469"/>
  <c r="C8" i="5469"/>
  <c r="O7" i="5469"/>
  <c r="C7" i="5469"/>
  <c r="O6" i="5469"/>
  <c r="B6" i="5469"/>
  <c r="O5" i="5469"/>
  <c r="B5" i="5469"/>
  <c r="O4" i="5469"/>
  <c r="O3" i="5469"/>
  <c r="O2" i="5469"/>
  <c r="O22" i="5467"/>
  <c r="O23" i="5467"/>
  <c r="O15" i="5455"/>
  <c r="O20" i="5455"/>
  <c r="O26" i="5453"/>
  <c r="H6" i="5469" l="1"/>
  <c r="H16" i="5469"/>
  <c r="H28" i="5469"/>
  <c r="H3" i="5469"/>
  <c r="B23" i="5469"/>
  <c r="H44" i="5469"/>
  <c r="H5" i="5469"/>
  <c r="H12" i="5469"/>
  <c r="H14" i="5469"/>
  <c r="H32" i="5469"/>
  <c r="H9" i="5469"/>
  <c r="H11" i="5469"/>
  <c r="C18" i="5469"/>
  <c r="H2" i="5469"/>
  <c r="C19" i="5469"/>
  <c r="H48" i="5469"/>
  <c r="H25" i="5469"/>
  <c r="H36" i="5469"/>
  <c r="H52" i="5469"/>
  <c r="H4" i="5469"/>
  <c r="H8" i="5469"/>
  <c r="H10" i="5469"/>
  <c r="H7" i="5469"/>
  <c r="H13" i="5469"/>
  <c r="H15" i="5469"/>
  <c r="C17" i="5469"/>
  <c r="H21" i="5469"/>
  <c r="H40" i="5469"/>
  <c r="H2" i="5471"/>
  <c r="H13" i="5471"/>
  <c r="C17" i="5471"/>
  <c r="H21" i="5471"/>
  <c r="H4" i="5471"/>
  <c r="H8" i="5471"/>
  <c r="H10" i="5471"/>
  <c r="H3" i="5471"/>
  <c r="C18" i="5471"/>
  <c r="H7" i="5471"/>
  <c r="H15" i="5471"/>
  <c r="H6" i="5471"/>
  <c r="H9" i="5471"/>
  <c r="H12" i="5471"/>
  <c r="H5" i="5471"/>
  <c r="H11" i="5471"/>
  <c r="H14" i="5471"/>
  <c r="H16" i="5471"/>
  <c r="C19" i="5471"/>
  <c r="H18" i="5471"/>
  <c r="H20" i="5471"/>
  <c r="H23" i="5471"/>
  <c r="H26" i="5471"/>
  <c r="H29" i="5471"/>
  <c r="H33" i="5471"/>
  <c r="H37" i="5471"/>
  <c r="H41" i="5471"/>
  <c r="H45" i="5471"/>
  <c r="H49" i="5471"/>
  <c r="H30" i="5471"/>
  <c r="H34" i="5471"/>
  <c r="H38" i="5471"/>
  <c r="H42" i="5471"/>
  <c r="H46" i="5471"/>
  <c r="H50" i="5471"/>
  <c r="H17" i="5471"/>
  <c r="H19" i="5471"/>
  <c r="H22" i="5471"/>
  <c r="H24" i="5471"/>
  <c r="H27" i="5471"/>
  <c r="H31" i="5471"/>
  <c r="H35" i="5471"/>
  <c r="H39" i="5471"/>
  <c r="H43" i="5471"/>
  <c r="H47" i="5471"/>
  <c r="H51" i="5471"/>
  <c r="B23" i="5471"/>
  <c r="H25" i="5471"/>
  <c r="H28" i="5471"/>
  <c r="H32" i="5471"/>
  <c r="H36" i="5471"/>
  <c r="H40" i="5471"/>
  <c r="H44" i="5471"/>
  <c r="H48" i="5471"/>
  <c r="H18" i="5469"/>
  <c r="H20" i="5469"/>
  <c r="H23" i="5469"/>
  <c r="H26" i="5469"/>
  <c r="H29" i="5469"/>
  <c r="H33" i="5469"/>
  <c r="H37" i="5469"/>
  <c r="H41" i="5469"/>
  <c r="H45" i="5469"/>
  <c r="H49" i="5469"/>
  <c r="H30" i="5469"/>
  <c r="H34" i="5469"/>
  <c r="H38" i="5469"/>
  <c r="H42" i="5469"/>
  <c r="H46" i="5469"/>
  <c r="H50" i="5469"/>
  <c r="H17" i="5469"/>
  <c r="H19" i="5469"/>
  <c r="H22" i="5469"/>
  <c r="H24" i="5469"/>
  <c r="H27" i="5469"/>
  <c r="H31" i="5469"/>
  <c r="H35" i="5469"/>
  <c r="H39" i="5469"/>
  <c r="H43" i="5469"/>
  <c r="H47" i="5469"/>
  <c r="O20" i="5467" l="1"/>
  <c r="O18" i="5465"/>
  <c r="O16" i="5465"/>
  <c r="O17" i="5457"/>
  <c r="O18" i="5463" l="1"/>
  <c r="O17" i="5461"/>
  <c r="O17" i="5465"/>
  <c r="O19" i="5465"/>
  <c r="O15" i="5463" l="1"/>
  <c r="O16" i="5461"/>
  <c r="O21" i="5459"/>
  <c r="O18" i="5459"/>
  <c r="O15" i="5467"/>
  <c r="O19" i="5467"/>
  <c r="C27" i="5467"/>
  <c r="B24" i="5467"/>
  <c r="C20" i="5467"/>
  <c r="B17" i="5467"/>
  <c r="H52" i="5467" s="1"/>
  <c r="C16" i="5467"/>
  <c r="C15" i="5467"/>
  <c r="C14" i="5467"/>
  <c r="C13" i="5467"/>
  <c r="O12" i="5467"/>
  <c r="C12" i="5467"/>
  <c r="O11" i="5467"/>
  <c r="C11" i="5467"/>
  <c r="O10" i="5467"/>
  <c r="C10" i="5467"/>
  <c r="C9" i="5467"/>
  <c r="C8" i="5467"/>
  <c r="O7" i="5467"/>
  <c r="C7" i="5467"/>
  <c r="O6" i="5467"/>
  <c r="B6" i="5467"/>
  <c r="O5" i="5467"/>
  <c r="B5" i="5467"/>
  <c r="O4" i="5467"/>
  <c r="O3" i="5467"/>
  <c r="O2" i="5467"/>
  <c r="O22" i="5461"/>
  <c r="O21" i="5457"/>
  <c r="O23" i="5453"/>
  <c r="H11" i="5467" l="1"/>
  <c r="H2" i="5467"/>
  <c r="C17" i="5467"/>
  <c r="H3" i="5467"/>
  <c r="H5" i="5467"/>
  <c r="H29" i="5467"/>
  <c r="H30" i="5467"/>
  <c r="H18" i="5467"/>
  <c r="H33" i="5467"/>
  <c r="H16" i="5467"/>
  <c r="H35" i="5467"/>
  <c r="H39" i="5467"/>
  <c r="H42" i="5467"/>
  <c r="H46" i="5467"/>
  <c r="H50" i="5467"/>
  <c r="H8" i="5467"/>
  <c r="H22" i="5467"/>
  <c r="H28" i="5467"/>
  <c r="C19" i="5467"/>
  <c r="H13" i="5467"/>
  <c r="H23" i="5467"/>
  <c r="H36" i="5467"/>
  <c r="H40" i="5467"/>
  <c r="H43" i="5467"/>
  <c r="H47" i="5467"/>
  <c r="H51" i="5467"/>
  <c r="H9" i="5467"/>
  <c r="H7" i="5467"/>
  <c r="H12" i="5467"/>
  <c r="H21" i="5467"/>
  <c r="H19" i="5467"/>
  <c r="H17" i="5467"/>
  <c r="H31" i="5467"/>
  <c r="H15" i="5467"/>
  <c r="H10" i="5467"/>
  <c r="H24" i="5467"/>
  <c r="H37" i="5467"/>
  <c r="H25" i="5467"/>
  <c r="H44" i="5467"/>
  <c r="H48" i="5467"/>
  <c r="H4" i="5467"/>
  <c r="H6" i="5467"/>
  <c r="H26" i="5467"/>
  <c r="H27" i="5467"/>
  <c r="H14" i="5467"/>
  <c r="C18" i="5467"/>
  <c r="B23" i="5467"/>
  <c r="H32" i="5467"/>
  <c r="H20" i="5467"/>
  <c r="H34" i="5467"/>
  <c r="H38" i="5467"/>
  <c r="H41" i="5467"/>
  <c r="H45" i="5467"/>
  <c r="H49" i="5467"/>
  <c r="O19" i="5459" l="1"/>
  <c r="O20" i="5465"/>
  <c r="O15" i="5465"/>
  <c r="C27" i="5465"/>
  <c r="B24" i="5465"/>
  <c r="C20" i="5465"/>
  <c r="B17" i="5465"/>
  <c r="H52" i="5465" s="1"/>
  <c r="C16" i="5465"/>
  <c r="C15" i="5465"/>
  <c r="C14" i="5465"/>
  <c r="C13" i="5465"/>
  <c r="O12" i="5465"/>
  <c r="C12" i="5465"/>
  <c r="O11" i="5465"/>
  <c r="C11" i="5465"/>
  <c r="O10" i="5465"/>
  <c r="C10" i="5465"/>
  <c r="C9" i="5465"/>
  <c r="C8" i="5465"/>
  <c r="O7" i="5465"/>
  <c r="C7" i="5465"/>
  <c r="O6" i="5465"/>
  <c r="B6" i="5465"/>
  <c r="O5" i="5465"/>
  <c r="B5" i="5465"/>
  <c r="O4" i="5465"/>
  <c r="O3" i="5465"/>
  <c r="O2" i="5465"/>
  <c r="O19" i="5455"/>
  <c r="O17" i="5453"/>
  <c r="O19" i="5463"/>
  <c r="O19" i="5457"/>
  <c r="O18" i="5457"/>
  <c r="O19" i="5461"/>
  <c r="O21" i="5463"/>
  <c r="O23" i="5463"/>
  <c r="C27" i="5463"/>
  <c r="B24" i="5463"/>
  <c r="C20" i="5463"/>
  <c r="B17" i="5463"/>
  <c r="H51" i="5463" s="1"/>
  <c r="C16" i="5463"/>
  <c r="C15" i="5463"/>
  <c r="C14" i="5463"/>
  <c r="C13" i="5463"/>
  <c r="O12" i="5463"/>
  <c r="C12" i="5463"/>
  <c r="O11" i="5463"/>
  <c r="C11" i="5463"/>
  <c r="O10" i="5463"/>
  <c r="C10" i="5463"/>
  <c r="C9" i="5463"/>
  <c r="C8" i="5463"/>
  <c r="O7" i="5463"/>
  <c r="C7" i="5463"/>
  <c r="O6" i="5463"/>
  <c r="B6" i="5463"/>
  <c r="O5" i="5463"/>
  <c r="B5" i="5463"/>
  <c r="O4" i="5463"/>
  <c r="O3" i="5463"/>
  <c r="O2" i="5463"/>
  <c r="O20" i="5461"/>
  <c r="O18" i="5461"/>
  <c r="C27" i="5461"/>
  <c r="B24" i="5461"/>
  <c r="C20" i="5461"/>
  <c r="B17" i="5461"/>
  <c r="H50" i="5461" s="1"/>
  <c r="C16" i="5461"/>
  <c r="C15" i="5461"/>
  <c r="C14" i="5461"/>
  <c r="C13" i="5461"/>
  <c r="O12" i="5461"/>
  <c r="C12" i="5461"/>
  <c r="O11" i="5461"/>
  <c r="C11" i="5461"/>
  <c r="O10" i="5461"/>
  <c r="C10" i="5461"/>
  <c r="C9" i="5461"/>
  <c r="C8" i="5461"/>
  <c r="O7" i="5461"/>
  <c r="C7" i="5461"/>
  <c r="O6" i="5461"/>
  <c r="B6" i="5461"/>
  <c r="O5" i="5461"/>
  <c r="B5" i="5461"/>
  <c r="O4" i="5461"/>
  <c r="O3" i="5461"/>
  <c r="O2" i="5461"/>
  <c r="O18" i="5455"/>
  <c r="O23" i="5455"/>
  <c r="O20" i="5453"/>
  <c r="O21" i="5453"/>
  <c r="C17" i="5465" l="1"/>
  <c r="H4" i="5465"/>
  <c r="H10" i="5465"/>
  <c r="H2" i="5465"/>
  <c r="H8" i="5465"/>
  <c r="H2" i="5463"/>
  <c r="H5" i="5463"/>
  <c r="H4" i="5461"/>
  <c r="H2" i="5461"/>
  <c r="H26" i="5465"/>
  <c r="H41" i="5465"/>
  <c r="H13" i="5465"/>
  <c r="H15" i="5465"/>
  <c r="C19" i="5465"/>
  <c r="H21" i="5465"/>
  <c r="H30" i="5465"/>
  <c r="H34" i="5465"/>
  <c r="H38" i="5465"/>
  <c r="H42" i="5465"/>
  <c r="H46" i="5465"/>
  <c r="H50" i="5465"/>
  <c r="H20" i="5465"/>
  <c r="H33" i="5465"/>
  <c r="H49" i="5465"/>
  <c r="H3" i="5465"/>
  <c r="H6" i="5465"/>
  <c r="H9" i="5465"/>
  <c r="H12" i="5465"/>
  <c r="H17" i="5465"/>
  <c r="H19" i="5465"/>
  <c r="H22" i="5465"/>
  <c r="H24" i="5465"/>
  <c r="H27" i="5465"/>
  <c r="H31" i="5465"/>
  <c r="H35" i="5465"/>
  <c r="H39" i="5465"/>
  <c r="H43" i="5465"/>
  <c r="H47" i="5465"/>
  <c r="H51" i="5465"/>
  <c r="H18" i="5465"/>
  <c r="H23" i="5465"/>
  <c r="H29" i="5465"/>
  <c r="H37" i="5465"/>
  <c r="H45" i="5465"/>
  <c r="H7" i="5465"/>
  <c r="H5" i="5465"/>
  <c r="H11" i="5465"/>
  <c r="H14" i="5465"/>
  <c r="H16" i="5465"/>
  <c r="C18" i="5465"/>
  <c r="B23" i="5465"/>
  <c r="H25" i="5465"/>
  <c r="H28" i="5465"/>
  <c r="H32" i="5465"/>
  <c r="H36" i="5465"/>
  <c r="H40" i="5465"/>
  <c r="H44" i="5465"/>
  <c r="H48" i="5465"/>
  <c r="H28" i="5463"/>
  <c r="C17" i="5463"/>
  <c r="H40" i="5463"/>
  <c r="H32" i="5463"/>
  <c r="H22" i="5463"/>
  <c r="H10" i="5463"/>
  <c r="H20" i="5463"/>
  <c r="H24" i="5463"/>
  <c r="H9" i="5463"/>
  <c r="H6" i="5463"/>
  <c r="H19" i="5463"/>
  <c r="H17" i="5463"/>
  <c r="H48" i="5463"/>
  <c r="H7" i="5463"/>
  <c r="H12" i="5463"/>
  <c r="H3" i="5463"/>
  <c r="H10" i="5461"/>
  <c r="H16" i="5463"/>
  <c r="C18" i="5463"/>
  <c r="B23" i="5463"/>
  <c r="H33" i="5463"/>
  <c r="H41" i="5463"/>
  <c r="H49" i="5463"/>
  <c r="H14" i="5463"/>
  <c r="H11" i="5463"/>
  <c r="H36" i="5463"/>
  <c r="H44" i="5463"/>
  <c r="H4" i="5463"/>
  <c r="H15" i="5463"/>
  <c r="H23" i="5463"/>
  <c r="H37" i="5463"/>
  <c r="H45" i="5463"/>
  <c r="H52" i="5463"/>
  <c r="H26" i="5463"/>
  <c r="H27" i="5463"/>
  <c r="H29" i="5463"/>
  <c r="H30" i="5463"/>
  <c r="H18" i="5463"/>
  <c r="H34" i="5463"/>
  <c r="H38" i="5463"/>
  <c r="H42" i="5463"/>
  <c r="H46" i="5463"/>
  <c r="H50" i="5463"/>
  <c r="H8" i="5463"/>
  <c r="H21" i="5463"/>
  <c r="H25" i="5463"/>
  <c r="C19" i="5463"/>
  <c r="H13" i="5463"/>
  <c r="H31" i="5463"/>
  <c r="H35" i="5463"/>
  <c r="H39" i="5463"/>
  <c r="H43" i="5463"/>
  <c r="H47" i="5463"/>
  <c r="H8" i="5461"/>
  <c r="H22" i="5461"/>
  <c r="H25" i="5461"/>
  <c r="H31" i="5461"/>
  <c r="H39" i="5461"/>
  <c r="H47" i="5461"/>
  <c r="H15" i="5461"/>
  <c r="H48" i="5461"/>
  <c r="C17" i="5461"/>
  <c r="H19" i="5461"/>
  <c r="H32" i="5461"/>
  <c r="H3" i="5461"/>
  <c r="H9" i="5461"/>
  <c r="H35" i="5461"/>
  <c r="H43" i="5461"/>
  <c r="H51" i="5461"/>
  <c r="C19" i="5461"/>
  <c r="H7" i="5461"/>
  <c r="H13" i="5461"/>
  <c r="B23" i="5461"/>
  <c r="H40" i="5461"/>
  <c r="H6" i="5461"/>
  <c r="H12" i="5461"/>
  <c r="H17" i="5461"/>
  <c r="H27" i="5461"/>
  <c r="H5" i="5461"/>
  <c r="H11" i="5461"/>
  <c r="H14" i="5461"/>
  <c r="H16" i="5461"/>
  <c r="C18" i="5461"/>
  <c r="H21" i="5461"/>
  <c r="H24" i="5461"/>
  <c r="H28" i="5461"/>
  <c r="H36" i="5461"/>
  <c r="H44" i="5461"/>
  <c r="H52" i="5461"/>
  <c r="H18" i="5461"/>
  <c r="H20" i="5461"/>
  <c r="H23" i="5461"/>
  <c r="H26" i="5461"/>
  <c r="H29" i="5461"/>
  <c r="H33" i="5461"/>
  <c r="H37" i="5461"/>
  <c r="H41" i="5461"/>
  <c r="H45" i="5461"/>
  <c r="H49" i="5461"/>
  <c r="H30" i="5461"/>
  <c r="H34" i="5461"/>
  <c r="H38" i="5461"/>
  <c r="H42" i="5461"/>
  <c r="H46" i="5461"/>
  <c r="O16" i="5459" l="1"/>
  <c r="O20" i="5459"/>
  <c r="C27" i="5459"/>
  <c r="B24" i="5459"/>
  <c r="C20" i="5459"/>
  <c r="B17" i="5459"/>
  <c r="H52" i="5459" s="1"/>
  <c r="C16" i="5459"/>
  <c r="C15" i="5459"/>
  <c r="C14" i="5459"/>
  <c r="C13" i="5459"/>
  <c r="O12" i="5459"/>
  <c r="C12" i="5459"/>
  <c r="O11" i="5459"/>
  <c r="C11" i="5459"/>
  <c r="O10" i="5459"/>
  <c r="C10" i="5459"/>
  <c r="C9" i="5459"/>
  <c r="C8" i="5459"/>
  <c r="O7" i="5459"/>
  <c r="C7" i="5459"/>
  <c r="O6" i="5459"/>
  <c r="B6" i="5459"/>
  <c r="O5" i="5459"/>
  <c r="B5" i="5459"/>
  <c r="O4" i="5459"/>
  <c r="O3" i="5459"/>
  <c r="O2" i="5459"/>
  <c r="O22" i="5457"/>
  <c r="O16" i="5457"/>
  <c r="C27" i="5457"/>
  <c r="B24" i="5457"/>
  <c r="C20" i="5457"/>
  <c r="B17" i="5457"/>
  <c r="H52" i="5457" s="1"/>
  <c r="C16" i="5457"/>
  <c r="C15" i="5457"/>
  <c r="C14" i="5457"/>
  <c r="C13" i="5457"/>
  <c r="O12" i="5457"/>
  <c r="C12" i="5457"/>
  <c r="O11" i="5457"/>
  <c r="C11" i="5457"/>
  <c r="O10" i="5457"/>
  <c r="C10" i="5457"/>
  <c r="C9" i="5457"/>
  <c r="C8" i="5457"/>
  <c r="O7" i="5457"/>
  <c r="C7" i="5457"/>
  <c r="O6" i="5457"/>
  <c r="B6" i="5457"/>
  <c r="O5" i="5457"/>
  <c r="B5" i="5457"/>
  <c r="O4" i="5457"/>
  <c r="O3" i="5457"/>
  <c r="O2" i="5457"/>
  <c r="O24" i="5453"/>
  <c r="O17" i="5455"/>
  <c r="O21" i="5455"/>
  <c r="C27" i="5455"/>
  <c r="B24" i="5455"/>
  <c r="C20" i="5455"/>
  <c r="B17" i="5455"/>
  <c r="H5" i="5455" s="1"/>
  <c r="C16" i="5455"/>
  <c r="C15" i="5455"/>
  <c r="C14" i="5455"/>
  <c r="C13" i="5455"/>
  <c r="O12" i="5455"/>
  <c r="C12" i="5455"/>
  <c r="O11" i="5455"/>
  <c r="C11" i="5455"/>
  <c r="O10" i="5455"/>
  <c r="C10" i="5455"/>
  <c r="C9" i="5455"/>
  <c r="C8" i="5455"/>
  <c r="O7" i="5455"/>
  <c r="C7" i="5455"/>
  <c r="O6" i="5455"/>
  <c r="B6" i="5455"/>
  <c r="O5" i="5455"/>
  <c r="B5" i="5455"/>
  <c r="O4" i="5455"/>
  <c r="O3" i="5455"/>
  <c r="O2" i="5455"/>
  <c r="O15" i="5453"/>
  <c r="O19" i="5453"/>
  <c r="C27" i="5453"/>
  <c r="B24" i="5453"/>
  <c r="C20" i="5453"/>
  <c r="B17" i="5453"/>
  <c r="H19" i="5453" s="1"/>
  <c r="C16" i="5453"/>
  <c r="C15" i="5453"/>
  <c r="C14" i="5453"/>
  <c r="C13" i="5453"/>
  <c r="O12" i="5453"/>
  <c r="C12" i="5453"/>
  <c r="O11" i="5453"/>
  <c r="C11" i="5453"/>
  <c r="O10" i="5453"/>
  <c r="C10" i="5453"/>
  <c r="C9" i="5453"/>
  <c r="C8" i="5453"/>
  <c r="O7" i="5453"/>
  <c r="C7" i="5453"/>
  <c r="O6" i="5453"/>
  <c r="B6" i="5453"/>
  <c r="O5" i="5453"/>
  <c r="B5" i="5453"/>
  <c r="O4" i="5453"/>
  <c r="O3" i="5453"/>
  <c r="O2" i="5453"/>
  <c r="H18" i="5457" l="1"/>
  <c r="H2" i="5457"/>
  <c r="H14" i="5457"/>
  <c r="H3" i="5457"/>
  <c r="H27" i="5459"/>
  <c r="H10" i="5459"/>
  <c r="H43" i="5459"/>
  <c r="H3" i="5459"/>
  <c r="H6" i="5459"/>
  <c r="H22" i="5459"/>
  <c r="H8" i="5459"/>
  <c r="C17" i="5459"/>
  <c r="H23" i="5455"/>
  <c r="H13" i="5455"/>
  <c r="H38" i="5455"/>
  <c r="H4" i="5455"/>
  <c r="H2" i="5455"/>
  <c r="H7" i="5455"/>
  <c r="H30" i="5455"/>
  <c r="B23" i="5455"/>
  <c r="H10" i="5455"/>
  <c r="H39" i="5459"/>
  <c r="H12" i="5459"/>
  <c r="H17" i="5459"/>
  <c r="H31" i="5459"/>
  <c r="H47" i="5459"/>
  <c r="H2" i="5459"/>
  <c r="H4" i="5459"/>
  <c r="H9" i="5459"/>
  <c r="H19" i="5459"/>
  <c r="H24" i="5459"/>
  <c r="H35" i="5459"/>
  <c r="H51" i="5459"/>
  <c r="H18" i="5459"/>
  <c r="H20" i="5459"/>
  <c r="H23" i="5459"/>
  <c r="H26" i="5459"/>
  <c r="H29" i="5459"/>
  <c r="H33" i="5459"/>
  <c r="H37" i="5459"/>
  <c r="H41" i="5459"/>
  <c r="H45" i="5459"/>
  <c r="H49" i="5459"/>
  <c r="H7" i="5459"/>
  <c r="H13" i="5459"/>
  <c r="H15" i="5459"/>
  <c r="C19" i="5459"/>
  <c r="H21" i="5459"/>
  <c r="H30" i="5459"/>
  <c r="H34" i="5459"/>
  <c r="H38" i="5459"/>
  <c r="H42" i="5459"/>
  <c r="H46" i="5459"/>
  <c r="H50" i="5459"/>
  <c r="H5" i="5459"/>
  <c r="H11" i="5459"/>
  <c r="H14" i="5459"/>
  <c r="H16" i="5459"/>
  <c r="C18" i="5459"/>
  <c r="B23" i="5459"/>
  <c r="H25" i="5459"/>
  <c r="H28" i="5459"/>
  <c r="H32" i="5459"/>
  <c r="H36" i="5459"/>
  <c r="H40" i="5459"/>
  <c r="H44" i="5459"/>
  <c r="H48" i="5459"/>
  <c r="H10" i="5457"/>
  <c r="C18" i="5457"/>
  <c r="H29" i="5457"/>
  <c r="H6" i="5457"/>
  <c r="H20" i="5457"/>
  <c r="H41" i="5457"/>
  <c r="H24" i="5457"/>
  <c r="H11" i="5457"/>
  <c r="H23" i="5457"/>
  <c r="H49" i="5457"/>
  <c r="H4" i="5457"/>
  <c r="C19" i="5457"/>
  <c r="H45" i="5457"/>
  <c r="H8" i="5457"/>
  <c r="H22" i="5457"/>
  <c r="C17" i="5457"/>
  <c r="H15" i="5457"/>
  <c r="H27" i="5457"/>
  <c r="H9" i="5457"/>
  <c r="H7" i="5457"/>
  <c r="H12" i="5457"/>
  <c r="H21" i="5457"/>
  <c r="H16" i="5457"/>
  <c r="H13" i="5457"/>
  <c r="H37" i="5457"/>
  <c r="H5" i="5457"/>
  <c r="H30" i="5457"/>
  <c r="H31" i="5457"/>
  <c r="H32" i="5457"/>
  <c r="H25" i="5457"/>
  <c r="H17" i="5457"/>
  <c r="H28" i="5457"/>
  <c r="H39" i="5457"/>
  <c r="H43" i="5457"/>
  <c r="H47" i="5457"/>
  <c r="H51" i="5457"/>
  <c r="H26" i="5457"/>
  <c r="H36" i="5457"/>
  <c r="H40" i="5457"/>
  <c r="H44" i="5457"/>
  <c r="H48" i="5457"/>
  <c r="H19" i="5457"/>
  <c r="B23" i="5457"/>
  <c r="H33" i="5457"/>
  <c r="H34" i="5457"/>
  <c r="H35" i="5457"/>
  <c r="H38" i="5457"/>
  <c r="H42" i="5457"/>
  <c r="H46" i="5457"/>
  <c r="H50" i="5457"/>
  <c r="H2" i="5453"/>
  <c r="H3" i="5453"/>
  <c r="H4" i="5453"/>
  <c r="H37" i="5453"/>
  <c r="H11" i="5453"/>
  <c r="H33" i="5453"/>
  <c r="H12" i="5453"/>
  <c r="H16" i="5453"/>
  <c r="H25" i="5453"/>
  <c r="H7" i="5453"/>
  <c r="H24" i="5453"/>
  <c r="C18" i="5453"/>
  <c r="H46" i="5455"/>
  <c r="H6" i="5455"/>
  <c r="H11" i="5455"/>
  <c r="H3" i="5455"/>
  <c r="C18" i="5455"/>
  <c r="H52" i="5455"/>
  <c r="H21" i="5455"/>
  <c r="H31" i="5455"/>
  <c r="H17" i="5455"/>
  <c r="C19" i="5455"/>
  <c r="H24" i="5455"/>
  <c r="H40" i="5455"/>
  <c r="H48" i="5455"/>
  <c r="H27" i="5455"/>
  <c r="H35" i="5455"/>
  <c r="H42" i="5455"/>
  <c r="H50" i="5455"/>
  <c r="H8" i="5455"/>
  <c r="H25" i="5455"/>
  <c r="H22" i="5455"/>
  <c r="C17" i="5455"/>
  <c r="H14" i="5455"/>
  <c r="H36" i="5455"/>
  <c r="H44" i="5455"/>
  <c r="H15" i="5455"/>
  <c r="H32" i="5455"/>
  <c r="H33" i="5455"/>
  <c r="H20" i="5455"/>
  <c r="H34" i="5455"/>
  <c r="H18" i="5455"/>
  <c r="H29" i="5455"/>
  <c r="H39" i="5455"/>
  <c r="H43" i="5455"/>
  <c r="H47" i="5455"/>
  <c r="H51" i="5455"/>
  <c r="H19" i="5455"/>
  <c r="H16" i="5455"/>
  <c r="H26" i="5455"/>
  <c r="H12" i="5455"/>
  <c r="H9" i="5455"/>
  <c r="H28" i="5455"/>
  <c r="H37" i="5455"/>
  <c r="H41" i="5455"/>
  <c r="H45" i="5455"/>
  <c r="H49" i="5455"/>
  <c r="H34" i="5453"/>
  <c r="H29" i="5453"/>
  <c r="H42" i="5453"/>
  <c r="H10" i="5453"/>
  <c r="H6" i="5453"/>
  <c r="H20" i="5453"/>
  <c r="H18" i="5453"/>
  <c r="B23" i="5453"/>
  <c r="H26" i="5453"/>
  <c r="H49" i="5453"/>
  <c r="H50" i="5453"/>
  <c r="H15" i="5453"/>
  <c r="H9" i="5453"/>
  <c r="H32" i="5453"/>
  <c r="H45" i="5453"/>
  <c r="H5" i="5453"/>
  <c r="C17" i="5453"/>
  <c r="H13" i="5453"/>
  <c r="H27" i="5453"/>
  <c r="H39" i="5453"/>
  <c r="H46" i="5453"/>
  <c r="H52" i="5453"/>
  <c r="H35" i="5453"/>
  <c r="H36" i="5453"/>
  <c r="H22" i="5453"/>
  <c r="H30" i="5453"/>
  <c r="H17" i="5453"/>
  <c r="H31" i="5453"/>
  <c r="H40" i="5453"/>
  <c r="H43" i="5453"/>
  <c r="H47" i="5453"/>
  <c r="H51" i="5453"/>
  <c r="H8" i="5453"/>
  <c r="H21" i="5453"/>
  <c r="H28" i="5453"/>
  <c r="C19" i="5453"/>
  <c r="H14" i="5453"/>
  <c r="H23" i="5453"/>
  <c r="H38" i="5453"/>
  <c r="H41" i="5453"/>
  <c r="H44" i="5453"/>
  <c r="H48" i="5453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<sst xmlns="http://schemas.openxmlformats.org/spreadsheetml/2006/main" count="3303" uniqueCount="256">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</sst>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全体!$K$2:$K$665</c:f>
              <c:numCache>
                <c:formatCode>General</c:formatCode>
                <c:ptCount val="6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</c:numCache>
            </c:numRef>
          </c:xVal>
          <c:yVal>
            <c:numRef>
              <c:f>全体!$L$2:$L$665</c:f>
              <c:numCache>
                <c:formatCode>\+0.0;\-0.0;\±0</c:formatCode>
                <c:ptCount val="664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45.999999999999979</c:v>
                </c:pt>
                <c:pt idx="648">
                  <c:v>-1.0000000000000213</c:v>
                </c:pt>
                <c:pt idx="649">
                  <c:v>-15.300000000000022</c:v>
                </c:pt>
                <c:pt idx="650">
                  <c:v>35.09999999999998</c:v>
                </c:pt>
                <c:pt idx="651">
                  <c:v>-1.0000000000000213</c:v>
                </c:pt>
                <c:pt idx="652">
                  <c:v>-1.0000000000000213</c:v>
                </c:pt>
                <c:pt idx="653">
                  <c:v>-1.0000000000000213</c:v>
                </c:pt>
                <c:pt idx="654">
                  <c:v>-1.0000000000000213</c:v>
                </c:pt>
                <c:pt idx="655">
                  <c:v>-61.90000000000002</c:v>
                </c:pt>
                <c:pt idx="656">
                  <c:v>2.4999999999999858</c:v>
                </c:pt>
                <c:pt idx="657">
                  <c:v>-1.0000000000000142</c:v>
                </c:pt>
                <c:pt idx="658">
                  <c:v>66.799999999999983</c:v>
                </c:pt>
                <c:pt idx="659">
                  <c:v>54.899999999999984</c:v>
                </c:pt>
                <c:pt idx="660">
                  <c:v>-1.0000000000000142</c:v>
                </c:pt>
                <c:pt idx="661">
                  <c:v>-15.900000000000015</c:v>
                </c:pt>
                <c:pt idx="662">
                  <c:v>-52.300000000000011</c:v>
                </c:pt>
                <c:pt idx="663">
                  <c:v>-1.0000000000000142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8-4FA7-9C9E-6BFE43DB3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-13.636363636363637</c:v>
                </c:pt>
                <c:pt idx="1">
                  <c:v>-9.3023255813953494</c:v>
                </c:pt>
                <c:pt idx="2">
                  <c:v>9.9009900990099009</c:v>
                </c:pt>
                <c:pt idx="3">
                  <c:v>9.0579710144927539</c:v>
                </c:pt>
                <c:pt idx="4">
                  <c:v>-14.141414141414142</c:v>
                </c:pt>
                <c:pt idx="5">
                  <c:v>22.522522522522522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1-49E6-96EB-1BD1AB52C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だいち!$K$2:$K$151</c:f>
              <c:numCache>
                <c:formatCode>General</c:formatCode>
                <c:ptCount val="15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</c:numCache>
            </c:numRef>
          </c:xVal>
          <c:yVal>
            <c:numRef>
              <c:f>だいち!$L$2:$L$151</c:f>
              <c:numCache>
                <c:formatCode>\+0.0;\-0.0;\±0</c:formatCode>
                <c:ptCount val="15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1767.0000000000009</c:v>
                </c:pt>
                <c:pt idx="148">
                  <c:v>1763.5000000000009</c:v>
                </c:pt>
                <c:pt idx="149">
                  <c:v>1727.1000000000008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F6-47A7-995F-485567487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2133.7837837837837</c:v>
                </c:pt>
                <c:pt idx="1">
                  <c:v>1227.7777777777778</c:v>
                </c:pt>
                <c:pt idx="2">
                  <c:v>682.48175182481748</c:v>
                </c:pt>
                <c:pt idx="3">
                  <c:v>2396.8253968253966</c:v>
                </c:pt>
                <c:pt idx="4">
                  <c:v>260.36036036036035</c:v>
                </c:pt>
                <c:pt idx="5">
                  <c:v>836.08247422680415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77-4C41-84BE-1658D0BD7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りくと!$L$2:$L$125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7A-4D67-BAE0-E9023756A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278.04878048780489</c:v>
                </c:pt>
                <c:pt idx="1">
                  <c:v>-2251.2605042016808</c:v>
                </c:pt>
                <c:pt idx="2">
                  <c:v>430.43478260869563</c:v>
                </c:pt>
                <c:pt idx="3">
                  <c:v>-105.88235294117646</c:v>
                </c:pt>
                <c:pt idx="4">
                  <c:v>243.95604395604394</c:v>
                </c:pt>
                <c:pt idx="5">
                  <c:v>271.76470588235293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D-444E-968D-ED398A4681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ただ!$K$2:$K$92</c:f>
              <c:numCache>
                <c:formatCode>General</c:formatCode>
                <c:ptCount val="9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</c:numCache>
            </c:numRef>
          </c:xVal>
          <c:yVal>
            <c:numRef>
              <c:f>ただ!$L$2:$L$92</c:f>
              <c:numCache>
                <c:formatCode>\+0.0;\-0.0;\±0</c:formatCode>
                <c:ptCount val="91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48-4F16-A322-E6E13D045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-3215.5555555555557</c:v>
                </c:pt>
                <c:pt idx="1">
                  <c:v>-1106.8181818181818</c:v>
                </c:pt>
                <c:pt idx="2">
                  <c:v>-266.26506024096386</c:v>
                </c:pt>
                <c:pt idx="3">
                  <c:v>-4465.7534246575342</c:v>
                </c:pt>
                <c:pt idx="4">
                  <c:v>-1045.4545454545455</c:v>
                </c:pt>
                <c:pt idx="5">
                  <c:v>-1223.3333333333333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12-420C-A01D-66F69D1685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れんたろう!$L$2:$L$91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23E-4E69-8ABF-3C800B4A3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-675.28089887640454</c:v>
                </c:pt>
                <c:pt idx="1">
                  <c:v>281.60919540229884</c:v>
                </c:pt>
                <c:pt idx="2">
                  <c:v>1300</c:v>
                </c:pt>
                <c:pt idx="3">
                  <c:v>862.31884057971013</c:v>
                </c:pt>
                <c:pt idx="4">
                  <c:v>-473.77049180327867</c:v>
                </c:pt>
                <c:pt idx="5">
                  <c:v>-285.71428571428572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CB-49D7-920E-B810809B3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たかの!$K$2:$K$77</c:f>
              <c:numCache>
                <c:formatCode>General</c:formatCode>
                <c:ptCount val="7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</c:numCache>
            </c:numRef>
          </c:xVal>
          <c:yVal>
            <c:numRef>
              <c:f>たかの!$L$2:$L$77</c:f>
              <c:numCache>
                <c:formatCode>\+0.0;\-0.0;\±0</c:formatCode>
                <c:ptCount val="7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9-4A4B-ABC1-290E04928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722.66666666666663</c:v>
                </c:pt>
                <c:pt idx="1">
                  <c:v>-766.66666666666663</c:v>
                </c:pt>
                <c:pt idx="2">
                  <c:v>-1613.4328358208954</c:v>
                </c:pt>
                <c:pt idx="3">
                  <c:v>814.0625</c:v>
                </c:pt>
                <c:pt idx="4">
                  <c:v>606.66666666666663</c:v>
                </c:pt>
                <c:pt idx="5">
                  <c:v>-492.30769230769232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0D-4546-A65B-3A3DAC7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63-4489-83E3-39C922D66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5-4A4C-9C4B-05DAEDA892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9D-4579-B4FF-D538A6DE0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1283.6065573770493</c:v>
                </c:pt>
                <c:pt idx="1">
                  <c:v>1567.2413793103449</c:v>
                </c:pt>
                <c:pt idx="2">
                  <c:v>-813.46153846153845</c:v>
                </c:pt>
                <c:pt idx="3">
                  <c:v>2686</c:v>
                </c:pt>
                <c:pt idx="4">
                  <c:v>-1313.6363636363637</c:v>
                </c:pt>
                <c:pt idx="5">
                  <c:v>675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510-BEEC-F38F14FA2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1-4DE5-8648-D77EB3D29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42-46B1-AA1E-6C3FC82B3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いっしー!$L$2:$L$17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-85.399999999999991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8E-4A7B-AA1A-808F435803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-106.66666666666667</c:v>
                </c:pt>
                <c:pt idx="1">
                  <c:v>-820</c:v>
                </c:pt>
                <c:pt idx="2">
                  <c:v>1273.3333333333333</c:v>
                </c:pt>
                <c:pt idx="3">
                  <c:v>-4364.2857142857147</c:v>
                </c:pt>
                <c:pt idx="4">
                  <c:v>2485.7142857142858</c:v>
                </c:pt>
                <c:pt idx="5">
                  <c:v>-3407.6923076923076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97-44CF-9095-A2D82ED2D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ほたに!$L$2:$L$12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18.099999999999994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C-479A-827B-2592B18A86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-1966.6666666666667</c:v>
                </c:pt>
                <c:pt idx="1">
                  <c:v>4077.7777777777778</c:v>
                </c:pt>
                <c:pt idx="2">
                  <c:v>-3733.3333333333335</c:v>
                </c:pt>
                <c:pt idx="3">
                  <c:v>-1666.6666666666667</c:v>
                </c:pt>
                <c:pt idx="4">
                  <c:v>1957.1428571428571</c:v>
                </c:pt>
                <c:pt idx="5">
                  <c:v>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FB-40F5-97CA-315E1DB31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D-4389-BE6B-29FC7C26EB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FE-4355-B038-5F30E1DA2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4-424F-8847-EC0E1B179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F1-4C14-BE93-6A5B6F3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まっつん2!$B$3:$B$65</c:f>
              <c:numCache>
                <c:formatCode>\+0.0;\-0.0;\±0</c:formatCode>
                <c:ptCount val="63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295</c:v>
                </c:pt>
                <c:pt idx="61">
                  <c:v>359.4</c:v>
                </c:pt>
                <c:pt idx="62">
                  <c:v>347.5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00000000000001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まっつん2!$C$3:$C$65</c:f>
              <c:numCache>
                <c:formatCode>\+0.0;\-0.0;\±0</c:formatCode>
                <c:ptCount val="63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  <c:pt idx="49">
                  <c:v>-0.61020408163265316</c:v>
                </c:pt>
                <c:pt idx="50">
                  <c:v>-0.53800000000000014</c:v>
                </c:pt>
                <c:pt idx="51">
                  <c:v>0.41176470588235281</c:v>
                </c:pt>
                <c:pt idx="52">
                  <c:v>0.59038461538461529</c:v>
                </c:pt>
                <c:pt idx="53">
                  <c:v>1.4490566037735848</c:v>
                </c:pt>
                <c:pt idx="54">
                  <c:v>2.4685185185185188</c:v>
                </c:pt>
                <c:pt idx="55">
                  <c:v>3.3018181818181822</c:v>
                </c:pt>
                <c:pt idx="56">
                  <c:v>3.3500000000000005</c:v>
                </c:pt>
                <c:pt idx="57">
                  <c:v>4.4824561403508776</c:v>
                </c:pt>
                <c:pt idx="58">
                  <c:v>4.2172413793103454</c:v>
                </c:pt>
                <c:pt idx="59">
                  <c:v>5</c:v>
                </c:pt>
                <c:pt idx="60">
                  <c:v>4.916666666666667</c:v>
                </c:pt>
                <c:pt idx="61">
                  <c:v>5.8918032786885242</c:v>
                </c:pt>
                <c:pt idx="62">
                  <c:v>5.604838709677419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082956259427063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まっつん2!$D$3:$D$65</c:f>
              <c:numCache>
                <c:formatCode>0.00\ "位"</c:formatCode>
                <c:ptCount val="63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  <c:pt idx="49">
                  <c:v>1.9795918367346939</c:v>
                </c:pt>
                <c:pt idx="50">
                  <c:v>1.98</c:v>
                </c:pt>
                <c:pt idx="51">
                  <c:v>1.9607843137254901</c:v>
                </c:pt>
                <c:pt idx="52">
                  <c:v>1.9615384615384615</c:v>
                </c:pt>
                <c:pt idx="53">
                  <c:v>1.9433962264150944</c:v>
                </c:pt>
                <c:pt idx="54">
                  <c:v>1.9259259259259258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1.896551724137931</c:v>
                </c:pt>
                <c:pt idx="59">
                  <c:v>1.8813559322033899</c:v>
                </c:pt>
                <c:pt idx="60">
                  <c:v>1.8666666666666667</c:v>
                </c:pt>
                <c:pt idx="61">
                  <c:v>1.8524590163934427</c:v>
                </c:pt>
                <c:pt idx="62">
                  <c:v>1.8548387096774193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99547511312217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まっつん2!$E$3:$E$65</c:f>
              <c:numCache>
                <c:formatCode>0.0%</c:formatCode>
                <c:ptCount val="63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  <c:pt idx="49">
                  <c:v>0.36734693877551022</c:v>
                </c:pt>
                <c:pt idx="50">
                  <c:v>0.36</c:v>
                </c:pt>
                <c:pt idx="51">
                  <c:v>0.37254901960784315</c:v>
                </c:pt>
                <c:pt idx="52">
                  <c:v>0.36538461538461536</c:v>
                </c:pt>
                <c:pt idx="53">
                  <c:v>0.37735849056603776</c:v>
                </c:pt>
                <c:pt idx="54">
                  <c:v>0.3888888888888889</c:v>
                </c:pt>
                <c:pt idx="55">
                  <c:v>0.4</c:v>
                </c:pt>
                <c:pt idx="56">
                  <c:v>0.39285714285714285</c:v>
                </c:pt>
                <c:pt idx="57">
                  <c:v>0.40350877192982454</c:v>
                </c:pt>
                <c:pt idx="58">
                  <c:v>0.39655172413793105</c:v>
                </c:pt>
                <c:pt idx="59">
                  <c:v>0.40677966101694918</c:v>
                </c:pt>
                <c:pt idx="60">
                  <c:v>0.41666666666666669</c:v>
                </c:pt>
                <c:pt idx="61">
                  <c:v>0.42622950819672129</c:v>
                </c:pt>
                <c:pt idx="62">
                  <c:v>0.41935483870967744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6349924585218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まっつん2!$F$3:$F$65</c:f>
              <c:numCache>
                <c:formatCode>0.0%</c:formatCode>
                <c:ptCount val="63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  <c:pt idx="49">
                  <c:v>0.34693877551020408</c:v>
                </c:pt>
                <c:pt idx="50">
                  <c:v>0.34</c:v>
                </c:pt>
                <c:pt idx="51">
                  <c:v>0.33333333333333331</c:v>
                </c:pt>
                <c:pt idx="52">
                  <c:v>0.32692307692307693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0.30909090909090908</c:v>
                </c:pt>
                <c:pt idx="56">
                  <c:v>0.30357142857142855</c:v>
                </c:pt>
                <c:pt idx="57">
                  <c:v>0.2982456140350877</c:v>
                </c:pt>
                <c:pt idx="58">
                  <c:v>0.29310344827586204</c:v>
                </c:pt>
                <c:pt idx="59">
                  <c:v>0.28813559322033899</c:v>
                </c:pt>
                <c:pt idx="60">
                  <c:v>0.28333333333333333</c:v>
                </c:pt>
                <c:pt idx="61">
                  <c:v>0.27868852459016391</c:v>
                </c:pt>
                <c:pt idx="62">
                  <c:v>0.27419354838709675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18250377073906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まっつん2!$G$3:$G$65</c:f>
              <c:numCache>
                <c:formatCode>0.0%</c:formatCode>
                <c:ptCount val="63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  <c:pt idx="49">
                  <c:v>0.29219143576826195</c:v>
                </c:pt>
                <c:pt idx="50">
                  <c:v>0.29484029484029484</c:v>
                </c:pt>
                <c:pt idx="51">
                  <c:v>0.29879518072289157</c:v>
                </c:pt>
                <c:pt idx="52">
                  <c:v>0.30023640661938533</c:v>
                </c:pt>
                <c:pt idx="53">
                  <c:v>0.30162412993039445</c:v>
                </c:pt>
                <c:pt idx="54">
                  <c:v>0.30523917995444189</c:v>
                </c:pt>
                <c:pt idx="55">
                  <c:v>0.3087248322147651</c:v>
                </c:pt>
                <c:pt idx="56">
                  <c:v>0.30905077262693159</c:v>
                </c:pt>
                <c:pt idx="57">
                  <c:v>0.31372549019607843</c:v>
                </c:pt>
                <c:pt idx="58">
                  <c:v>0.30916844349680173</c:v>
                </c:pt>
                <c:pt idx="59">
                  <c:v>0.30721649484536084</c:v>
                </c:pt>
                <c:pt idx="60">
                  <c:v>0.30721649484536084</c:v>
                </c:pt>
                <c:pt idx="61">
                  <c:v>0.30894308943089432</c:v>
                </c:pt>
                <c:pt idx="62">
                  <c:v>0.30645161290322581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531810766721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まっつん2!$H$3:$H$65</c:f>
              <c:numCache>
                <c:formatCode>0.0%</c:formatCode>
                <c:ptCount val="63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  <c:pt idx="49">
                  <c:v>0.16372795969773299</c:v>
                </c:pt>
                <c:pt idx="50">
                  <c:v>0.16461916461916462</c:v>
                </c:pt>
                <c:pt idx="51">
                  <c:v>0.16144578313253011</c:v>
                </c:pt>
                <c:pt idx="52">
                  <c:v>0.15839243498817968</c:v>
                </c:pt>
                <c:pt idx="53">
                  <c:v>0.1554524361948956</c:v>
                </c:pt>
                <c:pt idx="54">
                  <c:v>0.15261958997722094</c:v>
                </c:pt>
                <c:pt idx="55">
                  <c:v>0.14988814317673377</c:v>
                </c:pt>
                <c:pt idx="56">
                  <c:v>0.15231788079470199</c:v>
                </c:pt>
                <c:pt idx="57">
                  <c:v>0.15032679738562091</c:v>
                </c:pt>
                <c:pt idx="58">
                  <c:v>0.15351812366737741</c:v>
                </c:pt>
                <c:pt idx="59">
                  <c:v>0.15257731958762888</c:v>
                </c:pt>
                <c:pt idx="60">
                  <c:v>0.15257731958762888</c:v>
                </c:pt>
                <c:pt idx="61">
                  <c:v>0.15040650406504066</c:v>
                </c:pt>
                <c:pt idx="62">
                  <c:v>0.14919354838709678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026101141924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まっつん2!$I$3:$I$65</c:f>
              <c:numCache>
                <c:formatCode>0</c:formatCode>
                <c:ptCount val="63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  <c:pt idx="49">
                  <c:v>8723.2758620689656</c:v>
                </c:pt>
                <c:pt idx="50">
                  <c:v>8586.6666666666661</c:v>
                </c:pt>
                <c:pt idx="51">
                  <c:v>8587.0967741935492</c:v>
                </c:pt>
                <c:pt idx="52">
                  <c:v>8508.6614173228354</c:v>
                </c:pt>
                <c:pt idx="53">
                  <c:v>8553.0769230769238</c:v>
                </c:pt>
                <c:pt idx="54">
                  <c:v>8598.507462686568</c:v>
                </c:pt>
                <c:pt idx="55">
                  <c:v>8637.68115942029</c:v>
                </c:pt>
                <c:pt idx="56">
                  <c:v>8685.7142857142862</c:v>
                </c:pt>
                <c:pt idx="57">
                  <c:v>8768.75</c:v>
                </c:pt>
                <c:pt idx="58">
                  <c:v>8762.0689655172409</c:v>
                </c:pt>
                <c:pt idx="59">
                  <c:v>8833.5570469798658</c:v>
                </c:pt>
                <c:pt idx="60">
                  <c:v>8833.5570469798658</c:v>
                </c:pt>
                <c:pt idx="61">
                  <c:v>8948.0263157894733</c:v>
                </c:pt>
                <c:pt idx="62">
                  <c:v>8948.0263157894733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48.755312689738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まっつん2!$J$3:$J$65</c:f>
              <c:numCache>
                <c:formatCode>0</c:formatCode>
                <c:ptCount val="63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  <c:pt idx="49">
                  <c:v>-8036.9230769230771</c:v>
                </c:pt>
                <c:pt idx="50">
                  <c:v>-7931.3432835820895</c:v>
                </c:pt>
                <c:pt idx="51">
                  <c:v>-7931.3432835820895</c:v>
                </c:pt>
                <c:pt idx="52">
                  <c:v>-7931.3432835820895</c:v>
                </c:pt>
                <c:pt idx="53">
                  <c:v>-7931.3432835820895</c:v>
                </c:pt>
                <c:pt idx="54">
                  <c:v>-7931.3432835820895</c:v>
                </c:pt>
                <c:pt idx="55">
                  <c:v>-7931.3432835820895</c:v>
                </c:pt>
                <c:pt idx="56">
                  <c:v>-7991.304347826087</c:v>
                </c:pt>
                <c:pt idx="57">
                  <c:v>-7991.304347826087</c:v>
                </c:pt>
                <c:pt idx="58">
                  <c:v>-7793.0555555555557</c:v>
                </c:pt>
                <c:pt idx="59">
                  <c:v>-7635.135135135135</c:v>
                </c:pt>
                <c:pt idx="60">
                  <c:v>-7635.135135135135</c:v>
                </c:pt>
                <c:pt idx="61">
                  <c:v>-7635.135135135135</c:v>
                </c:pt>
                <c:pt idx="62">
                  <c:v>-7635.135135135135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89.85976267529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まっつん2!$K$3:$K$65</c:f>
              <c:numCache>
                <c:formatCode>0.0%</c:formatCode>
                <c:ptCount val="6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0.18367346938775511</c:v>
                </c:pt>
                <c:pt idx="50">
                  <c:v>0.18</c:v>
                </c:pt>
                <c:pt idx="51">
                  <c:v>0.17647058823529413</c:v>
                </c:pt>
                <c:pt idx="52">
                  <c:v>0.17307692307692307</c:v>
                </c:pt>
                <c:pt idx="53">
                  <c:v>0.16981132075471697</c:v>
                </c:pt>
                <c:pt idx="54">
                  <c:v>0.16666666666666666</c:v>
                </c:pt>
                <c:pt idx="55">
                  <c:v>0.16363636363636364</c:v>
                </c:pt>
                <c:pt idx="56">
                  <c:v>0.16071428571428573</c:v>
                </c:pt>
                <c:pt idx="57">
                  <c:v>0.15789473684210525</c:v>
                </c:pt>
                <c:pt idx="58">
                  <c:v>0.15517241379310345</c:v>
                </c:pt>
                <c:pt idx="59">
                  <c:v>0.15254237288135594</c:v>
                </c:pt>
                <c:pt idx="60">
                  <c:v>0.15</c:v>
                </c:pt>
                <c:pt idx="61">
                  <c:v>0.14754098360655737</c:v>
                </c:pt>
                <c:pt idx="62">
                  <c:v>0.14516129032258066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138763197586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まっつん2!$L$3:$L$65</c:f>
              <c:numCache>
                <c:formatCode>0.0%</c:formatCode>
                <c:ptCount val="63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0.1111111111111111</c:v>
                </c:pt>
                <c:pt idx="55">
                  <c:v>0.12727272727272726</c:v>
                </c:pt>
                <c:pt idx="56">
                  <c:v>0.125</c:v>
                </c:pt>
                <c:pt idx="57">
                  <c:v>0.14035087719298245</c:v>
                </c:pt>
                <c:pt idx="58">
                  <c:v>0.13793103448275862</c:v>
                </c:pt>
                <c:pt idx="59">
                  <c:v>0.13559322033898305</c:v>
                </c:pt>
                <c:pt idx="60">
                  <c:v>0.13333333333333333</c:v>
                </c:pt>
                <c:pt idx="61">
                  <c:v>0.14754098360655737</c:v>
                </c:pt>
                <c:pt idx="62">
                  <c:v>0.14516129032258066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6138763197586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まっつん2!$M$3:$M$65</c:f>
              <c:numCache>
                <c:formatCode>0.0%</c:formatCode>
                <c:ptCount val="63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  <c:pt idx="49">
                  <c:v>0.26196473551637278</c:v>
                </c:pt>
                <c:pt idx="50">
                  <c:v>0.26289926289926291</c:v>
                </c:pt>
                <c:pt idx="51">
                  <c:v>0.26506024096385544</c:v>
                </c:pt>
                <c:pt idx="52">
                  <c:v>0.26477541371158392</c:v>
                </c:pt>
                <c:pt idx="53">
                  <c:v>0.26682134570765659</c:v>
                </c:pt>
                <c:pt idx="54">
                  <c:v>0.27334851936218679</c:v>
                </c:pt>
                <c:pt idx="55">
                  <c:v>0.27516778523489932</c:v>
                </c:pt>
                <c:pt idx="56">
                  <c:v>0.27593818984547464</c:v>
                </c:pt>
                <c:pt idx="57">
                  <c:v>0.27886710239651419</c:v>
                </c:pt>
                <c:pt idx="58">
                  <c:v>0.28358208955223879</c:v>
                </c:pt>
                <c:pt idx="59">
                  <c:v>0.2907216494845361</c:v>
                </c:pt>
                <c:pt idx="60">
                  <c:v>0.2907216494845361</c:v>
                </c:pt>
                <c:pt idx="61">
                  <c:v>0.29065040650406504</c:v>
                </c:pt>
                <c:pt idx="62">
                  <c:v>0.29032258064516131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499728113104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まっつん2!$N$3:$N$65</c:f>
              <c:numCache>
                <c:formatCode>0.0%</c:formatCode>
                <c:ptCount val="63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  <c:pt idx="49">
                  <c:v>0.18639798488664988</c:v>
                </c:pt>
                <c:pt idx="50">
                  <c:v>0.1891891891891892</c:v>
                </c:pt>
                <c:pt idx="51">
                  <c:v>0.18795180722891566</c:v>
                </c:pt>
                <c:pt idx="52">
                  <c:v>0.1867612293144208</c:v>
                </c:pt>
                <c:pt idx="53">
                  <c:v>0.18793503480278423</c:v>
                </c:pt>
                <c:pt idx="54">
                  <c:v>0.18906605922551253</c:v>
                </c:pt>
                <c:pt idx="55">
                  <c:v>0.18791946308724833</c:v>
                </c:pt>
                <c:pt idx="56">
                  <c:v>0.18543046357615894</c:v>
                </c:pt>
                <c:pt idx="57">
                  <c:v>0.18736383442265794</c:v>
                </c:pt>
                <c:pt idx="58">
                  <c:v>0.18550106609808104</c:v>
                </c:pt>
                <c:pt idx="59">
                  <c:v>0.18144329896907216</c:v>
                </c:pt>
                <c:pt idx="60">
                  <c:v>0.18144329896907216</c:v>
                </c:pt>
                <c:pt idx="61">
                  <c:v>0.17886178861788618</c:v>
                </c:pt>
                <c:pt idx="62">
                  <c:v>0.18145161290322581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07902845749501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まっつん2!$O$3:$O$65</c:f>
              <c:numCache>
                <c:formatCode>0.0%</c:formatCode>
                <c:ptCount val="63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  <c:pt idx="49">
                  <c:v>0.66346153846153844</c:v>
                </c:pt>
                <c:pt idx="50">
                  <c:v>0.66355140186915884</c:v>
                </c:pt>
                <c:pt idx="51">
                  <c:v>0.66363636363636369</c:v>
                </c:pt>
                <c:pt idx="52">
                  <c:v>0.6696428571428571</c:v>
                </c:pt>
                <c:pt idx="53">
                  <c:v>0.67826086956521736</c:v>
                </c:pt>
                <c:pt idx="54">
                  <c:v>0.66666666666666663</c:v>
                </c:pt>
                <c:pt idx="55">
                  <c:v>0.67479674796747968</c:v>
                </c:pt>
                <c:pt idx="56">
                  <c:v>0.68</c:v>
                </c:pt>
                <c:pt idx="57">
                  <c:v>0.6875</c:v>
                </c:pt>
                <c:pt idx="58">
                  <c:v>0.66917293233082709</c:v>
                </c:pt>
                <c:pt idx="59">
                  <c:v>0.65957446808510634</c:v>
                </c:pt>
                <c:pt idx="60">
                  <c:v>0.65957446808510634</c:v>
                </c:pt>
                <c:pt idx="61">
                  <c:v>0.65734265734265729</c:v>
                </c:pt>
                <c:pt idx="62">
                  <c:v>0.65277777777777779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5239948119325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まっつん2!$P$3:$P$65</c:f>
              <c:numCache>
                <c:formatCode>0.0%</c:formatCode>
                <c:ptCount val="63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  <c:pt idx="49">
                  <c:v>0.35135135135135137</c:v>
                </c:pt>
                <c:pt idx="50">
                  <c:v>0.36363636363636365</c:v>
                </c:pt>
                <c:pt idx="51">
                  <c:v>0.37179487179487181</c:v>
                </c:pt>
                <c:pt idx="52">
                  <c:v>0.379746835443038</c:v>
                </c:pt>
                <c:pt idx="53">
                  <c:v>0.37037037037037035</c:v>
                </c:pt>
                <c:pt idx="54">
                  <c:v>0.37349397590361444</c:v>
                </c:pt>
                <c:pt idx="55">
                  <c:v>0.38095238095238093</c:v>
                </c:pt>
                <c:pt idx="56">
                  <c:v>0.38095238095238093</c:v>
                </c:pt>
                <c:pt idx="57">
                  <c:v>0.38372093023255816</c:v>
                </c:pt>
                <c:pt idx="58">
                  <c:v>0.37931034482758619</c:v>
                </c:pt>
                <c:pt idx="59">
                  <c:v>0.375</c:v>
                </c:pt>
                <c:pt idx="60">
                  <c:v>0.375</c:v>
                </c:pt>
                <c:pt idx="61">
                  <c:v>0.375</c:v>
                </c:pt>
                <c:pt idx="62">
                  <c:v>0.36666666666666664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1996512641673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まっつん2!$A$3:$A$65</c:f>
              <c:numCache>
                <c:formatCode>0\ "回"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まっつん2!$Q$3:$Q$65</c:f>
              <c:numCache>
                <c:formatCode>0.0%</c:formatCode>
                <c:ptCount val="63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  <c:pt idx="49">
                  <c:v>0.42241379310344829</c:v>
                </c:pt>
                <c:pt idx="50">
                  <c:v>0.42499999999999999</c:v>
                </c:pt>
                <c:pt idx="51">
                  <c:v>0.43548387096774194</c:v>
                </c:pt>
                <c:pt idx="52">
                  <c:v>0.43307086614173229</c:v>
                </c:pt>
                <c:pt idx="53">
                  <c:v>0.43076923076923079</c:v>
                </c:pt>
                <c:pt idx="54">
                  <c:v>0.42537313432835822</c:v>
                </c:pt>
                <c:pt idx="55">
                  <c:v>0.42753623188405798</c:v>
                </c:pt>
                <c:pt idx="56">
                  <c:v>0.42142857142857143</c:v>
                </c:pt>
                <c:pt idx="57">
                  <c:v>0.43055555555555558</c:v>
                </c:pt>
                <c:pt idx="58">
                  <c:v>0.43448275862068964</c:v>
                </c:pt>
                <c:pt idx="59">
                  <c:v>0.44295302013422821</c:v>
                </c:pt>
                <c:pt idx="60">
                  <c:v>0.44295302013422821</c:v>
                </c:pt>
                <c:pt idx="61">
                  <c:v>0.44736842105263158</c:v>
                </c:pt>
                <c:pt idx="62">
                  <c:v>0.44736842105263158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1086824529447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8" t="s">
        <v>245</v>
      </c>
      <c r="F51" s="139" t="s">
        <v>246</v>
      </c>
      <c r="G51" s="48">
        <v>0</v>
      </c>
      <c r="H51" s="140">
        <f t="shared" ref="H51" si="3">IF(B$17=0,0,G51/B$17)</f>
        <v>0</v>
      </c>
      <c r="I51" s="141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65"/>
  <sheetViews>
    <sheetView topLeftCell="A56"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43560.923958333333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43560.923958333333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43560.923958333333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43560.923958333333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43561.114791666667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43563.354502314818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43566.043888888889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43566.04109953704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43566.04109953704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43566.04109953704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43567.62232638889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43568.073333333334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43569.506898148145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43570.561921296299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43571.057638888888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43573.881539351853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43574.073113425926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43575.795416666668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43576.362476851849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43577.448182870372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43579.070729166669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43583.728298611109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43583.728298611109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43583.728298611109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43583.728298611109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43591.888472222221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43601.059386574074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43601.059386574074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43601.059386574074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43601.059386574074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43601.059386574074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43601.059386574074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43601.059386574074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43601.059386574074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43601.059386574074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43601.059386574074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43601.059942129628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43602.105740740742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43605.86346064815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43605.863437499997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43608.863275462965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43606.051539351851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43607.022546296299</v>
      </c>
      <c r="C44" s="30" t="s">
        <v>130</v>
      </c>
    </row>
    <row r="45" spans="1:11" x14ac:dyDescent="0.4">
      <c r="A45" s="30" t="s">
        <v>230</v>
      </c>
      <c r="B45" s="31">
        <v>43607.022546296299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43608.770729166667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43608.770729166667</v>
      </c>
      <c r="C47" s="30" t="s">
        <v>130</v>
      </c>
    </row>
    <row r="48" spans="1:11" x14ac:dyDescent="0.4">
      <c r="A48" s="30" t="s">
        <v>235</v>
      </c>
      <c r="B48" s="31">
        <v>43609.351793981485</v>
      </c>
      <c r="C48" s="30" t="s">
        <v>130</v>
      </c>
    </row>
    <row r="49" spans="1:7" x14ac:dyDescent="0.4">
      <c r="A49" s="30" t="s">
        <v>234</v>
      </c>
      <c r="B49" s="31">
        <v>43609.351793981485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43609.958668981482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43611.059386574074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43613.341041666667</v>
      </c>
      <c r="C52" s="30" t="s">
        <v>130</v>
      </c>
    </row>
    <row r="53" spans="1:7" x14ac:dyDescent="0.4">
      <c r="A53" s="30" t="s">
        <v>239</v>
      </c>
      <c r="B53" s="31">
        <v>43614.346238425926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43618.928472222222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43618.928472222222</v>
      </c>
      <c r="C55" s="30" t="s">
        <v>130</v>
      </c>
    </row>
    <row r="56" spans="1:7" x14ac:dyDescent="0.4">
      <c r="A56" s="30" t="s">
        <v>242</v>
      </c>
      <c r="B56" s="31">
        <v>43618.953240740739</v>
      </c>
      <c r="C56" s="30" t="s">
        <v>130</v>
      </c>
    </row>
    <row r="57" spans="1:7" x14ac:dyDescent="0.4">
      <c r="A57" s="30" t="s">
        <v>243</v>
      </c>
      <c r="B57" s="31">
        <v>43620.343842592592</v>
      </c>
      <c r="C57" s="30" t="s">
        <v>130</v>
      </c>
    </row>
    <row r="58" spans="1:7" x14ac:dyDescent="0.4">
      <c r="A58" s="30" t="s">
        <v>244</v>
      </c>
      <c r="B58" s="31">
        <v>43627.737962962965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43627.737962962965</v>
      </c>
      <c r="C59" s="30" t="s">
        <v>130</v>
      </c>
    </row>
    <row r="60" spans="1:7" x14ac:dyDescent="0.4">
      <c r="A60" s="30" t="s">
        <v>250</v>
      </c>
      <c r="B60" s="31">
        <v>43627.737962962965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43627.737962962965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43627.737962962965</v>
      </c>
      <c r="C62" s="30" t="s">
        <v>130</v>
      </c>
    </row>
    <row r="63" spans="1:7" x14ac:dyDescent="0.4">
      <c r="A63" s="30" t="s">
        <v>253</v>
      </c>
      <c r="B63" s="31">
        <v>43628.012662037036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43630.052581018521</v>
      </c>
      <c r="C64" s="30" t="s">
        <v>130</v>
      </c>
      <c r="D64" s="30" t="s">
        <v>131</v>
      </c>
      <c r="E64" s="30" t="s">
        <v>169</v>
      </c>
    </row>
    <row r="65" spans="1:5" x14ac:dyDescent="0.4">
      <c r="A65" s="30" t="s">
        <v>255</v>
      </c>
      <c r="B65" s="31">
        <v>43630.052581018521</v>
      </c>
      <c r="C65" s="30" t="s">
        <v>130</v>
      </c>
      <c r="D65" s="30" t="s">
        <v>131</v>
      </c>
      <c r="E65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663</v>
      </c>
    </row>
    <row r="2" spans="1:2" x14ac:dyDescent="0.4">
      <c r="A2" t="s">
        <v>127</v>
      </c>
      <c r="B2">
        <v>149</v>
      </c>
    </row>
    <row r="3" spans="1:2" x14ac:dyDescent="0.4">
      <c r="A3" t="s">
        <v>128</v>
      </c>
      <c r="B3">
        <v>123</v>
      </c>
    </row>
    <row r="4" spans="1:2" x14ac:dyDescent="0.4">
      <c r="A4" t="s">
        <v>129</v>
      </c>
      <c r="B4">
        <v>90</v>
      </c>
    </row>
    <row r="5" spans="1:2" x14ac:dyDescent="0.4">
      <c r="A5" t="s">
        <v>171</v>
      </c>
      <c r="B5">
        <v>89</v>
      </c>
    </row>
    <row r="6" spans="1:2" x14ac:dyDescent="0.4">
      <c r="A6" t="s">
        <v>172</v>
      </c>
      <c r="B6">
        <v>75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62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15</v>
      </c>
    </row>
    <row r="11" spans="1:2" x14ac:dyDescent="0.4">
      <c r="A11" t="s">
        <v>200</v>
      </c>
      <c r="B11">
        <v>10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0.9158968499043868</v>
      </c>
      <c r="G2" s="159"/>
      <c r="H2" s="158">
        <v>0.71746714549142465</v>
      </c>
      <c r="I2" s="159"/>
      <c r="J2" s="158">
        <v>0.7398019300410934</v>
      </c>
      <c r="K2" s="159"/>
      <c r="L2" s="158">
        <v>0.76701301687144918</v>
      </c>
      <c r="M2" s="159"/>
      <c r="N2" s="158">
        <v>0.62353834362670091</v>
      </c>
      <c r="O2" s="159"/>
      <c r="P2" s="158">
        <v>0.14854892585735791</v>
      </c>
      <c r="Q2" s="159"/>
      <c r="R2" s="158">
        <v>0.3943114119803669</v>
      </c>
      <c r="S2" s="159"/>
      <c r="T2" s="158">
        <v>0.44810183035760853</v>
      </c>
      <c r="U2" s="159"/>
      <c r="V2" s="158">
        <v>0.43363745031179185</v>
      </c>
      <c r="W2" s="159"/>
      <c r="X2" s="158">
        <v>0.32499444916196174</v>
      </c>
      <c r="Y2" s="159"/>
      <c r="Z2" s="158">
        <v>0.2263297938743751</v>
      </c>
      <c r="AA2" s="159"/>
      <c r="AB2" s="158">
        <v>0.26478393711961273</v>
      </c>
      <c r="AC2" s="159"/>
      <c r="AD2" s="158">
        <v>0.73652514697034022</v>
      </c>
      <c r="AE2" s="159"/>
      <c r="AF2" s="158">
        <v>-0.1080357502742378</v>
      </c>
      <c r="AG2" s="159"/>
      <c r="AH2" s="158">
        <v>0.29376974819471585</v>
      </c>
      <c r="AI2" s="159"/>
    </row>
    <row r="3" spans="1:35" x14ac:dyDescent="0.4">
      <c r="A3" s="74">
        <v>1</v>
      </c>
      <c r="B3" s="75" t="s">
        <v>127</v>
      </c>
      <c r="C3" s="76">
        <v>1727.1000000000008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127</v>
      </c>
      <c r="M3" s="80">
        <v>0.34349258649093906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200</v>
      </c>
      <c r="U3" s="79">
        <v>0</v>
      </c>
      <c r="V3" s="77" t="s">
        <v>127</v>
      </c>
      <c r="W3" s="79">
        <v>0.16778523489932887</v>
      </c>
      <c r="X3" s="77" t="s">
        <v>127</v>
      </c>
      <c r="Y3" s="80">
        <v>0.30971993410214166</v>
      </c>
      <c r="Z3" s="77" t="s">
        <v>200</v>
      </c>
      <c r="AA3" s="80">
        <v>0.29411764705882354</v>
      </c>
      <c r="AB3" s="77" t="s">
        <v>223</v>
      </c>
      <c r="AC3" s="80">
        <v>1</v>
      </c>
      <c r="AD3" s="77" t="s">
        <v>127</v>
      </c>
      <c r="AE3" s="80">
        <v>0.5168539325842697</v>
      </c>
      <c r="AF3" s="77" t="s">
        <v>223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347.5</v>
      </c>
      <c r="D4" s="85" t="s">
        <v>222</v>
      </c>
      <c r="E4" s="97">
        <v>13.3</v>
      </c>
      <c r="F4" s="85" t="s">
        <v>127</v>
      </c>
      <c r="G4" s="86">
        <v>1.7516778523489933</v>
      </c>
      <c r="H4" s="85" t="s">
        <v>127</v>
      </c>
      <c r="I4" s="87">
        <v>0.48322147651006714</v>
      </c>
      <c r="J4" s="85" t="s">
        <v>222</v>
      </c>
      <c r="K4" s="87">
        <v>0</v>
      </c>
      <c r="L4" s="85" t="s">
        <v>172</v>
      </c>
      <c r="M4" s="88">
        <v>0.34267912772585668</v>
      </c>
      <c r="N4" s="85" t="s">
        <v>183</v>
      </c>
      <c r="O4" s="88">
        <v>0.10526315789473684</v>
      </c>
      <c r="P4" s="85" t="s">
        <v>223</v>
      </c>
      <c r="Q4" s="89">
        <v>10600</v>
      </c>
      <c r="R4" s="85" t="s">
        <v>200</v>
      </c>
      <c r="S4" s="89">
        <v>-6378.5714285714284</v>
      </c>
      <c r="T4" s="85" t="s">
        <v>183</v>
      </c>
      <c r="U4" s="87">
        <v>0</v>
      </c>
      <c r="V4" s="85" t="s">
        <v>177</v>
      </c>
      <c r="W4" s="87">
        <v>0.14516129032258066</v>
      </c>
      <c r="X4" s="85" t="s">
        <v>128</v>
      </c>
      <c r="Y4" s="88">
        <v>0.3012757605495584</v>
      </c>
      <c r="Z4" s="85" t="s">
        <v>172</v>
      </c>
      <c r="AA4" s="88">
        <v>0.28971962616822428</v>
      </c>
      <c r="AB4" s="85" t="s">
        <v>200</v>
      </c>
      <c r="AC4" s="88">
        <v>0.7</v>
      </c>
      <c r="AD4" s="85" t="s">
        <v>183</v>
      </c>
      <c r="AE4" s="88">
        <v>0.5</v>
      </c>
      <c r="AF4" s="85" t="s">
        <v>200</v>
      </c>
      <c r="AG4" s="88">
        <v>0.58620689655172409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183</v>
      </c>
      <c r="C5" s="84">
        <v>61</v>
      </c>
      <c r="D5" s="85" t="s">
        <v>127</v>
      </c>
      <c r="E5" s="97">
        <v>11.591275167785241</v>
      </c>
      <c r="F5" s="85" t="s">
        <v>200</v>
      </c>
      <c r="G5" s="86">
        <v>1.8</v>
      </c>
      <c r="H5" s="85" t="s">
        <v>177</v>
      </c>
      <c r="I5" s="87">
        <v>0.41935483870967744</v>
      </c>
      <c r="J5" s="85" t="s">
        <v>200</v>
      </c>
      <c r="K5" s="87">
        <v>0.1</v>
      </c>
      <c r="L5" s="85" t="s">
        <v>200</v>
      </c>
      <c r="M5" s="88">
        <v>0.3411764705882353</v>
      </c>
      <c r="N5" s="85" t="s">
        <v>172</v>
      </c>
      <c r="O5" s="88">
        <v>0.13862928348909656</v>
      </c>
      <c r="P5" s="85" t="s">
        <v>171</v>
      </c>
      <c r="Q5" s="89">
        <v>9831.2796208530799</v>
      </c>
      <c r="R5" s="85" t="s">
        <v>177</v>
      </c>
      <c r="S5" s="89">
        <v>-7635.135135135135</v>
      </c>
      <c r="T5" s="85" t="s">
        <v>222</v>
      </c>
      <c r="U5" s="87">
        <v>0</v>
      </c>
      <c r="V5" s="85" t="s">
        <v>171</v>
      </c>
      <c r="W5" s="87">
        <v>0.1348314606741573</v>
      </c>
      <c r="X5" s="85" t="s">
        <v>171</v>
      </c>
      <c r="Y5" s="88">
        <v>0.29166666666666669</v>
      </c>
      <c r="Z5" s="85" t="s">
        <v>173</v>
      </c>
      <c r="AA5" s="88">
        <v>0.25654450261780104</v>
      </c>
      <c r="AB5" s="85" t="s">
        <v>184</v>
      </c>
      <c r="AC5" s="88">
        <v>0.68965517241379315</v>
      </c>
      <c r="AD5" s="85" t="s">
        <v>200</v>
      </c>
      <c r="AE5" s="88">
        <v>0.48</v>
      </c>
      <c r="AF5" s="85" t="s">
        <v>173</v>
      </c>
      <c r="AG5" s="88">
        <v>0.50877192982456143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171</v>
      </c>
      <c r="C6" s="84">
        <v>32.000000000000028</v>
      </c>
      <c r="D6" s="85" t="s">
        <v>177</v>
      </c>
      <c r="E6" s="97">
        <v>5.604838709677419</v>
      </c>
      <c r="F6" s="85" t="s">
        <v>177</v>
      </c>
      <c r="G6" s="86">
        <v>1.8548387096774193</v>
      </c>
      <c r="H6" s="85" t="s">
        <v>184</v>
      </c>
      <c r="I6" s="87">
        <v>0.4</v>
      </c>
      <c r="J6" s="85" t="s">
        <v>127</v>
      </c>
      <c r="K6" s="87">
        <v>0.2348993288590604</v>
      </c>
      <c r="L6" s="85" t="s">
        <v>177</v>
      </c>
      <c r="M6" s="88">
        <v>0.30645161290322581</v>
      </c>
      <c r="N6" s="85" t="s">
        <v>177</v>
      </c>
      <c r="O6" s="88">
        <v>0.14919354838709678</v>
      </c>
      <c r="P6" s="85" t="s">
        <v>128</v>
      </c>
      <c r="Q6" s="89">
        <v>9285.454545454546</v>
      </c>
      <c r="R6" s="85" t="s">
        <v>128</v>
      </c>
      <c r="S6" s="89">
        <v>-7819.4285714285716</v>
      </c>
      <c r="T6" s="85" t="s">
        <v>223</v>
      </c>
      <c r="U6" s="87">
        <v>0</v>
      </c>
      <c r="V6" s="85" t="s">
        <v>145</v>
      </c>
      <c r="W6" s="87">
        <v>0.11613876319758673</v>
      </c>
      <c r="X6" s="85" t="s">
        <v>177</v>
      </c>
      <c r="Y6" s="88">
        <v>0.29032258064516131</v>
      </c>
      <c r="Z6" s="85" t="s">
        <v>223</v>
      </c>
      <c r="AA6" s="88">
        <v>0.23529411764705882</v>
      </c>
      <c r="AB6" s="85" t="s">
        <v>177</v>
      </c>
      <c r="AC6" s="88">
        <v>0.65277777777777779</v>
      </c>
      <c r="AD6" s="85" t="s">
        <v>184</v>
      </c>
      <c r="AE6" s="88">
        <v>0.44444444444444442</v>
      </c>
      <c r="AF6" s="85" t="s">
        <v>184</v>
      </c>
      <c r="AG6" s="88">
        <v>0.5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200</v>
      </c>
      <c r="C7" s="84">
        <v>18.099999999999994</v>
      </c>
      <c r="D7" s="85" t="s">
        <v>200</v>
      </c>
      <c r="E7" s="97">
        <v>1.8099999999999994</v>
      </c>
      <c r="F7" s="85" t="s">
        <v>145</v>
      </c>
      <c r="G7" s="86">
        <v>1.995475113122172</v>
      </c>
      <c r="H7" s="85" t="s">
        <v>145</v>
      </c>
      <c r="I7" s="87">
        <v>0.33634992458521873</v>
      </c>
      <c r="J7" s="85" t="s">
        <v>177</v>
      </c>
      <c r="K7" s="87">
        <v>0.27419354838709675</v>
      </c>
      <c r="L7" s="85" t="s">
        <v>145</v>
      </c>
      <c r="M7" s="88">
        <v>0.29853181076672103</v>
      </c>
      <c r="N7" s="85" t="s">
        <v>127</v>
      </c>
      <c r="O7" s="88">
        <v>0.15980230642504117</v>
      </c>
      <c r="P7" s="85" t="s">
        <v>127</v>
      </c>
      <c r="Q7" s="89">
        <v>9085.851318944844</v>
      </c>
      <c r="R7" s="85" t="s">
        <v>173</v>
      </c>
      <c r="S7" s="89">
        <v>-7866.1971830985913</v>
      </c>
      <c r="T7" s="85" t="s">
        <v>172</v>
      </c>
      <c r="U7" s="87">
        <v>5.3333333333333337E-2</v>
      </c>
      <c r="V7" s="85" t="s">
        <v>172</v>
      </c>
      <c r="W7" s="87">
        <v>0.10666666666666667</v>
      </c>
      <c r="X7" s="85" t="s">
        <v>129</v>
      </c>
      <c r="Y7" s="88">
        <v>0.28026315789473683</v>
      </c>
      <c r="Z7" s="85" t="s">
        <v>127</v>
      </c>
      <c r="AA7" s="88">
        <v>0.21993410214168038</v>
      </c>
      <c r="AB7" s="85" t="s">
        <v>183</v>
      </c>
      <c r="AC7" s="88">
        <v>0.6</v>
      </c>
      <c r="AD7" s="85" t="s">
        <v>172</v>
      </c>
      <c r="AE7" s="88">
        <v>0.41935483870967744</v>
      </c>
      <c r="AF7" s="85" t="s">
        <v>222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171</v>
      </c>
      <c r="E8" s="97">
        <v>0.35955056179775313</v>
      </c>
      <c r="F8" s="85" t="s">
        <v>222</v>
      </c>
      <c r="G8" s="86">
        <v>2</v>
      </c>
      <c r="H8" s="85" t="s">
        <v>171</v>
      </c>
      <c r="I8" s="87">
        <v>0.30337078651685395</v>
      </c>
      <c r="J8" s="85" t="s">
        <v>172</v>
      </c>
      <c r="K8" s="87">
        <v>0.32</v>
      </c>
      <c r="L8" s="85" t="s">
        <v>173</v>
      </c>
      <c r="M8" s="88">
        <v>0.29842931937172773</v>
      </c>
      <c r="N8" s="85" t="s">
        <v>200</v>
      </c>
      <c r="O8" s="88">
        <v>0.16470588235294117</v>
      </c>
      <c r="P8" s="85" t="s">
        <v>177</v>
      </c>
      <c r="Q8" s="89">
        <v>8948.0263157894733</v>
      </c>
      <c r="R8" s="85" t="s">
        <v>184</v>
      </c>
      <c r="S8" s="89">
        <v>-8092.5925925925922</v>
      </c>
      <c r="T8" s="85" t="s">
        <v>127</v>
      </c>
      <c r="U8" s="87">
        <v>0.10067114093959731</v>
      </c>
      <c r="V8" s="85" t="s">
        <v>129</v>
      </c>
      <c r="W8" s="87">
        <v>0.1</v>
      </c>
      <c r="X8" s="85" t="s">
        <v>145</v>
      </c>
      <c r="Y8" s="88">
        <v>0.27949972811310497</v>
      </c>
      <c r="Z8" s="85" t="s">
        <v>184</v>
      </c>
      <c r="AA8" s="88">
        <v>0.21428571428571427</v>
      </c>
      <c r="AB8" s="85" t="s">
        <v>173</v>
      </c>
      <c r="AC8" s="88">
        <v>0.59090909090909094</v>
      </c>
      <c r="AD8" s="85" t="s">
        <v>171</v>
      </c>
      <c r="AE8" s="88">
        <v>0.41428571428571431</v>
      </c>
      <c r="AF8" s="85" t="s">
        <v>177</v>
      </c>
      <c r="AG8" s="88">
        <v>0.44736842105263158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-1.0000000000000142</v>
      </c>
      <c r="D9" s="85" t="s">
        <v>145</v>
      </c>
      <c r="E9" s="97">
        <v>-1.5082956259427063E-3</v>
      </c>
      <c r="F9" s="85" t="s">
        <v>171</v>
      </c>
      <c r="G9" s="86">
        <v>2.0449438202247192</v>
      </c>
      <c r="H9" s="85" t="s">
        <v>200</v>
      </c>
      <c r="I9" s="87">
        <v>0.3</v>
      </c>
      <c r="J9" s="85" t="s">
        <v>145</v>
      </c>
      <c r="K9" s="87">
        <v>0.33182503770739064</v>
      </c>
      <c r="L9" s="85" t="s">
        <v>223</v>
      </c>
      <c r="M9" s="88">
        <v>0.29411764705882354</v>
      </c>
      <c r="N9" s="85" t="s">
        <v>145</v>
      </c>
      <c r="O9" s="88">
        <v>0.16802610114192496</v>
      </c>
      <c r="P9" s="85" t="s">
        <v>129</v>
      </c>
      <c r="Q9" s="89">
        <v>8701.1049723756914</v>
      </c>
      <c r="R9" s="85" t="s">
        <v>127</v>
      </c>
      <c r="S9" s="89">
        <v>-8265.4639175257726</v>
      </c>
      <c r="T9" s="85" t="s">
        <v>171</v>
      </c>
      <c r="U9" s="87">
        <v>0.10112359550561797</v>
      </c>
      <c r="V9" s="85" t="s">
        <v>128</v>
      </c>
      <c r="W9" s="87">
        <v>8.943089430894309E-2</v>
      </c>
      <c r="X9" s="85" t="s">
        <v>183</v>
      </c>
      <c r="Y9" s="88">
        <v>0.26315789473684209</v>
      </c>
      <c r="Z9" s="85" t="s">
        <v>183</v>
      </c>
      <c r="AA9" s="88">
        <v>0.21052631578947367</v>
      </c>
      <c r="AB9" s="85" t="s">
        <v>128</v>
      </c>
      <c r="AC9" s="88">
        <v>0.57654723127035834</v>
      </c>
      <c r="AD9" s="85" t="s">
        <v>145</v>
      </c>
      <c r="AE9" s="88">
        <v>0.39319965126416739</v>
      </c>
      <c r="AF9" s="85" t="s">
        <v>145</v>
      </c>
      <c r="AG9" s="88">
        <v>0.43108682452944747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223</v>
      </c>
      <c r="C10" s="84">
        <v>-24.7</v>
      </c>
      <c r="D10" s="85" t="s">
        <v>172</v>
      </c>
      <c r="E10" s="97">
        <v>-1.0186666666666668</v>
      </c>
      <c r="F10" s="85" t="s">
        <v>172</v>
      </c>
      <c r="G10" s="86">
        <v>2.0533333333333332</v>
      </c>
      <c r="H10" s="85" t="s">
        <v>173</v>
      </c>
      <c r="I10" s="87">
        <v>0.29545454545454547</v>
      </c>
      <c r="J10" s="85" t="s">
        <v>171</v>
      </c>
      <c r="K10" s="87">
        <v>0.34831460674157305</v>
      </c>
      <c r="L10" s="85" t="s">
        <v>184</v>
      </c>
      <c r="M10" s="88">
        <v>0.2857142857142857</v>
      </c>
      <c r="N10" s="85" t="s">
        <v>128</v>
      </c>
      <c r="O10" s="88">
        <v>0.1717369970559372</v>
      </c>
      <c r="P10" s="85" t="s">
        <v>145</v>
      </c>
      <c r="Q10" s="89">
        <v>8648.7553126897383</v>
      </c>
      <c r="R10" s="85" t="s">
        <v>145</v>
      </c>
      <c r="S10" s="89">
        <v>-8289.8597626752962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200</v>
      </c>
      <c r="Y10" s="88">
        <v>0.23529411764705882</v>
      </c>
      <c r="Z10" s="85" t="s">
        <v>145</v>
      </c>
      <c r="AA10" s="88">
        <v>0.20790284574950155</v>
      </c>
      <c r="AB10" s="85" t="s">
        <v>145</v>
      </c>
      <c r="AC10" s="88">
        <v>0.57652399481193251</v>
      </c>
      <c r="AD10" s="85" t="s">
        <v>177</v>
      </c>
      <c r="AE10" s="88">
        <v>0.36666666666666664</v>
      </c>
      <c r="AF10" s="85" t="s">
        <v>129</v>
      </c>
      <c r="AG10" s="88">
        <v>0.43093922651933703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172</v>
      </c>
      <c r="C11" s="84">
        <v>-76.40000000000002</v>
      </c>
      <c r="D11" s="85" t="s">
        <v>128</v>
      </c>
      <c r="E11" s="97">
        <v>-3.4691056910569111</v>
      </c>
      <c r="F11" s="85" t="s">
        <v>184</v>
      </c>
      <c r="G11" s="86">
        <v>2.0666666666666669</v>
      </c>
      <c r="H11" s="85" t="s">
        <v>172</v>
      </c>
      <c r="I11" s="87">
        <v>0.26666666666666666</v>
      </c>
      <c r="J11" s="85" t="s">
        <v>128</v>
      </c>
      <c r="K11" s="87">
        <v>0.35772357723577236</v>
      </c>
      <c r="L11" s="85" t="s">
        <v>171</v>
      </c>
      <c r="M11" s="88">
        <v>0.28360215053763443</v>
      </c>
      <c r="N11" s="85" t="s">
        <v>171</v>
      </c>
      <c r="O11" s="88">
        <v>0.17473118279569894</v>
      </c>
      <c r="P11" s="85" t="s">
        <v>184</v>
      </c>
      <c r="Q11" s="89">
        <v>8300</v>
      </c>
      <c r="R11" s="85" t="s">
        <v>171</v>
      </c>
      <c r="S11" s="89">
        <v>-8504.6153846153848</v>
      </c>
      <c r="T11" s="85" t="s">
        <v>145</v>
      </c>
      <c r="U11" s="87">
        <v>0.11613876319758673</v>
      </c>
      <c r="V11" s="85" t="s">
        <v>184</v>
      </c>
      <c r="W11" s="87">
        <v>0</v>
      </c>
      <c r="X11" s="85" t="s">
        <v>222</v>
      </c>
      <c r="Y11" s="88">
        <v>0.23076923076923078</v>
      </c>
      <c r="Z11" s="85" t="s">
        <v>171</v>
      </c>
      <c r="AA11" s="88">
        <v>0.18817204301075269</v>
      </c>
      <c r="AB11" s="85" t="s">
        <v>127</v>
      </c>
      <c r="AC11" s="88">
        <v>0.57180851063829785</v>
      </c>
      <c r="AD11" s="85" t="s">
        <v>173</v>
      </c>
      <c r="AE11" s="88">
        <v>0.33673469387755101</v>
      </c>
      <c r="AF11" s="85" t="s">
        <v>172</v>
      </c>
      <c r="AG11" s="88">
        <v>0.42272727272727273</v>
      </c>
      <c r="AH11" s="85" t="s">
        <v>184</v>
      </c>
      <c r="AI11" s="92">
        <v>68300</v>
      </c>
    </row>
    <row r="12" spans="1:35" x14ac:dyDescent="0.4">
      <c r="A12" s="82">
        <v>10</v>
      </c>
      <c r="B12" s="83" t="s">
        <v>184</v>
      </c>
      <c r="C12" s="84">
        <v>-85.399999999999991</v>
      </c>
      <c r="D12" s="85" t="s">
        <v>184</v>
      </c>
      <c r="E12" s="97">
        <v>-5.6933333333333325</v>
      </c>
      <c r="F12" s="85" t="s">
        <v>173</v>
      </c>
      <c r="G12" s="86">
        <v>2.0681818181818183</v>
      </c>
      <c r="H12" s="85" t="s">
        <v>128</v>
      </c>
      <c r="I12" s="87">
        <v>0.26016260162601629</v>
      </c>
      <c r="J12" s="85" t="s">
        <v>173</v>
      </c>
      <c r="K12" s="87">
        <v>0.36363636363636365</v>
      </c>
      <c r="L12" s="85" t="s">
        <v>128</v>
      </c>
      <c r="M12" s="88">
        <v>0.26987242394504418</v>
      </c>
      <c r="N12" s="85" t="s">
        <v>173</v>
      </c>
      <c r="O12" s="88">
        <v>0.18586387434554974</v>
      </c>
      <c r="P12" s="85" t="s">
        <v>183</v>
      </c>
      <c r="Q12" s="89">
        <v>7860</v>
      </c>
      <c r="R12" s="85" t="s">
        <v>172</v>
      </c>
      <c r="S12" s="89">
        <v>-8564.0449438202249</v>
      </c>
      <c r="T12" s="85" t="s">
        <v>128</v>
      </c>
      <c r="U12" s="87">
        <v>0.13008130081300814</v>
      </c>
      <c r="V12" s="85" t="s">
        <v>200</v>
      </c>
      <c r="W12" s="87">
        <v>0</v>
      </c>
      <c r="X12" s="85" t="s">
        <v>173</v>
      </c>
      <c r="Y12" s="88">
        <v>0.23036649214659685</v>
      </c>
      <c r="Z12" s="85" t="s">
        <v>177</v>
      </c>
      <c r="AA12" s="88">
        <v>0.18145161290322581</v>
      </c>
      <c r="AB12" s="85" t="s">
        <v>171</v>
      </c>
      <c r="AC12" s="88">
        <v>0.56221198156682028</v>
      </c>
      <c r="AD12" s="85" t="s">
        <v>128</v>
      </c>
      <c r="AE12" s="88">
        <v>0.2896174863387978</v>
      </c>
      <c r="AF12" s="85" t="s">
        <v>128</v>
      </c>
      <c r="AG12" s="88">
        <v>0.42181818181818181</v>
      </c>
      <c r="AH12" s="85" t="s">
        <v>200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173</v>
      </c>
      <c r="E13" s="97">
        <v>-5.9681818181818178</v>
      </c>
      <c r="F13" s="85" t="s">
        <v>128</v>
      </c>
      <c r="G13" s="86">
        <v>2.0975609756097562</v>
      </c>
      <c r="H13" s="85" t="s">
        <v>129</v>
      </c>
      <c r="I13" s="87">
        <v>0.24444444444444444</v>
      </c>
      <c r="J13" s="85" t="s">
        <v>184</v>
      </c>
      <c r="K13" s="87">
        <v>0.46666666666666667</v>
      </c>
      <c r="L13" s="85" t="s">
        <v>183</v>
      </c>
      <c r="M13" s="88">
        <v>0.26315789473684209</v>
      </c>
      <c r="N13" s="85" t="s">
        <v>129</v>
      </c>
      <c r="O13" s="88">
        <v>0.19210526315789472</v>
      </c>
      <c r="P13" s="85" t="s">
        <v>173</v>
      </c>
      <c r="Q13" s="89">
        <v>6998.2456140350878</v>
      </c>
      <c r="R13" s="85" t="s">
        <v>129</v>
      </c>
      <c r="S13" s="89">
        <v>-9189.7260273972606</v>
      </c>
      <c r="T13" s="85" t="s">
        <v>184</v>
      </c>
      <c r="U13" s="87">
        <v>0.13333333333333333</v>
      </c>
      <c r="V13" s="85" t="s">
        <v>183</v>
      </c>
      <c r="W13" s="87">
        <v>0</v>
      </c>
      <c r="X13" s="85" t="s">
        <v>184</v>
      </c>
      <c r="Y13" s="88">
        <v>0.23015873015873015</v>
      </c>
      <c r="Z13" s="85" t="s">
        <v>128</v>
      </c>
      <c r="AA13" s="88">
        <v>0.17958783120706576</v>
      </c>
      <c r="AB13" s="85" t="s">
        <v>172</v>
      </c>
      <c r="AC13" s="88">
        <v>0.56204379562043794</v>
      </c>
      <c r="AD13" s="85" t="s">
        <v>129</v>
      </c>
      <c r="AE13" s="88">
        <v>0.25409836065573771</v>
      </c>
      <c r="AF13" s="85" t="s">
        <v>171</v>
      </c>
      <c r="AG13" s="88">
        <v>0.41232227488151657</v>
      </c>
      <c r="AH13" s="85" t="s">
        <v>183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-426.70000000000005</v>
      </c>
      <c r="D14" s="85" t="s">
        <v>223</v>
      </c>
      <c r="E14" s="97">
        <v>-12.35</v>
      </c>
      <c r="F14" s="85" t="s">
        <v>129</v>
      </c>
      <c r="G14" s="86">
        <v>2.2444444444444445</v>
      </c>
      <c r="H14" s="85" t="s">
        <v>222</v>
      </c>
      <c r="I14" s="87">
        <v>0</v>
      </c>
      <c r="J14" s="85" t="s">
        <v>129</v>
      </c>
      <c r="K14" s="87">
        <v>0.48888888888888887</v>
      </c>
      <c r="L14" s="85" t="s">
        <v>129</v>
      </c>
      <c r="M14" s="88">
        <v>0.2381578947368421</v>
      </c>
      <c r="N14" s="85" t="s">
        <v>184</v>
      </c>
      <c r="O14" s="88">
        <v>0.21428571428571427</v>
      </c>
      <c r="P14" s="85" t="s">
        <v>200</v>
      </c>
      <c r="Q14" s="89">
        <v>6765.5172413793107</v>
      </c>
      <c r="R14" s="85" t="s">
        <v>222</v>
      </c>
      <c r="S14" s="89">
        <v>-12000</v>
      </c>
      <c r="T14" s="85" t="s">
        <v>177</v>
      </c>
      <c r="U14" s="87">
        <v>0.14516129032258066</v>
      </c>
      <c r="V14" s="85" t="s">
        <v>222</v>
      </c>
      <c r="W14" s="87">
        <v>0</v>
      </c>
      <c r="X14" s="85" t="s">
        <v>172</v>
      </c>
      <c r="Y14" s="88">
        <v>0.21339563862928349</v>
      </c>
      <c r="Z14" s="85" t="s">
        <v>129</v>
      </c>
      <c r="AA14" s="88">
        <v>0.16052631578947368</v>
      </c>
      <c r="AB14" s="85" t="s">
        <v>129</v>
      </c>
      <c r="AC14" s="88">
        <v>0.52112676056338025</v>
      </c>
      <c r="AD14" s="85" t="s">
        <v>223</v>
      </c>
      <c r="AE14" s="88">
        <v>0.25</v>
      </c>
      <c r="AF14" s="85" t="s">
        <v>127</v>
      </c>
      <c r="AG14" s="88">
        <v>0.407673860911271</v>
      </c>
      <c r="AH14" s="85" t="s">
        <v>222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-1324.2</v>
      </c>
      <c r="D15" s="85" t="s">
        <v>129</v>
      </c>
      <c r="E15" s="97">
        <v>-14.713333333333335</v>
      </c>
      <c r="F15" s="85" t="s">
        <v>223</v>
      </c>
      <c r="G15" s="86">
        <v>2.5</v>
      </c>
      <c r="H15" s="85" t="s">
        <v>223</v>
      </c>
      <c r="I15" s="87">
        <v>0</v>
      </c>
      <c r="J15" s="85" t="s">
        <v>223</v>
      </c>
      <c r="K15" s="87">
        <v>0.5</v>
      </c>
      <c r="L15" s="85" t="s">
        <v>222</v>
      </c>
      <c r="M15" s="88">
        <v>0.15384615384615385</v>
      </c>
      <c r="N15" s="85" t="s">
        <v>223</v>
      </c>
      <c r="O15" s="88">
        <v>0.23529411764705882</v>
      </c>
      <c r="P15" s="85" t="s">
        <v>172</v>
      </c>
      <c r="Q15" s="89">
        <v>6727.727272727273</v>
      </c>
      <c r="R15" s="85" t="s">
        <v>223</v>
      </c>
      <c r="S15" s="89">
        <v>-12425</v>
      </c>
      <c r="T15" s="85" t="s">
        <v>129</v>
      </c>
      <c r="U15" s="87">
        <v>0.18888888888888888</v>
      </c>
      <c r="V15" s="85" t="s">
        <v>223</v>
      </c>
      <c r="W15" s="87">
        <v>0</v>
      </c>
      <c r="X15" s="85" t="s">
        <v>223</v>
      </c>
      <c r="Y15" s="88">
        <v>0.17647058823529413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223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8DE6-F449-4380-B816-B263642B4AAF}">
  <sheetPr codeName="Sheet4"/>
  <dimension ref="A1:Q6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663</v>
      </c>
      <c r="C2" s="151"/>
      <c r="E2" s="62" t="s">
        <v>67</v>
      </c>
      <c r="F2" s="59" t="s">
        <v>23</v>
      </c>
      <c r="G2" s="46">
        <v>1197</v>
      </c>
      <c r="H2" s="132">
        <f>IF(B$17=0,0,G2/B$17)</f>
        <v>0.72677595628415304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-13.636363636363637</v>
      </c>
      <c r="P2" s="118">
        <v>660</v>
      </c>
      <c r="Q2" s="102">
        <v>-9000</v>
      </c>
    </row>
    <row r="3" spans="1:17" x14ac:dyDescent="0.4">
      <c r="A3" s="55" t="s">
        <v>8</v>
      </c>
      <c r="B3" s="152">
        <v>5517</v>
      </c>
      <c r="C3" s="153"/>
      <c r="E3" s="63" t="s">
        <v>65</v>
      </c>
      <c r="F3" s="60" t="s">
        <v>21</v>
      </c>
      <c r="G3" s="47">
        <v>849</v>
      </c>
      <c r="H3" s="133">
        <f>IF(B$17=0,0,G3/B$17)</f>
        <v>0.51548269581056472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-9.3023255813953494</v>
      </c>
      <c r="P3" s="119">
        <v>645</v>
      </c>
      <c r="Q3" s="103">
        <v>-6000</v>
      </c>
    </row>
    <row r="4" spans="1:17" x14ac:dyDescent="0.4">
      <c r="A4" s="55" t="s">
        <v>6</v>
      </c>
      <c r="B4" s="154">
        <v>-1.0000000000000142</v>
      </c>
      <c r="C4" s="155"/>
      <c r="E4" s="63" t="s">
        <v>73</v>
      </c>
      <c r="F4" s="60" t="s">
        <v>28</v>
      </c>
      <c r="G4" s="47">
        <v>836</v>
      </c>
      <c r="H4" s="133">
        <f>IF(B$17=0,0,G4/B$17)</f>
        <v>0.5075895567698846</v>
      </c>
      <c r="I4" s="94">
        <v>9</v>
      </c>
      <c r="K4" s="38">
        <v>2</v>
      </c>
      <c r="L4" s="99">
        <v>40.4</v>
      </c>
      <c r="N4" s="115" t="s">
        <v>134</v>
      </c>
      <c r="O4" s="122">
        <f t="shared" si="0"/>
        <v>9.9009900990099009</v>
      </c>
      <c r="P4" s="119">
        <v>606</v>
      </c>
      <c r="Q4" s="103">
        <v>6000</v>
      </c>
    </row>
    <row r="5" spans="1:17" x14ac:dyDescent="0.4">
      <c r="A5" s="55" t="s">
        <v>7</v>
      </c>
      <c r="B5" s="156">
        <f>IF(B$2=0,0,B$4/B$2)</f>
        <v>-1.5082956259427063E-3</v>
      </c>
      <c r="C5" s="157"/>
      <c r="E5" s="63" t="s">
        <v>245</v>
      </c>
      <c r="F5" s="60" t="s">
        <v>246</v>
      </c>
      <c r="G5" s="47">
        <v>674</v>
      </c>
      <c r="H5" s="133">
        <f>IF(B$17=0,0,G5/B$17)</f>
        <v>0.40922890103217974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9.0579710144927539</v>
      </c>
      <c r="P5" s="119">
        <v>552</v>
      </c>
      <c r="Q5" s="103">
        <v>5000</v>
      </c>
    </row>
    <row r="6" spans="1:17" x14ac:dyDescent="0.4">
      <c r="A6" s="55" t="s">
        <v>1</v>
      </c>
      <c r="B6" s="146">
        <f>IF(B$2=0,0,(B$7*1+B$8*2+B$9*3)/B$2)</f>
        <v>1.995475113122172</v>
      </c>
      <c r="C6" s="147"/>
      <c r="E6" s="63" t="s">
        <v>69</v>
      </c>
      <c r="F6" s="60" t="s">
        <v>12</v>
      </c>
      <c r="G6" s="47">
        <v>510</v>
      </c>
      <c r="H6" s="133">
        <f>IF(B$17=0,0,G6/B$17)</f>
        <v>0.30965391621129323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-14.141414141414142</v>
      </c>
      <c r="P6" s="119">
        <v>495</v>
      </c>
      <c r="Q6" s="103">
        <v>-7000</v>
      </c>
    </row>
    <row r="7" spans="1:17" x14ac:dyDescent="0.4">
      <c r="A7" s="55" t="s">
        <v>2</v>
      </c>
      <c r="B7" s="47">
        <v>223</v>
      </c>
      <c r="C7" s="39">
        <f>IF(B$2=0,0,B7/B$2)</f>
        <v>0.33634992458521873</v>
      </c>
      <c r="E7" s="63" t="s">
        <v>68</v>
      </c>
      <c r="F7" s="60" t="s">
        <v>24</v>
      </c>
      <c r="G7" s="47">
        <v>496</v>
      </c>
      <c r="H7" s="133">
        <f>IF(B$17=0,0,G7/B$17)</f>
        <v>0.30115361262902246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22.522522522522522</v>
      </c>
      <c r="P7" s="120">
        <v>444</v>
      </c>
      <c r="Q7" s="104">
        <v>10000</v>
      </c>
    </row>
    <row r="8" spans="1:17" x14ac:dyDescent="0.4">
      <c r="A8" s="55" t="s">
        <v>3</v>
      </c>
      <c r="B8" s="47">
        <v>220</v>
      </c>
      <c r="C8" s="39">
        <f>IF(B$2=0,0,B8/B$2)</f>
        <v>0.33182503770739064</v>
      </c>
      <c r="E8" s="63" t="s">
        <v>70</v>
      </c>
      <c r="F8" s="60" t="s">
        <v>25</v>
      </c>
      <c r="G8" s="47">
        <v>289</v>
      </c>
      <c r="H8" s="133">
        <f>IF(B$17=0,0,G8/B$17)</f>
        <v>0.17547055251973284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220</v>
      </c>
      <c r="C9" s="40">
        <f t="shared" ref="C9" si="1">IF(B$2=0,0,B9/B$2)</f>
        <v>0.33182503770739064</v>
      </c>
      <c r="E9" s="63" t="s">
        <v>90</v>
      </c>
      <c r="F9" s="60" t="s">
        <v>45</v>
      </c>
      <c r="G9" s="47">
        <v>207</v>
      </c>
      <c r="H9" s="133">
        <f>IF(B$17=0,0,G9/B$17)</f>
        <v>0.12568306010928962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77</v>
      </c>
      <c r="C10" s="40">
        <f>IF(B$2=0,0,B10/B$2)</f>
        <v>0.11613876319758673</v>
      </c>
      <c r="E10" s="63" t="s">
        <v>66</v>
      </c>
      <c r="F10" s="60" t="s">
        <v>22</v>
      </c>
      <c r="G10" s="47">
        <v>199</v>
      </c>
      <c r="H10" s="133">
        <f>IF(B$17=0,0,G10/B$17)</f>
        <v>0.12082574377656345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-1.7493212669683251</v>
      </c>
      <c r="P10" s="118">
        <v>221</v>
      </c>
      <c r="Q10" s="106">
        <v>-386.59999999999985</v>
      </c>
    </row>
    <row r="11" spans="1:17" x14ac:dyDescent="0.4">
      <c r="A11" s="56" t="s">
        <v>140</v>
      </c>
      <c r="B11" s="48">
        <v>77</v>
      </c>
      <c r="C11" s="40">
        <f>IF(B$2=0,0,B11/B$2)</f>
        <v>0.11613876319758673</v>
      </c>
      <c r="E11" s="63" t="s">
        <v>71</v>
      </c>
      <c r="F11" s="60" t="s">
        <v>26</v>
      </c>
      <c r="G11" s="47">
        <v>165</v>
      </c>
      <c r="H11" s="133">
        <f>IF(B$17=0,0,G11/B$17)</f>
        <v>0.10018214936247723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0.61719457013574652</v>
      </c>
      <c r="P11" s="119">
        <v>221</v>
      </c>
      <c r="Q11" s="107">
        <v>136.39999999999998</v>
      </c>
    </row>
    <row r="12" spans="1:17" x14ac:dyDescent="0.4">
      <c r="A12" s="57" t="s">
        <v>160</v>
      </c>
      <c r="B12" s="49">
        <v>55</v>
      </c>
      <c r="C12" s="42">
        <f>IF(B$2=0,0,B12/B$2)</f>
        <v>8.2956259426847659E-2</v>
      </c>
      <c r="E12" s="63" t="s">
        <v>72</v>
      </c>
      <c r="F12" s="60" t="s">
        <v>27</v>
      </c>
      <c r="G12" s="47">
        <v>115</v>
      </c>
      <c r="H12" s="133">
        <f>IF(B$17=0,0,G12/B$17)</f>
        <v>6.9823922282938683E-2</v>
      </c>
      <c r="I12" s="94">
        <v>4</v>
      </c>
      <c r="K12" s="38">
        <v>10</v>
      </c>
      <c r="L12" s="99">
        <v>40.099999999999994</v>
      </c>
      <c r="N12" s="116" t="s">
        <v>166</v>
      </c>
      <c r="O12" s="126">
        <f>IF(P12=0,0,Q12/P12)</f>
        <v>1.1276018099547509</v>
      </c>
      <c r="P12" s="120">
        <v>221</v>
      </c>
      <c r="Q12" s="108">
        <v>249.19999999999996</v>
      </c>
    </row>
    <row r="13" spans="1:17" x14ac:dyDescent="0.4">
      <c r="A13" s="58" t="s">
        <v>122</v>
      </c>
      <c r="B13" s="50">
        <v>1542</v>
      </c>
      <c r="C13" s="44">
        <f>IF(B$3=0,0,B13/B$3)</f>
        <v>0.27949972811310497</v>
      </c>
      <c r="E13" s="63" t="s">
        <v>87</v>
      </c>
      <c r="F13" s="60" t="s">
        <v>42</v>
      </c>
      <c r="G13" s="47">
        <v>92</v>
      </c>
      <c r="H13" s="133">
        <f>IF(B$17=0,0,G13/B$17)</f>
        <v>5.5859137826350942E-2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1147</v>
      </c>
      <c r="C14" s="39">
        <f>IF(B$3=0,0,B14/B$3)</f>
        <v>0.20790284574950155</v>
      </c>
      <c r="E14" s="63" t="s">
        <v>84</v>
      </c>
      <c r="F14" s="60" t="s">
        <v>39</v>
      </c>
      <c r="G14" s="47">
        <v>82</v>
      </c>
      <c r="H14" s="133">
        <f>IF(B$17=0,0,G14/B$17)</f>
        <v>4.9787492410443231E-2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889</v>
      </c>
      <c r="C15" s="37">
        <f>IF(B$13=0,0,B15/B$13)</f>
        <v>0.57652399481193251</v>
      </c>
      <c r="E15" s="63" t="s">
        <v>82</v>
      </c>
      <c r="F15" s="60" t="s">
        <v>37</v>
      </c>
      <c r="G15" s="47">
        <v>46</v>
      </c>
      <c r="H15" s="133">
        <f>IF(B$17=0,0,G15/B$17)</f>
        <v>2.7929568913175471E-2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22.064444444444469</v>
      </c>
      <c r="P15" s="118">
        <v>180</v>
      </c>
      <c r="Q15" s="106">
        <v>3971.6000000000045</v>
      </c>
    </row>
    <row r="16" spans="1:17" x14ac:dyDescent="0.4">
      <c r="A16" s="54" t="s">
        <v>125</v>
      </c>
      <c r="B16" s="46">
        <v>451</v>
      </c>
      <c r="C16" s="37">
        <f>IF(B$14=0,0,B16/B$14)</f>
        <v>0.39319965126416739</v>
      </c>
      <c r="E16" s="63" t="s">
        <v>79</v>
      </c>
      <c r="F16" s="60" t="s">
        <v>34</v>
      </c>
      <c r="G16" s="47">
        <v>43</v>
      </c>
      <c r="H16" s="133">
        <f>IF(B$17=0,0,G16/B$17)</f>
        <v>2.6108075288403157E-2</v>
      </c>
      <c r="I16" s="94">
        <v>6</v>
      </c>
      <c r="K16" s="38">
        <v>14</v>
      </c>
      <c r="L16" s="99">
        <v>18.79999999999999</v>
      </c>
      <c r="N16" s="115" t="s">
        <v>223</v>
      </c>
      <c r="O16" s="125">
        <f>IF(P16=0,0,Q16/P16)</f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1647</v>
      </c>
      <c r="C17" s="37">
        <f>IF(B$3=0,0,B17/B$3)</f>
        <v>0.29853181076672103</v>
      </c>
      <c r="E17" s="63" t="s">
        <v>92</v>
      </c>
      <c r="F17" s="60" t="s">
        <v>47</v>
      </c>
      <c r="G17" s="47">
        <v>31</v>
      </c>
      <c r="H17" s="133">
        <f>IF(B$17=0,0,G17/B$17)</f>
        <v>1.8822100789313904E-2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8.9522727272727263</v>
      </c>
      <c r="P17" s="119">
        <v>88</v>
      </c>
      <c r="Q17" s="107">
        <v>787.79999999999984</v>
      </c>
    </row>
    <row r="18" spans="1:17" x14ac:dyDescent="0.4">
      <c r="A18" s="55" t="s">
        <v>12</v>
      </c>
      <c r="B18" s="47">
        <v>710</v>
      </c>
      <c r="C18" s="39">
        <f>IF(B$17=0,0,B18/B$17)</f>
        <v>0.43108682452944747</v>
      </c>
      <c r="E18" s="63" t="s">
        <v>80</v>
      </c>
      <c r="F18" s="60" t="s">
        <v>35</v>
      </c>
      <c r="G18" s="47">
        <v>25</v>
      </c>
      <c r="H18" s="133">
        <f>IF(B$17=0,0,G18/B$17)</f>
        <v>1.5179113539769277E-2</v>
      </c>
      <c r="I18" s="94">
        <v>5</v>
      </c>
      <c r="K18" s="38">
        <v>16</v>
      </c>
      <c r="L18" s="99">
        <v>90.899999999999991</v>
      </c>
      <c r="N18" s="115" t="s">
        <v>184</v>
      </c>
      <c r="O18" s="125">
        <f>IF(P18=0,0,Q18/P18)</f>
        <v>8.5066666666666642</v>
      </c>
      <c r="P18" s="119">
        <v>30</v>
      </c>
      <c r="Q18" s="107">
        <v>255.19999999999993</v>
      </c>
    </row>
    <row r="19" spans="1:17" x14ac:dyDescent="0.4">
      <c r="A19" s="55" t="s">
        <v>11</v>
      </c>
      <c r="B19" s="47">
        <v>937</v>
      </c>
      <c r="C19" s="39">
        <f>IF(B$17=0,0,B19/B$17)</f>
        <v>0.56891317547055253</v>
      </c>
      <c r="E19" s="63" t="s">
        <v>180</v>
      </c>
      <c r="F19" s="60" t="s">
        <v>181</v>
      </c>
      <c r="G19" s="47">
        <v>25</v>
      </c>
      <c r="H19" s="133">
        <f>IF(B$17=0,0,G19/B$17)</f>
        <v>1.5179113539769277E-2</v>
      </c>
      <c r="I19" s="94">
        <v>5</v>
      </c>
      <c r="K19" s="38">
        <v>17</v>
      </c>
      <c r="L19" s="99">
        <v>8.2999999999999972</v>
      </c>
      <c r="N19" s="115" t="s">
        <v>128</v>
      </c>
      <c r="O19" s="125">
        <f>IF(P19=0,0,Q19/P19)</f>
        <v>5.2036585365853654</v>
      </c>
      <c r="P19" s="119">
        <v>246</v>
      </c>
      <c r="Q19" s="107">
        <v>1280.0999999999999</v>
      </c>
    </row>
    <row r="20" spans="1:17" x14ac:dyDescent="0.4">
      <c r="A20" s="55" t="s">
        <v>13</v>
      </c>
      <c r="B20" s="47">
        <v>927</v>
      </c>
      <c r="C20" s="39">
        <f>IF(B$3=0,0,B20/B$3)</f>
        <v>0.16802610114192496</v>
      </c>
      <c r="E20" s="63" t="s">
        <v>74</v>
      </c>
      <c r="F20" s="60" t="s">
        <v>29</v>
      </c>
      <c r="G20" s="47">
        <v>11</v>
      </c>
      <c r="H20" s="133">
        <f>IF(B$17=0,0,G20/B$17)</f>
        <v>6.6788099574984824E-3</v>
      </c>
      <c r="I20" s="94">
        <v>6</v>
      </c>
      <c r="K20" s="38">
        <v>18</v>
      </c>
      <c r="L20" s="99">
        <v>-3.5527136788005009E-15</v>
      </c>
      <c r="N20" s="115" t="s">
        <v>172</v>
      </c>
      <c r="O20" s="125">
        <f>IF(P20=0,0,Q20/P20)</f>
        <v>1.5279999999999994</v>
      </c>
      <c r="P20" s="119">
        <v>150</v>
      </c>
      <c r="Q20" s="107">
        <v>229.1999999999999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5.4644808743169399E-3</v>
      </c>
      <c r="I21" s="94">
        <v>5</v>
      </c>
      <c r="K21" s="38">
        <v>19</v>
      </c>
      <c r="L21" s="99">
        <v>30.999999999999996</v>
      </c>
      <c r="N21" s="115" t="s">
        <v>171</v>
      </c>
      <c r="O21" s="125">
        <f>IF(P21=0,0,Q21/P21)</f>
        <v>-0.53932584269662653</v>
      </c>
      <c r="P21" s="119">
        <v>178</v>
      </c>
      <c r="Q21" s="107">
        <v>-95.999999999999531</v>
      </c>
    </row>
    <row r="22" spans="1:17" x14ac:dyDescent="0.4">
      <c r="A22" s="55" t="s">
        <v>192</v>
      </c>
      <c r="B22" s="47">
        <v>31</v>
      </c>
      <c r="C22" s="135">
        <v>3</v>
      </c>
      <c r="E22" s="63" t="s">
        <v>86</v>
      </c>
      <c r="F22" s="60" t="s">
        <v>41</v>
      </c>
      <c r="G22" s="47">
        <v>7</v>
      </c>
      <c r="H22" s="133">
        <f>IF(B$17=0,0,G22/B$17)</f>
        <v>4.2501517911353974E-3</v>
      </c>
      <c r="I22" s="94">
        <v>3</v>
      </c>
      <c r="K22" s="38">
        <v>20</v>
      </c>
      <c r="L22" s="99">
        <v>0.79999999999999716</v>
      </c>
      <c r="N22" s="115" t="s">
        <v>200</v>
      </c>
      <c r="O22" s="125">
        <f>IF(P22=0,0,Q22/P22)</f>
        <v>-2.7150000000000012</v>
      </c>
      <c r="P22" s="119">
        <v>20</v>
      </c>
      <c r="Q22" s="107">
        <v>-54.300000000000026</v>
      </c>
    </row>
    <row r="23" spans="1:17" x14ac:dyDescent="0.4">
      <c r="A23" s="55" t="s">
        <v>5</v>
      </c>
      <c r="B23" s="51">
        <f>IF(B$17=0,0,C23/B$17)</f>
        <v>8648.7553126897383</v>
      </c>
      <c r="C23" s="41">
        <v>14244500</v>
      </c>
      <c r="E23" s="63" t="s">
        <v>93</v>
      </c>
      <c r="F23" s="60" t="s">
        <v>48</v>
      </c>
      <c r="G23" s="47">
        <v>7</v>
      </c>
      <c r="H23" s="133">
        <f>IF(B$17=0,0,G23/B$17)</f>
        <v>4.2501517911353974E-3</v>
      </c>
      <c r="I23" s="94">
        <v>5</v>
      </c>
      <c r="K23" s="38">
        <v>21</v>
      </c>
      <c r="L23" s="99">
        <v>-2.886579864025407E-15</v>
      </c>
      <c r="N23" s="115" t="s">
        <v>177</v>
      </c>
      <c r="O23" s="125">
        <f>IF(P23=0,0,Q23/P23)</f>
        <v>-8.4072580645161299</v>
      </c>
      <c r="P23" s="119">
        <v>124</v>
      </c>
      <c r="Q23" s="107">
        <v>-1042.5</v>
      </c>
    </row>
    <row r="24" spans="1:17" x14ac:dyDescent="0.4">
      <c r="A24" s="57" t="s">
        <v>14</v>
      </c>
      <c r="B24" s="52">
        <f>IF(B$20=0,0,C24/B$20)</f>
        <v>-8289.8597626752962</v>
      </c>
      <c r="C24" s="45">
        <v>-7684700</v>
      </c>
      <c r="E24" s="63" t="s">
        <v>75</v>
      </c>
      <c r="F24" s="60" t="s">
        <v>30</v>
      </c>
      <c r="G24" s="47">
        <v>6</v>
      </c>
      <c r="H24" s="133">
        <f>IF(B$17=0,0,G24/B$17)</f>
        <v>3.6429872495446266E-3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-17.390268456375814</v>
      </c>
      <c r="P24" s="119">
        <v>298</v>
      </c>
      <c r="Q24" s="107">
        <v>-5182.2999999999929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6</v>
      </c>
      <c r="H25" s="133">
        <f>IF(B$17=0,0,G25/B$17)</f>
        <v>3.6429872495446266E-3</v>
      </c>
      <c r="I25" s="94">
        <v>5</v>
      </c>
      <c r="K25" s="38">
        <v>23</v>
      </c>
      <c r="L25" s="99">
        <v>26.299999999999997</v>
      </c>
      <c r="N25" s="115" t="s">
        <v>222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6</v>
      </c>
      <c r="H26" s="133">
        <f>IF(B$17=0,0,G26/B$17)</f>
        <v>3.6429872495446266E-3</v>
      </c>
      <c r="I26" s="94">
        <v>4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2.5376110204821463E-3</v>
      </c>
      <c r="E27" s="63" t="s">
        <v>91</v>
      </c>
      <c r="F27" s="60" t="s">
        <v>46</v>
      </c>
      <c r="G27" s="47">
        <v>5</v>
      </c>
      <c r="H27" s="133">
        <f>IF(B$17=0,0,G27/B$17)</f>
        <v>3.0358227079538553E-3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78</v>
      </c>
      <c r="F28" s="60" t="s">
        <v>33</v>
      </c>
      <c r="G28" s="47">
        <v>4</v>
      </c>
      <c r="H28" s="133">
        <f>IF(B$17=0,0,G28/B$17)</f>
        <v>2.4286581663630845E-3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85</v>
      </c>
      <c r="F29" s="60" t="s">
        <v>40</v>
      </c>
      <c r="G29" s="47">
        <v>4</v>
      </c>
      <c r="H29" s="133">
        <f>IF(B$17=0,0,G29/B$17)</f>
        <v>2.4286581663630845E-3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2</v>
      </c>
      <c r="H30" s="133">
        <f>IF(B$17=0,0,G30/B$17)</f>
        <v>1.2143290831815423E-3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1.2143290831815423E-3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6.0716454159077113E-4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6.0716454159077113E-4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45.999999999999979</v>
      </c>
    </row>
    <row r="650" spans="11:12" x14ac:dyDescent="0.4">
      <c r="K650" s="38">
        <v>648</v>
      </c>
      <c r="L650" s="99">
        <v>-1.0000000000000213</v>
      </c>
    </row>
    <row r="651" spans="11:12" x14ac:dyDescent="0.4">
      <c r="K651" s="38">
        <v>649</v>
      </c>
      <c r="L651" s="99">
        <v>-15.300000000000022</v>
      </c>
    </row>
    <row r="652" spans="11:12" x14ac:dyDescent="0.4">
      <c r="K652" s="38">
        <v>650</v>
      </c>
      <c r="L652" s="99">
        <v>35.09999999999998</v>
      </c>
    </row>
    <row r="653" spans="11:12" x14ac:dyDescent="0.4">
      <c r="K653" s="38">
        <v>651</v>
      </c>
      <c r="L653" s="99">
        <v>-1.0000000000000213</v>
      </c>
    </row>
    <row r="654" spans="11:12" x14ac:dyDescent="0.4">
      <c r="K654" s="38">
        <v>652</v>
      </c>
      <c r="L654" s="99">
        <v>-1.0000000000000213</v>
      </c>
    </row>
    <row r="655" spans="11:12" x14ac:dyDescent="0.4">
      <c r="K655" s="38">
        <v>653</v>
      </c>
      <c r="L655" s="99">
        <v>-1.0000000000000213</v>
      </c>
    </row>
    <row r="656" spans="11:12" x14ac:dyDescent="0.4">
      <c r="K656" s="38">
        <v>654</v>
      </c>
      <c r="L656" s="99">
        <v>-1.0000000000000213</v>
      </c>
    </row>
    <row r="657" spans="11:12" x14ac:dyDescent="0.4">
      <c r="K657" s="38">
        <v>655</v>
      </c>
      <c r="L657" s="99">
        <v>-61.90000000000002</v>
      </c>
    </row>
    <row r="658" spans="11:12" x14ac:dyDescent="0.4">
      <c r="K658" s="38">
        <v>656</v>
      </c>
      <c r="L658" s="99">
        <v>2.4999999999999858</v>
      </c>
    </row>
    <row r="659" spans="11:12" x14ac:dyDescent="0.4">
      <c r="K659" s="38">
        <v>657</v>
      </c>
      <c r="L659" s="99">
        <v>-1.0000000000000142</v>
      </c>
    </row>
    <row r="660" spans="11:12" x14ac:dyDescent="0.4">
      <c r="K660" s="38">
        <v>658</v>
      </c>
      <c r="L660" s="99">
        <v>66.799999999999983</v>
      </c>
    </row>
    <row r="661" spans="11:12" x14ac:dyDescent="0.4">
      <c r="K661" s="38">
        <v>659</v>
      </c>
      <c r="L661" s="99">
        <v>54.899999999999984</v>
      </c>
    </row>
    <row r="662" spans="11:12" x14ac:dyDescent="0.4">
      <c r="K662" s="38">
        <v>660</v>
      </c>
      <c r="L662" s="99">
        <v>-1.0000000000000142</v>
      </c>
    </row>
    <row r="663" spans="11:12" x14ac:dyDescent="0.4">
      <c r="K663" s="38">
        <v>661</v>
      </c>
      <c r="L663" s="99">
        <v>-15.900000000000015</v>
      </c>
    </row>
    <row r="664" spans="11:12" x14ac:dyDescent="0.4">
      <c r="K664" s="38">
        <v>662</v>
      </c>
      <c r="L664" s="99">
        <v>-52.300000000000011</v>
      </c>
    </row>
    <row r="665" spans="11:12" x14ac:dyDescent="0.4">
      <c r="K665" s="38">
        <v>663</v>
      </c>
      <c r="L665" s="99">
        <v>-1.0000000000000142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5C4CE-7006-4F46-8BD2-4265ACD7CDB1}">
  <sheetPr codeName="Sheet7"/>
  <dimension ref="A1:Q1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149</v>
      </c>
      <c r="C2" s="151"/>
      <c r="E2" s="62" t="s">
        <v>67</v>
      </c>
      <c r="F2" s="59" t="s">
        <v>23</v>
      </c>
      <c r="G2" s="46">
        <v>300</v>
      </c>
      <c r="H2" s="132">
        <f>IF(B$17=0,0,G2/B$17)</f>
        <v>0.71942446043165464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2133.7837837837837</v>
      </c>
      <c r="P2" s="118">
        <v>148</v>
      </c>
      <c r="Q2" s="102">
        <v>315800</v>
      </c>
    </row>
    <row r="3" spans="1:17" x14ac:dyDescent="0.4">
      <c r="A3" s="55" t="s">
        <v>8</v>
      </c>
      <c r="B3" s="152">
        <v>1214</v>
      </c>
      <c r="C3" s="153"/>
      <c r="E3" s="63" t="s">
        <v>73</v>
      </c>
      <c r="F3" s="60" t="s">
        <v>28</v>
      </c>
      <c r="G3" s="47">
        <v>241</v>
      </c>
      <c r="H3" s="133">
        <f>IF(B$17=0,0,G3/B$17)</f>
        <v>0.57793764988009588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1227.7777777777778</v>
      </c>
      <c r="P3" s="119">
        <v>144</v>
      </c>
      <c r="Q3" s="103">
        <v>176800</v>
      </c>
    </row>
    <row r="4" spans="1:17" x14ac:dyDescent="0.4">
      <c r="A4" s="55" t="s">
        <v>6</v>
      </c>
      <c r="B4" s="154">
        <v>1727.1000000000008</v>
      </c>
      <c r="C4" s="155"/>
      <c r="E4" s="63" t="s">
        <v>65</v>
      </c>
      <c r="F4" s="60" t="s">
        <v>21</v>
      </c>
      <c r="G4" s="47">
        <v>197</v>
      </c>
      <c r="H4" s="133">
        <f>IF(B$17=0,0,G4/B$17)</f>
        <v>0.47242206235011991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682.48175182481748</v>
      </c>
      <c r="P4" s="119">
        <v>137</v>
      </c>
      <c r="Q4" s="103">
        <v>93500</v>
      </c>
    </row>
    <row r="5" spans="1:17" x14ac:dyDescent="0.4">
      <c r="A5" s="55" t="s">
        <v>7</v>
      </c>
      <c r="B5" s="156">
        <f>IF(B$2=0,0,B$4/B$2)</f>
        <v>11.591275167785241</v>
      </c>
      <c r="C5" s="157"/>
      <c r="E5" s="63" t="s">
        <v>245</v>
      </c>
      <c r="F5" s="60" t="s">
        <v>246</v>
      </c>
      <c r="G5" s="47">
        <v>172</v>
      </c>
      <c r="H5" s="133">
        <f>IF(B$17=0,0,G5/B$17)</f>
        <v>0.41247002398081534</v>
      </c>
      <c r="I5" s="94">
        <v>5</v>
      </c>
      <c r="K5" s="38">
        <v>3</v>
      </c>
      <c r="L5" s="99">
        <v>70.399999999999991</v>
      </c>
      <c r="N5" s="115" t="s">
        <v>135</v>
      </c>
      <c r="O5" s="122">
        <f t="shared" si="0"/>
        <v>2396.8253968253966</v>
      </c>
      <c r="P5" s="119">
        <v>126</v>
      </c>
      <c r="Q5" s="103">
        <v>302000</v>
      </c>
    </row>
    <row r="6" spans="1:17" x14ac:dyDescent="0.4">
      <c r="A6" s="55" t="s">
        <v>1</v>
      </c>
      <c r="B6" s="146">
        <f>IF(B$2=0,0,(B$7*1+B$8*2+B$9*3)/B$2)</f>
        <v>1.7516778523489933</v>
      </c>
      <c r="C6" s="147"/>
      <c r="E6" s="63" t="s">
        <v>68</v>
      </c>
      <c r="F6" s="60" t="s">
        <v>24</v>
      </c>
      <c r="G6" s="47">
        <v>115</v>
      </c>
      <c r="H6" s="133">
        <f>IF(B$17=0,0,G6/B$17)</f>
        <v>0.27577937649880097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260.36036036036035</v>
      </c>
      <c r="P6" s="119">
        <v>111</v>
      </c>
      <c r="Q6" s="103">
        <v>28900</v>
      </c>
    </row>
    <row r="7" spans="1:17" x14ac:dyDescent="0.4">
      <c r="A7" s="55" t="s">
        <v>2</v>
      </c>
      <c r="B7" s="47">
        <v>72</v>
      </c>
      <c r="C7" s="39">
        <f>IF(B$2=0,0,B7/B$2)</f>
        <v>0.48322147651006714</v>
      </c>
      <c r="E7" s="63" t="s">
        <v>69</v>
      </c>
      <c r="F7" s="60" t="s">
        <v>12</v>
      </c>
      <c r="G7" s="47">
        <v>109</v>
      </c>
      <c r="H7" s="133">
        <f>IF(B$17=0,0,G7/B$17)</f>
        <v>0.26139088729016785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836.08247422680415</v>
      </c>
      <c r="P7" s="120">
        <v>97</v>
      </c>
      <c r="Q7" s="104">
        <v>81100</v>
      </c>
    </row>
    <row r="8" spans="1:17" x14ac:dyDescent="0.4">
      <c r="A8" s="55" t="s">
        <v>3</v>
      </c>
      <c r="B8" s="47">
        <v>42</v>
      </c>
      <c r="C8" s="39">
        <f>IF(B$2=0,0,B8/B$2)</f>
        <v>0.28187919463087246</v>
      </c>
      <c r="E8" s="63" t="s">
        <v>70</v>
      </c>
      <c r="F8" s="60" t="s">
        <v>25</v>
      </c>
      <c r="G8" s="47">
        <v>68</v>
      </c>
      <c r="H8" s="133">
        <f>IF(B$17=0,0,G8/B$17)</f>
        <v>0.16306954436450841</v>
      </c>
      <c r="I8" s="94">
        <v>9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35</v>
      </c>
      <c r="C9" s="40">
        <f t="shared" ref="C9" si="1">IF(B$2=0,0,B9/B$2)</f>
        <v>0.2348993288590604</v>
      </c>
      <c r="E9" s="63" t="s">
        <v>90</v>
      </c>
      <c r="F9" s="60" t="s">
        <v>45</v>
      </c>
      <c r="G9" s="47">
        <v>66</v>
      </c>
      <c r="H9" s="133">
        <f>IF(B$17=0,0,G9/B$17)</f>
        <v>0.15827338129496402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0.10067114093959731</v>
      </c>
      <c r="E10" s="63" t="s">
        <v>66</v>
      </c>
      <c r="F10" s="60" t="s">
        <v>22</v>
      </c>
      <c r="G10" s="47">
        <v>53</v>
      </c>
      <c r="H10" s="133">
        <f>IF(B$17=0,0,G10/B$17)</f>
        <v>0.12709832134292565</v>
      </c>
      <c r="I10" s="94">
        <v>3</v>
      </c>
      <c r="K10" s="38">
        <v>8</v>
      </c>
      <c r="L10" s="99">
        <v>285.20000000000005</v>
      </c>
      <c r="N10" s="114" t="s">
        <v>164</v>
      </c>
      <c r="O10" s="124">
        <f>IF(P10=0,0,Q10/P10)</f>
        <v>13.275</v>
      </c>
      <c r="P10" s="118">
        <v>48</v>
      </c>
      <c r="Q10" s="106">
        <v>637.20000000000005</v>
      </c>
    </row>
    <row r="11" spans="1:17" x14ac:dyDescent="0.4">
      <c r="A11" s="56" t="s">
        <v>140</v>
      </c>
      <c r="B11" s="48">
        <v>25</v>
      </c>
      <c r="C11" s="40">
        <f>IF(B$2=0,0,B11/B$2)</f>
        <v>0.16778523489932887</v>
      </c>
      <c r="E11" s="63" t="s">
        <v>71</v>
      </c>
      <c r="F11" s="60" t="s">
        <v>26</v>
      </c>
      <c r="G11" s="47">
        <v>37</v>
      </c>
      <c r="H11" s="133">
        <f>IF(B$17=0,0,G11/B$17)</f>
        <v>8.8729016786570747E-2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10.183720930232557</v>
      </c>
      <c r="P11" s="119">
        <v>43</v>
      </c>
      <c r="Q11" s="107">
        <v>437.9</v>
      </c>
    </row>
    <row r="12" spans="1:17" x14ac:dyDescent="0.4">
      <c r="A12" s="57" t="s">
        <v>160</v>
      </c>
      <c r="B12" s="49">
        <v>21</v>
      </c>
      <c r="C12" s="42">
        <f>IF(B$2=0,0,B12/B$2)</f>
        <v>0.14093959731543623</v>
      </c>
      <c r="E12" s="63" t="s">
        <v>87</v>
      </c>
      <c r="F12" s="60" t="s">
        <v>42</v>
      </c>
      <c r="G12" s="47">
        <v>30</v>
      </c>
      <c r="H12" s="133">
        <f>IF(B$17=0,0,G12/B$17)</f>
        <v>7.1942446043165464E-2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11.241379310344829</v>
      </c>
      <c r="P12" s="120">
        <v>58</v>
      </c>
      <c r="Q12" s="108">
        <v>652.00000000000011</v>
      </c>
    </row>
    <row r="13" spans="1:17" x14ac:dyDescent="0.4">
      <c r="A13" s="58" t="s">
        <v>122</v>
      </c>
      <c r="B13" s="50">
        <v>376</v>
      </c>
      <c r="C13" s="44">
        <f>IF(B$3=0,0,B13/B$3)</f>
        <v>0.30971993410214166</v>
      </c>
      <c r="E13" s="63" t="s">
        <v>72</v>
      </c>
      <c r="F13" s="60" t="s">
        <v>27</v>
      </c>
      <c r="G13" s="47">
        <v>29</v>
      </c>
      <c r="H13" s="133">
        <f>IF(B$17=0,0,G13/B$17)</f>
        <v>6.9544364508393283E-2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267</v>
      </c>
      <c r="C14" s="39">
        <f>IF(B$3=0,0,B14/B$3)</f>
        <v>0.21993410214168038</v>
      </c>
      <c r="E14" s="63" t="s">
        <v>84</v>
      </c>
      <c r="F14" s="60" t="s">
        <v>39</v>
      </c>
      <c r="G14" s="47">
        <v>25</v>
      </c>
      <c r="H14" s="133">
        <f>IF(B$17=0,0,G14/B$17)</f>
        <v>5.9952038369304558E-2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215</v>
      </c>
      <c r="C15" s="37">
        <f>IF(B$13=0,0,B15/B$13)</f>
        <v>0.57180851063829785</v>
      </c>
      <c r="E15" s="63" t="s">
        <v>180</v>
      </c>
      <c r="F15" s="60" t="s">
        <v>181</v>
      </c>
      <c r="G15" s="47">
        <v>14</v>
      </c>
      <c r="H15" s="133">
        <f>IF(B$17=0,0,G15/B$17)</f>
        <v>3.3573141486810551E-2</v>
      </c>
      <c r="I15" s="94">
        <v>1</v>
      </c>
      <c r="K15" s="38">
        <v>13</v>
      </c>
      <c r="L15" s="99">
        <v>418.90000000000003</v>
      </c>
      <c r="N15" s="114" t="s">
        <v>183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138</v>
      </c>
      <c r="C16" s="37">
        <f>IF(B$14=0,0,B16/B$14)</f>
        <v>0.5168539325842697</v>
      </c>
      <c r="E16" s="63" t="s">
        <v>82</v>
      </c>
      <c r="F16" s="60" t="s">
        <v>37</v>
      </c>
      <c r="G16" s="47">
        <v>12</v>
      </c>
      <c r="H16" s="133">
        <f>IF(B$17=0,0,G16/B$17)</f>
        <v>2.8776978417266189E-2</v>
      </c>
      <c r="I16" s="94">
        <v>5</v>
      </c>
      <c r="K16" s="38">
        <v>14</v>
      </c>
      <c r="L16" s="99">
        <v>473.50000000000006</v>
      </c>
      <c r="N16" s="115" t="s">
        <v>222</v>
      </c>
      <c r="O16" s="125">
        <f>IF(P16=0,0,Q16/P16)</f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417</v>
      </c>
      <c r="C17" s="37">
        <f>IF(B$3=0,0,B17/B$3)</f>
        <v>0.34349258649093906</v>
      </c>
      <c r="E17" s="63" t="s">
        <v>79</v>
      </c>
      <c r="F17" s="60" t="s">
        <v>34</v>
      </c>
      <c r="G17" s="47">
        <v>10</v>
      </c>
      <c r="H17" s="133">
        <f>IF(B$17=0,0,G17/B$17)</f>
        <v>2.3980815347721823E-2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27.735714285714291</v>
      </c>
      <c r="P17" s="119">
        <v>56</v>
      </c>
      <c r="Q17" s="107">
        <v>1553.2000000000003</v>
      </c>
    </row>
    <row r="18" spans="1:17" x14ac:dyDescent="0.4">
      <c r="A18" s="55" t="s">
        <v>12</v>
      </c>
      <c r="B18" s="47">
        <v>170</v>
      </c>
      <c r="C18" s="39">
        <f>IF(B$17=0,0,B18/B$17)</f>
        <v>0.407673860911271</v>
      </c>
      <c r="E18" s="63" t="s">
        <v>92</v>
      </c>
      <c r="F18" s="60" t="s">
        <v>47</v>
      </c>
      <c r="G18" s="47">
        <v>8</v>
      </c>
      <c r="H18" s="133">
        <f>IF(B$17=0,0,G18/B$17)</f>
        <v>1.9184652278177457E-2</v>
      </c>
      <c r="I18" s="94">
        <v>4</v>
      </c>
      <c r="K18" s="38">
        <v>16</v>
      </c>
      <c r="L18" s="99">
        <v>425.50000000000006</v>
      </c>
      <c r="N18" s="115" t="s">
        <v>172</v>
      </c>
      <c r="O18" s="125">
        <f>IF(P18=0,0,Q18/P18)</f>
        <v>22.645</v>
      </c>
      <c r="P18" s="119">
        <v>40</v>
      </c>
      <c r="Q18" s="107">
        <v>905.8</v>
      </c>
    </row>
    <row r="19" spans="1:17" x14ac:dyDescent="0.4">
      <c r="A19" s="55" t="s">
        <v>11</v>
      </c>
      <c r="B19" s="47">
        <v>247</v>
      </c>
      <c r="C19" s="39">
        <f>IF(B$17=0,0,B19/B$17)</f>
        <v>0.592326139088729</v>
      </c>
      <c r="E19" s="63" t="s">
        <v>80</v>
      </c>
      <c r="F19" s="60" t="s">
        <v>35</v>
      </c>
      <c r="G19" s="47">
        <v>5</v>
      </c>
      <c r="H19" s="133">
        <f>IF(B$17=0,0,G19/B$17)</f>
        <v>1.1990407673860911E-2</v>
      </c>
      <c r="I19" s="94">
        <v>9</v>
      </c>
      <c r="K19" s="38">
        <v>17</v>
      </c>
      <c r="L19" s="99">
        <v>427.40000000000003</v>
      </c>
      <c r="N19" s="115" t="s">
        <v>173</v>
      </c>
      <c r="O19" s="125">
        <f>IF(P19=0,0,Q19/P19)</f>
        <v>21.768181818181816</v>
      </c>
      <c r="P19" s="119">
        <v>22</v>
      </c>
      <c r="Q19" s="107">
        <v>478.9</v>
      </c>
    </row>
    <row r="20" spans="1:17" x14ac:dyDescent="0.4">
      <c r="A20" s="55" t="s">
        <v>13</v>
      </c>
      <c r="B20" s="47">
        <v>194</v>
      </c>
      <c r="C20" s="39">
        <f>IF(B$3=0,0,B20/B$3)</f>
        <v>0.15980230642504117</v>
      </c>
      <c r="E20" s="63" t="s">
        <v>86</v>
      </c>
      <c r="F20" s="60" t="s">
        <v>41</v>
      </c>
      <c r="G20" s="47">
        <v>4</v>
      </c>
      <c r="H20" s="133">
        <f>IF(B$17=0,0,G20/B$17)</f>
        <v>9.5923261390887284E-3</v>
      </c>
      <c r="I20" s="94">
        <v>2</v>
      </c>
      <c r="K20" s="38">
        <v>18</v>
      </c>
      <c r="L20" s="99">
        <v>429.3</v>
      </c>
      <c r="N20" s="115" t="s">
        <v>177</v>
      </c>
      <c r="O20" s="125">
        <f>IF(P20=0,0,Q20/P20)</f>
        <v>21.500000000000007</v>
      </c>
      <c r="P20" s="119">
        <v>27</v>
      </c>
      <c r="Q20" s="107">
        <v>580.50000000000023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3</v>
      </c>
      <c r="H21" s="133">
        <f>IF(B$17=0,0,G21/B$17)</f>
        <v>7.1942446043165471E-3</v>
      </c>
      <c r="I21" s="94">
        <v>5</v>
      </c>
      <c r="K21" s="38">
        <v>19</v>
      </c>
      <c r="L21" s="99">
        <v>405.40000000000003</v>
      </c>
      <c r="N21" s="115" t="s">
        <v>128</v>
      </c>
      <c r="O21" s="125">
        <f>IF(P21=0,0,Q21/P21)</f>
        <v>17.972941176470588</v>
      </c>
      <c r="P21" s="119">
        <v>85</v>
      </c>
      <c r="Q21" s="107">
        <v>1527.7</v>
      </c>
    </row>
    <row r="22" spans="1:17" x14ac:dyDescent="0.4">
      <c r="A22" s="55" t="s">
        <v>192</v>
      </c>
      <c r="B22" s="47">
        <v>39</v>
      </c>
      <c r="C22" s="135">
        <v>2</v>
      </c>
      <c r="E22" s="63" t="s">
        <v>78</v>
      </c>
      <c r="F22" s="60" t="s">
        <v>33</v>
      </c>
      <c r="G22" s="47">
        <v>2</v>
      </c>
      <c r="H22" s="133">
        <f>IF(B$17=0,0,G22/B$17)</f>
        <v>4.7961630695443642E-3</v>
      </c>
      <c r="I22" s="94">
        <v>2</v>
      </c>
      <c r="K22" s="38">
        <v>20</v>
      </c>
      <c r="L22" s="99">
        <v>469.6</v>
      </c>
      <c r="N22" s="115" t="s">
        <v>184</v>
      </c>
      <c r="O22" s="125">
        <f>IF(P22=0,0,Q22/P22)</f>
        <v>12.139999999999993</v>
      </c>
      <c r="P22" s="119">
        <v>10</v>
      </c>
      <c r="Q22" s="107">
        <v>121.39999999999993</v>
      </c>
    </row>
    <row r="23" spans="1:17" x14ac:dyDescent="0.4">
      <c r="A23" s="55" t="s">
        <v>5</v>
      </c>
      <c r="B23" s="51">
        <f>IF(B$17=0,0,C23/B$17)</f>
        <v>9085.851318944844</v>
      </c>
      <c r="C23" s="41">
        <v>3788800</v>
      </c>
      <c r="E23" s="63" t="s">
        <v>91</v>
      </c>
      <c r="F23" s="60" t="s">
        <v>46</v>
      </c>
      <c r="G23" s="47">
        <v>2</v>
      </c>
      <c r="H23" s="133">
        <f>IF(B$17=0,0,G23/B$17)</f>
        <v>4.7961630695443642E-3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>IF(P23=0,0,Q23/P23)</f>
        <v>0.47499999999999731</v>
      </c>
      <c r="P23" s="119">
        <v>52</v>
      </c>
      <c r="Q23" s="107">
        <v>24.699999999999861</v>
      </c>
    </row>
    <row r="24" spans="1:17" x14ac:dyDescent="0.4">
      <c r="A24" s="57" t="s">
        <v>14</v>
      </c>
      <c r="B24" s="52">
        <f>IF(B$20=0,0,C24/B$20)</f>
        <v>-8265.4639175257726</v>
      </c>
      <c r="C24" s="45">
        <v>-1603500</v>
      </c>
      <c r="E24" s="63" t="s">
        <v>93</v>
      </c>
      <c r="F24" s="60" t="s">
        <v>48</v>
      </c>
      <c r="G24" s="47">
        <v>2</v>
      </c>
      <c r="H24" s="133">
        <f>IF(B$17=0,0,G24/B$17)</f>
        <v>4.7961630695443642E-3</v>
      </c>
      <c r="I24" s="94">
        <v>4</v>
      </c>
      <c r="K24" s="38">
        <v>22</v>
      </c>
      <c r="L24" s="99">
        <v>519.20000000000005</v>
      </c>
      <c r="N24" s="115" t="s">
        <v>200</v>
      </c>
      <c r="O24" s="125">
        <f>IF(P24=0,0,Q24/P24)</f>
        <v>-8.9666666666666668</v>
      </c>
      <c r="P24" s="119">
        <v>3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76</v>
      </c>
      <c r="F25" s="60" t="s">
        <v>31</v>
      </c>
      <c r="G25" s="47">
        <v>1</v>
      </c>
      <c r="H25" s="133">
        <f>IF(B$17=0,0,G25/B$17)</f>
        <v>2.3980815347721821E-3</v>
      </c>
      <c r="I25" s="94">
        <v>7</v>
      </c>
      <c r="K25" s="38">
        <v>23</v>
      </c>
      <c r="L25" s="99">
        <v>555.90000000000009</v>
      </c>
      <c r="N25" s="115" t="s">
        <v>223</v>
      </c>
      <c r="O25" s="125">
        <f>IF(P25=0,0,Q25/P25)</f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42">
        <v>116000</v>
      </c>
      <c r="C26" s="143"/>
      <c r="E26" s="63" t="s">
        <v>85</v>
      </c>
      <c r="F26" s="60" t="s">
        <v>40</v>
      </c>
      <c r="G26" s="47">
        <v>1</v>
      </c>
      <c r="H26" s="133">
        <f>IF(B$17=0,0,G26/B$17)</f>
        <v>2.3980815347721821E-3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8.2372322899505767E-4</v>
      </c>
      <c r="E27" s="63" t="s">
        <v>88</v>
      </c>
      <c r="F27" s="60" t="s">
        <v>43</v>
      </c>
      <c r="G27" s="47">
        <v>1</v>
      </c>
      <c r="H27" s="133">
        <f>IF(B$17=0,0,G27/B$17)</f>
        <v>2.3980815347721821E-3</v>
      </c>
      <c r="I27" s="94">
        <v>6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2.3980815347721821E-3</v>
      </c>
      <c r="I28" s="94">
        <v>6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2.3980815347721821E-3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1767.0000000000009</v>
      </c>
    </row>
    <row r="150" spans="11:12" x14ac:dyDescent="0.4">
      <c r="K150" s="38">
        <v>148</v>
      </c>
      <c r="L150" s="99">
        <v>1763.5000000000009</v>
      </c>
    </row>
    <row r="151" spans="11:12" x14ac:dyDescent="0.4">
      <c r="K151" s="38">
        <v>149</v>
      </c>
      <c r="L151" s="99">
        <v>1727.1000000000008</v>
      </c>
    </row>
  </sheetData>
  <sortState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B48DE-6B7B-4B76-A516-189DEE0B8C7B}">
  <sheetPr codeName="Sheet9"/>
  <dimension ref="A1:Q12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123</v>
      </c>
      <c r="C2" s="151"/>
      <c r="E2" s="62" t="s">
        <v>67</v>
      </c>
      <c r="F2" s="59" t="s">
        <v>23</v>
      </c>
      <c r="G2" s="46">
        <v>214</v>
      </c>
      <c r="H2" s="132">
        <f>IF(B$17=0,0,G2/B$17)</f>
        <v>0.7781818181818182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278.04878048780489</v>
      </c>
      <c r="P2" s="118">
        <v>123</v>
      </c>
      <c r="Q2" s="102">
        <v>34200</v>
      </c>
    </row>
    <row r="3" spans="1:17" x14ac:dyDescent="0.4">
      <c r="A3" s="55" t="s">
        <v>8</v>
      </c>
      <c r="B3" s="152">
        <v>1019</v>
      </c>
      <c r="C3" s="153"/>
      <c r="E3" s="63" t="s">
        <v>65</v>
      </c>
      <c r="F3" s="60" t="s">
        <v>21</v>
      </c>
      <c r="G3" s="47">
        <v>168</v>
      </c>
      <c r="H3" s="133">
        <f>IF(B$17=0,0,G3/B$17)</f>
        <v>0.61090909090909096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-2251.2605042016808</v>
      </c>
      <c r="P3" s="119">
        <v>119</v>
      </c>
      <c r="Q3" s="103">
        <v>-267900</v>
      </c>
    </row>
    <row r="4" spans="1:17" x14ac:dyDescent="0.4">
      <c r="A4" s="55" t="s">
        <v>6</v>
      </c>
      <c r="B4" s="154">
        <v>-426.70000000000005</v>
      </c>
      <c r="C4" s="155"/>
      <c r="E4" s="63" t="s">
        <v>73</v>
      </c>
      <c r="F4" s="60" t="s">
        <v>28</v>
      </c>
      <c r="G4" s="47">
        <v>127</v>
      </c>
      <c r="H4" s="133">
        <f>IF(B$17=0,0,G4/B$17)</f>
        <v>0.46181818181818179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430.43478260869563</v>
      </c>
      <c r="P4" s="119">
        <v>115</v>
      </c>
      <c r="Q4" s="103">
        <v>49500</v>
      </c>
    </row>
    <row r="5" spans="1:17" x14ac:dyDescent="0.4">
      <c r="A5" s="55" t="s">
        <v>7</v>
      </c>
      <c r="B5" s="156">
        <f>IF(B$2=0,0,B$4/B$2)</f>
        <v>-3.4691056910569111</v>
      </c>
      <c r="C5" s="157"/>
      <c r="E5" s="63" t="s">
        <v>245</v>
      </c>
      <c r="F5" s="60" t="s">
        <v>246</v>
      </c>
      <c r="G5" s="47">
        <v>120</v>
      </c>
      <c r="H5" s="133">
        <f>IF(B$17=0,0,G5/B$17)</f>
        <v>0.43636363636363634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-105.88235294117646</v>
      </c>
      <c r="P5" s="119">
        <v>102</v>
      </c>
      <c r="Q5" s="103">
        <v>-10800</v>
      </c>
    </row>
    <row r="6" spans="1:17" x14ac:dyDescent="0.4">
      <c r="A6" s="55" t="s">
        <v>1</v>
      </c>
      <c r="B6" s="146">
        <f>IF(B$2=0,0,(B$7*1+B$8*2+B$9*3)/B$2)</f>
        <v>2.0975609756097562</v>
      </c>
      <c r="C6" s="147"/>
      <c r="E6" s="63" t="s">
        <v>68</v>
      </c>
      <c r="F6" s="60" t="s">
        <v>24</v>
      </c>
      <c r="G6" s="47">
        <v>102</v>
      </c>
      <c r="H6" s="133">
        <f>IF(B$17=0,0,G6/B$17)</f>
        <v>0.37090909090909091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243.95604395604394</v>
      </c>
      <c r="P6" s="119">
        <v>91</v>
      </c>
      <c r="Q6" s="103">
        <v>22200</v>
      </c>
    </row>
    <row r="7" spans="1:17" x14ac:dyDescent="0.4">
      <c r="A7" s="55" t="s">
        <v>2</v>
      </c>
      <c r="B7" s="47">
        <v>32</v>
      </c>
      <c r="C7" s="39">
        <f>IF(B$2=0,0,B7/B$2)</f>
        <v>0.26016260162601629</v>
      </c>
      <c r="E7" s="63" t="s">
        <v>69</v>
      </c>
      <c r="F7" s="60" t="s">
        <v>12</v>
      </c>
      <c r="G7" s="47">
        <v>93</v>
      </c>
      <c r="H7" s="133">
        <f>IF(B$17=0,0,G7/B$17)</f>
        <v>0.33818181818181819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271.76470588235293</v>
      </c>
      <c r="P7" s="120">
        <v>85</v>
      </c>
      <c r="Q7" s="104">
        <v>23100</v>
      </c>
    </row>
    <row r="8" spans="1:17" x14ac:dyDescent="0.4">
      <c r="A8" s="55" t="s">
        <v>3</v>
      </c>
      <c r="B8" s="47">
        <v>47</v>
      </c>
      <c r="C8" s="39">
        <f>IF(B$2=0,0,B8/B$2)</f>
        <v>0.38211382113821141</v>
      </c>
      <c r="E8" s="63" t="s">
        <v>70</v>
      </c>
      <c r="F8" s="60" t="s">
        <v>25</v>
      </c>
      <c r="G8" s="47">
        <v>60</v>
      </c>
      <c r="H8" s="133">
        <f>IF(B$17=0,0,G8/B$17)</f>
        <v>0.21818181818181817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44</v>
      </c>
      <c r="C9" s="40">
        <f t="shared" ref="C9" si="1">IF(B$2=0,0,B9/B$2)</f>
        <v>0.35772357723577236</v>
      </c>
      <c r="E9" s="63" t="s">
        <v>66</v>
      </c>
      <c r="F9" s="60" t="s">
        <v>22</v>
      </c>
      <c r="G9" s="47">
        <v>44</v>
      </c>
      <c r="H9" s="133">
        <f>IF(B$17=0,0,G9/B$17)</f>
        <v>0.16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16</v>
      </c>
      <c r="C10" s="40">
        <f>IF(B$2=0,0,B10/B$2)</f>
        <v>0.13008130081300814</v>
      </c>
      <c r="E10" s="63" t="s">
        <v>71</v>
      </c>
      <c r="F10" s="60" t="s">
        <v>26</v>
      </c>
      <c r="G10" s="47">
        <v>34</v>
      </c>
      <c r="H10" s="133">
        <f>IF(B$17=0,0,G10/B$17)</f>
        <v>0.12363636363636364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-7.6725806451612915</v>
      </c>
      <c r="P10" s="118">
        <v>62</v>
      </c>
      <c r="Q10" s="106">
        <v>-475.70000000000005</v>
      </c>
    </row>
    <row r="11" spans="1:17" x14ac:dyDescent="0.4">
      <c r="A11" s="56" t="s">
        <v>140</v>
      </c>
      <c r="B11" s="48">
        <v>11</v>
      </c>
      <c r="C11" s="40">
        <f>IF(B$2=0,0,B11/B$2)</f>
        <v>8.943089430894309E-2</v>
      </c>
      <c r="E11" s="63" t="s">
        <v>90</v>
      </c>
      <c r="F11" s="60" t="s">
        <v>45</v>
      </c>
      <c r="G11" s="47">
        <v>29</v>
      </c>
      <c r="H11" s="133">
        <f>IF(B$17=0,0,G11/B$17)</f>
        <v>0.10545454545454545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-2.713333333333332</v>
      </c>
      <c r="P11" s="119">
        <v>30</v>
      </c>
      <c r="Q11" s="107">
        <v>-81.399999999999963</v>
      </c>
    </row>
    <row r="12" spans="1:17" x14ac:dyDescent="0.4">
      <c r="A12" s="57" t="s">
        <v>160</v>
      </c>
      <c r="B12" s="49">
        <v>8</v>
      </c>
      <c r="C12" s="42">
        <f>IF(B$2=0,0,B12/B$2)</f>
        <v>6.5040650406504072E-2</v>
      </c>
      <c r="E12" s="63" t="s">
        <v>72</v>
      </c>
      <c r="F12" s="60" t="s">
        <v>27</v>
      </c>
      <c r="G12" s="47">
        <v>17</v>
      </c>
      <c r="H12" s="133">
        <f>IF(B$17=0,0,G12/B$17)</f>
        <v>6.1818181818181821E-2</v>
      </c>
      <c r="I12" s="94">
        <v>6</v>
      </c>
      <c r="K12" s="38">
        <v>10</v>
      </c>
      <c r="L12" s="99">
        <v>-80.900000000000006</v>
      </c>
      <c r="N12" s="116" t="s">
        <v>166</v>
      </c>
      <c r="O12" s="126">
        <f>IF(P12=0,0,Q12/P12)</f>
        <v>4.2064516129032254</v>
      </c>
      <c r="P12" s="120">
        <v>31</v>
      </c>
      <c r="Q12" s="108">
        <v>130.39999999999998</v>
      </c>
    </row>
    <row r="13" spans="1:17" x14ac:dyDescent="0.4">
      <c r="A13" s="58" t="s">
        <v>122</v>
      </c>
      <c r="B13" s="50">
        <v>307</v>
      </c>
      <c r="C13" s="44">
        <f>IF(B$3=0,0,B13/B$3)</f>
        <v>0.3012757605495584</v>
      </c>
      <c r="E13" s="63" t="s">
        <v>87</v>
      </c>
      <c r="F13" s="60" t="s">
        <v>42</v>
      </c>
      <c r="G13" s="47">
        <v>15</v>
      </c>
      <c r="H13" s="133">
        <f>IF(B$17=0,0,G13/B$17)</f>
        <v>5.4545454545454543E-2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183</v>
      </c>
      <c r="C14" s="39">
        <f>IF(B$3=0,0,B14/B$3)</f>
        <v>0.17958783120706576</v>
      </c>
      <c r="E14" s="63" t="s">
        <v>84</v>
      </c>
      <c r="F14" s="60" t="s">
        <v>39</v>
      </c>
      <c r="G14" s="47">
        <v>10</v>
      </c>
      <c r="H14" s="133">
        <f>IF(B$17=0,0,G14/B$17)</f>
        <v>3.6363636363636362E-2</v>
      </c>
      <c r="I14" s="94">
        <v>9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177</v>
      </c>
      <c r="C15" s="37">
        <f>IF(B$13=0,0,B15/B$13)</f>
        <v>0.57654723127035834</v>
      </c>
      <c r="E15" s="63" t="s">
        <v>82</v>
      </c>
      <c r="F15" s="60" t="s">
        <v>37</v>
      </c>
      <c r="G15" s="47">
        <v>8</v>
      </c>
      <c r="H15" s="133">
        <f>IF(B$17=0,0,G15/B$17)</f>
        <v>2.9090909090909091E-2</v>
      </c>
      <c r="I15" s="94">
        <v>4</v>
      </c>
      <c r="K15" s="38">
        <v>13</v>
      </c>
      <c r="L15" s="99">
        <v>-81.900000000000006</v>
      </c>
      <c r="N15" s="114" t="s">
        <v>184</v>
      </c>
      <c r="O15" s="124">
        <f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53</v>
      </c>
      <c r="C16" s="37">
        <f>IF(B$14=0,0,B16/B$14)</f>
        <v>0.2896174863387978</v>
      </c>
      <c r="E16" s="63" t="s">
        <v>80</v>
      </c>
      <c r="F16" s="60" t="s">
        <v>35</v>
      </c>
      <c r="G16" s="47">
        <v>6</v>
      </c>
      <c r="H16" s="133">
        <f>IF(B$17=0,0,G16/B$17)</f>
        <v>2.181818181818182E-2</v>
      </c>
      <c r="I16" s="94">
        <v>3</v>
      </c>
      <c r="K16" s="38">
        <v>14</v>
      </c>
      <c r="L16" s="99">
        <v>-25.600000000000009</v>
      </c>
      <c r="N16" s="115" t="s">
        <v>129</v>
      </c>
      <c r="O16" s="125">
        <f>IF(P16=0,0,Q16/P16)</f>
        <v>13.074999999999999</v>
      </c>
      <c r="P16" s="119">
        <v>40</v>
      </c>
      <c r="Q16" s="107">
        <v>523</v>
      </c>
    </row>
    <row r="17" spans="1:17" x14ac:dyDescent="0.4">
      <c r="A17" s="54" t="s">
        <v>10</v>
      </c>
      <c r="B17" s="46">
        <f>B19+B18</f>
        <v>275</v>
      </c>
      <c r="C17" s="37">
        <f>IF(B$3=0,0,B17/B$3)</f>
        <v>0.26987242394504418</v>
      </c>
      <c r="E17" s="63" t="s">
        <v>92</v>
      </c>
      <c r="F17" s="60" t="s">
        <v>47</v>
      </c>
      <c r="G17" s="47">
        <v>6</v>
      </c>
      <c r="H17" s="133">
        <f>IF(B$17=0,0,G17/B$17)</f>
        <v>2.181818181818182E-2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>IF(P17=0,0,Q17/P17)</f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116</v>
      </c>
      <c r="C18" s="39">
        <f>IF(B$17=0,0,B18/B$17)</f>
        <v>0.42181818181818181</v>
      </c>
      <c r="E18" s="63" t="s">
        <v>79</v>
      </c>
      <c r="F18" s="60" t="s">
        <v>34</v>
      </c>
      <c r="G18" s="47">
        <v>5</v>
      </c>
      <c r="H18" s="133">
        <f>IF(B$17=0,0,G18/B$17)</f>
        <v>1.8181818181818181E-2</v>
      </c>
      <c r="I18" s="94">
        <v>8</v>
      </c>
      <c r="K18" s="38">
        <v>16</v>
      </c>
      <c r="L18" s="99">
        <v>41.699999999999989</v>
      </c>
      <c r="N18" s="115" t="s">
        <v>172</v>
      </c>
      <c r="O18" s="125">
        <f>IF(P18=0,0,Q18/P18)</f>
        <v>-1.5424242424242416</v>
      </c>
      <c r="P18" s="119">
        <v>33</v>
      </c>
      <c r="Q18" s="107">
        <v>-50.89999999999997</v>
      </c>
    </row>
    <row r="19" spans="1:17" x14ac:dyDescent="0.4">
      <c r="A19" s="55" t="s">
        <v>11</v>
      </c>
      <c r="B19" s="47">
        <v>159</v>
      </c>
      <c r="C19" s="39">
        <f>IF(B$17=0,0,B19/B$17)</f>
        <v>0.57818181818181813</v>
      </c>
      <c r="E19" s="63" t="s">
        <v>180</v>
      </c>
      <c r="F19" s="60" t="s">
        <v>181</v>
      </c>
      <c r="G19" s="47">
        <v>5</v>
      </c>
      <c r="H19" s="133">
        <f>IF(B$17=0,0,G19/B$17)</f>
        <v>1.8181818181818181E-2</v>
      </c>
      <c r="I19" s="94">
        <v>3</v>
      </c>
      <c r="K19" s="38">
        <v>17</v>
      </c>
      <c r="L19" s="99">
        <v>94.6</v>
      </c>
      <c r="N19" s="115" t="s">
        <v>171</v>
      </c>
      <c r="O19" s="125">
        <f>IF(P19=0,0,Q19/P19)</f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175</v>
      </c>
      <c r="C20" s="39">
        <f>IF(B$3=0,0,B20/B$3)</f>
        <v>0.1717369970559372</v>
      </c>
      <c r="E20" s="63" t="s">
        <v>74</v>
      </c>
      <c r="F20" s="60" t="s">
        <v>29</v>
      </c>
      <c r="G20" s="47">
        <v>2</v>
      </c>
      <c r="H20" s="133">
        <f>IF(B$17=0,0,G20/B$17)</f>
        <v>7.2727272727272727E-3</v>
      </c>
      <c r="I20" s="94">
        <v>4</v>
      </c>
      <c r="K20" s="38">
        <v>18</v>
      </c>
      <c r="L20" s="99">
        <v>116.69999999999999</v>
      </c>
      <c r="N20" s="115" t="s">
        <v>200</v>
      </c>
      <c r="O20" s="125">
        <f>IF(P20=0,0,Q20/P20)</f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7.2727272727272727E-3</v>
      </c>
      <c r="I21" s="94">
        <v>2</v>
      </c>
      <c r="K21" s="38">
        <v>19</v>
      </c>
      <c r="L21" s="99">
        <v>138.79999999999998</v>
      </c>
      <c r="N21" s="115" t="s">
        <v>177</v>
      </c>
      <c r="O21" s="125">
        <f>IF(P21=0,0,Q21/P21)</f>
        <v>-13.466666666666667</v>
      </c>
      <c r="P21" s="119">
        <v>24</v>
      </c>
      <c r="Q21" s="107">
        <v>-323.2</v>
      </c>
    </row>
    <row r="22" spans="1:17" x14ac:dyDescent="0.4">
      <c r="A22" s="55" t="s">
        <v>192</v>
      </c>
      <c r="B22" s="47">
        <v>24</v>
      </c>
      <c r="C22" s="135">
        <v>3</v>
      </c>
      <c r="E22" s="63" t="s">
        <v>76</v>
      </c>
      <c r="F22" s="60" t="s">
        <v>31</v>
      </c>
      <c r="G22" s="47">
        <v>2</v>
      </c>
      <c r="H22" s="133">
        <f>IF(B$17=0,0,G22/B$17)</f>
        <v>7.2727272727272727E-3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>IF(P22=0,0,Q22/P22)</f>
        <v>-17.972941176470588</v>
      </c>
      <c r="P22" s="119">
        <v>85</v>
      </c>
      <c r="Q22" s="107">
        <v>-1527.7</v>
      </c>
    </row>
    <row r="23" spans="1:17" x14ac:dyDescent="0.4">
      <c r="A23" s="55" t="s">
        <v>5</v>
      </c>
      <c r="B23" s="51">
        <f>IF(B$17=0,0,C23/B$17)</f>
        <v>9285.454545454546</v>
      </c>
      <c r="C23" s="41">
        <v>2553500</v>
      </c>
      <c r="E23" s="63" t="s">
        <v>78</v>
      </c>
      <c r="F23" s="60" t="s">
        <v>33</v>
      </c>
      <c r="G23" s="47">
        <v>1</v>
      </c>
      <c r="H23" s="133">
        <f>IF(B$17=0,0,G23/B$17)</f>
        <v>3.6363636363636364E-3</v>
      </c>
      <c r="I23" s="94">
        <v>3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-7819.4285714285716</v>
      </c>
      <c r="C24" s="45">
        <v>-1368400</v>
      </c>
      <c r="E24" s="63" t="s">
        <v>85</v>
      </c>
      <c r="F24" s="60" t="s">
        <v>40</v>
      </c>
      <c r="G24" s="47">
        <v>1</v>
      </c>
      <c r="H24" s="133">
        <f>IF(B$17=0,0,G24/B$17)</f>
        <v>3.6363636363636364E-3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3.6363636363636364E-3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97300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3.6363636363636364E-3</v>
      </c>
      <c r="I26" s="94">
        <v>6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4.9067713444553487E-3</v>
      </c>
      <c r="E27" s="63" t="s">
        <v>94</v>
      </c>
      <c r="F27" s="60" t="s">
        <v>49</v>
      </c>
      <c r="G27" s="47">
        <v>1</v>
      </c>
      <c r="H27" s="133">
        <f>IF(B$17=0,0,G27/B$17)</f>
        <v>3.6363636363636364E-3</v>
      </c>
      <c r="I27" s="94">
        <v>5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3.6363636363636364E-3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8" t="s">
        <v>112</v>
      </c>
      <c r="F51" s="139" t="s">
        <v>64</v>
      </c>
      <c r="G51" s="48">
        <v>0</v>
      </c>
      <c r="H51" s="140">
        <f>IF(B$17=0,0,G51/B$17)</f>
        <v>0</v>
      </c>
      <c r="I51" s="141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BFEB-6F0B-46F1-9C81-59F07D552E48}">
  <sheetPr codeName="Sheet11"/>
  <dimension ref="A1:Q9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90</v>
      </c>
      <c r="C2" s="151"/>
      <c r="E2" s="62" t="s">
        <v>65</v>
      </c>
      <c r="F2" s="59" t="s">
        <v>21</v>
      </c>
      <c r="G2" s="46">
        <v>108</v>
      </c>
      <c r="H2" s="132">
        <f>IF(B$17=0,0,G2/B$17)</f>
        <v>0.59668508287292821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-3215.5555555555557</v>
      </c>
      <c r="P2" s="118">
        <v>90</v>
      </c>
      <c r="Q2" s="102">
        <v>-289400</v>
      </c>
    </row>
    <row r="3" spans="1:17" x14ac:dyDescent="0.4">
      <c r="A3" s="55" t="s">
        <v>8</v>
      </c>
      <c r="B3" s="152">
        <v>760</v>
      </c>
      <c r="C3" s="153"/>
      <c r="E3" s="63" t="s">
        <v>66</v>
      </c>
      <c r="F3" s="60" t="s">
        <v>22</v>
      </c>
      <c r="G3" s="47">
        <v>18</v>
      </c>
      <c r="H3" s="133">
        <f>IF(B$17=0,0,G3/B$17)</f>
        <v>9.9447513812154692E-2</v>
      </c>
      <c r="I3" s="94">
        <v>7</v>
      </c>
      <c r="K3" s="38">
        <v>1</v>
      </c>
      <c r="L3" s="99">
        <v>-40.4</v>
      </c>
      <c r="N3" s="115" t="s">
        <v>133</v>
      </c>
      <c r="O3" s="122">
        <f t="shared" si="0"/>
        <v>-1106.8181818181818</v>
      </c>
      <c r="P3" s="119">
        <v>88</v>
      </c>
      <c r="Q3" s="103">
        <v>-97400</v>
      </c>
    </row>
    <row r="4" spans="1:17" x14ac:dyDescent="0.4">
      <c r="A4" s="55" t="s">
        <v>6</v>
      </c>
      <c r="B4" s="154">
        <v>-1324.2</v>
      </c>
      <c r="C4" s="155"/>
      <c r="E4" s="63" t="s">
        <v>67</v>
      </c>
      <c r="F4" s="60" t="s">
        <v>23</v>
      </c>
      <c r="G4" s="47">
        <v>144</v>
      </c>
      <c r="H4" s="133">
        <f>IF(B$17=0,0,G4/B$17)</f>
        <v>0.79558011049723754</v>
      </c>
      <c r="I4" s="94">
        <v>5</v>
      </c>
      <c r="K4" s="38">
        <v>2</v>
      </c>
      <c r="L4" s="99">
        <v>-3.3999999999999986</v>
      </c>
      <c r="N4" s="115" t="s">
        <v>134</v>
      </c>
      <c r="O4" s="122">
        <f t="shared" si="0"/>
        <v>-266.26506024096386</v>
      </c>
      <c r="P4" s="119">
        <v>83</v>
      </c>
      <c r="Q4" s="103">
        <v>-22100</v>
      </c>
    </row>
    <row r="5" spans="1:17" x14ac:dyDescent="0.4">
      <c r="A5" s="55" t="s">
        <v>7</v>
      </c>
      <c r="B5" s="156">
        <f>IF(B$2=0,0,B$4/B$2)</f>
        <v>-14.713333333333335</v>
      </c>
      <c r="C5" s="157"/>
      <c r="E5" s="63" t="s">
        <v>68</v>
      </c>
      <c r="F5" s="60" t="s">
        <v>24</v>
      </c>
      <c r="G5" s="47">
        <v>63</v>
      </c>
      <c r="H5" s="133">
        <f>IF(B$17=0,0,G5/B$17)</f>
        <v>0.34806629834254144</v>
      </c>
      <c r="I5" s="94">
        <v>6</v>
      </c>
      <c r="K5" s="38">
        <v>3</v>
      </c>
      <c r="L5" s="99">
        <v>-23.099999999999998</v>
      </c>
      <c r="N5" s="115" t="s">
        <v>135</v>
      </c>
      <c r="O5" s="122">
        <f t="shared" si="0"/>
        <v>-4465.7534246575342</v>
      </c>
      <c r="P5" s="119">
        <v>73</v>
      </c>
      <c r="Q5" s="103">
        <v>-326000</v>
      </c>
    </row>
    <row r="6" spans="1:17" x14ac:dyDescent="0.4">
      <c r="A6" s="55" t="s">
        <v>1</v>
      </c>
      <c r="B6" s="146">
        <f>IF(B$2=0,0,(B$7*1+B$8*2+B$9*3)/B$2)</f>
        <v>2.2444444444444445</v>
      </c>
      <c r="C6" s="147"/>
      <c r="E6" s="63" t="s">
        <v>69</v>
      </c>
      <c r="F6" s="60" t="s">
        <v>12</v>
      </c>
      <c r="G6" s="47">
        <v>68</v>
      </c>
      <c r="H6" s="133">
        <f>IF(B$17=0,0,G6/B$17)</f>
        <v>0.37569060773480661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0"/>
        <v>-1045.4545454545455</v>
      </c>
      <c r="P6" s="119">
        <v>66</v>
      </c>
      <c r="Q6" s="103">
        <v>-69000</v>
      </c>
    </row>
    <row r="7" spans="1:17" x14ac:dyDescent="0.4">
      <c r="A7" s="55" t="s">
        <v>2</v>
      </c>
      <c r="B7" s="47">
        <v>22</v>
      </c>
      <c r="C7" s="39">
        <f>IF(B$2=0,0,B7/B$2)</f>
        <v>0.24444444444444444</v>
      </c>
      <c r="E7" s="63" t="s">
        <v>70</v>
      </c>
      <c r="F7" s="60" t="s">
        <v>25</v>
      </c>
      <c r="G7" s="47">
        <v>36</v>
      </c>
      <c r="H7" s="133">
        <f>IF(B$17=0,0,G7/B$17)</f>
        <v>0.19889502762430938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-1223.3333333333333</v>
      </c>
      <c r="P7" s="120">
        <v>60</v>
      </c>
      <c r="Q7" s="104">
        <v>-73400</v>
      </c>
    </row>
    <row r="8" spans="1:17" x14ac:dyDescent="0.4">
      <c r="A8" s="55" t="s">
        <v>3</v>
      </c>
      <c r="B8" s="47">
        <v>24</v>
      </c>
      <c r="C8" s="39">
        <f>IF(B$2=0,0,B8/B$2)</f>
        <v>0.26666666666666666</v>
      </c>
      <c r="E8" s="63" t="s">
        <v>71</v>
      </c>
      <c r="F8" s="60" t="s">
        <v>26</v>
      </c>
      <c r="G8" s="47">
        <v>28</v>
      </c>
      <c r="H8" s="133">
        <f>IF(B$17=0,0,G8/B$17)</f>
        <v>0.15469613259668508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44</v>
      </c>
      <c r="C9" s="40">
        <f t="shared" ref="C9" si="1">IF(B$2=0,0,B9/B$2)</f>
        <v>0.48888888888888887</v>
      </c>
      <c r="E9" s="63" t="s">
        <v>72</v>
      </c>
      <c r="F9" s="60" t="s">
        <v>27</v>
      </c>
      <c r="G9" s="47">
        <v>20</v>
      </c>
      <c r="H9" s="133">
        <f>IF(B$17=0,0,G9/B$17)</f>
        <v>0.11049723756906077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17</v>
      </c>
      <c r="C10" s="40">
        <f>IF(B$2=0,0,B10/B$2)</f>
        <v>0.18888888888888888</v>
      </c>
      <c r="E10" s="63" t="s">
        <v>73</v>
      </c>
      <c r="F10" s="60" t="s">
        <v>28</v>
      </c>
      <c r="G10" s="47">
        <v>65</v>
      </c>
      <c r="H10" s="133">
        <f>IF(B$17=0,0,G10/B$17)</f>
        <v>0.35911602209944754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-17.74444444444444</v>
      </c>
      <c r="P10" s="118">
        <v>27</v>
      </c>
      <c r="Q10" s="106">
        <v>-479.09999999999985</v>
      </c>
    </row>
    <row r="11" spans="1:17" x14ac:dyDescent="0.4">
      <c r="A11" s="56" t="s">
        <v>140</v>
      </c>
      <c r="B11" s="48">
        <v>9</v>
      </c>
      <c r="C11" s="40">
        <f>IF(B$2=0,0,B11/B$2)</f>
        <v>0.1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-12.825000000000005</v>
      </c>
      <c r="P11" s="119">
        <v>36</v>
      </c>
      <c r="Q11" s="107">
        <v>-461.70000000000016</v>
      </c>
    </row>
    <row r="12" spans="1:17" x14ac:dyDescent="0.4">
      <c r="A12" s="57" t="s">
        <v>160</v>
      </c>
      <c r="B12" s="49">
        <v>7</v>
      </c>
      <c r="C12" s="42">
        <f>IF(B$2=0,0,B12/B$2)</f>
        <v>7.7777777777777779E-2</v>
      </c>
      <c r="E12" s="63" t="s">
        <v>75</v>
      </c>
      <c r="F12" s="60" t="s">
        <v>30</v>
      </c>
      <c r="G12" s="47">
        <v>2</v>
      </c>
      <c r="H12" s="133">
        <f>IF(B$17=0,0,G12/B$17)</f>
        <v>1.1049723756906077E-2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-14.199999999999998</v>
      </c>
      <c r="P12" s="120">
        <v>27</v>
      </c>
      <c r="Q12" s="108">
        <v>-383.39999999999992</v>
      </c>
    </row>
    <row r="13" spans="1:17" x14ac:dyDescent="0.4">
      <c r="A13" s="58" t="s">
        <v>122</v>
      </c>
      <c r="B13" s="50">
        <v>213</v>
      </c>
      <c r="C13" s="44">
        <f>IF(B$3=0,0,B13/B$3)</f>
        <v>0.28026315789473683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122</v>
      </c>
      <c r="C14" s="39">
        <f>IF(B$3=0,0,B14/B$3)</f>
        <v>0.16052631578947368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111</v>
      </c>
      <c r="C15" s="37">
        <f>IF(B$13=0,0,B15/B$13)</f>
        <v>0.52112676056338025</v>
      </c>
      <c r="E15" s="63" t="s">
        <v>78</v>
      </c>
      <c r="F15" s="60" t="s">
        <v>33</v>
      </c>
      <c r="G15" s="47">
        <v>1</v>
      </c>
      <c r="H15" s="133">
        <f>IF(B$17=0,0,G15/B$17)</f>
        <v>5.5248618784530384E-3</v>
      </c>
      <c r="I15" s="94">
        <v>1</v>
      </c>
      <c r="K15" s="38">
        <v>13</v>
      </c>
      <c r="L15" s="99">
        <v>-369.1</v>
      </c>
      <c r="N15" s="114" t="s">
        <v>223</v>
      </c>
      <c r="O15" s="124">
        <f t="shared" ref="O15:O22" si="2"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31</v>
      </c>
      <c r="C16" s="37">
        <f>IF(B$14=0,0,B16/B$14)</f>
        <v>0.25409836065573771</v>
      </c>
      <c r="E16" s="63" t="s">
        <v>79</v>
      </c>
      <c r="F16" s="60" t="s">
        <v>34</v>
      </c>
      <c r="G16" s="47">
        <v>6</v>
      </c>
      <c r="H16" s="133">
        <f>IF(B$17=0,0,G16/B$17)</f>
        <v>3.3149171270718231E-2</v>
      </c>
      <c r="I16" s="94">
        <v>5</v>
      </c>
      <c r="K16" s="38">
        <v>14</v>
      </c>
      <c r="L16" s="99">
        <v>-394.6</v>
      </c>
      <c r="N16" s="115" t="s">
        <v>128</v>
      </c>
      <c r="O16" s="125">
        <f t="shared" si="2"/>
        <v>-13.074999999999998</v>
      </c>
      <c r="P16" s="119">
        <v>40</v>
      </c>
      <c r="Q16" s="107">
        <v>-522.99999999999989</v>
      </c>
    </row>
    <row r="17" spans="1:17" x14ac:dyDescent="0.4">
      <c r="A17" s="54" t="s">
        <v>10</v>
      </c>
      <c r="B17" s="46">
        <f>B19+B18</f>
        <v>181</v>
      </c>
      <c r="C17" s="37">
        <f>IF(B$3=0,0,B17/B$3)</f>
        <v>0.2381578947368421</v>
      </c>
      <c r="E17" s="63" t="s">
        <v>80</v>
      </c>
      <c r="F17" s="60" t="s">
        <v>35</v>
      </c>
      <c r="G17" s="47">
        <v>1</v>
      </c>
      <c r="H17" s="133">
        <f>IF(B$17=0,0,G17/B$17)</f>
        <v>5.5248618784530384E-3</v>
      </c>
      <c r="I17" s="94">
        <v>10</v>
      </c>
      <c r="K17" s="38">
        <v>15</v>
      </c>
      <c r="L17" s="99">
        <v>-424.5</v>
      </c>
      <c r="N17" s="115" t="s">
        <v>177</v>
      </c>
      <c r="O17" s="125">
        <f t="shared" si="2"/>
        <v>-15.755000000000001</v>
      </c>
      <c r="P17" s="119">
        <v>20</v>
      </c>
      <c r="Q17" s="107">
        <v>-315.10000000000002</v>
      </c>
    </row>
    <row r="18" spans="1:17" x14ac:dyDescent="0.4">
      <c r="A18" s="55" t="s">
        <v>12</v>
      </c>
      <c r="B18" s="47">
        <v>78</v>
      </c>
      <c r="C18" s="39">
        <f>IF(B$17=0,0,B18/B$17)</f>
        <v>0.43093922651933703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171</v>
      </c>
      <c r="O18" s="125">
        <f t="shared" si="2"/>
        <v>-20.717241379310344</v>
      </c>
      <c r="P18" s="119">
        <v>29</v>
      </c>
      <c r="Q18" s="107">
        <v>-600.79999999999995</v>
      </c>
    </row>
    <row r="19" spans="1:17" x14ac:dyDescent="0.4">
      <c r="A19" s="55" t="s">
        <v>11</v>
      </c>
      <c r="B19" s="47">
        <v>103</v>
      </c>
      <c r="C19" s="39">
        <f>IF(B$17=0,0,B19/B$17)</f>
        <v>0.56906077348066297</v>
      </c>
      <c r="E19" s="63" t="s">
        <v>82</v>
      </c>
      <c r="F19" s="60" t="s">
        <v>37</v>
      </c>
      <c r="G19" s="47">
        <v>4</v>
      </c>
      <c r="H19" s="133">
        <f>IF(B$17=0,0,G19/B$17)</f>
        <v>2.2099447513812154E-2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 t="shared" si="2"/>
        <v>-21.862499999999997</v>
      </c>
      <c r="P19" s="119">
        <v>8</v>
      </c>
      <c r="Q19" s="107">
        <v>-174.89999999999998</v>
      </c>
    </row>
    <row r="20" spans="1:17" x14ac:dyDescent="0.4">
      <c r="A20" s="55" t="s">
        <v>13</v>
      </c>
      <c r="B20" s="47">
        <v>146</v>
      </c>
      <c r="C20" s="39">
        <f>IF(B$3=0,0,B20/B$3)</f>
        <v>0.19210526315789472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-27.735714285714295</v>
      </c>
      <c r="P20" s="119">
        <v>56</v>
      </c>
      <c r="Q20" s="107">
        <v>-1553.2000000000005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3.8674033149171269E-2</v>
      </c>
      <c r="I21" s="94">
        <v>8</v>
      </c>
      <c r="K21" s="38">
        <v>19</v>
      </c>
      <c r="L21" s="99">
        <v>-569.49999999999989</v>
      </c>
      <c r="N21" s="115" t="s">
        <v>172</v>
      </c>
      <c r="O21" s="125">
        <f t="shared" si="2"/>
        <v>-32.104761904761901</v>
      </c>
      <c r="P21" s="119">
        <v>21</v>
      </c>
      <c r="Q21" s="107">
        <v>-674.19999999999993</v>
      </c>
    </row>
    <row r="22" spans="1:17" x14ac:dyDescent="0.4">
      <c r="A22" s="55" t="s">
        <v>192</v>
      </c>
      <c r="B22" s="47">
        <v>31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184</v>
      </c>
      <c r="O22" s="125">
        <f t="shared" si="2"/>
        <v>-64</v>
      </c>
      <c r="P22" s="119">
        <v>4</v>
      </c>
      <c r="Q22" s="107">
        <v>-256</v>
      </c>
    </row>
    <row r="23" spans="1:17" x14ac:dyDescent="0.4">
      <c r="A23" s="55" t="s">
        <v>5</v>
      </c>
      <c r="B23" s="51">
        <f>IF(B$17=0,0,C23/B$17)</f>
        <v>8701.1049723756914</v>
      </c>
      <c r="C23" s="41">
        <v>1574900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-9189.7260273972606</v>
      </c>
      <c r="C24" s="45">
        <v>-1341700</v>
      </c>
      <c r="E24" s="63" t="s">
        <v>87</v>
      </c>
      <c r="F24" s="60" t="s">
        <v>42</v>
      </c>
      <c r="G24" s="47">
        <v>10</v>
      </c>
      <c r="H24" s="133">
        <f>IF(B$17=0,0,G24/B$17)</f>
        <v>5.5248618784530384E-2</v>
      </c>
      <c r="I24" s="94">
        <v>6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2</v>
      </c>
      <c r="H25" s="133">
        <f>IF(B$17=0,0,G25/B$17)</f>
        <v>1.1049723756906077E-2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5.5248618784530384E-3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1.3157894736842105E-3</v>
      </c>
      <c r="E27" s="63" t="s">
        <v>90</v>
      </c>
      <c r="F27" s="60" t="s">
        <v>45</v>
      </c>
      <c r="G27" s="47">
        <v>16</v>
      </c>
      <c r="H27" s="133">
        <f>IF(B$17=0,0,G27/B$17)</f>
        <v>8.8397790055248615E-2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5.5248618784530384E-3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5.5248618784530384E-3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1.1049723756906077E-2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138" t="s">
        <v>245</v>
      </c>
      <c r="F51" s="139" t="s">
        <v>246</v>
      </c>
      <c r="G51" s="48">
        <v>69</v>
      </c>
      <c r="H51" s="140">
        <f>IF(B$17=0,0,G51/B$17)</f>
        <v>0.38121546961325969</v>
      </c>
      <c r="I51" s="141">
        <v>9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</sheetData>
  <sortState ref="E2:I9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C5D5-C5FD-421F-AC31-06D742AD5C35}">
  <sheetPr codeName="Sheet13"/>
  <dimension ref="A1:Q9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89</v>
      </c>
      <c r="C2" s="151"/>
      <c r="E2" s="62" t="s">
        <v>65</v>
      </c>
      <c r="F2" s="59" t="s">
        <v>21</v>
      </c>
      <c r="G2" s="46">
        <v>114</v>
      </c>
      <c r="H2" s="132">
        <f>IF(B$17=0,0,G2/B$17)</f>
        <v>0.54028436018957349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-675.28089887640454</v>
      </c>
      <c r="P2" s="118">
        <v>89</v>
      </c>
      <c r="Q2" s="102">
        <v>-60100</v>
      </c>
    </row>
    <row r="3" spans="1:17" x14ac:dyDescent="0.4">
      <c r="A3" s="55" t="s">
        <v>8</v>
      </c>
      <c r="B3" s="152">
        <v>744</v>
      </c>
      <c r="C3" s="153"/>
      <c r="E3" s="63" t="s">
        <v>66</v>
      </c>
      <c r="F3" s="60" t="s">
        <v>22</v>
      </c>
      <c r="G3" s="47">
        <v>28</v>
      </c>
      <c r="H3" s="133">
        <f>IF(B$17=0,0,G3/B$17)</f>
        <v>0.13270142180094788</v>
      </c>
      <c r="I3" s="94">
        <v>2</v>
      </c>
      <c r="K3" s="38">
        <v>1</v>
      </c>
      <c r="L3" s="99">
        <v>-51.2</v>
      </c>
      <c r="N3" s="115" t="s">
        <v>133</v>
      </c>
      <c r="O3" s="122">
        <f t="shared" si="0"/>
        <v>281.60919540229884</v>
      </c>
      <c r="P3" s="119">
        <v>87</v>
      </c>
      <c r="Q3" s="103">
        <v>24500</v>
      </c>
    </row>
    <row r="4" spans="1:17" x14ac:dyDescent="0.4">
      <c r="A4" s="55" t="s">
        <v>6</v>
      </c>
      <c r="B4" s="154">
        <v>32.000000000000028</v>
      </c>
      <c r="C4" s="155"/>
      <c r="E4" s="63" t="s">
        <v>67</v>
      </c>
      <c r="F4" s="60" t="s">
        <v>23</v>
      </c>
      <c r="G4" s="47">
        <v>175</v>
      </c>
      <c r="H4" s="133">
        <f>IF(B$17=0,0,G4/B$17)</f>
        <v>0.82938388625592419</v>
      </c>
      <c r="I4" s="94">
        <v>2</v>
      </c>
      <c r="K4" s="38">
        <v>2</v>
      </c>
      <c r="L4" s="99">
        <v>-93.300000000000011</v>
      </c>
      <c r="N4" s="115" t="s">
        <v>134</v>
      </c>
      <c r="O4" s="122">
        <f t="shared" si="0"/>
        <v>1300</v>
      </c>
      <c r="P4" s="119">
        <v>80</v>
      </c>
      <c r="Q4" s="103">
        <v>104000</v>
      </c>
    </row>
    <row r="5" spans="1:17" x14ac:dyDescent="0.4">
      <c r="A5" s="55" t="s">
        <v>7</v>
      </c>
      <c r="B5" s="156">
        <f>IF(B$2=0,0,B$4/B$2)</f>
        <v>0.35955056179775313</v>
      </c>
      <c r="C5" s="157"/>
      <c r="E5" s="63" t="s">
        <v>68</v>
      </c>
      <c r="F5" s="60" t="s">
        <v>24</v>
      </c>
      <c r="G5" s="47">
        <v>70</v>
      </c>
      <c r="H5" s="133">
        <f>IF(B$17=0,0,G5/B$17)</f>
        <v>0.33175355450236965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862.31884057971013</v>
      </c>
      <c r="P5" s="119">
        <v>69</v>
      </c>
      <c r="Q5" s="103">
        <v>59500</v>
      </c>
    </row>
    <row r="6" spans="1:17" x14ac:dyDescent="0.4">
      <c r="A6" s="55" t="s">
        <v>1</v>
      </c>
      <c r="B6" s="146">
        <f>IF(B$2=0,0,(B$7*1+B$8*2+B$9*3)/B$2)</f>
        <v>2.0449438202247192</v>
      </c>
      <c r="C6" s="147"/>
      <c r="E6" s="63" t="s">
        <v>69</v>
      </c>
      <c r="F6" s="60" t="s">
        <v>12</v>
      </c>
      <c r="G6" s="47">
        <v>63</v>
      </c>
      <c r="H6" s="133">
        <f>IF(B$17=0,0,G6/B$17)</f>
        <v>0.29857819905213268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-473.77049180327867</v>
      </c>
      <c r="P6" s="119">
        <v>61</v>
      </c>
      <c r="Q6" s="103">
        <v>-28900</v>
      </c>
    </row>
    <row r="7" spans="1:17" x14ac:dyDescent="0.4">
      <c r="A7" s="55" t="s">
        <v>2</v>
      </c>
      <c r="B7" s="47">
        <v>27</v>
      </c>
      <c r="C7" s="39">
        <f>IF(B$2=0,0,B7/B$2)</f>
        <v>0.30337078651685395</v>
      </c>
      <c r="E7" s="63" t="s">
        <v>70</v>
      </c>
      <c r="F7" s="60" t="s">
        <v>25</v>
      </c>
      <c r="G7" s="47">
        <v>41</v>
      </c>
      <c r="H7" s="133">
        <f>IF(B$17=0,0,G7/B$17)</f>
        <v>0.19431279620853081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-285.71428571428572</v>
      </c>
      <c r="P7" s="120">
        <v>56</v>
      </c>
      <c r="Q7" s="104">
        <v>-16000</v>
      </c>
    </row>
    <row r="8" spans="1:17" x14ac:dyDescent="0.4">
      <c r="A8" s="55" t="s">
        <v>3</v>
      </c>
      <c r="B8" s="47">
        <v>31</v>
      </c>
      <c r="C8" s="39">
        <f>IF(B$2=0,0,B8/B$2)</f>
        <v>0.34831460674157305</v>
      </c>
      <c r="E8" s="63" t="s">
        <v>71</v>
      </c>
      <c r="F8" s="60" t="s">
        <v>26</v>
      </c>
      <c r="G8" s="47">
        <v>22</v>
      </c>
      <c r="H8" s="133">
        <f>IF(B$17=0,0,G8/B$17)</f>
        <v>0.10426540284360189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31</v>
      </c>
      <c r="C9" s="40">
        <f t="shared" ref="C9" si="1">IF(B$2=0,0,B9/B$2)</f>
        <v>0.34831460674157305</v>
      </c>
      <c r="E9" s="63" t="s">
        <v>72</v>
      </c>
      <c r="F9" s="60" t="s">
        <v>27</v>
      </c>
      <c r="G9" s="47">
        <v>13</v>
      </c>
      <c r="H9" s="133">
        <f>IF(B$17=0,0,G9/B$17)</f>
        <v>6.1611374407582936E-2</v>
      </c>
      <c r="I9" s="94">
        <v>7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0.10112359550561797</v>
      </c>
      <c r="E10" s="63" t="s">
        <v>73</v>
      </c>
      <c r="F10" s="60" t="s">
        <v>28</v>
      </c>
      <c r="G10" s="47">
        <v>109</v>
      </c>
      <c r="H10" s="133">
        <f>IF(B$17=0,0,G10/B$17)</f>
        <v>0.51658767772511849</v>
      </c>
      <c r="I10" s="94">
        <v>8</v>
      </c>
      <c r="K10" s="38">
        <v>8</v>
      </c>
      <c r="L10" s="99">
        <v>-1.7000000000000028</v>
      </c>
      <c r="N10" s="114" t="s">
        <v>164</v>
      </c>
      <c r="O10" s="124">
        <f>IF(P10=0,0,Q10/P10)</f>
        <v>6.1739130434782608</v>
      </c>
      <c r="P10" s="118">
        <v>23</v>
      </c>
      <c r="Q10" s="106">
        <v>142</v>
      </c>
    </row>
    <row r="11" spans="1:17" x14ac:dyDescent="0.4">
      <c r="A11" s="56" t="s">
        <v>140</v>
      </c>
      <c r="B11" s="48">
        <v>12</v>
      </c>
      <c r="C11" s="40">
        <f>IF(B$2=0,0,B11/B$2)</f>
        <v>0.1348314606741573</v>
      </c>
      <c r="E11" s="63" t="s">
        <v>74</v>
      </c>
      <c r="F11" s="60" t="s">
        <v>29</v>
      </c>
      <c r="G11" s="47">
        <v>2</v>
      </c>
      <c r="H11" s="133">
        <f>IF(B$17=0,0,G11/B$17)</f>
        <v>9.4786729857819912E-3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-2.2176470588235273</v>
      </c>
      <c r="P11" s="119">
        <v>34</v>
      </c>
      <c r="Q11" s="107">
        <v>-75.399999999999935</v>
      </c>
    </row>
    <row r="12" spans="1:17" x14ac:dyDescent="0.4">
      <c r="A12" s="57" t="s">
        <v>160</v>
      </c>
      <c r="B12" s="49">
        <v>6</v>
      </c>
      <c r="C12" s="42">
        <f>IF(B$2=0,0,B12/B$2)</f>
        <v>6.741573033707865E-2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-1.0812500000000003</v>
      </c>
      <c r="P12" s="120">
        <v>32</v>
      </c>
      <c r="Q12" s="108">
        <v>-34.600000000000009</v>
      </c>
    </row>
    <row r="13" spans="1:17" x14ac:dyDescent="0.4">
      <c r="A13" s="58" t="s">
        <v>122</v>
      </c>
      <c r="B13" s="50">
        <v>217</v>
      </c>
      <c r="C13" s="44">
        <f>IF(B$3=0,0,B13/B$3)</f>
        <v>0.29166666666666669</v>
      </c>
      <c r="E13" s="63" t="s">
        <v>76</v>
      </c>
      <c r="F13" s="60" t="s">
        <v>31</v>
      </c>
      <c r="G13" s="47">
        <v>3</v>
      </c>
      <c r="H13" s="133">
        <f>IF(B$17=0,0,G13/B$17)</f>
        <v>1.4218009478672985E-2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140</v>
      </c>
      <c r="C14" s="39">
        <f>IF(B$3=0,0,B14/B$3)</f>
        <v>0.18817204301075269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122</v>
      </c>
      <c r="C15" s="37">
        <f>IF(B$13=0,0,B15/B$13)</f>
        <v>0.56221198156682028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184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58</v>
      </c>
      <c r="C16" s="37">
        <f>IF(B$14=0,0,B16/B$14)</f>
        <v>0.41428571428571431</v>
      </c>
      <c r="E16" s="63" t="s">
        <v>79</v>
      </c>
      <c r="F16" s="60" t="s">
        <v>34</v>
      </c>
      <c r="G16" s="47">
        <v>9</v>
      </c>
      <c r="H16" s="133">
        <f>IF(B$17=0,0,G16/B$17)</f>
        <v>4.2654028436018961E-2</v>
      </c>
      <c r="I16" s="94">
        <v>3</v>
      </c>
      <c r="K16" s="38">
        <v>14</v>
      </c>
      <c r="L16" s="99">
        <v>-29.400000000000002</v>
      </c>
      <c r="N16" s="115" t="s">
        <v>129</v>
      </c>
      <c r="O16" s="125">
        <f t="shared" si="2"/>
        <v>20.717241379310341</v>
      </c>
      <c r="P16" s="119">
        <v>29</v>
      </c>
      <c r="Q16" s="107">
        <v>600.79999999999984</v>
      </c>
    </row>
    <row r="17" spans="1:17" x14ac:dyDescent="0.4">
      <c r="A17" s="54" t="s">
        <v>10</v>
      </c>
      <c r="B17" s="46">
        <f>B19+B18</f>
        <v>211</v>
      </c>
      <c r="C17" s="37">
        <f>IF(B$3=0,0,B17/B$3)</f>
        <v>0.28360215053763443</v>
      </c>
      <c r="E17" s="63" t="s">
        <v>80</v>
      </c>
      <c r="F17" s="60" t="s">
        <v>35</v>
      </c>
      <c r="G17" s="47">
        <v>3</v>
      </c>
      <c r="H17" s="133">
        <f>IF(B$17=0,0,G17/B$17)</f>
        <v>1.4218009478672985E-2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87</v>
      </c>
      <c r="C18" s="39">
        <f>IF(B$17=0,0,B18/B$17)</f>
        <v>0.41232227488151657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172</v>
      </c>
      <c r="O18" s="125">
        <f t="shared" si="2"/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124</v>
      </c>
      <c r="C19" s="39">
        <f>IF(B$17=0,0,B19/B$17)</f>
        <v>0.58767772511848337</v>
      </c>
      <c r="E19" s="63" t="s">
        <v>82</v>
      </c>
      <c r="F19" s="60" t="s">
        <v>37</v>
      </c>
      <c r="G19" s="47">
        <v>8</v>
      </c>
      <c r="H19" s="133">
        <f>IF(B$17=0,0,G19/B$17)</f>
        <v>3.7914691943127965E-2</v>
      </c>
      <c r="I19" s="94">
        <v>2</v>
      </c>
      <c r="K19" s="38">
        <v>17</v>
      </c>
      <c r="L19" s="99">
        <v>-74.3</v>
      </c>
      <c r="N19" s="115" t="s">
        <v>128</v>
      </c>
      <c r="O19" s="125">
        <f t="shared" si="2"/>
        <v>2.3171428571428523</v>
      </c>
      <c r="P19" s="119">
        <v>35</v>
      </c>
      <c r="Q19" s="107">
        <v>81.099999999999824</v>
      </c>
    </row>
    <row r="20" spans="1:17" x14ac:dyDescent="0.4">
      <c r="A20" s="55" t="s">
        <v>13</v>
      </c>
      <c r="B20" s="47">
        <v>130</v>
      </c>
      <c r="C20" s="39">
        <f>IF(B$3=0,0,B20/B$3)</f>
        <v>0.17473118279569894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-0.4749999999999957</v>
      </c>
      <c r="P20" s="119">
        <v>52</v>
      </c>
      <c r="Q20" s="107">
        <v>-24.699999999999775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11</v>
      </c>
      <c r="H21" s="133">
        <f>IF(B$17=0,0,G21/B$17)</f>
        <v>5.2132701421800945E-2</v>
      </c>
      <c r="I21" s="94">
        <v>5</v>
      </c>
      <c r="K21" s="38">
        <v>19</v>
      </c>
      <c r="L21" s="99">
        <v>0.60000000000000853</v>
      </c>
      <c r="N21" s="115" t="s">
        <v>200</v>
      </c>
      <c r="O21" s="125">
        <f t="shared" si="2"/>
        <v>-22.524999999999999</v>
      </c>
      <c r="P21" s="119">
        <v>4</v>
      </c>
      <c r="Q21" s="107">
        <v>-90.1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9.4786729857819912E-3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-41.294444444444444</v>
      </c>
      <c r="P22" s="119">
        <v>18</v>
      </c>
      <c r="Q22" s="107">
        <v>-743.3</v>
      </c>
    </row>
    <row r="23" spans="1:17" x14ac:dyDescent="0.4">
      <c r="A23" s="55" t="s">
        <v>5</v>
      </c>
      <c r="B23" s="51">
        <f>IF(B$17=0,0,C23/B$17)</f>
        <v>9831.2796208530799</v>
      </c>
      <c r="C23" s="41">
        <v>2074400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222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-8504.6153846153848</v>
      </c>
      <c r="C24" s="45">
        <v>-1105600</v>
      </c>
      <c r="E24" s="63" t="s">
        <v>87</v>
      </c>
      <c r="F24" s="60" t="s">
        <v>42</v>
      </c>
      <c r="G24" s="47">
        <v>16</v>
      </c>
      <c r="H24" s="133">
        <f>IF(B$17=0,0,G24/B$17)</f>
        <v>7.582938388625593E-2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4.7393364928909956E-3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91700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1.3440860215053765E-3</v>
      </c>
      <c r="E27" s="63" t="s">
        <v>90</v>
      </c>
      <c r="F27" s="60" t="s">
        <v>45</v>
      </c>
      <c r="G27" s="47">
        <v>35</v>
      </c>
      <c r="H27" s="133">
        <f>IF(B$17=0,0,G27/B$17)</f>
        <v>0.16587677725118483</v>
      </c>
      <c r="I27" s="94">
        <v>3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2.843601895734597E-2</v>
      </c>
      <c r="I29" s="94">
        <v>2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9.4786729857819912E-3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4.7393364928909956E-3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181</v>
      </c>
      <c r="G50" s="47">
        <v>4</v>
      </c>
      <c r="H50" s="133">
        <f>IF(B$17=0,0,G50/B$17)</f>
        <v>1.8957345971563982E-2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138" t="s">
        <v>245</v>
      </c>
      <c r="F51" s="139" t="s">
        <v>246</v>
      </c>
      <c r="G51" s="48">
        <v>80</v>
      </c>
      <c r="H51" s="140">
        <f>IF(B$17=0,0,G51/B$17)</f>
        <v>0.37914691943127959</v>
      </c>
      <c r="I51" s="141">
        <v>10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</sheetData>
  <sortState ref="E2:I9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AE4C-70AF-46BB-AA1E-6CF3427BCB07}">
  <sheetPr codeName="Sheet15"/>
  <dimension ref="A1:Q7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75</v>
      </c>
      <c r="C2" s="151"/>
      <c r="E2" s="62" t="s">
        <v>67</v>
      </c>
      <c r="F2" s="59" t="s">
        <v>23</v>
      </c>
      <c r="G2" s="46">
        <v>144</v>
      </c>
      <c r="H2" s="132">
        <f>IF(B$17=0,0,G2/B$17)</f>
        <v>0.65454545454545454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722.66666666666663</v>
      </c>
      <c r="P2" s="118">
        <v>75</v>
      </c>
      <c r="Q2" s="102">
        <v>54200</v>
      </c>
    </row>
    <row r="3" spans="1:17" x14ac:dyDescent="0.4">
      <c r="A3" s="55" t="s">
        <v>8</v>
      </c>
      <c r="B3" s="152">
        <v>642</v>
      </c>
      <c r="C3" s="153"/>
      <c r="E3" s="63" t="s">
        <v>73</v>
      </c>
      <c r="F3" s="60" t="s">
        <v>28</v>
      </c>
      <c r="G3" s="47">
        <v>126</v>
      </c>
      <c r="H3" s="133">
        <f>IF(B$17=0,0,G3/B$17)</f>
        <v>0.57272727272727275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-766.66666666666663</v>
      </c>
      <c r="P3" s="119">
        <v>75</v>
      </c>
      <c r="Q3" s="103">
        <v>-57500</v>
      </c>
    </row>
    <row r="4" spans="1:17" x14ac:dyDescent="0.4">
      <c r="A4" s="55" t="s">
        <v>6</v>
      </c>
      <c r="B4" s="154">
        <v>-76.40000000000002</v>
      </c>
      <c r="C4" s="155"/>
      <c r="E4" s="63" t="s">
        <v>245</v>
      </c>
      <c r="F4" s="60" t="s">
        <v>246</v>
      </c>
      <c r="G4" s="47">
        <v>98</v>
      </c>
      <c r="H4" s="133">
        <f>IF(B$17=0,0,G4/B$17)</f>
        <v>0.44545454545454544</v>
      </c>
      <c r="I4" s="94">
        <v>2</v>
      </c>
      <c r="K4" s="38">
        <v>2</v>
      </c>
      <c r="L4" s="99">
        <v>-7.7000000000000011</v>
      </c>
      <c r="N4" s="115" t="s">
        <v>134</v>
      </c>
      <c r="O4" s="122">
        <f t="shared" si="0"/>
        <v>-1613.4328358208954</v>
      </c>
      <c r="P4" s="119">
        <v>67</v>
      </c>
      <c r="Q4" s="103">
        <v>-108100</v>
      </c>
    </row>
    <row r="5" spans="1:17" x14ac:dyDescent="0.4">
      <c r="A5" s="55" t="s">
        <v>7</v>
      </c>
      <c r="B5" s="156">
        <f>IF(B$2=0,0,B$4/B$2)</f>
        <v>-1.0186666666666668</v>
      </c>
      <c r="C5" s="157"/>
      <c r="E5" s="63" t="s">
        <v>65</v>
      </c>
      <c r="F5" s="60" t="s">
        <v>21</v>
      </c>
      <c r="G5" s="47">
        <v>77</v>
      </c>
      <c r="H5" s="133">
        <f>IF(B$17=0,0,G5/B$17)</f>
        <v>0.35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814.0625</v>
      </c>
      <c r="P5" s="119">
        <v>64</v>
      </c>
      <c r="Q5" s="103">
        <v>52100</v>
      </c>
    </row>
    <row r="6" spans="1:17" x14ac:dyDescent="0.4">
      <c r="A6" s="55" t="s">
        <v>1</v>
      </c>
      <c r="B6" s="146">
        <f>IF(B$2=0,0,(B$7*1+B$8*2+B$9*3)/B$2)</f>
        <v>2.0533333333333332</v>
      </c>
      <c r="C6" s="147"/>
      <c r="E6" s="63" t="s">
        <v>69</v>
      </c>
      <c r="F6" s="60" t="s">
        <v>12</v>
      </c>
      <c r="G6" s="47">
        <v>57</v>
      </c>
      <c r="H6" s="133">
        <f>IF(B$17=0,0,G6/B$17)</f>
        <v>0.25909090909090909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606.66666666666663</v>
      </c>
      <c r="P6" s="119">
        <v>60</v>
      </c>
      <c r="Q6" s="103">
        <v>36400</v>
      </c>
    </row>
    <row r="7" spans="1:17" x14ac:dyDescent="0.4">
      <c r="A7" s="55" t="s">
        <v>2</v>
      </c>
      <c r="B7" s="47">
        <v>20</v>
      </c>
      <c r="C7" s="39">
        <f>IF(B$2=0,0,B7/B$2)</f>
        <v>0.26666666666666666</v>
      </c>
      <c r="E7" s="63" t="s">
        <v>68</v>
      </c>
      <c r="F7" s="60" t="s">
        <v>24</v>
      </c>
      <c r="G7" s="47">
        <v>38</v>
      </c>
      <c r="H7" s="133">
        <f>IF(B$17=0,0,G7/B$17)</f>
        <v>0.17272727272727273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-492.30769230769232</v>
      </c>
      <c r="P7" s="120">
        <v>52</v>
      </c>
      <c r="Q7" s="104">
        <v>-25600</v>
      </c>
    </row>
    <row r="8" spans="1:17" x14ac:dyDescent="0.4">
      <c r="A8" s="55" t="s">
        <v>3</v>
      </c>
      <c r="B8" s="47">
        <v>31</v>
      </c>
      <c r="C8" s="39">
        <f>IF(B$2=0,0,B8/B$2)</f>
        <v>0.41333333333333333</v>
      </c>
      <c r="E8" s="63" t="s">
        <v>70</v>
      </c>
      <c r="F8" s="60" t="s">
        <v>25</v>
      </c>
      <c r="G8" s="47">
        <v>31</v>
      </c>
      <c r="H8" s="133">
        <f>IF(B$17=0,0,G8/B$17)</f>
        <v>0.1409090909090909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0.32</v>
      </c>
      <c r="E9" s="63" t="s">
        <v>66</v>
      </c>
      <c r="F9" s="60" t="s">
        <v>22</v>
      </c>
      <c r="G9" s="47">
        <v>26</v>
      </c>
      <c r="H9" s="133">
        <f>IF(B$17=0,0,G9/B$17)</f>
        <v>0.11818181818181818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5.3333333333333337E-2</v>
      </c>
      <c r="E10" s="63" t="s">
        <v>72</v>
      </c>
      <c r="F10" s="60" t="s">
        <v>27</v>
      </c>
      <c r="G10" s="47">
        <v>18</v>
      </c>
      <c r="H10" s="133">
        <f>IF(B$17=0,0,G10/B$17)</f>
        <v>8.1818181818181818E-2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-9.9285714285714306</v>
      </c>
      <c r="P10" s="118">
        <v>21</v>
      </c>
      <c r="Q10" s="106">
        <v>-208.50000000000006</v>
      </c>
    </row>
    <row r="11" spans="1:17" x14ac:dyDescent="0.4">
      <c r="A11" s="56" t="s">
        <v>140</v>
      </c>
      <c r="B11" s="48">
        <v>8</v>
      </c>
      <c r="C11" s="40">
        <f>IF(B$2=0,0,B11/B$2)</f>
        <v>0.10666666666666667</v>
      </c>
      <c r="E11" s="63" t="s">
        <v>90</v>
      </c>
      <c r="F11" s="60" t="s">
        <v>45</v>
      </c>
      <c r="G11" s="47">
        <v>17</v>
      </c>
      <c r="H11" s="133">
        <f>IF(B$17=0,0,G11/B$17)</f>
        <v>7.7272727272727271E-2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5.0640000000000001</v>
      </c>
      <c r="P11" s="119">
        <v>25</v>
      </c>
      <c r="Q11" s="107">
        <v>126.6</v>
      </c>
    </row>
    <row r="12" spans="1:17" x14ac:dyDescent="0.4">
      <c r="A12" s="57" t="s">
        <v>160</v>
      </c>
      <c r="B12" s="49">
        <v>5</v>
      </c>
      <c r="C12" s="42">
        <f>IF(B$2=0,0,B12/B$2)</f>
        <v>6.6666666666666666E-2</v>
      </c>
      <c r="E12" s="63" t="s">
        <v>71</v>
      </c>
      <c r="F12" s="60" t="s">
        <v>26</v>
      </c>
      <c r="G12" s="47">
        <v>14</v>
      </c>
      <c r="H12" s="133">
        <f>IF(B$17=0,0,G12/B$17)</f>
        <v>6.363636363636363E-2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0.18965517241379304</v>
      </c>
      <c r="P12" s="120">
        <v>29</v>
      </c>
      <c r="Q12" s="108">
        <v>5.4999999999999982</v>
      </c>
    </row>
    <row r="13" spans="1:17" x14ac:dyDescent="0.4">
      <c r="A13" s="58" t="s">
        <v>122</v>
      </c>
      <c r="B13" s="50">
        <v>137</v>
      </c>
      <c r="C13" s="44">
        <f>IF(B$3=0,0,B13/B$3)</f>
        <v>0.21339563862928349</v>
      </c>
      <c r="E13" s="63" t="s">
        <v>84</v>
      </c>
      <c r="F13" s="60" t="s">
        <v>39</v>
      </c>
      <c r="G13" s="47">
        <v>14</v>
      </c>
      <c r="H13" s="133">
        <f>IF(B$17=0,0,G13/B$17)</f>
        <v>6.363636363636363E-2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186</v>
      </c>
      <c r="C14" s="39">
        <f>IF(B$3=0,0,B14/B$3)</f>
        <v>0.28971962616822428</v>
      </c>
      <c r="E14" s="63" t="s">
        <v>82</v>
      </c>
      <c r="F14" s="60" t="s">
        <v>37</v>
      </c>
      <c r="G14" s="47">
        <v>8</v>
      </c>
      <c r="H14" s="133">
        <f>IF(B$17=0,0,G14/B$17)</f>
        <v>3.6363636363636362E-2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77</v>
      </c>
      <c r="C15" s="37">
        <f>IF(B$13=0,0,B15/B$13)</f>
        <v>0.56204379562043794</v>
      </c>
      <c r="E15" s="63" t="s">
        <v>87</v>
      </c>
      <c r="F15" s="60" t="s">
        <v>42</v>
      </c>
      <c r="G15" s="47">
        <v>8</v>
      </c>
      <c r="H15" s="133">
        <f>IF(B$17=0,0,G15/B$17)</f>
        <v>3.6363636363636362E-2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32.104761904761894</v>
      </c>
      <c r="P15" s="118">
        <v>21</v>
      </c>
      <c r="Q15" s="106">
        <v>674.19999999999982</v>
      </c>
    </row>
    <row r="16" spans="1:17" x14ac:dyDescent="0.4">
      <c r="A16" s="54" t="s">
        <v>125</v>
      </c>
      <c r="B16" s="46">
        <v>78</v>
      </c>
      <c r="C16" s="37">
        <f>IF(B$14=0,0,B16/B$14)</f>
        <v>0.41935483870967744</v>
      </c>
      <c r="E16" s="63" t="s">
        <v>79</v>
      </c>
      <c r="F16" s="60" t="s">
        <v>34</v>
      </c>
      <c r="G16" s="47">
        <v>3</v>
      </c>
      <c r="H16" s="133">
        <f>IF(B$17=0,0,G16/B$17)</f>
        <v>1.3636363636363636E-2</v>
      </c>
      <c r="I16" s="94">
        <v>10</v>
      </c>
      <c r="K16" s="38">
        <v>14</v>
      </c>
      <c r="L16" s="99">
        <v>-12.3</v>
      </c>
      <c r="N16" s="115" t="s">
        <v>223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220</v>
      </c>
      <c r="C17" s="37">
        <f>IF(B$3=0,0,B17/B$3)</f>
        <v>0.34267912772585668</v>
      </c>
      <c r="E17" s="63" t="s">
        <v>80</v>
      </c>
      <c r="F17" s="60" t="s">
        <v>35</v>
      </c>
      <c r="G17" s="47">
        <v>3</v>
      </c>
      <c r="H17" s="133">
        <f>IF(B$17=0,0,G17/B$17)</f>
        <v>1.3636363636363636E-2</v>
      </c>
      <c r="I17" s="94">
        <v>7</v>
      </c>
      <c r="K17" s="38">
        <v>15</v>
      </c>
      <c r="L17" s="99">
        <v>-80.3</v>
      </c>
      <c r="N17" s="115" t="s">
        <v>184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93</v>
      </c>
      <c r="C18" s="39">
        <f>IF(B$17=0,0,B18/B$17)</f>
        <v>0.42272727272727273</v>
      </c>
      <c r="E18" s="63" t="s">
        <v>92</v>
      </c>
      <c r="F18" s="60" t="s">
        <v>47</v>
      </c>
      <c r="G18" s="47">
        <v>3</v>
      </c>
      <c r="H18" s="133">
        <f>IF(B$17=0,0,G18/B$17)</f>
        <v>1.3636363636363636E-2</v>
      </c>
      <c r="I18" s="94">
        <v>7</v>
      </c>
      <c r="K18" s="38">
        <v>16</v>
      </c>
      <c r="L18" s="99">
        <v>-87.6</v>
      </c>
      <c r="N18" s="115" t="s">
        <v>173</v>
      </c>
      <c r="O18" s="125">
        <f>IF(P18=0,0,Q18/P18)</f>
        <v>6.6333333333333302</v>
      </c>
      <c r="P18" s="119">
        <v>12</v>
      </c>
      <c r="Q18" s="107">
        <v>79.599999999999966</v>
      </c>
    </row>
    <row r="19" spans="1:17" x14ac:dyDescent="0.4">
      <c r="A19" s="55" t="s">
        <v>11</v>
      </c>
      <c r="B19" s="47">
        <v>127</v>
      </c>
      <c r="C19" s="39">
        <f>IF(B$17=0,0,B19/B$17)</f>
        <v>0.57727272727272727</v>
      </c>
      <c r="E19" s="63" t="s">
        <v>74</v>
      </c>
      <c r="F19" s="60" t="s">
        <v>29</v>
      </c>
      <c r="G19" s="47">
        <v>1</v>
      </c>
      <c r="H19" s="133">
        <f>IF(B$17=0,0,G19/B$17)</f>
        <v>4.5454545454545452E-3</v>
      </c>
      <c r="I19" s="94">
        <v>7</v>
      </c>
      <c r="K19" s="38">
        <v>17</v>
      </c>
      <c r="L19" s="99">
        <v>-55.099999999999994</v>
      </c>
      <c r="N19" s="115" t="s">
        <v>128</v>
      </c>
      <c r="O19" s="125">
        <f>IF(P19=0,0,Q19/P19)</f>
        <v>1.5424242424242423</v>
      </c>
      <c r="P19" s="119">
        <v>33</v>
      </c>
      <c r="Q19" s="107">
        <v>50.899999999999991</v>
      </c>
    </row>
    <row r="20" spans="1:17" x14ac:dyDescent="0.4">
      <c r="A20" s="55" t="s">
        <v>13</v>
      </c>
      <c r="B20" s="47">
        <v>89</v>
      </c>
      <c r="C20" s="39">
        <f>IF(B$3=0,0,B20/B$3)</f>
        <v>0.13862928348909656</v>
      </c>
      <c r="E20" s="63" t="s">
        <v>75</v>
      </c>
      <c r="F20" s="60" t="s">
        <v>30</v>
      </c>
      <c r="G20" s="47">
        <v>1</v>
      </c>
      <c r="H20" s="133">
        <f>IF(B$17=0,0,G20/B$17)</f>
        <v>4.5454545454545452E-3</v>
      </c>
      <c r="I20" s="94">
        <v>4</v>
      </c>
      <c r="K20" s="38">
        <v>18</v>
      </c>
      <c r="L20" s="99">
        <v>-28.199999999999996</v>
      </c>
      <c r="N20" s="115" t="s">
        <v>200</v>
      </c>
      <c r="O20" s="125">
        <f>IF(P20=0,0,Q20/P20)</f>
        <v>-2.7400000000000033</v>
      </c>
      <c r="P20" s="119">
        <v>5</v>
      </c>
      <c r="Q20" s="107">
        <v>-13.700000000000017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4.5454545454545452E-3</v>
      </c>
      <c r="I21" s="94">
        <v>6</v>
      </c>
      <c r="K21" s="38">
        <v>19</v>
      </c>
      <c r="L21" s="99">
        <v>29.200000000000003</v>
      </c>
      <c r="N21" s="115" t="s">
        <v>171</v>
      </c>
      <c r="O21" s="125">
        <f>IF(P21=0,0,Q21/P21)</f>
        <v>-4.6450000000000005</v>
      </c>
      <c r="P21" s="119">
        <v>20</v>
      </c>
      <c r="Q21" s="107">
        <v>-92.9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88</v>
      </c>
      <c r="F22" s="60" t="s">
        <v>43</v>
      </c>
      <c r="G22" s="47">
        <v>1</v>
      </c>
      <c r="H22" s="133">
        <f>IF(B$17=0,0,G22/B$17)</f>
        <v>4.5454545454545452E-3</v>
      </c>
      <c r="I22" s="94">
        <v>4</v>
      </c>
      <c r="K22" s="38">
        <v>20</v>
      </c>
      <c r="L22" s="99">
        <v>43</v>
      </c>
      <c r="N22" s="115" t="s">
        <v>177</v>
      </c>
      <c r="O22" s="125">
        <f>IF(P22=0,0,Q22/P22)</f>
        <v>-5.4062500000000009</v>
      </c>
      <c r="P22" s="119">
        <v>16</v>
      </c>
      <c r="Q22" s="107">
        <v>-86.500000000000014</v>
      </c>
    </row>
    <row r="23" spans="1:17" x14ac:dyDescent="0.4">
      <c r="A23" s="55" t="s">
        <v>5</v>
      </c>
      <c r="B23" s="51">
        <f>IF(B$17=0,0,C23/B$17)</f>
        <v>6727.727272727273</v>
      </c>
      <c r="C23" s="41">
        <v>1480100</v>
      </c>
      <c r="E23" s="63" t="s">
        <v>91</v>
      </c>
      <c r="F23" s="60" t="s">
        <v>46</v>
      </c>
      <c r="G23" s="47">
        <v>1</v>
      </c>
      <c r="H23" s="133">
        <f>IF(B$17=0,0,G23/B$17)</f>
        <v>4.5454545454545452E-3</v>
      </c>
      <c r="I23" s="94">
        <v>3</v>
      </c>
      <c r="K23" s="38">
        <v>21</v>
      </c>
      <c r="L23" s="99">
        <v>89.9</v>
      </c>
      <c r="N23" s="115" t="s">
        <v>127</v>
      </c>
      <c r="O23" s="125">
        <f>IF(P23=0,0,Q23/P23)</f>
        <v>-22.645</v>
      </c>
      <c r="P23" s="119">
        <v>40</v>
      </c>
      <c r="Q23" s="107">
        <v>-905.8</v>
      </c>
    </row>
    <row r="24" spans="1:17" x14ac:dyDescent="0.4">
      <c r="A24" s="57" t="s">
        <v>14</v>
      </c>
      <c r="B24" s="52">
        <f>IF(B$20=0,0,C24/B$20)</f>
        <v>-8564.0449438202249</v>
      </c>
      <c r="C24" s="45">
        <v>-762200</v>
      </c>
      <c r="E24" s="63" t="s">
        <v>77</v>
      </c>
      <c r="F24" s="60" t="s">
        <v>32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78</v>
      </c>
      <c r="F25" s="60" t="s">
        <v>33</v>
      </c>
      <c r="G25" s="47">
        <v>0</v>
      </c>
      <c r="H25" s="133">
        <f>IF(B$17=0,0,G25/B$17)</f>
        <v>0</v>
      </c>
      <c r="I25" s="94">
        <v>5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1.557632398753894E-3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B795-E045-4075-9EFD-3EE7D2F6A0D5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44</v>
      </c>
      <c r="C2" s="151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52">
        <v>382</v>
      </c>
      <c r="C3" s="153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4">
        <v>-262.59999999999997</v>
      </c>
      <c r="C4" s="155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6">
        <f>IF(B$2=0,0,B$4/B$2)</f>
        <v>-5.9681818181818178</v>
      </c>
      <c r="C5" s="157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6">
        <f>IF(B$2=0,0,(B$7*1+B$8*2+B$9*3)/B$2)</f>
        <v>2.0681818181818183</v>
      </c>
      <c r="C6" s="147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138" t="s">
        <v>245</v>
      </c>
      <c r="F51" s="139" t="s">
        <v>246</v>
      </c>
      <c r="G51" s="48">
        <v>45</v>
      </c>
      <c r="H51" s="140">
        <f>IF(B$17=0,0,G51/B$17)</f>
        <v>0.39473684210526316</v>
      </c>
      <c r="I51" s="141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CCB12-A25C-4FDC-87E8-7AA31C9561EA}">
  <sheetPr codeName="Sheet19"/>
  <dimension ref="A1:Q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62</v>
      </c>
      <c r="C2" s="151"/>
      <c r="E2" s="62" t="s">
        <v>65</v>
      </c>
      <c r="F2" s="59" t="s">
        <v>21</v>
      </c>
      <c r="G2" s="46">
        <v>94</v>
      </c>
      <c r="H2" s="132">
        <f>IF(B$17=0,0,G2/B$17)</f>
        <v>0.61842105263157898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1283.6065573770493</v>
      </c>
      <c r="P2" s="118">
        <v>61</v>
      </c>
      <c r="Q2" s="102">
        <v>78300</v>
      </c>
    </row>
    <row r="3" spans="1:17" x14ac:dyDescent="0.4">
      <c r="A3" s="55" t="s">
        <v>8</v>
      </c>
      <c r="B3" s="152">
        <v>496</v>
      </c>
      <c r="C3" s="153"/>
      <c r="E3" s="63" t="s">
        <v>67</v>
      </c>
      <c r="F3" s="60" t="s">
        <v>23</v>
      </c>
      <c r="G3" s="47">
        <v>88</v>
      </c>
      <c r="H3" s="133">
        <f>IF(B$17=0,0,G3/B$17)</f>
        <v>0.57894736842105265</v>
      </c>
      <c r="I3" s="94">
        <v>12</v>
      </c>
      <c r="K3" s="38">
        <v>1</v>
      </c>
      <c r="L3" s="99">
        <v>-1.9</v>
      </c>
      <c r="N3" s="115" t="s">
        <v>133</v>
      </c>
      <c r="O3" s="122">
        <f t="shared" si="0"/>
        <v>1567.2413793103449</v>
      </c>
      <c r="P3" s="119">
        <v>58</v>
      </c>
      <c r="Q3" s="103">
        <v>90900</v>
      </c>
    </row>
    <row r="4" spans="1:17" x14ac:dyDescent="0.4">
      <c r="A4" s="55" t="s">
        <v>6</v>
      </c>
      <c r="B4" s="154">
        <v>347.5</v>
      </c>
      <c r="C4" s="155"/>
      <c r="E4" s="63" t="s">
        <v>245</v>
      </c>
      <c r="F4" s="60" t="s">
        <v>246</v>
      </c>
      <c r="G4" s="47">
        <v>64</v>
      </c>
      <c r="H4" s="133">
        <f>IF(B$17=0,0,G4/B$17)</f>
        <v>0.42105263157894735</v>
      </c>
      <c r="I4" s="94">
        <v>4</v>
      </c>
      <c r="K4" s="38">
        <v>2</v>
      </c>
      <c r="L4" s="99">
        <v>30</v>
      </c>
      <c r="N4" s="115" t="s">
        <v>134</v>
      </c>
      <c r="O4" s="122">
        <f t="shared" si="0"/>
        <v>-813.46153846153845</v>
      </c>
      <c r="P4" s="119">
        <v>52</v>
      </c>
      <c r="Q4" s="103">
        <v>-42300</v>
      </c>
    </row>
    <row r="5" spans="1:17" x14ac:dyDescent="0.4">
      <c r="A5" s="55" t="s">
        <v>7</v>
      </c>
      <c r="B5" s="156">
        <f>IF(B$2=0,0,B$4/B$2)</f>
        <v>5.604838709677419</v>
      </c>
      <c r="C5" s="157"/>
      <c r="E5" s="63" t="s">
        <v>73</v>
      </c>
      <c r="F5" s="60" t="s">
        <v>28</v>
      </c>
      <c r="G5" s="47">
        <v>61</v>
      </c>
      <c r="H5" s="133">
        <f>IF(B$17=0,0,G5/B$17)</f>
        <v>0.40131578947368424</v>
      </c>
      <c r="I5" s="94">
        <v>11</v>
      </c>
      <c r="K5" s="38">
        <v>3</v>
      </c>
      <c r="L5" s="99">
        <v>-10</v>
      </c>
      <c r="N5" s="115" t="s">
        <v>135</v>
      </c>
      <c r="O5" s="122">
        <f t="shared" si="0"/>
        <v>2686</v>
      </c>
      <c r="P5" s="119">
        <v>50</v>
      </c>
      <c r="Q5" s="103">
        <v>134300</v>
      </c>
    </row>
    <row r="6" spans="1:17" x14ac:dyDescent="0.4">
      <c r="A6" s="55" t="s">
        <v>1</v>
      </c>
      <c r="B6" s="146">
        <f>IF(B$2=0,0,(B$7*1+B$8*2+B$9*3)/B$2)</f>
        <v>1.8548387096774193</v>
      </c>
      <c r="C6" s="147"/>
      <c r="E6" s="63" t="s">
        <v>68</v>
      </c>
      <c r="F6" s="60" t="s">
        <v>24</v>
      </c>
      <c r="G6" s="47">
        <v>58</v>
      </c>
      <c r="H6" s="133">
        <f>IF(B$17=0,0,G6/B$17)</f>
        <v>0.38157894736842107</v>
      </c>
      <c r="I6" s="94">
        <v>4</v>
      </c>
      <c r="K6" s="38">
        <v>4</v>
      </c>
      <c r="L6" s="99">
        <v>40</v>
      </c>
      <c r="N6" s="115" t="s">
        <v>136</v>
      </c>
      <c r="O6" s="122">
        <f t="shared" si="0"/>
        <v>-1313.6363636363637</v>
      </c>
      <c r="P6" s="119">
        <v>44</v>
      </c>
      <c r="Q6" s="103">
        <v>-57800</v>
      </c>
    </row>
    <row r="7" spans="1:17" x14ac:dyDescent="0.4">
      <c r="A7" s="55" t="s">
        <v>2</v>
      </c>
      <c r="B7" s="47">
        <v>26</v>
      </c>
      <c r="C7" s="39">
        <f>IF(B$2=0,0,B7/B$2)</f>
        <v>0.41935483870967744</v>
      </c>
      <c r="E7" s="63" t="s">
        <v>69</v>
      </c>
      <c r="F7" s="60" t="s">
        <v>12</v>
      </c>
      <c r="G7" s="47">
        <v>48</v>
      </c>
      <c r="H7" s="133">
        <f>IF(B$17=0,0,G7/B$17)</f>
        <v>0.31578947368421051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675</v>
      </c>
      <c r="P7" s="120">
        <v>36</v>
      </c>
      <c r="Q7" s="104">
        <v>24300</v>
      </c>
    </row>
    <row r="8" spans="1:17" x14ac:dyDescent="0.4">
      <c r="A8" s="55" t="s">
        <v>3</v>
      </c>
      <c r="B8" s="47">
        <v>19</v>
      </c>
      <c r="C8" s="39">
        <f>IF(B$2=0,0,B8/B$2)</f>
        <v>0.30645161290322581</v>
      </c>
      <c r="E8" s="63" t="s">
        <v>70</v>
      </c>
      <c r="F8" s="60" t="s">
        <v>25</v>
      </c>
      <c r="G8" s="47">
        <v>27</v>
      </c>
      <c r="H8" s="133">
        <f>IF(B$17=0,0,G8/B$17)</f>
        <v>0.17763157894736842</v>
      </c>
      <c r="I8" s="94">
        <v>6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0.27419354838709675</v>
      </c>
      <c r="E9" s="63" t="s">
        <v>66</v>
      </c>
      <c r="F9" s="60" t="s">
        <v>22</v>
      </c>
      <c r="G9" s="47">
        <v>18</v>
      </c>
      <c r="H9" s="133">
        <f>IF(B$17=0,0,G9/B$17)</f>
        <v>0.11842105263157894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</v>
      </c>
      <c r="C10" s="40">
        <f>IF(B$2=0,0,B10/B$2)</f>
        <v>0.14516129032258066</v>
      </c>
      <c r="E10" s="63" t="s">
        <v>90</v>
      </c>
      <c r="F10" s="60" t="s">
        <v>45</v>
      </c>
      <c r="G10" s="47">
        <v>17</v>
      </c>
      <c r="H10" s="133">
        <f>IF(B$17=0,0,G10/B$17)</f>
        <v>0.1118421052631579</v>
      </c>
      <c r="I10" s="94">
        <v>9</v>
      </c>
      <c r="K10" s="38">
        <v>8</v>
      </c>
      <c r="L10" s="99">
        <v>-87.1</v>
      </c>
      <c r="N10" s="114" t="s">
        <v>164</v>
      </c>
      <c r="O10" s="124">
        <f>IF(P10=0,0,Q10/P10)</f>
        <v>8.0055555555555546</v>
      </c>
      <c r="P10" s="118">
        <v>18</v>
      </c>
      <c r="Q10" s="106">
        <v>144.1</v>
      </c>
    </row>
    <row r="11" spans="1:17" x14ac:dyDescent="0.4">
      <c r="A11" s="56" t="s">
        <v>140</v>
      </c>
      <c r="B11" s="48">
        <v>9</v>
      </c>
      <c r="C11" s="40">
        <f>IF(B$2=0,0,B11/B$2)</f>
        <v>0.14516129032258066</v>
      </c>
      <c r="E11" s="63" t="s">
        <v>71</v>
      </c>
      <c r="F11" s="60" t="s">
        <v>26</v>
      </c>
      <c r="G11" s="47">
        <v>11</v>
      </c>
      <c r="H11" s="133">
        <f>IF(B$17=0,0,G11/B$17)</f>
        <v>7.2368421052631582E-2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11.691666666666668</v>
      </c>
      <c r="P11" s="119">
        <v>24</v>
      </c>
      <c r="Q11" s="107">
        <v>280.60000000000002</v>
      </c>
    </row>
    <row r="12" spans="1:17" x14ac:dyDescent="0.4">
      <c r="A12" s="57" t="s">
        <v>160</v>
      </c>
      <c r="B12" s="49">
        <v>5</v>
      </c>
      <c r="C12" s="42">
        <f>IF(B$2=0,0,B12/B$2)</f>
        <v>8.0645161290322578E-2</v>
      </c>
      <c r="E12" s="63" t="s">
        <v>72</v>
      </c>
      <c r="F12" s="60" t="s">
        <v>27</v>
      </c>
      <c r="G12" s="47">
        <v>9</v>
      </c>
      <c r="H12" s="133">
        <f>IF(B$17=0,0,G12/B$17)</f>
        <v>5.921052631578947E-2</v>
      </c>
      <c r="I12" s="94">
        <v>8</v>
      </c>
      <c r="K12" s="38">
        <v>10</v>
      </c>
      <c r="L12" s="99">
        <v>-183.7</v>
      </c>
      <c r="N12" s="116" t="s">
        <v>166</v>
      </c>
      <c r="O12" s="126">
        <f>IF(P12=0,0,Q12/P12)</f>
        <v>-3.8600000000000003</v>
      </c>
      <c r="P12" s="120">
        <v>20</v>
      </c>
      <c r="Q12" s="108">
        <v>-77.2</v>
      </c>
    </row>
    <row r="13" spans="1:17" x14ac:dyDescent="0.4">
      <c r="A13" s="58" t="s">
        <v>122</v>
      </c>
      <c r="B13" s="50">
        <v>144</v>
      </c>
      <c r="C13" s="44">
        <f>IF(B$3=0,0,B13/B$3)</f>
        <v>0.29032258064516131</v>
      </c>
      <c r="E13" s="63" t="s">
        <v>84</v>
      </c>
      <c r="F13" s="60" t="s">
        <v>39</v>
      </c>
      <c r="G13" s="47">
        <v>7</v>
      </c>
      <c r="H13" s="133">
        <f>IF(B$17=0,0,G13/B$17)</f>
        <v>4.6052631578947366E-2</v>
      </c>
      <c r="I13" s="94">
        <v>7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90</v>
      </c>
      <c r="C14" s="39">
        <f>IF(B$3=0,0,B14/B$3)</f>
        <v>0.18145161290322581</v>
      </c>
      <c r="E14" s="63" t="s">
        <v>79</v>
      </c>
      <c r="F14" s="60" t="s">
        <v>34</v>
      </c>
      <c r="G14" s="47">
        <v>5</v>
      </c>
      <c r="H14" s="133">
        <f>IF(B$17=0,0,G14/B$17)</f>
        <v>3.2894736842105261E-2</v>
      </c>
      <c r="I14" s="94">
        <v>5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94</v>
      </c>
      <c r="C15" s="37">
        <f>IF(B$13=0,0,B15/B$13)</f>
        <v>0.65277777777777779</v>
      </c>
      <c r="E15" s="63" t="s">
        <v>87</v>
      </c>
      <c r="F15" s="60" t="s">
        <v>42</v>
      </c>
      <c r="G15" s="47">
        <v>5</v>
      </c>
      <c r="H15" s="133">
        <f>IF(B$17=0,0,G15/B$17)</f>
        <v>3.2894736842105261E-2</v>
      </c>
      <c r="I15" s="94">
        <v>10</v>
      </c>
      <c r="K15" s="38">
        <v>13</v>
      </c>
      <c r="L15" s="99">
        <v>-209.59999999999997</v>
      </c>
      <c r="N15" s="114" t="s">
        <v>171</v>
      </c>
      <c r="O15" s="124">
        <f>IF(P15=0,0,Q15/P15)</f>
        <v>41.294444444444451</v>
      </c>
      <c r="P15" s="118">
        <v>18</v>
      </c>
      <c r="Q15" s="106">
        <v>743.30000000000007</v>
      </c>
    </row>
    <row r="16" spans="1:17" x14ac:dyDescent="0.4">
      <c r="A16" s="54" t="s">
        <v>125</v>
      </c>
      <c r="B16" s="46">
        <v>33</v>
      </c>
      <c r="C16" s="37">
        <f>IF(B$14=0,0,B16/B$14)</f>
        <v>0.36666666666666664</v>
      </c>
      <c r="E16" s="63" t="s">
        <v>92</v>
      </c>
      <c r="F16" s="60" t="s">
        <v>47</v>
      </c>
      <c r="G16" s="47">
        <v>5</v>
      </c>
      <c r="H16" s="133">
        <f>IF(B$17=0,0,G16/B$17)</f>
        <v>3.2894736842105261E-2</v>
      </c>
      <c r="I16" s="94">
        <v>1</v>
      </c>
      <c r="K16" s="38">
        <v>14</v>
      </c>
      <c r="L16" s="99">
        <v>-178.49999999999997</v>
      </c>
      <c r="N16" s="115" t="s">
        <v>200</v>
      </c>
      <c r="O16" s="125">
        <f>IF(P16=0,0,Q16/P16)</f>
        <v>26.1</v>
      </c>
      <c r="P16" s="119">
        <v>5</v>
      </c>
      <c r="Q16" s="107">
        <v>130.5</v>
      </c>
    </row>
    <row r="17" spans="1:17" x14ac:dyDescent="0.4">
      <c r="A17" s="54" t="s">
        <v>10</v>
      </c>
      <c r="B17" s="46">
        <f>B19+B18</f>
        <v>152</v>
      </c>
      <c r="C17" s="37">
        <f>IF(B$3=0,0,B17/B$3)</f>
        <v>0.30645161290322581</v>
      </c>
      <c r="E17" s="63" t="s">
        <v>82</v>
      </c>
      <c r="F17" s="60" t="s">
        <v>37</v>
      </c>
      <c r="G17" s="47">
        <v>4</v>
      </c>
      <c r="H17" s="133">
        <f>IF(B$17=0,0,G17/B$17)</f>
        <v>2.6315789473684209E-2</v>
      </c>
      <c r="I17" s="94">
        <v>8</v>
      </c>
      <c r="K17" s="38">
        <v>15</v>
      </c>
      <c r="L17" s="99">
        <v>-146.19999999999999</v>
      </c>
      <c r="N17" s="115" t="s">
        <v>184</v>
      </c>
      <c r="O17" s="125">
        <f>IF(P17=0,0,Q17/P17)</f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68</v>
      </c>
      <c r="C18" s="39">
        <f>IF(B$17=0,0,B18/B$17)</f>
        <v>0.44736842105263158</v>
      </c>
      <c r="E18" s="63" t="s">
        <v>86</v>
      </c>
      <c r="F18" s="60" t="s">
        <v>41</v>
      </c>
      <c r="G18" s="47">
        <v>3</v>
      </c>
      <c r="H18" s="133">
        <f>IF(B$17=0,0,G18/B$17)</f>
        <v>1.9736842105263157E-2</v>
      </c>
      <c r="I18" s="94">
        <v>1</v>
      </c>
      <c r="K18" s="38">
        <v>16</v>
      </c>
      <c r="L18" s="99">
        <v>-153.29999999999998</v>
      </c>
      <c r="N18" s="115" t="s">
        <v>129</v>
      </c>
      <c r="O18" s="125">
        <f>IF(P18=0,0,Q18/P18)</f>
        <v>15.755000000000001</v>
      </c>
      <c r="P18" s="119">
        <v>20</v>
      </c>
      <c r="Q18" s="107">
        <v>315.10000000000002</v>
      </c>
    </row>
    <row r="19" spans="1:17" x14ac:dyDescent="0.4">
      <c r="A19" s="55" t="s">
        <v>11</v>
      </c>
      <c r="B19" s="47">
        <v>84</v>
      </c>
      <c r="C19" s="39">
        <f>IF(B$17=0,0,B19/B$17)</f>
        <v>0.55263157894736847</v>
      </c>
      <c r="E19" s="63" t="s">
        <v>80</v>
      </c>
      <c r="F19" s="60" t="s">
        <v>35</v>
      </c>
      <c r="G19" s="47">
        <v>2</v>
      </c>
      <c r="H19" s="133">
        <f>IF(B$17=0,0,G19/B$17)</f>
        <v>1.3157894736842105E-2</v>
      </c>
      <c r="I19" s="94">
        <v>8</v>
      </c>
      <c r="K19" s="38">
        <v>17</v>
      </c>
      <c r="L19" s="99">
        <v>-161.19999999999999</v>
      </c>
      <c r="N19" s="115" t="s">
        <v>128</v>
      </c>
      <c r="O19" s="125">
        <f>IF(P19=0,0,Q19/P19)</f>
        <v>13.466666666666667</v>
      </c>
      <c r="P19" s="119">
        <v>24</v>
      </c>
      <c r="Q19" s="107">
        <v>323.2</v>
      </c>
    </row>
    <row r="20" spans="1:17" x14ac:dyDescent="0.4">
      <c r="A20" s="55" t="s">
        <v>13</v>
      </c>
      <c r="B20" s="47">
        <v>74</v>
      </c>
      <c r="C20" s="39">
        <f>IF(B$3=0,0,B20/B$3)</f>
        <v>0.14919354838709678</v>
      </c>
      <c r="E20" s="63" t="s">
        <v>91</v>
      </c>
      <c r="F20" s="60" t="s">
        <v>46</v>
      </c>
      <c r="G20" s="47">
        <v>2</v>
      </c>
      <c r="H20" s="133">
        <f>IF(B$17=0,0,G20/B$17)</f>
        <v>1.3157894736842105E-2</v>
      </c>
      <c r="I20" s="94">
        <v>1</v>
      </c>
      <c r="K20" s="38">
        <v>18</v>
      </c>
      <c r="L20" s="99">
        <v>-159</v>
      </c>
      <c r="N20" s="115" t="s">
        <v>173</v>
      </c>
      <c r="O20" s="125">
        <f>IF(P20=0,0,Q20/P20)</f>
        <v>10.050000000000002</v>
      </c>
      <c r="P20" s="119">
        <v>6</v>
      </c>
      <c r="Q20" s="107">
        <v>60.300000000000011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75</v>
      </c>
      <c r="F21" s="60" t="s">
        <v>30</v>
      </c>
      <c r="G21" s="47">
        <v>1</v>
      </c>
      <c r="H21" s="133">
        <f>IF(B$17=0,0,G21/B$17)</f>
        <v>6.5789473684210523E-3</v>
      </c>
      <c r="I21" s="94">
        <v>3</v>
      </c>
      <c r="K21" s="38">
        <v>19</v>
      </c>
      <c r="L21" s="99">
        <v>-235.6</v>
      </c>
      <c r="N21" s="115" t="s">
        <v>172</v>
      </c>
      <c r="O21" s="125">
        <f>IF(P21=0,0,Q21/P21)</f>
        <v>5.4062499999999973</v>
      </c>
      <c r="P21" s="119">
        <v>16</v>
      </c>
      <c r="Q21" s="107">
        <v>86.499999999999957</v>
      </c>
    </row>
    <row r="22" spans="1:17" x14ac:dyDescent="0.4">
      <c r="A22" s="55" t="s">
        <v>192</v>
      </c>
      <c r="B22" s="47">
        <v>45</v>
      </c>
      <c r="C22" s="135">
        <v>14</v>
      </c>
      <c r="E22" s="63" t="s">
        <v>76</v>
      </c>
      <c r="F22" s="60" t="s">
        <v>31</v>
      </c>
      <c r="G22" s="47">
        <v>1</v>
      </c>
      <c r="H22" s="133">
        <f>IF(B$17=0,0,G22/B$17)</f>
        <v>6.5789473684210523E-3</v>
      </c>
      <c r="I22" s="94">
        <v>4</v>
      </c>
      <c r="K22" s="38">
        <v>20</v>
      </c>
      <c r="L22" s="99">
        <v>-200.8</v>
      </c>
      <c r="N22" s="115" t="s">
        <v>127</v>
      </c>
      <c r="O22" s="125">
        <f>IF(P22=0,0,Q22/P22)</f>
        <v>-21.500000000000007</v>
      </c>
      <c r="P22" s="119">
        <v>27</v>
      </c>
      <c r="Q22" s="107">
        <v>-580.50000000000023</v>
      </c>
    </row>
    <row r="23" spans="1:17" x14ac:dyDescent="0.4">
      <c r="A23" s="55" t="s">
        <v>5</v>
      </c>
      <c r="B23" s="51">
        <f>IF(B$17=0,0,C23/B$17)</f>
        <v>8948.0263157894733</v>
      </c>
      <c r="C23" s="41">
        <v>1360100</v>
      </c>
      <c r="E23" s="63" t="s">
        <v>93</v>
      </c>
      <c r="F23" s="60" t="s">
        <v>48</v>
      </c>
      <c r="G23" s="47">
        <v>1</v>
      </c>
      <c r="H23" s="133">
        <f>IF(B$17=0,0,G23/B$17)</f>
        <v>6.5789473684210523E-3</v>
      </c>
      <c r="I23" s="94">
        <v>2</v>
      </c>
      <c r="K23" s="38">
        <v>21</v>
      </c>
      <c r="L23" s="99">
        <v>-188.60000000000002</v>
      </c>
      <c r="N23" s="115" t="s">
        <v>183</v>
      </c>
      <c r="O23" s="125">
        <f>IF(P23=0,0,Q23/P23)</f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-7635.135135135135</v>
      </c>
      <c r="C24" s="45">
        <v>-565000</v>
      </c>
      <c r="E24" s="63" t="s">
        <v>94</v>
      </c>
      <c r="F24" s="60" t="s">
        <v>49</v>
      </c>
      <c r="G24" s="47">
        <v>1</v>
      </c>
      <c r="H24" s="133">
        <f>IF(B$17=0,0,G24/B$17)</f>
        <v>6.5789473684210523E-3</v>
      </c>
      <c r="I24" s="94">
        <v>2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102</v>
      </c>
      <c r="F25" s="60" t="s">
        <v>57</v>
      </c>
      <c r="G25" s="47">
        <v>1</v>
      </c>
      <c r="H25" s="133">
        <f>IF(B$17=0,0,G25/B$17)</f>
        <v>6.5789473684210523E-3</v>
      </c>
      <c r="I25" s="94">
        <v>1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74</v>
      </c>
      <c r="F26" s="60" t="s">
        <v>29</v>
      </c>
      <c r="G26" s="47">
        <v>0</v>
      </c>
      <c r="H26" s="133">
        <f>IF(B$17=0,0,G26/B$17)</f>
        <v>0</v>
      </c>
      <c r="I26" s="94">
        <v>8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6.0483870967741934E-3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-151.5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8" t="s">
        <v>180</v>
      </c>
      <c r="F51" s="139" t="s">
        <v>181</v>
      </c>
      <c r="G51" s="48">
        <v>0</v>
      </c>
      <c r="H51" s="140">
        <f>IF(B$17=0,0,G51/B$17)</f>
        <v>0</v>
      </c>
      <c r="I51" s="141">
        <v>6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295</v>
      </c>
    </row>
    <row r="63" spans="5:12" x14ac:dyDescent="0.4">
      <c r="K63" s="38">
        <v>61</v>
      </c>
      <c r="L63" s="99">
        <v>359.4</v>
      </c>
    </row>
    <row r="64" spans="5:12" x14ac:dyDescent="0.4">
      <c r="K64" s="38">
        <v>62</v>
      </c>
      <c r="L64" s="99">
        <v>347.5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11984-961B-4F6A-9AF9-2C8AAB3A280A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4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2</v>
      </c>
      <c r="H51" s="140">
        <f>IF(B$17=0,0,G51/B$17)</f>
        <v>0.4</v>
      </c>
      <c r="I51" s="141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81428-ABAF-4D30-BF60-9737845D026E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15</v>
      </c>
      <c r="C2" s="151"/>
      <c r="E2" s="62" t="s">
        <v>65</v>
      </c>
      <c r="F2" s="59" t="s">
        <v>21</v>
      </c>
      <c r="G2" s="46">
        <v>20</v>
      </c>
      <c r="H2" s="132">
        <f>IF(B$17=0,0,G2/B$17)</f>
        <v>0.55555555555555558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-106.66666666666667</v>
      </c>
      <c r="P2" s="118">
        <v>15</v>
      </c>
      <c r="Q2" s="102">
        <v>-1600</v>
      </c>
    </row>
    <row r="3" spans="1:17" x14ac:dyDescent="0.4">
      <c r="A3" s="55" t="s">
        <v>8</v>
      </c>
      <c r="B3" s="152">
        <v>126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2.7777777777777776E-2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-820</v>
      </c>
      <c r="P3" s="119">
        <v>15</v>
      </c>
      <c r="Q3" s="103">
        <v>-12300</v>
      </c>
    </row>
    <row r="4" spans="1:17" x14ac:dyDescent="0.4">
      <c r="A4" s="55" t="s">
        <v>6</v>
      </c>
      <c r="B4" s="154">
        <v>-85.399999999999991</v>
      </c>
      <c r="C4" s="155"/>
      <c r="E4" s="63" t="s">
        <v>67</v>
      </c>
      <c r="F4" s="60" t="s">
        <v>23</v>
      </c>
      <c r="G4" s="47">
        <v>29</v>
      </c>
      <c r="H4" s="133">
        <f>IF(B$17=0,0,G4/B$17)</f>
        <v>0.80555555555555558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1273.3333333333333</v>
      </c>
      <c r="P4" s="119">
        <v>15</v>
      </c>
      <c r="Q4" s="103">
        <v>19100</v>
      </c>
    </row>
    <row r="5" spans="1:17" x14ac:dyDescent="0.4">
      <c r="A5" s="55" t="s">
        <v>7</v>
      </c>
      <c r="B5" s="156">
        <f>IF(B$2=0,0,B$4/B$2)</f>
        <v>-5.6933333333333325</v>
      </c>
      <c r="C5" s="157"/>
      <c r="E5" s="63" t="s">
        <v>68</v>
      </c>
      <c r="F5" s="60" t="s">
        <v>24</v>
      </c>
      <c r="G5" s="47">
        <v>7</v>
      </c>
      <c r="H5" s="133">
        <f>IF(B$17=0,0,G5/B$17)</f>
        <v>0.19444444444444445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-4364.2857142857147</v>
      </c>
      <c r="P5" s="119">
        <v>14</v>
      </c>
      <c r="Q5" s="103">
        <v>-61100</v>
      </c>
    </row>
    <row r="6" spans="1:17" x14ac:dyDescent="0.4">
      <c r="A6" s="55" t="s">
        <v>1</v>
      </c>
      <c r="B6" s="146">
        <f>IF(B$2=0,0,(B$7*1+B$8*2+B$9*3)/B$2)</f>
        <v>2.0666666666666669</v>
      </c>
      <c r="C6" s="147"/>
      <c r="E6" s="63" t="s">
        <v>69</v>
      </c>
      <c r="F6" s="60" t="s">
        <v>12</v>
      </c>
      <c r="G6" s="47">
        <v>12</v>
      </c>
      <c r="H6" s="133">
        <f>IF(B$17=0,0,G6/B$17)</f>
        <v>0.33333333333333331</v>
      </c>
      <c r="I6" s="94">
        <v>7</v>
      </c>
      <c r="K6" s="38">
        <v>4</v>
      </c>
      <c r="L6" s="99">
        <v>-49.800000000000004</v>
      </c>
      <c r="N6" s="115" t="s">
        <v>136</v>
      </c>
      <c r="O6" s="122">
        <f t="shared" si="0"/>
        <v>2485.7142857142858</v>
      </c>
      <c r="P6" s="119">
        <v>14</v>
      </c>
      <c r="Q6" s="103">
        <v>34800</v>
      </c>
    </row>
    <row r="7" spans="1:17" x14ac:dyDescent="0.4">
      <c r="A7" s="55" t="s">
        <v>2</v>
      </c>
      <c r="B7" s="47">
        <v>6</v>
      </c>
      <c r="C7" s="39">
        <f>IF(B$2=0,0,B7/B$2)</f>
        <v>0.4</v>
      </c>
      <c r="E7" s="63" t="s">
        <v>70</v>
      </c>
      <c r="F7" s="60" t="s">
        <v>25</v>
      </c>
      <c r="G7" s="47">
        <v>7</v>
      </c>
      <c r="H7" s="133">
        <f>IF(B$17=0,0,G7/B$17)</f>
        <v>0.19444444444444445</v>
      </c>
      <c r="I7" s="94">
        <v>5</v>
      </c>
      <c r="K7" s="38">
        <v>5</v>
      </c>
      <c r="L7" s="99">
        <v>-121</v>
      </c>
      <c r="N7" s="116" t="s">
        <v>137</v>
      </c>
      <c r="O7" s="123">
        <f t="shared" si="0"/>
        <v>-3407.6923076923076</v>
      </c>
      <c r="P7" s="120">
        <v>13</v>
      </c>
      <c r="Q7" s="104">
        <v>-44300</v>
      </c>
    </row>
    <row r="8" spans="1:17" x14ac:dyDescent="0.4">
      <c r="A8" s="55" t="s">
        <v>3</v>
      </c>
      <c r="B8" s="47">
        <v>2</v>
      </c>
      <c r="C8" s="39">
        <f>IF(B$2=0,0,B8/B$2)</f>
        <v>0.13333333333333333</v>
      </c>
      <c r="E8" s="63" t="s">
        <v>71</v>
      </c>
      <c r="F8" s="60" t="s">
        <v>26</v>
      </c>
      <c r="G8" s="47">
        <v>5</v>
      </c>
      <c r="H8" s="133">
        <f>IF(B$17=0,0,G8/B$17)</f>
        <v>0.1388888888888889</v>
      </c>
      <c r="I8" s="94">
        <v>2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0.46666666666666667</v>
      </c>
      <c r="E9" s="63" t="s">
        <v>72</v>
      </c>
      <c r="F9" s="60" t="s">
        <v>27</v>
      </c>
      <c r="G9" s="47">
        <v>2</v>
      </c>
      <c r="H9" s="133">
        <f>IF(B$17=0,0,G9/B$17)</f>
        <v>5.5555555555555552E-2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0.13333333333333333</v>
      </c>
      <c r="E10" s="63" t="s">
        <v>73</v>
      </c>
      <c r="F10" s="60" t="s">
        <v>28</v>
      </c>
      <c r="G10" s="47">
        <v>21</v>
      </c>
      <c r="H10" s="133">
        <f>IF(B$17=0,0,G10/B$17)</f>
        <v>0.58333333333333337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2.7777777777777776E-2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-3.2200000000000015</v>
      </c>
      <c r="P11" s="119">
        <v>5</v>
      </c>
      <c r="Q11" s="107">
        <v>-16.100000000000009</v>
      </c>
    </row>
    <row r="12" spans="1:17" x14ac:dyDescent="0.4">
      <c r="A12" s="57" t="s">
        <v>160</v>
      </c>
      <c r="B12" s="49">
        <v>1</v>
      </c>
      <c r="C12" s="42">
        <f>IF(B$2=0,0,B12/B$2)</f>
        <v>6.6666666666666666E-2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29</v>
      </c>
      <c r="C13" s="44">
        <f>IF(B$3=0,0,B13/B$3)</f>
        <v>0.23015873015873015</v>
      </c>
      <c r="E13" s="63" t="s">
        <v>76</v>
      </c>
      <c r="F13" s="60" t="s">
        <v>31</v>
      </c>
      <c r="G13" s="47">
        <v>1</v>
      </c>
      <c r="H13" s="133">
        <f>IF(B$17=0,0,G13/B$17)</f>
        <v>2.7777777777777776E-2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27</v>
      </c>
      <c r="C14" s="39">
        <f>IF(B$3=0,0,B14/B$3)</f>
        <v>0.21428571428571427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</v>
      </c>
      <c r="C15" s="37">
        <f>IF(B$13=0,0,B15/B$13)</f>
        <v>0.68965517241379315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64</v>
      </c>
      <c r="P15" s="118">
        <v>4</v>
      </c>
      <c r="Q15" s="106">
        <v>256</v>
      </c>
    </row>
    <row r="16" spans="1:17" x14ac:dyDescent="0.4">
      <c r="A16" s="54" t="s">
        <v>125</v>
      </c>
      <c r="B16" s="46">
        <v>12</v>
      </c>
      <c r="C16" s="37">
        <f>IF(B$14=0,0,B16/B$14)</f>
        <v>0.44444444444444442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127</v>
      </c>
      <c r="O16" s="125">
        <f t="shared" si="2"/>
        <v>-12.140000000000004</v>
      </c>
      <c r="P16" s="119">
        <v>10</v>
      </c>
      <c r="Q16" s="107">
        <v>-121.40000000000005</v>
      </c>
    </row>
    <row r="17" spans="1:17" x14ac:dyDescent="0.4">
      <c r="A17" s="54" t="s">
        <v>10</v>
      </c>
      <c r="B17" s="46">
        <f>B19+B18</f>
        <v>36</v>
      </c>
      <c r="C17" s="37">
        <f>IF(B$3=0,0,B17/B$3)</f>
        <v>0.2857142857142857</v>
      </c>
      <c r="E17" s="63" t="s">
        <v>80</v>
      </c>
      <c r="F17" s="60" t="s">
        <v>35</v>
      </c>
      <c r="G17" s="47">
        <v>2</v>
      </c>
      <c r="H17" s="133">
        <f>IF(B$17=0,0,G17/B$17)</f>
        <v>5.5555555555555552E-2</v>
      </c>
      <c r="I17" s="94">
        <v>1</v>
      </c>
      <c r="K17" s="38">
        <v>15</v>
      </c>
      <c r="L17" s="99">
        <v>-85.399999999999991</v>
      </c>
      <c r="N17" s="115" t="s">
        <v>172</v>
      </c>
      <c r="O17" s="125">
        <f t="shared" si="2"/>
        <v>-17.350000000000001</v>
      </c>
      <c r="P17" s="119">
        <v>2</v>
      </c>
      <c r="Q17" s="107">
        <v>-34.700000000000003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18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2.7777777777777776E-2</v>
      </c>
      <c r="I19" s="94">
        <v>7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27</v>
      </c>
      <c r="C20" s="39">
        <f>IF(B$3=0,0,B20/B$3)</f>
        <v>0.21428571428571427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0.1111111111111111</v>
      </c>
      <c r="I21" s="94">
        <v>2</v>
      </c>
      <c r="N21" s="115" t="s">
        <v>183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192</v>
      </c>
      <c r="B22" s="47">
        <v>17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8300</v>
      </c>
      <c r="C23" s="41">
        <v>298800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-8092.5925925925922</v>
      </c>
      <c r="C24" s="45">
        <v>-218500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68300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0.1388888888888889</v>
      </c>
      <c r="I27" s="94">
        <v>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2.7777777777777776E-2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13</v>
      </c>
      <c r="H51" s="140">
        <f>IF(B$17=0,0,G51/B$17)</f>
        <v>0.3611111111111111</v>
      </c>
      <c r="I51" s="141">
        <v>11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486A-1E85-4CD9-92DE-7E0F88237777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</v>
      </c>
      <c r="C2" s="151"/>
      <c r="E2" s="62" t="s">
        <v>65</v>
      </c>
      <c r="F2" s="59" t="s">
        <v>21</v>
      </c>
      <c r="G2" s="46">
        <v>14</v>
      </c>
      <c r="H2" s="132">
        <f>IF(B$17=0,0,G2/B$17)</f>
        <v>0.48275862068965519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-1966.6666666666667</v>
      </c>
      <c r="P2" s="118">
        <v>9</v>
      </c>
      <c r="Q2" s="102">
        <v>-17700</v>
      </c>
    </row>
    <row r="3" spans="1:17" x14ac:dyDescent="0.4">
      <c r="A3" s="55" t="s">
        <v>8</v>
      </c>
      <c r="B3" s="152">
        <v>85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6.8965517241379309E-2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4077.7777777777778</v>
      </c>
      <c r="P3" s="119">
        <v>9</v>
      </c>
      <c r="Q3" s="103">
        <v>36700</v>
      </c>
    </row>
    <row r="4" spans="1:17" x14ac:dyDescent="0.4">
      <c r="A4" s="55" t="s">
        <v>6</v>
      </c>
      <c r="B4" s="154">
        <v>18.099999999999994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0.55172413793103448</v>
      </c>
      <c r="I4" s="94">
        <v>13</v>
      </c>
      <c r="K4" s="38">
        <v>2</v>
      </c>
      <c r="L4" s="99">
        <v>-28.1</v>
      </c>
      <c r="N4" s="115" t="s">
        <v>134</v>
      </c>
      <c r="O4" s="122">
        <f t="shared" si="0"/>
        <v>-3733.3333333333335</v>
      </c>
      <c r="P4" s="119">
        <v>9</v>
      </c>
      <c r="Q4" s="103">
        <v>-33600</v>
      </c>
    </row>
    <row r="5" spans="1:17" x14ac:dyDescent="0.4">
      <c r="A5" s="55" t="s">
        <v>7</v>
      </c>
      <c r="B5" s="156">
        <f>IF(B$2=0,0,B$4/B$2)</f>
        <v>1.8099999999999994</v>
      </c>
      <c r="C5" s="157"/>
      <c r="E5" s="63" t="s">
        <v>68</v>
      </c>
      <c r="F5" s="60" t="s">
        <v>24</v>
      </c>
      <c r="G5" s="47">
        <v>9</v>
      </c>
      <c r="H5" s="133">
        <f>IF(B$17=0,0,G5/B$17)</f>
        <v>0.31034482758620691</v>
      </c>
      <c r="I5" s="94">
        <v>8</v>
      </c>
      <c r="K5" s="38">
        <v>3</v>
      </c>
      <c r="L5" s="99">
        <v>-20.400000000000002</v>
      </c>
      <c r="N5" s="115" t="s">
        <v>135</v>
      </c>
      <c r="O5" s="122">
        <f t="shared" si="0"/>
        <v>-1666.6666666666667</v>
      </c>
      <c r="P5" s="119">
        <v>9</v>
      </c>
      <c r="Q5" s="103">
        <v>-15000</v>
      </c>
    </row>
    <row r="6" spans="1:17" x14ac:dyDescent="0.4">
      <c r="A6" s="55" t="s">
        <v>1</v>
      </c>
      <c r="B6" s="146">
        <f>IF(B$2=0,0,(B$7*1+B$8*2+B$9*3)/B$2)</f>
        <v>1.8</v>
      </c>
      <c r="C6" s="147"/>
      <c r="E6" s="63" t="s">
        <v>69</v>
      </c>
      <c r="F6" s="60" t="s">
        <v>12</v>
      </c>
      <c r="G6" s="47">
        <v>11</v>
      </c>
      <c r="H6" s="133">
        <f>IF(B$17=0,0,G6/B$17)</f>
        <v>0.37931034482758619</v>
      </c>
      <c r="I6" s="94">
        <v>4</v>
      </c>
      <c r="K6" s="38">
        <v>4</v>
      </c>
      <c r="L6" s="99">
        <v>19.399999999999995</v>
      </c>
      <c r="N6" s="115" t="s">
        <v>136</v>
      </c>
      <c r="O6" s="122">
        <f t="shared" si="0"/>
        <v>1957.1428571428571</v>
      </c>
      <c r="P6" s="119">
        <v>7</v>
      </c>
      <c r="Q6" s="103">
        <v>13700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70</v>
      </c>
      <c r="F7" s="60" t="s">
        <v>25</v>
      </c>
      <c r="G7" s="47">
        <v>5</v>
      </c>
      <c r="H7" s="133">
        <f>IF(B$17=0,0,G7/B$17)</f>
        <v>0.17241379310344829</v>
      </c>
      <c r="I7" s="94">
        <v>8</v>
      </c>
      <c r="K7" s="38">
        <v>5</v>
      </c>
      <c r="L7" s="99">
        <v>-16.100000000000005</v>
      </c>
      <c r="N7" s="116" t="s">
        <v>137</v>
      </c>
      <c r="O7" s="123">
        <f t="shared" si="0"/>
        <v>2000</v>
      </c>
      <c r="P7" s="120">
        <v>7</v>
      </c>
      <c r="Q7" s="104">
        <v>14000</v>
      </c>
    </row>
    <row r="8" spans="1:17" x14ac:dyDescent="0.4">
      <c r="A8" s="55" t="s">
        <v>3</v>
      </c>
      <c r="B8" s="47">
        <v>6</v>
      </c>
      <c r="C8" s="39">
        <f>IF(B$2=0,0,B8/B$2)</f>
        <v>0.6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19</v>
      </c>
      <c r="H10" s="133">
        <f>IF(B$17=0,0,G10/B$17)</f>
        <v>0.65517241379310343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2.5749999999999993</v>
      </c>
      <c r="P10" s="118">
        <v>4</v>
      </c>
      <c r="Q10" s="106">
        <v>10.299999999999997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18.099999999999994</v>
      </c>
      <c r="N11" s="115" t="s">
        <v>165</v>
      </c>
      <c r="O11" s="125">
        <f>IF(P11=0,0,Q11/P11)</f>
        <v>8.1</v>
      </c>
      <c r="P11" s="119">
        <v>2</v>
      </c>
      <c r="Q11" s="107">
        <v>16.2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18.099999999999994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20</v>
      </c>
      <c r="C13" s="44">
        <f>IF(B$3=0,0,B13/B$3)</f>
        <v>0.23529411764705882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0.29411764705882354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12</v>
      </c>
      <c r="C16" s="37">
        <f>IF(B$14=0,0,B16/B$14)</f>
        <v>0.48</v>
      </c>
      <c r="E16" s="63" t="s">
        <v>79</v>
      </c>
      <c r="F16" s="60" t="s">
        <v>34</v>
      </c>
      <c r="G16" s="47">
        <v>2</v>
      </c>
      <c r="H16" s="133">
        <f>IF(B$17=0,0,G16/B$17)</f>
        <v>6.8965517241379309E-2</v>
      </c>
      <c r="I16" s="94">
        <v>2</v>
      </c>
      <c r="N16" s="115" t="s">
        <v>171</v>
      </c>
      <c r="O16" s="125">
        <f t="shared" si="2"/>
        <v>22.524999999999999</v>
      </c>
      <c r="P16" s="119">
        <v>4</v>
      </c>
      <c r="Q16" s="107">
        <v>90.1</v>
      </c>
    </row>
    <row r="17" spans="1:17" x14ac:dyDescent="0.4">
      <c r="A17" s="54" t="s">
        <v>10</v>
      </c>
      <c r="B17" s="46">
        <f>B19+B18</f>
        <v>29</v>
      </c>
      <c r="C17" s="37">
        <f>IF(B$3=0,0,B17/B$3)</f>
        <v>0.3411764705882353</v>
      </c>
      <c r="E17" s="63" t="s">
        <v>80</v>
      </c>
      <c r="F17" s="60" t="s">
        <v>35</v>
      </c>
      <c r="G17" s="47">
        <v>1</v>
      </c>
      <c r="H17" s="133">
        <f>IF(B$17=0,0,G17/B$17)</f>
        <v>3.4482758620689655E-2</v>
      </c>
      <c r="I17" s="94">
        <v>2</v>
      </c>
      <c r="N17" s="115" t="s">
        <v>127</v>
      </c>
      <c r="O17" s="125">
        <f t="shared" si="2"/>
        <v>8.9666666666666668</v>
      </c>
      <c r="P17" s="119">
        <v>3</v>
      </c>
      <c r="Q17" s="107">
        <v>26.9</v>
      </c>
    </row>
    <row r="18" spans="1:17" x14ac:dyDescent="0.4">
      <c r="A18" s="55" t="s">
        <v>12</v>
      </c>
      <c r="B18" s="47">
        <v>17</v>
      </c>
      <c r="C18" s="39">
        <f>IF(B$17=0,0,B18/B$17)</f>
        <v>0.58620689655172409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12</v>
      </c>
      <c r="C19" s="39">
        <f>IF(B$17=0,0,B19/B$17)</f>
        <v>0.41379310344827586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2.7399999999999949</v>
      </c>
      <c r="P19" s="119">
        <v>5</v>
      </c>
      <c r="Q19" s="107">
        <v>13.699999999999974</v>
      </c>
    </row>
    <row r="20" spans="1:17" x14ac:dyDescent="0.4">
      <c r="A20" s="55" t="s">
        <v>13</v>
      </c>
      <c r="B20" s="47">
        <v>14</v>
      </c>
      <c r="C20" s="39">
        <f>IF(B$3=0,0,B20/B$3)</f>
        <v>0.16470588235294117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-26.1</v>
      </c>
      <c r="P20" s="119">
        <v>5</v>
      </c>
      <c r="Q20" s="107">
        <v>-130.5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3.4482758620689655E-2</v>
      </c>
      <c r="I21" s="94">
        <v>10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6765.5172413793107</v>
      </c>
      <c r="C23" s="41">
        <v>196200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-6378.5714285714284</v>
      </c>
      <c r="C24" s="45">
        <v>-89300</v>
      </c>
      <c r="E24" s="63" t="s">
        <v>87</v>
      </c>
      <c r="F24" s="60" t="s">
        <v>42</v>
      </c>
      <c r="G24" s="47">
        <v>3</v>
      </c>
      <c r="H24" s="133">
        <f>IF(B$17=0,0,G24/B$17)</f>
        <v>0.10344827586206896</v>
      </c>
      <c r="I24" s="94">
        <v>2</v>
      </c>
    </row>
    <row r="25" spans="1:17" x14ac:dyDescent="0.4">
      <c r="A25" s="90" t="s">
        <v>142</v>
      </c>
      <c r="B25" s="144">
        <v>4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54800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0.13793103448275862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9</v>
      </c>
      <c r="H51" s="140">
        <f>IF(B$17=0,0,G51/B$17)</f>
        <v>0.31034482758620691</v>
      </c>
      <c r="I51" s="141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4053-E633-45EA-BCE3-5F7BEF1CD416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0.5</v>
      </c>
      <c r="I51" s="141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33E82-91D5-494C-AC3C-82E94060075A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52">
        <v>17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4">
        <v>-24.7</v>
      </c>
      <c r="C4" s="155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6">
        <f>IF(B$2=0,0,B$4/B$2)</f>
        <v>-12.35</v>
      </c>
      <c r="C5" s="157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6">
        <f>IF(B$2=0,0,(B$7*1+B$8*2+B$9*3)/B$2)</f>
        <v>2.5</v>
      </c>
      <c r="C6" s="147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192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47300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138" t="s">
        <v>245</v>
      </c>
      <c r="F51" s="139" t="s">
        <v>246</v>
      </c>
      <c r="G51" s="48">
        <v>1</v>
      </c>
      <c r="H51" s="140">
        <f>IF(B$17=0,0,G51/B$17)</f>
        <v>0.2</v>
      </c>
      <c r="I51" s="141">
        <v>13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29A1A-11EB-4D4D-9C13-BFB0CB4A1C02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584-75BA-4460-B6D3-3C88ABBA198D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0421F-71A8-4330-B42A-F7FE309C5BA6}">
  <sheetPr codeName="Sheet26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18.099999999999994</v>
      </c>
      <c r="C13" s="66">
        <v>1.8099999999999994</v>
      </c>
      <c r="D13" s="71">
        <v>1.8</v>
      </c>
      <c r="E13" s="67">
        <v>0.3</v>
      </c>
      <c r="F13" s="67">
        <v>0.1</v>
      </c>
      <c r="G13" s="67">
        <v>0.3411764705882353</v>
      </c>
      <c r="H13" s="67">
        <v>0.16470588235294117</v>
      </c>
      <c r="I13" s="68">
        <v>6765.5172413793107</v>
      </c>
      <c r="J13" s="68">
        <v>-6378.5714285714284</v>
      </c>
      <c r="K13" s="67">
        <v>0</v>
      </c>
      <c r="L13" s="67">
        <v>0</v>
      </c>
      <c r="M13" s="67">
        <v>0.23529411764705882</v>
      </c>
      <c r="N13" s="67">
        <v>0.29411764705882354</v>
      </c>
      <c r="O13" s="67">
        <v>0.7</v>
      </c>
      <c r="P13" s="67">
        <v>0.48</v>
      </c>
      <c r="Q13" s="67">
        <v>0.58620689655172409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D3DE-EAB2-418C-B5AB-C3CC1E224B1A}">
  <sheetPr codeName="Sheet24"/>
  <dimension ref="A1:Q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-85.399999999999991</v>
      </c>
      <c r="C18" s="66">
        <v>-5.6933333333333325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481CA-656B-4ABC-8423-4EFD906EF00F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0A96D8-CA80-4D9E-B28F-2A29C742664F}">
  <sheetPr codeName="Sheet20"/>
  <dimension ref="A1:Q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295</v>
      </c>
      <c r="C63" s="66">
        <v>4.916666666666667</v>
      </c>
      <c r="D63" s="71">
        <v>1.8666666666666667</v>
      </c>
      <c r="E63" s="67">
        <v>0.41666666666666669</v>
      </c>
      <c r="F63" s="67">
        <v>0.28333333333333333</v>
      </c>
      <c r="G63" s="67">
        <v>0.30721649484536084</v>
      </c>
      <c r="H63" s="67">
        <v>0.15257731958762888</v>
      </c>
      <c r="I63" s="68">
        <v>8833.5570469798658</v>
      </c>
      <c r="J63" s="68">
        <v>-7635.135135135135</v>
      </c>
      <c r="K63" s="67">
        <v>0.15</v>
      </c>
      <c r="L63" s="67">
        <v>0.13333333333333333</v>
      </c>
      <c r="M63" s="67">
        <v>0.2907216494845361</v>
      </c>
      <c r="N63" s="67">
        <v>0.18144329896907216</v>
      </c>
      <c r="O63" s="67">
        <v>0.65957446808510634</v>
      </c>
      <c r="P63" s="67">
        <v>0.375</v>
      </c>
      <c r="Q63" s="67">
        <v>0.44295302013422821</v>
      </c>
    </row>
    <row r="64" spans="1:17" x14ac:dyDescent="0.4">
      <c r="A64" s="69">
        <v>61</v>
      </c>
      <c r="B64" s="66">
        <v>359.4</v>
      </c>
      <c r="C64" s="66">
        <v>5.8918032786885242</v>
      </c>
      <c r="D64" s="71">
        <v>1.8524590163934427</v>
      </c>
      <c r="E64" s="67">
        <v>0.42622950819672129</v>
      </c>
      <c r="F64" s="67">
        <v>0.27868852459016391</v>
      </c>
      <c r="G64" s="67">
        <v>0.30894308943089432</v>
      </c>
      <c r="H64" s="67">
        <v>0.15040650406504066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0.29065040650406504</v>
      </c>
      <c r="N64" s="67">
        <v>0.17886178861788618</v>
      </c>
      <c r="O64" s="67">
        <v>0.65734265734265729</v>
      </c>
      <c r="P64" s="67">
        <v>0.375</v>
      </c>
      <c r="Q64" s="67">
        <v>0.44736842105263158</v>
      </c>
    </row>
    <row r="65" spans="1:17" x14ac:dyDescent="0.4">
      <c r="A65" s="69">
        <v>62</v>
      </c>
      <c r="B65" s="66">
        <v>347.5</v>
      </c>
      <c r="C65" s="66">
        <v>5.604838709677419</v>
      </c>
      <c r="D65" s="71">
        <v>1.8548387096774193</v>
      </c>
      <c r="E65" s="67">
        <v>0.41935483870967744</v>
      </c>
      <c r="F65" s="67">
        <v>0.27419354838709675</v>
      </c>
      <c r="G65" s="67">
        <v>0.30645161290322581</v>
      </c>
      <c r="H65" s="67">
        <v>0.14919354838709678</v>
      </c>
      <c r="I65" s="68">
        <v>8948.0263157894733</v>
      </c>
      <c r="J65" s="68">
        <v>-7635.135135135135</v>
      </c>
      <c r="K65" s="67">
        <v>0.14516129032258066</v>
      </c>
      <c r="L65" s="67">
        <v>0.14516129032258066</v>
      </c>
      <c r="M65" s="67">
        <v>0.29032258064516131</v>
      </c>
      <c r="N65" s="67">
        <v>0.18145161290322581</v>
      </c>
      <c r="O65" s="67">
        <v>0.65277777777777779</v>
      </c>
      <c r="P65" s="67">
        <v>0.36666666666666664</v>
      </c>
      <c r="Q65" s="67">
        <v>0.44736842105263158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FE3A4-0A6C-44E2-AD8B-3FE3F455F42F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FE53-43B9-46DF-BA3A-2E05AF4A0C75}">
  <sheetPr codeName="Sheet16"/>
  <dimension ref="A1:Q7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E90D4-F851-4055-A23C-61016B8A87CD}">
  <sheetPr codeName="Sheet14"/>
  <dimension ref="A1:Q9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FB072-025A-40A9-89CB-D0676B3EF31C}">
  <sheetPr codeName="Sheet12"/>
  <dimension ref="A1:Q9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ABBFD-DEFF-4D3D-87BB-17440BF2CCB3}">
  <sheetPr codeName="Sheet10"/>
  <dimension ref="A1:Q12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8177C-30AE-496B-863A-4FC58CDF78AC}">
  <sheetPr codeName="Sheet8"/>
  <dimension ref="A1:Q15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1767.0000000000009</v>
      </c>
      <c r="C150" s="66">
        <v>12.020408163265312</v>
      </c>
      <c r="D150" s="71">
        <v>1.7414965986394557</v>
      </c>
      <c r="E150" s="67">
        <v>0.48979591836734693</v>
      </c>
      <c r="F150" s="67">
        <v>0.23129251700680273</v>
      </c>
      <c r="G150" s="67">
        <v>0.34670008354218879</v>
      </c>
      <c r="H150" s="67">
        <v>0.16040100250626566</v>
      </c>
      <c r="I150" s="68">
        <v>9091.0843373493972</v>
      </c>
      <c r="J150" s="68">
        <v>-8247.9166666666661</v>
      </c>
      <c r="K150" s="67">
        <v>0.10204081632653061</v>
      </c>
      <c r="L150" s="67">
        <v>0.17006802721088435</v>
      </c>
      <c r="M150" s="67">
        <v>0.31244778613199664</v>
      </c>
      <c r="N150" s="67">
        <v>0.21888053467000834</v>
      </c>
      <c r="O150" s="67">
        <v>0.57486631016042777</v>
      </c>
      <c r="P150" s="67">
        <v>0.51908396946564883</v>
      </c>
      <c r="Q150" s="67">
        <v>0.40963855421686746</v>
      </c>
    </row>
    <row r="151" spans="1:17" x14ac:dyDescent="0.4">
      <c r="A151" s="69">
        <v>148</v>
      </c>
      <c r="B151" s="66">
        <v>1763.5000000000009</v>
      </c>
      <c r="C151" s="66">
        <v>11.915540540540547</v>
      </c>
      <c r="D151" s="71">
        <v>1.7432432432432432</v>
      </c>
      <c r="E151" s="67">
        <v>0.48648648648648651</v>
      </c>
      <c r="F151" s="67">
        <v>0.22972972972972974</v>
      </c>
      <c r="G151" s="67">
        <v>0.34551495016611294</v>
      </c>
      <c r="H151" s="67">
        <v>0.15946843853820597</v>
      </c>
      <c r="I151" s="68">
        <v>9088.461538461539</v>
      </c>
      <c r="J151" s="68">
        <v>-8247.9166666666661</v>
      </c>
      <c r="K151" s="67">
        <v>0.10135135135135136</v>
      </c>
      <c r="L151" s="67">
        <v>0.16891891891891891</v>
      </c>
      <c r="M151" s="67">
        <v>0.31146179401993357</v>
      </c>
      <c r="N151" s="67">
        <v>0.22009966777408638</v>
      </c>
      <c r="O151" s="67">
        <v>0.57333333333333336</v>
      </c>
      <c r="P151" s="67">
        <v>0.51698113207547169</v>
      </c>
      <c r="Q151" s="67">
        <v>0.40865384615384615</v>
      </c>
    </row>
    <row r="152" spans="1:17" x14ac:dyDescent="0.4">
      <c r="A152" s="69">
        <v>149</v>
      </c>
      <c r="B152" s="66">
        <v>1727.1000000000008</v>
      </c>
      <c r="C152" s="66">
        <v>11.591275167785241</v>
      </c>
      <c r="D152" s="71">
        <v>1.7516778523489933</v>
      </c>
      <c r="E152" s="67">
        <v>0.48322147651006714</v>
      </c>
      <c r="F152" s="67">
        <v>0.2348993288590604</v>
      </c>
      <c r="G152" s="67">
        <v>0.34349258649093906</v>
      </c>
      <c r="H152" s="67">
        <v>0.15980230642504117</v>
      </c>
      <c r="I152" s="68">
        <v>9085.851318944844</v>
      </c>
      <c r="J152" s="68">
        <v>-8265.4639175257726</v>
      </c>
      <c r="K152" s="67">
        <v>0.10067114093959731</v>
      </c>
      <c r="L152" s="67">
        <v>0.16778523489932887</v>
      </c>
      <c r="M152" s="67">
        <v>0.30971993410214166</v>
      </c>
      <c r="N152" s="67">
        <v>0.21993410214168038</v>
      </c>
      <c r="O152" s="67">
        <v>0.57180851063829785</v>
      </c>
      <c r="P152" s="67">
        <v>0.5168539325842697</v>
      </c>
      <c r="Q152" s="67">
        <v>0.407673860911271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25B43-A7D3-4905-9FA2-B6BE087D125A}">
  <sheetPr codeName="Sheet6"/>
  <dimension ref="A1:Q2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-1.0000000000000213</v>
      </c>
      <c r="C219" s="66">
        <v>-1.5432098765432428E-3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-1.0000000000000213</v>
      </c>
      <c r="C220" s="66">
        <v>-1.5360983102918914E-3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-1.0000000000000213</v>
      </c>
      <c r="C221" s="66">
        <v>-1.5290519877676166E-3</v>
      </c>
      <c r="D221" s="71">
        <v>1.9954128440366972</v>
      </c>
      <c r="E221" s="67">
        <v>0.3363914373088685</v>
      </c>
      <c r="F221" s="67">
        <v>0.33180428134556578</v>
      </c>
      <c r="G221" s="67">
        <v>0.29922992299229922</v>
      </c>
      <c r="H221" s="67">
        <v>0.16813348001466813</v>
      </c>
      <c r="I221" s="68">
        <v>8627.6348039215682</v>
      </c>
      <c r="J221" s="68">
        <v>-8286.0414394765539</v>
      </c>
      <c r="K221" s="67">
        <v>0.11467889908256881</v>
      </c>
      <c r="L221" s="67">
        <v>0.11467889908256881</v>
      </c>
      <c r="M221" s="67">
        <v>0.28034470113678034</v>
      </c>
      <c r="N221" s="67">
        <v>0.20737073707370737</v>
      </c>
      <c r="O221" s="67">
        <v>0.57750163505559193</v>
      </c>
      <c r="P221" s="67">
        <v>0.39434129089301501</v>
      </c>
      <c r="Q221" s="67">
        <v>0.43198529411764708</v>
      </c>
    </row>
    <row r="222" spans="1:17" x14ac:dyDescent="0.4">
      <c r="A222" s="69">
        <v>219</v>
      </c>
      <c r="B222" s="66">
        <v>-1.0000000000000142</v>
      </c>
      <c r="C222" s="66">
        <v>-1.5220700152207218E-3</v>
      </c>
      <c r="D222" s="71">
        <v>1.995433789954338</v>
      </c>
      <c r="E222" s="67">
        <v>0.33637747336377471</v>
      </c>
      <c r="F222" s="67">
        <v>0.33181126331811261</v>
      </c>
      <c r="G222" s="67">
        <v>0.29881278538812783</v>
      </c>
      <c r="H222" s="67">
        <v>0.16785388127853881</v>
      </c>
      <c r="I222" s="68">
        <v>8638.2640586797061</v>
      </c>
      <c r="J222" s="68">
        <v>-8280.9575625680081</v>
      </c>
      <c r="K222" s="67">
        <v>0.11567732115677321</v>
      </c>
      <c r="L222" s="67">
        <v>0.11567732115677321</v>
      </c>
      <c r="M222" s="67">
        <v>0.2798173515981735</v>
      </c>
      <c r="N222" s="67">
        <v>0.20767123287671233</v>
      </c>
      <c r="O222" s="67">
        <v>0.57702349869451697</v>
      </c>
      <c r="P222" s="67">
        <v>0.39313984168865435</v>
      </c>
      <c r="Q222" s="67">
        <v>0.43215158924205377</v>
      </c>
    </row>
    <row r="223" spans="1:17" x14ac:dyDescent="0.4">
      <c r="A223" s="69">
        <v>220</v>
      </c>
      <c r="B223" s="66">
        <v>-1.0000000000000142</v>
      </c>
      <c r="C223" s="66">
        <v>-1.5151515151515366E-3</v>
      </c>
      <c r="D223" s="71">
        <v>1.9954545454545454</v>
      </c>
      <c r="E223" s="67">
        <v>0.33636363636363636</v>
      </c>
      <c r="F223" s="67">
        <v>0.33181818181818185</v>
      </c>
      <c r="G223" s="67">
        <v>0.29888828139238199</v>
      </c>
      <c r="H223" s="67">
        <v>0.16785128485511208</v>
      </c>
      <c r="I223" s="68">
        <v>8643.9024390243903</v>
      </c>
      <c r="J223" s="68">
        <v>-8289.0336590662318</v>
      </c>
      <c r="K223" s="67">
        <v>0.11666666666666667</v>
      </c>
      <c r="L223" s="67">
        <v>0.11666666666666667</v>
      </c>
      <c r="M223" s="67">
        <v>0.27956989247311825</v>
      </c>
      <c r="N223" s="67">
        <v>0.20794605431018773</v>
      </c>
      <c r="O223" s="67">
        <v>0.57692307692307687</v>
      </c>
      <c r="P223" s="67">
        <v>0.39351446099912357</v>
      </c>
      <c r="Q223" s="67">
        <v>0.4323170731707317</v>
      </c>
    </row>
    <row r="224" spans="1:17" x14ac:dyDescent="0.4">
      <c r="A224" s="69">
        <v>221</v>
      </c>
      <c r="B224" s="66">
        <v>-1.0000000000000142</v>
      </c>
      <c r="C224" s="66">
        <v>-1.5082956259427063E-3</v>
      </c>
      <c r="D224" s="71">
        <v>1.995475113122172</v>
      </c>
      <c r="E224" s="67">
        <v>0.33634992458521873</v>
      </c>
      <c r="F224" s="67">
        <v>0.33182503770739064</v>
      </c>
      <c r="G224" s="67">
        <v>0.29853181076672103</v>
      </c>
      <c r="H224" s="67">
        <v>0.16802610114192496</v>
      </c>
      <c r="I224" s="68">
        <v>8648.7553126897383</v>
      </c>
      <c r="J224" s="68">
        <v>-8289.8597626752962</v>
      </c>
      <c r="K224" s="67">
        <v>0.11613876319758673</v>
      </c>
      <c r="L224" s="67">
        <v>0.11613876319758673</v>
      </c>
      <c r="M224" s="67">
        <v>0.27949972811310497</v>
      </c>
      <c r="N224" s="67">
        <v>0.20790284574950155</v>
      </c>
      <c r="O224" s="67">
        <v>0.57652399481193251</v>
      </c>
      <c r="P224" s="67">
        <v>0.39319965126416739</v>
      </c>
      <c r="Q224" s="67">
        <v>0.43108682452944747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2019-06-13T17:13:38Z</dcterms:modified>
</cp:coreProperties>
</file>