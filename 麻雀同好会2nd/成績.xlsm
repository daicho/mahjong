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BDC1F7D5-FEBE-4C3E-825E-18723385C42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のり" sheetId="5531" r:id="rId19"/>
    <sheet name="のり2" sheetId="5532" state="hidden" r:id="rId20"/>
    <sheet name="やがさき2" sheetId="5530" state="hidden" r:id="rId21"/>
    <sheet name="かわたつ2" sheetId="5528" state="hidden" r:id="rId22"/>
    <sheet name="ほたに2" sheetId="5526" state="hidden" r:id="rId23"/>
    <sheet name="いっしー2" sheetId="5524" state="hidden" r:id="rId24"/>
    <sheet name="あさひ2" sheetId="5522" state="hidden" r:id="rId25"/>
    <sheet name="まっつん2" sheetId="5520" state="hidden" r:id="rId26"/>
    <sheet name="ぱぱ2" sheetId="5518" state="hidden" r:id="rId27"/>
    <sheet name="たかの2" sheetId="5516" state="hidden" r:id="rId28"/>
    <sheet name="れんたろう2" sheetId="5514" state="hidden" r:id="rId29"/>
    <sheet name="ただ2" sheetId="5512" state="hidden" r:id="rId30"/>
    <sheet name="りくと2" sheetId="5510" state="hidden" r:id="rId31"/>
    <sheet name="だいち2" sheetId="5508" state="hidden" r:id="rId32"/>
    <sheet name="全体2" sheetId="550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7" l="1"/>
  <c r="O18" i="5531"/>
  <c r="O21" i="5525" l="1"/>
  <c r="O15" i="5531"/>
  <c r="O15" i="5511" l="1"/>
  <c r="O15" i="5519"/>
  <c r="O15" i="5505"/>
  <c r="O17" i="5531"/>
  <c r="O16" i="5531"/>
  <c r="H40" i="5531"/>
  <c r="H10" i="5531"/>
  <c r="C27" i="5531"/>
  <c r="B24" i="5531"/>
  <c r="C20" i="5531"/>
  <c r="B17" i="5531"/>
  <c r="H2" i="5531" s="1"/>
  <c r="C16" i="5531"/>
  <c r="C15" i="5531"/>
  <c r="C14" i="5531"/>
  <c r="C13" i="5531"/>
  <c r="O12" i="5531"/>
  <c r="C12" i="5531"/>
  <c r="O11" i="5531"/>
  <c r="C11" i="5531"/>
  <c r="O10" i="5531"/>
  <c r="C10" i="5531"/>
  <c r="C9" i="5531"/>
  <c r="C8" i="5531"/>
  <c r="O7" i="5531"/>
  <c r="C7" i="5531"/>
  <c r="O6" i="5531"/>
  <c r="B6" i="5531"/>
  <c r="O5" i="5531"/>
  <c r="B5" i="5531"/>
  <c r="O4" i="5531"/>
  <c r="H3" i="5531"/>
  <c r="O3" i="5531"/>
  <c r="O2" i="5531"/>
  <c r="H9" i="5531" l="1"/>
  <c r="H11" i="5531"/>
  <c r="H13" i="5531"/>
  <c r="H41" i="5531"/>
  <c r="H15" i="5531"/>
  <c r="H23" i="5531"/>
  <c r="H6" i="5531"/>
  <c r="H30" i="5531"/>
  <c r="B23" i="5531"/>
  <c r="H25" i="5531"/>
  <c r="H4" i="5531"/>
  <c r="C17" i="5531"/>
  <c r="H48" i="5531"/>
  <c r="H31" i="5531"/>
  <c r="H7" i="5531"/>
  <c r="H16" i="5531"/>
  <c r="H46" i="5531"/>
  <c r="C18" i="5531"/>
  <c r="H47" i="5531"/>
  <c r="H12" i="5531"/>
  <c r="H17" i="5531"/>
  <c r="H26" i="5531"/>
  <c r="C19" i="5531"/>
  <c r="H49" i="5531"/>
  <c r="H45" i="5531"/>
  <c r="H32" i="5531"/>
  <c r="H33" i="5531"/>
  <c r="H14" i="5531"/>
  <c r="H20" i="5531"/>
  <c r="H37" i="5531"/>
  <c r="H5" i="5531"/>
  <c r="H8" i="5531"/>
  <c r="H27" i="5531"/>
  <c r="H38" i="5531"/>
  <c r="H18" i="5531"/>
  <c r="H21" i="5531"/>
  <c r="H39" i="5531"/>
  <c r="H52" i="5531"/>
  <c r="H22" i="5531"/>
  <c r="H28" i="5531"/>
  <c r="H34" i="5531"/>
  <c r="H42" i="5531"/>
  <c r="H50" i="5531"/>
  <c r="H35" i="5531"/>
  <c r="H43" i="5531"/>
  <c r="H51" i="5531"/>
  <c r="H19" i="5531"/>
  <c r="H24" i="5531"/>
  <c r="H29" i="5531"/>
  <c r="H36" i="5531"/>
  <c r="H44" i="5531"/>
  <c r="O22" i="5525" l="1"/>
  <c r="O17" i="5511"/>
  <c r="O23" i="5523" l="1"/>
  <c r="O15" i="5529"/>
  <c r="O24" i="5517" l="1"/>
  <c r="O15" i="5523"/>
  <c r="O25" i="5507" l="1"/>
  <c r="O17" i="5529"/>
  <c r="O16" i="5511" l="1"/>
  <c r="O23" i="5515"/>
  <c r="O26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0" i="5519"/>
  <c r="O20" i="5509"/>
  <c r="O24" i="5507" l="1"/>
  <c r="O17" i="5525"/>
  <c r="O23" i="5517"/>
  <c r="O15" i="5525"/>
  <c r="O18" i="5525" l="1"/>
  <c r="O16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3" i="5505"/>
  <c r="H13" i="5525" l="1"/>
  <c r="H8" i="5525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19" i="5515" l="1"/>
  <c r="O18" i="5511"/>
  <c r="O22" i="5519"/>
  <c r="O21" i="5519"/>
  <c r="O19" i="5507" l="1"/>
  <c r="O20" i="5523"/>
  <c r="O18" i="5523" l="1"/>
  <c r="O16" i="5523"/>
  <c r="O16" i="5513"/>
  <c r="O22" i="5511"/>
  <c r="O17" i="5521" l="1"/>
  <c r="O22" i="5517"/>
  <c r="O15" i="5521"/>
  <c r="O22" i="5523"/>
  <c r="O15" i="5509"/>
  <c r="O19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3" i="5519"/>
  <c r="O24" i="5519"/>
  <c r="O15" i="5507"/>
  <c r="O20" i="5507"/>
  <c r="O27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1" i="5517"/>
  <c r="O18" i="5517"/>
  <c r="O17" i="5509"/>
  <c r="O17" i="5515" l="1"/>
  <c r="O17" i="5513"/>
  <c r="O17" i="5517"/>
  <c r="O19" i="5517"/>
  <c r="O16" i="5515" l="1"/>
  <c r="O15" i="5513"/>
  <c r="O23" i="5511"/>
  <c r="O21" i="5511"/>
  <c r="O16" i="5519"/>
  <c r="O18" i="5519"/>
  <c r="C27" i="5519"/>
  <c r="B24" i="5519"/>
  <c r="C20" i="5519"/>
  <c r="B17" i="5519"/>
  <c r="H50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2" i="5505"/>
  <c r="H16" i="5519" l="1"/>
  <c r="H10" i="5519"/>
  <c r="H14" i="5519"/>
  <c r="H8" i="5519"/>
  <c r="H32" i="5519"/>
  <c r="H12" i="5519"/>
  <c r="H2" i="5519"/>
  <c r="H39" i="5519"/>
  <c r="H25" i="5519"/>
  <c r="H5" i="5519"/>
  <c r="C18" i="5519"/>
  <c r="H22" i="5519"/>
  <c r="H40" i="5519"/>
  <c r="H4" i="5519"/>
  <c r="H9" i="5519"/>
  <c r="H17" i="5519"/>
  <c r="B23" i="5519"/>
  <c r="H31" i="5519"/>
  <c r="H47" i="5519"/>
  <c r="H48" i="5519"/>
  <c r="H19" i="5519"/>
  <c r="H27" i="5519"/>
  <c r="H35" i="5519"/>
  <c r="H43" i="5519"/>
  <c r="H51" i="5519"/>
  <c r="H3" i="5519"/>
  <c r="H6" i="5519"/>
  <c r="H11" i="5519"/>
  <c r="C17" i="5519"/>
  <c r="H24" i="5519"/>
  <c r="H28" i="5519"/>
  <c r="H36" i="5519"/>
  <c r="H44" i="5519"/>
  <c r="H52" i="5519"/>
  <c r="H18" i="5519"/>
  <c r="H20" i="5519"/>
  <c r="H23" i="5519"/>
  <c r="H26" i="5519"/>
  <c r="H29" i="5519"/>
  <c r="H33" i="5519"/>
  <c r="H37" i="5519"/>
  <c r="H41" i="5519"/>
  <c r="H45" i="5519"/>
  <c r="H49" i="5519"/>
  <c r="H7" i="5519"/>
  <c r="H13" i="5519"/>
  <c r="H15" i="5519"/>
  <c r="C19" i="5519"/>
  <c r="H21" i="5519"/>
  <c r="H30" i="5519"/>
  <c r="H34" i="5519"/>
  <c r="H38" i="5519"/>
  <c r="H42" i="5519"/>
  <c r="H46" i="5519"/>
  <c r="O20" i="5511" l="1"/>
  <c r="O20" i="5517"/>
  <c r="O16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8" i="5505"/>
  <c r="O18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8" i="5515" l="1"/>
  <c r="H2" i="5515"/>
  <c r="H4" i="5515"/>
  <c r="H10" i="5515"/>
  <c r="H5" i="5513"/>
  <c r="C17" i="5517"/>
  <c r="H2" i="5517"/>
  <c r="H3" i="5517"/>
  <c r="H4" i="5517"/>
  <c r="H10" i="5517"/>
  <c r="H26" i="5517"/>
  <c r="H31" i="5517"/>
  <c r="H18" i="5517"/>
  <c r="H36" i="5517"/>
  <c r="H40" i="5517"/>
  <c r="H51" i="5517"/>
  <c r="H8" i="5517"/>
  <c r="H23" i="5517"/>
  <c r="H25" i="5517"/>
  <c r="C19" i="5517"/>
  <c r="H17" i="5517"/>
  <c r="H33" i="5517"/>
  <c r="H37" i="5517"/>
  <c r="H41" i="5517"/>
  <c r="H45" i="5517"/>
  <c r="H48" i="5517"/>
  <c r="H19" i="5517"/>
  <c r="H28" i="5517"/>
  <c r="H47" i="5517"/>
  <c r="H11" i="5517"/>
  <c r="H5" i="5517"/>
  <c r="H12" i="5517"/>
  <c r="H22" i="5517"/>
  <c r="H16" i="5517"/>
  <c r="H27" i="5517"/>
  <c r="H29" i="5517"/>
  <c r="H13" i="5517"/>
  <c r="H9" i="5517"/>
  <c r="H34" i="5517"/>
  <c r="H38" i="5517"/>
  <c r="H42" i="5517"/>
  <c r="H46" i="5517"/>
  <c r="H49" i="5517"/>
  <c r="H6" i="5517"/>
  <c r="H30" i="5517"/>
  <c r="H44" i="5517"/>
  <c r="H7" i="5517"/>
  <c r="H14" i="5517"/>
  <c r="H24" i="5517"/>
  <c r="H15" i="5517"/>
  <c r="C18" i="5517"/>
  <c r="B23" i="5517"/>
  <c r="H20" i="5517"/>
  <c r="H32" i="5517"/>
  <c r="H35" i="5517"/>
  <c r="H39" i="5517"/>
  <c r="H43" i="5517"/>
  <c r="H21" i="5517"/>
  <c r="H50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9" i="5511" l="1"/>
  <c r="O24" i="5511"/>
  <c r="C27" i="5511"/>
  <c r="B24" i="5511"/>
  <c r="C20" i="5511"/>
  <c r="B17" i="5511"/>
  <c r="H28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7" i="5507"/>
  <c r="O21" i="5507"/>
  <c r="C27" i="5507"/>
  <c r="B24" i="5507"/>
  <c r="C20" i="5507"/>
  <c r="B17" i="5507"/>
  <c r="H50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7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8" i="5507"/>
  <c r="H16" i="5507"/>
  <c r="H25" i="5507"/>
  <c r="H2" i="5511"/>
  <c r="H3" i="5511"/>
  <c r="H20" i="5505"/>
  <c r="H5" i="5507"/>
  <c r="H10" i="5507"/>
  <c r="H4" i="5511"/>
  <c r="H22" i="5511"/>
  <c r="H23" i="5511"/>
  <c r="C17" i="5511"/>
  <c r="B23" i="5511"/>
  <c r="H34" i="5511"/>
  <c r="H42" i="5511"/>
  <c r="H50" i="5511"/>
  <c r="H24" i="5511"/>
  <c r="H21" i="5511"/>
  <c r="H41" i="5511"/>
  <c r="H17" i="5511"/>
  <c r="H12" i="5511"/>
  <c r="H6" i="5511"/>
  <c r="H10" i="5511"/>
  <c r="H19" i="5511"/>
  <c r="H20" i="5511"/>
  <c r="H11" i="5511"/>
  <c r="H37" i="5511"/>
  <c r="H45" i="5511"/>
  <c r="H5" i="5511"/>
  <c r="H9" i="5511"/>
  <c r="C19" i="5511"/>
  <c r="H49" i="5511"/>
  <c r="H8" i="5511"/>
  <c r="H16" i="5511"/>
  <c r="H7" i="5511"/>
  <c r="H29" i="5511"/>
  <c r="H30" i="5511"/>
  <c r="H14" i="5511"/>
  <c r="C18" i="5511"/>
  <c r="H15" i="5511"/>
  <c r="H13" i="5511"/>
  <c r="H33" i="5511"/>
  <c r="H38" i="5511"/>
  <c r="H46" i="5511"/>
  <c r="H52" i="5511"/>
  <c r="H31" i="5511"/>
  <c r="H32" i="5511"/>
  <c r="H25" i="5511"/>
  <c r="H26" i="5511"/>
  <c r="H18" i="5511"/>
  <c r="H35" i="5511"/>
  <c r="H39" i="5511"/>
  <c r="H43" i="5511"/>
  <c r="H47" i="5511"/>
  <c r="H51" i="5511"/>
  <c r="H27" i="5511"/>
  <c r="H36" i="5511"/>
  <c r="H40" i="5511"/>
  <c r="H44" i="5511"/>
  <c r="H48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8" i="5505"/>
  <c r="H42" i="5505"/>
  <c r="H10" i="5505"/>
  <c r="H11" i="5505"/>
  <c r="H6" i="5505"/>
  <c r="H3" i="5505"/>
  <c r="H7" i="5505"/>
  <c r="H4" i="5505"/>
  <c r="H2" i="5505"/>
  <c r="H39" i="5507"/>
  <c r="H40" i="5507"/>
  <c r="H14" i="5507"/>
  <c r="H9" i="5507"/>
  <c r="H47" i="5507"/>
  <c r="H12" i="5507"/>
  <c r="H22" i="5507"/>
  <c r="H4" i="5507"/>
  <c r="H17" i="5507"/>
  <c r="B23" i="5507"/>
  <c r="H31" i="5507"/>
  <c r="H2" i="5507"/>
  <c r="C18" i="5507"/>
  <c r="H32" i="5507"/>
  <c r="H48" i="5507"/>
  <c r="H19" i="5507"/>
  <c r="H27" i="5507"/>
  <c r="H35" i="5507"/>
  <c r="H43" i="5507"/>
  <c r="H51" i="5507"/>
  <c r="H3" i="5507"/>
  <c r="H6" i="5507"/>
  <c r="H11" i="5507"/>
  <c r="C17" i="5507"/>
  <c r="H24" i="5507"/>
  <c r="H28" i="5507"/>
  <c r="H36" i="5507"/>
  <c r="H44" i="5507"/>
  <c r="H52" i="5507"/>
  <c r="H18" i="5507"/>
  <c r="H20" i="5507"/>
  <c r="H23" i="5507"/>
  <c r="H26" i="5507"/>
  <c r="H29" i="5507"/>
  <c r="H33" i="5507"/>
  <c r="H37" i="5507"/>
  <c r="H41" i="5507"/>
  <c r="H45" i="5507"/>
  <c r="H49" i="5507"/>
  <c r="H7" i="5507"/>
  <c r="H13" i="5507"/>
  <c r="H15" i="5507"/>
  <c r="C19" i="5507"/>
  <c r="H21" i="5507"/>
  <c r="H30" i="5507"/>
  <c r="H34" i="5507"/>
  <c r="H38" i="5507"/>
  <c r="H42" i="5507"/>
  <c r="H46" i="5507"/>
  <c r="H46" i="5505"/>
  <c r="H12" i="5505"/>
  <c r="H22" i="5505"/>
  <c r="H35" i="5505"/>
  <c r="H18" i="5505"/>
  <c r="H9" i="5505"/>
  <c r="H50" i="5505"/>
  <c r="H15" i="5505"/>
  <c r="C18" i="5505"/>
  <c r="H14" i="5505"/>
  <c r="H13" i="5505"/>
  <c r="H29" i="5505"/>
  <c r="H39" i="5505"/>
  <c r="H33" i="5505"/>
  <c r="H34" i="5505"/>
  <c r="H19" i="5505"/>
  <c r="C19" i="5505"/>
  <c r="H26" i="5505"/>
  <c r="H43" i="5505"/>
  <c r="H5" i="5505"/>
  <c r="H28" i="5505"/>
  <c r="H24" i="5505"/>
  <c r="H32" i="5505"/>
  <c r="H48" i="5505"/>
  <c r="H8" i="5505"/>
  <c r="H21" i="5505"/>
  <c r="H27" i="5505"/>
  <c r="C17" i="5505"/>
  <c r="H16" i="5505"/>
  <c r="B23" i="5505"/>
  <c r="H25" i="5505"/>
  <c r="H40" i="5505"/>
  <c r="H45" i="5505"/>
  <c r="H49" i="5505"/>
  <c r="H52" i="5505"/>
  <c r="H36" i="5505"/>
  <c r="H37" i="5505"/>
  <c r="H23" i="5505"/>
  <c r="H30" i="5505"/>
  <c r="H17" i="5505"/>
  <c r="H31" i="5505"/>
  <c r="H41" i="5505"/>
  <c r="H44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<sst xmlns="http://schemas.openxmlformats.org/spreadsheetml/2006/main" count="3588" uniqueCount="275">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</sst>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全体!$K$2:$K$791</c:f>
              <c:numCache>
                <c:formatCode>General</c:formatCode>
                <c:ptCount val="7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</c:numCache>
            </c:numRef>
          </c:xVal>
          <c:yVal>
            <c:numRef>
              <c:f>全体!$L$2:$L$791</c:f>
              <c:numCache>
                <c:formatCode>\+0.0;\-0.0;\±0</c:formatCode>
                <c:ptCount val="79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  <c:pt idx="751">
                  <c:v>-43.199999999999996</c:v>
                </c:pt>
                <c:pt idx="752">
                  <c:v>-39.799999999999997</c:v>
                </c:pt>
                <c:pt idx="753">
                  <c:v>0</c:v>
                </c:pt>
                <c:pt idx="754">
                  <c:v>-53.3</c:v>
                </c:pt>
                <c:pt idx="755">
                  <c:v>-61.599999999999994</c:v>
                </c:pt>
                <c:pt idx="756">
                  <c:v>7.1054273576010019E-15</c:v>
                </c:pt>
                <c:pt idx="757">
                  <c:v>31.700000000000006</c:v>
                </c:pt>
                <c:pt idx="758">
                  <c:v>-10.099999999999991</c:v>
                </c:pt>
                <c:pt idx="759">
                  <c:v>8.8817841970012523E-15</c:v>
                </c:pt>
                <c:pt idx="760">
                  <c:v>42.70000000000001</c:v>
                </c:pt>
                <c:pt idx="761">
                  <c:v>-2.5999999999999872</c:v>
                </c:pt>
                <c:pt idx="762">
                  <c:v>1.2878587085651816E-14</c:v>
                </c:pt>
                <c:pt idx="763">
                  <c:v>62.000000000000014</c:v>
                </c:pt>
                <c:pt idx="764">
                  <c:v>3.9000000000000128</c:v>
                </c:pt>
                <c:pt idx="765">
                  <c:v>1.2878587085651816E-14</c:v>
                </c:pt>
                <c:pt idx="766">
                  <c:v>35.000000000000014</c:v>
                </c:pt>
                <c:pt idx="767">
                  <c:v>-9.5999999999999872</c:v>
                </c:pt>
                <c:pt idx="768">
                  <c:v>1.2434497875801753E-14</c:v>
                </c:pt>
                <c:pt idx="769">
                  <c:v>39.300000000000011</c:v>
                </c:pt>
                <c:pt idx="770">
                  <c:v>-18.999999999999986</c:v>
                </c:pt>
                <c:pt idx="771">
                  <c:v>1.4210854715202004E-14</c:v>
                </c:pt>
                <c:pt idx="772">
                  <c:v>1.1000000000000143</c:v>
                </c:pt>
                <c:pt idx="773">
                  <c:v>-34.699999999999982</c:v>
                </c:pt>
                <c:pt idx="774">
                  <c:v>2.1316282072803006E-14</c:v>
                </c:pt>
                <c:pt idx="775">
                  <c:v>-32.09999999999998</c:v>
                </c:pt>
                <c:pt idx="776">
                  <c:v>-36.399999999999977</c:v>
                </c:pt>
                <c:pt idx="777">
                  <c:v>2.1316282072803006E-14</c:v>
                </c:pt>
                <c:pt idx="778">
                  <c:v>-7.399999999999979</c:v>
                </c:pt>
                <c:pt idx="779">
                  <c:v>-65.999999999999986</c:v>
                </c:pt>
                <c:pt idx="780">
                  <c:v>1.4210854715202004E-14</c:v>
                </c:pt>
                <c:pt idx="781">
                  <c:v>-55.399999999999984</c:v>
                </c:pt>
                <c:pt idx="782">
                  <c:v>-42.59999999999998</c:v>
                </c:pt>
                <c:pt idx="783">
                  <c:v>2.1316282072803006E-14</c:v>
                </c:pt>
                <c:pt idx="784">
                  <c:v>17.800000000000022</c:v>
                </c:pt>
                <c:pt idx="785">
                  <c:v>-49.199999999999974</c:v>
                </c:pt>
                <c:pt idx="786">
                  <c:v>2.8421709430404007E-14</c:v>
                </c:pt>
                <c:pt idx="787">
                  <c:v>-17.89999999999997</c:v>
                </c:pt>
                <c:pt idx="788">
                  <c:v>80.400000000000034</c:v>
                </c:pt>
                <c:pt idx="789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-16.476552598225602</c:v>
                </c:pt>
                <c:pt idx="1">
                  <c:v>-7.7519379844961236</c:v>
                </c:pt>
                <c:pt idx="2">
                  <c:v>14.005602240896359</c:v>
                </c:pt>
                <c:pt idx="3">
                  <c:v>6.0882800608828003</c:v>
                </c:pt>
                <c:pt idx="4">
                  <c:v>-17.094017094017094</c:v>
                </c:pt>
                <c:pt idx="5">
                  <c:v>29.411764705882351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だいち!$L$2:$L$166</c:f>
              <c:numCache>
                <c:formatCode>\+0.0;\-0.0;\±0</c:formatCode>
                <c:ptCount val="16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1954.2682926829268</c:v>
                </c:pt>
                <c:pt idx="1">
                  <c:v>2044.375</c:v>
                </c:pt>
                <c:pt idx="2">
                  <c:v>620.39473684210532</c:v>
                </c:pt>
                <c:pt idx="3">
                  <c:v>2231.4285714285716</c:v>
                </c:pt>
                <c:pt idx="4">
                  <c:v>437.09677419354841</c:v>
                </c:pt>
                <c:pt idx="5">
                  <c:v>939.25233644859816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りくと!$K$2:$K$138</c:f>
              <c:numCache>
                <c:formatCode>General</c:formatCode>
                <c:ptCount val="1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</c:numCache>
            </c:numRef>
          </c:xVal>
          <c:yVal>
            <c:numRef>
              <c:f>りくと!$L$2:$L$138</c:f>
              <c:numCache>
                <c:formatCode>\+0.0;\-0.0;\±0</c:formatCode>
                <c:ptCount val="13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348.52941176470586</c:v>
                </c:pt>
                <c:pt idx="1">
                  <c:v>-2025</c:v>
                </c:pt>
                <c:pt idx="2">
                  <c:v>360.8</c:v>
                </c:pt>
                <c:pt idx="3">
                  <c:v>36.607142857142854</c:v>
                </c:pt>
                <c:pt idx="4">
                  <c:v>701.01010101010104</c:v>
                </c:pt>
                <c:pt idx="5">
                  <c:v>-82.222222222222229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ただ!$K$2:$K$114</c:f>
              <c:numCache>
                <c:formatCode>General</c:formatCode>
                <c:ptCount val="1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</c:numCache>
            </c:numRef>
          </c:xVal>
          <c:yVal>
            <c:numRef>
              <c:f>ただ!$L$2:$L$114</c:f>
              <c:numCache>
                <c:formatCode>\+0.0;\-0.0;\±0</c:formatCode>
                <c:ptCount val="11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-2113.3928571428573</c:v>
                </c:pt>
                <c:pt idx="1">
                  <c:v>-1229.090909090909</c:v>
                </c:pt>
                <c:pt idx="2">
                  <c:v>-27.450980392156861</c:v>
                </c:pt>
                <c:pt idx="3">
                  <c:v>-3758.2417582417584</c:v>
                </c:pt>
                <c:pt idx="4">
                  <c:v>-103.65853658536585</c:v>
                </c:pt>
                <c:pt idx="5">
                  <c:v>-277.77777777777777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たかの!$L$2:$L$92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216.66666666666666</c:v>
                </c:pt>
                <c:pt idx="1">
                  <c:v>-1323.3333333333333</c:v>
                </c:pt>
                <c:pt idx="2">
                  <c:v>-870</c:v>
                </c:pt>
                <c:pt idx="3">
                  <c:v>1230.2631578947369</c:v>
                </c:pt>
                <c:pt idx="4">
                  <c:v>-107.14285714285714</c:v>
                </c:pt>
                <c:pt idx="5">
                  <c:v>-178.33333333333334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ぱぱ!$L$2:$L$54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-2951.9230769230771</c:v>
                </c:pt>
                <c:pt idx="1">
                  <c:v>1819.2307692307693</c:v>
                </c:pt>
                <c:pt idx="2">
                  <c:v>-220.83333333333334</c:v>
                </c:pt>
                <c:pt idx="3">
                  <c:v>-4015.5555555555557</c:v>
                </c:pt>
                <c:pt idx="4">
                  <c:v>-582.5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まっつん!$L$2:$L$86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1144.047619047619</c:v>
                </c:pt>
                <c:pt idx="1">
                  <c:v>364.19753086419752</c:v>
                </c:pt>
                <c:pt idx="2">
                  <c:v>-366.2162162162162</c:v>
                </c:pt>
                <c:pt idx="3">
                  <c:v>1782.8571428571429</c:v>
                </c:pt>
                <c:pt idx="4">
                  <c:v>-1730.1587301587301</c:v>
                </c:pt>
                <c:pt idx="5">
                  <c:v>247.05882352941177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いっしー!$L$2:$L$24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-5186.363636363636</c:v>
                </c:pt>
                <c:pt idx="2">
                  <c:v>-300</c:v>
                </c:pt>
                <c:pt idx="3">
                  <c:v>-3383.3333333333335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ほたに!$L$2:$L$20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-1616.6666666666667</c:v>
                </c:pt>
                <c:pt idx="1">
                  <c:v>2655.5555555555557</c:v>
                </c:pt>
                <c:pt idx="2">
                  <c:v>-7358.8235294117649</c:v>
                </c:pt>
                <c:pt idx="3">
                  <c:v>-1135.2941176470588</c:v>
                </c:pt>
                <c:pt idx="4">
                  <c:v>10135.714285714286</c:v>
                </c:pt>
                <c:pt idx="5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2-46D4-9A25-0099D123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-5260</c:v>
                </c:pt>
                <c:pt idx="1">
                  <c:v>-3400</c:v>
                </c:pt>
                <c:pt idx="2">
                  <c:v>150</c:v>
                </c:pt>
                <c:pt idx="3">
                  <c:v>5000</c:v>
                </c:pt>
                <c:pt idx="4">
                  <c:v>-2700</c:v>
                </c:pt>
                <c:pt idx="5">
                  <c:v>-5350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0-4519-80C9-0FAF9FB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のり2!$C$3:$C$8</c:f>
              <c:numCache>
                <c:formatCode>\+0.0;\-0.0;\±0</c:formatCode>
                <c:ptCount val="6"/>
                <c:pt idx="1">
                  <c:v>-43.2</c:v>
                </c:pt>
                <c:pt idx="2">
                  <c:v>-48.25</c:v>
                </c:pt>
                <c:pt idx="3">
                  <c:v>-50.633333333333333</c:v>
                </c:pt>
                <c:pt idx="4">
                  <c:v>-33.524999999999999</c:v>
                </c:pt>
                <c:pt idx="5">
                  <c:v>-30.4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602244541242586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のり2!$D$3:$D$8</c:f>
              <c:numCache>
                <c:formatCode>0.00\ "位"</c:formatCode>
                <c:ptCount val="6"/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2.75</c:v>
                </c:pt>
                <c:pt idx="5">
                  <c:v>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のり2!$F$3:$F$8</c:f>
              <c:numCache>
                <c:formatCode>0.0%</c:formatCode>
                <c:ptCount val="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のり2!$G$3:$G$8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0.19047619047619047</c:v>
                </c:pt>
                <c:pt idx="3">
                  <c:v>0.16</c:v>
                </c:pt>
                <c:pt idx="4">
                  <c:v>0.2</c:v>
                </c:pt>
                <c:pt idx="5">
                  <c:v>0.24444444444444444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25722983257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0.23809523809523808</c:v>
                </c:pt>
                <c:pt idx="3">
                  <c:v>0.28000000000000003</c:v>
                </c:pt>
                <c:pt idx="4">
                  <c:v>0.22857142857142856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275494672754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のり2!$I$3:$I$8</c:f>
              <c:numCache>
                <c:formatCode>0</c:formatCode>
                <c:ptCount val="6"/>
                <c:pt idx="1">
                  <c:v>3900</c:v>
                </c:pt>
                <c:pt idx="2">
                  <c:v>4475</c:v>
                </c:pt>
                <c:pt idx="3">
                  <c:v>4475</c:v>
                </c:pt>
                <c:pt idx="4">
                  <c:v>5157.1428571428569</c:v>
                </c:pt>
                <c:pt idx="5">
                  <c:v>6727.272727272727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91.98979591836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のり2!$J$3:$J$8</c:f>
              <c:numCache>
                <c:formatCode>0</c:formatCode>
                <c:ptCount val="6"/>
                <c:pt idx="1">
                  <c:v>-3200</c:v>
                </c:pt>
                <c:pt idx="2">
                  <c:v>-6140</c:v>
                </c:pt>
                <c:pt idx="3">
                  <c:v>-6514.2857142857147</c:v>
                </c:pt>
                <c:pt idx="4">
                  <c:v>-6187.5</c:v>
                </c:pt>
                <c:pt idx="5">
                  <c:v>-6077.7777777777774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43.58507734303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674271229404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のり2!$L$3:$L$8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674271229404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のり2!$M$3:$M$8</c:f>
              <c:numCache>
                <c:formatCode>0.0%</c:formatCode>
                <c:ptCount val="6"/>
                <c:pt idx="1">
                  <c:v>0</c:v>
                </c:pt>
                <c:pt idx="2">
                  <c:v>4.7619047619047616E-2</c:v>
                </c:pt>
                <c:pt idx="3">
                  <c:v>0.04</c:v>
                </c:pt>
                <c:pt idx="4">
                  <c:v>5.7142857142857141E-2</c:v>
                </c:pt>
                <c:pt idx="5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4885844748858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のり2!$N$3:$N$8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0.47619047619047616</c:v>
                </c:pt>
                <c:pt idx="3">
                  <c:v>0.48</c:v>
                </c:pt>
                <c:pt idx="4">
                  <c:v>0.4</c:v>
                </c:pt>
                <c:pt idx="5">
                  <c:v>0.35555555555555557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2024353120243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のり2!$O$3:$O$8</c:f>
              <c:numCache>
                <c:formatCode>0.0%</c:formatCode>
                <c:ptCount val="6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5858250276854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のり2!$P$3:$P$8</c:f>
              <c:numCache>
                <c:formatCode>0.0%</c:formatCode>
                <c:ptCount val="6"/>
                <c:pt idx="1">
                  <c:v>0.5</c:v>
                </c:pt>
                <c:pt idx="2">
                  <c:v>0.2</c:v>
                </c:pt>
                <c:pt idx="3">
                  <c:v>0.16666666666666666</c:v>
                </c:pt>
                <c:pt idx="4">
                  <c:v>0.21428571428571427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395549174443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のり2!$Q$3:$Q$8</c:f>
              <c:numCache>
                <c:formatCode>0.0%</c:formatCode>
                <c:ptCount val="6"/>
                <c:pt idx="1">
                  <c:v>0</c:v>
                </c:pt>
                <c:pt idx="2">
                  <c:v>0.25</c:v>
                </c:pt>
                <c:pt idx="3">
                  <c:v>0.25</c:v>
                </c:pt>
                <c:pt idx="4">
                  <c:v>0.42857142857142855</c:v>
                </c:pt>
                <c:pt idx="5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12244897959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4">
        <v>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7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7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7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789</v>
      </c>
    </row>
    <row r="2" spans="1:2" x14ac:dyDescent="0.4">
      <c r="A2" t="s">
        <v>127</v>
      </c>
      <c r="B2">
        <v>164</v>
      </c>
    </row>
    <row r="3" spans="1:2" x14ac:dyDescent="0.4">
      <c r="A3" t="s">
        <v>128</v>
      </c>
      <c r="B3">
        <v>136</v>
      </c>
    </row>
    <row r="4" spans="1:2" x14ac:dyDescent="0.4">
      <c r="A4" t="s">
        <v>129</v>
      </c>
      <c r="B4">
        <v>112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90</v>
      </c>
    </row>
    <row r="7" spans="1:2" x14ac:dyDescent="0.4">
      <c r="A7" t="s">
        <v>173</v>
      </c>
      <c r="B7">
        <v>52</v>
      </c>
    </row>
    <row r="8" spans="1:2" x14ac:dyDescent="0.4">
      <c r="A8" t="s">
        <v>177</v>
      </c>
      <c r="B8">
        <v>84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22</v>
      </c>
    </row>
    <row r="11" spans="1:2" x14ac:dyDescent="0.4">
      <c r="A11" t="s">
        <v>200</v>
      </c>
      <c r="B11">
        <v>18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64">
        <v>0.96430390956516054</v>
      </c>
      <c r="G2" s="165"/>
      <c r="H2" s="164">
        <v>0.56680408666430027</v>
      </c>
      <c r="I2" s="165"/>
      <c r="J2" s="164">
        <v>0.88851212129261969</v>
      </c>
      <c r="K2" s="165"/>
      <c r="L2" s="164">
        <v>0.65512926514105141</v>
      </c>
      <c r="M2" s="165"/>
      <c r="N2" s="164">
        <v>0.71844015385079385</v>
      </c>
      <c r="O2" s="165"/>
      <c r="P2" s="164">
        <v>0.23461708910457518</v>
      </c>
      <c r="Q2" s="165"/>
      <c r="R2" s="164">
        <v>0.54482423200101138</v>
      </c>
      <c r="S2" s="165"/>
      <c r="T2" s="164">
        <v>0.6559462171592032</v>
      </c>
      <c r="U2" s="165"/>
      <c r="V2" s="164">
        <v>0.55635081528244346</v>
      </c>
      <c r="W2" s="165"/>
      <c r="X2" s="164">
        <v>0.54352839549425169</v>
      </c>
      <c r="Y2" s="165"/>
      <c r="Z2" s="164">
        <v>1.3846483058873446E-2</v>
      </c>
      <c r="AA2" s="165"/>
      <c r="AB2" s="164">
        <v>-0.10704004564922266</v>
      </c>
      <c r="AC2" s="165"/>
      <c r="AD2" s="164">
        <v>0.68510951749354732</v>
      </c>
      <c r="AE2" s="165"/>
      <c r="AF2" s="164">
        <v>-0.12666390465834484</v>
      </c>
      <c r="AG2" s="165"/>
      <c r="AH2" s="164">
        <v>0.57689809150740978</v>
      </c>
      <c r="AI2" s="165"/>
    </row>
    <row r="3" spans="1:35" x14ac:dyDescent="0.4">
      <c r="A3" s="74">
        <v>1</v>
      </c>
      <c r="B3" s="75" t="s">
        <v>127</v>
      </c>
      <c r="C3" s="76">
        <v>1985.5000000000005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0.31356560415122314</v>
      </c>
      <c r="Z3" s="77" t="s">
        <v>223</v>
      </c>
      <c r="AA3" s="80">
        <v>0.36956521739130432</v>
      </c>
      <c r="AB3" s="77" t="s">
        <v>271</v>
      </c>
      <c r="AC3" s="80">
        <v>0.83333333333333337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131.69999999999993</v>
      </c>
      <c r="D4" s="85" t="s">
        <v>223</v>
      </c>
      <c r="E4" s="97">
        <v>16.733333333333331</v>
      </c>
      <c r="F4" s="85" t="s">
        <v>127</v>
      </c>
      <c r="G4" s="86">
        <v>1.7621951219512195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172</v>
      </c>
      <c r="M4" s="88">
        <v>0.34473684210526317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-6077.7777777777774</v>
      </c>
      <c r="T4" s="85" t="s">
        <v>222</v>
      </c>
      <c r="U4" s="87">
        <v>0</v>
      </c>
      <c r="V4" s="85" t="s">
        <v>127</v>
      </c>
      <c r="W4" s="87">
        <v>0.17682926829268292</v>
      </c>
      <c r="X4" s="85" t="s">
        <v>128</v>
      </c>
      <c r="Y4" s="88">
        <v>0.30080572963294538</v>
      </c>
      <c r="Z4" s="85" t="s">
        <v>271</v>
      </c>
      <c r="AA4" s="88">
        <v>0.35555555555555557</v>
      </c>
      <c r="AB4" s="85" t="s">
        <v>223</v>
      </c>
      <c r="AC4" s="88">
        <v>0.7142857142857143</v>
      </c>
      <c r="AD4" s="85" t="s">
        <v>127</v>
      </c>
      <c r="AE4" s="88">
        <v>0.52112676056338025</v>
      </c>
      <c r="AF4" s="85" t="s">
        <v>200</v>
      </c>
      <c r="AG4" s="88">
        <v>0.6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0.47560975609756095</v>
      </c>
      <c r="J5" s="85" t="s">
        <v>200</v>
      </c>
      <c r="K5" s="87">
        <v>0.22222222222222221</v>
      </c>
      <c r="L5" s="85" t="s">
        <v>127</v>
      </c>
      <c r="M5" s="88">
        <v>0.34025203854707192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177</v>
      </c>
      <c r="S5" s="89">
        <v>-7048.5436893203887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171</v>
      </c>
      <c r="Y5" s="88">
        <v>0.2908863920099875</v>
      </c>
      <c r="Z5" s="85" t="s">
        <v>200</v>
      </c>
      <c r="AA5" s="88">
        <v>0.31707317073170732</v>
      </c>
      <c r="AB5" s="85" t="s">
        <v>184</v>
      </c>
      <c r="AC5" s="88">
        <v>0.65789473684210531</v>
      </c>
      <c r="AD5" s="85" t="s">
        <v>183</v>
      </c>
      <c r="AE5" s="88">
        <v>0.5</v>
      </c>
      <c r="AF5" s="85" t="s">
        <v>173</v>
      </c>
      <c r="AG5" s="88">
        <v>0.50387596899224807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12.106707317073173</v>
      </c>
      <c r="F6" s="85" t="s">
        <v>200</v>
      </c>
      <c r="G6" s="86">
        <v>1.8888888888888888</v>
      </c>
      <c r="H6" s="85" t="s">
        <v>184</v>
      </c>
      <c r="I6" s="87">
        <v>0.36363636363636365</v>
      </c>
      <c r="J6" s="85" t="s">
        <v>127</v>
      </c>
      <c r="K6" s="87">
        <v>0.23780487804878048</v>
      </c>
      <c r="L6" s="85" t="s">
        <v>200</v>
      </c>
      <c r="M6" s="88">
        <v>0.33536585365853661</v>
      </c>
      <c r="N6" s="85" t="s">
        <v>172</v>
      </c>
      <c r="O6" s="88">
        <v>0.14210526315789473</v>
      </c>
      <c r="P6" s="85" t="s">
        <v>127</v>
      </c>
      <c r="Q6" s="89">
        <v>9294.3355119825701</v>
      </c>
      <c r="R6" s="85" t="s">
        <v>128</v>
      </c>
      <c r="S6" s="89">
        <v>-7613.4020618556697</v>
      </c>
      <c r="T6" s="85" t="s">
        <v>172</v>
      </c>
      <c r="U6" s="87">
        <v>5.5555555555555552E-2</v>
      </c>
      <c r="V6" s="85" t="s">
        <v>177</v>
      </c>
      <c r="W6" s="87">
        <v>0.13095238095238096</v>
      </c>
      <c r="X6" s="85" t="s">
        <v>177</v>
      </c>
      <c r="Y6" s="88">
        <v>0.28985507246376813</v>
      </c>
      <c r="Z6" s="85" t="s">
        <v>172</v>
      </c>
      <c r="AA6" s="88">
        <v>0.29078947368421054</v>
      </c>
      <c r="AB6" s="85" t="s">
        <v>200</v>
      </c>
      <c r="AC6" s="88">
        <v>0.63157894736842102</v>
      </c>
      <c r="AD6" s="85" t="s">
        <v>172</v>
      </c>
      <c r="AE6" s="88">
        <v>0.42533936651583709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200</v>
      </c>
      <c r="C7" s="84">
        <v>45.399999999999991</v>
      </c>
      <c r="D7" s="85" t="s">
        <v>200</v>
      </c>
      <c r="E7" s="97">
        <v>2.5222222222222217</v>
      </c>
      <c r="F7" s="85" t="s">
        <v>177</v>
      </c>
      <c r="G7" s="86">
        <v>1.9642857142857142</v>
      </c>
      <c r="H7" s="85" t="s">
        <v>177</v>
      </c>
      <c r="I7" s="87">
        <v>0.34523809523809523</v>
      </c>
      <c r="J7" s="85" t="s">
        <v>172</v>
      </c>
      <c r="K7" s="87">
        <v>0.3</v>
      </c>
      <c r="L7" s="85" t="s">
        <v>145</v>
      </c>
      <c r="M7" s="88">
        <v>0.29832572298325721</v>
      </c>
      <c r="N7" s="85" t="s">
        <v>177</v>
      </c>
      <c r="O7" s="88">
        <v>0.14927536231884059</v>
      </c>
      <c r="P7" s="85" t="s">
        <v>128</v>
      </c>
      <c r="Q7" s="89">
        <v>9257.0957095709564</v>
      </c>
      <c r="R7" s="85" t="s">
        <v>127</v>
      </c>
      <c r="S7" s="89">
        <v>-8188.9423076923076</v>
      </c>
      <c r="T7" s="85" t="s">
        <v>127</v>
      </c>
      <c r="U7" s="87">
        <v>9.1463414634146339E-2</v>
      </c>
      <c r="V7" s="85" t="s">
        <v>145</v>
      </c>
      <c r="W7" s="87">
        <v>0.1267427122940431</v>
      </c>
      <c r="X7" s="85" t="s">
        <v>145</v>
      </c>
      <c r="Y7" s="88">
        <v>0.27488584474885847</v>
      </c>
      <c r="Z7" s="85" t="s">
        <v>184</v>
      </c>
      <c r="AA7" s="88">
        <v>0.24848484848484848</v>
      </c>
      <c r="AB7" s="85" t="s">
        <v>177</v>
      </c>
      <c r="AC7" s="88">
        <v>0.60499999999999998</v>
      </c>
      <c r="AD7" s="85" t="s">
        <v>200</v>
      </c>
      <c r="AE7" s="88">
        <v>0.42307692307692307</v>
      </c>
      <c r="AF7" s="85" t="s">
        <v>184</v>
      </c>
      <c r="AG7" s="88">
        <v>0.47826086956521741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1.5678571428571419</v>
      </c>
      <c r="F8" s="85" t="s">
        <v>145</v>
      </c>
      <c r="G8" s="86">
        <v>2</v>
      </c>
      <c r="H8" s="85" t="s">
        <v>200</v>
      </c>
      <c r="I8" s="87">
        <v>0.33333333333333331</v>
      </c>
      <c r="J8" s="85" t="s">
        <v>177</v>
      </c>
      <c r="K8" s="87">
        <v>0.30952380952380953</v>
      </c>
      <c r="L8" s="85" t="s">
        <v>173</v>
      </c>
      <c r="M8" s="88">
        <v>0.28666666666666668</v>
      </c>
      <c r="N8" s="85" t="s">
        <v>127</v>
      </c>
      <c r="O8" s="88">
        <v>0.15418828762045961</v>
      </c>
      <c r="P8" s="85" t="s">
        <v>177</v>
      </c>
      <c r="Q8" s="89">
        <v>8861.6580310880836</v>
      </c>
      <c r="R8" s="85" t="s">
        <v>145</v>
      </c>
      <c r="S8" s="89">
        <v>-8243.5850773430393</v>
      </c>
      <c r="T8" s="85" t="s">
        <v>171</v>
      </c>
      <c r="U8" s="87">
        <v>0.11458333333333333</v>
      </c>
      <c r="V8" s="85" t="s">
        <v>129</v>
      </c>
      <c r="W8" s="87">
        <v>0.11607142857142858</v>
      </c>
      <c r="X8" s="85" t="s">
        <v>129</v>
      </c>
      <c r="Y8" s="88">
        <v>0.26498422712933756</v>
      </c>
      <c r="Z8" s="85" t="s">
        <v>173</v>
      </c>
      <c r="AA8" s="88">
        <v>0.24</v>
      </c>
      <c r="AB8" s="85" t="s">
        <v>183</v>
      </c>
      <c r="AC8" s="88">
        <v>0.6</v>
      </c>
      <c r="AD8" s="85" t="s">
        <v>171</v>
      </c>
      <c r="AE8" s="88">
        <v>0.41025641025641024</v>
      </c>
      <c r="AF8" s="85" t="s">
        <v>129</v>
      </c>
      <c r="AG8" s="88">
        <v>0.44047619047619047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2.8421709430404007E-14</v>
      </c>
      <c r="D9" s="85" t="s">
        <v>145</v>
      </c>
      <c r="E9" s="97">
        <v>3.6022445412425863E-17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171</v>
      </c>
      <c r="M9" s="88">
        <v>0.28339575530586769</v>
      </c>
      <c r="N9" s="85" t="s">
        <v>145</v>
      </c>
      <c r="O9" s="88">
        <v>0.16727549467275496</v>
      </c>
      <c r="P9" s="85" t="s">
        <v>129</v>
      </c>
      <c r="Q9" s="89">
        <v>8851.9841269841272</v>
      </c>
      <c r="R9" s="85" t="s">
        <v>173</v>
      </c>
      <c r="S9" s="89">
        <v>-8271.9512195121952</v>
      </c>
      <c r="T9" s="85" t="s">
        <v>145</v>
      </c>
      <c r="U9" s="87">
        <v>0.1267427122940431</v>
      </c>
      <c r="V9" s="85" t="s">
        <v>172</v>
      </c>
      <c r="W9" s="87">
        <v>0.1111111111111111</v>
      </c>
      <c r="X9" s="85" t="s">
        <v>183</v>
      </c>
      <c r="Y9" s="88">
        <v>0.26315789473684209</v>
      </c>
      <c r="Z9" s="85" t="s">
        <v>145</v>
      </c>
      <c r="AA9" s="88">
        <v>0.21202435312024354</v>
      </c>
      <c r="AB9" s="85" t="s">
        <v>128</v>
      </c>
      <c r="AC9" s="88">
        <v>0.59226190476190477</v>
      </c>
      <c r="AD9" s="85" t="s">
        <v>145</v>
      </c>
      <c r="AE9" s="88">
        <v>0.39339554917444364</v>
      </c>
      <c r="AF9" s="85" t="s">
        <v>145</v>
      </c>
      <c r="AG9" s="88">
        <v>0.43112244897959184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171</v>
      </c>
      <c r="C10" s="84">
        <v>-48.599999999999987</v>
      </c>
      <c r="D10" s="85" t="s">
        <v>171</v>
      </c>
      <c r="E10" s="97">
        <v>-0.50624999999999987</v>
      </c>
      <c r="F10" s="85" t="s">
        <v>172</v>
      </c>
      <c r="G10" s="86">
        <v>2.0444444444444443</v>
      </c>
      <c r="H10" s="85" t="s">
        <v>129</v>
      </c>
      <c r="I10" s="87">
        <v>0.30357142857142855</v>
      </c>
      <c r="J10" s="85" t="s">
        <v>223</v>
      </c>
      <c r="K10" s="87">
        <v>0.33333333333333331</v>
      </c>
      <c r="L10" s="85" t="s">
        <v>177</v>
      </c>
      <c r="M10" s="88">
        <v>0.27971014492753621</v>
      </c>
      <c r="N10" s="85" t="s">
        <v>200</v>
      </c>
      <c r="O10" s="88">
        <v>0.17073170731707318</v>
      </c>
      <c r="P10" s="85" t="s">
        <v>145</v>
      </c>
      <c r="Q10" s="89">
        <v>8791.9897959183672</v>
      </c>
      <c r="R10" s="85" t="s">
        <v>200</v>
      </c>
      <c r="S10" s="89">
        <v>-8367.8571428571431</v>
      </c>
      <c r="T10" s="85" t="s">
        <v>128</v>
      </c>
      <c r="U10" s="87">
        <v>0.13235294117647059</v>
      </c>
      <c r="V10" s="85" t="s">
        <v>128</v>
      </c>
      <c r="W10" s="87">
        <v>0.10294117647058823</v>
      </c>
      <c r="X10" s="85" t="s">
        <v>200</v>
      </c>
      <c r="Y10" s="88">
        <v>0.23170731707317074</v>
      </c>
      <c r="Z10" s="85" t="s">
        <v>127</v>
      </c>
      <c r="AA10" s="88">
        <v>0.21052631578947367</v>
      </c>
      <c r="AB10" s="85" t="s">
        <v>145</v>
      </c>
      <c r="AC10" s="88">
        <v>0.57585825027685489</v>
      </c>
      <c r="AD10" s="85" t="s">
        <v>184</v>
      </c>
      <c r="AE10" s="88">
        <v>0.3902439024390244</v>
      </c>
      <c r="AF10" s="85" t="s">
        <v>128</v>
      </c>
      <c r="AG10" s="88">
        <v>0.42574257425742573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-122.80000000000005</v>
      </c>
      <c r="D11" s="85" t="s">
        <v>172</v>
      </c>
      <c r="E11" s="97">
        <v>-1.364444444444445</v>
      </c>
      <c r="F11" s="85" t="s">
        <v>171</v>
      </c>
      <c r="G11" s="86">
        <v>2.0520833333333335</v>
      </c>
      <c r="H11" s="85" t="s">
        <v>171</v>
      </c>
      <c r="I11" s="87">
        <v>0.30208333333333331</v>
      </c>
      <c r="J11" s="85" t="s">
        <v>128</v>
      </c>
      <c r="K11" s="87">
        <v>0.34558823529411764</v>
      </c>
      <c r="L11" s="85" t="s">
        <v>184</v>
      </c>
      <c r="M11" s="88">
        <v>0.27878787878787881</v>
      </c>
      <c r="N11" s="85" t="s">
        <v>128</v>
      </c>
      <c r="O11" s="88">
        <v>0.17367949865711726</v>
      </c>
      <c r="P11" s="85" t="s">
        <v>184</v>
      </c>
      <c r="Q11" s="89">
        <v>8621.7391304347821</v>
      </c>
      <c r="R11" s="85" t="s">
        <v>172</v>
      </c>
      <c r="S11" s="89">
        <v>-8488.8888888888887</v>
      </c>
      <c r="T11" s="85" t="s">
        <v>177</v>
      </c>
      <c r="U11" s="87">
        <v>0.14285714285714285</v>
      </c>
      <c r="V11" s="85" t="s">
        <v>184</v>
      </c>
      <c r="W11" s="87">
        <v>9.0909090909090912E-2</v>
      </c>
      <c r="X11" s="85" t="s">
        <v>222</v>
      </c>
      <c r="Y11" s="88">
        <v>0.23076923076923078</v>
      </c>
      <c r="Z11" s="85" t="s">
        <v>183</v>
      </c>
      <c r="AA11" s="88">
        <v>0.21052631578947367</v>
      </c>
      <c r="AB11" s="85" t="s">
        <v>127</v>
      </c>
      <c r="AC11" s="88">
        <v>0.5721040189125296</v>
      </c>
      <c r="AD11" s="85" t="s">
        <v>177</v>
      </c>
      <c r="AE11" s="88">
        <v>0.33606557377049179</v>
      </c>
      <c r="AF11" s="85" t="s">
        <v>177</v>
      </c>
      <c r="AG11" s="88">
        <v>0.42487046632124353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-152</v>
      </c>
      <c r="D12" s="85" t="s">
        <v>128</v>
      </c>
      <c r="E12" s="97">
        <v>-2.799264705882353</v>
      </c>
      <c r="F12" s="85" t="s">
        <v>128</v>
      </c>
      <c r="G12" s="86">
        <v>2.0808823529411766</v>
      </c>
      <c r="H12" s="85" t="s">
        <v>173</v>
      </c>
      <c r="I12" s="87">
        <v>0.28846153846153844</v>
      </c>
      <c r="J12" s="85" t="s">
        <v>171</v>
      </c>
      <c r="K12" s="87">
        <v>0.35416666666666669</v>
      </c>
      <c r="L12" s="85" t="s">
        <v>128</v>
      </c>
      <c r="M12" s="88">
        <v>0.27126230975828108</v>
      </c>
      <c r="N12" s="85" t="s">
        <v>171</v>
      </c>
      <c r="O12" s="88">
        <v>0.17852684144818975</v>
      </c>
      <c r="P12" s="85" t="s">
        <v>200</v>
      </c>
      <c r="Q12" s="89">
        <v>8063.636363636364</v>
      </c>
      <c r="R12" s="85" t="s">
        <v>171</v>
      </c>
      <c r="S12" s="89">
        <v>-8548.9510489510485</v>
      </c>
      <c r="T12" s="85" t="s">
        <v>173</v>
      </c>
      <c r="U12" s="87">
        <v>0.15384615384615385</v>
      </c>
      <c r="V12" s="85" t="s">
        <v>173</v>
      </c>
      <c r="W12" s="87">
        <v>7.6923076923076927E-2</v>
      </c>
      <c r="X12" s="85" t="s">
        <v>184</v>
      </c>
      <c r="Y12" s="88">
        <v>0.23030303030303031</v>
      </c>
      <c r="Z12" s="85" t="s">
        <v>171</v>
      </c>
      <c r="AA12" s="88">
        <v>0.19475655430711611</v>
      </c>
      <c r="AB12" s="85" t="s">
        <v>171</v>
      </c>
      <c r="AC12" s="88">
        <v>0.5622317596566524</v>
      </c>
      <c r="AD12" s="85" t="s">
        <v>173</v>
      </c>
      <c r="AE12" s="88">
        <v>0.33333333333333331</v>
      </c>
      <c r="AF12" s="85" t="s">
        <v>127</v>
      </c>
      <c r="AG12" s="88">
        <v>0.41830065359477125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-264.39999999999998</v>
      </c>
      <c r="D13" s="85" t="s">
        <v>173</v>
      </c>
      <c r="E13" s="97">
        <v>-7.6461538461538465</v>
      </c>
      <c r="F13" s="85" t="s">
        <v>173</v>
      </c>
      <c r="G13" s="86">
        <v>2.1153846153846154</v>
      </c>
      <c r="H13" s="85" t="s">
        <v>128</v>
      </c>
      <c r="I13" s="87">
        <v>0.26470588235294118</v>
      </c>
      <c r="J13" s="85" t="s">
        <v>173</v>
      </c>
      <c r="K13" s="87">
        <v>0.40384615384615385</v>
      </c>
      <c r="L13" s="85" t="s">
        <v>129</v>
      </c>
      <c r="M13" s="88">
        <v>0.26498422712933756</v>
      </c>
      <c r="N13" s="85" t="s">
        <v>173</v>
      </c>
      <c r="O13" s="88">
        <v>0.18222222222222223</v>
      </c>
      <c r="P13" s="85" t="s">
        <v>183</v>
      </c>
      <c r="Q13" s="89">
        <v>7860</v>
      </c>
      <c r="R13" s="85" t="s">
        <v>129</v>
      </c>
      <c r="S13" s="89">
        <v>-8952.8409090909099</v>
      </c>
      <c r="T13" s="85" t="s">
        <v>200</v>
      </c>
      <c r="U13" s="87">
        <v>0.16666666666666666</v>
      </c>
      <c r="V13" s="85" t="s">
        <v>200</v>
      </c>
      <c r="W13" s="87">
        <v>5.5555555555555552E-2</v>
      </c>
      <c r="X13" s="85" t="s">
        <v>173</v>
      </c>
      <c r="Y13" s="88">
        <v>0.22666666666666666</v>
      </c>
      <c r="Z13" s="85" t="s">
        <v>129</v>
      </c>
      <c r="AA13" s="88">
        <v>0.18191377497371189</v>
      </c>
      <c r="AB13" s="85" t="s">
        <v>173</v>
      </c>
      <c r="AC13" s="88">
        <v>0.55882352941176472</v>
      </c>
      <c r="AD13" s="85" t="s">
        <v>129</v>
      </c>
      <c r="AE13" s="88">
        <v>0.30635838150289019</v>
      </c>
      <c r="AF13" s="85" t="s">
        <v>171</v>
      </c>
      <c r="AG13" s="88">
        <v>0.40528634361233479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128</v>
      </c>
      <c r="C14" s="84">
        <v>-380.7</v>
      </c>
      <c r="D14" s="85" t="s">
        <v>129</v>
      </c>
      <c r="E14" s="97">
        <v>-8.6714285714285726</v>
      </c>
      <c r="F14" s="85" t="s">
        <v>129</v>
      </c>
      <c r="G14" s="86">
        <v>2.125</v>
      </c>
      <c r="H14" s="85" t="s">
        <v>172</v>
      </c>
      <c r="I14" s="87">
        <v>0.25555555555555554</v>
      </c>
      <c r="J14" s="85" t="s">
        <v>129</v>
      </c>
      <c r="K14" s="87">
        <v>0.42857142857142855</v>
      </c>
      <c r="L14" s="85" t="s">
        <v>183</v>
      </c>
      <c r="M14" s="88">
        <v>0.26315789473684209</v>
      </c>
      <c r="N14" s="85" t="s">
        <v>129</v>
      </c>
      <c r="O14" s="88">
        <v>0.18506834910620398</v>
      </c>
      <c r="P14" s="85" t="s">
        <v>173</v>
      </c>
      <c r="Q14" s="89">
        <v>7534.1085271317834</v>
      </c>
      <c r="R14" s="85" t="s">
        <v>184</v>
      </c>
      <c r="S14" s="89">
        <v>-9879.4871794871797</v>
      </c>
      <c r="T14" s="85" t="s">
        <v>129</v>
      </c>
      <c r="U14" s="87">
        <v>0.17857142857142858</v>
      </c>
      <c r="V14" s="85" t="s">
        <v>183</v>
      </c>
      <c r="W14" s="87">
        <v>0</v>
      </c>
      <c r="X14" s="85" t="s">
        <v>172</v>
      </c>
      <c r="Y14" s="88">
        <v>0.21447368421052632</v>
      </c>
      <c r="Z14" s="85" t="s">
        <v>128</v>
      </c>
      <c r="AA14" s="88">
        <v>0.17726051924798567</v>
      </c>
      <c r="AB14" s="85" t="s">
        <v>172</v>
      </c>
      <c r="AC14" s="88">
        <v>0.55828220858895705</v>
      </c>
      <c r="AD14" s="85" t="s">
        <v>128</v>
      </c>
      <c r="AE14" s="88">
        <v>0.29797979797979796</v>
      </c>
      <c r="AF14" s="85" t="s">
        <v>172</v>
      </c>
      <c r="AG14" s="88">
        <v>0.3931297709923664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173</v>
      </c>
      <c r="C15" s="84">
        <v>-397.6</v>
      </c>
      <c r="D15" s="85" t="s">
        <v>184</v>
      </c>
      <c r="E15" s="97">
        <v>-12.018181818181818</v>
      </c>
      <c r="F15" s="85" t="s">
        <v>184</v>
      </c>
      <c r="G15" s="86">
        <v>2.1818181818181817</v>
      </c>
      <c r="H15" s="85" t="s">
        <v>222</v>
      </c>
      <c r="I15" s="87">
        <v>0</v>
      </c>
      <c r="J15" s="85" t="s">
        <v>184</v>
      </c>
      <c r="K15" s="87">
        <v>0.54545454545454541</v>
      </c>
      <c r="L15" s="85" t="s">
        <v>271</v>
      </c>
      <c r="M15" s="88">
        <v>0.24444444444444444</v>
      </c>
      <c r="N15" s="85" t="s">
        <v>271</v>
      </c>
      <c r="O15" s="88">
        <v>0.2</v>
      </c>
      <c r="P15" s="85" t="s">
        <v>172</v>
      </c>
      <c r="Q15" s="89">
        <v>6890.0763358778622</v>
      </c>
      <c r="R15" s="85" t="s">
        <v>223</v>
      </c>
      <c r="S15" s="89">
        <v>-10583.333333333334</v>
      </c>
      <c r="T15" s="85" t="s">
        <v>271</v>
      </c>
      <c r="U15" s="87">
        <v>0.2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177</v>
      </c>
      <c r="AA15" s="88">
        <v>0.17681159420289855</v>
      </c>
      <c r="AB15" s="85" t="s">
        <v>129</v>
      </c>
      <c r="AC15" s="88">
        <v>0.53968253968253965</v>
      </c>
      <c r="AD15" s="85" t="s">
        <v>271</v>
      </c>
      <c r="AE15" s="88">
        <v>0.25</v>
      </c>
      <c r="AF15" s="85" t="s">
        <v>271</v>
      </c>
      <c r="AG15" s="88">
        <v>0.36363636363636365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-971.2</v>
      </c>
      <c r="D16" s="85" t="s">
        <v>271</v>
      </c>
      <c r="E16" s="97">
        <v>-30.4</v>
      </c>
      <c r="F16" s="85" t="s">
        <v>271</v>
      </c>
      <c r="G16" s="86">
        <v>2.6</v>
      </c>
      <c r="H16" s="85" t="s">
        <v>271</v>
      </c>
      <c r="I16" s="87">
        <v>0</v>
      </c>
      <c r="J16" s="85" t="s">
        <v>271</v>
      </c>
      <c r="K16" s="87">
        <v>0.6</v>
      </c>
      <c r="L16" s="85" t="s">
        <v>222</v>
      </c>
      <c r="M16" s="88">
        <v>0.15384615384615385</v>
      </c>
      <c r="N16" s="85" t="s">
        <v>184</v>
      </c>
      <c r="O16" s="88">
        <v>0.23636363636363636</v>
      </c>
      <c r="P16" s="85" t="s">
        <v>271</v>
      </c>
      <c r="Q16" s="89">
        <v>6727.272727272727</v>
      </c>
      <c r="R16" s="85" t="s">
        <v>222</v>
      </c>
      <c r="S16" s="89">
        <v>-12000</v>
      </c>
      <c r="T16" s="85" t="s">
        <v>184</v>
      </c>
      <c r="U16" s="87">
        <v>0.31818181818181818</v>
      </c>
      <c r="V16" s="85" t="s">
        <v>271</v>
      </c>
      <c r="W16" s="87">
        <v>0</v>
      </c>
      <c r="X16" s="85" t="s">
        <v>271</v>
      </c>
      <c r="Y16" s="88">
        <v>0.13333333333333333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145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789</v>
      </c>
      <c r="C2" s="153"/>
      <c r="E2" s="62" t="s">
        <v>67</v>
      </c>
      <c r="F2" s="59" t="s">
        <v>23</v>
      </c>
      <c r="G2" s="46">
        <v>1426</v>
      </c>
      <c r="H2" s="132">
        <f>IF(B$17=0,0,G2/B$17)</f>
        <v>0.72755102040816322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-16.476552598225602</v>
      </c>
      <c r="P2" s="118">
        <v>789</v>
      </c>
      <c r="Q2" s="102">
        <v>-13000</v>
      </c>
    </row>
    <row r="3" spans="1:17" x14ac:dyDescent="0.4">
      <c r="A3" s="55" t="s">
        <v>8</v>
      </c>
      <c r="B3" s="154">
        <v>6570</v>
      </c>
      <c r="C3" s="155"/>
      <c r="E3" s="63" t="s">
        <v>73</v>
      </c>
      <c r="F3" s="60" t="s">
        <v>28</v>
      </c>
      <c r="G3" s="47">
        <v>1008</v>
      </c>
      <c r="H3" s="133">
        <f>IF(B$17=0,0,G3/B$17)</f>
        <v>0.51428571428571423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-7.7519379844961236</v>
      </c>
      <c r="P3" s="119">
        <v>774</v>
      </c>
      <c r="Q3" s="103">
        <v>-6000</v>
      </c>
    </row>
    <row r="4" spans="1:17" x14ac:dyDescent="0.4">
      <c r="A4" s="55" t="s">
        <v>6</v>
      </c>
      <c r="B4" s="156">
        <v>2.8421709430404007E-14</v>
      </c>
      <c r="C4" s="157"/>
      <c r="E4" s="63" t="s">
        <v>65</v>
      </c>
      <c r="F4" s="60" t="s">
        <v>21</v>
      </c>
      <c r="G4" s="47">
        <v>996</v>
      </c>
      <c r="H4" s="133">
        <f>IF(B$17=0,0,G4/B$17)</f>
        <v>0.50816326530612244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14.005602240896359</v>
      </c>
      <c r="P4" s="119">
        <v>714</v>
      </c>
      <c r="Q4" s="103">
        <v>10000</v>
      </c>
    </row>
    <row r="5" spans="1:17" x14ac:dyDescent="0.4">
      <c r="A5" s="55" t="s">
        <v>7</v>
      </c>
      <c r="B5" s="158">
        <f>IF(B$2=0,0,B$4/B$2)</f>
        <v>3.6022445412425863E-17</v>
      </c>
      <c r="C5" s="159"/>
      <c r="E5" s="63" t="s">
        <v>245</v>
      </c>
      <c r="F5" s="60" t="s">
        <v>246</v>
      </c>
      <c r="G5" s="47">
        <v>806</v>
      </c>
      <c r="H5" s="133">
        <f>IF(B$17=0,0,G5/B$17)</f>
        <v>0.41122448979591836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6.0882800608828003</v>
      </c>
      <c r="P5" s="119">
        <v>657</v>
      </c>
      <c r="Q5" s="103">
        <v>4000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609</v>
      </c>
      <c r="H6" s="133">
        <f>IF(B$17=0,0,G6/B$17)</f>
        <v>0.31071428571428572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-17.094017094017094</v>
      </c>
      <c r="P6" s="119">
        <v>585</v>
      </c>
      <c r="Q6" s="103">
        <v>-10000</v>
      </c>
    </row>
    <row r="7" spans="1:17" x14ac:dyDescent="0.4">
      <c r="A7" s="55" t="s">
        <v>2</v>
      </c>
      <c r="B7" s="47">
        <v>263</v>
      </c>
      <c r="C7" s="39">
        <f>IF(B$2=0,0,B7/B$2)</f>
        <v>0.33333333333333331</v>
      </c>
      <c r="E7" s="63" t="s">
        <v>68</v>
      </c>
      <c r="F7" s="60" t="s">
        <v>24</v>
      </c>
      <c r="G7" s="47">
        <v>597</v>
      </c>
      <c r="H7" s="133">
        <f>IF(B$17=0,0,G7/B$17)</f>
        <v>0.30459183673469387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29.411764705882351</v>
      </c>
      <c r="P7" s="120">
        <v>510</v>
      </c>
      <c r="Q7" s="104">
        <v>15000</v>
      </c>
    </row>
    <row r="8" spans="1:17" x14ac:dyDescent="0.4">
      <c r="A8" s="55" t="s">
        <v>3</v>
      </c>
      <c r="B8" s="47">
        <v>263</v>
      </c>
      <c r="C8" s="39">
        <f>IF(B$2=0,0,B8/B$2)</f>
        <v>0.33333333333333331</v>
      </c>
      <c r="E8" s="63" t="s">
        <v>70</v>
      </c>
      <c r="F8" s="60" t="s">
        <v>25</v>
      </c>
      <c r="G8" s="47">
        <v>341</v>
      </c>
      <c r="H8" s="133">
        <f>IF(B$17=0,0,G8/B$17)</f>
        <v>0.1739795918367347</v>
      </c>
      <c r="I8" s="94">
        <v>5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263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243</v>
      </c>
      <c r="H9" s="133">
        <f>IF(B$17=0,0,G9/B$17)</f>
        <v>0.1239795918367347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100</v>
      </c>
      <c r="C10" s="40">
        <f>IF(B$2=0,0,B10/B$2)</f>
        <v>0.1267427122940431</v>
      </c>
      <c r="E10" s="63" t="s">
        <v>66</v>
      </c>
      <c r="F10" s="60" t="s">
        <v>22</v>
      </c>
      <c r="G10" s="47">
        <v>220</v>
      </c>
      <c r="H10" s="133">
        <f>IF(B$17=0,0,G10/B$17)</f>
        <v>0.11224489795918367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-2.9368821292775644</v>
      </c>
      <c r="P10" s="118">
        <v>263</v>
      </c>
      <c r="Q10" s="106">
        <v>-772.39999999999941</v>
      </c>
    </row>
    <row r="11" spans="1:17" x14ac:dyDescent="0.4">
      <c r="A11" s="56" t="s">
        <v>140</v>
      </c>
      <c r="B11" s="48">
        <v>100</v>
      </c>
      <c r="C11" s="40">
        <f>IF(B$2=0,0,B11/B$2)</f>
        <v>0.1267427122940431</v>
      </c>
      <c r="E11" s="63" t="s">
        <v>71</v>
      </c>
      <c r="F11" s="60" t="s">
        <v>26</v>
      </c>
      <c r="G11" s="47">
        <v>197</v>
      </c>
      <c r="H11" s="133">
        <f>IF(B$17=0,0,G11/B$17)</f>
        <v>0.10051020408163265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1.7060836501901149</v>
      </c>
      <c r="P11" s="119">
        <v>263</v>
      </c>
      <c r="Q11" s="107">
        <v>448.70000000000022</v>
      </c>
    </row>
    <row r="12" spans="1:17" x14ac:dyDescent="0.4">
      <c r="A12" s="57" t="s">
        <v>160</v>
      </c>
      <c r="B12" s="49">
        <v>71</v>
      </c>
      <c r="C12" s="42">
        <f>IF(B$2=0,0,B12/B$2)</f>
        <v>8.9987325728770592E-2</v>
      </c>
      <c r="E12" s="63" t="s">
        <v>72</v>
      </c>
      <c r="F12" s="60" t="s">
        <v>27</v>
      </c>
      <c r="G12" s="47">
        <v>135</v>
      </c>
      <c r="H12" s="133">
        <f>IF(B$17=0,0,G12/B$17)</f>
        <v>6.8877551020408156E-2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1.2307984790874522</v>
      </c>
      <c r="P12" s="120">
        <v>263</v>
      </c>
      <c r="Q12" s="108">
        <v>323.69999999999993</v>
      </c>
    </row>
    <row r="13" spans="1:17" x14ac:dyDescent="0.4">
      <c r="A13" s="58" t="s">
        <v>122</v>
      </c>
      <c r="B13" s="50">
        <v>1806</v>
      </c>
      <c r="C13" s="44">
        <f>IF(B$3=0,0,B13/B$3)</f>
        <v>0.27488584474885847</v>
      </c>
      <c r="E13" s="63" t="s">
        <v>87</v>
      </c>
      <c r="F13" s="60" t="s">
        <v>42</v>
      </c>
      <c r="G13" s="47">
        <v>112</v>
      </c>
      <c r="H13" s="133">
        <f>IF(B$17=0,0,G13/B$17)</f>
        <v>5.7142857142857141E-2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1393</v>
      </c>
      <c r="C14" s="39">
        <f>IF(B$3=0,0,B14/B$3)</f>
        <v>0.21202435312024354</v>
      </c>
      <c r="E14" s="63" t="s">
        <v>84</v>
      </c>
      <c r="F14" s="60" t="s">
        <v>39</v>
      </c>
      <c r="G14" s="47">
        <v>95</v>
      </c>
      <c r="H14" s="133">
        <f>IF(B$17=0,0,G14/B$17)</f>
        <v>4.8469387755102039E-2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1040</v>
      </c>
      <c r="C15" s="37">
        <f>IF(B$13=0,0,B15/B$13)</f>
        <v>0.57585825027685489</v>
      </c>
      <c r="E15" s="63" t="s">
        <v>79</v>
      </c>
      <c r="F15" s="60" t="s">
        <v>34</v>
      </c>
      <c r="G15" s="47">
        <v>56</v>
      </c>
      <c r="H15" s="133">
        <f>IF(B$17=0,0,G15/B$17)</f>
        <v>2.8571428571428571E-2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45.6</v>
      </c>
      <c r="P15" s="118">
        <v>10</v>
      </c>
      <c r="Q15" s="106">
        <v>456</v>
      </c>
    </row>
    <row r="16" spans="1:17" x14ac:dyDescent="0.4">
      <c r="A16" s="54" t="s">
        <v>125</v>
      </c>
      <c r="B16" s="46">
        <v>548</v>
      </c>
      <c r="C16" s="37">
        <f>IF(B$14=0,0,B16/B$14)</f>
        <v>0.39339554917444364</v>
      </c>
      <c r="E16" s="63" t="s">
        <v>82</v>
      </c>
      <c r="F16" s="60" t="s">
        <v>37</v>
      </c>
      <c r="G16" s="47">
        <v>55</v>
      </c>
      <c r="H16" s="133">
        <f>IF(B$17=0,0,G16/B$17)</f>
        <v>2.8061224489795918E-2</v>
      </c>
      <c r="I16" s="94">
        <v>6</v>
      </c>
      <c r="K16" s="38">
        <v>14</v>
      </c>
      <c r="L16" s="99">
        <v>18.79999999999999</v>
      </c>
      <c r="N16" s="115" t="s">
        <v>184</v>
      </c>
      <c r="O16" s="125">
        <f>IF(P16=0,0,Q16/P16)</f>
        <v>18.027272727272731</v>
      </c>
      <c r="P16" s="119">
        <v>44</v>
      </c>
      <c r="Q16" s="107">
        <v>793.20000000000016</v>
      </c>
    </row>
    <row r="17" spans="1:17" x14ac:dyDescent="0.4">
      <c r="A17" s="54" t="s">
        <v>10</v>
      </c>
      <c r="B17" s="46">
        <f>B19+B18</f>
        <v>1960</v>
      </c>
      <c r="C17" s="37">
        <f>IF(B$3=0,0,B17/B$3)</f>
        <v>0.29832572298325721</v>
      </c>
      <c r="E17" s="63" t="s">
        <v>92</v>
      </c>
      <c r="F17" s="60" t="s">
        <v>47</v>
      </c>
      <c r="G17" s="47">
        <v>40</v>
      </c>
      <c r="H17" s="133">
        <f>IF(B$17=0,0,G17/B$17)</f>
        <v>2.0408163265306121E-2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13.00714285714289</v>
      </c>
      <c r="P17" s="119">
        <v>224</v>
      </c>
      <c r="Q17" s="107">
        <v>2913.6000000000072</v>
      </c>
    </row>
    <row r="18" spans="1:17" x14ac:dyDescent="0.4">
      <c r="A18" s="55" t="s">
        <v>12</v>
      </c>
      <c r="B18" s="47">
        <v>845</v>
      </c>
      <c r="C18" s="39">
        <f>IF(B$17=0,0,B18/B$17)</f>
        <v>0.43112244897959184</v>
      </c>
      <c r="E18" s="63" t="s">
        <v>80</v>
      </c>
      <c r="F18" s="60" t="s">
        <v>35</v>
      </c>
      <c r="G18" s="47">
        <v>31</v>
      </c>
      <c r="H18" s="133">
        <f>IF(B$17=0,0,G18/B$17)</f>
        <v>1.5816326530612244E-2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11.469230769230762</v>
      </c>
      <c r="P18" s="119">
        <v>104</v>
      </c>
      <c r="Q18" s="107">
        <v>1192.7999999999993</v>
      </c>
    </row>
    <row r="19" spans="1:17" x14ac:dyDescent="0.4">
      <c r="A19" s="55" t="s">
        <v>11</v>
      </c>
      <c r="B19" s="47">
        <v>1115</v>
      </c>
      <c r="C19" s="39">
        <f>IF(B$17=0,0,B19/B$17)</f>
        <v>0.56887755102040816</v>
      </c>
      <c r="E19" s="63" t="s">
        <v>180</v>
      </c>
      <c r="F19" s="60" t="s">
        <v>181</v>
      </c>
      <c r="G19" s="47">
        <v>30</v>
      </c>
      <c r="H19" s="133">
        <f>IF(B$17=0,0,G19/B$17)</f>
        <v>1.5306122448979591E-2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4.1988970588235306</v>
      </c>
      <c r="P19" s="119">
        <v>272</v>
      </c>
      <c r="Q19" s="107">
        <v>1142.1000000000004</v>
      </c>
    </row>
    <row r="20" spans="1:17" x14ac:dyDescent="0.4">
      <c r="A20" s="55" t="s">
        <v>13</v>
      </c>
      <c r="B20" s="47">
        <v>1099</v>
      </c>
      <c r="C20" s="39">
        <f>IF(B$3=0,0,B20/B$3)</f>
        <v>0.16727549467275496</v>
      </c>
      <c r="E20" s="63" t="s">
        <v>74</v>
      </c>
      <c r="F20" s="60" t="s">
        <v>29</v>
      </c>
      <c r="G20" s="47">
        <v>13</v>
      </c>
      <c r="H20" s="133">
        <f>IF(B$17=0,0,G20/B$17)</f>
        <v>6.6326530612244895E-3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2.046666666666666</v>
      </c>
      <c r="P20" s="119">
        <v>180</v>
      </c>
      <c r="Q20" s="107">
        <v>368.39999999999986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12</v>
      </c>
      <c r="H21" s="133">
        <f>IF(B$17=0,0,G21/B$17)</f>
        <v>6.1224489795918364E-3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0.75937500000000246</v>
      </c>
      <c r="P21" s="119">
        <v>192</v>
      </c>
      <c r="Q21" s="107">
        <v>145.80000000000047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75</v>
      </c>
      <c r="F22" s="60" t="s">
        <v>30</v>
      </c>
      <c r="G22" s="47">
        <v>9</v>
      </c>
      <c r="H22" s="133">
        <f>IF(B$17=0,0,G22/B$17)</f>
        <v>4.591836734693878E-3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-2.3517857142857164</v>
      </c>
      <c r="P22" s="119">
        <v>168</v>
      </c>
      <c r="Q22" s="107">
        <v>-395.10000000000036</v>
      </c>
    </row>
    <row r="23" spans="1:17" x14ac:dyDescent="0.4">
      <c r="A23" s="55" t="s">
        <v>5</v>
      </c>
      <c r="B23" s="51">
        <f>IF(B$17=0,0,C23/B$17)</f>
        <v>8791.9897959183672</v>
      </c>
      <c r="C23" s="41">
        <v>17232300</v>
      </c>
      <c r="E23" s="63" t="s">
        <v>86</v>
      </c>
      <c r="F23" s="60" t="s">
        <v>41</v>
      </c>
      <c r="G23" s="47">
        <v>8</v>
      </c>
      <c r="H23" s="133">
        <f>IF(B$17=0,0,G23/B$17)</f>
        <v>4.0816326530612249E-3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-3.7833333333333283</v>
      </c>
      <c r="P23" s="119">
        <v>36</v>
      </c>
      <c r="Q23" s="107">
        <v>-136.19999999999982</v>
      </c>
    </row>
    <row r="24" spans="1:17" x14ac:dyDescent="0.4">
      <c r="A24" s="57" t="s">
        <v>14</v>
      </c>
      <c r="B24" s="52">
        <f>IF(B$20=0,0,C24/B$20)</f>
        <v>-8243.5850773430393</v>
      </c>
      <c r="C24" s="45">
        <v>-9059700</v>
      </c>
      <c r="E24" s="63" t="s">
        <v>93</v>
      </c>
      <c r="F24" s="60" t="s">
        <v>48</v>
      </c>
      <c r="G24" s="47">
        <v>8</v>
      </c>
      <c r="H24" s="133">
        <f>IF(B$17=0,0,G24/B$17)</f>
        <v>4.0816326530612249E-3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-18.160060975609738</v>
      </c>
      <c r="P24" s="119">
        <v>328</v>
      </c>
      <c r="Q24" s="107">
        <v>-5956.4999999999936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7</v>
      </c>
      <c r="H25" s="133">
        <f>IF(B$17=0,0,G25/B$17)</f>
        <v>3.5714285714285713E-3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4">
        <v>116000</v>
      </c>
      <c r="C26" s="145"/>
      <c r="E26" s="63" t="s">
        <v>88</v>
      </c>
      <c r="F26" s="60" t="s">
        <v>43</v>
      </c>
      <c r="G26" s="47">
        <v>6</v>
      </c>
      <c r="H26" s="133">
        <f>IF(B$17=0,0,G26/B$17)</f>
        <v>3.0612244897959182E-3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2.8919330289193302E-3</v>
      </c>
      <c r="E27" s="63" t="s">
        <v>78</v>
      </c>
      <c r="F27" s="60" t="s">
        <v>33</v>
      </c>
      <c r="G27" s="47">
        <v>5</v>
      </c>
      <c r="H27" s="133">
        <f>IF(B$17=0,0,G27/B$17)</f>
        <v>2.5510204081632651E-3</v>
      </c>
      <c r="I27" s="94">
        <v>7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5</v>
      </c>
      <c r="H28" s="133">
        <f>IF(B$17=0,0,G28/B$17)</f>
        <v>2.5510204081632651E-3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5</v>
      </c>
      <c r="H29" s="133">
        <f>IF(B$17=0,0,G29/B$17)</f>
        <v>2.5510204081632651E-3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1.5306122448979591E-3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1.0204081632653062E-3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5.1020408163265311E-4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5.1020408163265311E-4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5.1020408163265311E-4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  <row r="753" spans="11:12" x14ac:dyDescent="0.4">
      <c r="K753" s="38">
        <v>751</v>
      </c>
      <c r="L753" s="99">
        <v>-43.199999999999996</v>
      </c>
    </row>
    <row r="754" spans="11:12" x14ac:dyDescent="0.4">
      <c r="K754" s="38">
        <v>752</v>
      </c>
      <c r="L754" s="99">
        <v>-39.799999999999997</v>
      </c>
    </row>
    <row r="755" spans="11:12" x14ac:dyDescent="0.4">
      <c r="K755" s="38">
        <v>753</v>
      </c>
      <c r="L755" s="99">
        <v>0</v>
      </c>
    </row>
    <row r="756" spans="11:12" x14ac:dyDescent="0.4">
      <c r="K756" s="38">
        <v>754</v>
      </c>
      <c r="L756" s="99">
        <v>-53.3</v>
      </c>
    </row>
    <row r="757" spans="11:12" x14ac:dyDescent="0.4">
      <c r="K757" s="38">
        <v>755</v>
      </c>
      <c r="L757" s="99">
        <v>-61.599999999999994</v>
      </c>
    </row>
    <row r="758" spans="11:12" x14ac:dyDescent="0.4">
      <c r="K758" s="38">
        <v>756</v>
      </c>
      <c r="L758" s="99">
        <v>7.1054273576010019E-15</v>
      </c>
    </row>
    <row r="759" spans="11:12" x14ac:dyDescent="0.4">
      <c r="K759" s="38">
        <v>757</v>
      </c>
      <c r="L759" s="99">
        <v>31.700000000000006</v>
      </c>
    </row>
    <row r="760" spans="11:12" x14ac:dyDescent="0.4">
      <c r="K760" s="38">
        <v>758</v>
      </c>
      <c r="L760" s="99">
        <v>-10.099999999999991</v>
      </c>
    </row>
    <row r="761" spans="11:12" x14ac:dyDescent="0.4">
      <c r="K761" s="38">
        <v>759</v>
      </c>
      <c r="L761" s="99">
        <v>8.8817841970012523E-15</v>
      </c>
    </row>
    <row r="762" spans="11:12" x14ac:dyDescent="0.4">
      <c r="K762" s="38">
        <v>760</v>
      </c>
      <c r="L762" s="99">
        <v>42.70000000000001</v>
      </c>
    </row>
    <row r="763" spans="11:12" x14ac:dyDescent="0.4">
      <c r="K763" s="38">
        <v>761</v>
      </c>
      <c r="L763" s="99">
        <v>-2.5999999999999872</v>
      </c>
    </row>
    <row r="764" spans="11:12" x14ac:dyDescent="0.4">
      <c r="K764" s="38">
        <v>762</v>
      </c>
      <c r="L764" s="99">
        <v>1.2878587085651816E-14</v>
      </c>
    </row>
    <row r="765" spans="11:12" x14ac:dyDescent="0.4">
      <c r="K765" s="38">
        <v>763</v>
      </c>
      <c r="L765" s="99">
        <v>62.000000000000014</v>
      </c>
    </row>
    <row r="766" spans="11:12" x14ac:dyDescent="0.4">
      <c r="K766" s="38">
        <v>764</v>
      </c>
      <c r="L766" s="99">
        <v>3.9000000000000128</v>
      </c>
    </row>
    <row r="767" spans="11:12" x14ac:dyDescent="0.4">
      <c r="K767" s="38">
        <v>765</v>
      </c>
      <c r="L767" s="99">
        <v>1.2878587085651816E-14</v>
      </c>
    </row>
    <row r="768" spans="11:12" x14ac:dyDescent="0.4">
      <c r="K768" s="38">
        <v>766</v>
      </c>
      <c r="L768" s="99">
        <v>35.000000000000014</v>
      </c>
    </row>
    <row r="769" spans="11:12" x14ac:dyDescent="0.4">
      <c r="K769" s="38">
        <v>767</v>
      </c>
      <c r="L769" s="99">
        <v>-9.5999999999999872</v>
      </c>
    </row>
    <row r="770" spans="11:12" x14ac:dyDescent="0.4">
      <c r="K770" s="38">
        <v>768</v>
      </c>
      <c r="L770" s="99">
        <v>1.2434497875801753E-14</v>
      </c>
    </row>
    <row r="771" spans="11:12" x14ac:dyDescent="0.4">
      <c r="K771" s="38">
        <v>769</v>
      </c>
      <c r="L771" s="99">
        <v>39.300000000000011</v>
      </c>
    </row>
    <row r="772" spans="11:12" x14ac:dyDescent="0.4">
      <c r="K772" s="38">
        <v>770</v>
      </c>
      <c r="L772" s="99">
        <v>-18.999999999999986</v>
      </c>
    </row>
    <row r="773" spans="11:12" x14ac:dyDescent="0.4">
      <c r="K773" s="38">
        <v>771</v>
      </c>
      <c r="L773" s="99">
        <v>1.4210854715202004E-14</v>
      </c>
    </row>
    <row r="774" spans="11:12" x14ac:dyDescent="0.4">
      <c r="K774" s="38">
        <v>772</v>
      </c>
      <c r="L774" s="99">
        <v>1.1000000000000143</v>
      </c>
    </row>
    <row r="775" spans="11:12" x14ac:dyDescent="0.4">
      <c r="K775" s="38">
        <v>773</v>
      </c>
      <c r="L775" s="99">
        <v>-34.699999999999982</v>
      </c>
    </row>
    <row r="776" spans="11:12" x14ac:dyDescent="0.4">
      <c r="K776" s="38">
        <v>774</v>
      </c>
      <c r="L776" s="99">
        <v>2.1316282072803006E-14</v>
      </c>
    </row>
    <row r="777" spans="11:12" x14ac:dyDescent="0.4">
      <c r="K777" s="38">
        <v>775</v>
      </c>
      <c r="L777" s="99">
        <v>-32.09999999999998</v>
      </c>
    </row>
    <row r="778" spans="11:12" x14ac:dyDescent="0.4">
      <c r="K778" s="38">
        <v>776</v>
      </c>
      <c r="L778" s="99">
        <v>-36.399999999999977</v>
      </c>
    </row>
    <row r="779" spans="11:12" x14ac:dyDescent="0.4">
      <c r="K779" s="38">
        <v>777</v>
      </c>
      <c r="L779" s="99">
        <v>2.1316282072803006E-14</v>
      </c>
    </row>
    <row r="780" spans="11:12" x14ac:dyDescent="0.4">
      <c r="K780" s="38">
        <v>778</v>
      </c>
      <c r="L780" s="99">
        <v>-7.399999999999979</v>
      </c>
    </row>
    <row r="781" spans="11:12" x14ac:dyDescent="0.4">
      <c r="K781" s="38">
        <v>779</v>
      </c>
      <c r="L781" s="99">
        <v>-65.999999999999986</v>
      </c>
    </row>
    <row r="782" spans="11:12" x14ac:dyDescent="0.4">
      <c r="K782" s="38">
        <v>780</v>
      </c>
      <c r="L782" s="99">
        <v>1.4210854715202004E-14</v>
      </c>
    </row>
    <row r="783" spans="11:12" x14ac:dyDescent="0.4">
      <c r="K783" s="38">
        <v>781</v>
      </c>
      <c r="L783" s="99">
        <v>-55.399999999999984</v>
      </c>
    </row>
    <row r="784" spans="11:12" x14ac:dyDescent="0.4">
      <c r="K784" s="38">
        <v>782</v>
      </c>
      <c r="L784" s="99">
        <v>-42.59999999999998</v>
      </c>
    </row>
    <row r="785" spans="11:12" x14ac:dyDescent="0.4">
      <c r="K785" s="38">
        <v>783</v>
      </c>
      <c r="L785" s="99">
        <v>2.1316282072803006E-14</v>
      </c>
    </row>
    <row r="786" spans="11:12" x14ac:dyDescent="0.4">
      <c r="K786" s="38">
        <v>784</v>
      </c>
      <c r="L786" s="99">
        <v>17.800000000000022</v>
      </c>
    </row>
    <row r="787" spans="11:12" x14ac:dyDescent="0.4">
      <c r="K787" s="38">
        <v>785</v>
      </c>
      <c r="L787" s="99">
        <v>-49.199999999999974</v>
      </c>
    </row>
    <row r="788" spans="11:12" x14ac:dyDescent="0.4">
      <c r="K788" s="38">
        <v>786</v>
      </c>
      <c r="L788" s="99">
        <v>2.8421709430404007E-14</v>
      </c>
    </row>
    <row r="789" spans="11:12" x14ac:dyDescent="0.4">
      <c r="K789" s="38">
        <v>787</v>
      </c>
      <c r="L789" s="99">
        <v>-17.89999999999997</v>
      </c>
    </row>
    <row r="790" spans="11:12" x14ac:dyDescent="0.4">
      <c r="K790" s="38">
        <v>788</v>
      </c>
      <c r="L790" s="99">
        <v>80.400000000000034</v>
      </c>
    </row>
    <row r="791" spans="11:12" x14ac:dyDescent="0.4">
      <c r="K791" s="38">
        <v>789</v>
      </c>
      <c r="L791" s="99">
        <v>2.8421709430404007E-14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164</v>
      </c>
      <c r="C2" s="153"/>
      <c r="E2" s="62" t="s">
        <v>65</v>
      </c>
      <c r="F2" s="59" t="s">
        <v>21</v>
      </c>
      <c r="G2" s="46">
        <v>221</v>
      </c>
      <c r="H2" s="132">
        <f>IF(B$17=0,0,G2/B$17)</f>
        <v>0.48148148148148145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1954.2682926829268</v>
      </c>
      <c r="P2" s="118">
        <v>164</v>
      </c>
      <c r="Q2" s="102">
        <v>320500</v>
      </c>
    </row>
    <row r="3" spans="1:17" x14ac:dyDescent="0.4">
      <c r="A3" s="55" t="s">
        <v>8</v>
      </c>
      <c r="B3" s="154">
        <v>1349</v>
      </c>
      <c r="C3" s="155"/>
      <c r="E3" s="63" t="s">
        <v>66</v>
      </c>
      <c r="F3" s="60" t="s">
        <v>22</v>
      </c>
      <c r="G3" s="47">
        <v>57</v>
      </c>
      <c r="H3" s="133">
        <f>IF(B$17=0,0,G3/B$17)</f>
        <v>0.12418300653594772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2044.375</v>
      </c>
      <c r="P3" s="119">
        <v>160</v>
      </c>
      <c r="Q3" s="103">
        <v>327100</v>
      </c>
    </row>
    <row r="4" spans="1:17" x14ac:dyDescent="0.4">
      <c r="A4" s="55" t="s">
        <v>6</v>
      </c>
      <c r="B4" s="156">
        <v>1985.5000000000005</v>
      </c>
      <c r="C4" s="157"/>
      <c r="E4" s="63" t="s">
        <v>67</v>
      </c>
      <c r="F4" s="60" t="s">
        <v>23</v>
      </c>
      <c r="G4" s="47">
        <v>329</v>
      </c>
      <c r="H4" s="133">
        <f>IF(B$17=0,0,G4/B$17)</f>
        <v>0.71677559912854028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620.39473684210532</v>
      </c>
      <c r="P4" s="119">
        <v>152</v>
      </c>
      <c r="Q4" s="103">
        <v>94300</v>
      </c>
    </row>
    <row r="5" spans="1:17" x14ac:dyDescent="0.4">
      <c r="A5" s="55" t="s">
        <v>7</v>
      </c>
      <c r="B5" s="158">
        <f>IF(B$2=0,0,B$4/B$2)</f>
        <v>12.106707317073173</v>
      </c>
      <c r="C5" s="159"/>
      <c r="E5" s="63" t="s">
        <v>68</v>
      </c>
      <c r="F5" s="60" t="s">
        <v>24</v>
      </c>
      <c r="G5" s="47">
        <v>134</v>
      </c>
      <c r="H5" s="133">
        <f>IF(B$17=0,0,G5/B$17)</f>
        <v>0.29193899782135074</v>
      </c>
      <c r="I5" s="94">
        <v>8</v>
      </c>
      <c r="K5" s="38">
        <v>3</v>
      </c>
      <c r="L5" s="99">
        <v>70.399999999999991</v>
      </c>
      <c r="N5" s="115" t="s">
        <v>135</v>
      </c>
      <c r="O5" s="122">
        <f t="shared" si="0"/>
        <v>2231.4285714285716</v>
      </c>
      <c r="P5" s="119">
        <v>140</v>
      </c>
      <c r="Q5" s="103">
        <v>312400</v>
      </c>
    </row>
    <row r="6" spans="1:17" x14ac:dyDescent="0.4">
      <c r="A6" s="55" t="s">
        <v>1</v>
      </c>
      <c r="B6" s="148">
        <f>IF(B$2=0,0,(B$7*1+B$8*2+B$9*3)/B$2)</f>
        <v>1.7621951219512195</v>
      </c>
      <c r="C6" s="149"/>
      <c r="E6" s="63" t="s">
        <v>69</v>
      </c>
      <c r="F6" s="60" t="s">
        <v>12</v>
      </c>
      <c r="G6" s="47">
        <v>125</v>
      </c>
      <c r="H6" s="133">
        <f>IF(B$17=0,0,G6/B$17)</f>
        <v>0.27233115468409586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437.09677419354841</v>
      </c>
      <c r="P6" s="119">
        <v>124</v>
      </c>
      <c r="Q6" s="103">
        <v>54200</v>
      </c>
    </row>
    <row r="7" spans="1:17" x14ac:dyDescent="0.4">
      <c r="A7" s="55" t="s">
        <v>2</v>
      </c>
      <c r="B7" s="47">
        <v>78</v>
      </c>
      <c r="C7" s="39">
        <f>IF(B$2=0,0,B7/B$2)</f>
        <v>0.47560975609756095</v>
      </c>
      <c r="E7" s="63" t="s">
        <v>70</v>
      </c>
      <c r="F7" s="60" t="s">
        <v>25</v>
      </c>
      <c r="G7" s="47">
        <v>74</v>
      </c>
      <c r="H7" s="133">
        <f>IF(B$17=0,0,G7/B$17)</f>
        <v>0.16122004357298475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939.25233644859816</v>
      </c>
      <c r="P7" s="120">
        <v>107</v>
      </c>
      <c r="Q7" s="104">
        <v>100500</v>
      </c>
    </row>
    <row r="8" spans="1:17" x14ac:dyDescent="0.4">
      <c r="A8" s="55" t="s">
        <v>3</v>
      </c>
      <c r="B8" s="47">
        <v>47</v>
      </c>
      <c r="C8" s="39">
        <f>IF(B$2=0,0,B8/B$2)</f>
        <v>0.28658536585365851</v>
      </c>
      <c r="E8" s="63" t="s">
        <v>71</v>
      </c>
      <c r="F8" s="60" t="s">
        <v>26</v>
      </c>
      <c r="G8" s="47">
        <v>39</v>
      </c>
      <c r="H8" s="133">
        <f>IF(B$17=0,0,G8/B$17)</f>
        <v>8.4967320261437912E-2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0.23780487804878048</v>
      </c>
      <c r="E9" s="63" t="s">
        <v>72</v>
      </c>
      <c r="F9" s="60" t="s">
        <v>27</v>
      </c>
      <c r="G9" s="47">
        <v>31</v>
      </c>
      <c r="H9" s="133">
        <f>IF(B$17=0,0,G9/B$17)</f>
        <v>6.7538126361655779E-2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9.1463414634146339E-2</v>
      </c>
      <c r="E10" s="63" t="s">
        <v>73</v>
      </c>
      <c r="F10" s="60" t="s">
        <v>28</v>
      </c>
      <c r="G10" s="47">
        <v>253</v>
      </c>
      <c r="H10" s="133">
        <f>IF(B$17=0,0,G10/B$17)</f>
        <v>0.55119825708060999</v>
      </c>
      <c r="I10" s="94">
        <v>6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29</v>
      </c>
      <c r="C11" s="40">
        <f>IF(B$2=0,0,B11/B$2)</f>
        <v>0.17682926829268292</v>
      </c>
      <c r="E11" s="63" t="s">
        <v>74</v>
      </c>
      <c r="F11" s="60" t="s">
        <v>29</v>
      </c>
      <c r="G11" s="47">
        <v>3</v>
      </c>
      <c r="H11" s="133">
        <f>IF(B$17=0,0,G11/B$17)</f>
        <v>6.5359477124183009E-3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10.110000000000001</v>
      </c>
      <c r="P11" s="119">
        <v>50</v>
      </c>
      <c r="Q11" s="107">
        <v>505.50000000000006</v>
      </c>
    </row>
    <row r="12" spans="1:17" x14ac:dyDescent="0.4">
      <c r="A12" s="57" t="s">
        <v>160</v>
      </c>
      <c r="B12" s="49">
        <v>24</v>
      </c>
      <c r="C12" s="42">
        <f>IF(B$2=0,0,B12/B$2)</f>
        <v>0.14634146341463414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11.274603174603177</v>
      </c>
      <c r="P12" s="120">
        <v>63</v>
      </c>
      <c r="Q12" s="108">
        <v>710.30000000000018</v>
      </c>
    </row>
    <row r="13" spans="1:17" x14ac:dyDescent="0.4">
      <c r="A13" s="58" t="s">
        <v>122</v>
      </c>
      <c r="B13" s="50">
        <v>423</v>
      </c>
      <c r="C13" s="44">
        <f>IF(B$3=0,0,B13/B$3)</f>
        <v>0.31356560415122314</v>
      </c>
      <c r="E13" s="63" t="s">
        <v>76</v>
      </c>
      <c r="F13" s="60" t="s">
        <v>31</v>
      </c>
      <c r="G13" s="47">
        <v>1</v>
      </c>
      <c r="H13" s="133">
        <f>IF(B$17=0,0,G13/B$17)</f>
        <v>2.1786492374727671E-3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242</v>
      </c>
      <c r="C15" s="37">
        <f>IF(B$13=0,0,B15/B$13)</f>
        <v>0.5721040189125296</v>
      </c>
      <c r="E15" s="63" t="s">
        <v>78</v>
      </c>
      <c r="F15" s="60" t="s">
        <v>33</v>
      </c>
      <c r="G15" s="47">
        <v>2</v>
      </c>
      <c r="H15" s="133">
        <f>IF(B$17=0,0,G15/B$17)</f>
        <v>4.3572984749455342E-3</v>
      </c>
      <c r="I15" s="94">
        <v>5</v>
      </c>
      <c r="K15" s="38">
        <v>13</v>
      </c>
      <c r="L15" s="99">
        <v>418.90000000000003</v>
      </c>
      <c r="N15" s="114" t="s">
        <v>183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148</v>
      </c>
      <c r="C16" s="37">
        <f>IF(B$14=0,0,B16/B$14)</f>
        <v>0.52112676056338025</v>
      </c>
      <c r="E16" s="63" t="s">
        <v>79</v>
      </c>
      <c r="F16" s="60" t="s">
        <v>34</v>
      </c>
      <c r="G16" s="47">
        <v>12</v>
      </c>
      <c r="H16" s="133">
        <f>IF(B$17=0,0,G16/B$17)</f>
        <v>2.6143790849673203E-2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 t="shared" si="2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459</v>
      </c>
      <c r="C17" s="37">
        <f>IF(B$3=0,0,B17/B$3)</f>
        <v>0.34025203854707192</v>
      </c>
      <c r="E17" s="63" t="s">
        <v>80</v>
      </c>
      <c r="F17" s="60" t="s">
        <v>35</v>
      </c>
      <c r="G17" s="47">
        <v>6</v>
      </c>
      <c r="H17" s="133">
        <f>IF(B$17=0,0,G17/B$17)</f>
        <v>1.3071895424836602E-2</v>
      </c>
      <c r="I17" s="94">
        <v>9</v>
      </c>
      <c r="K17" s="38">
        <v>15</v>
      </c>
      <c r="L17" s="99">
        <v>481.50000000000006</v>
      </c>
      <c r="N17" s="115" t="s">
        <v>129</v>
      </c>
      <c r="O17" s="125">
        <f t="shared" si="2"/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192</v>
      </c>
      <c r="C18" s="39">
        <f>IF(B$17=0,0,B18/B$17)</f>
        <v>0.41830065359477125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172</v>
      </c>
      <c r="O18" s="125">
        <f t="shared" si="2"/>
        <v>24.906382978723396</v>
      </c>
      <c r="P18" s="119">
        <v>47</v>
      </c>
      <c r="Q18" s="107">
        <v>1170.5999999999997</v>
      </c>
    </row>
    <row r="19" spans="1:17" x14ac:dyDescent="0.4">
      <c r="A19" s="55" t="s">
        <v>11</v>
      </c>
      <c r="B19" s="47">
        <v>267</v>
      </c>
      <c r="C19" s="39">
        <f>IF(B$17=0,0,B19/B$17)</f>
        <v>0.5816993464052288</v>
      </c>
      <c r="E19" s="63" t="s">
        <v>82</v>
      </c>
      <c r="F19" s="60" t="s">
        <v>37</v>
      </c>
      <c r="G19" s="47">
        <v>12</v>
      </c>
      <c r="H19" s="133">
        <f>IF(B$17=0,0,G19/B$17)</f>
        <v>2.6143790849673203E-2</v>
      </c>
      <c r="I19" s="94">
        <v>8</v>
      </c>
      <c r="K19" s="38">
        <v>17</v>
      </c>
      <c r="L19" s="99">
        <v>427.40000000000003</v>
      </c>
      <c r="N19" s="115" t="s">
        <v>184</v>
      </c>
      <c r="O19" s="125">
        <f t="shared" si="2"/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208</v>
      </c>
      <c r="C20" s="39">
        <f>IF(B$3=0,0,B20/B$3)</f>
        <v>0.15418828762045961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 t="shared" si="2"/>
        <v>20.326470588235299</v>
      </c>
      <c r="P20" s="119">
        <v>34</v>
      </c>
      <c r="Q20" s="107">
        <v>691.10000000000014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84</v>
      </c>
      <c r="F21" s="60" t="s">
        <v>39</v>
      </c>
      <c r="G21" s="47">
        <v>25</v>
      </c>
      <c r="H21" s="133">
        <f>IF(B$17=0,0,G21/B$17)</f>
        <v>5.4466230936819175E-2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 t="shared" si="2"/>
        <v>18.171111111111113</v>
      </c>
      <c r="P21" s="119">
        <v>90</v>
      </c>
      <c r="Q21" s="107">
        <v>1635.4</v>
      </c>
    </row>
    <row r="22" spans="1:17" x14ac:dyDescent="0.4">
      <c r="A22" s="55" t="s">
        <v>192</v>
      </c>
      <c r="B22" s="47">
        <v>39</v>
      </c>
      <c r="C22" s="135">
        <v>2</v>
      </c>
      <c r="E22" s="63" t="s">
        <v>85</v>
      </c>
      <c r="F22" s="60" t="s">
        <v>40</v>
      </c>
      <c r="G22" s="47">
        <v>1</v>
      </c>
      <c r="H22" s="133">
        <f>IF(B$17=0,0,G22/B$17)</f>
        <v>2.1786492374727671E-3</v>
      </c>
      <c r="I22" s="94">
        <v>5</v>
      </c>
      <c r="K22" s="38">
        <v>20</v>
      </c>
      <c r="L22" s="99">
        <v>469.6</v>
      </c>
      <c r="N22" s="115" t="s">
        <v>173</v>
      </c>
      <c r="O22" s="125">
        <f t="shared" si="2"/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9294.3355119825701</v>
      </c>
      <c r="C23" s="41">
        <v>4266100</v>
      </c>
      <c r="E23" s="63" t="s">
        <v>86</v>
      </c>
      <c r="F23" s="60" t="s">
        <v>41</v>
      </c>
      <c r="G23" s="47">
        <v>4</v>
      </c>
      <c r="H23" s="133">
        <f>IF(B$17=0,0,G23/B$17)</f>
        <v>8.7145969498910684E-3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-8188.9423076923076</v>
      </c>
      <c r="C24" s="45">
        <v>-1703300</v>
      </c>
      <c r="E24" s="63" t="s">
        <v>87</v>
      </c>
      <c r="F24" s="60" t="s">
        <v>42</v>
      </c>
      <c r="G24" s="47">
        <v>35</v>
      </c>
      <c r="H24" s="133">
        <f>IF(B$17=0,0,G24/B$17)</f>
        <v>7.6252723311546838E-2</v>
      </c>
      <c r="I24" s="94">
        <v>3</v>
      </c>
      <c r="K24" s="38">
        <v>22</v>
      </c>
      <c r="L24" s="99">
        <v>519.20000000000005</v>
      </c>
      <c r="N24" s="115" t="s">
        <v>200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2.1786492374727671E-3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 t="shared" si="2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4">
        <v>116000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2.1786492374727671E-3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7.4128984432913266E-4</v>
      </c>
      <c r="E27" s="63" t="s">
        <v>90</v>
      </c>
      <c r="F27" s="60" t="s">
        <v>45</v>
      </c>
      <c r="G27" s="47">
        <v>72</v>
      </c>
      <c r="H27" s="133">
        <f>IF(B$17=0,0,G27/B$17)</f>
        <v>0.15686274509803921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4.3572984749455342E-3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11</v>
      </c>
      <c r="H29" s="133">
        <f>IF(B$17=0,0,G29/B$17)</f>
        <v>2.3965141612200435E-2</v>
      </c>
      <c r="I29" s="94">
        <v>4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6.5359477124183009E-3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4.3572984749455342E-3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2.1786492374727671E-3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16</v>
      </c>
      <c r="H50" s="133">
        <f>IF(B$17=0,0,G50/B$17)</f>
        <v>3.4858387799564274E-2</v>
      </c>
      <c r="I50" s="94">
        <v>2</v>
      </c>
      <c r="K50" s="38">
        <v>48</v>
      </c>
      <c r="L50" s="99">
        <v>1259.3</v>
      </c>
    </row>
    <row r="51" spans="5:12" x14ac:dyDescent="0.4">
      <c r="E51" s="136" t="s">
        <v>245</v>
      </c>
      <c r="F51" s="137" t="s">
        <v>246</v>
      </c>
      <c r="G51" s="48">
        <v>190</v>
      </c>
      <c r="H51" s="138">
        <f>IF(B$17=0,0,G51/B$17)</f>
        <v>0.41394335511982572</v>
      </c>
      <c r="I51" s="139">
        <v>6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</sheetData>
  <sortState ref="E2:I16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136</v>
      </c>
      <c r="C2" s="153"/>
      <c r="E2" s="62" t="s">
        <v>65</v>
      </c>
      <c r="F2" s="59" t="s">
        <v>21</v>
      </c>
      <c r="G2" s="46">
        <v>190</v>
      </c>
      <c r="H2" s="132">
        <f>IF(B$17=0,0,G2/B$17)</f>
        <v>0.6270627062706271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348.52941176470586</v>
      </c>
      <c r="P2" s="118">
        <v>136</v>
      </c>
      <c r="Q2" s="102">
        <v>47400</v>
      </c>
    </row>
    <row r="3" spans="1:17" x14ac:dyDescent="0.4">
      <c r="A3" s="55" t="s">
        <v>8</v>
      </c>
      <c r="B3" s="154">
        <v>1117</v>
      </c>
      <c r="C3" s="155"/>
      <c r="E3" s="63" t="s">
        <v>66</v>
      </c>
      <c r="F3" s="60" t="s">
        <v>22</v>
      </c>
      <c r="G3" s="47">
        <v>48</v>
      </c>
      <c r="H3" s="133">
        <f>IF(B$17=0,0,G3/B$17)</f>
        <v>0.15841584158415842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-2025</v>
      </c>
      <c r="P3" s="119">
        <v>132</v>
      </c>
      <c r="Q3" s="103">
        <v>-267300</v>
      </c>
    </row>
    <row r="4" spans="1:17" x14ac:dyDescent="0.4">
      <c r="A4" s="55" t="s">
        <v>6</v>
      </c>
      <c r="B4" s="156">
        <v>-380.7</v>
      </c>
      <c r="C4" s="157"/>
      <c r="E4" s="63" t="s">
        <v>67</v>
      </c>
      <c r="F4" s="60" t="s">
        <v>23</v>
      </c>
      <c r="G4" s="47">
        <v>230</v>
      </c>
      <c r="H4" s="133">
        <f>IF(B$17=0,0,G4/B$17)</f>
        <v>0.75907590759075905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360.8</v>
      </c>
      <c r="P4" s="119">
        <v>125</v>
      </c>
      <c r="Q4" s="103">
        <v>45100</v>
      </c>
    </row>
    <row r="5" spans="1:17" x14ac:dyDescent="0.4">
      <c r="A5" s="55" t="s">
        <v>7</v>
      </c>
      <c r="B5" s="158">
        <f>IF(B$2=0,0,B$4/B$2)</f>
        <v>-2.799264705882353</v>
      </c>
      <c r="C5" s="159"/>
      <c r="E5" s="63" t="s">
        <v>68</v>
      </c>
      <c r="F5" s="60" t="s">
        <v>24</v>
      </c>
      <c r="G5" s="47">
        <v>123</v>
      </c>
      <c r="H5" s="133">
        <f>IF(B$17=0,0,G5/B$17)</f>
        <v>0.40594059405940597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36.607142857142854</v>
      </c>
      <c r="P5" s="119">
        <v>112</v>
      </c>
      <c r="Q5" s="103">
        <v>4100</v>
      </c>
    </row>
    <row r="6" spans="1:17" x14ac:dyDescent="0.4">
      <c r="A6" s="55" t="s">
        <v>1</v>
      </c>
      <c r="B6" s="148">
        <f>IF(B$2=0,0,(B$7*1+B$8*2+B$9*3)/B$2)</f>
        <v>2.0808823529411766</v>
      </c>
      <c r="C6" s="149"/>
      <c r="E6" s="63" t="s">
        <v>69</v>
      </c>
      <c r="F6" s="60" t="s">
        <v>12</v>
      </c>
      <c r="G6" s="47">
        <v>105</v>
      </c>
      <c r="H6" s="133">
        <f>IF(B$17=0,0,G6/B$17)</f>
        <v>0.34653465346534651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701.01010101010104</v>
      </c>
      <c r="P6" s="119">
        <v>99</v>
      </c>
      <c r="Q6" s="103">
        <v>69400</v>
      </c>
    </row>
    <row r="7" spans="1:17" x14ac:dyDescent="0.4">
      <c r="A7" s="55" t="s">
        <v>2</v>
      </c>
      <c r="B7" s="47">
        <v>36</v>
      </c>
      <c r="C7" s="39">
        <f>IF(B$2=0,0,B7/B$2)</f>
        <v>0.26470588235294118</v>
      </c>
      <c r="E7" s="63" t="s">
        <v>70</v>
      </c>
      <c r="F7" s="60" t="s">
        <v>25</v>
      </c>
      <c r="G7" s="47">
        <v>69</v>
      </c>
      <c r="H7" s="133">
        <f>IF(B$17=0,0,G7/B$17)</f>
        <v>0.22772277227722773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-82.222222222222229</v>
      </c>
      <c r="P7" s="120">
        <v>90</v>
      </c>
      <c r="Q7" s="104">
        <v>-7400</v>
      </c>
    </row>
    <row r="8" spans="1:17" x14ac:dyDescent="0.4">
      <c r="A8" s="55" t="s">
        <v>3</v>
      </c>
      <c r="B8" s="47">
        <v>53</v>
      </c>
      <c r="C8" s="39">
        <f>IF(B$2=0,0,B8/B$2)</f>
        <v>0.38970588235294118</v>
      </c>
      <c r="E8" s="63" t="s">
        <v>71</v>
      </c>
      <c r="F8" s="60" t="s">
        <v>26</v>
      </c>
      <c r="G8" s="47">
        <v>37</v>
      </c>
      <c r="H8" s="133">
        <f>IF(B$17=0,0,G8/B$17)</f>
        <v>0.12211221122112212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0.34558823529411764</v>
      </c>
      <c r="E9" s="63" t="s">
        <v>72</v>
      </c>
      <c r="F9" s="60" t="s">
        <v>27</v>
      </c>
      <c r="G9" s="47">
        <v>17</v>
      </c>
      <c r="H9" s="133">
        <f>IF(B$17=0,0,G9/B$17)</f>
        <v>5.6105610561056105E-2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0.13235294117647059</v>
      </c>
      <c r="E10" s="63" t="s">
        <v>73</v>
      </c>
      <c r="F10" s="60" t="s">
        <v>28</v>
      </c>
      <c r="G10" s="47">
        <v>138</v>
      </c>
      <c r="H10" s="133">
        <f>IF(B$17=0,0,G10/B$17)</f>
        <v>0.45544554455445546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-7.355882352941177</v>
      </c>
      <c r="P10" s="118">
        <v>68</v>
      </c>
      <c r="Q10" s="106">
        <v>-500.20000000000005</v>
      </c>
    </row>
    <row r="11" spans="1:17" x14ac:dyDescent="0.4">
      <c r="A11" s="56" t="s">
        <v>140</v>
      </c>
      <c r="B11" s="48">
        <v>14</v>
      </c>
      <c r="C11" s="40">
        <f>IF(B$2=0,0,B11/B$2)</f>
        <v>0.10294117647058823</v>
      </c>
      <c r="E11" s="63" t="s">
        <v>74</v>
      </c>
      <c r="F11" s="60" t="s">
        <v>29</v>
      </c>
      <c r="G11" s="47">
        <v>2</v>
      </c>
      <c r="H11" s="133">
        <f>IF(B$17=0,0,G11/B$17)</f>
        <v>6.6006600660066007E-3</v>
      </c>
      <c r="I11" s="94">
        <v>5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6.6176470588235295E-2</v>
      </c>
      <c r="E12" s="63" t="s">
        <v>75</v>
      </c>
      <c r="F12" s="60" t="s">
        <v>30</v>
      </c>
      <c r="G12" s="47">
        <v>2</v>
      </c>
      <c r="H12" s="133">
        <f>IF(B$17=0,0,G12/B$17)</f>
        <v>6.6006600660066007E-3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4.3424242424242419</v>
      </c>
      <c r="P12" s="120">
        <v>33</v>
      </c>
      <c r="Q12" s="108">
        <v>143.29999999999998</v>
      </c>
    </row>
    <row r="13" spans="1:17" x14ac:dyDescent="0.4">
      <c r="A13" s="58" t="s">
        <v>122</v>
      </c>
      <c r="B13" s="50">
        <v>336</v>
      </c>
      <c r="C13" s="44">
        <f>IF(B$3=0,0,B13/B$3)</f>
        <v>0.30080572963294538</v>
      </c>
      <c r="E13" s="63" t="s">
        <v>76</v>
      </c>
      <c r="F13" s="60" t="s">
        <v>31</v>
      </c>
      <c r="G13" s="47">
        <v>3</v>
      </c>
      <c r="H13" s="133">
        <f>IF(B$17=0,0,G13/B$17)</f>
        <v>9.9009900990099011E-3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198</v>
      </c>
      <c r="C14" s="39">
        <f>IF(B$3=0,0,B14/B$3)</f>
        <v>0.17726051924798567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199</v>
      </c>
      <c r="C15" s="37">
        <f>IF(B$13=0,0,B15/B$13)</f>
        <v>0.59226190476190477</v>
      </c>
      <c r="E15" s="63" t="s">
        <v>78</v>
      </c>
      <c r="F15" s="60" t="s">
        <v>33</v>
      </c>
      <c r="G15" s="47">
        <v>1</v>
      </c>
      <c r="H15" s="133">
        <f>IF(B$17=0,0,G15/B$17)</f>
        <v>3.3003300330033004E-3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59</v>
      </c>
      <c r="C16" s="37">
        <f>IF(B$14=0,0,B16/B$14)</f>
        <v>0.29797979797979796</v>
      </c>
      <c r="E16" s="63" t="s">
        <v>79</v>
      </c>
      <c r="F16" s="60" t="s">
        <v>34</v>
      </c>
      <c r="G16" s="47">
        <v>5</v>
      </c>
      <c r="H16" s="133">
        <f>IF(B$17=0,0,G16/B$17)</f>
        <v>1.65016501650165E-2</v>
      </c>
      <c r="I16" s="94">
        <v>10</v>
      </c>
      <c r="K16" s="38">
        <v>14</v>
      </c>
      <c r="L16" s="99">
        <v>-25.600000000000009</v>
      </c>
      <c r="N16" s="115" t="s">
        <v>129</v>
      </c>
      <c r="O16" s="125">
        <f t="shared" si="2"/>
        <v>9.7749999999999986</v>
      </c>
      <c r="P16" s="119">
        <v>44</v>
      </c>
      <c r="Q16" s="107">
        <v>430.09999999999991</v>
      </c>
    </row>
    <row r="17" spans="1:17" x14ac:dyDescent="0.4">
      <c r="A17" s="54" t="s">
        <v>10</v>
      </c>
      <c r="B17" s="46">
        <f>B19+B18</f>
        <v>303</v>
      </c>
      <c r="C17" s="37">
        <f>IF(B$3=0,0,B17/B$3)</f>
        <v>0.27126230975828108</v>
      </c>
      <c r="E17" s="63" t="s">
        <v>80</v>
      </c>
      <c r="F17" s="60" t="s">
        <v>35</v>
      </c>
      <c r="G17" s="47">
        <v>7</v>
      </c>
      <c r="H17" s="133">
        <f>IF(B$17=0,0,G17/B$17)</f>
        <v>2.3102310231023101E-2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9.2423076923076923</v>
      </c>
      <c r="P17" s="119">
        <v>26</v>
      </c>
      <c r="Q17" s="107">
        <v>240.29999999999998</v>
      </c>
    </row>
    <row r="18" spans="1:17" x14ac:dyDescent="0.4">
      <c r="A18" s="55" t="s">
        <v>12</v>
      </c>
      <c r="B18" s="47">
        <v>129</v>
      </c>
      <c r="C18" s="39">
        <f>IF(B$17=0,0,B18/B$17)</f>
        <v>0.42574257425742573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174</v>
      </c>
      <c r="C19" s="39">
        <f>IF(B$17=0,0,B19/B$17)</f>
        <v>0.57425742574257421</v>
      </c>
      <c r="E19" s="63" t="s">
        <v>82</v>
      </c>
      <c r="F19" s="60" t="s">
        <v>37</v>
      </c>
      <c r="G19" s="47">
        <v>10</v>
      </c>
      <c r="H19" s="133">
        <f>IF(B$17=0,0,G19/B$17)</f>
        <v>3.3003300330033E-2</v>
      </c>
      <c r="I19" s="94">
        <v>4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194</v>
      </c>
      <c r="C20" s="39">
        <f>IF(B$3=0,0,B20/B$3)</f>
        <v>0.17367949865711726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3.3003300330033E-2</v>
      </c>
      <c r="I21" s="94">
        <v>10</v>
      </c>
      <c r="K21" s="38">
        <v>19</v>
      </c>
      <c r="L21" s="99">
        <v>138.79999999999998</v>
      </c>
      <c r="N21" s="115" t="s">
        <v>177</v>
      </c>
      <c r="O21" s="125">
        <f t="shared" si="2"/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3</v>
      </c>
      <c r="E22" s="63" t="s">
        <v>85</v>
      </c>
      <c r="F22" s="60" t="s">
        <v>40</v>
      </c>
      <c r="G22" s="47">
        <v>1</v>
      </c>
      <c r="H22" s="133">
        <f>IF(B$17=0,0,G22/B$17)</f>
        <v>3.3003300330033004E-3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-18.171111111111113</v>
      </c>
      <c r="P22" s="119">
        <v>90</v>
      </c>
      <c r="Q22" s="107">
        <v>-1635.4</v>
      </c>
    </row>
    <row r="23" spans="1:17" x14ac:dyDescent="0.4">
      <c r="A23" s="55" t="s">
        <v>5</v>
      </c>
      <c r="B23" s="51">
        <f>IF(B$17=0,0,C23/B$17)</f>
        <v>9257.0957095709564</v>
      </c>
      <c r="C23" s="41">
        <v>2804900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-7613.4020618556697</v>
      </c>
      <c r="C24" s="45">
        <v>-1477000</v>
      </c>
      <c r="E24" s="63" t="s">
        <v>87</v>
      </c>
      <c r="F24" s="60" t="s">
        <v>42</v>
      </c>
      <c r="G24" s="47">
        <v>15</v>
      </c>
      <c r="H24" s="133">
        <f>IF(B$17=0,0,G24/B$17)</f>
        <v>4.9504950495049507E-2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4">
        <v>107600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3.3003300330033004E-3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4.4762757385854966E-3</v>
      </c>
      <c r="E27" s="63" t="s">
        <v>90</v>
      </c>
      <c r="F27" s="60" t="s">
        <v>45</v>
      </c>
      <c r="G27" s="47">
        <v>32</v>
      </c>
      <c r="H27" s="133">
        <f>IF(B$17=0,0,G27/B$17)</f>
        <v>0.10561056105610561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1.9801980198019802E-2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3.3003300330033004E-3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3.3003300330033004E-3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3.3003300330033004E-3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1.65016501650165E-2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129</v>
      </c>
      <c r="H51" s="138">
        <f>IF(B$17=0,0,G51/B$17)</f>
        <v>0.42574257425742573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</sheetData>
  <sortState ref="E2:I13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14"/>
  <sheetViews>
    <sheetView showGridLines="0" zoomScale="99" zoomScaleNormal="100" workbookViewId="0">
      <selection activeCell="B33" sqref="B33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129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112</v>
      </c>
      <c r="C2" s="153"/>
      <c r="E2" s="62" t="s">
        <v>67</v>
      </c>
      <c r="F2" s="59" t="s">
        <v>23</v>
      </c>
      <c r="G2" s="46">
        <v>214</v>
      </c>
      <c r="H2" s="132">
        <f>IF(B$17=0,0,G2/B$17)</f>
        <v>0.84920634920634919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-2113.3928571428573</v>
      </c>
      <c r="P2" s="118">
        <v>112</v>
      </c>
      <c r="Q2" s="102">
        <v>-236700</v>
      </c>
    </row>
    <row r="3" spans="1:17" x14ac:dyDescent="0.4">
      <c r="A3" s="55" t="s">
        <v>8</v>
      </c>
      <c r="B3" s="154">
        <v>951</v>
      </c>
      <c r="C3" s="155"/>
      <c r="E3" s="63" t="s">
        <v>65</v>
      </c>
      <c r="F3" s="60" t="s">
        <v>21</v>
      </c>
      <c r="G3" s="47">
        <v>132</v>
      </c>
      <c r="H3" s="133">
        <f>IF(B$17=0,0,G3/B$17)</f>
        <v>0.52380952380952384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-1229.090909090909</v>
      </c>
      <c r="P3" s="119">
        <v>110</v>
      </c>
      <c r="Q3" s="103">
        <v>-135200</v>
      </c>
    </row>
    <row r="4" spans="1:17" x14ac:dyDescent="0.4">
      <c r="A4" s="55" t="s">
        <v>6</v>
      </c>
      <c r="B4" s="156">
        <v>-971.2</v>
      </c>
      <c r="C4" s="157"/>
      <c r="E4" s="63" t="s">
        <v>73</v>
      </c>
      <c r="F4" s="60" t="s">
        <v>28</v>
      </c>
      <c r="G4" s="47">
        <v>104</v>
      </c>
      <c r="H4" s="133">
        <f>IF(B$17=0,0,G4/B$17)</f>
        <v>0.41269841269841268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-27.450980392156861</v>
      </c>
      <c r="P4" s="119">
        <v>102</v>
      </c>
      <c r="Q4" s="103">
        <v>-2800</v>
      </c>
    </row>
    <row r="5" spans="1:17" x14ac:dyDescent="0.4">
      <c r="A5" s="55" t="s">
        <v>7</v>
      </c>
      <c r="B5" s="158">
        <f>IF(B$2=0,0,B$4/B$2)</f>
        <v>-8.6714285714285726</v>
      </c>
      <c r="C5" s="159"/>
      <c r="E5" s="63" t="s">
        <v>245</v>
      </c>
      <c r="F5" s="60" t="s">
        <v>246</v>
      </c>
      <c r="G5" s="47">
        <v>97</v>
      </c>
      <c r="H5" s="133">
        <f>IF(B$17=0,0,G5/B$17)</f>
        <v>0.38492063492063494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-3758.2417582417584</v>
      </c>
      <c r="P5" s="119">
        <v>91</v>
      </c>
      <c r="Q5" s="103">
        <v>-342000</v>
      </c>
    </row>
    <row r="6" spans="1:17" x14ac:dyDescent="0.4">
      <c r="A6" s="55" t="s">
        <v>1</v>
      </c>
      <c r="B6" s="148">
        <f>IF(B$2=0,0,(B$7*1+B$8*2+B$9*3)/B$2)</f>
        <v>2.125</v>
      </c>
      <c r="C6" s="149"/>
      <c r="E6" s="63" t="s">
        <v>69</v>
      </c>
      <c r="F6" s="60" t="s">
        <v>12</v>
      </c>
      <c r="G6" s="47">
        <v>92</v>
      </c>
      <c r="H6" s="133">
        <f>IF(B$17=0,0,G6/B$17)</f>
        <v>0.36507936507936506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-103.65853658536585</v>
      </c>
      <c r="P6" s="119">
        <v>82</v>
      </c>
      <c r="Q6" s="103">
        <v>-8500</v>
      </c>
    </row>
    <row r="7" spans="1:17" x14ac:dyDescent="0.4">
      <c r="A7" s="55" t="s">
        <v>2</v>
      </c>
      <c r="B7" s="47">
        <v>34</v>
      </c>
      <c r="C7" s="39">
        <f>IF(B$2=0,0,B7/B$2)</f>
        <v>0.30357142857142855</v>
      </c>
      <c r="E7" s="63" t="s">
        <v>68</v>
      </c>
      <c r="F7" s="60" t="s">
        <v>24</v>
      </c>
      <c r="G7" s="47">
        <v>75</v>
      </c>
      <c r="H7" s="133">
        <f>IF(B$17=0,0,G7/B$17)</f>
        <v>0.29761904761904762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-277.77777777777777</v>
      </c>
      <c r="P7" s="120">
        <v>72</v>
      </c>
      <c r="Q7" s="104">
        <v>-20000</v>
      </c>
    </row>
    <row r="8" spans="1:17" x14ac:dyDescent="0.4">
      <c r="A8" s="55" t="s">
        <v>3</v>
      </c>
      <c r="B8" s="47">
        <v>30</v>
      </c>
      <c r="C8" s="39">
        <f>IF(B$2=0,0,B8/B$2)</f>
        <v>0.26785714285714285</v>
      </c>
      <c r="E8" s="63" t="s">
        <v>70</v>
      </c>
      <c r="F8" s="60" t="s">
        <v>25</v>
      </c>
      <c r="G8" s="47">
        <v>45</v>
      </c>
      <c r="H8" s="133">
        <f>IF(B$17=0,0,G8/B$17)</f>
        <v>0.17857142857142858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48</v>
      </c>
      <c r="C9" s="40">
        <f t="shared" ref="C9" si="1">IF(B$2=0,0,B9/B$2)</f>
        <v>0.42857142857142855</v>
      </c>
      <c r="E9" s="63" t="s">
        <v>71</v>
      </c>
      <c r="F9" s="60" t="s">
        <v>26</v>
      </c>
      <c r="G9" s="47">
        <v>39</v>
      </c>
      <c r="H9" s="133">
        <f>IF(B$17=0,0,G9/B$17)</f>
        <v>0.15476190476190477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0.17857142857142858</v>
      </c>
      <c r="E10" s="63" t="s">
        <v>72</v>
      </c>
      <c r="F10" s="60" t="s">
        <v>27</v>
      </c>
      <c r="G10" s="47">
        <v>27</v>
      </c>
      <c r="H10" s="133">
        <f>IF(B$17=0,0,G10/B$17)</f>
        <v>0.10714285714285714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-14.112903225806445</v>
      </c>
      <c r="P10" s="118">
        <v>31</v>
      </c>
      <c r="Q10" s="106">
        <v>-437.49999999999977</v>
      </c>
    </row>
    <row r="11" spans="1:17" x14ac:dyDescent="0.4">
      <c r="A11" s="56" t="s">
        <v>140</v>
      </c>
      <c r="B11" s="48">
        <v>13</v>
      </c>
      <c r="C11" s="40">
        <f>IF(B$2=0,0,B11/B$2)</f>
        <v>0.11607142857142858</v>
      </c>
      <c r="E11" s="63" t="s">
        <v>90</v>
      </c>
      <c r="F11" s="60" t="s">
        <v>45</v>
      </c>
      <c r="G11" s="47">
        <v>26</v>
      </c>
      <c r="H11" s="133">
        <f>IF(B$17=0,0,G11/B$17)</f>
        <v>0.10317460317460317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-5.5045454545454575</v>
      </c>
      <c r="P11" s="119">
        <v>44</v>
      </c>
      <c r="Q11" s="107">
        <v>-242.20000000000013</v>
      </c>
    </row>
    <row r="12" spans="1:17" x14ac:dyDescent="0.4">
      <c r="A12" s="57" t="s">
        <v>160</v>
      </c>
      <c r="B12" s="49">
        <v>10</v>
      </c>
      <c r="C12" s="42">
        <f>IF(B$2=0,0,B12/B$2)</f>
        <v>8.9285714285714288E-2</v>
      </c>
      <c r="E12" s="63" t="s">
        <v>66</v>
      </c>
      <c r="F12" s="60" t="s">
        <v>22</v>
      </c>
      <c r="G12" s="47">
        <v>22</v>
      </c>
      <c r="H12" s="133">
        <f>IF(B$17=0,0,G12/B$17)</f>
        <v>8.7301587301587297E-2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-7.8783783783783754</v>
      </c>
      <c r="P12" s="120">
        <v>37</v>
      </c>
      <c r="Q12" s="108">
        <v>-291.49999999999989</v>
      </c>
    </row>
    <row r="13" spans="1:17" x14ac:dyDescent="0.4">
      <c r="A13" s="58" t="s">
        <v>122</v>
      </c>
      <c r="B13" s="50">
        <v>252</v>
      </c>
      <c r="C13" s="44">
        <f>IF(B$3=0,0,B13/B$3)</f>
        <v>0.26498422712933756</v>
      </c>
      <c r="E13" s="63" t="s">
        <v>87</v>
      </c>
      <c r="F13" s="60" t="s">
        <v>42</v>
      </c>
      <c r="G13" s="47">
        <v>14</v>
      </c>
      <c r="H13" s="133">
        <f>IF(B$17=0,0,G13/B$17)</f>
        <v>5.5555555555555552E-2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173</v>
      </c>
      <c r="C14" s="39">
        <f>IF(B$3=0,0,B14/B$3)</f>
        <v>0.18191377497371189</v>
      </c>
      <c r="E14" s="63" t="s">
        <v>79</v>
      </c>
      <c r="F14" s="60" t="s">
        <v>34</v>
      </c>
      <c r="G14" s="47">
        <v>11</v>
      </c>
      <c r="H14" s="133">
        <f>IF(B$17=0,0,G14/B$17)</f>
        <v>4.3650793650793648E-2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136</v>
      </c>
      <c r="C15" s="37">
        <f>IF(B$13=0,0,B15/B$13)</f>
        <v>0.53968253968253965</v>
      </c>
      <c r="E15" s="63" t="s">
        <v>84</v>
      </c>
      <c r="F15" s="60" t="s">
        <v>39</v>
      </c>
      <c r="G15" s="47">
        <v>9</v>
      </c>
      <c r="H15" s="133">
        <f>IF(B$17=0,0,G15/B$17)</f>
        <v>3.5714285714285712E-2</v>
      </c>
      <c r="I15" s="94">
        <v>9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53</v>
      </c>
      <c r="C16" s="37">
        <f>IF(B$14=0,0,B16/B$14)</f>
        <v>0.30635838150289019</v>
      </c>
      <c r="E16" s="63" t="s">
        <v>82</v>
      </c>
      <c r="F16" s="60" t="s">
        <v>37</v>
      </c>
      <c r="G16" s="47">
        <v>7</v>
      </c>
      <c r="H16" s="133">
        <f>IF(B$17=0,0,G16/B$17)</f>
        <v>2.7777777777777776E-2</v>
      </c>
      <c r="I16" s="94">
        <v>7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252</v>
      </c>
      <c r="C17" s="37">
        <f>IF(B$3=0,0,B17/B$3)</f>
        <v>0.26498422712933756</v>
      </c>
      <c r="E17" s="63" t="s">
        <v>78</v>
      </c>
      <c r="F17" s="60" t="s">
        <v>33</v>
      </c>
      <c r="G17" s="47">
        <v>5</v>
      </c>
      <c r="H17" s="133">
        <f>IF(B$17=0,0,G17/B$17)</f>
        <v>1.984126984126984E-2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111</v>
      </c>
      <c r="C18" s="39">
        <f>IF(B$17=0,0,B18/B$17)</f>
        <v>0.44047619047619047</v>
      </c>
      <c r="E18" s="63" t="s">
        <v>92</v>
      </c>
      <c r="F18" s="60" t="s">
        <v>47</v>
      </c>
      <c r="G18" s="47">
        <v>4</v>
      </c>
      <c r="H18" s="133">
        <f>IF(B$17=0,0,G18/B$17)</f>
        <v>1.5873015873015872E-2</v>
      </c>
      <c r="I18" s="94">
        <v>7</v>
      </c>
      <c r="K18" s="38">
        <v>16</v>
      </c>
      <c r="L18" s="99">
        <v>-472</v>
      </c>
      <c r="N18" s="115" t="s">
        <v>177</v>
      </c>
      <c r="O18" s="125">
        <f>IF(P18=0,0,Q18/P18)</f>
        <v>2.4666666666666677</v>
      </c>
      <c r="P18" s="119">
        <v>30</v>
      </c>
      <c r="Q18" s="107">
        <v>74.000000000000028</v>
      </c>
    </row>
    <row r="19" spans="1:17" x14ac:dyDescent="0.4">
      <c r="A19" s="55" t="s">
        <v>11</v>
      </c>
      <c r="B19" s="47">
        <v>141</v>
      </c>
      <c r="C19" s="39">
        <f>IF(B$17=0,0,B19/B$17)</f>
        <v>0.55952380952380953</v>
      </c>
      <c r="E19" s="63" t="s">
        <v>75</v>
      </c>
      <c r="F19" s="60" t="s">
        <v>30</v>
      </c>
      <c r="G19" s="47">
        <v>3</v>
      </c>
      <c r="H19" s="133">
        <f>IF(B$17=0,0,G19/B$17)</f>
        <v>1.1904761904761904E-2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-9.7749999999999986</v>
      </c>
      <c r="P19" s="119">
        <v>44</v>
      </c>
      <c r="Q19" s="107">
        <v>-430.09999999999991</v>
      </c>
    </row>
    <row r="20" spans="1:17" x14ac:dyDescent="0.4">
      <c r="A20" s="55" t="s">
        <v>13</v>
      </c>
      <c r="B20" s="47">
        <v>176</v>
      </c>
      <c r="C20" s="39">
        <f>IF(B$3=0,0,B20/B$3)</f>
        <v>0.18506834910620398</v>
      </c>
      <c r="E20" s="63" t="s">
        <v>80</v>
      </c>
      <c r="F20" s="60" t="s">
        <v>35</v>
      </c>
      <c r="G20" s="47">
        <v>2</v>
      </c>
      <c r="H20" s="133">
        <f>IF(B$17=0,0,G20/B$17)</f>
        <v>7.9365079365079361E-3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2</v>
      </c>
      <c r="H21" s="133">
        <f>IF(B$17=0,0,G21/B$17)</f>
        <v>7.9365079365079361E-3</v>
      </c>
      <c r="I21" s="94">
        <v>1</v>
      </c>
      <c r="K21" s="38">
        <v>19</v>
      </c>
      <c r="L21" s="99">
        <v>-569.49999999999989</v>
      </c>
      <c r="N21" s="115" t="s">
        <v>171</v>
      </c>
      <c r="O21" s="125">
        <f>IF(P21=0,0,Q21/P21)</f>
        <v>-18.865624999999994</v>
      </c>
      <c r="P21" s="119">
        <v>32</v>
      </c>
      <c r="Q21" s="107">
        <v>-603.69999999999982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94</v>
      </c>
      <c r="F22" s="60" t="s">
        <v>49</v>
      </c>
      <c r="G22" s="47">
        <v>2</v>
      </c>
      <c r="H22" s="133">
        <f>IF(B$17=0,0,G22/B$17)</f>
        <v>7.9365079365079361E-3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-24.44</v>
      </c>
      <c r="P22" s="119">
        <v>5</v>
      </c>
      <c r="Q22" s="107">
        <v>-122.2</v>
      </c>
    </row>
    <row r="23" spans="1:17" x14ac:dyDescent="0.4">
      <c r="A23" s="55" t="s">
        <v>5</v>
      </c>
      <c r="B23" s="51">
        <f>IF(B$17=0,0,C23/B$17)</f>
        <v>8851.9841269841272</v>
      </c>
      <c r="C23" s="41">
        <v>2230700</v>
      </c>
      <c r="E23" s="63" t="s">
        <v>76</v>
      </c>
      <c r="F23" s="60" t="s">
        <v>31</v>
      </c>
      <c r="G23" s="47">
        <v>1</v>
      </c>
      <c r="H23" s="133">
        <f>IF(B$17=0,0,G23/B$17)</f>
        <v>3.968253968253968E-3</v>
      </c>
      <c r="I23" s="94">
        <v>6</v>
      </c>
      <c r="K23" s="38">
        <v>21</v>
      </c>
      <c r="L23" s="99">
        <v>-629.49999999999989</v>
      </c>
      <c r="N23" s="115" t="s">
        <v>172</v>
      </c>
      <c r="O23" s="125">
        <f>IF(P23=0,0,Q23/P23)</f>
        <v>-24.65384615384615</v>
      </c>
      <c r="P23" s="119">
        <v>26</v>
      </c>
      <c r="Q23" s="107">
        <v>-640.99999999999989</v>
      </c>
    </row>
    <row r="24" spans="1:17" x14ac:dyDescent="0.4">
      <c r="A24" s="57" t="s">
        <v>14</v>
      </c>
      <c r="B24" s="52">
        <f>IF(B$20=0,0,C24/B$20)</f>
        <v>-8952.8409090909099</v>
      </c>
      <c r="C24" s="45">
        <v>-1575700</v>
      </c>
      <c r="E24" s="63" t="s">
        <v>85</v>
      </c>
      <c r="F24" s="60" t="s">
        <v>40</v>
      </c>
      <c r="G24" s="47">
        <v>1</v>
      </c>
      <c r="H24" s="133">
        <f>IF(B$17=0,0,G24/B$17)</f>
        <v>3.968253968253968E-3</v>
      </c>
      <c r="I24" s="94">
        <v>2</v>
      </c>
      <c r="K24" s="38">
        <v>22</v>
      </c>
      <c r="L24" s="99">
        <v>-670.19999999999993</v>
      </c>
      <c r="N24" s="115" t="s">
        <v>127</v>
      </c>
      <c r="O24" s="125">
        <f>IF(P24=0,0,Q24/P24)</f>
        <v>-27.119672131147549</v>
      </c>
      <c r="P24" s="119">
        <v>61</v>
      </c>
      <c r="Q24" s="107">
        <v>-1654.3000000000004</v>
      </c>
    </row>
    <row r="25" spans="1:17" x14ac:dyDescent="0.4">
      <c r="A25" s="90" t="s">
        <v>142</v>
      </c>
      <c r="B25" s="146">
        <v>7</v>
      </c>
      <c r="C25" s="147"/>
      <c r="E25" s="63" t="s">
        <v>86</v>
      </c>
      <c r="F25" s="60" t="s">
        <v>41</v>
      </c>
      <c r="G25" s="47">
        <v>1</v>
      </c>
      <c r="H25" s="133">
        <f>IF(B$17=0,0,G25/B$17)</f>
        <v>3.968253968253968E-3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4">
        <v>96900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3.968253968253968E-3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2.103049421661409E-3</v>
      </c>
      <c r="E27" s="63" t="s">
        <v>93</v>
      </c>
      <c r="F27" s="60" t="s">
        <v>48</v>
      </c>
      <c r="G27" s="47">
        <v>1</v>
      </c>
      <c r="H27" s="133">
        <f>IF(B$17=0,0,G27/B$17)</f>
        <v>3.968253968253968E-3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3.968253968253968E-3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171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96</v>
      </c>
      <c r="C2" s="153"/>
      <c r="E2" s="62" t="s">
        <v>65</v>
      </c>
      <c r="F2" s="59" t="s">
        <v>21</v>
      </c>
      <c r="G2" s="46">
        <v>124</v>
      </c>
      <c r="H2" s="132">
        <f>IF(B$17=0,0,G2/B$17)</f>
        <v>0.54625550660792954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4">
        <v>801</v>
      </c>
      <c r="C3" s="155"/>
      <c r="E3" s="63" t="s">
        <v>66</v>
      </c>
      <c r="F3" s="60" t="s">
        <v>22</v>
      </c>
      <c r="G3" s="47">
        <v>28</v>
      </c>
      <c r="H3" s="133">
        <f>IF(B$17=0,0,G3/B$17)</f>
        <v>0.12334801762114538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6">
        <v>-48.599999999999987</v>
      </c>
      <c r="C4" s="157"/>
      <c r="E4" s="63" t="s">
        <v>67</v>
      </c>
      <c r="F4" s="60" t="s">
        <v>23</v>
      </c>
      <c r="G4" s="47">
        <v>185</v>
      </c>
      <c r="H4" s="133">
        <f>IF(B$17=0,0,G4/B$17)</f>
        <v>0.81497797356828194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8">
        <f>IF(B$2=0,0,B$4/B$2)</f>
        <v>-0.50624999999999987</v>
      </c>
      <c r="C5" s="159"/>
      <c r="E5" s="63" t="s">
        <v>68</v>
      </c>
      <c r="F5" s="60" t="s">
        <v>24</v>
      </c>
      <c r="G5" s="47">
        <v>77</v>
      </c>
      <c r="H5" s="133">
        <f>IF(B$17=0,0,G5/B$17)</f>
        <v>0.33920704845814981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8">
        <f>IF(B$2=0,0,(B$7*1+B$8*2+B$9*3)/B$2)</f>
        <v>2.0520833333333335</v>
      </c>
      <c r="C6" s="149"/>
      <c r="E6" s="63" t="s">
        <v>69</v>
      </c>
      <c r="F6" s="60" t="s">
        <v>12</v>
      </c>
      <c r="G6" s="47">
        <v>67</v>
      </c>
      <c r="H6" s="133">
        <f>IF(B$17=0,0,G6/B$17)</f>
        <v>0.29515418502202645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70</v>
      </c>
      <c r="F7" s="60" t="s">
        <v>25</v>
      </c>
      <c r="G7" s="47">
        <v>44</v>
      </c>
      <c r="H7" s="133">
        <f>IF(B$17=0,0,G7/B$17)</f>
        <v>0.19383259911894274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71</v>
      </c>
      <c r="F8" s="60" t="s">
        <v>26</v>
      </c>
      <c r="G8" s="47">
        <v>25</v>
      </c>
      <c r="H8" s="133">
        <f>IF(B$17=0,0,G8/B$17)</f>
        <v>0.11013215859030837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72</v>
      </c>
      <c r="F9" s="60" t="s">
        <v>27</v>
      </c>
      <c r="G9" s="47">
        <v>14</v>
      </c>
      <c r="H9" s="133">
        <f>IF(B$17=0,0,G9/B$17)</f>
        <v>6.1674008810572688E-2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73</v>
      </c>
      <c r="F10" s="60" t="s">
        <v>28</v>
      </c>
      <c r="G10" s="47">
        <v>125</v>
      </c>
      <c r="H10" s="133">
        <f>IF(B$17=0,0,G10/B$17)</f>
        <v>0.5506607929515418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74</v>
      </c>
      <c r="F11" s="60" t="s">
        <v>29</v>
      </c>
      <c r="G11" s="47">
        <v>3</v>
      </c>
      <c r="H11" s="133">
        <f>IF(B$17=0,0,G11/B$17)</f>
        <v>1.3215859030837005E-2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76</v>
      </c>
      <c r="F13" s="60" t="s">
        <v>31</v>
      </c>
      <c r="G13" s="47">
        <v>3</v>
      </c>
      <c r="H13" s="133">
        <f>IF(B$17=0,0,G13/B$17)</f>
        <v>1.3215859030837005E-2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78</v>
      </c>
      <c r="F15" s="60" t="s">
        <v>33</v>
      </c>
      <c r="G15" s="47">
        <v>3</v>
      </c>
      <c r="H15" s="133">
        <f>IF(B$17=0,0,G15/B$17)</f>
        <v>1.3215859030837005E-2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79</v>
      </c>
      <c r="F16" s="60" t="s">
        <v>34</v>
      </c>
      <c r="G16" s="47">
        <v>9</v>
      </c>
      <c r="H16" s="133">
        <f>IF(B$17=0,0,G16/B$17)</f>
        <v>3.9647577092511016E-2</v>
      </c>
      <c r="I16" s="94">
        <v>5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80</v>
      </c>
      <c r="F17" s="60" t="s">
        <v>35</v>
      </c>
      <c r="G17" s="47">
        <v>4</v>
      </c>
      <c r="H17" s="133">
        <f>IF(B$17=0,0,G17/B$17)</f>
        <v>1.7621145374449341E-2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82</v>
      </c>
      <c r="F19" s="60" t="s">
        <v>37</v>
      </c>
      <c r="G19" s="47">
        <v>8</v>
      </c>
      <c r="H19" s="133">
        <f>IF(B$17=0,0,G19/B$17)</f>
        <v>3.5242290748898682E-2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4.8458149779735685E-2</v>
      </c>
      <c r="I21" s="94">
        <v>7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8.8105726872246704E-3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87</v>
      </c>
      <c r="F24" s="60" t="s">
        <v>42</v>
      </c>
      <c r="G24" s="47">
        <v>16</v>
      </c>
      <c r="H24" s="133">
        <f>IF(B$17=0,0,G24/B$17)</f>
        <v>7.0484581497797363E-2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4">
        <v>96000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90</v>
      </c>
      <c r="F27" s="60" t="s">
        <v>45</v>
      </c>
      <c r="G27" s="47">
        <v>38</v>
      </c>
      <c r="H27" s="133">
        <f>IF(B$17=0,0,G27/B$17)</f>
        <v>0.16740088105726872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2.643171806167401E-2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8.8105726872246704E-3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4.4052863436123352E-3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1.7621145374449341E-2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86</v>
      </c>
      <c r="H51" s="138">
        <f>IF(B$17=0,0,G51/B$17)</f>
        <v>0.3788546255506608</v>
      </c>
      <c r="I51" s="139">
        <v>11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E2:I9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90</v>
      </c>
      <c r="C2" s="153"/>
      <c r="E2" s="62" t="s">
        <v>65</v>
      </c>
      <c r="F2" s="59" t="s">
        <v>21</v>
      </c>
      <c r="G2" s="46">
        <v>92</v>
      </c>
      <c r="H2" s="132">
        <f>IF(B$17=0,0,G2/B$17)</f>
        <v>0.35114503816793891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216.66666666666666</v>
      </c>
      <c r="P2" s="118">
        <v>90</v>
      </c>
      <c r="Q2" s="102">
        <v>19500</v>
      </c>
    </row>
    <row r="3" spans="1:17" x14ac:dyDescent="0.4">
      <c r="A3" s="55" t="s">
        <v>8</v>
      </c>
      <c r="B3" s="154">
        <v>760</v>
      </c>
      <c r="C3" s="155"/>
      <c r="E3" s="63" t="s">
        <v>66</v>
      </c>
      <c r="F3" s="60" t="s">
        <v>22</v>
      </c>
      <c r="G3" s="47">
        <v>27</v>
      </c>
      <c r="H3" s="133">
        <f>IF(B$17=0,0,G3/B$17)</f>
        <v>0.10305343511450382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-1323.3333333333333</v>
      </c>
      <c r="P3" s="119">
        <v>90</v>
      </c>
      <c r="Q3" s="103">
        <v>-119100</v>
      </c>
    </row>
    <row r="4" spans="1:17" x14ac:dyDescent="0.4">
      <c r="A4" s="55" t="s">
        <v>6</v>
      </c>
      <c r="B4" s="156">
        <v>-122.80000000000005</v>
      </c>
      <c r="C4" s="157"/>
      <c r="E4" s="63" t="s">
        <v>67</v>
      </c>
      <c r="F4" s="60" t="s">
        <v>23</v>
      </c>
      <c r="G4" s="47">
        <v>177</v>
      </c>
      <c r="H4" s="133">
        <f>IF(B$17=0,0,G4/B$17)</f>
        <v>0.67557251908396942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-870</v>
      </c>
      <c r="P4" s="119">
        <v>80</v>
      </c>
      <c r="Q4" s="103">
        <v>-69600</v>
      </c>
    </row>
    <row r="5" spans="1:17" x14ac:dyDescent="0.4">
      <c r="A5" s="55" t="s">
        <v>7</v>
      </c>
      <c r="B5" s="158">
        <f>IF(B$2=0,0,B$4/B$2)</f>
        <v>-1.364444444444445</v>
      </c>
      <c r="C5" s="159"/>
      <c r="E5" s="63" t="s">
        <v>68</v>
      </c>
      <c r="F5" s="60" t="s">
        <v>24</v>
      </c>
      <c r="G5" s="47">
        <v>45</v>
      </c>
      <c r="H5" s="133">
        <f>IF(B$17=0,0,G5/B$17)</f>
        <v>0.1717557251908397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1230.2631578947369</v>
      </c>
      <c r="P5" s="119">
        <v>76</v>
      </c>
      <c r="Q5" s="103">
        <v>93500</v>
      </c>
    </row>
    <row r="6" spans="1:17" x14ac:dyDescent="0.4">
      <c r="A6" s="55" t="s">
        <v>1</v>
      </c>
      <c r="B6" s="148">
        <f>IF(B$2=0,0,(B$7*1+B$8*2+B$9*3)/B$2)</f>
        <v>2.0444444444444443</v>
      </c>
      <c r="C6" s="149"/>
      <c r="E6" s="63" t="s">
        <v>69</v>
      </c>
      <c r="F6" s="60" t="s">
        <v>12</v>
      </c>
      <c r="G6" s="47">
        <v>65</v>
      </c>
      <c r="H6" s="133">
        <f>IF(B$17=0,0,G6/B$17)</f>
        <v>0.24809160305343511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-107.14285714285714</v>
      </c>
      <c r="P6" s="119">
        <v>70</v>
      </c>
      <c r="Q6" s="103">
        <v>-7500</v>
      </c>
    </row>
    <row r="7" spans="1:17" x14ac:dyDescent="0.4">
      <c r="A7" s="55" t="s">
        <v>2</v>
      </c>
      <c r="B7" s="47">
        <v>23</v>
      </c>
      <c r="C7" s="39">
        <f>IF(B$2=0,0,B7/B$2)</f>
        <v>0.25555555555555554</v>
      </c>
      <c r="E7" s="63" t="s">
        <v>70</v>
      </c>
      <c r="F7" s="60" t="s">
        <v>25</v>
      </c>
      <c r="G7" s="47">
        <v>42</v>
      </c>
      <c r="H7" s="133">
        <f>IF(B$17=0,0,G7/B$17)</f>
        <v>0.16030534351145037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-178.33333333333334</v>
      </c>
      <c r="P7" s="120">
        <v>60</v>
      </c>
      <c r="Q7" s="104">
        <v>-10700</v>
      </c>
    </row>
    <row r="8" spans="1:17" x14ac:dyDescent="0.4">
      <c r="A8" s="55" t="s">
        <v>3</v>
      </c>
      <c r="B8" s="47">
        <v>40</v>
      </c>
      <c r="C8" s="39">
        <f>IF(B$2=0,0,B8/B$2)</f>
        <v>0.44444444444444442</v>
      </c>
      <c r="E8" s="63" t="s">
        <v>71</v>
      </c>
      <c r="F8" s="60" t="s">
        <v>26</v>
      </c>
      <c r="G8" s="47">
        <v>18</v>
      </c>
      <c r="H8" s="133">
        <f>IF(B$17=0,0,G8/B$17)</f>
        <v>6.8702290076335881E-2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</v>
      </c>
      <c r="E9" s="63" t="s">
        <v>72</v>
      </c>
      <c r="F9" s="60" t="s">
        <v>27</v>
      </c>
      <c r="G9" s="47">
        <v>21</v>
      </c>
      <c r="H9" s="133">
        <f>IF(B$17=0,0,G9/B$17)</f>
        <v>8.0152671755725186E-2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5.5555555555555552E-2</v>
      </c>
      <c r="E10" s="63" t="s">
        <v>73</v>
      </c>
      <c r="F10" s="60" t="s">
        <v>28</v>
      </c>
      <c r="G10" s="47">
        <v>149</v>
      </c>
      <c r="H10" s="133">
        <f>IF(B$17=0,0,G10/B$17)</f>
        <v>0.56870229007633588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0.1111111111111111</v>
      </c>
      <c r="E11" s="63" t="s">
        <v>74</v>
      </c>
      <c r="F11" s="60" t="s">
        <v>29</v>
      </c>
      <c r="G11" s="47">
        <v>1</v>
      </c>
      <c r="H11" s="133">
        <f>IF(B$17=0,0,G11/B$17)</f>
        <v>3.8167938931297708E-3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8</v>
      </c>
      <c r="C12" s="42">
        <f>IF(B$2=0,0,B12/B$2)</f>
        <v>8.8888888888888892E-2</v>
      </c>
      <c r="E12" s="63" t="s">
        <v>75</v>
      </c>
      <c r="F12" s="60" t="s">
        <v>30</v>
      </c>
      <c r="G12" s="47">
        <v>2</v>
      </c>
      <c r="H12" s="133">
        <f>IF(B$17=0,0,G12/B$17)</f>
        <v>7.6335877862595417E-3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-1.5542857142857149</v>
      </c>
      <c r="P12" s="120">
        <v>35</v>
      </c>
      <c r="Q12" s="108">
        <v>-54.40000000000002</v>
      </c>
    </row>
    <row r="13" spans="1:17" x14ac:dyDescent="0.4">
      <c r="A13" s="58" t="s">
        <v>122</v>
      </c>
      <c r="B13" s="50">
        <v>163</v>
      </c>
      <c r="C13" s="44">
        <f>IF(B$3=0,0,B13/B$3)</f>
        <v>0.21447368421052632</v>
      </c>
      <c r="E13" s="63" t="s">
        <v>76</v>
      </c>
      <c r="F13" s="60" t="s">
        <v>31</v>
      </c>
      <c r="G13" s="47">
        <v>1</v>
      </c>
      <c r="H13" s="133">
        <f>IF(B$17=0,0,G13/B$17)</f>
        <v>3.8167938931297708E-3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221</v>
      </c>
      <c r="C14" s="39">
        <f>IF(B$3=0,0,B14/B$3)</f>
        <v>0.29078947368421054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</v>
      </c>
      <c r="C15" s="37">
        <f>IF(B$13=0,0,B15/B$13)</f>
        <v>0.55828220858895705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94</v>
      </c>
      <c r="C16" s="37">
        <f>IF(B$14=0,0,B16/B$14)</f>
        <v>0.42533936651583709</v>
      </c>
      <c r="E16" s="63" t="s">
        <v>79</v>
      </c>
      <c r="F16" s="60" t="s">
        <v>34</v>
      </c>
      <c r="G16" s="47">
        <v>4</v>
      </c>
      <c r="H16" s="133">
        <f>IF(B$17=0,0,G16/B$17)</f>
        <v>1.5267175572519083E-2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24.653846153846146</v>
      </c>
      <c r="P16" s="119">
        <v>26</v>
      </c>
      <c r="Q16" s="107">
        <v>640.99999999999977</v>
      </c>
    </row>
    <row r="17" spans="1:17" x14ac:dyDescent="0.4">
      <c r="A17" s="54" t="s">
        <v>10</v>
      </c>
      <c r="B17" s="46">
        <f>B19+B18</f>
        <v>262</v>
      </c>
      <c r="C17" s="37">
        <f>IF(B$3=0,0,B17/B$3)</f>
        <v>0.34473684210526317</v>
      </c>
      <c r="E17" s="63" t="s">
        <v>80</v>
      </c>
      <c r="F17" s="60" t="s">
        <v>35</v>
      </c>
      <c r="G17" s="47">
        <v>3</v>
      </c>
      <c r="H17" s="133">
        <f>IF(B$17=0,0,G17/B$17)</f>
        <v>1.1450381679389313E-2</v>
      </c>
      <c r="I17" s="94">
        <v>10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103</v>
      </c>
      <c r="C18" s="39">
        <f>IF(B$17=0,0,B18/B$17)</f>
        <v>0.3931297709923664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128</v>
      </c>
      <c r="O18" s="125">
        <f t="shared" si="2"/>
        <v>4.3735294117647054</v>
      </c>
      <c r="P18" s="119">
        <v>34</v>
      </c>
      <c r="Q18" s="107">
        <v>148.69999999999999</v>
      </c>
    </row>
    <row r="19" spans="1:17" x14ac:dyDescent="0.4">
      <c r="A19" s="55" t="s">
        <v>11</v>
      </c>
      <c r="B19" s="47">
        <v>159</v>
      </c>
      <c r="C19" s="39">
        <f>IF(B$17=0,0,B19/B$17)</f>
        <v>0.60687022900763354</v>
      </c>
      <c r="E19" s="63" t="s">
        <v>82</v>
      </c>
      <c r="F19" s="60" t="s">
        <v>37</v>
      </c>
      <c r="G19" s="47">
        <v>9</v>
      </c>
      <c r="H19" s="133">
        <f>IF(B$17=0,0,G19/B$17)</f>
        <v>3.4351145038167941E-2</v>
      </c>
      <c r="I19" s="94">
        <v>3</v>
      </c>
      <c r="K19" s="38">
        <v>17</v>
      </c>
      <c r="L19" s="99">
        <v>-55.099999999999994</v>
      </c>
      <c r="N19" s="115" t="s">
        <v>177</v>
      </c>
      <c r="O19" s="125">
        <f t="shared" si="2"/>
        <v>2.559259259259258</v>
      </c>
      <c r="P19" s="119">
        <v>27</v>
      </c>
      <c r="Q19" s="107">
        <v>69.099999999999966</v>
      </c>
    </row>
    <row r="20" spans="1:17" x14ac:dyDescent="0.4">
      <c r="A20" s="55" t="s">
        <v>13</v>
      </c>
      <c r="B20" s="47">
        <v>108</v>
      </c>
      <c r="C20" s="39">
        <f>IF(B$3=0,0,B20/B$3)</f>
        <v>0.14210526315789473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19</v>
      </c>
      <c r="H21" s="133">
        <f>IF(B$17=0,0,G21/B$17)</f>
        <v>7.2519083969465645E-2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-24.906382978723396</v>
      </c>
      <c r="P22" s="119">
        <v>47</v>
      </c>
      <c r="Q22" s="107">
        <v>-1170.5999999999997</v>
      </c>
    </row>
    <row r="23" spans="1:17" x14ac:dyDescent="0.4">
      <c r="A23" s="55" t="s">
        <v>5</v>
      </c>
      <c r="B23" s="51">
        <f>IF(B$17=0,0,C23/B$17)</f>
        <v>6890.0763358778622</v>
      </c>
      <c r="C23" s="41">
        <v>1805200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-8488.8888888888887</v>
      </c>
      <c r="C24" s="45">
        <v>-916800</v>
      </c>
      <c r="E24" s="63" t="s">
        <v>87</v>
      </c>
      <c r="F24" s="60" t="s">
        <v>42</v>
      </c>
      <c r="G24" s="47">
        <v>10</v>
      </c>
      <c r="H24" s="133">
        <f>IF(B$17=0,0,G24/B$17)</f>
        <v>3.8167938931297711E-2</v>
      </c>
      <c r="I24" s="94">
        <v>10</v>
      </c>
      <c r="K24" s="38">
        <v>22</v>
      </c>
      <c r="L24" s="99">
        <v>54.7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3.8167938931297708E-3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4">
        <v>97500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1.3157894736842105E-3</v>
      </c>
      <c r="E27" s="63" t="s">
        <v>90</v>
      </c>
      <c r="F27" s="60" t="s">
        <v>45</v>
      </c>
      <c r="G27" s="47">
        <v>19</v>
      </c>
      <c r="H27" s="133">
        <f>IF(B$17=0,0,G27/B$17)</f>
        <v>7.2519083969465645E-2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3.8167938931297708E-3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1.5267175572519083E-2</v>
      </c>
      <c r="I29" s="94">
        <v>9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112</v>
      </c>
      <c r="H51" s="138">
        <f>IF(B$17=0,0,G51/B$17)</f>
        <v>0.42748091603053434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</sheetData>
  <sortState ref="E2:I9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52</v>
      </c>
      <c r="C2" s="153"/>
      <c r="E2" s="62" t="s">
        <v>67</v>
      </c>
      <c r="F2" s="59" t="s">
        <v>23</v>
      </c>
      <c r="G2" s="46">
        <v>84</v>
      </c>
      <c r="H2" s="132">
        <f>IF(B$17=0,0,G2/B$17)</f>
        <v>0.65116279069767447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-2951.9230769230771</v>
      </c>
      <c r="P2" s="118">
        <v>52</v>
      </c>
      <c r="Q2" s="102">
        <v>-153500</v>
      </c>
    </row>
    <row r="3" spans="1:17" x14ac:dyDescent="0.4">
      <c r="A3" s="55" t="s">
        <v>8</v>
      </c>
      <c r="B3" s="154">
        <v>450</v>
      </c>
      <c r="C3" s="155"/>
      <c r="E3" s="63" t="s">
        <v>73</v>
      </c>
      <c r="F3" s="60" t="s">
        <v>28</v>
      </c>
      <c r="G3" s="47">
        <v>65</v>
      </c>
      <c r="H3" s="133">
        <f>IF(B$17=0,0,G3/B$17)</f>
        <v>0.50387596899224807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1819.2307692307693</v>
      </c>
      <c r="P3" s="119">
        <v>52</v>
      </c>
      <c r="Q3" s="103">
        <v>94600</v>
      </c>
    </row>
    <row r="4" spans="1:17" x14ac:dyDescent="0.4">
      <c r="A4" s="55" t="s">
        <v>6</v>
      </c>
      <c r="B4" s="156">
        <v>-397.6</v>
      </c>
      <c r="C4" s="157"/>
      <c r="E4" s="63" t="s">
        <v>65</v>
      </c>
      <c r="F4" s="60" t="s">
        <v>21</v>
      </c>
      <c r="G4" s="47">
        <v>55</v>
      </c>
      <c r="H4" s="133">
        <f>IF(B$17=0,0,G4/B$17)</f>
        <v>0.4263565891472868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-220.83333333333334</v>
      </c>
      <c r="P4" s="119">
        <v>48</v>
      </c>
      <c r="Q4" s="103">
        <v>-10600</v>
      </c>
    </row>
    <row r="5" spans="1:17" x14ac:dyDescent="0.4">
      <c r="A5" s="55" t="s">
        <v>7</v>
      </c>
      <c r="B5" s="158">
        <f>IF(B$2=0,0,B$4/B$2)</f>
        <v>-7.6461538461538465</v>
      </c>
      <c r="C5" s="159"/>
      <c r="E5" s="63" t="s">
        <v>69</v>
      </c>
      <c r="F5" s="60" t="s">
        <v>12</v>
      </c>
      <c r="G5" s="47">
        <v>49</v>
      </c>
      <c r="H5" s="133">
        <f>IF(B$17=0,0,G5/B$17)</f>
        <v>0.37984496124031009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-4015.5555555555557</v>
      </c>
      <c r="P5" s="119">
        <v>45</v>
      </c>
      <c r="Q5" s="103">
        <v>-180700</v>
      </c>
    </row>
    <row r="6" spans="1:17" x14ac:dyDescent="0.4">
      <c r="A6" s="55" t="s">
        <v>1</v>
      </c>
      <c r="B6" s="148">
        <f>IF(B$2=0,0,(B$7*1+B$8*2+B$9*3)/B$2)</f>
        <v>2.1153846153846154</v>
      </c>
      <c r="C6" s="149"/>
      <c r="E6" s="63" t="s">
        <v>245</v>
      </c>
      <c r="F6" s="60" t="s">
        <v>246</v>
      </c>
      <c r="G6" s="47">
        <v>49</v>
      </c>
      <c r="H6" s="133">
        <f>IF(B$17=0,0,G6/B$17)</f>
        <v>0.37984496124031009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-582.5</v>
      </c>
      <c r="P6" s="119">
        <v>40</v>
      </c>
      <c r="Q6" s="103">
        <v>-23300</v>
      </c>
    </row>
    <row r="7" spans="1:17" x14ac:dyDescent="0.4">
      <c r="A7" s="55" t="s">
        <v>2</v>
      </c>
      <c r="B7" s="47">
        <v>15</v>
      </c>
      <c r="C7" s="39">
        <f>IF(B$2=0,0,B7/B$2)</f>
        <v>0.28846153846153844</v>
      </c>
      <c r="E7" s="63" t="s">
        <v>68</v>
      </c>
      <c r="F7" s="60" t="s">
        <v>24</v>
      </c>
      <c r="G7" s="47">
        <v>29</v>
      </c>
      <c r="H7" s="133">
        <f>IF(B$17=0,0,G7/B$17)</f>
        <v>0.22480620155038761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16</v>
      </c>
      <c r="C8" s="39">
        <f>IF(B$2=0,0,B8/B$2)</f>
        <v>0.30769230769230771</v>
      </c>
      <c r="E8" s="63" t="s">
        <v>70</v>
      </c>
      <c r="F8" s="60" t="s">
        <v>25</v>
      </c>
      <c r="G8" s="47">
        <v>16</v>
      </c>
      <c r="H8" s="133">
        <f>IF(B$17=0,0,G8/B$17)</f>
        <v>0.12403100775193798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0.40384615384615385</v>
      </c>
      <c r="E9" s="63" t="s">
        <v>90</v>
      </c>
      <c r="F9" s="60" t="s">
        <v>45</v>
      </c>
      <c r="G9" s="47">
        <v>16</v>
      </c>
      <c r="H9" s="133">
        <f>IF(B$17=0,0,G9/B$17)</f>
        <v>0.12403100775193798</v>
      </c>
      <c r="I9" s="94">
        <v>6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0.15384615384615385</v>
      </c>
      <c r="E10" s="63" t="s">
        <v>71</v>
      </c>
      <c r="F10" s="60" t="s">
        <v>26</v>
      </c>
      <c r="G10" s="47">
        <v>15</v>
      </c>
      <c r="H10" s="133">
        <f>IF(B$17=0,0,G10/B$17)</f>
        <v>0.11627906976744186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7.6923076923076927E-2</v>
      </c>
      <c r="E11" s="63" t="s">
        <v>66</v>
      </c>
      <c r="F11" s="60" t="s">
        <v>22</v>
      </c>
      <c r="G11" s="47">
        <v>10</v>
      </c>
      <c r="H11" s="133">
        <f>IF(B$17=0,0,G11/B$17)</f>
        <v>7.7519379844961239E-2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-4.5499999999999989</v>
      </c>
      <c r="P11" s="119">
        <v>24</v>
      </c>
      <c r="Q11" s="107">
        <v>-109.19999999999997</v>
      </c>
    </row>
    <row r="12" spans="1:17" x14ac:dyDescent="0.4">
      <c r="A12" s="57" t="s">
        <v>160</v>
      </c>
      <c r="B12" s="49">
        <v>3</v>
      </c>
      <c r="C12" s="42">
        <f>IF(B$2=0,0,B12/B$2)</f>
        <v>5.7692307692307696E-2</v>
      </c>
      <c r="E12" s="63" t="s">
        <v>72</v>
      </c>
      <c r="F12" s="60" t="s">
        <v>27</v>
      </c>
      <c r="G12" s="47">
        <v>6</v>
      </c>
      <c r="H12" s="133">
        <f>IF(B$17=0,0,G12/B$17)</f>
        <v>4.6511627906976744E-2</v>
      </c>
      <c r="I12" s="94">
        <v>11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102</v>
      </c>
      <c r="C13" s="44">
        <f>IF(B$3=0,0,B13/B$3)</f>
        <v>0.22666666666666666</v>
      </c>
      <c r="E13" s="63" t="s">
        <v>87</v>
      </c>
      <c r="F13" s="60" t="s">
        <v>42</v>
      </c>
      <c r="G13" s="47">
        <v>6</v>
      </c>
      <c r="H13" s="133">
        <f>IF(B$17=0,0,G13/B$17)</f>
        <v>4.6511627906976744E-2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108</v>
      </c>
      <c r="C14" s="39">
        <f>IF(B$3=0,0,B14/B$3)</f>
        <v>0.24</v>
      </c>
      <c r="E14" s="63" t="s">
        <v>74</v>
      </c>
      <c r="F14" s="60" t="s">
        <v>29</v>
      </c>
      <c r="G14" s="47">
        <v>3</v>
      </c>
      <c r="H14" s="133">
        <f>IF(B$17=0,0,G14/B$17)</f>
        <v>2.3255813953488372E-2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0.55882352941176472</v>
      </c>
      <c r="E15" s="63" t="s">
        <v>79</v>
      </c>
      <c r="F15" s="60" t="s">
        <v>34</v>
      </c>
      <c r="G15" s="47">
        <v>3</v>
      </c>
      <c r="H15" s="133">
        <f>IF(B$17=0,0,G15/B$17)</f>
        <v>2.3255813953488372E-2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>IF(P15=0,0,Q15/P15)</f>
        <v>116.19999999999999</v>
      </c>
      <c r="P15" s="118">
        <v>1</v>
      </c>
      <c r="Q15" s="106">
        <v>116.19999999999999</v>
      </c>
    </row>
    <row r="16" spans="1:17" x14ac:dyDescent="0.4">
      <c r="A16" s="54" t="s">
        <v>125</v>
      </c>
      <c r="B16" s="46">
        <v>36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1.5503875968992248E-2</v>
      </c>
      <c r="I16" s="94">
        <v>8</v>
      </c>
      <c r="K16" s="38">
        <v>14</v>
      </c>
      <c r="L16" s="99">
        <v>-269.99999999999994</v>
      </c>
      <c r="N16" s="115" t="s">
        <v>129</v>
      </c>
      <c r="O16" s="125">
        <f>IF(P16=0,0,Q16/P16)</f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129</v>
      </c>
      <c r="C17" s="37">
        <f>IF(B$3=0,0,B17/B$3)</f>
        <v>0.28666666666666668</v>
      </c>
      <c r="E17" s="63" t="s">
        <v>84</v>
      </c>
      <c r="F17" s="60" t="s">
        <v>39</v>
      </c>
      <c r="G17" s="47">
        <v>2</v>
      </c>
      <c r="H17" s="133">
        <f>IF(B$17=0,0,G17/B$17)</f>
        <v>1.5503875968992248E-2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65</v>
      </c>
      <c r="C18" s="39">
        <f>IF(B$17=0,0,B18/B$17)</f>
        <v>0.50387596899224807</v>
      </c>
      <c r="E18" s="63" t="s">
        <v>92</v>
      </c>
      <c r="F18" s="60" t="s">
        <v>47</v>
      </c>
      <c r="G18" s="47">
        <v>2</v>
      </c>
      <c r="H18" s="133">
        <f>IF(B$17=0,0,G18/B$17)</f>
        <v>1.5503875968992248E-2</v>
      </c>
      <c r="I18" s="94">
        <v>8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64</v>
      </c>
      <c r="C19" s="39">
        <f>IF(B$17=0,0,B19/B$17)</f>
        <v>0.49612403100775193</v>
      </c>
      <c r="E19" s="63" t="s">
        <v>180</v>
      </c>
      <c r="F19" s="60" t="s">
        <v>181</v>
      </c>
      <c r="G19" s="47">
        <v>2</v>
      </c>
      <c r="H19" s="133">
        <f>IF(B$17=0,0,G19/B$17)</f>
        <v>1.5503875968992248E-2</v>
      </c>
      <c r="I19" s="94">
        <v>5</v>
      </c>
      <c r="K19" s="38">
        <v>17</v>
      </c>
      <c r="L19" s="99">
        <v>-248.89999999999995</v>
      </c>
      <c r="N19" s="115" t="s">
        <v>171</v>
      </c>
      <c r="O19" s="125">
        <f>IF(P19=0,0,Q19/P19)</f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82</v>
      </c>
      <c r="C20" s="39">
        <f>IF(B$3=0,0,B20/B$3)</f>
        <v>0.18222222222222223</v>
      </c>
      <c r="E20" s="63" t="s">
        <v>88</v>
      </c>
      <c r="F20" s="60" t="s">
        <v>43</v>
      </c>
      <c r="G20" s="47">
        <v>1</v>
      </c>
      <c r="H20" s="133">
        <f>IF(B$17=0,0,G20/B$17)</f>
        <v>7.7519379844961239E-3</v>
      </c>
      <c r="I20" s="94">
        <v>2</v>
      </c>
      <c r="K20" s="38">
        <v>18</v>
      </c>
      <c r="L20" s="99">
        <v>-218.99999999999994</v>
      </c>
      <c r="N20" s="115" t="s">
        <v>127</v>
      </c>
      <c r="O20" s="125">
        <f>IF(P20=0,0,Q20/P20)</f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107</v>
      </c>
      <c r="F21" s="60" t="s">
        <v>114</v>
      </c>
      <c r="G21" s="47">
        <v>1</v>
      </c>
      <c r="H21" s="133">
        <f>IF(B$17=0,0,G21/B$17)</f>
        <v>7.7519379844961239E-3</v>
      </c>
      <c r="I21" s="94">
        <v>1</v>
      </c>
      <c r="K21" s="38">
        <v>19</v>
      </c>
      <c r="L21" s="99">
        <v>-188.59999999999994</v>
      </c>
      <c r="N21" s="115" t="s">
        <v>177</v>
      </c>
      <c r="O21" s="125">
        <f>IF(P21=0,0,Q21/P21)</f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9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7534.1085271317834</v>
      </c>
      <c r="C23" s="41">
        <v>971900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9</v>
      </c>
      <c r="K23" s="38">
        <v>21</v>
      </c>
      <c r="L23" s="99">
        <v>-203.79999999999993</v>
      </c>
      <c r="N23" s="115" t="s">
        <v>200</v>
      </c>
      <c r="O23" s="125">
        <f>IF(P23=0,0,Q23/P23)</f>
        <v>-65.550000000000011</v>
      </c>
      <c r="P23" s="119">
        <v>2</v>
      </c>
      <c r="Q23" s="107">
        <v>-131.10000000000002</v>
      </c>
    </row>
    <row r="24" spans="1:17" x14ac:dyDescent="0.4">
      <c r="A24" s="57" t="s">
        <v>14</v>
      </c>
      <c r="B24" s="52">
        <f>IF(B$20=0,0,C24/B$20)</f>
        <v>-8271.9512195121952</v>
      </c>
      <c r="C24" s="45">
        <v>-678300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6">
        <v>6</v>
      </c>
      <c r="C25" s="147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4">
        <v>113300</v>
      </c>
      <c r="C26" s="145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4.4444444444444444E-3</v>
      </c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11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8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84</v>
      </c>
      <c r="C2" s="153"/>
      <c r="E2" s="62" t="s">
        <v>65</v>
      </c>
      <c r="F2" s="59" t="s">
        <v>21</v>
      </c>
      <c r="G2" s="46">
        <v>121</v>
      </c>
      <c r="H2" s="132">
        <f>IF(B$17=0,0,G2/B$17)</f>
        <v>0.62694300518134716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1144.047619047619</v>
      </c>
      <c r="P2" s="118">
        <v>84</v>
      </c>
      <c r="Q2" s="102">
        <v>96100</v>
      </c>
    </row>
    <row r="3" spans="1:17" x14ac:dyDescent="0.4">
      <c r="A3" s="55" t="s">
        <v>8</v>
      </c>
      <c r="B3" s="154">
        <v>690</v>
      </c>
      <c r="C3" s="155"/>
      <c r="E3" s="63" t="s">
        <v>66</v>
      </c>
      <c r="F3" s="60" t="s">
        <v>22</v>
      </c>
      <c r="G3" s="47">
        <v>21</v>
      </c>
      <c r="H3" s="133">
        <f>IF(B$17=0,0,G3/B$17)</f>
        <v>0.10880829015544041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364.19753086419752</v>
      </c>
      <c r="P3" s="119">
        <v>81</v>
      </c>
      <c r="Q3" s="103">
        <v>29500</v>
      </c>
    </row>
    <row r="4" spans="1:17" x14ac:dyDescent="0.4">
      <c r="A4" s="55" t="s">
        <v>6</v>
      </c>
      <c r="B4" s="156">
        <v>131.69999999999993</v>
      </c>
      <c r="C4" s="157"/>
      <c r="E4" s="63" t="s">
        <v>67</v>
      </c>
      <c r="F4" s="60" t="s">
        <v>23</v>
      </c>
      <c r="G4" s="47">
        <v>106</v>
      </c>
      <c r="H4" s="133">
        <f>IF(B$17=0,0,G4/B$17)</f>
        <v>0.54922279792746109</v>
      </c>
      <c r="I4" s="94">
        <v>13</v>
      </c>
      <c r="K4" s="38">
        <v>2</v>
      </c>
      <c r="L4" s="99">
        <v>30</v>
      </c>
      <c r="N4" s="115" t="s">
        <v>134</v>
      </c>
      <c r="O4" s="122">
        <f t="shared" si="0"/>
        <v>-366.2162162162162</v>
      </c>
      <c r="P4" s="119">
        <v>74</v>
      </c>
      <c r="Q4" s="103">
        <v>-27100</v>
      </c>
    </row>
    <row r="5" spans="1:17" x14ac:dyDescent="0.4">
      <c r="A5" s="55" t="s">
        <v>7</v>
      </c>
      <c r="B5" s="158">
        <f>IF(B$2=0,0,B$4/B$2)</f>
        <v>1.5678571428571419</v>
      </c>
      <c r="C5" s="159"/>
      <c r="E5" s="63" t="s">
        <v>68</v>
      </c>
      <c r="F5" s="60" t="s">
        <v>24</v>
      </c>
      <c r="G5" s="47">
        <v>81</v>
      </c>
      <c r="H5" s="133">
        <f>IF(B$17=0,0,G5/B$17)</f>
        <v>0.41968911917098445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1782.8571428571429</v>
      </c>
      <c r="P5" s="119">
        <v>70</v>
      </c>
      <c r="Q5" s="103">
        <v>124800</v>
      </c>
    </row>
    <row r="6" spans="1:17" x14ac:dyDescent="0.4">
      <c r="A6" s="55" t="s">
        <v>1</v>
      </c>
      <c r="B6" s="148">
        <f>IF(B$2=0,0,(B$7*1+B$8*2+B$9*3)/B$2)</f>
        <v>1.9642857142857142</v>
      </c>
      <c r="C6" s="149"/>
      <c r="E6" s="63" t="s">
        <v>69</v>
      </c>
      <c r="F6" s="60" t="s">
        <v>12</v>
      </c>
      <c r="G6" s="47">
        <v>60</v>
      </c>
      <c r="H6" s="133">
        <f>IF(B$17=0,0,G6/B$17)</f>
        <v>0.31088082901554404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-1730.1587301587301</v>
      </c>
      <c r="P6" s="119">
        <v>63</v>
      </c>
      <c r="Q6" s="103">
        <v>-109000</v>
      </c>
    </row>
    <row r="7" spans="1:17" x14ac:dyDescent="0.4">
      <c r="A7" s="55" t="s">
        <v>2</v>
      </c>
      <c r="B7" s="47">
        <v>29</v>
      </c>
      <c r="C7" s="39">
        <f>IF(B$2=0,0,B7/B$2)</f>
        <v>0.34523809523809523</v>
      </c>
      <c r="E7" s="63" t="s">
        <v>70</v>
      </c>
      <c r="F7" s="60" t="s">
        <v>25</v>
      </c>
      <c r="G7" s="47">
        <v>31</v>
      </c>
      <c r="H7" s="133">
        <f>IF(B$17=0,0,G7/B$17)</f>
        <v>0.16062176165803108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247.05882352941177</v>
      </c>
      <c r="P7" s="120">
        <v>51</v>
      </c>
      <c r="Q7" s="104">
        <v>12600</v>
      </c>
    </row>
    <row r="8" spans="1:17" x14ac:dyDescent="0.4">
      <c r="A8" s="55" t="s">
        <v>3</v>
      </c>
      <c r="B8" s="47">
        <v>29</v>
      </c>
      <c r="C8" s="39">
        <f>IF(B$2=0,0,B8/B$2)</f>
        <v>0.34523809523809523</v>
      </c>
      <c r="E8" s="63" t="s">
        <v>71</v>
      </c>
      <c r="F8" s="60" t="s">
        <v>26</v>
      </c>
      <c r="G8" s="47">
        <v>13</v>
      </c>
      <c r="H8" s="133">
        <f>IF(B$17=0,0,G8/B$17)</f>
        <v>6.7357512953367879E-2</v>
      </c>
      <c r="I8" s="94">
        <v>10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0.30952380952380953</v>
      </c>
      <c r="E9" s="63" t="s">
        <v>72</v>
      </c>
      <c r="F9" s="60" t="s">
        <v>27</v>
      </c>
      <c r="G9" s="47">
        <v>12</v>
      </c>
      <c r="H9" s="133">
        <f>IF(B$17=0,0,G9/B$17)</f>
        <v>6.2176165803108807E-2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0.14285714285714285</v>
      </c>
      <c r="E10" s="63" t="s">
        <v>73</v>
      </c>
      <c r="F10" s="60" t="s">
        <v>28</v>
      </c>
      <c r="G10" s="47">
        <v>83</v>
      </c>
      <c r="H10" s="133">
        <f>IF(B$17=0,0,G10/B$17)</f>
        <v>0.43005181347150256</v>
      </c>
      <c r="I10" s="94">
        <v>12</v>
      </c>
      <c r="K10" s="38">
        <v>8</v>
      </c>
      <c r="L10" s="99">
        <v>-87.1</v>
      </c>
      <c r="N10" s="114" t="s">
        <v>164</v>
      </c>
      <c r="O10" s="124">
        <f>IF(P10=0,0,Q10/P10)</f>
        <v>-2.9111111111111114</v>
      </c>
      <c r="P10" s="118">
        <v>27</v>
      </c>
      <c r="Q10" s="106">
        <v>-78.600000000000009</v>
      </c>
    </row>
    <row r="11" spans="1:17" x14ac:dyDescent="0.4">
      <c r="A11" s="56" t="s">
        <v>140</v>
      </c>
      <c r="B11" s="48">
        <v>11</v>
      </c>
      <c r="C11" s="40">
        <f>IF(B$2=0,0,B11/B$2)</f>
        <v>0.13095238095238096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5.0225806451612902</v>
      </c>
      <c r="P11" s="119">
        <v>31</v>
      </c>
      <c r="Q11" s="107">
        <v>155.69999999999999</v>
      </c>
    </row>
    <row r="12" spans="1:17" x14ac:dyDescent="0.4">
      <c r="A12" s="57" t="s">
        <v>160</v>
      </c>
      <c r="B12" s="49">
        <v>5</v>
      </c>
      <c r="C12" s="42">
        <f>IF(B$2=0,0,B12/B$2)</f>
        <v>5.9523809523809521E-2</v>
      </c>
      <c r="E12" s="63" t="s">
        <v>75</v>
      </c>
      <c r="F12" s="60" t="s">
        <v>30</v>
      </c>
      <c r="G12" s="47">
        <v>1</v>
      </c>
      <c r="H12" s="133">
        <f>IF(B$17=0,0,G12/B$17)</f>
        <v>5.1813471502590676E-3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2.0999999999999996</v>
      </c>
      <c r="P12" s="120">
        <v>26</v>
      </c>
      <c r="Q12" s="108">
        <v>54.599999999999987</v>
      </c>
    </row>
    <row r="13" spans="1:17" x14ac:dyDescent="0.4">
      <c r="A13" s="58" t="s">
        <v>122</v>
      </c>
      <c r="B13" s="50">
        <v>200</v>
      </c>
      <c r="C13" s="44">
        <f>IF(B$3=0,0,B13/B$3)</f>
        <v>0.28985507246376813</v>
      </c>
      <c r="E13" s="63" t="s">
        <v>76</v>
      </c>
      <c r="F13" s="60" t="s">
        <v>31</v>
      </c>
      <c r="G13" s="47">
        <v>2</v>
      </c>
      <c r="H13" s="133">
        <f>IF(B$17=0,0,G13/B$17)</f>
        <v>1.0362694300518135E-2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0.17681159420289855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121</v>
      </c>
      <c r="C15" s="37">
        <f>IF(B$13=0,0,B15/B$13)</f>
        <v>0.60499999999999998</v>
      </c>
      <c r="E15" s="63" t="s">
        <v>78</v>
      </c>
      <c r="F15" s="60" t="s">
        <v>33</v>
      </c>
      <c r="G15" s="47">
        <v>2</v>
      </c>
      <c r="H15" s="133">
        <f>IF(B$17=0,0,G15/B$17)</f>
        <v>1.0362694300518135E-2</v>
      </c>
      <c r="I15" s="94">
        <v>4</v>
      </c>
      <c r="K15" s="38">
        <v>13</v>
      </c>
      <c r="L15" s="99">
        <v>-209.59999999999997</v>
      </c>
      <c r="N15" s="114" t="s">
        <v>271</v>
      </c>
      <c r="O15" s="124">
        <f t="shared" ref="O15:O24" si="2"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41</v>
      </c>
      <c r="C16" s="37">
        <f>IF(B$14=0,0,B16/B$14)</f>
        <v>0.33606557377049179</v>
      </c>
      <c r="E16" s="63" t="s">
        <v>79</v>
      </c>
      <c r="F16" s="60" t="s">
        <v>34</v>
      </c>
      <c r="G16" s="47">
        <v>6</v>
      </c>
      <c r="H16" s="133">
        <f>IF(B$17=0,0,G16/B$17)</f>
        <v>3.1088082901554404E-2</v>
      </c>
      <c r="I16" s="94">
        <v>6</v>
      </c>
      <c r="K16" s="38">
        <v>14</v>
      </c>
      <c r="L16" s="99">
        <v>-178.49999999999997</v>
      </c>
      <c r="N16" s="115" t="s">
        <v>171</v>
      </c>
      <c r="O16" s="125">
        <f t="shared" si="2"/>
        <v>44.647368421052633</v>
      </c>
      <c r="P16" s="119">
        <v>19</v>
      </c>
      <c r="Q16" s="107">
        <v>848.30000000000007</v>
      </c>
    </row>
    <row r="17" spans="1:17" x14ac:dyDescent="0.4">
      <c r="A17" s="54" t="s">
        <v>10</v>
      </c>
      <c r="B17" s="46">
        <f>B19+B18</f>
        <v>193</v>
      </c>
      <c r="C17" s="37">
        <f>IF(B$3=0,0,B17/B$3)</f>
        <v>0.27971014492753621</v>
      </c>
      <c r="E17" s="63" t="s">
        <v>80</v>
      </c>
      <c r="F17" s="60" t="s">
        <v>35</v>
      </c>
      <c r="G17" s="47">
        <v>3</v>
      </c>
      <c r="H17" s="133">
        <f>IF(B$17=0,0,G17/B$17)</f>
        <v>1.5544041450777202E-2</v>
      </c>
      <c r="I17" s="94">
        <v>7</v>
      </c>
      <c r="K17" s="38">
        <v>15</v>
      </c>
      <c r="L17" s="99">
        <v>-146.19999999999999</v>
      </c>
      <c r="N17" s="115" t="s">
        <v>173</v>
      </c>
      <c r="O17" s="125">
        <f t="shared" si="2"/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82</v>
      </c>
      <c r="C18" s="39">
        <f>IF(B$17=0,0,B18/B$17)</f>
        <v>0.42487046632124353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111</v>
      </c>
      <c r="C19" s="39">
        <f>IF(B$17=0,0,B19/B$17)</f>
        <v>0.57512953367875652</v>
      </c>
      <c r="E19" s="63" t="s">
        <v>82</v>
      </c>
      <c r="F19" s="60" t="s">
        <v>37</v>
      </c>
      <c r="G19" s="47">
        <v>6</v>
      </c>
      <c r="H19" s="133">
        <f>IF(B$17=0,0,G19/B$17)</f>
        <v>3.1088082901554404E-2</v>
      </c>
      <c r="I19" s="94">
        <v>5</v>
      </c>
      <c r="K19" s="38">
        <v>17</v>
      </c>
      <c r="L19" s="99">
        <v>-161.19999999999999</v>
      </c>
      <c r="N19" s="115" t="s">
        <v>184</v>
      </c>
      <c r="O19" s="125">
        <f t="shared" si="2"/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103</v>
      </c>
      <c r="C20" s="39">
        <f>IF(B$3=0,0,B20/B$3)</f>
        <v>0.14927536231884059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200</v>
      </c>
      <c r="O20" s="125">
        <f t="shared" si="2"/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9</v>
      </c>
      <c r="H21" s="133">
        <f>IF(B$17=0,0,G21/B$17)</f>
        <v>4.6632124352331605E-2</v>
      </c>
      <c r="I21" s="94">
        <v>8</v>
      </c>
      <c r="K21" s="38">
        <v>19</v>
      </c>
      <c r="L21" s="99">
        <v>-235.6</v>
      </c>
      <c r="N21" s="115" t="s">
        <v>129</v>
      </c>
      <c r="O21" s="125">
        <f t="shared" si="2"/>
        <v>-2.4666666666666668</v>
      </c>
      <c r="P21" s="119">
        <v>30</v>
      </c>
      <c r="Q21" s="107">
        <v>-74</v>
      </c>
    </row>
    <row r="22" spans="1:17" x14ac:dyDescent="0.4">
      <c r="A22" s="55" t="s">
        <v>192</v>
      </c>
      <c r="B22" s="47">
        <v>45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-200.8</v>
      </c>
      <c r="N22" s="115" t="s">
        <v>172</v>
      </c>
      <c r="O22" s="125">
        <f t="shared" si="2"/>
        <v>-2.5592592592592607</v>
      </c>
      <c r="P22" s="119">
        <v>27</v>
      </c>
      <c r="Q22" s="107">
        <v>-69.100000000000037</v>
      </c>
    </row>
    <row r="23" spans="1:17" x14ac:dyDescent="0.4">
      <c r="A23" s="55" t="s">
        <v>5</v>
      </c>
      <c r="B23" s="51">
        <f>IF(B$17=0,0,C23/B$17)</f>
        <v>8861.6580310880836</v>
      </c>
      <c r="C23" s="41">
        <v>1710300</v>
      </c>
      <c r="E23" s="63" t="s">
        <v>86</v>
      </c>
      <c r="F23" s="60" t="s">
        <v>41</v>
      </c>
      <c r="G23" s="47">
        <v>3</v>
      </c>
      <c r="H23" s="133">
        <f>IF(B$17=0,0,G23/B$17)</f>
        <v>1.5544041450777202E-2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 t="shared" si="2"/>
        <v>-20.326470588235299</v>
      </c>
      <c r="P23" s="119">
        <v>34</v>
      </c>
      <c r="Q23" s="107">
        <v>-691.10000000000014</v>
      </c>
    </row>
    <row r="24" spans="1:17" x14ac:dyDescent="0.4">
      <c r="A24" s="57" t="s">
        <v>14</v>
      </c>
      <c r="B24" s="52">
        <f>IF(B$20=0,0,C24/B$20)</f>
        <v>-7048.5436893203887</v>
      </c>
      <c r="C24" s="45">
        <v>-726000</v>
      </c>
      <c r="E24" s="63" t="s">
        <v>87</v>
      </c>
      <c r="F24" s="60" t="s">
        <v>42</v>
      </c>
      <c r="G24" s="47">
        <v>10</v>
      </c>
      <c r="H24" s="133">
        <f>IF(B$17=0,0,G24/B$17)</f>
        <v>5.181347150259067E-2</v>
      </c>
      <c r="I24" s="94">
        <v>7</v>
      </c>
      <c r="K24" s="38">
        <v>22</v>
      </c>
      <c r="L24" s="99">
        <v>-142.60000000000002</v>
      </c>
      <c r="N24" s="115" t="s">
        <v>183</v>
      </c>
      <c r="O24" s="125">
        <f t="shared" si="2"/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4">
        <v>103000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4.3478260869565218E-3</v>
      </c>
      <c r="E27" s="63" t="s">
        <v>90</v>
      </c>
      <c r="F27" s="60" t="s">
        <v>45</v>
      </c>
      <c r="G27" s="47">
        <v>22</v>
      </c>
      <c r="H27" s="133">
        <f>IF(B$17=0,0,G27/B$17)</f>
        <v>0.11398963730569948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1.0362694300518135E-2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3.1088082901554404E-2</v>
      </c>
      <c r="I29" s="94">
        <v>2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5.1813471502590676E-3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5.1813471502590676E-3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5.1813471502590676E-3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84</v>
      </c>
      <c r="H51" s="138">
        <f>IF(B$17=0,0,G51/B$17)</f>
        <v>0.43523316062176165</v>
      </c>
      <c r="I51" s="139">
        <v>3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</sheetData>
  <sortState ref="E2:I8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6">
        <v>61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8">
        <f>IF(B$2=0,0,B$4/B$2)</f>
        <v>20.333333333333332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8">
        <f>IF(B$2=0,0,(B$7*1+B$8*2+B$9*3)/B$2)</f>
        <v>1.3333333333333333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53500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184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22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0.52173913043478259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-900</v>
      </c>
      <c r="P2" s="118">
        <v>22</v>
      </c>
      <c r="Q2" s="102">
        <v>-19800</v>
      </c>
    </row>
    <row r="3" spans="1:17" x14ac:dyDescent="0.4">
      <c r="A3" s="55" t="s">
        <v>8</v>
      </c>
      <c r="B3" s="154">
        <v>165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4.3478260869565216E-2</v>
      </c>
      <c r="I3" s="94">
        <v>11</v>
      </c>
      <c r="K3" s="38">
        <v>1</v>
      </c>
      <c r="L3" s="99">
        <v>-43.7</v>
      </c>
      <c r="N3" s="115" t="s">
        <v>133</v>
      </c>
      <c r="O3" s="122">
        <f t="shared" si="0"/>
        <v>-5186.363636363636</v>
      </c>
      <c r="P3" s="119">
        <v>22</v>
      </c>
      <c r="Q3" s="103">
        <v>-114100</v>
      </c>
    </row>
    <row r="4" spans="1:17" x14ac:dyDescent="0.4">
      <c r="A4" s="55" t="s">
        <v>6</v>
      </c>
      <c r="B4" s="156">
        <v>-264.39999999999998</v>
      </c>
      <c r="C4" s="157"/>
      <c r="E4" s="63" t="s">
        <v>67</v>
      </c>
      <c r="F4" s="60" t="s">
        <v>23</v>
      </c>
      <c r="G4" s="47">
        <v>41</v>
      </c>
      <c r="H4" s="133">
        <f>IF(B$17=0,0,G4/B$17)</f>
        <v>0.89130434782608692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-300</v>
      </c>
      <c r="P4" s="119">
        <v>18</v>
      </c>
      <c r="Q4" s="103">
        <v>-5400</v>
      </c>
    </row>
    <row r="5" spans="1:17" x14ac:dyDescent="0.4">
      <c r="A5" s="55" t="s">
        <v>7</v>
      </c>
      <c r="B5" s="158">
        <f>IF(B$2=0,0,B$4/B$2)</f>
        <v>-12.018181818181818</v>
      </c>
      <c r="C5" s="159"/>
      <c r="E5" s="63" t="s">
        <v>68</v>
      </c>
      <c r="F5" s="60" t="s">
        <v>24</v>
      </c>
      <c r="G5" s="47">
        <v>11</v>
      </c>
      <c r="H5" s="133">
        <f>IF(B$17=0,0,G5/B$17)</f>
        <v>0.2391304347826087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-3383.3333333333335</v>
      </c>
      <c r="P5" s="119">
        <v>18</v>
      </c>
      <c r="Q5" s="103">
        <v>-60900</v>
      </c>
    </row>
    <row r="6" spans="1:17" x14ac:dyDescent="0.4">
      <c r="A6" s="55" t="s">
        <v>1</v>
      </c>
      <c r="B6" s="148">
        <f>IF(B$2=0,0,(B$7*1+B$8*2+B$9*3)/B$2)</f>
        <v>2.1818181818181817</v>
      </c>
      <c r="C6" s="149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0.36363636363636365</v>
      </c>
      <c r="E7" s="63" t="s">
        <v>70</v>
      </c>
      <c r="F7" s="60" t="s">
        <v>25</v>
      </c>
      <c r="G7" s="47">
        <v>8</v>
      </c>
      <c r="H7" s="133">
        <f>IF(B$17=0,0,G7/B$17)</f>
        <v>0.17391304347826086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9.0909090909090912E-2</v>
      </c>
      <c r="E8" s="63" t="s">
        <v>71</v>
      </c>
      <c r="F8" s="60" t="s">
        <v>26</v>
      </c>
      <c r="G8" s="47">
        <v>8</v>
      </c>
      <c r="H8" s="133">
        <f>IF(B$17=0,0,G8/B$17)</f>
        <v>0.17391304347826086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72</v>
      </c>
      <c r="F9" s="60" t="s">
        <v>27</v>
      </c>
      <c r="G9" s="47">
        <v>3</v>
      </c>
      <c r="H9" s="133">
        <f>IF(B$17=0,0,G9/B$17)</f>
        <v>6.5217391304347824E-2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0.31818181818181818</v>
      </c>
      <c r="E10" s="63" t="s">
        <v>73</v>
      </c>
      <c r="F10" s="60" t="s">
        <v>28</v>
      </c>
      <c r="G10" s="47">
        <v>27</v>
      </c>
      <c r="H10" s="133">
        <f>IF(B$17=0,0,G10/B$17)</f>
        <v>0.58695652173913049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1</v>
      </c>
      <c r="H11" s="133">
        <f>IF(B$17=0,0,G11/B$17)</f>
        <v>2.1739130434782608E-2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0.13636363636363635</v>
      </c>
      <c r="E12" s="63" t="s">
        <v>75</v>
      </c>
      <c r="F12" s="60" t="s">
        <v>30</v>
      </c>
      <c r="G12" s="47">
        <v>1</v>
      </c>
      <c r="H12" s="133">
        <f>IF(B$17=0,0,G12/B$17)</f>
        <v>2.1739130434782608E-2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38</v>
      </c>
      <c r="C13" s="44">
        <f>IF(B$3=0,0,B13/B$3)</f>
        <v>0.23030303030303031</v>
      </c>
      <c r="E13" s="63" t="s">
        <v>76</v>
      </c>
      <c r="F13" s="60" t="s">
        <v>31</v>
      </c>
      <c r="G13" s="47">
        <v>1</v>
      </c>
      <c r="H13" s="133">
        <f>IF(B$17=0,0,G13/B$17)</f>
        <v>2.1739130434782608E-2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0.24848484848484848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0.3902439024390244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0.27878787878787881</v>
      </c>
      <c r="E17" s="63" t="s">
        <v>80</v>
      </c>
      <c r="F17" s="60" t="s">
        <v>35</v>
      </c>
      <c r="G17" s="47">
        <v>2</v>
      </c>
      <c r="H17" s="133">
        <f>IF(B$17=0,0,G17/B$17)</f>
        <v>4.3478260869565216E-2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82</v>
      </c>
      <c r="F19" s="60" t="s">
        <v>37</v>
      </c>
      <c r="G19" s="47">
        <v>1</v>
      </c>
      <c r="H19" s="133">
        <f>IF(B$17=0,0,G19/B$17)</f>
        <v>2.1739130434782608E-2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39</v>
      </c>
      <c r="C20" s="39">
        <f>IF(B$3=0,0,B20/B$3)</f>
        <v>0.23636363636363636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-22.991666666666671</v>
      </c>
      <c r="P20" s="119">
        <v>12</v>
      </c>
      <c r="Q20" s="107">
        <v>-275.90000000000003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0.13043478260869565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-9879.4871794871797</v>
      </c>
      <c r="C24" s="45">
        <v>-385300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0.10869565217391304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2.1739130434782608E-2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0.34782608695652173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200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18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0.43636363636363634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-1616.6666666666667</v>
      </c>
      <c r="P2" s="118">
        <v>18</v>
      </c>
      <c r="Q2" s="102">
        <v>-29100</v>
      </c>
    </row>
    <row r="3" spans="1:17" x14ac:dyDescent="0.4">
      <c r="A3" s="55" t="s">
        <v>8</v>
      </c>
      <c r="B3" s="154">
        <v>164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7.2727272727272724E-2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2655.5555555555557</v>
      </c>
      <c r="P3" s="119">
        <v>18</v>
      </c>
      <c r="Q3" s="103">
        <v>47800</v>
      </c>
    </row>
    <row r="4" spans="1:17" x14ac:dyDescent="0.4">
      <c r="A4" s="55" t="s">
        <v>6</v>
      </c>
      <c r="B4" s="156">
        <v>45.399999999999991</v>
      </c>
      <c r="C4" s="157"/>
      <c r="E4" s="63" t="s">
        <v>67</v>
      </c>
      <c r="F4" s="60" t="s">
        <v>23</v>
      </c>
      <c r="G4" s="47">
        <v>32</v>
      </c>
      <c r="H4" s="133">
        <f>IF(B$17=0,0,G4/B$17)</f>
        <v>0.58181818181818179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-7358.8235294117649</v>
      </c>
      <c r="P4" s="119">
        <v>17</v>
      </c>
      <c r="Q4" s="103">
        <v>-125100</v>
      </c>
    </row>
    <row r="5" spans="1:17" x14ac:dyDescent="0.4">
      <c r="A5" s="55" t="s">
        <v>7</v>
      </c>
      <c r="B5" s="158">
        <f>IF(B$2=0,0,B$4/B$2)</f>
        <v>2.5222222222222217</v>
      </c>
      <c r="C5" s="159"/>
      <c r="E5" s="63" t="s">
        <v>68</v>
      </c>
      <c r="F5" s="60" t="s">
        <v>24</v>
      </c>
      <c r="G5" s="47">
        <v>15</v>
      </c>
      <c r="H5" s="133">
        <f>IF(B$17=0,0,G5/B$17)</f>
        <v>0.27272727272727271</v>
      </c>
      <c r="I5" s="94">
        <v>9</v>
      </c>
      <c r="K5" s="38">
        <v>3</v>
      </c>
      <c r="L5" s="99">
        <v>-20.400000000000002</v>
      </c>
      <c r="N5" s="115" t="s">
        <v>135</v>
      </c>
      <c r="O5" s="122">
        <f t="shared" si="0"/>
        <v>-1135.2941176470588</v>
      </c>
      <c r="P5" s="119">
        <v>17</v>
      </c>
      <c r="Q5" s="103">
        <v>-19300</v>
      </c>
    </row>
    <row r="6" spans="1:17" x14ac:dyDescent="0.4">
      <c r="A6" s="55" t="s">
        <v>1</v>
      </c>
      <c r="B6" s="148">
        <f>IF(B$2=0,0,(B$7*1+B$8*2+B$9*3)/B$2)</f>
        <v>1.8888888888888888</v>
      </c>
      <c r="C6" s="149"/>
      <c r="E6" s="63" t="s">
        <v>69</v>
      </c>
      <c r="F6" s="60" t="s">
        <v>12</v>
      </c>
      <c r="G6" s="47">
        <v>22</v>
      </c>
      <c r="H6" s="133">
        <f>IF(B$17=0,0,G6/B$17)</f>
        <v>0.4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10135.714285714286</v>
      </c>
      <c r="P6" s="119">
        <v>14</v>
      </c>
      <c r="Q6" s="103">
        <v>141900</v>
      </c>
    </row>
    <row r="7" spans="1:17" x14ac:dyDescent="0.4">
      <c r="A7" s="55" t="s">
        <v>2</v>
      </c>
      <c r="B7" s="47">
        <v>6</v>
      </c>
      <c r="C7" s="39">
        <f>IF(B$2=0,0,B7/B$2)</f>
        <v>0.33333333333333331</v>
      </c>
      <c r="E7" s="63" t="s">
        <v>70</v>
      </c>
      <c r="F7" s="60" t="s">
        <v>25</v>
      </c>
      <c r="G7" s="47">
        <v>9</v>
      </c>
      <c r="H7" s="133">
        <f>IF(B$17=0,0,G7/B$17)</f>
        <v>0.16363636363636364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0"/>
        <v>1925</v>
      </c>
      <c r="P7" s="120">
        <v>12</v>
      </c>
      <c r="Q7" s="104">
        <v>23100</v>
      </c>
    </row>
    <row r="8" spans="1:17" x14ac:dyDescent="0.4">
      <c r="A8" s="55" t="s">
        <v>3</v>
      </c>
      <c r="B8" s="47">
        <v>8</v>
      </c>
      <c r="C8" s="39">
        <f>IF(B$2=0,0,B8/B$2)</f>
        <v>0.44444444444444442</v>
      </c>
      <c r="E8" s="63" t="s">
        <v>71</v>
      </c>
      <c r="F8" s="60" t="s">
        <v>26</v>
      </c>
      <c r="G8" s="47">
        <v>1</v>
      </c>
      <c r="H8" s="133">
        <f>IF(B$17=0,0,G8/B$17)</f>
        <v>1.8181818181818181E-2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0.22222222222222221</v>
      </c>
      <c r="E9" s="63" t="s">
        <v>72</v>
      </c>
      <c r="F9" s="60" t="s">
        <v>27</v>
      </c>
      <c r="G9" s="47">
        <v>1</v>
      </c>
      <c r="H9" s="133">
        <f>IF(B$17=0,0,G9/B$17)</f>
        <v>1.8181818181818181E-2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0.16666666666666666</v>
      </c>
      <c r="E10" s="63" t="s">
        <v>73</v>
      </c>
      <c r="F10" s="60" t="s">
        <v>28</v>
      </c>
      <c r="G10" s="47">
        <v>41</v>
      </c>
      <c r="H10" s="133">
        <f>IF(B$17=0,0,G10/B$17)</f>
        <v>0.74545454545454548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3.9142857142857141</v>
      </c>
      <c r="P12" s="120">
        <v>7</v>
      </c>
      <c r="Q12" s="108">
        <v>27.4</v>
      </c>
    </row>
    <row r="13" spans="1:17" x14ac:dyDescent="0.4">
      <c r="A13" s="58" t="s">
        <v>122</v>
      </c>
      <c r="B13" s="50">
        <v>38</v>
      </c>
      <c r="C13" s="44">
        <f>IF(B$3=0,0,B13/B$3)</f>
        <v>0.23170731707317074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0.31707317073170732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</v>
      </c>
      <c r="C15" s="37">
        <f>IF(B$13=0,0,B15/B$13)</f>
        <v>0.63157894736842102</v>
      </c>
      <c r="E15" s="63" t="s">
        <v>78</v>
      </c>
      <c r="F15" s="60" t="s">
        <v>33</v>
      </c>
      <c r="G15" s="47">
        <v>3</v>
      </c>
      <c r="H15" s="133">
        <f>IF(B$17=0,0,G15/B$17)</f>
        <v>5.4545454545454543E-2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>IF(P15=0,0,Q15/P15)</f>
        <v>65.550000000000011</v>
      </c>
      <c r="P15" s="118">
        <v>2</v>
      </c>
      <c r="Q15" s="106">
        <v>131.10000000000002</v>
      </c>
    </row>
    <row r="16" spans="1:17" x14ac:dyDescent="0.4">
      <c r="A16" s="54" t="s">
        <v>125</v>
      </c>
      <c r="B16" s="46">
        <v>22</v>
      </c>
      <c r="C16" s="37">
        <f>IF(B$14=0,0,B16/B$14)</f>
        <v>0.42307692307692307</v>
      </c>
      <c r="E16" s="63" t="s">
        <v>79</v>
      </c>
      <c r="F16" s="60" t="s">
        <v>34</v>
      </c>
      <c r="G16" s="47">
        <v>4</v>
      </c>
      <c r="H16" s="133">
        <f>IF(B$17=0,0,G16/B$17)</f>
        <v>7.2727272727272724E-2</v>
      </c>
      <c r="I16" s="94">
        <v>2</v>
      </c>
      <c r="K16" s="38">
        <v>14</v>
      </c>
      <c r="L16" s="99">
        <v>114.99999999999999</v>
      </c>
      <c r="N16" s="115" t="s">
        <v>172</v>
      </c>
      <c r="O16" s="125">
        <f>IF(P16=0,0,Q16/P16)</f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0.33536585365853661</v>
      </c>
      <c r="E17" s="63" t="s">
        <v>80</v>
      </c>
      <c r="F17" s="60" t="s">
        <v>35</v>
      </c>
      <c r="G17" s="47">
        <v>1</v>
      </c>
      <c r="H17" s="133">
        <f>IF(B$17=0,0,G17/B$17)</f>
        <v>1.8181818181818181E-2</v>
      </c>
      <c r="I17" s="94">
        <v>4</v>
      </c>
      <c r="K17" s="38">
        <v>15</v>
      </c>
      <c r="L17" s="99">
        <v>157.69999999999999</v>
      </c>
      <c r="N17" s="115" t="s">
        <v>127</v>
      </c>
      <c r="O17" s="125">
        <f>IF(P17=0,0,Q17/P17)</f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33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171</v>
      </c>
      <c r="O18" s="125">
        <f>IF(P18=0,0,Q18/P18)</f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22</v>
      </c>
      <c r="C19" s="39">
        <f>IF(B$17=0,0,B19/B$17)</f>
        <v>0.4</v>
      </c>
      <c r="E19" s="63" t="s">
        <v>82</v>
      </c>
      <c r="F19" s="60" t="s">
        <v>37</v>
      </c>
      <c r="G19" s="47">
        <v>1</v>
      </c>
      <c r="H19" s="133">
        <f>IF(B$17=0,0,G19/B$17)</f>
        <v>1.8181818181818181E-2</v>
      </c>
      <c r="I19" s="94">
        <v>10</v>
      </c>
      <c r="K19" s="38">
        <v>17</v>
      </c>
      <c r="L19" s="99">
        <v>112.39999999999999</v>
      </c>
      <c r="N19" s="115" t="s">
        <v>128</v>
      </c>
      <c r="O19" s="125">
        <f>IF(P19=0,0,Q19/P19)</f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28</v>
      </c>
      <c r="C20" s="39">
        <f>IF(B$3=0,0,B20/B$3)</f>
        <v>0.17073170731707318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177</v>
      </c>
      <c r="O20" s="125">
        <f>IF(P20=0,0,Q20/P20)</f>
        <v>0.90000000000000258</v>
      </c>
      <c r="P20" s="119">
        <v>9</v>
      </c>
      <c r="Q20" s="107">
        <v>8.1000000000000227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5.4545454545454543E-2</v>
      </c>
      <c r="I21" s="94">
        <v>4</v>
      </c>
      <c r="N21" s="115" t="s">
        <v>271</v>
      </c>
      <c r="O21" s="125">
        <f>IF(P21=0,0,Q21/P21)</f>
        <v>-8.2999999999999989</v>
      </c>
      <c r="P21" s="119">
        <v>2</v>
      </c>
      <c r="Q21" s="107">
        <v>-16.599999999999998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>IF(P22=0,0,Q22/P22)</f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8063.636363636364</v>
      </c>
      <c r="C23" s="41">
        <v>443500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5</v>
      </c>
      <c r="H24" s="133">
        <f>IF(B$17=0,0,G24/B$17)</f>
        <v>9.0909090909090912E-2</v>
      </c>
      <c r="I24" s="94">
        <v>2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106300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1.2195121951219513E-2</v>
      </c>
      <c r="E27" s="63" t="s">
        <v>90</v>
      </c>
      <c r="F27" s="60" t="s">
        <v>45</v>
      </c>
      <c r="G27" s="47">
        <v>8</v>
      </c>
      <c r="H27" s="133">
        <f>IF(B$17=0,0,G27/B$17)</f>
        <v>0.14545454545454545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0.29090909090909089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4">
        <v>13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6">
        <v>13.3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8">
        <f>IF(B$2=0,0,B$4/B$2)</f>
        <v>13.3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48300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4">
        <v>46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6">
        <v>100.39999999999999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8">
        <f>IF(B$2=0,0,B$4/B$2)</f>
        <v>16.733333333333331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8">
        <f>IF(B$2=0,0,(B$7*1+B$8*2+B$9*3)/B$2)</f>
        <v>1.8333333333333333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6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67D9-FDC7-4E79-86D6-948490AF2FB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271</v>
      </c>
      <c r="C1" s="151"/>
      <c r="E1" s="129" t="s">
        <v>167</v>
      </c>
      <c r="F1" s="143" t="s">
        <v>116</v>
      </c>
      <c r="G1" s="142" t="s">
        <v>117</v>
      </c>
      <c r="H1" s="130" t="s">
        <v>118</v>
      </c>
      <c r="I1" s="143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5</v>
      </c>
      <c r="C2" s="153"/>
      <c r="E2" s="62" t="s">
        <v>245</v>
      </c>
      <c r="F2" s="59" t="s">
        <v>246</v>
      </c>
      <c r="G2" s="46">
        <v>7</v>
      </c>
      <c r="H2" s="132">
        <f>IF(B$17=0,0,G2/B$17)</f>
        <v>0.63636363636363635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-5260</v>
      </c>
      <c r="P2" s="118">
        <v>5</v>
      </c>
      <c r="Q2" s="102">
        <v>-26300</v>
      </c>
    </row>
    <row r="3" spans="1:17" x14ac:dyDescent="0.4">
      <c r="A3" s="55" t="s">
        <v>8</v>
      </c>
      <c r="B3" s="154">
        <v>45</v>
      </c>
      <c r="C3" s="155"/>
      <c r="E3" s="63" t="s">
        <v>67</v>
      </c>
      <c r="F3" s="60" t="s">
        <v>23</v>
      </c>
      <c r="G3" s="47">
        <v>6</v>
      </c>
      <c r="H3" s="133">
        <f>IF(B$17=0,0,G3/B$17)</f>
        <v>0.54545454545454541</v>
      </c>
      <c r="I3" s="94">
        <v>14</v>
      </c>
      <c r="K3" s="38">
        <v>1</v>
      </c>
      <c r="L3" s="99">
        <v>-43.2</v>
      </c>
      <c r="N3" s="115" t="s">
        <v>133</v>
      </c>
      <c r="O3" s="122">
        <f t="shared" si="0"/>
        <v>-3400</v>
      </c>
      <c r="P3" s="119">
        <v>5</v>
      </c>
      <c r="Q3" s="103">
        <v>-17000</v>
      </c>
    </row>
    <row r="4" spans="1:17" x14ac:dyDescent="0.4">
      <c r="A4" s="55" t="s">
        <v>6</v>
      </c>
      <c r="B4" s="156">
        <v>-152</v>
      </c>
      <c r="C4" s="157"/>
      <c r="E4" s="63" t="s">
        <v>73</v>
      </c>
      <c r="F4" s="60" t="s">
        <v>28</v>
      </c>
      <c r="G4" s="47">
        <v>6</v>
      </c>
      <c r="H4" s="133">
        <f>IF(B$17=0,0,G4/B$17)</f>
        <v>0.54545454545454541</v>
      </c>
      <c r="I4" s="94">
        <v>8</v>
      </c>
      <c r="K4" s="38">
        <v>2</v>
      </c>
      <c r="L4" s="99">
        <v>-96.5</v>
      </c>
      <c r="N4" s="115" t="s">
        <v>134</v>
      </c>
      <c r="O4" s="122">
        <f t="shared" si="0"/>
        <v>150</v>
      </c>
      <c r="P4" s="119">
        <v>4</v>
      </c>
      <c r="Q4" s="103">
        <v>600</v>
      </c>
    </row>
    <row r="5" spans="1:17" x14ac:dyDescent="0.4">
      <c r="A5" s="55" t="s">
        <v>7</v>
      </c>
      <c r="B5" s="158">
        <f>IF(B$2=0,0,B$4/B$2)</f>
        <v>-30.4</v>
      </c>
      <c r="C5" s="159"/>
      <c r="E5" s="63" t="s">
        <v>65</v>
      </c>
      <c r="F5" s="60" t="s">
        <v>21</v>
      </c>
      <c r="G5" s="47">
        <v>5</v>
      </c>
      <c r="H5" s="133">
        <f>IF(B$17=0,0,G5/B$17)</f>
        <v>0.45454545454545453</v>
      </c>
      <c r="I5" s="94">
        <v>10</v>
      </c>
      <c r="K5" s="38">
        <v>3</v>
      </c>
      <c r="L5" s="99">
        <v>-151.9</v>
      </c>
      <c r="N5" s="115" t="s">
        <v>135</v>
      </c>
      <c r="O5" s="122">
        <f t="shared" si="0"/>
        <v>5000</v>
      </c>
      <c r="P5" s="119">
        <v>4</v>
      </c>
      <c r="Q5" s="103">
        <v>20000</v>
      </c>
    </row>
    <row r="6" spans="1:17" x14ac:dyDescent="0.4">
      <c r="A6" s="55" t="s">
        <v>1</v>
      </c>
      <c r="B6" s="148">
        <f>IF(B$2=0,0,(B$7*1+B$8*2+B$9*3)/B$2)</f>
        <v>2.6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0.27272727272727271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-2700</v>
      </c>
      <c r="P6" s="119">
        <v>3</v>
      </c>
      <c r="Q6" s="103">
        <v>-8100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9.0909090909090912E-2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-5350</v>
      </c>
      <c r="P7" s="120">
        <v>2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0.4</v>
      </c>
      <c r="E8" s="63" t="s">
        <v>71</v>
      </c>
      <c r="F8" s="60" t="s">
        <v>26</v>
      </c>
      <c r="G8" s="47">
        <v>1</v>
      </c>
      <c r="H8" s="133">
        <f>IF(B$17=0,0,G8/B$17)</f>
        <v>9.0909090909090912E-2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0.6</v>
      </c>
      <c r="E9" s="63" t="s">
        <v>79</v>
      </c>
      <c r="F9" s="60" t="s">
        <v>34</v>
      </c>
      <c r="G9" s="47">
        <v>1</v>
      </c>
      <c r="H9" s="133">
        <f>IF(B$17=0,0,G9/B$17)</f>
        <v>9.0909090909090912E-2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0.2</v>
      </c>
      <c r="E10" s="63" t="s">
        <v>92</v>
      </c>
      <c r="F10" s="60" t="s">
        <v>47</v>
      </c>
      <c r="G10" s="47">
        <v>1</v>
      </c>
      <c r="H10" s="133">
        <f>IF(B$17=0,0,G10/B$17)</f>
        <v>9.0909090909090912E-2</v>
      </c>
      <c r="I10" s="94">
        <v>1</v>
      </c>
      <c r="N10" s="114" t="s">
        <v>164</v>
      </c>
      <c r="O10" s="124">
        <f>IF(P10=0,0,Q10/P10)</f>
        <v>-14.433333333333332</v>
      </c>
      <c r="P10" s="118">
        <v>3</v>
      </c>
      <c r="Q10" s="106">
        <v>-43.3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68</v>
      </c>
      <c r="F12" s="60" t="s">
        <v>24</v>
      </c>
      <c r="G12" s="47">
        <v>0</v>
      </c>
      <c r="H12" s="133">
        <f>IF(B$17=0,0,G12/B$17)</f>
        <v>0</v>
      </c>
      <c r="I12" s="94">
        <v>14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0.13333333333333333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</v>
      </c>
      <c r="C14" s="39">
        <f>IF(B$3=0,0,B14/B$3)</f>
        <v>0.35555555555555557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7</v>
      </c>
      <c r="N15" s="114" t="s">
        <v>200</v>
      </c>
      <c r="O15" s="124">
        <f>IF(P15=0,0,Q15/P15)</f>
        <v>8.2999999999999972</v>
      </c>
      <c r="P15" s="118">
        <v>2</v>
      </c>
      <c r="Q15" s="106">
        <v>16.599999999999994</v>
      </c>
    </row>
    <row r="16" spans="1:17" x14ac:dyDescent="0.4">
      <c r="A16" s="54" t="s">
        <v>125</v>
      </c>
      <c r="B16" s="46">
        <v>4</v>
      </c>
      <c r="C16" s="37">
        <f>IF(B$14=0,0,B16/B$14)</f>
        <v>0.25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9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11</v>
      </c>
      <c r="C17" s="37">
        <f>IF(B$3=0,0,B17/B$3)</f>
        <v>0.24444444444444444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4</v>
      </c>
      <c r="C18" s="39">
        <f>IF(B$17=0,0,B18/B$17)</f>
        <v>0.36363636363636365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8</v>
      </c>
      <c r="N18" s="115" t="s">
        <v>173</v>
      </c>
      <c r="O18" s="125">
        <f>IF(P18=0,0,Q18/P18)</f>
        <v>-116.19999999999999</v>
      </c>
      <c r="P18" s="119">
        <v>1</v>
      </c>
      <c r="Q18" s="107">
        <v>-116.19999999999999</v>
      </c>
    </row>
    <row r="19" spans="1:17" x14ac:dyDescent="0.4">
      <c r="A19" s="55" t="s">
        <v>11</v>
      </c>
      <c r="B19" s="47">
        <v>7</v>
      </c>
      <c r="C19" s="39">
        <f>IF(B$17=0,0,B19/B$17)</f>
        <v>0.63636363636363635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12</v>
      </c>
    </row>
    <row r="20" spans="1:17" x14ac:dyDescent="0.4">
      <c r="A20" s="55" t="s">
        <v>13</v>
      </c>
      <c r="B20" s="47">
        <v>9</v>
      </c>
      <c r="C20" s="39">
        <f>IF(B$3=0,0,B20/B$3)</f>
        <v>0.2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192</v>
      </c>
      <c r="B22" s="47">
        <v>8</v>
      </c>
      <c r="C22" s="135">
        <v>3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6727.272727272727</v>
      </c>
      <c r="C23" s="41">
        <v>74000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12</v>
      </c>
    </row>
    <row r="24" spans="1:17" x14ac:dyDescent="0.4">
      <c r="A24" s="57" t="s">
        <v>14</v>
      </c>
      <c r="B24" s="52">
        <f>IF(B$20=0,0,C24/B$20)</f>
        <v>-6077.7777777777774</v>
      </c>
      <c r="C24" s="45">
        <v>-54700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142</v>
      </c>
      <c r="B25" s="146">
        <v>4</v>
      </c>
      <c r="C25" s="147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44">
        <v>52800</v>
      </c>
      <c r="C26" s="145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1</v>
      </c>
      <c r="C27" s="42">
        <f>IF(B$3=0,0,B27/B$3)</f>
        <v>2.2222222222222223E-2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13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F33C-D428-4018-B0F8-79BF63CFFF1C}">
  <sheetPr codeName="Sheet33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8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0</v>
      </c>
      <c r="C254" s="66">
        <v>0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7.1054273576010019E-15</v>
      </c>
      <c r="C255" s="66">
        <v>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8.8817841970012523E-15</v>
      </c>
      <c r="C256" s="66">
        <v>1.1701955463769766E-17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1.2878587085651816E-14</v>
      </c>
      <c r="C257" s="66">
        <v>1.6901032920802908E-17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1.2878587085651816E-14</v>
      </c>
      <c r="C258" s="66">
        <v>1.683475436032917E-17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1.2434497875801753E-14</v>
      </c>
      <c r="C259" s="66">
        <v>1.6190752442450201E-17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1.4210854715202004E-14</v>
      </c>
      <c r="C260" s="66">
        <v>1.8431718177953311E-17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2.1316282072803006E-14</v>
      </c>
      <c r="C261" s="66">
        <v>2.7540416114732565E-17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2.1316282072803006E-14</v>
      </c>
      <c r="C262" s="66">
        <v>2.7434082461779931E-17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1.4210854715202004E-14</v>
      </c>
      <c r="C263" s="66">
        <v>1.8219044506669236E-17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2.1316282072803006E-14</v>
      </c>
      <c r="C264" s="66">
        <v>2.7223859607666672E-17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2.8421709430404007E-14</v>
      </c>
      <c r="C265" s="66">
        <v>3.6159935662091615E-17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2.8421709430404007E-14</v>
      </c>
      <c r="C266" s="66">
        <v>3.6022445412425863E-17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2019-07-05T17:32:08Z</dcterms:modified>
</cp:coreProperties>
</file>