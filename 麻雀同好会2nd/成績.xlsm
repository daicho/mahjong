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E586AF19-FBB0-4E21-91D5-D6CB433D7D05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53" r:id="rId6"/>
    <sheet name="だいち" sheetId="5455" r:id="rId7"/>
    <sheet name="りくと" sheetId="5457" r:id="rId8"/>
    <sheet name="ただ" sheetId="5459" r:id="rId9"/>
    <sheet name="れんたろう" sheetId="5461" r:id="rId10"/>
    <sheet name="たかの" sheetId="5463" r:id="rId11"/>
    <sheet name="ぱぱ" sheetId="5465" r:id="rId12"/>
    <sheet name="まっつん" sheetId="5467" r:id="rId13"/>
    <sheet name="あさひ" sheetId="5469" r:id="rId14"/>
    <sheet name="いっしー" sheetId="5471" r:id="rId15"/>
    <sheet name="ほたに" sheetId="5473" r:id="rId16"/>
    <sheet name="かわたつ" sheetId="5475" r:id="rId17"/>
    <sheet name="やがさき" sheetId="5477" r:id="rId18"/>
    <sheet name="やがさき2" sheetId="5478" state="hidden" r:id="rId19"/>
    <sheet name="かわたつ2" sheetId="5476" state="hidden" r:id="rId20"/>
    <sheet name="ほたに2" sheetId="5474" state="hidden" r:id="rId21"/>
    <sheet name="いっしー2" sheetId="5472" state="hidden" r:id="rId22"/>
    <sheet name="あさひ2" sheetId="5470" state="hidden" r:id="rId23"/>
    <sheet name="まっつん2" sheetId="5468" state="hidden" r:id="rId24"/>
    <sheet name="ぱぱ2" sheetId="5466" state="hidden" r:id="rId25"/>
    <sheet name="たかの2" sheetId="5464" state="hidden" r:id="rId26"/>
    <sheet name="れんたろう2" sheetId="5462" state="hidden" r:id="rId27"/>
    <sheet name="ただ2" sheetId="5460" state="hidden" r:id="rId28"/>
    <sheet name="りくと2" sheetId="5458" state="hidden" r:id="rId29"/>
    <sheet name="だいち2" sheetId="5456" state="hidden" r:id="rId30"/>
    <sheet name="全体2" sheetId="545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55" l="1"/>
  <c r="O15" i="5477"/>
  <c r="O15" i="5459" l="1"/>
  <c r="O16" i="5463"/>
  <c r="O16" i="5453"/>
  <c r="O17" i="5477"/>
  <c r="O16" i="5477"/>
  <c r="C27" i="5477"/>
  <c r="B24" i="5477"/>
  <c r="C20" i="5477"/>
  <c r="B17" i="5477"/>
  <c r="H51" i="5477" s="1"/>
  <c r="C16" i="5477"/>
  <c r="C15" i="5477"/>
  <c r="C14" i="5477"/>
  <c r="C13" i="5477"/>
  <c r="O12" i="5477"/>
  <c r="C12" i="5477"/>
  <c r="O11" i="5477"/>
  <c r="C11" i="5477"/>
  <c r="O10" i="5477"/>
  <c r="C10" i="5477"/>
  <c r="C9" i="5477"/>
  <c r="C8" i="5477"/>
  <c r="O7" i="5477"/>
  <c r="C7" i="5477"/>
  <c r="O6" i="5477"/>
  <c r="B6" i="5477"/>
  <c r="O5" i="5477"/>
  <c r="B5" i="5477"/>
  <c r="O4" i="5477"/>
  <c r="O3" i="5477"/>
  <c r="O2" i="5477"/>
  <c r="O15" i="5475"/>
  <c r="O16" i="5475"/>
  <c r="C27" i="5475"/>
  <c r="B24" i="5475"/>
  <c r="C20" i="5475"/>
  <c r="B17" i="5475"/>
  <c r="H52" i="5475" s="1"/>
  <c r="C16" i="5475"/>
  <c r="C15" i="5475"/>
  <c r="C14" i="5475"/>
  <c r="C13" i="5475"/>
  <c r="O12" i="5475"/>
  <c r="C12" i="5475"/>
  <c r="O11" i="5475"/>
  <c r="C11" i="5475"/>
  <c r="O10" i="5475"/>
  <c r="C10" i="5475"/>
  <c r="C9" i="5475"/>
  <c r="C8" i="5475"/>
  <c r="O7" i="5475"/>
  <c r="C7" i="5475"/>
  <c r="O6" i="5475"/>
  <c r="B6" i="5475"/>
  <c r="O5" i="5475"/>
  <c r="B5" i="5475"/>
  <c r="O4" i="5475"/>
  <c r="O3" i="5475"/>
  <c r="O2" i="5475"/>
  <c r="O23" i="5461"/>
  <c r="O18" i="5455"/>
  <c r="O25" i="5453"/>
  <c r="H14" i="5477" l="1"/>
  <c r="H4" i="5477"/>
  <c r="H2" i="5477"/>
  <c r="H8" i="5477"/>
  <c r="H7" i="5477"/>
  <c r="H16" i="5477"/>
  <c r="H40" i="5477"/>
  <c r="B23" i="5477"/>
  <c r="H28" i="5477"/>
  <c r="H44" i="5477"/>
  <c r="H3" i="5477"/>
  <c r="H6" i="5477"/>
  <c r="H11" i="5477"/>
  <c r="C17" i="5477"/>
  <c r="H32" i="5477"/>
  <c r="H48" i="5477"/>
  <c r="H5" i="5477"/>
  <c r="H10" i="5477"/>
  <c r="H13" i="5477"/>
  <c r="C18" i="5477"/>
  <c r="H25" i="5477"/>
  <c r="H36" i="5477"/>
  <c r="H52" i="5477"/>
  <c r="H18" i="5477"/>
  <c r="H20" i="5477"/>
  <c r="H23" i="5477"/>
  <c r="H26" i="5477"/>
  <c r="H29" i="5477"/>
  <c r="H33" i="5477"/>
  <c r="H37" i="5477"/>
  <c r="H41" i="5477"/>
  <c r="H45" i="5477"/>
  <c r="H49" i="5477"/>
  <c r="H15" i="5477"/>
  <c r="C19" i="5477"/>
  <c r="H21" i="5477"/>
  <c r="H30" i="5477"/>
  <c r="H34" i="5477"/>
  <c r="H38" i="5477"/>
  <c r="H42" i="5477"/>
  <c r="H46" i="5477"/>
  <c r="H50" i="5477"/>
  <c r="H9" i="5477"/>
  <c r="H12" i="5477"/>
  <c r="H17" i="5477"/>
  <c r="H19" i="5477"/>
  <c r="H22" i="5477"/>
  <c r="H24" i="5477"/>
  <c r="H27" i="5477"/>
  <c r="H31" i="5477"/>
  <c r="H35" i="5477"/>
  <c r="H39" i="5477"/>
  <c r="H43" i="5477"/>
  <c r="H47" i="5477"/>
  <c r="H14" i="5475"/>
  <c r="H8" i="5475"/>
  <c r="B23" i="5475"/>
  <c r="H25" i="5475"/>
  <c r="H5" i="5475"/>
  <c r="C17" i="5475"/>
  <c r="H4" i="5475"/>
  <c r="H11" i="5475"/>
  <c r="C18" i="5475"/>
  <c r="H2" i="5475"/>
  <c r="H10" i="5475"/>
  <c r="H16" i="5475"/>
  <c r="H20" i="5475"/>
  <c r="H26" i="5475"/>
  <c r="H33" i="5475"/>
  <c r="H45" i="5475"/>
  <c r="H13" i="5475"/>
  <c r="H15" i="5475"/>
  <c r="C19" i="5475"/>
  <c r="H21" i="5475"/>
  <c r="H30" i="5475"/>
  <c r="H34" i="5475"/>
  <c r="H38" i="5475"/>
  <c r="H42" i="5475"/>
  <c r="H46" i="5475"/>
  <c r="H50" i="5475"/>
  <c r="H18" i="5475"/>
  <c r="H23" i="5475"/>
  <c r="H29" i="5475"/>
  <c r="H37" i="5475"/>
  <c r="H41" i="5475"/>
  <c r="H49" i="5475"/>
  <c r="H7" i="5475"/>
  <c r="H3" i="5475"/>
  <c r="H6" i="5475"/>
  <c r="H9" i="5475"/>
  <c r="H12" i="5475"/>
  <c r="H17" i="5475"/>
  <c r="H19" i="5475"/>
  <c r="H22" i="5475"/>
  <c r="H24" i="5475"/>
  <c r="H27" i="5475"/>
  <c r="H31" i="5475"/>
  <c r="H35" i="5475"/>
  <c r="H39" i="5475"/>
  <c r="H43" i="5475"/>
  <c r="H47" i="5475"/>
  <c r="H51" i="5475"/>
  <c r="H28" i="5475"/>
  <c r="H32" i="5475"/>
  <c r="H36" i="5475"/>
  <c r="H40" i="5475"/>
  <c r="H44" i="5475"/>
  <c r="H48" i="5475"/>
  <c r="O17" i="5463" l="1"/>
  <c r="O16" i="5471"/>
  <c r="O20" i="5473" l="1"/>
  <c r="O18" i="5473"/>
  <c r="O15" i="5467"/>
  <c r="O20" i="5457"/>
  <c r="O24" i="5455" l="1"/>
  <c r="O16" i="5473"/>
  <c r="O21" i="5465"/>
  <c r="O15" i="5473"/>
  <c r="O17" i="5473" l="1"/>
  <c r="O19" i="5473"/>
  <c r="C27" i="5473"/>
  <c r="B24" i="5473"/>
  <c r="C20" i="5473"/>
  <c r="B17" i="5473"/>
  <c r="H51" i="5473" s="1"/>
  <c r="C16" i="5473"/>
  <c r="C15" i="5473"/>
  <c r="C14" i="5473"/>
  <c r="C13" i="5473"/>
  <c r="O12" i="5473"/>
  <c r="C12" i="5473"/>
  <c r="O11" i="5473"/>
  <c r="H11" i="5473"/>
  <c r="C11" i="5473"/>
  <c r="O10" i="5473"/>
  <c r="C10" i="5473"/>
  <c r="C9" i="5473"/>
  <c r="C8" i="5473"/>
  <c r="O7" i="5473"/>
  <c r="C7" i="5473"/>
  <c r="O6" i="5473"/>
  <c r="B6" i="5473"/>
  <c r="O5" i="5473"/>
  <c r="B5" i="5473"/>
  <c r="O4" i="5473"/>
  <c r="H4" i="5473"/>
  <c r="O3" i="5473"/>
  <c r="O2" i="5473"/>
  <c r="H2" i="5473"/>
  <c r="O21" i="5461"/>
  <c r="O18" i="5463"/>
  <c r="O19" i="5453"/>
  <c r="H10" i="5473" l="1"/>
  <c r="H16" i="5473"/>
  <c r="H8" i="5473"/>
  <c r="H14" i="5473"/>
  <c r="H5" i="5473"/>
  <c r="C19" i="5473"/>
  <c r="H30" i="5473"/>
  <c r="H38" i="5473"/>
  <c r="H46" i="5473"/>
  <c r="H25" i="5473"/>
  <c r="H48" i="5473"/>
  <c r="H32" i="5473"/>
  <c r="H7" i="5473"/>
  <c r="H15" i="5473"/>
  <c r="H42" i="5473"/>
  <c r="H50" i="5473"/>
  <c r="H40" i="5473"/>
  <c r="H13" i="5473"/>
  <c r="C17" i="5473"/>
  <c r="H21" i="5473"/>
  <c r="H34" i="5473"/>
  <c r="H3" i="5473"/>
  <c r="H6" i="5473"/>
  <c r="H9" i="5473"/>
  <c r="H12" i="5473"/>
  <c r="C18" i="5473"/>
  <c r="B23" i="5473"/>
  <c r="H28" i="5473"/>
  <c r="H36" i="5473"/>
  <c r="H44" i="5473"/>
  <c r="H52" i="5473"/>
  <c r="H18" i="5473"/>
  <c r="H20" i="5473"/>
  <c r="H23" i="5473"/>
  <c r="H26" i="5473"/>
  <c r="H29" i="5473"/>
  <c r="H33" i="5473"/>
  <c r="H37" i="5473"/>
  <c r="H41" i="5473"/>
  <c r="H45" i="5473"/>
  <c r="H49" i="5473"/>
  <c r="H17" i="5473"/>
  <c r="H19" i="5473"/>
  <c r="H22" i="5473"/>
  <c r="H24" i="5473"/>
  <c r="H27" i="5473"/>
  <c r="H31" i="5473"/>
  <c r="H35" i="5473"/>
  <c r="H39" i="5473"/>
  <c r="H43" i="5473"/>
  <c r="H47" i="5473"/>
  <c r="O20" i="5463" l="1"/>
  <c r="O16" i="5459"/>
  <c r="O21" i="5467"/>
  <c r="O20" i="5467"/>
  <c r="O21" i="5455" l="1"/>
  <c r="O17" i="5471"/>
  <c r="O20" i="5471" l="1"/>
  <c r="O15" i="5471"/>
  <c r="O16" i="5461"/>
  <c r="O22" i="5459"/>
  <c r="O17" i="5469" l="1"/>
  <c r="O22" i="5465"/>
  <c r="O15" i="5469"/>
  <c r="O21" i="5471"/>
  <c r="O15" i="5457"/>
  <c r="O17" i="5467"/>
  <c r="O17" i="5453"/>
  <c r="O19" i="5471"/>
  <c r="O18" i="5471"/>
  <c r="C27" i="5471"/>
  <c r="B24" i="5471"/>
  <c r="C20" i="5471"/>
  <c r="B17" i="5471"/>
  <c r="H52" i="5471" s="1"/>
  <c r="C16" i="5471"/>
  <c r="C15" i="5471"/>
  <c r="C14" i="5471"/>
  <c r="C13" i="5471"/>
  <c r="O12" i="5471"/>
  <c r="C12" i="5471"/>
  <c r="O11" i="5471"/>
  <c r="C11" i="5471"/>
  <c r="O10" i="5471"/>
  <c r="C10" i="5471"/>
  <c r="C9" i="5471"/>
  <c r="C8" i="5471"/>
  <c r="O7" i="5471"/>
  <c r="C7" i="5471"/>
  <c r="O6" i="5471"/>
  <c r="B6" i="5471"/>
  <c r="O5" i="5471"/>
  <c r="B5" i="5471"/>
  <c r="O4" i="5471"/>
  <c r="O3" i="5471"/>
  <c r="O2" i="5471"/>
  <c r="O16" i="5469"/>
  <c r="O18" i="5469"/>
  <c r="C27" i="5469"/>
  <c r="B24" i="5469"/>
  <c r="C20" i="5469"/>
  <c r="B17" i="5469"/>
  <c r="H51" i="5469" s="1"/>
  <c r="C16" i="5469"/>
  <c r="C15" i="5469"/>
  <c r="C14" i="5469"/>
  <c r="C13" i="5469"/>
  <c r="O12" i="5469"/>
  <c r="C12" i="5469"/>
  <c r="O11" i="5469"/>
  <c r="C11" i="5469"/>
  <c r="O10" i="5469"/>
  <c r="C10" i="5469"/>
  <c r="C9" i="5469"/>
  <c r="C8" i="5469"/>
  <c r="O7" i="5469"/>
  <c r="C7" i="5469"/>
  <c r="O6" i="5469"/>
  <c r="B6" i="5469"/>
  <c r="O5" i="5469"/>
  <c r="B5" i="5469"/>
  <c r="O4" i="5469"/>
  <c r="O3" i="5469"/>
  <c r="O2" i="5469"/>
  <c r="O22" i="5467"/>
  <c r="O23" i="5467"/>
  <c r="O15" i="5455"/>
  <c r="O16" i="5455"/>
  <c r="O26" i="5453"/>
  <c r="H6" i="5469" l="1"/>
  <c r="H16" i="5469"/>
  <c r="H28" i="5469"/>
  <c r="H3" i="5469"/>
  <c r="B23" i="5469"/>
  <c r="H44" i="5469"/>
  <c r="H5" i="5469"/>
  <c r="H12" i="5469"/>
  <c r="H14" i="5469"/>
  <c r="H32" i="5469"/>
  <c r="H9" i="5469"/>
  <c r="H11" i="5469"/>
  <c r="C18" i="5469"/>
  <c r="H2" i="5469"/>
  <c r="C19" i="5469"/>
  <c r="H48" i="5469"/>
  <c r="H25" i="5469"/>
  <c r="H36" i="5469"/>
  <c r="H52" i="5469"/>
  <c r="H4" i="5469"/>
  <c r="H8" i="5469"/>
  <c r="H10" i="5469"/>
  <c r="H7" i="5469"/>
  <c r="H13" i="5469"/>
  <c r="H15" i="5469"/>
  <c r="C17" i="5469"/>
  <c r="H21" i="5469"/>
  <c r="H40" i="5469"/>
  <c r="H2" i="5471"/>
  <c r="H13" i="5471"/>
  <c r="C17" i="5471"/>
  <c r="H21" i="5471"/>
  <c r="H4" i="5471"/>
  <c r="H8" i="5471"/>
  <c r="H10" i="5471"/>
  <c r="H3" i="5471"/>
  <c r="C18" i="5471"/>
  <c r="H7" i="5471"/>
  <c r="H15" i="5471"/>
  <c r="H6" i="5471"/>
  <c r="H9" i="5471"/>
  <c r="H12" i="5471"/>
  <c r="H5" i="5471"/>
  <c r="H11" i="5471"/>
  <c r="H14" i="5471"/>
  <c r="H16" i="5471"/>
  <c r="C19" i="5471"/>
  <c r="H18" i="5471"/>
  <c r="H20" i="5471"/>
  <c r="H23" i="5471"/>
  <c r="H26" i="5471"/>
  <c r="H29" i="5471"/>
  <c r="H33" i="5471"/>
  <c r="H37" i="5471"/>
  <c r="H41" i="5471"/>
  <c r="H45" i="5471"/>
  <c r="H49" i="5471"/>
  <c r="H30" i="5471"/>
  <c r="H34" i="5471"/>
  <c r="H38" i="5471"/>
  <c r="H42" i="5471"/>
  <c r="H46" i="5471"/>
  <c r="H50" i="5471"/>
  <c r="H17" i="5471"/>
  <c r="H19" i="5471"/>
  <c r="H22" i="5471"/>
  <c r="H24" i="5471"/>
  <c r="H27" i="5471"/>
  <c r="H31" i="5471"/>
  <c r="H35" i="5471"/>
  <c r="H39" i="5471"/>
  <c r="H43" i="5471"/>
  <c r="H47" i="5471"/>
  <c r="H51" i="5471"/>
  <c r="B23" i="5471"/>
  <c r="H25" i="5471"/>
  <c r="H28" i="5471"/>
  <c r="H32" i="5471"/>
  <c r="H36" i="5471"/>
  <c r="H40" i="5471"/>
  <c r="H44" i="5471"/>
  <c r="H48" i="5471"/>
  <c r="H18" i="5469"/>
  <c r="H20" i="5469"/>
  <c r="H23" i="5469"/>
  <c r="H26" i="5469"/>
  <c r="H29" i="5469"/>
  <c r="H33" i="5469"/>
  <c r="H37" i="5469"/>
  <c r="H41" i="5469"/>
  <c r="H45" i="5469"/>
  <c r="H49" i="5469"/>
  <c r="H30" i="5469"/>
  <c r="H34" i="5469"/>
  <c r="H38" i="5469"/>
  <c r="H42" i="5469"/>
  <c r="H46" i="5469"/>
  <c r="H50" i="5469"/>
  <c r="H17" i="5469"/>
  <c r="H19" i="5469"/>
  <c r="H22" i="5469"/>
  <c r="H24" i="5469"/>
  <c r="H27" i="5469"/>
  <c r="H31" i="5469"/>
  <c r="H35" i="5469"/>
  <c r="H39" i="5469"/>
  <c r="H43" i="5469"/>
  <c r="H47" i="5469"/>
  <c r="O19" i="5467" l="1"/>
  <c r="O18" i="5465"/>
  <c r="O16" i="5465"/>
  <c r="O17" i="5457"/>
  <c r="O19" i="5463" l="1"/>
  <c r="O17" i="5461"/>
  <c r="O17" i="5465"/>
  <c r="O19" i="5465"/>
  <c r="O15" i="5463" l="1"/>
  <c r="O15" i="5461"/>
  <c r="O21" i="5459"/>
  <c r="O19" i="5459"/>
  <c r="O16" i="5467"/>
  <c r="O18" i="5467"/>
  <c r="C27" i="5467"/>
  <c r="B24" i="5467"/>
  <c r="C20" i="5467"/>
  <c r="B17" i="5467"/>
  <c r="H52" i="5467" s="1"/>
  <c r="C16" i="5467"/>
  <c r="C15" i="5467"/>
  <c r="C14" i="5467"/>
  <c r="C13" i="5467"/>
  <c r="O12" i="5467"/>
  <c r="C12" i="5467"/>
  <c r="O11" i="5467"/>
  <c r="C11" i="5467"/>
  <c r="O10" i="5467"/>
  <c r="C10" i="5467"/>
  <c r="C9" i="5467"/>
  <c r="C8" i="5467"/>
  <c r="O7" i="5467"/>
  <c r="C7" i="5467"/>
  <c r="O6" i="5467"/>
  <c r="B6" i="5467"/>
  <c r="O5" i="5467"/>
  <c r="B5" i="5467"/>
  <c r="O4" i="5467"/>
  <c r="O3" i="5467"/>
  <c r="O2" i="5467"/>
  <c r="O22" i="5461"/>
  <c r="O21" i="5457"/>
  <c r="O22" i="5453"/>
  <c r="H8" i="5467" l="1"/>
  <c r="H2" i="5467"/>
  <c r="C17" i="5467"/>
  <c r="H4" i="5467"/>
  <c r="H10" i="5467"/>
  <c r="H18" i="5467"/>
  <c r="H20" i="5467"/>
  <c r="H23" i="5467"/>
  <c r="H26" i="5467"/>
  <c r="H29" i="5467"/>
  <c r="H33" i="5467"/>
  <c r="H37" i="5467"/>
  <c r="H41" i="5467"/>
  <c r="H45" i="5467"/>
  <c r="H49" i="5467"/>
  <c r="H7" i="5467"/>
  <c r="H13" i="5467"/>
  <c r="H15" i="5467"/>
  <c r="C19" i="5467"/>
  <c r="H21" i="5467"/>
  <c r="H30" i="5467"/>
  <c r="H34" i="5467"/>
  <c r="H38" i="5467"/>
  <c r="H42" i="5467"/>
  <c r="H46" i="5467"/>
  <c r="H50" i="5467"/>
  <c r="H3" i="5467"/>
  <c r="H6" i="5467"/>
  <c r="H9" i="5467"/>
  <c r="H12" i="5467"/>
  <c r="H17" i="5467"/>
  <c r="H19" i="5467"/>
  <c r="H22" i="5467"/>
  <c r="H24" i="5467"/>
  <c r="H27" i="5467"/>
  <c r="H31" i="5467"/>
  <c r="H35" i="5467"/>
  <c r="H39" i="5467"/>
  <c r="H43" i="5467"/>
  <c r="H47" i="5467"/>
  <c r="H51" i="5467"/>
  <c r="H5" i="5467"/>
  <c r="H11" i="5467"/>
  <c r="H14" i="5467"/>
  <c r="H16" i="5467"/>
  <c r="C18" i="5467"/>
  <c r="B23" i="5467"/>
  <c r="H25" i="5467"/>
  <c r="H28" i="5467"/>
  <c r="H32" i="5467"/>
  <c r="H36" i="5467"/>
  <c r="H40" i="5467"/>
  <c r="H44" i="5467"/>
  <c r="H48" i="5467"/>
  <c r="O18" i="5459" l="1"/>
  <c r="O20" i="5465"/>
  <c r="O15" i="5465"/>
  <c r="C27" i="5465"/>
  <c r="B24" i="5465"/>
  <c r="C20" i="5465"/>
  <c r="B17" i="5465"/>
  <c r="H52" i="5465" s="1"/>
  <c r="C16" i="5465"/>
  <c r="C15" i="5465"/>
  <c r="C14" i="5465"/>
  <c r="C13" i="5465"/>
  <c r="O12" i="5465"/>
  <c r="C12" i="5465"/>
  <c r="O11" i="5465"/>
  <c r="C11" i="5465"/>
  <c r="O10" i="5465"/>
  <c r="C10" i="5465"/>
  <c r="C9" i="5465"/>
  <c r="C8" i="5465"/>
  <c r="O7" i="5465"/>
  <c r="C7" i="5465"/>
  <c r="O6" i="5465"/>
  <c r="B6" i="5465"/>
  <c r="O5" i="5465"/>
  <c r="B5" i="5465"/>
  <c r="O4" i="5465"/>
  <c r="O3" i="5465"/>
  <c r="O2" i="5465"/>
  <c r="O20" i="5455"/>
  <c r="O18" i="5453"/>
  <c r="O21" i="5463"/>
  <c r="O19" i="5457"/>
  <c r="O18" i="5457"/>
  <c r="O19" i="5461"/>
  <c r="O22" i="5463"/>
  <c r="O23" i="5463"/>
  <c r="C27" i="5463"/>
  <c r="B24" i="5463"/>
  <c r="C20" i="5463"/>
  <c r="B17" i="5463"/>
  <c r="H50" i="5463" s="1"/>
  <c r="C16" i="5463"/>
  <c r="C15" i="5463"/>
  <c r="C14" i="5463"/>
  <c r="C13" i="5463"/>
  <c r="O12" i="5463"/>
  <c r="C12" i="5463"/>
  <c r="O11" i="5463"/>
  <c r="C11" i="5463"/>
  <c r="O10" i="5463"/>
  <c r="C10" i="5463"/>
  <c r="C9" i="5463"/>
  <c r="C8" i="5463"/>
  <c r="O7" i="5463"/>
  <c r="C7" i="5463"/>
  <c r="O6" i="5463"/>
  <c r="B6" i="5463"/>
  <c r="O5" i="5463"/>
  <c r="B5" i="5463"/>
  <c r="O4" i="5463"/>
  <c r="O3" i="5463"/>
  <c r="O2" i="5463"/>
  <c r="O20" i="5461"/>
  <c r="O18" i="5461"/>
  <c r="C27" i="5461"/>
  <c r="B24" i="5461"/>
  <c r="C20" i="5461"/>
  <c r="B17" i="5461"/>
  <c r="H50" i="5461" s="1"/>
  <c r="C16" i="5461"/>
  <c r="C15" i="5461"/>
  <c r="C14" i="5461"/>
  <c r="C13" i="5461"/>
  <c r="O12" i="5461"/>
  <c r="C12" i="5461"/>
  <c r="O11" i="5461"/>
  <c r="C11" i="5461"/>
  <c r="O10" i="5461"/>
  <c r="C10" i="5461"/>
  <c r="C9" i="5461"/>
  <c r="C8" i="5461"/>
  <c r="O7" i="5461"/>
  <c r="C7" i="5461"/>
  <c r="O6" i="5461"/>
  <c r="B6" i="5461"/>
  <c r="O5" i="5461"/>
  <c r="B5" i="5461"/>
  <c r="O4" i="5461"/>
  <c r="O3" i="5461"/>
  <c r="O2" i="5461"/>
  <c r="O19" i="5455"/>
  <c r="O23" i="5455"/>
  <c r="O21" i="5453"/>
  <c r="O23" i="5453"/>
  <c r="C17" i="5465" l="1"/>
  <c r="H4" i="5465"/>
  <c r="H10" i="5465"/>
  <c r="H2" i="5465"/>
  <c r="H8" i="5465"/>
  <c r="H4" i="5463"/>
  <c r="H2" i="5463"/>
  <c r="H4" i="5461"/>
  <c r="H2" i="5461"/>
  <c r="H26" i="5465"/>
  <c r="H41" i="5465"/>
  <c r="H13" i="5465"/>
  <c r="H15" i="5465"/>
  <c r="C19" i="5465"/>
  <c r="H21" i="5465"/>
  <c r="H30" i="5465"/>
  <c r="H34" i="5465"/>
  <c r="H38" i="5465"/>
  <c r="H42" i="5465"/>
  <c r="H46" i="5465"/>
  <c r="H50" i="5465"/>
  <c r="H20" i="5465"/>
  <c r="H33" i="5465"/>
  <c r="H49" i="5465"/>
  <c r="H3" i="5465"/>
  <c r="H6" i="5465"/>
  <c r="H9" i="5465"/>
  <c r="H12" i="5465"/>
  <c r="H17" i="5465"/>
  <c r="H19" i="5465"/>
  <c r="H22" i="5465"/>
  <c r="H24" i="5465"/>
  <c r="H27" i="5465"/>
  <c r="H31" i="5465"/>
  <c r="H35" i="5465"/>
  <c r="H39" i="5465"/>
  <c r="H43" i="5465"/>
  <c r="H47" i="5465"/>
  <c r="H51" i="5465"/>
  <c r="H18" i="5465"/>
  <c r="H23" i="5465"/>
  <c r="H29" i="5465"/>
  <c r="H37" i="5465"/>
  <c r="H45" i="5465"/>
  <c r="H7" i="5465"/>
  <c r="H5" i="5465"/>
  <c r="H11" i="5465"/>
  <c r="H14" i="5465"/>
  <c r="H16" i="5465"/>
  <c r="C18" i="5465"/>
  <c r="B23" i="5465"/>
  <c r="H25" i="5465"/>
  <c r="H28" i="5465"/>
  <c r="H32" i="5465"/>
  <c r="H36" i="5465"/>
  <c r="H40" i="5465"/>
  <c r="H44" i="5465"/>
  <c r="H48" i="5465"/>
  <c r="H22" i="5463"/>
  <c r="C17" i="5463"/>
  <c r="H39" i="5463"/>
  <c r="H31" i="5463"/>
  <c r="H25" i="5463"/>
  <c r="H9" i="5463"/>
  <c r="H12" i="5463"/>
  <c r="H14" i="5463"/>
  <c r="H3" i="5463"/>
  <c r="H6" i="5463"/>
  <c r="H11" i="5463"/>
  <c r="H17" i="5463"/>
  <c r="H47" i="5463"/>
  <c r="H5" i="5463"/>
  <c r="H8" i="5463"/>
  <c r="H10" i="5463"/>
  <c r="H10" i="5461"/>
  <c r="H16" i="5463"/>
  <c r="C18" i="5463"/>
  <c r="B23" i="5463"/>
  <c r="H32" i="5463"/>
  <c r="H40" i="5463"/>
  <c r="H48" i="5463"/>
  <c r="H19" i="5463"/>
  <c r="H27" i="5463"/>
  <c r="H35" i="5463"/>
  <c r="H43" i="5463"/>
  <c r="H51" i="5463"/>
  <c r="H24" i="5463"/>
  <c r="H28" i="5463"/>
  <c r="H36" i="5463"/>
  <c r="H44" i="5463"/>
  <c r="H52" i="5463"/>
  <c r="H18" i="5463"/>
  <c r="H20" i="5463"/>
  <c r="H23" i="5463"/>
  <c r="H26" i="5463"/>
  <c r="H29" i="5463"/>
  <c r="H33" i="5463"/>
  <c r="H37" i="5463"/>
  <c r="H41" i="5463"/>
  <c r="H45" i="5463"/>
  <c r="H49" i="5463"/>
  <c r="H7" i="5463"/>
  <c r="H13" i="5463"/>
  <c r="H15" i="5463"/>
  <c r="C19" i="5463"/>
  <c r="H21" i="5463"/>
  <c r="H30" i="5463"/>
  <c r="H34" i="5463"/>
  <c r="H38" i="5463"/>
  <c r="H42" i="5463"/>
  <c r="H46" i="5463"/>
  <c r="H8" i="5461"/>
  <c r="H22" i="5461"/>
  <c r="H25" i="5461"/>
  <c r="H31" i="5461"/>
  <c r="H39" i="5461"/>
  <c r="H47" i="5461"/>
  <c r="H15" i="5461"/>
  <c r="H48" i="5461"/>
  <c r="C17" i="5461"/>
  <c r="H19" i="5461"/>
  <c r="H32" i="5461"/>
  <c r="H3" i="5461"/>
  <c r="H9" i="5461"/>
  <c r="H35" i="5461"/>
  <c r="H43" i="5461"/>
  <c r="H51" i="5461"/>
  <c r="C19" i="5461"/>
  <c r="H7" i="5461"/>
  <c r="H13" i="5461"/>
  <c r="B23" i="5461"/>
  <c r="H40" i="5461"/>
  <c r="H6" i="5461"/>
  <c r="H12" i="5461"/>
  <c r="H17" i="5461"/>
  <c r="H27" i="5461"/>
  <c r="H5" i="5461"/>
  <c r="H11" i="5461"/>
  <c r="H14" i="5461"/>
  <c r="H16" i="5461"/>
  <c r="C18" i="5461"/>
  <c r="H21" i="5461"/>
  <c r="H24" i="5461"/>
  <c r="H28" i="5461"/>
  <c r="H36" i="5461"/>
  <c r="H44" i="5461"/>
  <c r="H52" i="5461"/>
  <c r="H18" i="5461"/>
  <c r="H20" i="5461"/>
  <c r="H23" i="5461"/>
  <c r="H26" i="5461"/>
  <c r="H29" i="5461"/>
  <c r="H33" i="5461"/>
  <c r="H37" i="5461"/>
  <c r="H41" i="5461"/>
  <c r="H45" i="5461"/>
  <c r="H49" i="5461"/>
  <c r="H30" i="5461"/>
  <c r="H34" i="5461"/>
  <c r="H38" i="5461"/>
  <c r="H42" i="5461"/>
  <c r="H46" i="5461"/>
  <c r="O17" i="5459" l="1"/>
  <c r="O20" i="5459"/>
  <c r="C27" i="5459"/>
  <c r="B24" i="5459"/>
  <c r="C20" i="5459"/>
  <c r="B17" i="5459"/>
  <c r="H52" i="5459" s="1"/>
  <c r="C16" i="5459"/>
  <c r="C15" i="5459"/>
  <c r="C14" i="5459"/>
  <c r="C13" i="5459"/>
  <c r="O12" i="5459"/>
  <c r="C12" i="5459"/>
  <c r="O11" i="5459"/>
  <c r="C11" i="5459"/>
  <c r="O10" i="5459"/>
  <c r="C10" i="5459"/>
  <c r="C9" i="5459"/>
  <c r="C8" i="5459"/>
  <c r="O7" i="5459"/>
  <c r="C7" i="5459"/>
  <c r="O6" i="5459"/>
  <c r="B6" i="5459"/>
  <c r="O5" i="5459"/>
  <c r="B5" i="5459"/>
  <c r="O4" i="5459"/>
  <c r="O3" i="5459"/>
  <c r="O2" i="5459"/>
  <c r="O22" i="5457"/>
  <c r="O16" i="5457"/>
  <c r="C27" i="5457"/>
  <c r="B24" i="5457"/>
  <c r="C20" i="5457"/>
  <c r="B17" i="5457"/>
  <c r="H52" i="5457" s="1"/>
  <c r="C16" i="5457"/>
  <c r="C15" i="5457"/>
  <c r="C14" i="5457"/>
  <c r="C13" i="5457"/>
  <c r="O12" i="5457"/>
  <c r="C12" i="5457"/>
  <c r="O11" i="5457"/>
  <c r="C11" i="5457"/>
  <c r="O10" i="5457"/>
  <c r="C10" i="5457"/>
  <c r="C9" i="5457"/>
  <c r="C8" i="5457"/>
  <c r="O7" i="5457"/>
  <c r="C7" i="5457"/>
  <c r="O6" i="5457"/>
  <c r="B6" i="5457"/>
  <c r="O5" i="5457"/>
  <c r="B5" i="5457"/>
  <c r="O4" i="5457"/>
  <c r="O3" i="5457"/>
  <c r="O2" i="5457"/>
  <c r="O24" i="5453"/>
  <c r="O17" i="5455"/>
  <c r="O22" i="5455"/>
  <c r="C27" i="5455"/>
  <c r="B24" i="5455"/>
  <c r="C20" i="5455"/>
  <c r="B17" i="5455"/>
  <c r="H5" i="5455" s="1"/>
  <c r="C16" i="5455"/>
  <c r="C15" i="5455"/>
  <c r="C14" i="5455"/>
  <c r="C13" i="5455"/>
  <c r="O12" i="5455"/>
  <c r="C12" i="5455"/>
  <c r="O11" i="5455"/>
  <c r="C11" i="5455"/>
  <c r="O10" i="5455"/>
  <c r="C10" i="5455"/>
  <c r="C9" i="5455"/>
  <c r="C8" i="5455"/>
  <c r="O7" i="5455"/>
  <c r="C7" i="5455"/>
  <c r="O6" i="5455"/>
  <c r="B6" i="5455"/>
  <c r="O5" i="5455"/>
  <c r="B5" i="5455"/>
  <c r="O4" i="5455"/>
  <c r="O3" i="5455"/>
  <c r="O2" i="5455"/>
  <c r="O15" i="5453"/>
  <c r="O20" i="5453"/>
  <c r="C27" i="5453"/>
  <c r="B24" i="5453"/>
  <c r="C20" i="5453"/>
  <c r="B17" i="5453"/>
  <c r="H18" i="5453" s="1"/>
  <c r="C16" i="5453"/>
  <c r="C15" i="5453"/>
  <c r="C14" i="5453"/>
  <c r="C13" i="5453"/>
  <c r="O12" i="5453"/>
  <c r="C12" i="5453"/>
  <c r="O11" i="5453"/>
  <c r="C11" i="5453"/>
  <c r="O10" i="5453"/>
  <c r="C10" i="5453"/>
  <c r="C9" i="5453"/>
  <c r="C8" i="5453"/>
  <c r="O7" i="5453"/>
  <c r="C7" i="5453"/>
  <c r="O6" i="5453"/>
  <c r="B6" i="5453"/>
  <c r="O5" i="5453"/>
  <c r="B5" i="5453"/>
  <c r="O4" i="5453"/>
  <c r="O3" i="5453"/>
  <c r="O2" i="5453"/>
  <c r="H19" i="5457" l="1"/>
  <c r="H2" i="5457"/>
  <c r="H14" i="5457"/>
  <c r="H3" i="5457"/>
  <c r="H12" i="5459"/>
  <c r="H7" i="5459"/>
  <c r="H44" i="5459"/>
  <c r="H11" i="5459"/>
  <c r="H4" i="5459"/>
  <c r="H30" i="5459"/>
  <c r="H9" i="5459"/>
  <c r="C17" i="5459"/>
  <c r="H23" i="5455"/>
  <c r="H12" i="5455"/>
  <c r="H38" i="5455"/>
  <c r="H4" i="5455"/>
  <c r="H2" i="5455"/>
  <c r="H7" i="5455"/>
  <c r="H30" i="5455"/>
  <c r="B23" i="5455"/>
  <c r="H10" i="5455"/>
  <c r="H40" i="5459"/>
  <c r="H17" i="5459"/>
  <c r="H21" i="5459"/>
  <c r="H19" i="5459"/>
  <c r="H48" i="5459"/>
  <c r="H3" i="5459"/>
  <c r="H2" i="5459"/>
  <c r="H10" i="5459"/>
  <c r="H16" i="5459"/>
  <c r="H13" i="5459"/>
  <c r="H36" i="5459"/>
  <c r="H6" i="5459"/>
  <c r="H28" i="5459"/>
  <c r="H29" i="5459"/>
  <c r="H31" i="5459"/>
  <c r="H22" i="5459"/>
  <c r="H23" i="5459"/>
  <c r="H34" i="5459"/>
  <c r="H38" i="5459"/>
  <c r="H42" i="5459"/>
  <c r="H46" i="5459"/>
  <c r="H50" i="5459"/>
  <c r="H8" i="5459"/>
  <c r="H26" i="5459"/>
  <c r="H20" i="5459"/>
  <c r="C19" i="5459"/>
  <c r="H15" i="5459"/>
  <c r="H24" i="5459"/>
  <c r="H35" i="5459"/>
  <c r="H39" i="5459"/>
  <c r="H43" i="5459"/>
  <c r="H47" i="5459"/>
  <c r="H51" i="5459"/>
  <c r="H5" i="5459"/>
  <c r="H25" i="5459"/>
  <c r="H27" i="5459"/>
  <c r="H14" i="5459"/>
  <c r="C18" i="5459"/>
  <c r="B23" i="5459"/>
  <c r="H18" i="5459"/>
  <c r="H32" i="5459"/>
  <c r="H33" i="5459"/>
  <c r="H37" i="5459"/>
  <c r="H41" i="5459"/>
  <c r="H45" i="5459"/>
  <c r="H49" i="5459"/>
  <c r="H10" i="5457"/>
  <c r="C18" i="5457"/>
  <c r="H29" i="5457"/>
  <c r="H6" i="5457"/>
  <c r="H20" i="5457"/>
  <c r="H41" i="5457"/>
  <c r="H24" i="5457"/>
  <c r="H11" i="5457"/>
  <c r="H23" i="5457"/>
  <c r="H49" i="5457"/>
  <c r="H4" i="5457"/>
  <c r="C19" i="5457"/>
  <c r="H45" i="5457"/>
  <c r="H8" i="5457"/>
  <c r="H22" i="5457"/>
  <c r="C17" i="5457"/>
  <c r="H15" i="5457"/>
  <c r="H27" i="5457"/>
  <c r="H9" i="5457"/>
  <c r="H7" i="5457"/>
  <c r="H12" i="5457"/>
  <c r="H21" i="5457"/>
  <c r="H17" i="5457"/>
  <c r="H13" i="5457"/>
  <c r="H37" i="5457"/>
  <c r="H5" i="5457"/>
  <c r="H30" i="5457"/>
  <c r="H31" i="5457"/>
  <c r="H32" i="5457"/>
  <c r="H25" i="5457"/>
  <c r="H16" i="5457"/>
  <c r="H28" i="5457"/>
  <c r="H39" i="5457"/>
  <c r="H43" i="5457"/>
  <c r="H47" i="5457"/>
  <c r="H51" i="5457"/>
  <c r="H26" i="5457"/>
  <c r="H36" i="5457"/>
  <c r="H40" i="5457"/>
  <c r="H44" i="5457"/>
  <c r="H48" i="5457"/>
  <c r="H18" i="5457"/>
  <c r="B23" i="5457"/>
  <c r="H33" i="5457"/>
  <c r="H34" i="5457"/>
  <c r="H35" i="5457"/>
  <c r="H38" i="5457"/>
  <c r="H42" i="5457"/>
  <c r="H46" i="5457"/>
  <c r="H50" i="5457"/>
  <c r="H2" i="5453"/>
  <c r="H3" i="5453"/>
  <c r="H4" i="5453"/>
  <c r="H36" i="5453"/>
  <c r="H11" i="5453"/>
  <c r="H32" i="5453"/>
  <c r="H12" i="5453"/>
  <c r="H16" i="5453"/>
  <c r="H24" i="5453"/>
  <c r="H7" i="5453"/>
  <c r="H23" i="5453"/>
  <c r="C18" i="5453"/>
  <c r="H46" i="5455"/>
  <c r="H6" i="5455"/>
  <c r="H11" i="5455"/>
  <c r="H3" i="5455"/>
  <c r="C18" i="5455"/>
  <c r="H52" i="5455"/>
  <c r="H21" i="5455"/>
  <c r="H31" i="5455"/>
  <c r="H17" i="5455"/>
  <c r="C19" i="5455"/>
  <c r="H24" i="5455"/>
  <c r="H40" i="5455"/>
  <c r="H48" i="5455"/>
  <c r="H27" i="5455"/>
  <c r="H35" i="5455"/>
  <c r="H42" i="5455"/>
  <c r="H50" i="5455"/>
  <c r="H8" i="5455"/>
  <c r="H25" i="5455"/>
  <c r="H22" i="5455"/>
  <c r="C17" i="5455"/>
  <c r="H14" i="5455"/>
  <c r="H36" i="5455"/>
  <c r="H44" i="5455"/>
  <c r="H15" i="5455"/>
  <c r="H32" i="5455"/>
  <c r="H33" i="5455"/>
  <c r="H20" i="5455"/>
  <c r="H34" i="5455"/>
  <c r="H18" i="5455"/>
  <c r="H29" i="5455"/>
  <c r="H39" i="5455"/>
  <c r="H43" i="5455"/>
  <c r="H47" i="5455"/>
  <c r="H51" i="5455"/>
  <c r="H19" i="5455"/>
  <c r="H16" i="5455"/>
  <c r="H26" i="5455"/>
  <c r="H13" i="5455"/>
  <c r="H9" i="5455"/>
  <c r="H28" i="5455"/>
  <c r="H37" i="5455"/>
  <c r="H41" i="5455"/>
  <c r="H45" i="5455"/>
  <c r="H49" i="5455"/>
  <c r="H33" i="5453"/>
  <c r="H28" i="5453"/>
  <c r="H42" i="5453"/>
  <c r="H10" i="5453"/>
  <c r="H6" i="5453"/>
  <c r="H20" i="5453"/>
  <c r="H19" i="5453"/>
  <c r="B23" i="5453"/>
  <c r="H26" i="5453"/>
  <c r="H49" i="5453"/>
  <c r="H50" i="5453"/>
  <c r="H15" i="5453"/>
  <c r="H9" i="5453"/>
  <c r="H38" i="5453"/>
  <c r="H45" i="5453"/>
  <c r="H5" i="5453"/>
  <c r="C17" i="5453"/>
  <c r="H13" i="5453"/>
  <c r="H29" i="5453"/>
  <c r="H39" i="5453"/>
  <c r="H46" i="5453"/>
  <c r="H52" i="5453"/>
  <c r="H34" i="5453"/>
  <c r="H35" i="5453"/>
  <c r="H25" i="5453"/>
  <c r="H30" i="5453"/>
  <c r="H17" i="5453"/>
  <c r="H31" i="5453"/>
  <c r="H40" i="5453"/>
  <c r="H43" i="5453"/>
  <c r="H47" i="5453"/>
  <c r="H51" i="5453"/>
  <c r="H8" i="5453"/>
  <c r="H21" i="5453"/>
  <c r="H27" i="5453"/>
  <c r="C19" i="5453"/>
  <c r="H14" i="5453"/>
  <c r="H22" i="5453"/>
  <c r="H37" i="5453"/>
  <c r="H41" i="5453"/>
  <c r="H44" i="5453"/>
  <c r="H48" i="545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<sst xmlns="http://schemas.openxmlformats.org/spreadsheetml/2006/main" count="3280" uniqueCount="250">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</sst>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全体!$K$2:$K$614</c:f>
              <c:numCache>
                <c:formatCode>General</c:formatCode>
                <c:ptCount val="6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</c:numCache>
            </c:numRef>
          </c:xVal>
          <c:yVal>
            <c:numRef>
              <c:f>全体!$L$2:$L$614</c:f>
              <c:numCache>
                <c:formatCode>\+0.0;\-0.0;\±0</c:formatCode>
                <c:ptCount val="613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8-4FA7-9C9E-6BFE43DB3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-13.071895424836601</c:v>
                </c:pt>
                <c:pt idx="1">
                  <c:v>-10.050251256281408</c:v>
                </c:pt>
                <c:pt idx="2">
                  <c:v>8.8652482269503547</c:v>
                </c:pt>
                <c:pt idx="3">
                  <c:v>11.695906432748538</c:v>
                </c:pt>
                <c:pt idx="4">
                  <c:v>-15.151515151515152</c:v>
                </c:pt>
                <c:pt idx="5">
                  <c:v>24.154589371980677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1-49E6-96EB-1BD1AB52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だいち!$K$2:$K$141</c:f>
              <c:numCache>
                <c:formatCode>General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だいち!$L$2:$L$141</c:f>
              <c:numCache>
                <c:formatCode>\+0.0;\-0.0;\±0</c:formatCode>
                <c:ptCount val="14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6-47A7-995F-485567487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1973.3812949640287</c:v>
                </c:pt>
                <c:pt idx="1">
                  <c:v>1253.3333333333333</c:v>
                </c:pt>
                <c:pt idx="2">
                  <c:v>1151.5625</c:v>
                </c:pt>
                <c:pt idx="3">
                  <c:v>2609.4017094017095</c:v>
                </c:pt>
                <c:pt idx="4">
                  <c:v>355.33980582524271</c:v>
                </c:pt>
                <c:pt idx="5">
                  <c:v>664.44444444444446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77-4C41-84BE-1658D0BD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りくと!$L$2:$L$120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67-BAE0-E9023756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368.64406779661016</c:v>
                </c:pt>
                <c:pt idx="1">
                  <c:v>-2328.0701754385964</c:v>
                </c:pt>
                <c:pt idx="2">
                  <c:v>192.7927927927928</c:v>
                </c:pt>
                <c:pt idx="3">
                  <c:v>142.85714285714286</c:v>
                </c:pt>
                <c:pt idx="4">
                  <c:v>390.80459770114942</c:v>
                </c:pt>
                <c:pt idx="5">
                  <c:v>555.55555555555554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44E-968D-ED398A46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8-4F16-A322-E6E13D045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-2792.4050632911394</c:v>
                </c:pt>
                <c:pt idx="1">
                  <c:v>-1070.1298701298701</c:v>
                </c:pt>
                <c:pt idx="2">
                  <c:v>-413.69863013698631</c:v>
                </c:pt>
                <c:pt idx="3">
                  <c:v>-4645.3125</c:v>
                </c:pt>
                <c:pt idx="4">
                  <c:v>-1567.2413793103449</c:v>
                </c:pt>
                <c:pt idx="5">
                  <c:v>-1477.3584905660377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420C-A01D-66F69D16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E-4E69-8ABF-3C800B4A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-372.94117647058823</c:v>
                </c:pt>
                <c:pt idx="1">
                  <c:v>791.56626506024099</c:v>
                </c:pt>
                <c:pt idx="2">
                  <c:v>1650.6493506493507</c:v>
                </c:pt>
                <c:pt idx="3">
                  <c:v>1331.3432835820895</c:v>
                </c:pt>
                <c:pt idx="4">
                  <c:v>-522.03389830508479</c:v>
                </c:pt>
                <c:pt idx="5">
                  <c:v>-285.18518518518516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9D7-920E-B810809B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9-4A4B-ABC1-290E0492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704.3478260869565</c:v>
                </c:pt>
                <c:pt idx="1">
                  <c:v>-755.07246376811599</c:v>
                </c:pt>
                <c:pt idx="2">
                  <c:v>-1608.0645161290322</c:v>
                </c:pt>
                <c:pt idx="3">
                  <c:v>715.25423728813564</c:v>
                </c:pt>
                <c:pt idx="4">
                  <c:v>943.85964912280701</c:v>
                </c:pt>
                <c:pt idx="5">
                  <c:v>-255.10204081632654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D-4546-A65B-3A3DAC7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3-4489-83E3-39C922D66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5-4A4C-9C4B-05DAEDA8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D-4579-B4FF-D538A6DE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327.45098039215685</c:v>
                </c:pt>
                <c:pt idx="1">
                  <c:v>908.33333333333337</c:v>
                </c:pt>
                <c:pt idx="2">
                  <c:v>-1147.7272727272727</c:v>
                </c:pt>
                <c:pt idx="3">
                  <c:v>1418.6046511627908</c:v>
                </c:pt>
                <c:pt idx="4">
                  <c:v>-1741.0256410256411</c:v>
                </c:pt>
                <c:pt idx="5">
                  <c:v>571.875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510-BEEC-F38F14FA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1-4DE5-8648-D77EB3D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2-46B1-AA1E-6C3FC82B3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4A7B-AA1A-808F4358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CF-9095-A2D82ED2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C-479A-827B-2592B18A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B-40F5-97CA-315E1DB3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D-4389-BE6B-29FC7C26E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355-B038-5F30E1DA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4-424F-8847-EC0E1B17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1-4C14-BE93-6A5B6F3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ただ2!$B$3:$B$82</c:f>
              <c:numCache>
                <c:formatCode>\+0.0;\-0.0;\±0</c:formatCode>
                <c:ptCount val="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ただ2!$C$3:$C$82</c:f>
              <c:numCache>
                <c:formatCode>\+0.0;\-0.0;\±0</c:formatCode>
                <c:ptCount val="80"/>
                <c:pt idx="1">
                  <c:v>-40.4</c:v>
                </c:pt>
                <c:pt idx="2">
                  <c:v>-1.6999999999999993</c:v>
                </c:pt>
                <c:pt idx="3">
                  <c:v>-7.6999999999999993</c:v>
                </c:pt>
                <c:pt idx="4">
                  <c:v>-7.85</c:v>
                </c:pt>
                <c:pt idx="5">
                  <c:v>-6.4399999999999995</c:v>
                </c:pt>
                <c:pt idx="6">
                  <c:v>-9.75</c:v>
                </c:pt>
                <c:pt idx="7">
                  <c:v>-16.685714285714287</c:v>
                </c:pt>
                <c:pt idx="8">
                  <c:v>-9.9499999999999993</c:v>
                </c:pt>
                <c:pt idx="9">
                  <c:v>-14.177777777777777</c:v>
                </c:pt>
                <c:pt idx="10">
                  <c:v>-23.139999999999997</c:v>
                </c:pt>
                <c:pt idx="11">
                  <c:v>-27.809090909090909</c:v>
                </c:pt>
                <c:pt idx="12">
                  <c:v>-28.125</c:v>
                </c:pt>
                <c:pt idx="13">
                  <c:v>-28.392307692307693</c:v>
                </c:pt>
                <c:pt idx="14">
                  <c:v>-28.185714285714287</c:v>
                </c:pt>
                <c:pt idx="15">
                  <c:v>-28.3</c:v>
                </c:pt>
                <c:pt idx="16">
                  <c:v>-29.5</c:v>
                </c:pt>
                <c:pt idx="17">
                  <c:v>-31.664705882352937</c:v>
                </c:pt>
                <c:pt idx="18">
                  <c:v>-29.844444444444441</c:v>
                </c:pt>
                <c:pt idx="19">
                  <c:v>-29.973684210526311</c:v>
                </c:pt>
                <c:pt idx="20">
                  <c:v>-31.649999999999995</c:v>
                </c:pt>
                <c:pt idx="21">
                  <c:v>-29.976190476190471</c:v>
                </c:pt>
                <c:pt idx="22">
                  <c:v>-30.463636363636361</c:v>
                </c:pt>
                <c:pt idx="23">
                  <c:v>-32.052173913043475</c:v>
                </c:pt>
                <c:pt idx="24">
                  <c:v>-34.045833333333327</c:v>
                </c:pt>
                <c:pt idx="25">
                  <c:v>-31.347999999999999</c:v>
                </c:pt>
                <c:pt idx="26">
                  <c:v>-31.480769230769226</c:v>
                </c:pt>
                <c:pt idx="27">
                  <c:v>-32.451851851851849</c:v>
                </c:pt>
                <c:pt idx="28">
                  <c:v>-33.253571428571426</c:v>
                </c:pt>
                <c:pt idx="29">
                  <c:v>-31.334482758620688</c:v>
                </c:pt>
                <c:pt idx="30">
                  <c:v>-27.56</c:v>
                </c:pt>
                <c:pt idx="31">
                  <c:v>-26.958064516129031</c:v>
                </c:pt>
                <c:pt idx="32">
                  <c:v>-26.209374999999998</c:v>
                </c:pt>
                <c:pt idx="33">
                  <c:v>-26.61212121212121</c:v>
                </c:pt>
                <c:pt idx="34">
                  <c:v>-24.505882352941175</c:v>
                </c:pt>
                <c:pt idx="35">
                  <c:v>-23.302857142857139</c:v>
                </c:pt>
                <c:pt idx="36">
                  <c:v>-21.763888888888886</c:v>
                </c:pt>
                <c:pt idx="37">
                  <c:v>-22.348648648648645</c:v>
                </c:pt>
                <c:pt idx="38">
                  <c:v>-21.84210526315789</c:v>
                </c:pt>
                <c:pt idx="39">
                  <c:v>-20.161538461538459</c:v>
                </c:pt>
                <c:pt idx="40">
                  <c:v>-20.514999999999993</c:v>
                </c:pt>
                <c:pt idx="41">
                  <c:v>-20.963414634146336</c:v>
                </c:pt>
                <c:pt idx="42">
                  <c:v>-19.73571428571428</c:v>
                </c:pt>
                <c:pt idx="43">
                  <c:v>-18.306976744186041</c:v>
                </c:pt>
                <c:pt idx="44">
                  <c:v>-16.927272727272722</c:v>
                </c:pt>
                <c:pt idx="45">
                  <c:v>-17.442222222222217</c:v>
                </c:pt>
                <c:pt idx="46">
                  <c:v>-16.063043478260862</c:v>
                </c:pt>
                <c:pt idx="47">
                  <c:v>-15.765957446808505</c:v>
                </c:pt>
                <c:pt idx="48">
                  <c:v>-14.570833333333328</c:v>
                </c:pt>
                <c:pt idx="49">
                  <c:v>-14.593877551020404</c:v>
                </c:pt>
                <c:pt idx="50">
                  <c:v>-15.485999999999997</c:v>
                </c:pt>
                <c:pt idx="51">
                  <c:v>-16.290196078431368</c:v>
                </c:pt>
                <c:pt idx="52">
                  <c:v>-16.107692307692304</c:v>
                </c:pt>
                <c:pt idx="53">
                  <c:v>-15.918867924528298</c:v>
                </c:pt>
                <c:pt idx="54">
                  <c:v>-16.720370370370368</c:v>
                </c:pt>
                <c:pt idx="55">
                  <c:v>-15.185454545454542</c:v>
                </c:pt>
                <c:pt idx="56">
                  <c:v>-15.458928571428569</c:v>
                </c:pt>
                <c:pt idx="57">
                  <c:v>-15.061403508771926</c:v>
                </c:pt>
                <c:pt idx="58">
                  <c:v>-15.125862068965512</c:v>
                </c:pt>
                <c:pt idx="59">
                  <c:v>-15.944067796610165</c:v>
                </c:pt>
                <c:pt idx="60">
                  <c:v>-16.016666666666662</c:v>
                </c:pt>
                <c:pt idx="61">
                  <c:v>-15.150819672131142</c:v>
                </c:pt>
                <c:pt idx="62">
                  <c:v>-15.646774193548382</c:v>
                </c:pt>
                <c:pt idx="63">
                  <c:v>-16.080952380952375</c:v>
                </c:pt>
                <c:pt idx="64">
                  <c:v>-16.501562499999995</c:v>
                </c:pt>
                <c:pt idx="65">
                  <c:v>-16.663076923076918</c:v>
                </c:pt>
                <c:pt idx="66">
                  <c:v>-17.015151515151512</c:v>
                </c:pt>
                <c:pt idx="67">
                  <c:v>-16.773134328358204</c:v>
                </c:pt>
                <c:pt idx="68">
                  <c:v>-15.685294117647054</c:v>
                </c:pt>
                <c:pt idx="69">
                  <c:v>-16.163768115942027</c:v>
                </c:pt>
                <c:pt idx="70">
                  <c:v>-16.728571428571424</c:v>
                </c:pt>
                <c:pt idx="71">
                  <c:v>-15.921126760563379</c:v>
                </c:pt>
                <c:pt idx="72">
                  <c:v>-15.690277777777775</c:v>
                </c:pt>
                <c:pt idx="73">
                  <c:v>-14.953424657534246</c:v>
                </c:pt>
                <c:pt idx="74">
                  <c:v>-15.535135135135134</c:v>
                </c:pt>
                <c:pt idx="75">
                  <c:v>-15.305333333333332</c:v>
                </c:pt>
                <c:pt idx="76">
                  <c:v>-15.57894736842105</c:v>
                </c:pt>
                <c:pt idx="77">
                  <c:v>-14.753246753246751</c:v>
                </c:pt>
                <c:pt idx="78">
                  <c:v>-14.998717948717948</c:v>
                </c:pt>
                <c:pt idx="79">
                  <c:v>-15.526582278481012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64407016836666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ただ2!$D$3:$D$82</c:f>
              <c:numCache>
                <c:formatCode>0.00\ "位"</c:formatCode>
                <c:ptCount val="80"/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2.1666666666666665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2.5652173913043477</c:v>
                </c:pt>
                <c:pt idx="24">
                  <c:v>2.5833333333333335</c:v>
                </c:pt>
                <c:pt idx="25">
                  <c:v>2.52</c:v>
                </c:pt>
                <c:pt idx="26">
                  <c:v>2.5384615384615383</c:v>
                </c:pt>
                <c:pt idx="27">
                  <c:v>2.5555555555555554</c:v>
                </c:pt>
                <c:pt idx="28">
                  <c:v>2.5714285714285716</c:v>
                </c:pt>
                <c:pt idx="29">
                  <c:v>2.5172413793103448</c:v>
                </c:pt>
                <c:pt idx="30">
                  <c:v>2.4666666666666668</c:v>
                </c:pt>
                <c:pt idx="31">
                  <c:v>2.4516129032258065</c:v>
                </c:pt>
                <c:pt idx="32">
                  <c:v>2.4375</c:v>
                </c:pt>
                <c:pt idx="33">
                  <c:v>2.4545454545454546</c:v>
                </c:pt>
                <c:pt idx="34">
                  <c:v>2.4117647058823528</c:v>
                </c:pt>
                <c:pt idx="35">
                  <c:v>2.4</c:v>
                </c:pt>
                <c:pt idx="36">
                  <c:v>2.3611111111111112</c:v>
                </c:pt>
                <c:pt idx="37">
                  <c:v>2.3783783783783785</c:v>
                </c:pt>
                <c:pt idx="38">
                  <c:v>2.3684210526315788</c:v>
                </c:pt>
                <c:pt idx="39">
                  <c:v>2.3333333333333335</c:v>
                </c:pt>
                <c:pt idx="40">
                  <c:v>2.35</c:v>
                </c:pt>
                <c:pt idx="41">
                  <c:v>2.3658536585365852</c:v>
                </c:pt>
                <c:pt idx="42">
                  <c:v>2.3333333333333335</c:v>
                </c:pt>
                <c:pt idx="43">
                  <c:v>2.3023255813953489</c:v>
                </c:pt>
                <c:pt idx="44">
                  <c:v>2.2727272727272729</c:v>
                </c:pt>
                <c:pt idx="45">
                  <c:v>2.2888888888888888</c:v>
                </c:pt>
                <c:pt idx="46">
                  <c:v>2.2608695652173911</c:v>
                </c:pt>
                <c:pt idx="47">
                  <c:v>2.2553191489361701</c:v>
                </c:pt>
                <c:pt idx="48">
                  <c:v>2.2291666666666665</c:v>
                </c:pt>
                <c:pt idx="49">
                  <c:v>2.2244897959183674</c:v>
                </c:pt>
                <c:pt idx="50">
                  <c:v>2.2400000000000002</c:v>
                </c:pt>
                <c:pt idx="51">
                  <c:v>2.2549019607843137</c:v>
                </c:pt>
                <c:pt idx="52">
                  <c:v>2.25</c:v>
                </c:pt>
                <c:pt idx="53">
                  <c:v>2.2452830188679247</c:v>
                </c:pt>
                <c:pt idx="54">
                  <c:v>2.2592592592592591</c:v>
                </c:pt>
                <c:pt idx="55">
                  <c:v>2.2363636363636363</c:v>
                </c:pt>
                <c:pt idx="56">
                  <c:v>2.25</c:v>
                </c:pt>
                <c:pt idx="57">
                  <c:v>2.2456140350877192</c:v>
                </c:pt>
                <c:pt idx="58">
                  <c:v>2.2413793103448274</c:v>
                </c:pt>
                <c:pt idx="59">
                  <c:v>2.2542372881355934</c:v>
                </c:pt>
                <c:pt idx="60">
                  <c:v>2.25</c:v>
                </c:pt>
                <c:pt idx="61">
                  <c:v>2.2295081967213113</c:v>
                </c:pt>
                <c:pt idx="62">
                  <c:v>2.2419354838709675</c:v>
                </c:pt>
                <c:pt idx="63">
                  <c:v>2.253968253968254</c:v>
                </c:pt>
                <c:pt idx="64">
                  <c:v>2.265625</c:v>
                </c:pt>
                <c:pt idx="65">
                  <c:v>2.2769230769230768</c:v>
                </c:pt>
                <c:pt idx="66">
                  <c:v>2.2878787878787881</c:v>
                </c:pt>
                <c:pt idx="67">
                  <c:v>2.283582089552239</c:v>
                </c:pt>
                <c:pt idx="68">
                  <c:v>2.2647058823529411</c:v>
                </c:pt>
                <c:pt idx="69">
                  <c:v>2.2753623188405796</c:v>
                </c:pt>
                <c:pt idx="70">
                  <c:v>2.2857142857142856</c:v>
                </c:pt>
                <c:pt idx="71">
                  <c:v>2.267605633802817</c:v>
                </c:pt>
                <c:pt idx="72">
                  <c:v>2.2638888888888888</c:v>
                </c:pt>
                <c:pt idx="73">
                  <c:v>2.2465753424657535</c:v>
                </c:pt>
                <c:pt idx="74">
                  <c:v>2.2567567567567566</c:v>
                </c:pt>
                <c:pt idx="75">
                  <c:v>2.2533333333333334</c:v>
                </c:pt>
                <c:pt idx="76">
                  <c:v>2.263157894736842</c:v>
                </c:pt>
                <c:pt idx="77">
                  <c:v>2.2467532467532467</c:v>
                </c:pt>
                <c:pt idx="78">
                  <c:v>2.2564102564102564</c:v>
                </c:pt>
                <c:pt idx="79">
                  <c:v>2.2658227848101267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ただ2!$E$3:$E$82</c:f>
              <c:numCache>
                <c:formatCode>0.0%</c:formatCode>
                <c:ptCount val="80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0.21428571428571427</c:v>
                </c:pt>
                <c:pt idx="43">
                  <c:v>0.23255813953488372</c:v>
                </c:pt>
                <c:pt idx="44">
                  <c:v>0.25</c:v>
                </c:pt>
                <c:pt idx="45">
                  <c:v>0.24444444444444444</c:v>
                </c:pt>
                <c:pt idx="46">
                  <c:v>0.2608695652173913</c:v>
                </c:pt>
                <c:pt idx="47">
                  <c:v>0.25531914893617019</c:v>
                </c:pt>
                <c:pt idx="48">
                  <c:v>0.27083333333333331</c:v>
                </c:pt>
                <c:pt idx="49">
                  <c:v>0.26530612244897961</c:v>
                </c:pt>
                <c:pt idx="50">
                  <c:v>0.26</c:v>
                </c:pt>
                <c:pt idx="51">
                  <c:v>0.25490196078431371</c:v>
                </c:pt>
                <c:pt idx="52">
                  <c:v>0.25</c:v>
                </c:pt>
                <c:pt idx="53">
                  <c:v>0.24528301886792453</c:v>
                </c:pt>
                <c:pt idx="54">
                  <c:v>0.24074074074074073</c:v>
                </c:pt>
                <c:pt idx="55">
                  <c:v>0.25454545454545452</c:v>
                </c:pt>
                <c:pt idx="56">
                  <c:v>0.25</c:v>
                </c:pt>
                <c:pt idx="57">
                  <c:v>0.24561403508771928</c:v>
                </c:pt>
                <c:pt idx="58">
                  <c:v>0.2413793103448276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0.24590163934426229</c:v>
                </c:pt>
                <c:pt idx="62">
                  <c:v>0.24193548387096775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0.23529411764705882</c:v>
                </c:pt>
                <c:pt idx="69">
                  <c:v>0.2318840579710145</c:v>
                </c:pt>
                <c:pt idx="70">
                  <c:v>0.22857142857142856</c:v>
                </c:pt>
                <c:pt idx="71">
                  <c:v>0.23943661971830985</c:v>
                </c:pt>
                <c:pt idx="72">
                  <c:v>0.2361111111111111</c:v>
                </c:pt>
                <c:pt idx="73">
                  <c:v>0.24657534246575341</c:v>
                </c:pt>
                <c:pt idx="74">
                  <c:v>0.24324324324324326</c:v>
                </c:pt>
                <c:pt idx="75">
                  <c:v>0.24</c:v>
                </c:pt>
                <c:pt idx="76">
                  <c:v>0.23684210526315788</c:v>
                </c:pt>
                <c:pt idx="77">
                  <c:v>0.24675324675324675</c:v>
                </c:pt>
                <c:pt idx="78">
                  <c:v>0.24358974358974358</c:v>
                </c:pt>
                <c:pt idx="79">
                  <c:v>0.24050632911392406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ただ2!$F$3:$F$82</c:f>
              <c:numCache>
                <c:formatCode>0.0%</c:formatCode>
                <c:ptCount val="8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0.61538461538461542</c:v>
                </c:pt>
                <c:pt idx="14">
                  <c:v>0.5714285714285714</c:v>
                </c:pt>
                <c:pt idx="15">
                  <c:v>0.6</c:v>
                </c:pt>
                <c:pt idx="16">
                  <c:v>0.625</c:v>
                </c:pt>
                <c:pt idx="17">
                  <c:v>0.6470588235294118</c:v>
                </c:pt>
                <c:pt idx="18">
                  <c:v>0.61111111111111116</c:v>
                </c:pt>
                <c:pt idx="19">
                  <c:v>0.63157894736842102</c:v>
                </c:pt>
                <c:pt idx="20">
                  <c:v>0.65</c:v>
                </c:pt>
                <c:pt idx="21">
                  <c:v>0.61904761904761907</c:v>
                </c:pt>
                <c:pt idx="22">
                  <c:v>0.63636363636363635</c:v>
                </c:pt>
                <c:pt idx="23">
                  <c:v>0.65217391304347827</c:v>
                </c:pt>
                <c:pt idx="24">
                  <c:v>0.66666666666666663</c:v>
                </c:pt>
                <c:pt idx="25">
                  <c:v>0.64</c:v>
                </c:pt>
                <c:pt idx="26">
                  <c:v>0.65384615384615385</c:v>
                </c:pt>
                <c:pt idx="27">
                  <c:v>0.66666666666666663</c:v>
                </c:pt>
                <c:pt idx="28">
                  <c:v>0.6785714285714286</c:v>
                </c:pt>
                <c:pt idx="29">
                  <c:v>0.65517241379310343</c:v>
                </c:pt>
                <c:pt idx="30">
                  <c:v>0.6333333333333333</c:v>
                </c:pt>
                <c:pt idx="31">
                  <c:v>0.61290322580645162</c:v>
                </c:pt>
                <c:pt idx="32">
                  <c:v>0.59375</c:v>
                </c:pt>
                <c:pt idx="33">
                  <c:v>0.60606060606060608</c:v>
                </c:pt>
                <c:pt idx="34">
                  <c:v>0.58823529411764708</c:v>
                </c:pt>
                <c:pt idx="35">
                  <c:v>0.5714285714285714</c:v>
                </c:pt>
                <c:pt idx="36">
                  <c:v>0.55555555555555558</c:v>
                </c:pt>
                <c:pt idx="37">
                  <c:v>0.56756756756756754</c:v>
                </c:pt>
                <c:pt idx="38">
                  <c:v>0.55263157894736847</c:v>
                </c:pt>
                <c:pt idx="39">
                  <c:v>0.53846153846153844</c:v>
                </c:pt>
                <c:pt idx="40">
                  <c:v>0.55000000000000004</c:v>
                </c:pt>
                <c:pt idx="41">
                  <c:v>0.56097560975609762</c:v>
                </c:pt>
                <c:pt idx="42">
                  <c:v>0.54761904761904767</c:v>
                </c:pt>
                <c:pt idx="43">
                  <c:v>0.53488372093023251</c:v>
                </c:pt>
                <c:pt idx="44">
                  <c:v>0.52272727272727271</c:v>
                </c:pt>
                <c:pt idx="45">
                  <c:v>0.53333333333333333</c:v>
                </c:pt>
                <c:pt idx="46">
                  <c:v>0.52173913043478259</c:v>
                </c:pt>
                <c:pt idx="47">
                  <c:v>0.51063829787234039</c:v>
                </c:pt>
                <c:pt idx="48">
                  <c:v>0.5</c:v>
                </c:pt>
                <c:pt idx="49">
                  <c:v>0.48979591836734693</c:v>
                </c:pt>
                <c:pt idx="50">
                  <c:v>0.5</c:v>
                </c:pt>
                <c:pt idx="51">
                  <c:v>0.50980392156862742</c:v>
                </c:pt>
                <c:pt idx="52">
                  <c:v>0.5</c:v>
                </c:pt>
                <c:pt idx="53">
                  <c:v>0.49056603773584906</c:v>
                </c:pt>
                <c:pt idx="54">
                  <c:v>0.5</c:v>
                </c:pt>
                <c:pt idx="55">
                  <c:v>0.49090909090909091</c:v>
                </c:pt>
                <c:pt idx="56">
                  <c:v>0.5</c:v>
                </c:pt>
                <c:pt idx="57">
                  <c:v>0.49122807017543857</c:v>
                </c:pt>
                <c:pt idx="58">
                  <c:v>0.48275862068965519</c:v>
                </c:pt>
                <c:pt idx="59">
                  <c:v>0.49152542372881358</c:v>
                </c:pt>
                <c:pt idx="60">
                  <c:v>0.48333333333333334</c:v>
                </c:pt>
                <c:pt idx="61">
                  <c:v>0.47540983606557374</c:v>
                </c:pt>
                <c:pt idx="62">
                  <c:v>0.4838709677419355</c:v>
                </c:pt>
                <c:pt idx="63">
                  <c:v>0.49206349206349204</c:v>
                </c:pt>
                <c:pt idx="64">
                  <c:v>0.5</c:v>
                </c:pt>
                <c:pt idx="65">
                  <c:v>0.50769230769230766</c:v>
                </c:pt>
                <c:pt idx="66">
                  <c:v>0.51515151515151514</c:v>
                </c:pt>
                <c:pt idx="67">
                  <c:v>0.5074626865671642</c:v>
                </c:pt>
                <c:pt idx="68">
                  <c:v>0.5</c:v>
                </c:pt>
                <c:pt idx="69">
                  <c:v>0.50724637681159424</c:v>
                </c:pt>
                <c:pt idx="70">
                  <c:v>0.51428571428571423</c:v>
                </c:pt>
                <c:pt idx="71">
                  <c:v>0.50704225352112675</c:v>
                </c:pt>
                <c:pt idx="72">
                  <c:v>0.5</c:v>
                </c:pt>
                <c:pt idx="73">
                  <c:v>0.49315068493150682</c:v>
                </c:pt>
                <c:pt idx="74">
                  <c:v>0.5</c:v>
                </c:pt>
                <c:pt idx="75">
                  <c:v>0.49333333333333335</c:v>
                </c:pt>
                <c:pt idx="76">
                  <c:v>0.5</c:v>
                </c:pt>
                <c:pt idx="77">
                  <c:v>0.4935064935064935</c:v>
                </c:pt>
                <c:pt idx="78">
                  <c:v>0.5</c:v>
                </c:pt>
                <c:pt idx="79">
                  <c:v>0.50632911392405067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ただ2!$G$3:$G$82</c:f>
              <c:numCache>
                <c:formatCode>0.0%</c:formatCode>
                <c:ptCount val="80"/>
                <c:pt idx="1">
                  <c:v>0.16666666666666666</c:v>
                </c:pt>
                <c:pt idx="2">
                  <c:v>0.375</c:v>
                </c:pt>
                <c:pt idx="3">
                  <c:v>0.30769230769230771</c:v>
                </c:pt>
                <c:pt idx="4">
                  <c:v>0.27272727272727271</c:v>
                </c:pt>
                <c:pt idx="5">
                  <c:v>0.30232558139534882</c:v>
                </c:pt>
                <c:pt idx="6">
                  <c:v>0.28846153846153844</c:v>
                </c:pt>
                <c:pt idx="7">
                  <c:v>0.26785714285714285</c:v>
                </c:pt>
                <c:pt idx="8">
                  <c:v>0.2857142857142857</c:v>
                </c:pt>
                <c:pt idx="9">
                  <c:v>0.25333333333333335</c:v>
                </c:pt>
                <c:pt idx="10">
                  <c:v>0.23595505617977527</c:v>
                </c:pt>
                <c:pt idx="11">
                  <c:v>0.20588235294117646</c:v>
                </c:pt>
                <c:pt idx="12">
                  <c:v>0.21428571428571427</c:v>
                </c:pt>
                <c:pt idx="13">
                  <c:v>0.22131147540983606</c:v>
                </c:pt>
                <c:pt idx="14">
                  <c:v>0.2109375</c:v>
                </c:pt>
                <c:pt idx="15">
                  <c:v>0.20588235294117646</c:v>
                </c:pt>
                <c:pt idx="16">
                  <c:v>0.19594594594594594</c:v>
                </c:pt>
                <c:pt idx="17">
                  <c:v>0.18954248366013071</c:v>
                </c:pt>
                <c:pt idx="18">
                  <c:v>0.19875776397515527</c:v>
                </c:pt>
                <c:pt idx="19">
                  <c:v>0.19526627218934911</c:v>
                </c:pt>
                <c:pt idx="20">
                  <c:v>0.19075144508670519</c:v>
                </c:pt>
                <c:pt idx="21">
                  <c:v>0.18994413407821228</c:v>
                </c:pt>
                <c:pt idx="22">
                  <c:v>0.18817204301075269</c:v>
                </c:pt>
                <c:pt idx="23">
                  <c:v>0.18324607329842932</c:v>
                </c:pt>
                <c:pt idx="24">
                  <c:v>0.18181818181818182</c:v>
                </c:pt>
                <c:pt idx="25">
                  <c:v>0.1941747572815534</c:v>
                </c:pt>
                <c:pt idx="26">
                  <c:v>0.19339622641509435</c:v>
                </c:pt>
                <c:pt idx="27">
                  <c:v>0.18468468468468469</c:v>
                </c:pt>
                <c:pt idx="28">
                  <c:v>0.1774891774891775</c:v>
                </c:pt>
                <c:pt idx="29">
                  <c:v>0.1875</c:v>
                </c:pt>
                <c:pt idx="30">
                  <c:v>0.19678714859437751</c:v>
                </c:pt>
                <c:pt idx="31">
                  <c:v>0.19607843137254902</c:v>
                </c:pt>
                <c:pt idx="32">
                  <c:v>0.19548872180451127</c:v>
                </c:pt>
                <c:pt idx="33">
                  <c:v>0.19708029197080293</c:v>
                </c:pt>
                <c:pt idx="34">
                  <c:v>0.20143884892086331</c:v>
                </c:pt>
                <c:pt idx="35">
                  <c:v>0.20494699646643111</c:v>
                </c:pt>
                <c:pt idx="36">
                  <c:v>0.21232876712328766</c:v>
                </c:pt>
                <c:pt idx="37">
                  <c:v>0.21</c:v>
                </c:pt>
                <c:pt idx="38">
                  <c:v>0.21035598705501618</c:v>
                </c:pt>
                <c:pt idx="39">
                  <c:v>0.21766561514195584</c:v>
                </c:pt>
                <c:pt idx="40">
                  <c:v>0.21362229102167182</c:v>
                </c:pt>
                <c:pt idx="41">
                  <c:v>0.21212121212121213</c:v>
                </c:pt>
                <c:pt idx="42">
                  <c:v>0.21301775147928995</c:v>
                </c:pt>
                <c:pt idx="43">
                  <c:v>0.21511627906976744</c:v>
                </c:pt>
                <c:pt idx="44">
                  <c:v>0.22033898305084745</c:v>
                </c:pt>
                <c:pt idx="45">
                  <c:v>0.21944444444444444</c:v>
                </c:pt>
                <c:pt idx="46">
                  <c:v>0.22191780821917809</c:v>
                </c:pt>
                <c:pt idx="47">
                  <c:v>0.21983914209115282</c:v>
                </c:pt>
                <c:pt idx="48">
                  <c:v>0.22105263157894736</c:v>
                </c:pt>
                <c:pt idx="49">
                  <c:v>0.22474747474747475</c:v>
                </c:pt>
                <c:pt idx="50">
                  <c:v>0.22167487684729065</c:v>
                </c:pt>
                <c:pt idx="51">
                  <c:v>0.22168674698795179</c:v>
                </c:pt>
                <c:pt idx="52">
                  <c:v>0.22405660377358491</c:v>
                </c:pt>
                <c:pt idx="53">
                  <c:v>0.22401847575057737</c:v>
                </c:pt>
                <c:pt idx="54">
                  <c:v>0.22247706422018348</c:v>
                </c:pt>
                <c:pt idx="55">
                  <c:v>0.22902494331065759</c:v>
                </c:pt>
                <c:pt idx="56">
                  <c:v>0.22538293216630198</c:v>
                </c:pt>
                <c:pt idx="57">
                  <c:v>0.22698072805139186</c:v>
                </c:pt>
                <c:pt idx="58">
                  <c:v>0.22669491525423729</c:v>
                </c:pt>
                <c:pt idx="59">
                  <c:v>0.22641509433962265</c:v>
                </c:pt>
                <c:pt idx="60">
                  <c:v>0.22810590631364563</c:v>
                </c:pt>
                <c:pt idx="61">
                  <c:v>0.2289156626506024</c:v>
                </c:pt>
                <c:pt idx="62">
                  <c:v>0.22593320235756384</c:v>
                </c:pt>
                <c:pt idx="63">
                  <c:v>0.22605363984674329</c:v>
                </c:pt>
                <c:pt idx="64">
                  <c:v>0.22641509433962265</c:v>
                </c:pt>
                <c:pt idx="65">
                  <c:v>0.22574626865671643</c:v>
                </c:pt>
                <c:pt idx="66">
                  <c:v>0.22324723247232472</c:v>
                </c:pt>
                <c:pt idx="67">
                  <c:v>0.22603978300180833</c:v>
                </c:pt>
                <c:pt idx="68">
                  <c:v>0.23131672597864769</c:v>
                </c:pt>
                <c:pt idx="69">
                  <c:v>0.22902097902097901</c:v>
                </c:pt>
                <c:pt idx="70">
                  <c:v>0.22797927461139897</c:v>
                </c:pt>
                <c:pt idx="71">
                  <c:v>0.22920203735144312</c:v>
                </c:pt>
                <c:pt idx="72">
                  <c:v>0.23</c:v>
                </c:pt>
                <c:pt idx="73">
                  <c:v>0.23393739703459637</c:v>
                </c:pt>
                <c:pt idx="74">
                  <c:v>0.233387358184765</c:v>
                </c:pt>
                <c:pt idx="75">
                  <c:v>0.23162939297124602</c:v>
                </c:pt>
                <c:pt idx="76">
                  <c:v>0.23064770932069512</c:v>
                </c:pt>
                <c:pt idx="77">
                  <c:v>0.23556942277691106</c:v>
                </c:pt>
                <c:pt idx="78">
                  <c:v>0.23538461538461539</c:v>
                </c:pt>
                <c:pt idx="79">
                  <c:v>0.23404255319148937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ただ2!$H$3:$H$82</c:f>
              <c:numCache>
                <c:formatCode>0.0%</c:formatCode>
                <c:ptCount val="80"/>
                <c:pt idx="1">
                  <c:v>0.33333333333333331</c:v>
                </c:pt>
                <c:pt idx="2">
                  <c:v>0.25</c:v>
                </c:pt>
                <c:pt idx="3">
                  <c:v>0.26923076923076922</c:v>
                </c:pt>
                <c:pt idx="4">
                  <c:v>0.24242424242424243</c:v>
                </c:pt>
                <c:pt idx="5">
                  <c:v>0.2558139534883721</c:v>
                </c:pt>
                <c:pt idx="6">
                  <c:v>0.26923076923076922</c:v>
                </c:pt>
                <c:pt idx="7">
                  <c:v>0.2857142857142857</c:v>
                </c:pt>
                <c:pt idx="8">
                  <c:v>0.25396825396825395</c:v>
                </c:pt>
                <c:pt idx="9">
                  <c:v>0.24</c:v>
                </c:pt>
                <c:pt idx="10">
                  <c:v>0.25842696629213485</c:v>
                </c:pt>
                <c:pt idx="11">
                  <c:v>0.24509803921568626</c:v>
                </c:pt>
                <c:pt idx="12">
                  <c:v>0.22321428571428573</c:v>
                </c:pt>
                <c:pt idx="13">
                  <c:v>0.21311475409836064</c:v>
                </c:pt>
                <c:pt idx="14">
                  <c:v>0.21875</c:v>
                </c:pt>
                <c:pt idx="15">
                  <c:v>0.21323529411764705</c:v>
                </c:pt>
                <c:pt idx="16">
                  <c:v>0.20945945945945946</c:v>
                </c:pt>
                <c:pt idx="17">
                  <c:v>0.21568627450980393</c:v>
                </c:pt>
                <c:pt idx="18">
                  <c:v>0.21739130434782608</c:v>
                </c:pt>
                <c:pt idx="19">
                  <c:v>0.21893491124260356</c:v>
                </c:pt>
                <c:pt idx="20">
                  <c:v>0.22543352601156069</c:v>
                </c:pt>
                <c:pt idx="21">
                  <c:v>0.21787709497206703</c:v>
                </c:pt>
                <c:pt idx="22">
                  <c:v>0.22043010752688172</c:v>
                </c:pt>
                <c:pt idx="23">
                  <c:v>0.21989528795811519</c:v>
                </c:pt>
                <c:pt idx="24">
                  <c:v>0.21717171717171718</c:v>
                </c:pt>
                <c:pt idx="25">
                  <c:v>0.21844660194174756</c:v>
                </c:pt>
                <c:pt idx="26">
                  <c:v>0.22641509433962265</c:v>
                </c:pt>
                <c:pt idx="27">
                  <c:v>0.22972972972972974</c:v>
                </c:pt>
                <c:pt idx="28">
                  <c:v>0.22077922077922077</c:v>
                </c:pt>
                <c:pt idx="29">
                  <c:v>0.22083333333333333</c:v>
                </c:pt>
                <c:pt idx="30">
                  <c:v>0.21285140562248997</c:v>
                </c:pt>
                <c:pt idx="31">
                  <c:v>0.20784313725490197</c:v>
                </c:pt>
                <c:pt idx="32">
                  <c:v>0.19924812030075187</c:v>
                </c:pt>
                <c:pt idx="33">
                  <c:v>0.19708029197080293</c:v>
                </c:pt>
                <c:pt idx="34">
                  <c:v>0.19424460431654678</c:v>
                </c:pt>
                <c:pt idx="35">
                  <c:v>0.19434628975265017</c:v>
                </c:pt>
                <c:pt idx="36">
                  <c:v>0.19178082191780821</c:v>
                </c:pt>
                <c:pt idx="37">
                  <c:v>0.19333333333333333</c:v>
                </c:pt>
                <c:pt idx="38">
                  <c:v>0.1941747572815534</c:v>
                </c:pt>
                <c:pt idx="39">
                  <c:v>0.19242902208201892</c:v>
                </c:pt>
                <c:pt idx="40">
                  <c:v>0.19504643962848298</c:v>
                </c:pt>
                <c:pt idx="41">
                  <c:v>0.19696969696969696</c:v>
                </c:pt>
                <c:pt idx="42">
                  <c:v>0.19526627218934911</c:v>
                </c:pt>
                <c:pt idx="43">
                  <c:v>0.19186046511627908</c:v>
                </c:pt>
                <c:pt idx="44">
                  <c:v>0.19491525423728814</c:v>
                </c:pt>
                <c:pt idx="45">
                  <c:v>0.2</c:v>
                </c:pt>
                <c:pt idx="46">
                  <c:v>0.19726027397260273</c:v>
                </c:pt>
                <c:pt idx="47">
                  <c:v>0.19839142091152814</c:v>
                </c:pt>
                <c:pt idx="48">
                  <c:v>0.19473684210526315</c:v>
                </c:pt>
                <c:pt idx="49">
                  <c:v>0.19191919191919191</c:v>
                </c:pt>
                <c:pt idx="50">
                  <c:v>0.19458128078817735</c:v>
                </c:pt>
                <c:pt idx="51">
                  <c:v>0.19759036144578312</c:v>
                </c:pt>
                <c:pt idx="52">
                  <c:v>0.19811320754716982</c:v>
                </c:pt>
                <c:pt idx="53">
                  <c:v>0.19861431870669746</c:v>
                </c:pt>
                <c:pt idx="54">
                  <c:v>0.20412844036697247</c:v>
                </c:pt>
                <c:pt idx="55">
                  <c:v>0.20181405895691609</c:v>
                </c:pt>
                <c:pt idx="56">
                  <c:v>0.19693654266958424</c:v>
                </c:pt>
                <c:pt idx="57">
                  <c:v>0.19486081370449679</c:v>
                </c:pt>
                <c:pt idx="58">
                  <c:v>0.19279661016949154</c:v>
                </c:pt>
                <c:pt idx="59">
                  <c:v>0.19287211740041929</c:v>
                </c:pt>
                <c:pt idx="60">
                  <c:v>0.19144602851323828</c:v>
                </c:pt>
                <c:pt idx="61">
                  <c:v>0.19277108433734941</c:v>
                </c:pt>
                <c:pt idx="62">
                  <c:v>0.19646365422396855</c:v>
                </c:pt>
                <c:pt idx="63">
                  <c:v>0.19731800766283525</c:v>
                </c:pt>
                <c:pt idx="64">
                  <c:v>0.19622641509433963</c:v>
                </c:pt>
                <c:pt idx="65">
                  <c:v>0.19589552238805971</c:v>
                </c:pt>
                <c:pt idx="66">
                  <c:v>0.19557195571955718</c:v>
                </c:pt>
                <c:pt idx="67">
                  <c:v>0.19349005424954793</c:v>
                </c:pt>
                <c:pt idx="68">
                  <c:v>0.19039145907473309</c:v>
                </c:pt>
                <c:pt idx="69">
                  <c:v>0.19230769230769232</c:v>
                </c:pt>
                <c:pt idx="70">
                  <c:v>0.19170984455958548</c:v>
                </c:pt>
                <c:pt idx="71">
                  <c:v>0.19015280135823429</c:v>
                </c:pt>
                <c:pt idx="72">
                  <c:v>0.19</c:v>
                </c:pt>
                <c:pt idx="73">
                  <c:v>0.19110378912685339</c:v>
                </c:pt>
                <c:pt idx="74">
                  <c:v>0.19286871961102106</c:v>
                </c:pt>
                <c:pt idx="75">
                  <c:v>0.19169329073482427</c:v>
                </c:pt>
                <c:pt idx="76">
                  <c:v>0.19273301737756715</c:v>
                </c:pt>
                <c:pt idx="77">
                  <c:v>0.19188767550702029</c:v>
                </c:pt>
                <c:pt idx="78">
                  <c:v>0.19076923076923077</c:v>
                </c:pt>
                <c:pt idx="79">
                  <c:v>0.19300911854103345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235294117647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ただ2!$I$3:$I$82</c:f>
              <c:numCache>
                <c:formatCode>0</c:formatCode>
                <c:ptCount val="80"/>
                <c:pt idx="1">
                  <c:v>2800</c:v>
                </c:pt>
                <c:pt idx="2">
                  <c:v>7983.333333333333</c:v>
                </c:pt>
                <c:pt idx="3">
                  <c:v>6837.5</c:v>
                </c:pt>
                <c:pt idx="4">
                  <c:v>7411.1111111111113</c:v>
                </c:pt>
                <c:pt idx="5">
                  <c:v>7515.3846153846152</c:v>
                </c:pt>
                <c:pt idx="6">
                  <c:v>7973.333333333333</c:v>
                </c:pt>
                <c:pt idx="7">
                  <c:v>7973.333333333333</c:v>
                </c:pt>
                <c:pt idx="8">
                  <c:v>7977.7777777777774</c:v>
                </c:pt>
                <c:pt idx="9">
                  <c:v>7710.5263157894733</c:v>
                </c:pt>
                <c:pt idx="10">
                  <c:v>7928.5714285714284</c:v>
                </c:pt>
                <c:pt idx="11">
                  <c:v>7928.5714285714284</c:v>
                </c:pt>
                <c:pt idx="12">
                  <c:v>7287.5</c:v>
                </c:pt>
                <c:pt idx="13">
                  <c:v>7314.8148148148148</c:v>
                </c:pt>
                <c:pt idx="14">
                  <c:v>7314.8148148148148</c:v>
                </c:pt>
                <c:pt idx="15">
                  <c:v>7339.2857142857147</c:v>
                </c:pt>
                <c:pt idx="16">
                  <c:v>7362.0689655172409</c:v>
                </c:pt>
                <c:pt idx="17">
                  <c:v>7362.0689655172409</c:v>
                </c:pt>
                <c:pt idx="18">
                  <c:v>7112.5</c:v>
                </c:pt>
                <c:pt idx="19">
                  <c:v>7260.606060606061</c:v>
                </c:pt>
                <c:pt idx="20">
                  <c:v>7260.606060606061</c:v>
                </c:pt>
                <c:pt idx="21">
                  <c:v>7282.3529411764703</c:v>
                </c:pt>
                <c:pt idx="22">
                  <c:v>7302.8571428571431</c:v>
                </c:pt>
                <c:pt idx="23">
                  <c:v>7302.8571428571431</c:v>
                </c:pt>
                <c:pt idx="24">
                  <c:v>7600</c:v>
                </c:pt>
                <c:pt idx="25">
                  <c:v>7672.5</c:v>
                </c:pt>
                <c:pt idx="26">
                  <c:v>7680.4878048780483</c:v>
                </c:pt>
                <c:pt idx="27">
                  <c:v>7680.4878048780483</c:v>
                </c:pt>
                <c:pt idx="28">
                  <c:v>7680.4878048780483</c:v>
                </c:pt>
                <c:pt idx="29">
                  <c:v>7648.8888888888887</c:v>
                </c:pt>
                <c:pt idx="30">
                  <c:v>8695.9183673469379</c:v>
                </c:pt>
                <c:pt idx="31">
                  <c:v>8564</c:v>
                </c:pt>
                <c:pt idx="32">
                  <c:v>8513.461538461539</c:v>
                </c:pt>
                <c:pt idx="33">
                  <c:v>8348.1481481481478</c:v>
                </c:pt>
                <c:pt idx="34">
                  <c:v>8514.2857142857138</c:v>
                </c:pt>
                <c:pt idx="35">
                  <c:v>8679.310344827587</c:v>
                </c:pt>
                <c:pt idx="36">
                  <c:v>8551.6129032258068</c:v>
                </c:pt>
                <c:pt idx="37">
                  <c:v>8457.1428571428569</c:v>
                </c:pt>
                <c:pt idx="38">
                  <c:v>8566.1538461538457</c:v>
                </c:pt>
                <c:pt idx="39">
                  <c:v>8724.63768115942</c:v>
                </c:pt>
                <c:pt idx="40">
                  <c:v>8724.63768115942</c:v>
                </c:pt>
                <c:pt idx="41">
                  <c:v>8714.2857142857138</c:v>
                </c:pt>
                <c:pt idx="42">
                  <c:v>8750</c:v>
                </c:pt>
                <c:pt idx="43">
                  <c:v>8890.54054054054</c:v>
                </c:pt>
                <c:pt idx="44">
                  <c:v>8953.8461538461543</c:v>
                </c:pt>
                <c:pt idx="45">
                  <c:v>8865.8227848101269</c:v>
                </c:pt>
                <c:pt idx="46">
                  <c:v>9091.3580246913589</c:v>
                </c:pt>
                <c:pt idx="47">
                  <c:v>9126.8292682926822</c:v>
                </c:pt>
                <c:pt idx="48">
                  <c:v>9145.2380952380954</c:v>
                </c:pt>
                <c:pt idx="49">
                  <c:v>9132.5842696629206</c:v>
                </c:pt>
                <c:pt idx="50">
                  <c:v>9074.4444444444453</c:v>
                </c:pt>
                <c:pt idx="51">
                  <c:v>8998.9130434782601</c:v>
                </c:pt>
                <c:pt idx="52">
                  <c:v>9006.3157894736851</c:v>
                </c:pt>
                <c:pt idx="53">
                  <c:v>8926.8041237113393</c:v>
                </c:pt>
                <c:pt idx="54">
                  <c:v>8926.8041237113393</c:v>
                </c:pt>
                <c:pt idx="55">
                  <c:v>8911.8811881188121</c:v>
                </c:pt>
                <c:pt idx="56">
                  <c:v>8971.8446601941741</c:v>
                </c:pt>
                <c:pt idx="57">
                  <c:v>9033.9622641509432</c:v>
                </c:pt>
                <c:pt idx="58">
                  <c:v>8998.1308411214959</c:v>
                </c:pt>
                <c:pt idx="59">
                  <c:v>9025.9259259259252</c:v>
                </c:pt>
                <c:pt idx="60">
                  <c:v>8980.3571428571431</c:v>
                </c:pt>
                <c:pt idx="61">
                  <c:v>9149.1228070175439</c:v>
                </c:pt>
                <c:pt idx="62">
                  <c:v>9173.9130434782601</c:v>
                </c:pt>
                <c:pt idx="63">
                  <c:v>9178.8135593220341</c:v>
                </c:pt>
                <c:pt idx="64">
                  <c:v>9125.8333333333339</c:v>
                </c:pt>
                <c:pt idx="65">
                  <c:v>9066.9421487603304</c:v>
                </c:pt>
                <c:pt idx="66">
                  <c:v>9066.9421487603304</c:v>
                </c:pt>
                <c:pt idx="67">
                  <c:v>8896.7999999999993</c:v>
                </c:pt>
                <c:pt idx="68">
                  <c:v>8890.7692307692305</c:v>
                </c:pt>
                <c:pt idx="69">
                  <c:v>8883.9694656488555</c:v>
                </c:pt>
                <c:pt idx="70">
                  <c:v>8856.060606060606</c:v>
                </c:pt>
                <c:pt idx="71">
                  <c:v>8875.5555555555547</c:v>
                </c:pt>
                <c:pt idx="72">
                  <c:v>8834.0579710144921</c:v>
                </c:pt>
                <c:pt idx="73">
                  <c:v>8873.9436619718308</c:v>
                </c:pt>
                <c:pt idx="74">
                  <c:v>8872.9166666666661</c:v>
                </c:pt>
                <c:pt idx="75">
                  <c:v>9032.4137931034475</c:v>
                </c:pt>
                <c:pt idx="76">
                  <c:v>8984.2465753424658</c:v>
                </c:pt>
                <c:pt idx="77">
                  <c:v>8934.4370860927156</c:v>
                </c:pt>
                <c:pt idx="78">
                  <c:v>8882.3529411764703</c:v>
                </c:pt>
                <c:pt idx="79">
                  <c:v>8833.1168831168834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62.48366013071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ただ2!$J$3:$J$82</c:f>
              <c:numCache>
                <c:formatCode>0</c:formatCode>
                <c:ptCount val="80"/>
                <c:pt idx="1">
                  <c:v>-7850</c:v>
                </c:pt>
                <c:pt idx="2">
                  <c:v>-9825</c:v>
                </c:pt>
                <c:pt idx="3">
                  <c:v>-8471.4285714285706</c:v>
                </c:pt>
                <c:pt idx="4">
                  <c:v>-8137.5</c:v>
                </c:pt>
                <c:pt idx="5">
                  <c:v>-8627.2727272727279</c:v>
                </c:pt>
                <c:pt idx="6">
                  <c:v>-8350</c:v>
                </c:pt>
                <c:pt idx="7">
                  <c:v>-9431.25</c:v>
                </c:pt>
                <c:pt idx="8">
                  <c:v>-9431.25</c:v>
                </c:pt>
                <c:pt idx="9">
                  <c:v>-9244.4444444444453</c:v>
                </c:pt>
                <c:pt idx="10">
                  <c:v>-9595.652173913044</c:v>
                </c:pt>
                <c:pt idx="11">
                  <c:v>-9708</c:v>
                </c:pt>
                <c:pt idx="12">
                  <c:v>-9708</c:v>
                </c:pt>
                <c:pt idx="13">
                  <c:v>-9950</c:v>
                </c:pt>
                <c:pt idx="14">
                  <c:v>-9571.4285714285706</c:v>
                </c:pt>
                <c:pt idx="15">
                  <c:v>-9331.0344827586214</c:v>
                </c:pt>
                <c:pt idx="16">
                  <c:v>-9374.1935483870966</c:v>
                </c:pt>
                <c:pt idx="17">
                  <c:v>-9654.545454545454</c:v>
                </c:pt>
                <c:pt idx="18">
                  <c:v>-9422.8571428571431</c:v>
                </c:pt>
                <c:pt idx="19">
                  <c:v>-9345.9459459459467</c:v>
                </c:pt>
                <c:pt idx="20">
                  <c:v>-9892.3076923076915</c:v>
                </c:pt>
                <c:pt idx="21">
                  <c:v>-9892.3076923076915</c:v>
                </c:pt>
                <c:pt idx="22">
                  <c:v>-9748.7804878048773</c:v>
                </c:pt>
                <c:pt idx="23">
                  <c:v>-9802.3809523809523</c:v>
                </c:pt>
                <c:pt idx="24">
                  <c:v>-10690.697674418605</c:v>
                </c:pt>
                <c:pt idx="25">
                  <c:v>-10695.555555555555</c:v>
                </c:pt>
                <c:pt idx="26">
                  <c:v>-10462.5</c:v>
                </c:pt>
                <c:pt idx="27">
                  <c:v>-10100</c:v>
                </c:pt>
                <c:pt idx="28">
                  <c:v>-10100</c:v>
                </c:pt>
                <c:pt idx="29">
                  <c:v>-9890.566037735849</c:v>
                </c:pt>
                <c:pt idx="30">
                  <c:v>-9890.566037735849</c:v>
                </c:pt>
                <c:pt idx="31">
                  <c:v>-9890.566037735849</c:v>
                </c:pt>
                <c:pt idx="32">
                  <c:v>-9890.566037735849</c:v>
                </c:pt>
                <c:pt idx="33">
                  <c:v>-9922.2222222222226</c:v>
                </c:pt>
                <c:pt idx="34">
                  <c:v>-9922.2222222222226</c:v>
                </c:pt>
                <c:pt idx="35">
                  <c:v>-9960</c:v>
                </c:pt>
                <c:pt idx="36">
                  <c:v>-9875</c:v>
                </c:pt>
                <c:pt idx="37">
                  <c:v>-9810.3448275862065</c:v>
                </c:pt>
                <c:pt idx="38">
                  <c:v>-9846.6666666666661</c:v>
                </c:pt>
                <c:pt idx="39">
                  <c:v>-9816.3934426229516</c:v>
                </c:pt>
                <c:pt idx="40">
                  <c:v>-9663.4920634920636</c:v>
                </c:pt>
                <c:pt idx="41">
                  <c:v>-9587.6923076923085</c:v>
                </c:pt>
                <c:pt idx="42">
                  <c:v>-9530.30303030303</c:v>
                </c:pt>
                <c:pt idx="43">
                  <c:v>-9530.30303030303</c:v>
                </c:pt>
                <c:pt idx="44">
                  <c:v>-9349.2753623188401</c:v>
                </c:pt>
                <c:pt idx="45">
                  <c:v>-9261.1111111111113</c:v>
                </c:pt>
                <c:pt idx="46">
                  <c:v>-9261.1111111111113</c:v>
                </c:pt>
                <c:pt idx="47">
                  <c:v>-9081.0810810810817</c:v>
                </c:pt>
                <c:pt idx="48">
                  <c:v>-9081.0810810810817</c:v>
                </c:pt>
                <c:pt idx="49">
                  <c:v>-9038.1578947368416</c:v>
                </c:pt>
                <c:pt idx="50">
                  <c:v>-8943.0379746835442</c:v>
                </c:pt>
                <c:pt idx="51">
                  <c:v>-8996.3414634146338</c:v>
                </c:pt>
                <c:pt idx="52">
                  <c:v>-9016.6666666666661</c:v>
                </c:pt>
                <c:pt idx="53">
                  <c:v>-8963.9534883720935</c:v>
                </c:pt>
                <c:pt idx="54">
                  <c:v>-9068.5393258426975</c:v>
                </c:pt>
                <c:pt idx="55">
                  <c:v>-9068.5393258426975</c:v>
                </c:pt>
                <c:pt idx="56">
                  <c:v>-8996.6666666666661</c:v>
                </c:pt>
                <c:pt idx="57">
                  <c:v>-9095.6043956043959</c:v>
                </c:pt>
                <c:pt idx="58">
                  <c:v>-9095.6043956043959</c:v>
                </c:pt>
                <c:pt idx="59">
                  <c:v>-9518.4782608695659</c:v>
                </c:pt>
                <c:pt idx="60">
                  <c:v>-9602.1276595744675</c:v>
                </c:pt>
                <c:pt idx="61">
                  <c:v>-9593.75</c:v>
                </c:pt>
                <c:pt idx="62">
                  <c:v>-9394</c:v>
                </c:pt>
                <c:pt idx="63">
                  <c:v>-9572.8155339805817</c:v>
                </c:pt>
                <c:pt idx="64">
                  <c:v>-9557.6923076923085</c:v>
                </c:pt>
                <c:pt idx="65">
                  <c:v>-9580.9523809523816</c:v>
                </c:pt>
                <c:pt idx="66">
                  <c:v>-9527.3584905660373</c:v>
                </c:pt>
                <c:pt idx="67">
                  <c:v>-9513.0841121495323</c:v>
                </c:pt>
                <c:pt idx="68">
                  <c:v>-9513.0841121495323</c:v>
                </c:pt>
                <c:pt idx="69">
                  <c:v>-9505.454545454546</c:v>
                </c:pt>
                <c:pt idx="70">
                  <c:v>-9466.6666666666661</c:v>
                </c:pt>
                <c:pt idx="71">
                  <c:v>-9428.5714285714294</c:v>
                </c:pt>
                <c:pt idx="72">
                  <c:v>-9398.2456140350878</c:v>
                </c:pt>
                <c:pt idx="73">
                  <c:v>-9408.6206896551721</c:v>
                </c:pt>
                <c:pt idx="74">
                  <c:v>-9433.6134453781506</c:v>
                </c:pt>
                <c:pt idx="75">
                  <c:v>-9365.8333333333339</c:v>
                </c:pt>
                <c:pt idx="76">
                  <c:v>-9299.1803278688531</c:v>
                </c:pt>
                <c:pt idx="77">
                  <c:v>-9255.2845528455291</c:v>
                </c:pt>
                <c:pt idx="78">
                  <c:v>-9277.4193548387102</c:v>
                </c:pt>
                <c:pt idx="79">
                  <c:v>-9254.3307086614168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92.4242424242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ただ2!$K$3:$K$82</c:f>
              <c:numCache>
                <c:formatCode>0.0%</c:formatCode>
                <c:ptCount val="8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0.27586206896551724</c:v>
                </c:pt>
                <c:pt idx="30">
                  <c:v>0.26666666666666666</c:v>
                </c:pt>
                <c:pt idx="31">
                  <c:v>0.25806451612903225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0.18181818181818182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0.16326530612244897</c:v>
                </c:pt>
                <c:pt idx="50">
                  <c:v>0.18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0.20370370370370369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0.19298245614035087</c:v>
                </c:pt>
                <c:pt idx="58">
                  <c:v>0.18965517241379309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0.19047619047619047</c:v>
                </c:pt>
                <c:pt idx="64">
                  <c:v>0.1875</c:v>
                </c:pt>
                <c:pt idx="65">
                  <c:v>0.18461538461538463</c:v>
                </c:pt>
                <c:pt idx="66">
                  <c:v>0.18181818181818182</c:v>
                </c:pt>
                <c:pt idx="67">
                  <c:v>0.17910447761194029</c:v>
                </c:pt>
                <c:pt idx="68">
                  <c:v>0.17647058823529413</c:v>
                </c:pt>
                <c:pt idx="69">
                  <c:v>0.17391304347826086</c:v>
                </c:pt>
                <c:pt idx="70">
                  <c:v>0.18571428571428572</c:v>
                </c:pt>
                <c:pt idx="71">
                  <c:v>0.18309859154929578</c:v>
                </c:pt>
                <c:pt idx="72">
                  <c:v>0.18055555555555555</c:v>
                </c:pt>
                <c:pt idx="73">
                  <c:v>0.17808219178082191</c:v>
                </c:pt>
                <c:pt idx="74">
                  <c:v>0.1891891891891892</c:v>
                </c:pt>
                <c:pt idx="75">
                  <c:v>0.18666666666666668</c:v>
                </c:pt>
                <c:pt idx="76">
                  <c:v>0.18421052631578946</c:v>
                </c:pt>
                <c:pt idx="77">
                  <c:v>0.18181818181818182</c:v>
                </c:pt>
                <c:pt idx="78">
                  <c:v>0.17948717948717949</c:v>
                </c:pt>
                <c:pt idx="79">
                  <c:v>0.189873417721519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013071895424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ただ2!$L$3:$L$82</c:f>
              <c:numCache>
                <c:formatCode>0.0%</c:formatCode>
                <c:ptCount val="8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0.11764705882352941</c:v>
                </c:pt>
                <c:pt idx="52">
                  <c:v>0.11538461538461539</c:v>
                </c:pt>
                <c:pt idx="53">
                  <c:v>0.11320754716981132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0.12280701754385964</c:v>
                </c:pt>
                <c:pt idx="58">
                  <c:v>0.1206896551724138</c:v>
                </c:pt>
                <c:pt idx="59">
                  <c:v>0.11864406779661017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0.1076923076923077</c:v>
                </c:pt>
                <c:pt idx="66">
                  <c:v>0.10606060606060606</c:v>
                </c:pt>
                <c:pt idx="67">
                  <c:v>0.1044776119402985</c:v>
                </c:pt>
                <c:pt idx="68">
                  <c:v>0.11764705882352941</c:v>
                </c:pt>
                <c:pt idx="69">
                  <c:v>0.11594202898550725</c:v>
                </c:pt>
                <c:pt idx="70">
                  <c:v>0.11428571428571428</c:v>
                </c:pt>
                <c:pt idx="71">
                  <c:v>0.11267605633802817</c:v>
                </c:pt>
                <c:pt idx="72">
                  <c:v>0.1111111111111111</c:v>
                </c:pt>
                <c:pt idx="73">
                  <c:v>0.1095890410958904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0.10256410256410256</c:v>
                </c:pt>
                <c:pt idx="79">
                  <c:v>0.10126582278481013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013071895424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ただ2!$M$3:$M$82</c:f>
              <c:numCache>
                <c:formatCode>0.0%</c:formatCode>
                <c:ptCount val="80"/>
                <c:pt idx="1">
                  <c:v>0.16666666666666666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0.21212121212121213</c:v>
                </c:pt>
                <c:pt idx="5">
                  <c:v>0.18604651162790697</c:v>
                </c:pt>
                <c:pt idx="6">
                  <c:v>0.21153846153846154</c:v>
                </c:pt>
                <c:pt idx="7">
                  <c:v>0.21428571428571427</c:v>
                </c:pt>
                <c:pt idx="8">
                  <c:v>0.23809523809523808</c:v>
                </c:pt>
                <c:pt idx="9">
                  <c:v>0.24</c:v>
                </c:pt>
                <c:pt idx="10">
                  <c:v>0.24719101123595505</c:v>
                </c:pt>
                <c:pt idx="11">
                  <c:v>0.22549019607843138</c:v>
                </c:pt>
                <c:pt idx="12">
                  <c:v>0.22321428571428573</c:v>
                </c:pt>
                <c:pt idx="13">
                  <c:v>0.22950819672131148</c:v>
                </c:pt>
                <c:pt idx="14">
                  <c:v>0.21875</c:v>
                </c:pt>
                <c:pt idx="15">
                  <c:v>0.21323529411764705</c:v>
                </c:pt>
                <c:pt idx="16">
                  <c:v>0.22972972972972974</c:v>
                </c:pt>
                <c:pt idx="17">
                  <c:v>0.22875816993464052</c:v>
                </c:pt>
                <c:pt idx="18">
                  <c:v>0.24223602484472051</c:v>
                </c:pt>
                <c:pt idx="19">
                  <c:v>0.23668639053254437</c:v>
                </c:pt>
                <c:pt idx="20">
                  <c:v>0.23121387283236994</c:v>
                </c:pt>
                <c:pt idx="21">
                  <c:v>0.24022346368715083</c:v>
                </c:pt>
                <c:pt idx="22">
                  <c:v>0.24193548387096775</c:v>
                </c:pt>
                <c:pt idx="23">
                  <c:v>0.2356020942408377</c:v>
                </c:pt>
                <c:pt idx="24">
                  <c:v>0.23737373737373738</c:v>
                </c:pt>
                <c:pt idx="25">
                  <c:v>0.24757281553398058</c:v>
                </c:pt>
                <c:pt idx="26">
                  <c:v>0.24528301886792453</c:v>
                </c:pt>
                <c:pt idx="27">
                  <c:v>0.24324324324324326</c:v>
                </c:pt>
                <c:pt idx="28">
                  <c:v>0.23809523809523808</c:v>
                </c:pt>
                <c:pt idx="29">
                  <c:v>0.24583333333333332</c:v>
                </c:pt>
                <c:pt idx="30">
                  <c:v>0.24899598393574296</c:v>
                </c:pt>
                <c:pt idx="31">
                  <c:v>0.24705882352941178</c:v>
                </c:pt>
                <c:pt idx="32">
                  <c:v>0.24436090225563908</c:v>
                </c:pt>
                <c:pt idx="33">
                  <c:v>0.24087591240875914</c:v>
                </c:pt>
                <c:pt idx="34">
                  <c:v>0.24820143884892087</c:v>
                </c:pt>
                <c:pt idx="35">
                  <c:v>0.25088339222614842</c:v>
                </c:pt>
                <c:pt idx="36">
                  <c:v>0.25342465753424659</c:v>
                </c:pt>
                <c:pt idx="37">
                  <c:v>0.24666666666666667</c:v>
                </c:pt>
                <c:pt idx="38">
                  <c:v>0.24919093851132687</c:v>
                </c:pt>
                <c:pt idx="39">
                  <c:v>0.24921135646687698</c:v>
                </c:pt>
                <c:pt idx="40">
                  <c:v>0.25077399380804954</c:v>
                </c:pt>
                <c:pt idx="41">
                  <c:v>0.24848484848484848</c:v>
                </c:pt>
                <c:pt idx="42">
                  <c:v>0.24852071005917159</c:v>
                </c:pt>
                <c:pt idx="43">
                  <c:v>0.24709302325581395</c:v>
                </c:pt>
                <c:pt idx="44">
                  <c:v>0.25423728813559321</c:v>
                </c:pt>
                <c:pt idx="45">
                  <c:v>0.25555555555555554</c:v>
                </c:pt>
                <c:pt idx="46">
                  <c:v>0.25479452054794521</c:v>
                </c:pt>
                <c:pt idx="47">
                  <c:v>0.26005361930294907</c:v>
                </c:pt>
                <c:pt idx="48">
                  <c:v>0.25526315789473686</c:v>
                </c:pt>
                <c:pt idx="49">
                  <c:v>0.26010101010101011</c:v>
                </c:pt>
                <c:pt idx="50">
                  <c:v>0.2536945812807882</c:v>
                </c:pt>
                <c:pt idx="51">
                  <c:v>0.25542168674698795</c:v>
                </c:pt>
                <c:pt idx="52">
                  <c:v>0.25471698113207547</c:v>
                </c:pt>
                <c:pt idx="53">
                  <c:v>0.25173210161662818</c:v>
                </c:pt>
                <c:pt idx="54">
                  <c:v>0.25</c:v>
                </c:pt>
                <c:pt idx="55">
                  <c:v>0.25396825396825395</c:v>
                </c:pt>
                <c:pt idx="56">
                  <c:v>0.25601750547045954</c:v>
                </c:pt>
                <c:pt idx="57">
                  <c:v>0.2569593147751606</c:v>
                </c:pt>
                <c:pt idx="58">
                  <c:v>0.26059322033898308</c:v>
                </c:pt>
                <c:pt idx="59">
                  <c:v>0.25995807127882598</c:v>
                </c:pt>
                <c:pt idx="60">
                  <c:v>0.26069246435845211</c:v>
                </c:pt>
                <c:pt idx="61">
                  <c:v>0.26506024096385544</c:v>
                </c:pt>
                <c:pt idx="62">
                  <c:v>0.26719056974459726</c:v>
                </c:pt>
                <c:pt idx="63">
                  <c:v>0.26819923371647508</c:v>
                </c:pt>
                <c:pt idx="64">
                  <c:v>0.26981132075471698</c:v>
                </c:pt>
                <c:pt idx="65">
                  <c:v>0.26865671641791045</c:v>
                </c:pt>
                <c:pt idx="66">
                  <c:v>0.26568265682656828</c:v>
                </c:pt>
                <c:pt idx="67">
                  <c:v>0.26763110307414106</c:v>
                </c:pt>
                <c:pt idx="68">
                  <c:v>0.27224199288256229</c:v>
                </c:pt>
                <c:pt idx="69">
                  <c:v>0.27272727272727271</c:v>
                </c:pt>
                <c:pt idx="70">
                  <c:v>0.27461139896373055</c:v>
                </c:pt>
                <c:pt idx="71">
                  <c:v>0.27843803056027167</c:v>
                </c:pt>
                <c:pt idx="72">
                  <c:v>0.27666666666666667</c:v>
                </c:pt>
                <c:pt idx="73">
                  <c:v>0.28171334431630973</c:v>
                </c:pt>
                <c:pt idx="74">
                  <c:v>0.28200972447325767</c:v>
                </c:pt>
                <c:pt idx="75">
                  <c:v>0.28434504792332266</c:v>
                </c:pt>
                <c:pt idx="76">
                  <c:v>0.28120063191153238</c:v>
                </c:pt>
                <c:pt idx="77">
                  <c:v>0.28237129485179407</c:v>
                </c:pt>
                <c:pt idx="78">
                  <c:v>0.28153846153846152</c:v>
                </c:pt>
                <c:pt idx="79">
                  <c:v>0.27811550151975684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019607843137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ただ2!$N$3:$N$82</c:f>
              <c:numCache>
                <c:formatCode>0.0%</c:formatCode>
                <c:ptCount val="80"/>
                <c:pt idx="1">
                  <c:v>0.16666666666666666</c:v>
                </c:pt>
                <c:pt idx="2">
                  <c:v>0.25</c:v>
                </c:pt>
                <c:pt idx="3">
                  <c:v>0.30769230769230771</c:v>
                </c:pt>
                <c:pt idx="4">
                  <c:v>0.24242424242424243</c:v>
                </c:pt>
                <c:pt idx="5">
                  <c:v>0.18604651162790697</c:v>
                </c:pt>
                <c:pt idx="6">
                  <c:v>0.15384615384615385</c:v>
                </c:pt>
                <c:pt idx="7">
                  <c:v>0.14285714285714285</c:v>
                </c:pt>
                <c:pt idx="8">
                  <c:v>0.12698412698412698</c:v>
                </c:pt>
                <c:pt idx="9">
                  <c:v>0.10666666666666667</c:v>
                </c:pt>
                <c:pt idx="10">
                  <c:v>0.10112359550561797</c:v>
                </c:pt>
                <c:pt idx="11">
                  <c:v>9.8039215686274508E-2</c:v>
                </c:pt>
                <c:pt idx="12">
                  <c:v>8.9285714285714288E-2</c:v>
                </c:pt>
                <c:pt idx="13">
                  <c:v>9.8360655737704916E-2</c:v>
                </c:pt>
                <c:pt idx="14">
                  <c:v>0.1015625</c:v>
                </c:pt>
                <c:pt idx="15">
                  <c:v>0.11029411764705882</c:v>
                </c:pt>
                <c:pt idx="16">
                  <c:v>0.10810810810810811</c:v>
                </c:pt>
                <c:pt idx="17">
                  <c:v>0.11764705882352941</c:v>
                </c:pt>
                <c:pt idx="18">
                  <c:v>0.11180124223602485</c:v>
                </c:pt>
                <c:pt idx="19">
                  <c:v>0.11242603550295859</c:v>
                </c:pt>
                <c:pt idx="20">
                  <c:v>0.11560693641618497</c:v>
                </c:pt>
                <c:pt idx="21">
                  <c:v>0.11731843575418995</c:v>
                </c:pt>
                <c:pt idx="22">
                  <c:v>0.11827956989247312</c:v>
                </c:pt>
                <c:pt idx="23">
                  <c:v>0.11518324607329843</c:v>
                </c:pt>
                <c:pt idx="24">
                  <c:v>0.11616161616161616</c:v>
                </c:pt>
                <c:pt idx="25">
                  <c:v>0.11165048543689321</c:v>
                </c:pt>
                <c:pt idx="26">
                  <c:v>0.12264150943396226</c:v>
                </c:pt>
                <c:pt idx="27">
                  <c:v>0.13513513513513514</c:v>
                </c:pt>
                <c:pt idx="28">
                  <c:v>0.12987012987012986</c:v>
                </c:pt>
                <c:pt idx="29">
                  <c:v>0.125</c:v>
                </c:pt>
                <c:pt idx="30">
                  <c:v>0.12449799196787148</c:v>
                </c:pt>
                <c:pt idx="31">
                  <c:v>0.12549019607843137</c:v>
                </c:pt>
                <c:pt idx="32">
                  <c:v>0.13909774436090225</c:v>
                </c:pt>
                <c:pt idx="33">
                  <c:v>0.145985401459854</c:v>
                </c:pt>
                <c:pt idx="34">
                  <c:v>0.14388489208633093</c:v>
                </c:pt>
                <c:pt idx="35">
                  <c:v>0.14487632508833923</c:v>
                </c:pt>
                <c:pt idx="36">
                  <c:v>0.14726027397260275</c:v>
                </c:pt>
                <c:pt idx="37">
                  <c:v>0.14666666666666667</c:v>
                </c:pt>
                <c:pt idx="38">
                  <c:v>0.14563106796116504</c:v>
                </c:pt>
                <c:pt idx="39">
                  <c:v>0.14826498422712933</c:v>
                </c:pt>
                <c:pt idx="40">
                  <c:v>0.15170278637770898</c:v>
                </c:pt>
                <c:pt idx="41">
                  <c:v>0.15151515151515152</c:v>
                </c:pt>
                <c:pt idx="42">
                  <c:v>0.15384615384615385</c:v>
                </c:pt>
                <c:pt idx="43">
                  <c:v>0.15697674418604651</c:v>
                </c:pt>
                <c:pt idx="44">
                  <c:v>0.15819209039548024</c:v>
                </c:pt>
                <c:pt idx="45">
                  <c:v>0.15833333333333333</c:v>
                </c:pt>
                <c:pt idx="46">
                  <c:v>0.15890410958904111</c:v>
                </c:pt>
                <c:pt idx="47">
                  <c:v>0.15549597855227881</c:v>
                </c:pt>
                <c:pt idx="48">
                  <c:v>0.15526315789473685</c:v>
                </c:pt>
                <c:pt idx="49">
                  <c:v>0.15404040404040403</c:v>
                </c:pt>
                <c:pt idx="50">
                  <c:v>0.15270935960591134</c:v>
                </c:pt>
                <c:pt idx="51">
                  <c:v>0.15421686746987953</c:v>
                </c:pt>
                <c:pt idx="52">
                  <c:v>0.15566037735849056</c:v>
                </c:pt>
                <c:pt idx="53">
                  <c:v>0.15704387990762125</c:v>
                </c:pt>
                <c:pt idx="54">
                  <c:v>0.15825688073394495</c:v>
                </c:pt>
                <c:pt idx="55">
                  <c:v>0.15646258503401361</c:v>
                </c:pt>
                <c:pt idx="56">
                  <c:v>0.15536105032822758</c:v>
                </c:pt>
                <c:pt idx="57">
                  <c:v>0.15631691648822268</c:v>
                </c:pt>
                <c:pt idx="58">
                  <c:v>0.15466101694915255</c:v>
                </c:pt>
                <c:pt idx="59">
                  <c:v>0.15513626834381553</c:v>
                </c:pt>
                <c:pt idx="60">
                  <c:v>0.15885947046843177</c:v>
                </c:pt>
                <c:pt idx="61">
                  <c:v>0.16265060240963855</c:v>
                </c:pt>
                <c:pt idx="62">
                  <c:v>0.16502946954813361</c:v>
                </c:pt>
                <c:pt idx="63">
                  <c:v>0.16475095785440613</c:v>
                </c:pt>
                <c:pt idx="64">
                  <c:v>0.16226415094339622</c:v>
                </c:pt>
                <c:pt idx="65">
                  <c:v>0.16604477611940299</c:v>
                </c:pt>
                <c:pt idx="66">
                  <c:v>0.16605166051660517</c:v>
                </c:pt>
                <c:pt idx="67">
                  <c:v>0.16636528028933092</c:v>
                </c:pt>
                <c:pt idx="68">
                  <c:v>0.16370106761565836</c:v>
                </c:pt>
                <c:pt idx="69">
                  <c:v>0.16433566433566432</c:v>
                </c:pt>
                <c:pt idx="70">
                  <c:v>0.16407599309153714</c:v>
                </c:pt>
                <c:pt idx="71">
                  <c:v>0.16298811544991512</c:v>
                </c:pt>
                <c:pt idx="72">
                  <c:v>0.16333333333333333</c:v>
                </c:pt>
                <c:pt idx="73">
                  <c:v>0.16144975288303129</c:v>
                </c:pt>
                <c:pt idx="74">
                  <c:v>0.15883306320907617</c:v>
                </c:pt>
                <c:pt idx="75">
                  <c:v>0.15654952076677317</c:v>
                </c:pt>
                <c:pt idx="76">
                  <c:v>0.15797788309636651</c:v>
                </c:pt>
                <c:pt idx="77">
                  <c:v>0.15600624024960999</c:v>
                </c:pt>
                <c:pt idx="78">
                  <c:v>0.15538461538461537</c:v>
                </c:pt>
                <c:pt idx="79">
                  <c:v>0.15501519756838905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8235294117647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ただ2!$O$3:$O$82</c:f>
              <c:numCache>
                <c:formatCode>0.0%</c:formatCode>
                <c:ptCount val="80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0.6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0.47826086956521741</c:v>
                </c:pt>
                <c:pt idx="12">
                  <c:v>0.48</c:v>
                </c:pt>
                <c:pt idx="13">
                  <c:v>0.5</c:v>
                </c:pt>
                <c:pt idx="14">
                  <c:v>0.5</c:v>
                </c:pt>
                <c:pt idx="15">
                  <c:v>0.51724137931034486</c:v>
                </c:pt>
                <c:pt idx="16">
                  <c:v>0.47058823529411764</c:v>
                </c:pt>
                <c:pt idx="17">
                  <c:v>0.45714285714285713</c:v>
                </c:pt>
                <c:pt idx="18">
                  <c:v>0.46153846153846156</c:v>
                </c:pt>
                <c:pt idx="19">
                  <c:v>0.47499999999999998</c:v>
                </c:pt>
                <c:pt idx="20">
                  <c:v>0.47499999999999998</c:v>
                </c:pt>
                <c:pt idx="21">
                  <c:v>0.46511627906976744</c:v>
                </c:pt>
                <c:pt idx="22">
                  <c:v>0.46666666666666667</c:v>
                </c:pt>
                <c:pt idx="23">
                  <c:v>0.46666666666666667</c:v>
                </c:pt>
                <c:pt idx="24">
                  <c:v>0.46808510638297873</c:v>
                </c:pt>
                <c:pt idx="25">
                  <c:v>0.49019607843137253</c:v>
                </c:pt>
                <c:pt idx="26">
                  <c:v>0.5</c:v>
                </c:pt>
                <c:pt idx="27">
                  <c:v>0.48148148148148145</c:v>
                </c:pt>
                <c:pt idx="28">
                  <c:v>0.47272727272727272</c:v>
                </c:pt>
                <c:pt idx="29">
                  <c:v>0.47457627118644069</c:v>
                </c:pt>
                <c:pt idx="30">
                  <c:v>0.5</c:v>
                </c:pt>
                <c:pt idx="31">
                  <c:v>0.49206349206349204</c:v>
                </c:pt>
                <c:pt idx="32">
                  <c:v>0.47692307692307695</c:v>
                </c:pt>
                <c:pt idx="33">
                  <c:v>0.46969696969696972</c:v>
                </c:pt>
                <c:pt idx="34">
                  <c:v>0.47826086956521741</c:v>
                </c:pt>
                <c:pt idx="35">
                  <c:v>0.49295774647887325</c:v>
                </c:pt>
                <c:pt idx="36">
                  <c:v>0.51351351351351349</c:v>
                </c:pt>
                <c:pt idx="37">
                  <c:v>0.51351351351351349</c:v>
                </c:pt>
                <c:pt idx="38">
                  <c:v>0.50649350649350644</c:v>
                </c:pt>
                <c:pt idx="39">
                  <c:v>0.51898734177215189</c:v>
                </c:pt>
                <c:pt idx="40">
                  <c:v>0.50617283950617287</c:v>
                </c:pt>
                <c:pt idx="41">
                  <c:v>0.51219512195121952</c:v>
                </c:pt>
                <c:pt idx="42">
                  <c:v>0.52380952380952384</c:v>
                </c:pt>
                <c:pt idx="43">
                  <c:v>0.52941176470588236</c:v>
                </c:pt>
                <c:pt idx="44">
                  <c:v>0.53333333333333333</c:v>
                </c:pt>
                <c:pt idx="45">
                  <c:v>0.53260869565217395</c:v>
                </c:pt>
                <c:pt idx="46">
                  <c:v>0.5376344086021505</c:v>
                </c:pt>
                <c:pt idx="47">
                  <c:v>0.52577319587628868</c:v>
                </c:pt>
                <c:pt idx="48">
                  <c:v>0.52577319587628868</c:v>
                </c:pt>
                <c:pt idx="49">
                  <c:v>0.52427184466019416</c:v>
                </c:pt>
                <c:pt idx="50">
                  <c:v>0.52427184466019416</c:v>
                </c:pt>
                <c:pt idx="51">
                  <c:v>0.51886792452830188</c:v>
                </c:pt>
                <c:pt idx="52">
                  <c:v>0.51851851851851849</c:v>
                </c:pt>
                <c:pt idx="53">
                  <c:v>0.52293577981651373</c:v>
                </c:pt>
                <c:pt idx="54">
                  <c:v>0.52293577981651373</c:v>
                </c:pt>
                <c:pt idx="55">
                  <c:v>0.5267857142857143</c:v>
                </c:pt>
                <c:pt idx="56">
                  <c:v>0.51282051282051277</c:v>
                </c:pt>
                <c:pt idx="57">
                  <c:v>0.51666666666666672</c:v>
                </c:pt>
                <c:pt idx="58">
                  <c:v>0.51219512195121952</c:v>
                </c:pt>
                <c:pt idx="59">
                  <c:v>0.5161290322580645</c:v>
                </c:pt>
                <c:pt idx="60">
                  <c:v>0.515625</c:v>
                </c:pt>
                <c:pt idx="61">
                  <c:v>0.51515151515151514</c:v>
                </c:pt>
                <c:pt idx="62">
                  <c:v>0.50735294117647056</c:v>
                </c:pt>
                <c:pt idx="63">
                  <c:v>0.5</c:v>
                </c:pt>
                <c:pt idx="64">
                  <c:v>0.49650349650349651</c:v>
                </c:pt>
                <c:pt idx="65">
                  <c:v>0.49305555555555558</c:v>
                </c:pt>
                <c:pt idx="66">
                  <c:v>0.49305555555555558</c:v>
                </c:pt>
                <c:pt idx="67">
                  <c:v>0.5</c:v>
                </c:pt>
                <c:pt idx="68">
                  <c:v>0.5163398692810458</c:v>
                </c:pt>
                <c:pt idx="69">
                  <c:v>0.51282051282051277</c:v>
                </c:pt>
                <c:pt idx="70">
                  <c:v>0.50943396226415094</c:v>
                </c:pt>
                <c:pt idx="71">
                  <c:v>0.51219512195121952</c:v>
                </c:pt>
                <c:pt idx="72">
                  <c:v>0.51807228915662651</c:v>
                </c:pt>
                <c:pt idx="73">
                  <c:v>0.52631578947368418</c:v>
                </c:pt>
                <c:pt idx="74">
                  <c:v>0.52298850574712641</c:v>
                </c:pt>
                <c:pt idx="75">
                  <c:v>0.5112359550561798</c:v>
                </c:pt>
                <c:pt idx="76">
                  <c:v>0.5112359550561798</c:v>
                </c:pt>
                <c:pt idx="77">
                  <c:v>0.51933701657458564</c:v>
                </c:pt>
                <c:pt idx="78">
                  <c:v>0.51912568306010931</c:v>
                </c:pt>
                <c:pt idx="79">
                  <c:v>0.51912568306010931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0125962211336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ただ2!$P$3:$P$82</c:f>
              <c:numCache>
                <c:formatCode>0.0%</c:formatCode>
                <c:ptCount val="80"/>
                <c:pt idx="1">
                  <c:v>0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0.375</c:v>
                </c:pt>
                <c:pt idx="6">
                  <c:v>0.375</c:v>
                </c:pt>
                <c:pt idx="7">
                  <c:v>0.375</c:v>
                </c:pt>
                <c:pt idx="8">
                  <c:v>0.375</c:v>
                </c:pt>
                <c:pt idx="9">
                  <c:v>0.375</c:v>
                </c:pt>
                <c:pt idx="10">
                  <c:v>0.44444444444444442</c:v>
                </c:pt>
                <c:pt idx="11">
                  <c:v>0.4</c:v>
                </c:pt>
                <c:pt idx="12">
                  <c:v>0.4</c:v>
                </c:pt>
                <c:pt idx="13">
                  <c:v>0.33333333333333331</c:v>
                </c:pt>
                <c:pt idx="14">
                  <c:v>0.30769230769230771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0.22222222222222221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0.18181818181818182</c:v>
                </c:pt>
                <c:pt idx="24">
                  <c:v>0.17391304347826086</c:v>
                </c:pt>
                <c:pt idx="25">
                  <c:v>0.17391304347826086</c:v>
                </c:pt>
                <c:pt idx="26">
                  <c:v>0.15384615384615385</c:v>
                </c:pt>
                <c:pt idx="27">
                  <c:v>0.13333333333333333</c:v>
                </c:pt>
                <c:pt idx="28">
                  <c:v>0.13333333333333333</c:v>
                </c:pt>
                <c:pt idx="29">
                  <c:v>0.13333333333333333</c:v>
                </c:pt>
                <c:pt idx="30">
                  <c:v>0.12903225806451613</c:v>
                </c:pt>
                <c:pt idx="31">
                  <c:v>0.15625</c:v>
                </c:pt>
                <c:pt idx="32">
                  <c:v>0.1891891891891892</c:v>
                </c:pt>
                <c:pt idx="33">
                  <c:v>0.17499999999999999</c:v>
                </c:pt>
                <c:pt idx="34">
                  <c:v>0.17499999999999999</c:v>
                </c:pt>
                <c:pt idx="35">
                  <c:v>0.17073170731707318</c:v>
                </c:pt>
                <c:pt idx="36">
                  <c:v>0.18604651162790697</c:v>
                </c:pt>
                <c:pt idx="37">
                  <c:v>0.18181818181818182</c:v>
                </c:pt>
                <c:pt idx="38">
                  <c:v>0.2</c:v>
                </c:pt>
                <c:pt idx="39">
                  <c:v>0.21276595744680851</c:v>
                </c:pt>
                <c:pt idx="40">
                  <c:v>0.20408163265306123</c:v>
                </c:pt>
                <c:pt idx="41">
                  <c:v>0.2</c:v>
                </c:pt>
                <c:pt idx="42">
                  <c:v>0.19230769230769232</c:v>
                </c:pt>
                <c:pt idx="43">
                  <c:v>0.20370370370370369</c:v>
                </c:pt>
                <c:pt idx="44">
                  <c:v>0.19642857142857142</c:v>
                </c:pt>
                <c:pt idx="45">
                  <c:v>0.19298245614035087</c:v>
                </c:pt>
                <c:pt idx="46">
                  <c:v>0.20689655172413793</c:v>
                </c:pt>
                <c:pt idx="47">
                  <c:v>0.20689655172413793</c:v>
                </c:pt>
                <c:pt idx="48">
                  <c:v>0.22033898305084745</c:v>
                </c:pt>
                <c:pt idx="49">
                  <c:v>0.22950819672131148</c:v>
                </c:pt>
                <c:pt idx="50">
                  <c:v>0.24193548387096775</c:v>
                </c:pt>
                <c:pt idx="51">
                  <c:v>0.234375</c:v>
                </c:pt>
                <c:pt idx="52">
                  <c:v>0.25757575757575757</c:v>
                </c:pt>
                <c:pt idx="53">
                  <c:v>0.25</c:v>
                </c:pt>
                <c:pt idx="54">
                  <c:v>0.24637681159420291</c:v>
                </c:pt>
                <c:pt idx="55">
                  <c:v>0.24637681159420291</c:v>
                </c:pt>
                <c:pt idx="56">
                  <c:v>0.23943661971830985</c:v>
                </c:pt>
                <c:pt idx="57">
                  <c:v>0.24657534246575341</c:v>
                </c:pt>
                <c:pt idx="58">
                  <c:v>0.24657534246575341</c:v>
                </c:pt>
                <c:pt idx="59">
                  <c:v>0.24324324324324326</c:v>
                </c:pt>
                <c:pt idx="60">
                  <c:v>0.24358974358974358</c:v>
                </c:pt>
                <c:pt idx="61">
                  <c:v>0.23456790123456789</c:v>
                </c:pt>
                <c:pt idx="62">
                  <c:v>0.22619047619047619</c:v>
                </c:pt>
                <c:pt idx="63">
                  <c:v>0.23255813953488372</c:v>
                </c:pt>
                <c:pt idx="64">
                  <c:v>0.23255813953488372</c:v>
                </c:pt>
                <c:pt idx="65">
                  <c:v>0.23595505617977527</c:v>
                </c:pt>
                <c:pt idx="66">
                  <c:v>0.23333333333333334</c:v>
                </c:pt>
                <c:pt idx="67">
                  <c:v>0.22826086956521738</c:v>
                </c:pt>
                <c:pt idx="68">
                  <c:v>0.22826086956521738</c:v>
                </c:pt>
                <c:pt idx="69">
                  <c:v>0.22340425531914893</c:v>
                </c:pt>
                <c:pt idx="70">
                  <c:v>0.22105263157894736</c:v>
                </c:pt>
                <c:pt idx="71">
                  <c:v>0.21875</c:v>
                </c:pt>
                <c:pt idx="72">
                  <c:v>0.22448979591836735</c:v>
                </c:pt>
                <c:pt idx="73">
                  <c:v>0.22448979591836735</c:v>
                </c:pt>
                <c:pt idx="74">
                  <c:v>0.22448979591836735</c:v>
                </c:pt>
                <c:pt idx="75">
                  <c:v>0.22448979591836735</c:v>
                </c:pt>
                <c:pt idx="76">
                  <c:v>0.23</c:v>
                </c:pt>
                <c:pt idx="77">
                  <c:v>0.23</c:v>
                </c:pt>
                <c:pt idx="78">
                  <c:v>0.23762376237623761</c:v>
                </c:pt>
                <c:pt idx="79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359698681732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ただ2!$Q$1:$Q$2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ただ2!$A$3:$A$82</c:f>
              <c:numCache>
                <c:formatCode>0\ "回"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ただ2!$Q$3:$Q$82</c:f>
              <c:numCache>
                <c:formatCode>0.0%</c:formatCode>
                <c:ptCount val="80"/>
                <c:pt idx="1">
                  <c:v>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0.22222222222222221</c:v>
                </c:pt>
                <c:pt idx="5">
                  <c:v>0.30769230769230771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0.31578947368421051</c:v>
                </c:pt>
                <c:pt idx="10">
                  <c:v>0.38095238095238093</c:v>
                </c:pt>
                <c:pt idx="11">
                  <c:v>0.38095238095238093</c:v>
                </c:pt>
                <c:pt idx="12">
                  <c:v>0.375</c:v>
                </c:pt>
                <c:pt idx="13">
                  <c:v>0.40740740740740738</c:v>
                </c:pt>
                <c:pt idx="14">
                  <c:v>0.40740740740740738</c:v>
                </c:pt>
                <c:pt idx="15">
                  <c:v>0.39285714285714285</c:v>
                </c:pt>
                <c:pt idx="16">
                  <c:v>0.41379310344827586</c:v>
                </c:pt>
                <c:pt idx="17">
                  <c:v>0.41379310344827586</c:v>
                </c:pt>
                <c:pt idx="18">
                  <c:v>0.46875</c:v>
                </c:pt>
                <c:pt idx="19">
                  <c:v>0.45454545454545453</c:v>
                </c:pt>
                <c:pt idx="20">
                  <c:v>0.45454545454545453</c:v>
                </c:pt>
                <c:pt idx="21">
                  <c:v>0.47058823529411764</c:v>
                </c:pt>
                <c:pt idx="22">
                  <c:v>0.48571428571428571</c:v>
                </c:pt>
                <c:pt idx="23">
                  <c:v>0.48571428571428571</c:v>
                </c:pt>
                <c:pt idx="24">
                  <c:v>0.47222222222222221</c:v>
                </c:pt>
                <c:pt idx="25">
                  <c:v>0.5</c:v>
                </c:pt>
                <c:pt idx="26">
                  <c:v>0.51219512195121952</c:v>
                </c:pt>
                <c:pt idx="27">
                  <c:v>0.51219512195121952</c:v>
                </c:pt>
                <c:pt idx="28">
                  <c:v>0.51219512195121952</c:v>
                </c:pt>
                <c:pt idx="29">
                  <c:v>0.55555555555555558</c:v>
                </c:pt>
                <c:pt idx="30">
                  <c:v>0.53061224489795922</c:v>
                </c:pt>
                <c:pt idx="31">
                  <c:v>0.54</c:v>
                </c:pt>
                <c:pt idx="32">
                  <c:v>0.51923076923076927</c:v>
                </c:pt>
                <c:pt idx="33">
                  <c:v>0.53703703703703709</c:v>
                </c:pt>
                <c:pt idx="34">
                  <c:v>0.5357142857142857</c:v>
                </c:pt>
                <c:pt idx="35">
                  <c:v>0.51724137931034486</c:v>
                </c:pt>
                <c:pt idx="36">
                  <c:v>0.5</c:v>
                </c:pt>
                <c:pt idx="37">
                  <c:v>0.49206349206349204</c:v>
                </c:pt>
                <c:pt idx="38">
                  <c:v>0.50769230769230766</c:v>
                </c:pt>
                <c:pt idx="39">
                  <c:v>0.49275362318840582</c:v>
                </c:pt>
                <c:pt idx="40">
                  <c:v>0.49275362318840582</c:v>
                </c:pt>
                <c:pt idx="41">
                  <c:v>0.48571428571428571</c:v>
                </c:pt>
                <c:pt idx="42">
                  <c:v>0.5</c:v>
                </c:pt>
                <c:pt idx="43">
                  <c:v>0.48648648648648651</c:v>
                </c:pt>
                <c:pt idx="44">
                  <c:v>0.5</c:v>
                </c:pt>
                <c:pt idx="45">
                  <c:v>0.49367088607594939</c:v>
                </c:pt>
                <c:pt idx="46">
                  <c:v>0.48148148148148145</c:v>
                </c:pt>
                <c:pt idx="47">
                  <c:v>0.48780487804878048</c:v>
                </c:pt>
                <c:pt idx="48">
                  <c:v>0.48809523809523808</c:v>
                </c:pt>
                <c:pt idx="49">
                  <c:v>0.4943820224719101</c:v>
                </c:pt>
                <c:pt idx="50">
                  <c:v>0.48888888888888887</c:v>
                </c:pt>
                <c:pt idx="51">
                  <c:v>0.4891304347826087</c:v>
                </c:pt>
                <c:pt idx="52">
                  <c:v>0.48421052631578948</c:v>
                </c:pt>
                <c:pt idx="53">
                  <c:v>0.47422680412371132</c:v>
                </c:pt>
                <c:pt idx="54">
                  <c:v>0.47422680412371132</c:v>
                </c:pt>
                <c:pt idx="55">
                  <c:v>0.46534653465346537</c:v>
                </c:pt>
                <c:pt idx="56">
                  <c:v>0.47572815533980584</c:v>
                </c:pt>
                <c:pt idx="57">
                  <c:v>0.48113207547169812</c:v>
                </c:pt>
                <c:pt idx="58">
                  <c:v>0.47663551401869159</c:v>
                </c:pt>
                <c:pt idx="59">
                  <c:v>0.47222222222222221</c:v>
                </c:pt>
                <c:pt idx="60">
                  <c:v>0.49107142857142855</c:v>
                </c:pt>
                <c:pt idx="61">
                  <c:v>0.49122807017543857</c:v>
                </c:pt>
                <c:pt idx="62">
                  <c:v>0.4956521739130435</c:v>
                </c:pt>
                <c:pt idx="63">
                  <c:v>0.5</c:v>
                </c:pt>
                <c:pt idx="64">
                  <c:v>0.5</c:v>
                </c:pt>
                <c:pt idx="65">
                  <c:v>0.49586776859504134</c:v>
                </c:pt>
                <c:pt idx="66">
                  <c:v>0.49586776859504134</c:v>
                </c:pt>
                <c:pt idx="67">
                  <c:v>0.48799999999999999</c:v>
                </c:pt>
                <c:pt idx="68">
                  <c:v>0.47692307692307695</c:v>
                </c:pt>
                <c:pt idx="69">
                  <c:v>0.47328244274809161</c:v>
                </c:pt>
                <c:pt idx="70">
                  <c:v>0.46969696969696972</c:v>
                </c:pt>
                <c:pt idx="71">
                  <c:v>0.46666666666666667</c:v>
                </c:pt>
                <c:pt idx="72">
                  <c:v>0.46376811594202899</c:v>
                </c:pt>
                <c:pt idx="73">
                  <c:v>0.46478873239436619</c:v>
                </c:pt>
                <c:pt idx="74">
                  <c:v>0.46527777777777779</c:v>
                </c:pt>
                <c:pt idx="75">
                  <c:v>0.46206896551724136</c:v>
                </c:pt>
                <c:pt idx="76">
                  <c:v>0.4589041095890411</c:v>
                </c:pt>
                <c:pt idx="77">
                  <c:v>0.45695364238410596</c:v>
                </c:pt>
                <c:pt idx="78">
                  <c:v>0.45751633986928103</c:v>
                </c:pt>
                <c:pt idx="79">
                  <c:v>0.45454545454545453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679738562091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8" t="s">
        <v>245</v>
      </c>
      <c r="F51" s="139" t="s">
        <v>246</v>
      </c>
      <c r="G51" s="48">
        <v>0</v>
      </c>
      <c r="H51" s="140">
        <f t="shared" ref="H51" si="3">IF(B$17=0,0,G51/B$17)</f>
        <v>0</v>
      </c>
      <c r="I51" s="141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9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612</v>
      </c>
    </row>
    <row r="2" spans="1:2" x14ac:dyDescent="0.4">
      <c r="A2" t="s">
        <v>127</v>
      </c>
      <c r="B2">
        <v>139</v>
      </c>
    </row>
    <row r="3" spans="1:2" x14ac:dyDescent="0.4">
      <c r="A3" t="s">
        <v>128</v>
      </c>
      <c r="B3">
        <v>118</v>
      </c>
    </row>
    <row r="4" spans="1:2" x14ac:dyDescent="0.4">
      <c r="A4" t="s">
        <v>129</v>
      </c>
      <c r="B4">
        <v>79</v>
      </c>
    </row>
    <row r="5" spans="1:2" x14ac:dyDescent="0.4">
      <c r="A5" t="s">
        <v>171</v>
      </c>
      <c r="B5">
        <v>85</v>
      </c>
    </row>
    <row r="6" spans="1:2" x14ac:dyDescent="0.4">
      <c r="A6" t="s">
        <v>172</v>
      </c>
      <c r="B6">
        <v>69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51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14</v>
      </c>
    </row>
    <row r="11" spans="1:2" x14ac:dyDescent="0.4">
      <c r="A11" t="s">
        <v>200</v>
      </c>
      <c r="B11">
        <v>7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0.97011616445119864</v>
      </c>
      <c r="G2" s="159"/>
      <c r="H2" s="158">
        <v>0.72095908283230681</v>
      </c>
      <c r="I2" s="159"/>
      <c r="J2" s="158">
        <v>0.93372560089477497</v>
      </c>
      <c r="K2" s="159"/>
      <c r="L2" s="158">
        <v>0.76165445806787457</v>
      </c>
      <c r="M2" s="159"/>
      <c r="N2" s="158">
        <v>0.64169217292655267</v>
      </c>
      <c r="O2" s="159"/>
      <c r="P2" s="158">
        <v>0.30077234446798495</v>
      </c>
      <c r="Q2" s="159"/>
      <c r="R2" s="158">
        <v>0.33616913827966649</v>
      </c>
      <c r="S2" s="159"/>
      <c r="T2" s="158">
        <v>0.51460888772208124</v>
      </c>
      <c r="U2" s="159"/>
      <c r="V2" s="158">
        <v>0.72307912408242292</v>
      </c>
      <c r="W2" s="159"/>
      <c r="X2" s="158">
        <v>0.45823538006240849</v>
      </c>
      <c r="Y2" s="159"/>
      <c r="Z2" s="158">
        <v>0.27319166277957063</v>
      </c>
      <c r="AA2" s="159"/>
      <c r="AB2" s="158">
        <v>5.5978538784423978E-2</v>
      </c>
      <c r="AC2" s="159"/>
      <c r="AD2" s="158">
        <v>0.73967664284580426</v>
      </c>
      <c r="AE2" s="159"/>
      <c r="AF2" s="158">
        <v>-0.62885135690306782</v>
      </c>
      <c r="AG2" s="159"/>
      <c r="AH2" s="158">
        <v>0.63116887119414011</v>
      </c>
      <c r="AI2" s="159"/>
    </row>
    <row r="3" spans="1:35" x14ac:dyDescent="0.4">
      <c r="A3" s="74">
        <v>1</v>
      </c>
      <c r="B3" s="75" t="s">
        <v>127</v>
      </c>
      <c r="C3" s="76">
        <v>1701.6000000000008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172</v>
      </c>
      <c r="M3" s="80">
        <v>0.35175879396984927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127</v>
      </c>
      <c r="W3" s="79">
        <v>0.17985611510791366</v>
      </c>
      <c r="X3" s="77" t="s">
        <v>127</v>
      </c>
      <c r="Y3" s="80">
        <v>0.32183908045977011</v>
      </c>
      <c r="Z3" s="77" t="s">
        <v>172</v>
      </c>
      <c r="AA3" s="80">
        <v>0.29145728643216079</v>
      </c>
      <c r="AB3" s="77" t="s">
        <v>223</v>
      </c>
      <c r="AC3" s="80">
        <v>1</v>
      </c>
      <c r="AD3" s="77" t="s">
        <v>127</v>
      </c>
      <c r="AE3" s="80">
        <v>0.51209677419354838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213.10000000000002</v>
      </c>
      <c r="D4" s="85" t="s">
        <v>222</v>
      </c>
      <c r="E4" s="97">
        <v>13.3</v>
      </c>
      <c r="F4" s="85" t="s">
        <v>127</v>
      </c>
      <c r="G4" s="86">
        <v>1.7482014388489209</v>
      </c>
      <c r="H4" s="85" t="s">
        <v>127</v>
      </c>
      <c r="I4" s="87">
        <v>0.48920863309352519</v>
      </c>
      <c r="J4" s="85" t="s">
        <v>222</v>
      </c>
      <c r="K4" s="87">
        <v>0</v>
      </c>
      <c r="L4" s="85" t="s">
        <v>127</v>
      </c>
      <c r="M4" s="88">
        <v>0.34836427939876213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-6683.333333333333</v>
      </c>
      <c r="T4" s="85" t="s">
        <v>200</v>
      </c>
      <c r="U4" s="87">
        <v>0</v>
      </c>
      <c r="V4" s="85" t="s">
        <v>171</v>
      </c>
      <c r="W4" s="87">
        <v>0.14117647058823529</v>
      </c>
      <c r="X4" s="85" t="s">
        <v>128</v>
      </c>
      <c r="Y4" s="88">
        <v>0.30010277492291881</v>
      </c>
      <c r="Z4" s="85" t="s">
        <v>200</v>
      </c>
      <c r="AA4" s="88">
        <v>0.27536231884057971</v>
      </c>
      <c r="AB4" s="85" t="s">
        <v>200</v>
      </c>
      <c r="AC4" s="88">
        <v>0.70588235294117652</v>
      </c>
      <c r="AD4" s="85" t="s">
        <v>183</v>
      </c>
      <c r="AE4" s="88">
        <v>0.5</v>
      </c>
      <c r="AF4" s="85" t="s">
        <v>200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12.241726618705043</v>
      </c>
      <c r="F5" s="85" t="s">
        <v>177</v>
      </c>
      <c r="G5" s="86">
        <v>1.9607843137254901</v>
      </c>
      <c r="H5" s="85" t="s">
        <v>177</v>
      </c>
      <c r="I5" s="87">
        <v>0.37254901960784315</v>
      </c>
      <c r="J5" s="85" t="s">
        <v>200</v>
      </c>
      <c r="K5" s="87">
        <v>0.14285714285714285</v>
      </c>
      <c r="L5" s="85" t="s">
        <v>200</v>
      </c>
      <c r="M5" s="88">
        <v>0.30434782608695654</v>
      </c>
      <c r="N5" s="85" t="s">
        <v>172</v>
      </c>
      <c r="O5" s="88">
        <v>0.13400335008375208</v>
      </c>
      <c r="P5" s="85" t="s">
        <v>171</v>
      </c>
      <c r="Q5" s="89">
        <v>10064.039408866995</v>
      </c>
      <c r="R5" s="85" t="s">
        <v>128</v>
      </c>
      <c r="S5" s="89">
        <v>-7744.242424242424</v>
      </c>
      <c r="T5" s="85" t="s">
        <v>222</v>
      </c>
      <c r="U5" s="87">
        <v>0</v>
      </c>
      <c r="V5" s="85" t="s">
        <v>145</v>
      </c>
      <c r="W5" s="87">
        <v>0.11601307189542484</v>
      </c>
      <c r="X5" s="85" t="s">
        <v>171</v>
      </c>
      <c r="Y5" s="88">
        <v>0.2923728813559322</v>
      </c>
      <c r="Z5" s="85" t="s">
        <v>173</v>
      </c>
      <c r="AA5" s="88">
        <v>0.25654450261780104</v>
      </c>
      <c r="AB5" s="85" t="s">
        <v>184</v>
      </c>
      <c r="AC5" s="88">
        <v>0.6785714285714286</v>
      </c>
      <c r="AD5" s="85" t="s">
        <v>184</v>
      </c>
      <c r="AE5" s="88">
        <v>0.44</v>
      </c>
      <c r="AF5" s="85" t="s">
        <v>184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177</v>
      </c>
      <c r="C6" s="84">
        <v>20.999999999999993</v>
      </c>
      <c r="D6" s="85" t="s">
        <v>171</v>
      </c>
      <c r="E6" s="97">
        <v>2.507058823529412</v>
      </c>
      <c r="F6" s="85" t="s">
        <v>145</v>
      </c>
      <c r="G6" s="86">
        <v>2</v>
      </c>
      <c r="H6" s="85" t="s">
        <v>184</v>
      </c>
      <c r="I6" s="87">
        <v>0.35714285714285715</v>
      </c>
      <c r="J6" s="85" t="s">
        <v>127</v>
      </c>
      <c r="K6" s="87">
        <v>0.23741007194244604</v>
      </c>
      <c r="L6" s="85" t="s">
        <v>145</v>
      </c>
      <c r="M6" s="88">
        <v>0.3</v>
      </c>
      <c r="N6" s="85" t="s">
        <v>177</v>
      </c>
      <c r="O6" s="88">
        <v>0.16144578313253011</v>
      </c>
      <c r="P6" s="85" t="s">
        <v>128</v>
      </c>
      <c r="Q6" s="89">
        <v>9312.878787878788</v>
      </c>
      <c r="R6" s="85" t="s">
        <v>173</v>
      </c>
      <c r="S6" s="89">
        <v>-7866.1971830985913</v>
      </c>
      <c r="T6" s="85" t="s">
        <v>223</v>
      </c>
      <c r="U6" s="87">
        <v>0</v>
      </c>
      <c r="V6" s="85" t="s">
        <v>172</v>
      </c>
      <c r="W6" s="87">
        <v>0.10144927536231885</v>
      </c>
      <c r="X6" s="85" t="s">
        <v>145</v>
      </c>
      <c r="Y6" s="88">
        <v>0.28019607843137256</v>
      </c>
      <c r="Z6" s="85" t="s">
        <v>223</v>
      </c>
      <c r="AA6" s="88">
        <v>0.23529411764705882</v>
      </c>
      <c r="AB6" s="85" t="s">
        <v>177</v>
      </c>
      <c r="AC6" s="88">
        <v>0.66363636363636369</v>
      </c>
      <c r="AD6" s="85" t="s">
        <v>172</v>
      </c>
      <c r="AE6" s="88">
        <v>0.43103448275862066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222</v>
      </c>
      <c r="C7" s="84">
        <v>13.3</v>
      </c>
      <c r="D7" s="85" t="s">
        <v>177</v>
      </c>
      <c r="E7" s="97">
        <v>0.41176470588235281</v>
      </c>
      <c r="F7" s="85" t="s">
        <v>200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0.30434782608695654</v>
      </c>
      <c r="L7" s="85" t="s">
        <v>177</v>
      </c>
      <c r="M7" s="88">
        <v>0.29879518072289157</v>
      </c>
      <c r="N7" s="85" t="s">
        <v>127</v>
      </c>
      <c r="O7" s="88">
        <v>0.16180371352785147</v>
      </c>
      <c r="P7" s="85" t="s">
        <v>127</v>
      </c>
      <c r="Q7" s="89">
        <v>9148.9847715736032</v>
      </c>
      <c r="R7" s="85" t="s">
        <v>177</v>
      </c>
      <c r="S7" s="89">
        <v>-7931.3432835820895</v>
      </c>
      <c r="T7" s="85" t="s">
        <v>172</v>
      </c>
      <c r="U7" s="87">
        <v>4.3478260869565216E-2</v>
      </c>
      <c r="V7" s="85" t="s">
        <v>129</v>
      </c>
      <c r="W7" s="87">
        <v>0.10126582278481013</v>
      </c>
      <c r="X7" s="85" t="s">
        <v>129</v>
      </c>
      <c r="Y7" s="88">
        <v>0.27811550151975684</v>
      </c>
      <c r="Z7" s="85" t="s">
        <v>127</v>
      </c>
      <c r="AA7" s="88">
        <v>0.21927497789566755</v>
      </c>
      <c r="AB7" s="85" t="s">
        <v>183</v>
      </c>
      <c r="AC7" s="88">
        <v>0.6</v>
      </c>
      <c r="AD7" s="85" t="s">
        <v>200</v>
      </c>
      <c r="AE7" s="88">
        <v>0.42105263157894735</v>
      </c>
      <c r="AF7" s="85" t="s">
        <v>222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-2.8421709430404007E-14</v>
      </c>
      <c r="D8" s="85" t="s">
        <v>145</v>
      </c>
      <c r="E8" s="97">
        <v>-4.644070168366668E-17</v>
      </c>
      <c r="F8" s="85" t="s">
        <v>222</v>
      </c>
      <c r="G8" s="86">
        <v>2</v>
      </c>
      <c r="H8" s="85" t="s">
        <v>171</v>
      </c>
      <c r="I8" s="87">
        <v>0.31764705882352939</v>
      </c>
      <c r="J8" s="85" t="s">
        <v>171</v>
      </c>
      <c r="K8" s="87">
        <v>0.32941176470588235</v>
      </c>
      <c r="L8" s="85" t="s">
        <v>173</v>
      </c>
      <c r="M8" s="88">
        <v>0.29842931937172773</v>
      </c>
      <c r="N8" s="85" t="s">
        <v>145</v>
      </c>
      <c r="O8" s="88">
        <v>0.16823529411764707</v>
      </c>
      <c r="P8" s="85" t="s">
        <v>129</v>
      </c>
      <c r="Q8" s="89">
        <v>8833.1168831168834</v>
      </c>
      <c r="R8" s="85" t="s">
        <v>184</v>
      </c>
      <c r="S8" s="89">
        <v>-8107.6923076923076</v>
      </c>
      <c r="T8" s="85" t="s">
        <v>171</v>
      </c>
      <c r="U8" s="87">
        <v>8.2352941176470587E-2</v>
      </c>
      <c r="V8" s="85" t="s">
        <v>177</v>
      </c>
      <c r="W8" s="87">
        <v>9.8039215686274508E-2</v>
      </c>
      <c r="X8" s="85" t="s">
        <v>177</v>
      </c>
      <c r="Y8" s="88">
        <v>0.26506024096385544</v>
      </c>
      <c r="Z8" s="85" t="s">
        <v>184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0.41791044776119401</v>
      </c>
      <c r="AF8" s="85" t="s">
        <v>129</v>
      </c>
      <c r="AG8" s="88">
        <v>0.45454545454545453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172</v>
      </c>
      <c r="C9" s="84">
        <v>-7.6000000000000298</v>
      </c>
      <c r="D9" s="85" t="s">
        <v>172</v>
      </c>
      <c r="E9" s="97">
        <v>-0.11014492753623231</v>
      </c>
      <c r="F9" s="85" t="s">
        <v>171</v>
      </c>
      <c r="G9" s="86">
        <v>2.0117647058823529</v>
      </c>
      <c r="H9" s="85" t="s">
        <v>173</v>
      </c>
      <c r="I9" s="87">
        <v>0.29545454545454547</v>
      </c>
      <c r="J9" s="85" t="s">
        <v>177</v>
      </c>
      <c r="K9" s="87">
        <v>0.33333333333333331</v>
      </c>
      <c r="L9" s="85" t="s">
        <v>223</v>
      </c>
      <c r="M9" s="88">
        <v>0.29411764705882354</v>
      </c>
      <c r="N9" s="85" t="s">
        <v>171</v>
      </c>
      <c r="O9" s="88">
        <v>0.16949152542372881</v>
      </c>
      <c r="P9" s="85" t="s">
        <v>145</v>
      </c>
      <c r="Q9" s="89">
        <v>8662.4836601307197</v>
      </c>
      <c r="R9" s="85" t="s">
        <v>127</v>
      </c>
      <c r="S9" s="89">
        <v>-8195.0819672131147</v>
      </c>
      <c r="T9" s="85" t="s">
        <v>127</v>
      </c>
      <c r="U9" s="87">
        <v>0.1079136690647482</v>
      </c>
      <c r="V9" s="85" t="s">
        <v>128</v>
      </c>
      <c r="W9" s="87">
        <v>9.3220338983050849E-2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145</v>
      </c>
      <c r="AC9" s="88">
        <v>0.58012596221133661</v>
      </c>
      <c r="AD9" s="85" t="s">
        <v>145</v>
      </c>
      <c r="AE9" s="88">
        <v>0.3935969868173258</v>
      </c>
      <c r="AF9" s="85" t="s">
        <v>177</v>
      </c>
      <c r="AG9" s="88">
        <v>0.43548387096774194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128</v>
      </c>
      <c r="E10" s="97">
        <v>-2.7500000000000004</v>
      </c>
      <c r="F10" s="85" t="s">
        <v>172</v>
      </c>
      <c r="G10" s="86">
        <v>2.0289855072463769</v>
      </c>
      <c r="H10" s="85" t="s">
        <v>172</v>
      </c>
      <c r="I10" s="87">
        <v>0.27536231884057971</v>
      </c>
      <c r="J10" s="85" t="s">
        <v>145</v>
      </c>
      <c r="K10" s="87">
        <v>0.33333333333333331</v>
      </c>
      <c r="L10" s="85" t="s">
        <v>184</v>
      </c>
      <c r="M10" s="88">
        <v>0.28813559322033899</v>
      </c>
      <c r="N10" s="85" t="s">
        <v>128</v>
      </c>
      <c r="O10" s="88">
        <v>0.16957862281603289</v>
      </c>
      <c r="P10" s="85" t="s">
        <v>177</v>
      </c>
      <c r="Q10" s="89">
        <v>8587.0967741935492</v>
      </c>
      <c r="R10" s="85" t="s">
        <v>171</v>
      </c>
      <c r="S10" s="89">
        <v>-8291.6666666666661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200</v>
      </c>
      <c r="Y10" s="88">
        <v>0.24637681159420291</v>
      </c>
      <c r="Z10" s="85" t="s">
        <v>145</v>
      </c>
      <c r="AA10" s="88">
        <v>0.20823529411764705</v>
      </c>
      <c r="AB10" s="85" t="s">
        <v>127</v>
      </c>
      <c r="AC10" s="88">
        <v>0.57967032967032972</v>
      </c>
      <c r="AD10" s="85" t="s">
        <v>177</v>
      </c>
      <c r="AE10" s="88">
        <v>0.37179487179487181</v>
      </c>
      <c r="AF10" s="85" t="s">
        <v>145</v>
      </c>
      <c r="AG10" s="88">
        <v>0.43267973856209152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200</v>
      </c>
      <c r="C11" s="84">
        <v>-25.300000000000004</v>
      </c>
      <c r="D11" s="85" t="s">
        <v>200</v>
      </c>
      <c r="E11" s="97">
        <v>-3.6142857142857148</v>
      </c>
      <c r="F11" s="85" t="s">
        <v>173</v>
      </c>
      <c r="G11" s="86">
        <v>2.0681818181818183</v>
      </c>
      <c r="H11" s="85" t="s">
        <v>128</v>
      </c>
      <c r="I11" s="87">
        <v>0.26271186440677968</v>
      </c>
      <c r="J11" s="85" t="s">
        <v>128</v>
      </c>
      <c r="K11" s="87">
        <v>0.33898305084745761</v>
      </c>
      <c r="L11" s="85" t="s">
        <v>171</v>
      </c>
      <c r="M11" s="88">
        <v>0.2867231638418079</v>
      </c>
      <c r="N11" s="85" t="s">
        <v>200</v>
      </c>
      <c r="O11" s="88">
        <v>0.17391304347826086</v>
      </c>
      <c r="P11" s="85" t="s">
        <v>183</v>
      </c>
      <c r="Q11" s="89">
        <v>7860</v>
      </c>
      <c r="R11" s="85" t="s">
        <v>145</v>
      </c>
      <c r="S11" s="89">
        <v>-8292.424242424242</v>
      </c>
      <c r="T11" s="85" t="s">
        <v>145</v>
      </c>
      <c r="U11" s="87">
        <v>0.11601307189542484</v>
      </c>
      <c r="V11" s="85" t="s">
        <v>184</v>
      </c>
      <c r="W11" s="87">
        <v>0</v>
      </c>
      <c r="X11" s="85" t="s">
        <v>184</v>
      </c>
      <c r="Y11" s="88">
        <v>0.23728813559322035</v>
      </c>
      <c r="Z11" s="85" t="s">
        <v>171</v>
      </c>
      <c r="AA11" s="88">
        <v>0.18926553672316385</v>
      </c>
      <c r="AB11" s="85" t="s">
        <v>128</v>
      </c>
      <c r="AC11" s="88">
        <v>0.57876712328767121</v>
      </c>
      <c r="AD11" s="85" t="s">
        <v>173</v>
      </c>
      <c r="AE11" s="88">
        <v>0.33673469387755101</v>
      </c>
      <c r="AF11" s="85" t="s">
        <v>128</v>
      </c>
      <c r="AG11" s="88">
        <v>0.42045454545454547</v>
      </c>
      <c r="AH11" s="85" t="s">
        <v>184</v>
      </c>
      <c r="AI11" s="92">
        <v>62700</v>
      </c>
    </row>
    <row r="12" spans="1:35" x14ac:dyDescent="0.4">
      <c r="A12" s="82">
        <v>10</v>
      </c>
      <c r="B12" s="83" t="s">
        <v>184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2.0762711864406778</v>
      </c>
      <c r="H12" s="85" t="s">
        <v>129</v>
      </c>
      <c r="I12" s="87">
        <v>0.24050632911392406</v>
      </c>
      <c r="J12" s="85" t="s">
        <v>173</v>
      </c>
      <c r="K12" s="87">
        <v>0.36363636363636365</v>
      </c>
      <c r="L12" s="85" t="s">
        <v>128</v>
      </c>
      <c r="M12" s="88">
        <v>0.27132579650565264</v>
      </c>
      <c r="N12" s="85" t="s">
        <v>173</v>
      </c>
      <c r="O12" s="88">
        <v>0.18586387434554974</v>
      </c>
      <c r="P12" s="85" t="s">
        <v>184</v>
      </c>
      <c r="Q12" s="89">
        <v>7494.1176470588234</v>
      </c>
      <c r="R12" s="85" t="s">
        <v>172</v>
      </c>
      <c r="S12" s="89">
        <v>-8927.5</v>
      </c>
      <c r="T12" s="85" t="s">
        <v>128</v>
      </c>
      <c r="U12" s="87">
        <v>0.1271186440677966</v>
      </c>
      <c r="V12" s="85" t="s">
        <v>183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0.18795180722891566</v>
      </c>
      <c r="AB12" s="85" t="s">
        <v>171</v>
      </c>
      <c r="AC12" s="88">
        <v>0.5748792270531401</v>
      </c>
      <c r="AD12" s="85" t="s">
        <v>128</v>
      </c>
      <c r="AE12" s="88">
        <v>0.29714285714285715</v>
      </c>
      <c r="AF12" s="85" t="s">
        <v>172</v>
      </c>
      <c r="AG12" s="88">
        <v>0.41904761904761906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184</v>
      </c>
      <c r="E13" s="97">
        <v>-9.9071428571428566</v>
      </c>
      <c r="F13" s="85" t="s">
        <v>184</v>
      </c>
      <c r="G13" s="86">
        <v>2.1428571428571428</v>
      </c>
      <c r="H13" s="85" t="s">
        <v>200</v>
      </c>
      <c r="I13" s="87">
        <v>0.14285714285714285</v>
      </c>
      <c r="J13" s="85" t="s">
        <v>184</v>
      </c>
      <c r="K13" s="87">
        <v>0.5</v>
      </c>
      <c r="L13" s="85" t="s">
        <v>183</v>
      </c>
      <c r="M13" s="88">
        <v>0.26315789473684209</v>
      </c>
      <c r="N13" s="85" t="s">
        <v>129</v>
      </c>
      <c r="O13" s="88">
        <v>0.19300911854103345</v>
      </c>
      <c r="P13" s="85" t="s">
        <v>200</v>
      </c>
      <c r="Q13" s="89">
        <v>7438.0952380952385</v>
      </c>
      <c r="R13" s="85" t="s">
        <v>129</v>
      </c>
      <c r="S13" s="89">
        <v>-9254.3307086614168</v>
      </c>
      <c r="T13" s="85" t="s">
        <v>184</v>
      </c>
      <c r="U13" s="87">
        <v>0.14285714285714285</v>
      </c>
      <c r="V13" s="85" t="s">
        <v>200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0.17985611510791366</v>
      </c>
      <c r="AB13" s="85" t="s">
        <v>172</v>
      </c>
      <c r="AC13" s="88">
        <v>0.55813953488372092</v>
      </c>
      <c r="AD13" s="85" t="s">
        <v>223</v>
      </c>
      <c r="AE13" s="88">
        <v>0.25</v>
      </c>
      <c r="AF13" s="85" t="s">
        <v>127</v>
      </c>
      <c r="AG13" s="88">
        <v>0.4137055837563452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-324.50000000000006</v>
      </c>
      <c r="D14" s="85" t="s">
        <v>223</v>
      </c>
      <c r="E14" s="97">
        <v>-12.35</v>
      </c>
      <c r="F14" s="85" t="s">
        <v>129</v>
      </c>
      <c r="G14" s="86">
        <v>2.2658227848101267</v>
      </c>
      <c r="H14" s="85" t="s">
        <v>222</v>
      </c>
      <c r="I14" s="87">
        <v>0</v>
      </c>
      <c r="J14" s="85" t="s">
        <v>223</v>
      </c>
      <c r="K14" s="87">
        <v>0.5</v>
      </c>
      <c r="L14" s="85" t="s">
        <v>129</v>
      </c>
      <c r="M14" s="88">
        <v>0.23404255319148937</v>
      </c>
      <c r="N14" s="85" t="s">
        <v>184</v>
      </c>
      <c r="O14" s="88">
        <v>0.22033898305084745</v>
      </c>
      <c r="P14" s="85" t="s">
        <v>173</v>
      </c>
      <c r="Q14" s="89">
        <v>6998.2456140350878</v>
      </c>
      <c r="R14" s="85" t="s">
        <v>222</v>
      </c>
      <c r="S14" s="89">
        <v>-12000</v>
      </c>
      <c r="T14" s="85" t="s">
        <v>177</v>
      </c>
      <c r="U14" s="87">
        <v>0.17647058823529413</v>
      </c>
      <c r="V14" s="85" t="s">
        <v>222</v>
      </c>
      <c r="W14" s="87">
        <v>0</v>
      </c>
      <c r="X14" s="85" t="s">
        <v>172</v>
      </c>
      <c r="Y14" s="88">
        <v>0.21608040201005024</v>
      </c>
      <c r="Z14" s="85" t="s">
        <v>129</v>
      </c>
      <c r="AA14" s="88">
        <v>0.15501519756838905</v>
      </c>
      <c r="AB14" s="85" t="s">
        <v>129</v>
      </c>
      <c r="AC14" s="88">
        <v>0.51912568306010931</v>
      </c>
      <c r="AD14" s="85" t="s">
        <v>129</v>
      </c>
      <c r="AE14" s="88">
        <v>0.23529411764705882</v>
      </c>
      <c r="AF14" s="85" t="s">
        <v>171</v>
      </c>
      <c r="AG14" s="88">
        <v>0.40886699507389163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-1226.5999999999999</v>
      </c>
      <c r="D15" s="85" t="s">
        <v>129</v>
      </c>
      <c r="E15" s="97">
        <v>-15.526582278481012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129</v>
      </c>
      <c r="K15" s="87">
        <v>0.50632911392405067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6635.7142857142853</v>
      </c>
      <c r="R15" s="85" t="s">
        <v>223</v>
      </c>
      <c r="S15" s="89">
        <v>-12425</v>
      </c>
      <c r="T15" s="85" t="s">
        <v>129</v>
      </c>
      <c r="U15" s="87">
        <v>0.189873417721519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8DE6-F449-4380-B816-B263642B4AAF}">
  <sheetPr codeName="Sheet4"/>
  <dimension ref="A1:Q61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612</v>
      </c>
      <c r="C2" s="151"/>
      <c r="E2" s="62" t="s">
        <v>67</v>
      </c>
      <c r="F2" s="59" t="s">
        <v>23</v>
      </c>
      <c r="G2" s="46">
        <v>1138</v>
      </c>
      <c r="H2" s="132">
        <f>IF(B$17=0,0,G2/B$17)</f>
        <v>0.74379084967320264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-13.071895424836601</v>
      </c>
      <c r="P2" s="118">
        <v>612</v>
      </c>
      <c r="Q2" s="102">
        <v>-8000</v>
      </c>
    </row>
    <row r="3" spans="1:17" x14ac:dyDescent="0.4">
      <c r="A3" s="55" t="s">
        <v>8</v>
      </c>
      <c r="B3" s="152">
        <v>5100</v>
      </c>
      <c r="C3" s="153"/>
      <c r="E3" s="63" t="s">
        <v>65</v>
      </c>
      <c r="F3" s="60" t="s">
        <v>21</v>
      </c>
      <c r="G3" s="47">
        <v>790</v>
      </c>
      <c r="H3" s="133">
        <f>IF(B$17=0,0,G3/B$17)</f>
        <v>0.5163398692810458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-10.050251256281408</v>
      </c>
      <c r="P3" s="119">
        <v>597</v>
      </c>
      <c r="Q3" s="103">
        <v>-6000</v>
      </c>
    </row>
    <row r="4" spans="1:17" x14ac:dyDescent="0.4">
      <c r="A4" s="55" t="s">
        <v>6</v>
      </c>
      <c r="B4" s="154">
        <v>-2.8421709430404007E-14</v>
      </c>
      <c r="C4" s="155"/>
      <c r="E4" s="63" t="s">
        <v>73</v>
      </c>
      <c r="F4" s="60" t="s">
        <v>28</v>
      </c>
      <c r="G4" s="47">
        <v>770</v>
      </c>
      <c r="H4" s="133">
        <f>IF(B$17=0,0,G4/B$17)</f>
        <v>0.50326797385620914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8.8652482269503547</v>
      </c>
      <c r="P4" s="119">
        <v>564</v>
      </c>
      <c r="Q4" s="103">
        <v>5000</v>
      </c>
    </row>
    <row r="5" spans="1:17" x14ac:dyDescent="0.4">
      <c r="A5" s="55" t="s">
        <v>7</v>
      </c>
      <c r="B5" s="156">
        <f>IF(B$2=0,0,B$4/B$2)</f>
        <v>-4.644070168366668E-17</v>
      </c>
      <c r="C5" s="157"/>
      <c r="E5" s="63" t="s">
        <v>245</v>
      </c>
      <c r="F5" s="60" t="s">
        <v>246</v>
      </c>
      <c r="G5" s="47">
        <v>630</v>
      </c>
      <c r="H5" s="133">
        <f>IF(B$17=0,0,G5/B$17)</f>
        <v>0.41176470588235292</v>
      </c>
      <c r="I5" s="94">
        <v>4</v>
      </c>
      <c r="K5" s="38">
        <v>3</v>
      </c>
      <c r="L5" s="99">
        <v>0</v>
      </c>
      <c r="N5" s="115" t="s">
        <v>135</v>
      </c>
      <c r="O5" s="122">
        <f t="shared" si="0"/>
        <v>11.695906432748538</v>
      </c>
      <c r="P5" s="119">
        <v>513</v>
      </c>
      <c r="Q5" s="103">
        <v>6000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479</v>
      </c>
      <c r="H6" s="133">
        <f>IF(B$17=0,0,G6/B$17)</f>
        <v>0.3130718954248366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-15.151515151515152</v>
      </c>
      <c r="P6" s="119">
        <v>462</v>
      </c>
      <c r="Q6" s="103">
        <v>-7000</v>
      </c>
    </row>
    <row r="7" spans="1:17" x14ac:dyDescent="0.4">
      <c r="A7" s="55" t="s">
        <v>2</v>
      </c>
      <c r="B7" s="47">
        <v>204</v>
      </c>
      <c r="C7" s="39">
        <f>IF(B$2=0,0,B7/B$2)</f>
        <v>0.33333333333333331</v>
      </c>
      <c r="E7" s="63" t="s">
        <v>68</v>
      </c>
      <c r="F7" s="60" t="s">
        <v>24</v>
      </c>
      <c r="G7" s="47">
        <v>470</v>
      </c>
      <c r="H7" s="133">
        <f>IF(B$17=0,0,G7/B$17)</f>
        <v>0.30718954248366015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24.154589371980677</v>
      </c>
      <c r="P7" s="120">
        <v>414</v>
      </c>
      <c r="Q7" s="104">
        <v>10000</v>
      </c>
    </row>
    <row r="8" spans="1:17" x14ac:dyDescent="0.4">
      <c r="A8" s="55" t="s">
        <v>3</v>
      </c>
      <c r="B8" s="47">
        <v>204</v>
      </c>
      <c r="C8" s="39">
        <f>IF(B$2=0,0,B8/B$2)</f>
        <v>0.33333333333333331</v>
      </c>
      <c r="E8" s="63" t="s">
        <v>70</v>
      </c>
      <c r="F8" s="60" t="s">
        <v>25</v>
      </c>
      <c r="G8" s="47">
        <v>272</v>
      </c>
      <c r="H8" s="133">
        <f>IF(B$17=0,0,G8/B$17)</f>
        <v>0.17777777777777778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204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190</v>
      </c>
      <c r="H9" s="133">
        <f>IF(B$17=0,0,G9/B$17)</f>
        <v>0.12418300653594772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71</v>
      </c>
      <c r="C10" s="40">
        <f>IF(B$2=0,0,B10/B$2)</f>
        <v>0.11601307189542484</v>
      </c>
      <c r="E10" s="63" t="s">
        <v>66</v>
      </c>
      <c r="F10" s="60" t="s">
        <v>22</v>
      </c>
      <c r="G10" s="47">
        <v>187</v>
      </c>
      <c r="H10" s="133">
        <f>IF(B$17=0,0,G10/B$17)</f>
        <v>0.12222222222222222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-1.9313725490196076</v>
      </c>
      <c r="P10" s="118">
        <v>204</v>
      </c>
      <c r="Q10" s="106">
        <v>-393.99999999999994</v>
      </c>
    </row>
    <row r="11" spans="1:17" x14ac:dyDescent="0.4">
      <c r="A11" s="56" t="s">
        <v>140</v>
      </c>
      <c r="B11" s="48">
        <v>71</v>
      </c>
      <c r="C11" s="40">
        <f>IF(B$2=0,0,B11/B$2)</f>
        <v>0.11601307189542484</v>
      </c>
      <c r="E11" s="63" t="s">
        <v>71</v>
      </c>
      <c r="F11" s="60" t="s">
        <v>26</v>
      </c>
      <c r="G11" s="47">
        <v>149</v>
      </c>
      <c r="H11" s="133">
        <f>IF(B$17=0,0,G11/B$17)</f>
        <v>9.7385620915032681E-2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-0.49019607843137269</v>
      </c>
      <c r="P11" s="119">
        <v>204</v>
      </c>
      <c r="Q11" s="107">
        <v>-100.00000000000003</v>
      </c>
    </row>
    <row r="12" spans="1:17" x14ac:dyDescent="0.4">
      <c r="A12" s="57" t="s">
        <v>160</v>
      </c>
      <c r="B12" s="49">
        <v>52</v>
      </c>
      <c r="C12" s="42">
        <f>IF(B$2=0,0,B12/B$2)</f>
        <v>8.4967320261437912E-2</v>
      </c>
      <c r="E12" s="63" t="s">
        <v>72</v>
      </c>
      <c r="F12" s="60" t="s">
        <v>27</v>
      </c>
      <c r="G12" s="47">
        <v>104</v>
      </c>
      <c r="H12" s="133">
        <f>IF(B$17=0,0,G12/B$17)</f>
        <v>6.7973856209150321E-2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2.4215686274509802</v>
      </c>
      <c r="P12" s="120">
        <v>204</v>
      </c>
      <c r="Q12" s="108">
        <v>494</v>
      </c>
    </row>
    <row r="13" spans="1:17" x14ac:dyDescent="0.4">
      <c r="A13" s="58" t="s">
        <v>122</v>
      </c>
      <c r="B13" s="50">
        <v>1429</v>
      </c>
      <c r="C13" s="44">
        <f>IF(B$3=0,0,B13/B$3)</f>
        <v>0.28019607843137256</v>
      </c>
      <c r="E13" s="63" t="s">
        <v>87</v>
      </c>
      <c r="F13" s="60" t="s">
        <v>42</v>
      </c>
      <c r="G13" s="47">
        <v>85</v>
      </c>
      <c r="H13" s="133">
        <f>IF(B$17=0,0,G13/B$17)</f>
        <v>5.5555555555555552E-2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1062</v>
      </c>
      <c r="C14" s="39">
        <f>IF(B$3=0,0,B14/B$3)</f>
        <v>0.20823529411764705</v>
      </c>
      <c r="E14" s="63" t="s">
        <v>84</v>
      </c>
      <c r="F14" s="60" t="s">
        <v>39</v>
      </c>
      <c r="G14" s="47">
        <v>70</v>
      </c>
      <c r="H14" s="133">
        <f>IF(B$17=0,0,G14/B$17)</f>
        <v>4.5751633986928102E-2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829</v>
      </c>
      <c r="C15" s="37">
        <f>IF(B$13=0,0,B15/B$13)</f>
        <v>0.58012596221133661</v>
      </c>
      <c r="E15" s="63" t="s">
        <v>82</v>
      </c>
      <c r="F15" s="60" t="s">
        <v>37</v>
      </c>
      <c r="G15" s="47">
        <v>42</v>
      </c>
      <c r="H15" s="133">
        <f>IF(B$17=0,0,G15/B$17)</f>
        <v>2.7450980392156862E-2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23.289873417721548</v>
      </c>
      <c r="P15" s="118">
        <v>158</v>
      </c>
      <c r="Q15" s="106">
        <v>3679.8000000000047</v>
      </c>
    </row>
    <row r="16" spans="1:17" x14ac:dyDescent="0.4">
      <c r="A16" s="54" t="s">
        <v>125</v>
      </c>
      <c r="B16" s="46">
        <v>418</v>
      </c>
      <c r="C16" s="37">
        <f>IF(B$14=0,0,B16/B$14)</f>
        <v>0.3935969868173258</v>
      </c>
      <c r="E16" s="63" t="s">
        <v>79</v>
      </c>
      <c r="F16" s="60" t="s">
        <v>34</v>
      </c>
      <c r="G16" s="47">
        <v>40</v>
      </c>
      <c r="H16" s="133">
        <f>IF(B$17=0,0,G16/B$17)</f>
        <v>2.6143790849673203E-2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1530</v>
      </c>
      <c r="C17" s="37">
        <f>IF(B$3=0,0,B17/B$3)</f>
        <v>0.3</v>
      </c>
      <c r="E17" s="63" t="s">
        <v>92</v>
      </c>
      <c r="F17" s="60" t="s">
        <v>47</v>
      </c>
      <c r="G17" s="47">
        <v>30</v>
      </c>
      <c r="H17" s="133">
        <f>IF(B$17=0,0,G17/B$17)</f>
        <v>1.9607843137254902E-2</v>
      </c>
      <c r="I17" s="94">
        <v>5</v>
      </c>
      <c r="K17" s="38">
        <v>15</v>
      </c>
      <c r="L17" s="99">
        <v>-1.0658141036401503E-14</v>
      </c>
      <c r="N17" s="115" t="s">
        <v>184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662</v>
      </c>
      <c r="C18" s="39">
        <f>IF(B$17=0,0,B18/B$17)</f>
        <v>0.43267973856209152</v>
      </c>
      <c r="E18" s="63" t="s">
        <v>180</v>
      </c>
      <c r="F18" s="60" t="s">
        <v>181</v>
      </c>
      <c r="G18" s="47">
        <v>24</v>
      </c>
      <c r="H18" s="133">
        <f>IF(B$17=0,0,G18/B$17)</f>
        <v>1.5686274509803921E-2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868</v>
      </c>
      <c r="C19" s="39">
        <f>IF(B$17=0,0,B19/B$17)</f>
        <v>0.56732026143790848</v>
      </c>
      <c r="E19" s="63" t="s">
        <v>80</v>
      </c>
      <c r="F19" s="60" t="s">
        <v>35</v>
      </c>
      <c r="G19" s="47">
        <v>23</v>
      </c>
      <c r="H19" s="133">
        <f>IF(B$17=0,0,G19/B$17)</f>
        <v>1.5032679738562092E-2</v>
      </c>
      <c r="I19" s="94">
        <v>5</v>
      </c>
      <c r="K19" s="38">
        <v>17</v>
      </c>
      <c r="L19" s="99">
        <v>8.2999999999999972</v>
      </c>
      <c r="N19" s="115" t="s">
        <v>200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858</v>
      </c>
      <c r="C20" s="39">
        <f>IF(B$3=0,0,B20/B$3)</f>
        <v>0.16823529411764707</v>
      </c>
      <c r="E20" s="63" t="s">
        <v>74</v>
      </c>
      <c r="F20" s="60" t="s">
        <v>29</v>
      </c>
      <c r="G20" s="47">
        <v>9</v>
      </c>
      <c r="H20" s="133">
        <f>IF(B$17=0,0,G20/B$17)</f>
        <v>5.8823529411764705E-3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4.1250000000000009</v>
      </c>
      <c r="P20" s="119">
        <v>236</v>
      </c>
      <c r="Q20" s="107">
        <v>973.50000000000023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5.8823529411764705E-3</v>
      </c>
      <c r="I21" s="94">
        <v>5</v>
      </c>
      <c r="K21" s="38">
        <v>19</v>
      </c>
      <c r="L21" s="99">
        <v>30.999999999999996</v>
      </c>
      <c r="N21" s="115" t="s">
        <v>172</v>
      </c>
      <c r="O21" s="125">
        <f>IF(P21=0,0,Q21/P21)</f>
        <v>0.16521739130434679</v>
      </c>
      <c r="P21" s="119">
        <v>138</v>
      </c>
      <c r="Q21" s="107">
        <v>22.799999999999855</v>
      </c>
    </row>
    <row r="22" spans="1:17" x14ac:dyDescent="0.4">
      <c r="A22" s="55" t="s">
        <v>192</v>
      </c>
      <c r="B22" s="47">
        <v>31</v>
      </c>
      <c r="C22" s="135">
        <v>0</v>
      </c>
      <c r="E22" s="63" t="s">
        <v>93</v>
      </c>
      <c r="F22" s="60" t="s">
        <v>48</v>
      </c>
      <c r="G22" s="47">
        <v>7</v>
      </c>
      <c r="H22" s="133">
        <f>IF(B$17=0,0,G22/B$17)</f>
        <v>4.5751633986928107E-3</v>
      </c>
      <c r="I22" s="94">
        <v>5</v>
      </c>
      <c r="K22" s="38">
        <v>20</v>
      </c>
      <c r="L22" s="99">
        <v>0.79999999999999716</v>
      </c>
      <c r="N22" s="115" t="s">
        <v>177</v>
      </c>
      <c r="O22" s="125">
        <f>IF(P22=0,0,Q22/P22)</f>
        <v>-0.6176470588235311</v>
      </c>
      <c r="P22" s="119">
        <v>102</v>
      </c>
      <c r="Q22" s="107">
        <v>-63.000000000000178</v>
      </c>
    </row>
    <row r="23" spans="1:17" x14ac:dyDescent="0.4">
      <c r="A23" s="55" t="s">
        <v>5</v>
      </c>
      <c r="B23" s="51">
        <f>IF(B$17=0,0,C23/B$17)</f>
        <v>8662.4836601307197</v>
      </c>
      <c r="C23" s="41">
        <v>13253600</v>
      </c>
      <c r="E23" s="63" t="s">
        <v>75</v>
      </c>
      <c r="F23" s="60" t="s">
        <v>30</v>
      </c>
      <c r="G23" s="47">
        <v>6</v>
      </c>
      <c r="H23" s="133">
        <f>IF(B$17=0,0,G23/B$17)</f>
        <v>3.9215686274509803E-3</v>
      </c>
      <c r="I23" s="94">
        <v>5</v>
      </c>
      <c r="K23" s="38">
        <v>21</v>
      </c>
      <c r="L23" s="99">
        <v>-2.886579864025407E-15</v>
      </c>
      <c r="N23" s="115" t="s">
        <v>171</v>
      </c>
      <c r="O23" s="125">
        <f>IF(P23=0,0,Q23/P23)</f>
        <v>-3.7605882352941156</v>
      </c>
      <c r="P23" s="119">
        <v>170</v>
      </c>
      <c r="Q23" s="107">
        <v>-639.29999999999961</v>
      </c>
    </row>
    <row r="24" spans="1:17" x14ac:dyDescent="0.4">
      <c r="A24" s="57" t="s">
        <v>14</v>
      </c>
      <c r="B24" s="52">
        <f>IF(B$20=0,0,C24/B$20)</f>
        <v>-8292.424242424242</v>
      </c>
      <c r="C24" s="45">
        <v>-7114900</v>
      </c>
      <c r="E24" s="63" t="s">
        <v>88</v>
      </c>
      <c r="F24" s="60" t="s">
        <v>43</v>
      </c>
      <c r="G24" s="47">
        <v>6</v>
      </c>
      <c r="H24" s="133">
        <f>IF(B$17=0,0,G24/B$17)</f>
        <v>3.9215686274509803E-3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-18.362589928057535</v>
      </c>
      <c r="P24" s="119">
        <v>278</v>
      </c>
      <c r="Q24" s="107">
        <v>-5104.7999999999947</v>
      </c>
    </row>
    <row r="25" spans="1:17" x14ac:dyDescent="0.4">
      <c r="A25" s="90" t="s">
        <v>142</v>
      </c>
      <c r="B25" s="144">
        <v>8</v>
      </c>
      <c r="C25" s="145"/>
      <c r="E25" s="63" t="s">
        <v>86</v>
      </c>
      <c r="F25" s="60" t="s">
        <v>41</v>
      </c>
      <c r="G25" s="47">
        <v>5</v>
      </c>
      <c r="H25" s="133">
        <f>IF(B$17=0,0,G25/B$17)</f>
        <v>3.2679738562091504E-3</v>
      </c>
      <c r="I25" s="94">
        <v>3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5</v>
      </c>
      <c r="H26" s="133">
        <f>IF(B$17=0,0,G26/B$17)</f>
        <v>3.2679738562091504E-3</v>
      </c>
      <c r="I26" s="94">
        <v>4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2.7450980392156863E-3</v>
      </c>
      <c r="E27" s="63" t="s">
        <v>78</v>
      </c>
      <c r="F27" s="60" t="s">
        <v>33</v>
      </c>
      <c r="G27" s="47">
        <v>4</v>
      </c>
      <c r="H27" s="133">
        <f>IF(B$17=0,0,G27/B$17)</f>
        <v>2.6143790849673201E-3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85</v>
      </c>
      <c r="F28" s="60" t="s">
        <v>40</v>
      </c>
      <c r="G28" s="47">
        <v>4</v>
      </c>
      <c r="H28" s="133">
        <f>IF(B$17=0,0,G28/B$17)</f>
        <v>2.6143790849673201E-3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4</v>
      </c>
      <c r="H29" s="133">
        <f>IF(B$17=0,0,G29/B$17)</f>
        <v>2.6143790849673201E-3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1.30718954248366E-3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1.30718954248366E-3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6.5359477124183002E-4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4CE-7006-4F46-8BD2-4265ACD7CDB1}">
  <sheetPr codeName="Sheet7"/>
  <dimension ref="A1:Q14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139</v>
      </c>
      <c r="C2" s="151"/>
      <c r="E2" s="62" t="s">
        <v>67</v>
      </c>
      <c r="F2" s="59" t="s">
        <v>23</v>
      </c>
      <c r="G2" s="46">
        <v>292</v>
      </c>
      <c r="H2" s="132">
        <f>IF(B$17=0,0,G2/B$17)</f>
        <v>0.74111675126903553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1973.3812949640287</v>
      </c>
      <c r="P2" s="118">
        <v>139</v>
      </c>
      <c r="Q2" s="102">
        <v>274300</v>
      </c>
    </row>
    <row r="3" spans="1:17" x14ac:dyDescent="0.4">
      <c r="A3" s="55" t="s">
        <v>8</v>
      </c>
      <c r="B3" s="152">
        <v>1131</v>
      </c>
      <c r="C3" s="153"/>
      <c r="E3" s="63" t="s">
        <v>73</v>
      </c>
      <c r="F3" s="60" t="s">
        <v>28</v>
      </c>
      <c r="G3" s="47">
        <v>221</v>
      </c>
      <c r="H3" s="133">
        <f>IF(B$17=0,0,G3/B$17)</f>
        <v>0.56091370558375631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1253.3333333333333</v>
      </c>
      <c r="P3" s="119">
        <v>135</v>
      </c>
      <c r="Q3" s="103">
        <v>169200</v>
      </c>
    </row>
    <row r="4" spans="1:17" x14ac:dyDescent="0.4">
      <c r="A4" s="55" t="s">
        <v>6</v>
      </c>
      <c r="B4" s="154">
        <v>1701.6000000000008</v>
      </c>
      <c r="C4" s="155"/>
      <c r="E4" s="63" t="s">
        <v>65</v>
      </c>
      <c r="F4" s="60" t="s">
        <v>21</v>
      </c>
      <c r="G4" s="47">
        <v>194</v>
      </c>
      <c r="H4" s="133">
        <f>IF(B$17=0,0,G4/B$17)</f>
        <v>0.49238578680203043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1151.5625</v>
      </c>
      <c r="P4" s="119">
        <v>128</v>
      </c>
      <c r="Q4" s="103">
        <v>147400</v>
      </c>
    </row>
    <row r="5" spans="1:17" x14ac:dyDescent="0.4">
      <c r="A5" s="55" t="s">
        <v>7</v>
      </c>
      <c r="B5" s="156">
        <f>IF(B$2=0,0,B$4/B$2)</f>
        <v>12.241726618705043</v>
      </c>
      <c r="C5" s="157"/>
      <c r="E5" s="63" t="s">
        <v>245</v>
      </c>
      <c r="F5" s="60" t="s">
        <v>246</v>
      </c>
      <c r="G5" s="47">
        <v>162</v>
      </c>
      <c r="H5" s="133">
        <f>IF(B$17=0,0,G5/B$17)</f>
        <v>0.41116751269035534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2609.4017094017095</v>
      </c>
      <c r="P5" s="119">
        <v>117</v>
      </c>
      <c r="Q5" s="103">
        <v>305300</v>
      </c>
    </row>
    <row r="6" spans="1:17" x14ac:dyDescent="0.4">
      <c r="A6" s="55" t="s">
        <v>1</v>
      </c>
      <c r="B6" s="146">
        <f>IF(B$2=0,0,(B$7*1+B$8*2+B$9*3)/B$2)</f>
        <v>1.7482014388489209</v>
      </c>
      <c r="C6" s="147"/>
      <c r="E6" s="63" t="s">
        <v>68</v>
      </c>
      <c r="F6" s="60" t="s">
        <v>24</v>
      </c>
      <c r="G6" s="47">
        <v>115</v>
      </c>
      <c r="H6" s="133">
        <f>IF(B$17=0,0,G6/B$17)</f>
        <v>0.29187817258883247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355.33980582524271</v>
      </c>
      <c r="P6" s="119">
        <v>103</v>
      </c>
      <c r="Q6" s="103">
        <v>36600</v>
      </c>
    </row>
    <row r="7" spans="1:17" x14ac:dyDescent="0.4">
      <c r="A7" s="55" t="s">
        <v>2</v>
      </c>
      <c r="B7" s="47">
        <v>68</v>
      </c>
      <c r="C7" s="39">
        <f>IF(B$2=0,0,B7/B$2)</f>
        <v>0.48920863309352519</v>
      </c>
      <c r="E7" s="63" t="s">
        <v>69</v>
      </c>
      <c r="F7" s="60" t="s">
        <v>12</v>
      </c>
      <c r="G7" s="47">
        <v>106</v>
      </c>
      <c r="H7" s="133">
        <f>IF(B$17=0,0,G7/B$17)</f>
        <v>0.26903553299492383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664.44444444444446</v>
      </c>
      <c r="P7" s="120">
        <v>90</v>
      </c>
      <c r="Q7" s="104">
        <v>59800</v>
      </c>
    </row>
    <row r="8" spans="1:17" x14ac:dyDescent="0.4">
      <c r="A8" s="55" t="s">
        <v>3</v>
      </c>
      <c r="B8" s="47">
        <v>38</v>
      </c>
      <c r="C8" s="39">
        <f>IF(B$2=0,0,B8/B$2)</f>
        <v>0.2733812949640288</v>
      </c>
      <c r="E8" s="63" t="s">
        <v>70</v>
      </c>
      <c r="F8" s="60" t="s">
        <v>25</v>
      </c>
      <c r="G8" s="47">
        <v>65</v>
      </c>
      <c r="H8" s="133">
        <f>IF(B$17=0,0,G8/B$17)</f>
        <v>0.1649746192893401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0.23741007194244604</v>
      </c>
      <c r="E9" s="63" t="s">
        <v>90</v>
      </c>
      <c r="F9" s="60" t="s">
        <v>45</v>
      </c>
      <c r="G9" s="47">
        <v>60</v>
      </c>
      <c r="H9" s="133">
        <f>IF(B$17=0,0,G9/B$17)</f>
        <v>0.15228426395939088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0.1079136690647482</v>
      </c>
      <c r="E10" s="63" t="s">
        <v>66</v>
      </c>
      <c r="F10" s="60" t="s">
        <v>22</v>
      </c>
      <c r="G10" s="47">
        <v>52</v>
      </c>
      <c r="H10" s="133">
        <f>IF(B$17=0,0,G10/B$17)</f>
        <v>0.13197969543147209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14.02093023255814</v>
      </c>
      <c r="P10" s="118">
        <v>43</v>
      </c>
      <c r="Q10" s="106">
        <v>602.9</v>
      </c>
    </row>
    <row r="11" spans="1:17" x14ac:dyDescent="0.4">
      <c r="A11" s="56" t="s">
        <v>140</v>
      </c>
      <c r="B11" s="48">
        <v>25</v>
      </c>
      <c r="C11" s="40">
        <f>IF(B$2=0,0,B11/B$2)</f>
        <v>0.17985611510791366</v>
      </c>
      <c r="E11" s="63" t="s">
        <v>71</v>
      </c>
      <c r="F11" s="60" t="s">
        <v>26</v>
      </c>
      <c r="G11" s="47">
        <v>35</v>
      </c>
      <c r="H11" s="133">
        <f>IF(B$17=0,0,G11/B$17)</f>
        <v>8.8832487309644673E-2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9.7666666666666657</v>
      </c>
      <c r="P11" s="119">
        <v>42</v>
      </c>
      <c r="Q11" s="107">
        <v>410.2</v>
      </c>
    </row>
    <row r="12" spans="1:17" x14ac:dyDescent="0.4">
      <c r="A12" s="57" t="s">
        <v>160</v>
      </c>
      <c r="B12" s="49">
        <v>20</v>
      </c>
      <c r="C12" s="42">
        <f>IF(B$2=0,0,B12/B$2)</f>
        <v>0.14388489208633093</v>
      </c>
      <c r="E12" s="63" t="s">
        <v>72</v>
      </c>
      <c r="F12" s="60" t="s">
        <v>27</v>
      </c>
      <c r="G12" s="47">
        <v>28</v>
      </c>
      <c r="H12" s="133">
        <f>IF(B$17=0,0,G12/B$17)</f>
        <v>7.1065989847715741E-2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12.750000000000002</v>
      </c>
      <c r="P12" s="120">
        <v>54</v>
      </c>
      <c r="Q12" s="108">
        <v>688.50000000000011</v>
      </c>
    </row>
    <row r="13" spans="1:17" x14ac:dyDescent="0.4">
      <c r="A13" s="58" t="s">
        <v>122</v>
      </c>
      <c r="B13" s="50">
        <v>364</v>
      </c>
      <c r="C13" s="44">
        <f>IF(B$3=0,0,B13/B$3)</f>
        <v>0.32183908045977011</v>
      </c>
      <c r="E13" s="63" t="s">
        <v>87</v>
      </c>
      <c r="F13" s="60" t="s">
        <v>42</v>
      </c>
      <c r="G13" s="47">
        <v>28</v>
      </c>
      <c r="H13" s="133">
        <f>IF(B$17=0,0,G13/B$17)</f>
        <v>7.1065989847715741E-2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248</v>
      </c>
      <c r="C14" s="39">
        <f>IF(B$3=0,0,B14/B$3)</f>
        <v>0.21927497789566755</v>
      </c>
      <c r="E14" s="63" t="s">
        <v>84</v>
      </c>
      <c r="F14" s="60" t="s">
        <v>39</v>
      </c>
      <c r="G14" s="47">
        <v>19</v>
      </c>
      <c r="H14" s="133">
        <f>IF(B$17=0,0,G14/B$17)</f>
        <v>4.8223350253807105E-2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211</v>
      </c>
      <c r="C15" s="37">
        <f>IF(B$13=0,0,B15/B$13)</f>
        <v>0.57967032967032972</v>
      </c>
      <c r="E15" s="63" t="s">
        <v>180</v>
      </c>
      <c r="F15" s="60" t="s">
        <v>181</v>
      </c>
      <c r="G15" s="47">
        <v>13</v>
      </c>
      <c r="H15" s="133">
        <f>IF(B$17=0,0,G15/B$17)</f>
        <v>3.2994923857868022E-2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127</v>
      </c>
      <c r="C16" s="37">
        <f>IF(B$14=0,0,B16/B$14)</f>
        <v>0.51209677419354838</v>
      </c>
      <c r="E16" s="63" t="s">
        <v>82</v>
      </c>
      <c r="F16" s="60" t="s">
        <v>37</v>
      </c>
      <c r="G16" s="47">
        <v>11</v>
      </c>
      <c r="H16" s="133">
        <f>IF(B$17=0,0,G16/B$17)</f>
        <v>2.7918781725888325E-2</v>
      </c>
      <c r="I16" s="94">
        <v>6</v>
      </c>
      <c r="K16" s="38">
        <v>14</v>
      </c>
      <c r="L16" s="99">
        <v>473.50000000000006</v>
      </c>
      <c r="N16" s="115" t="s">
        <v>177</v>
      </c>
      <c r="O16" s="125">
        <f>IF(P16=0,0,Q16/P16)</f>
        <v>30.80869565217392</v>
      </c>
      <c r="P16" s="119">
        <v>23</v>
      </c>
      <c r="Q16" s="107">
        <v>708.60000000000014</v>
      </c>
    </row>
    <row r="17" spans="1:17" x14ac:dyDescent="0.4">
      <c r="A17" s="54" t="s">
        <v>10</v>
      </c>
      <c r="B17" s="46">
        <f>B19+B18</f>
        <v>394</v>
      </c>
      <c r="C17" s="37">
        <f>IF(B$3=0,0,B17/B$3)</f>
        <v>0.34836427939876213</v>
      </c>
      <c r="E17" s="63" t="s">
        <v>79</v>
      </c>
      <c r="F17" s="60" t="s">
        <v>34</v>
      </c>
      <c r="G17" s="47">
        <v>9</v>
      </c>
      <c r="H17" s="133">
        <f>IF(B$17=0,0,G17/B$17)</f>
        <v>2.2842639593908629E-2</v>
      </c>
      <c r="I17" s="94">
        <v>7</v>
      </c>
      <c r="K17" s="38">
        <v>15</v>
      </c>
      <c r="L17" s="99">
        <v>481.50000000000006</v>
      </c>
      <c r="N17" s="115" t="s">
        <v>129</v>
      </c>
      <c r="O17" s="125">
        <f>IF(P17=0,0,Q17/P17)</f>
        <v>29.646938775510204</v>
      </c>
      <c r="P17" s="119">
        <v>49</v>
      </c>
      <c r="Q17" s="107">
        <v>1452.7</v>
      </c>
    </row>
    <row r="18" spans="1:17" x14ac:dyDescent="0.4">
      <c r="A18" s="55" t="s">
        <v>12</v>
      </c>
      <c r="B18" s="47">
        <v>163</v>
      </c>
      <c r="C18" s="39">
        <f>IF(B$17=0,0,B18/B$17)</f>
        <v>0.4137055837563452</v>
      </c>
      <c r="E18" s="63" t="s">
        <v>92</v>
      </c>
      <c r="F18" s="60" t="s">
        <v>47</v>
      </c>
      <c r="G18" s="47">
        <v>8</v>
      </c>
      <c r="H18" s="133">
        <f>IF(B$17=0,0,G18/B$17)</f>
        <v>2.030456852791878E-2</v>
      </c>
      <c r="I18" s="94">
        <v>4</v>
      </c>
      <c r="K18" s="38">
        <v>16</v>
      </c>
      <c r="L18" s="99">
        <v>425.50000000000006</v>
      </c>
      <c r="N18" s="115" t="s">
        <v>222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231</v>
      </c>
      <c r="C19" s="39">
        <f>IF(B$17=0,0,B19/B$17)</f>
        <v>0.58629441624365486</v>
      </c>
      <c r="E19" s="63" t="s">
        <v>80</v>
      </c>
      <c r="F19" s="60" t="s">
        <v>35</v>
      </c>
      <c r="G19" s="47">
        <v>5</v>
      </c>
      <c r="H19" s="133">
        <f>IF(B$17=0,0,G19/B$17)</f>
        <v>1.2690355329949238E-2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>IF(P19=0,0,Q19/P19)</f>
        <v>22.883783783783784</v>
      </c>
      <c r="P19" s="119">
        <v>37</v>
      </c>
      <c r="Q19" s="107">
        <v>846.7</v>
      </c>
    </row>
    <row r="20" spans="1:17" x14ac:dyDescent="0.4">
      <c r="A20" s="55" t="s">
        <v>13</v>
      </c>
      <c r="B20" s="47">
        <v>183</v>
      </c>
      <c r="C20" s="39">
        <f>IF(B$3=0,0,B20/B$3)</f>
        <v>0.16180371352785147</v>
      </c>
      <c r="E20" s="63" t="s">
        <v>86</v>
      </c>
      <c r="F20" s="60" t="s">
        <v>41</v>
      </c>
      <c r="G20" s="47">
        <v>3</v>
      </c>
      <c r="H20" s="133">
        <f>IF(B$17=0,0,G20/B$17)</f>
        <v>7.6142131979695434E-3</v>
      </c>
      <c r="I20" s="94">
        <v>2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74</v>
      </c>
      <c r="F21" s="60" t="s">
        <v>29</v>
      </c>
      <c r="G21" s="47">
        <v>2</v>
      </c>
      <c r="H21" s="133">
        <f>IF(B$17=0,0,G21/B$17)</f>
        <v>5.076142131979695E-3</v>
      </c>
      <c r="I21" s="94">
        <v>5</v>
      </c>
      <c r="K21" s="38">
        <v>19</v>
      </c>
      <c r="L21" s="99">
        <v>405.40000000000003</v>
      </c>
      <c r="N21" s="115" t="s">
        <v>184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192</v>
      </c>
      <c r="B22" s="47">
        <v>39</v>
      </c>
      <c r="C22" s="135">
        <v>3</v>
      </c>
      <c r="E22" s="63" t="s">
        <v>78</v>
      </c>
      <c r="F22" s="60" t="s">
        <v>33</v>
      </c>
      <c r="G22" s="47">
        <v>2</v>
      </c>
      <c r="H22" s="133">
        <f>IF(B$17=0,0,G22/B$17)</f>
        <v>5.076142131979695E-3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17.544444444444448</v>
      </c>
      <c r="P22" s="119">
        <v>81</v>
      </c>
      <c r="Q22" s="107">
        <v>1421.1000000000001</v>
      </c>
    </row>
    <row r="23" spans="1:17" x14ac:dyDescent="0.4">
      <c r="A23" s="55" t="s">
        <v>5</v>
      </c>
      <c r="B23" s="51">
        <f>IF(B$17=0,0,C23/B$17)</f>
        <v>9148.9847715736032</v>
      </c>
      <c r="C23" s="41">
        <v>3604700</v>
      </c>
      <c r="E23" s="63" t="s">
        <v>91</v>
      </c>
      <c r="F23" s="60" t="s">
        <v>46</v>
      </c>
      <c r="G23" s="47">
        <v>2</v>
      </c>
      <c r="H23" s="133">
        <f>IF(B$17=0,0,G23/B$17)</f>
        <v>5.076142131979695E-3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-8195.0819672131147</v>
      </c>
      <c r="C24" s="45">
        <v>-1499700</v>
      </c>
      <c r="E24" s="63" t="s">
        <v>93</v>
      </c>
      <c r="F24" s="60" t="s">
        <v>48</v>
      </c>
      <c r="G24" s="47">
        <v>2</v>
      </c>
      <c r="H24" s="133">
        <f>IF(B$17=0,0,G24/B$17)</f>
        <v>5.076142131979695E-3</v>
      </c>
      <c r="I24" s="94">
        <v>4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2.5380710659898475E-3</v>
      </c>
      <c r="I25" s="94">
        <v>7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2.5380710659898475E-3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8.8417329796640137E-4</v>
      </c>
      <c r="E27" s="63" t="s">
        <v>88</v>
      </c>
      <c r="F27" s="60" t="s">
        <v>43</v>
      </c>
      <c r="G27" s="47">
        <v>1</v>
      </c>
      <c r="H27" s="133">
        <f>IF(B$17=0,0,G27/B$17)</f>
        <v>2.5380710659898475E-3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2.5380710659898475E-3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2.5380710659898475E-3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48DE-6B7B-4B76-A516-189DEE0B8C7B}">
  <sheetPr codeName="Sheet9"/>
  <dimension ref="A1:Q12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118</v>
      </c>
      <c r="C2" s="151"/>
      <c r="E2" s="62" t="s">
        <v>67</v>
      </c>
      <c r="F2" s="59" t="s">
        <v>23</v>
      </c>
      <c r="G2" s="46">
        <v>202</v>
      </c>
      <c r="H2" s="132">
        <f>IF(B$17=0,0,G2/B$17)</f>
        <v>0.76515151515151514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368.64406779661016</v>
      </c>
      <c r="P2" s="118">
        <v>118</v>
      </c>
      <c r="Q2" s="102">
        <v>43500</v>
      </c>
    </row>
    <row r="3" spans="1:17" x14ac:dyDescent="0.4">
      <c r="A3" s="55" t="s">
        <v>8</v>
      </c>
      <c r="B3" s="152">
        <v>973</v>
      </c>
      <c r="C3" s="153"/>
      <c r="E3" s="63" t="s">
        <v>65</v>
      </c>
      <c r="F3" s="60" t="s">
        <v>21</v>
      </c>
      <c r="G3" s="47">
        <v>160</v>
      </c>
      <c r="H3" s="133">
        <f>IF(B$17=0,0,G3/B$17)</f>
        <v>0.60606060606060608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-2328.0701754385964</v>
      </c>
      <c r="P3" s="119">
        <v>114</v>
      </c>
      <c r="Q3" s="103">
        <v>-265400</v>
      </c>
    </row>
    <row r="4" spans="1:17" x14ac:dyDescent="0.4">
      <c r="A4" s="55" t="s">
        <v>6</v>
      </c>
      <c r="B4" s="154">
        <v>-324.50000000000006</v>
      </c>
      <c r="C4" s="155"/>
      <c r="E4" s="63" t="s">
        <v>73</v>
      </c>
      <c r="F4" s="60" t="s">
        <v>28</v>
      </c>
      <c r="G4" s="47">
        <v>121</v>
      </c>
      <c r="H4" s="133">
        <f>IF(B$17=0,0,G4/B$17)</f>
        <v>0.45833333333333331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192.7927927927928</v>
      </c>
      <c r="P4" s="119">
        <v>111</v>
      </c>
      <c r="Q4" s="103">
        <v>21400</v>
      </c>
    </row>
    <row r="5" spans="1:17" x14ac:dyDescent="0.4">
      <c r="A5" s="55" t="s">
        <v>7</v>
      </c>
      <c r="B5" s="156">
        <f>IF(B$2=0,0,B$4/B$2)</f>
        <v>-2.7500000000000004</v>
      </c>
      <c r="C5" s="157"/>
      <c r="E5" s="63" t="s">
        <v>245</v>
      </c>
      <c r="F5" s="60" t="s">
        <v>246</v>
      </c>
      <c r="G5" s="47">
        <v>119</v>
      </c>
      <c r="H5" s="133">
        <f>IF(B$17=0,0,G5/B$17)</f>
        <v>0.45075757575757575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142.85714285714286</v>
      </c>
      <c r="P5" s="119">
        <v>98</v>
      </c>
      <c r="Q5" s="103">
        <v>14000</v>
      </c>
    </row>
    <row r="6" spans="1:17" x14ac:dyDescent="0.4">
      <c r="A6" s="55" t="s">
        <v>1</v>
      </c>
      <c r="B6" s="146">
        <f>IF(B$2=0,0,(B$7*1+B$8*2+B$9*3)/B$2)</f>
        <v>2.0762711864406778</v>
      </c>
      <c r="C6" s="147"/>
      <c r="E6" s="63" t="s">
        <v>68</v>
      </c>
      <c r="F6" s="60" t="s">
        <v>24</v>
      </c>
      <c r="G6" s="47">
        <v>99</v>
      </c>
      <c r="H6" s="133">
        <f>IF(B$17=0,0,G6/B$17)</f>
        <v>0.375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390.80459770114942</v>
      </c>
      <c r="P6" s="119">
        <v>87</v>
      </c>
      <c r="Q6" s="103">
        <v>34000</v>
      </c>
    </row>
    <row r="7" spans="1:17" x14ac:dyDescent="0.4">
      <c r="A7" s="55" t="s">
        <v>2</v>
      </c>
      <c r="B7" s="47">
        <v>31</v>
      </c>
      <c r="C7" s="39">
        <f>IF(B$2=0,0,B7/B$2)</f>
        <v>0.26271186440677968</v>
      </c>
      <c r="E7" s="63" t="s">
        <v>69</v>
      </c>
      <c r="F7" s="60" t="s">
        <v>12</v>
      </c>
      <c r="G7" s="47">
        <v>89</v>
      </c>
      <c r="H7" s="133">
        <f>IF(B$17=0,0,G7/B$17)</f>
        <v>0.3371212121212121</v>
      </c>
      <c r="I7" s="94">
        <v>7</v>
      </c>
      <c r="K7" s="38">
        <v>5</v>
      </c>
      <c r="L7" s="99">
        <v>-16.600000000000005</v>
      </c>
      <c r="N7" s="116" t="s">
        <v>137</v>
      </c>
      <c r="O7" s="123">
        <f t="shared" si="0"/>
        <v>555.55555555555554</v>
      </c>
      <c r="P7" s="120">
        <v>81</v>
      </c>
      <c r="Q7" s="104">
        <v>45000</v>
      </c>
    </row>
    <row r="8" spans="1:17" x14ac:dyDescent="0.4">
      <c r="A8" s="55" t="s">
        <v>3</v>
      </c>
      <c r="B8" s="47">
        <v>47</v>
      </c>
      <c r="C8" s="39">
        <f>IF(B$2=0,0,B8/B$2)</f>
        <v>0.39830508474576271</v>
      </c>
      <c r="E8" s="63" t="s">
        <v>70</v>
      </c>
      <c r="F8" s="60" t="s">
        <v>25</v>
      </c>
      <c r="G8" s="47">
        <v>60</v>
      </c>
      <c r="H8" s="133">
        <f>IF(B$17=0,0,G8/B$17)</f>
        <v>0.22727272727272727</v>
      </c>
      <c r="I8" s="94">
        <v>2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0.33898305084745761</v>
      </c>
      <c r="E9" s="63" t="s">
        <v>66</v>
      </c>
      <c r="F9" s="60" t="s">
        <v>22</v>
      </c>
      <c r="G9" s="47">
        <v>43</v>
      </c>
      <c r="H9" s="133">
        <f>IF(B$17=0,0,G9/B$17)</f>
        <v>0.16287878787878787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0.1271186440677966</v>
      </c>
      <c r="E10" s="63" t="s">
        <v>71</v>
      </c>
      <c r="F10" s="60" t="s">
        <v>26</v>
      </c>
      <c r="G10" s="47">
        <v>32</v>
      </c>
      <c r="H10" s="133">
        <f>IF(B$17=0,0,G10/B$17)</f>
        <v>0.12121212121212122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9.3220338983050849E-2</v>
      </c>
      <c r="E11" s="63" t="s">
        <v>90</v>
      </c>
      <c r="F11" s="60" t="s">
        <v>45</v>
      </c>
      <c r="G11" s="47">
        <v>26</v>
      </c>
      <c r="H11" s="133">
        <f>IF(B$17=0,0,G11/B$17)</f>
        <v>9.8484848484848481E-2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-2.199999999999998</v>
      </c>
      <c r="P11" s="119">
        <v>27</v>
      </c>
      <c r="Q11" s="107">
        <v>-59.399999999999949</v>
      </c>
    </row>
    <row r="12" spans="1:17" x14ac:dyDescent="0.4">
      <c r="A12" s="57" t="s">
        <v>160</v>
      </c>
      <c r="B12" s="49">
        <v>8</v>
      </c>
      <c r="C12" s="42">
        <f>IF(B$2=0,0,B12/B$2)</f>
        <v>6.7796610169491525E-2</v>
      </c>
      <c r="E12" s="63" t="s">
        <v>72</v>
      </c>
      <c r="F12" s="60" t="s">
        <v>27</v>
      </c>
      <c r="G12" s="47">
        <v>16</v>
      </c>
      <c r="H12" s="133">
        <f>IF(B$17=0,0,G12/B$17)</f>
        <v>6.0606060606060608E-2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5.1566666666666663</v>
      </c>
      <c r="P12" s="120">
        <v>30</v>
      </c>
      <c r="Q12" s="108">
        <v>154.69999999999999</v>
      </c>
    </row>
    <row r="13" spans="1:17" x14ac:dyDescent="0.4">
      <c r="A13" s="58" t="s">
        <v>122</v>
      </c>
      <c r="B13" s="50">
        <v>292</v>
      </c>
      <c r="C13" s="44">
        <f>IF(B$3=0,0,B13/B$3)</f>
        <v>0.30010277492291881</v>
      </c>
      <c r="E13" s="63" t="s">
        <v>87</v>
      </c>
      <c r="F13" s="60" t="s">
        <v>42</v>
      </c>
      <c r="G13" s="47">
        <v>14</v>
      </c>
      <c r="H13" s="133">
        <f>IF(B$17=0,0,G13/B$17)</f>
        <v>5.3030303030303032E-2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175</v>
      </c>
      <c r="C14" s="39">
        <f>IF(B$3=0,0,B14/B$3)</f>
        <v>0.17985611510791366</v>
      </c>
      <c r="E14" s="63" t="s">
        <v>84</v>
      </c>
      <c r="F14" s="60" t="s">
        <v>39</v>
      </c>
      <c r="G14" s="47">
        <v>10</v>
      </c>
      <c r="H14" s="133">
        <f>IF(B$17=0,0,G14/B$17)</f>
        <v>3.787878787878788E-2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169</v>
      </c>
      <c r="C15" s="37">
        <f>IF(B$13=0,0,B15/B$13)</f>
        <v>0.57876712328767121</v>
      </c>
      <c r="E15" s="63" t="s">
        <v>82</v>
      </c>
      <c r="F15" s="60" t="s">
        <v>37</v>
      </c>
      <c r="G15" s="47">
        <v>8</v>
      </c>
      <c r="H15" s="133">
        <f>IF(B$17=0,0,G15/B$17)</f>
        <v>3.0303030303030304E-2</v>
      </c>
      <c r="I15" s="94">
        <v>4</v>
      </c>
      <c r="K15" s="38">
        <v>13</v>
      </c>
      <c r="L15" s="99">
        <v>-81.900000000000006</v>
      </c>
      <c r="N15" s="114" t="s">
        <v>184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0.29714285714285715</v>
      </c>
      <c r="E16" s="63" t="s">
        <v>92</v>
      </c>
      <c r="F16" s="60" t="s">
        <v>47</v>
      </c>
      <c r="G16" s="47">
        <v>6</v>
      </c>
      <c r="H16" s="133">
        <f>IF(B$17=0,0,G16/B$17)</f>
        <v>2.2727272727272728E-2</v>
      </c>
      <c r="I16" s="94">
        <v>3</v>
      </c>
      <c r="K16" s="38">
        <v>14</v>
      </c>
      <c r="L16" s="99">
        <v>-25.600000000000009</v>
      </c>
      <c r="N16" s="115" t="s">
        <v>129</v>
      </c>
      <c r="O16" s="125">
        <f>IF(P16=0,0,Q16/P16)</f>
        <v>16.797297297297298</v>
      </c>
      <c r="P16" s="119">
        <v>37</v>
      </c>
      <c r="Q16" s="107">
        <v>621.5</v>
      </c>
    </row>
    <row r="17" spans="1:17" x14ac:dyDescent="0.4">
      <c r="A17" s="54" t="s">
        <v>10</v>
      </c>
      <c r="B17" s="46">
        <f>B19+B18</f>
        <v>264</v>
      </c>
      <c r="C17" s="37">
        <f>IF(B$3=0,0,B17/B$3)</f>
        <v>0.27132579650565264</v>
      </c>
      <c r="E17" s="63" t="s">
        <v>80</v>
      </c>
      <c r="F17" s="60" t="s">
        <v>35</v>
      </c>
      <c r="G17" s="47">
        <v>5</v>
      </c>
      <c r="H17" s="133">
        <f>IF(B$17=0,0,G17/B$17)</f>
        <v>1.893939393939394E-2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111</v>
      </c>
      <c r="C18" s="39">
        <f>IF(B$17=0,0,B18/B$17)</f>
        <v>0.42045454545454547</v>
      </c>
      <c r="E18" s="63" t="s">
        <v>180</v>
      </c>
      <c r="F18" s="60" t="s">
        <v>181</v>
      </c>
      <c r="G18" s="47">
        <v>5</v>
      </c>
      <c r="H18" s="133">
        <f>IF(B$17=0,0,G18/B$17)</f>
        <v>1.893939393939394E-2</v>
      </c>
      <c r="I18" s="94">
        <v>3</v>
      </c>
      <c r="K18" s="38">
        <v>16</v>
      </c>
      <c r="L18" s="99">
        <v>41.699999999999989</v>
      </c>
      <c r="N18" s="115" t="s">
        <v>172</v>
      </c>
      <c r="O18" s="125">
        <f>IF(P18=0,0,Q18/P18)</f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153</v>
      </c>
      <c r="C19" s="39">
        <f>IF(B$17=0,0,B19/B$17)</f>
        <v>0.57954545454545459</v>
      </c>
      <c r="E19" s="63" t="s">
        <v>79</v>
      </c>
      <c r="F19" s="60" t="s">
        <v>34</v>
      </c>
      <c r="G19" s="47">
        <v>4</v>
      </c>
      <c r="H19" s="133">
        <f>IF(B$17=0,0,G19/B$17)</f>
        <v>1.5151515151515152E-2</v>
      </c>
      <c r="I19" s="94">
        <v>9</v>
      </c>
      <c r="K19" s="38">
        <v>17</v>
      </c>
      <c r="L19" s="99">
        <v>94.6</v>
      </c>
      <c r="N19" s="115" t="s">
        <v>171</v>
      </c>
      <c r="O19" s="125">
        <f>IF(P19=0,0,Q19/P19)</f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165</v>
      </c>
      <c r="C20" s="39">
        <f>IF(B$3=0,0,B20/B$3)</f>
        <v>0.16957862281603289</v>
      </c>
      <c r="E20" s="63" t="s">
        <v>74</v>
      </c>
      <c r="F20" s="60" t="s">
        <v>29</v>
      </c>
      <c r="G20" s="47">
        <v>2</v>
      </c>
      <c r="H20" s="133">
        <f>IF(B$17=0,0,G20/B$17)</f>
        <v>7.575757575757576E-3</v>
      </c>
      <c r="I20" s="94">
        <v>3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75</v>
      </c>
      <c r="F21" s="60" t="s">
        <v>30</v>
      </c>
      <c r="G21" s="47">
        <v>2</v>
      </c>
      <c r="H21" s="133">
        <f>IF(B$17=0,0,G21/B$17)</f>
        <v>7.575757575757576E-3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-12.139130434782608</v>
      </c>
      <c r="P21" s="119">
        <v>23</v>
      </c>
      <c r="Q21" s="107">
        <v>-279.2</v>
      </c>
    </row>
    <row r="22" spans="1:17" x14ac:dyDescent="0.4">
      <c r="A22" s="55" t="s">
        <v>192</v>
      </c>
      <c r="B22" s="47">
        <v>24</v>
      </c>
      <c r="C22" s="135">
        <v>2</v>
      </c>
      <c r="E22" s="63" t="s">
        <v>76</v>
      </c>
      <c r="F22" s="60" t="s">
        <v>31</v>
      </c>
      <c r="G22" s="47">
        <v>2</v>
      </c>
      <c r="H22" s="133">
        <f>IF(B$17=0,0,G22/B$17)</f>
        <v>7.575757575757576E-3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-17.544444444444448</v>
      </c>
      <c r="P22" s="119">
        <v>81</v>
      </c>
      <c r="Q22" s="107">
        <v>-1421.1000000000001</v>
      </c>
    </row>
    <row r="23" spans="1:17" x14ac:dyDescent="0.4">
      <c r="A23" s="55" t="s">
        <v>5</v>
      </c>
      <c r="B23" s="51">
        <f>IF(B$17=0,0,C23/B$17)</f>
        <v>9312.878787878788</v>
      </c>
      <c r="C23" s="41">
        <v>2458600</v>
      </c>
      <c r="E23" s="63" t="s">
        <v>78</v>
      </c>
      <c r="F23" s="60" t="s">
        <v>33</v>
      </c>
      <c r="G23" s="47">
        <v>1</v>
      </c>
      <c r="H23" s="133">
        <f>IF(B$17=0,0,G23/B$17)</f>
        <v>3.787878787878788E-3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-7744.242424242424</v>
      </c>
      <c r="C24" s="45">
        <v>-1277800</v>
      </c>
      <c r="E24" s="63" t="s">
        <v>85</v>
      </c>
      <c r="F24" s="60" t="s">
        <v>40</v>
      </c>
      <c r="G24" s="47">
        <v>1</v>
      </c>
      <c r="H24" s="133">
        <f>IF(B$17=0,0,G24/B$17)</f>
        <v>3.787878787878788E-3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3.787878787878788E-3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97300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3.787878787878788E-3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5.1387461459403904E-3</v>
      </c>
      <c r="E27" s="63" t="s">
        <v>94</v>
      </c>
      <c r="F27" s="60" t="s">
        <v>49</v>
      </c>
      <c r="G27" s="47">
        <v>1</v>
      </c>
      <c r="H27" s="133">
        <f>IF(B$17=0,0,G27/B$17)</f>
        <v>3.787878787878788E-3</v>
      </c>
      <c r="I27" s="94">
        <v>3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3.787878787878788E-3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BFEB-6F0B-46F1-9C81-59F07D552E48}">
  <sheetPr codeName="Sheet11"/>
  <dimension ref="A1:Q8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79</v>
      </c>
      <c r="C2" s="151"/>
      <c r="E2" s="62" t="s">
        <v>67</v>
      </c>
      <c r="F2" s="59" t="s">
        <v>23</v>
      </c>
      <c r="G2" s="46">
        <v>136</v>
      </c>
      <c r="H2" s="132">
        <f>IF(B$17=0,0,G2/B$17)</f>
        <v>0.88311688311688308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-2792.4050632911394</v>
      </c>
      <c r="P2" s="118">
        <v>79</v>
      </c>
      <c r="Q2" s="102">
        <v>-220600</v>
      </c>
    </row>
    <row r="3" spans="1:17" x14ac:dyDescent="0.4">
      <c r="A3" s="55" t="s">
        <v>8</v>
      </c>
      <c r="B3" s="152">
        <v>658</v>
      </c>
      <c r="C3" s="153"/>
      <c r="E3" s="63" t="s">
        <v>65</v>
      </c>
      <c r="F3" s="60" t="s">
        <v>21</v>
      </c>
      <c r="G3" s="47">
        <v>92</v>
      </c>
      <c r="H3" s="133">
        <f>IF(B$17=0,0,G3/B$17)</f>
        <v>0.59740259740259738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-1070.1298701298701</v>
      </c>
      <c r="P3" s="119">
        <v>77</v>
      </c>
      <c r="Q3" s="103">
        <v>-82400</v>
      </c>
    </row>
    <row r="4" spans="1:17" x14ac:dyDescent="0.4">
      <c r="A4" s="55" t="s">
        <v>6</v>
      </c>
      <c r="B4" s="154">
        <v>-1226.5999999999999</v>
      </c>
      <c r="C4" s="155"/>
      <c r="E4" s="63" t="s">
        <v>69</v>
      </c>
      <c r="F4" s="60" t="s">
        <v>12</v>
      </c>
      <c r="G4" s="47">
        <v>62</v>
      </c>
      <c r="H4" s="133">
        <f>IF(B$17=0,0,G4/B$17)</f>
        <v>0.40259740259740262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-413.69863013698631</v>
      </c>
      <c r="P4" s="119">
        <v>73</v>
      </c>
      <c r="Q4" s="103">
        <v>-30200</v>
      </c>
    </row>
    <row r="5" spans="1:17" x14ac:dyDescent="0.4">
      <c r="A5" s="55" t="s">
        <v>7</v>
      </c>
      <c r="B5" s="156">
        <f>IF(B$2=0,0,B$4/B$2)</f>
        <v>-15.526582278481012</v>
      </c>
      <c r="C5" s="157"/>
      <c r="E5" s="63" t="s">
        <v>68</v>
      </c>
      <c r="F5" s="60" t="s">
        <v>24</v>
      </c>
      <c r="G5" s="47">
        <v>58</v>
      </c>
      <c r="H5" s="133">
        <f>IF(B$17=0,0,G5/B$17)</f>
        <v>0.37662337662337664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-4645.3125</v>
      </c>
      <c r="P5" s="119">
        <v>64</v>
      </c>
      <c r="Q5" s="103">
        <v>-297300</v>
      </c>
    </row>
    <row r="6" spans="1:17" x14ac:dyDescent="0.4">
      <c r="A6" s="55" t="s">
        <v>1</v>
      </c>
      <c r="B6" s="146">
        <f>IF(B$2=0,0,(B$7*1+B$8*2+B$9*3)/B$2)</f>
        <v>2.2658227848101267</v>
      </c>
      <c r="C6" s="147"/>
      <c r="E6" s="63" t="s">
        <v>245</v>
      </c>
      <c r="F6" s="60" t="s">
        <v>246</v>
      </c>
      <c r="G6" s="47">
        <v>58</v>
      </c>
      <c r="H6" s="133">
        <f>IF(B$17=0,0,G6/B$17)</f>
        <v>0.37662337662337664</v>
      </c>
      <c r="I6" s="94">
        <v>10</v>
      </c>
      <c r="K6" s="38">
        <v>4</v>
      </c>
      <c r="L6" s="99">
        <v>-31.4</v>
      </c>
      <c r="N6" s="115" t="s">
        <v>136</v>
      </c>
      <c r="O6" s="122">
        <f t="shared" si="0"/>
        <v>-1567.2413793103449</v>
      </c>
      <c r="P6" s="119">
        <v>58</v>
      </c>
      <c r="Q6" s="103">
        <v>-90900</v>
      </c>
    </row>
    <row r="7" spans="1:17" x14ac:dyDescent="0.4">
      <c r="A7" s="55" t="s">
        <v>2</v>
      </c>
      <c r="B7" s="47">
        <v>19</v>
      </c>
      <c r="C7" s="39">
        <f>IF(B$2=0,0,B7/B$2)</f>
        <v>0.24050632911392406</v>
      </c>
      <c r="E7" s="63" t="s">
        <v>73</v>
      </c>
      <c r="F7" s="60" t="s">
        <v>28</v>
      </c>
      <c r="G7" s="47">
        <v>48</v>
      </c>
      <c r="H7" s="133">
        <f>IF(B$17=0,0,G7/B$17)</f>
        <v>0.31168831168831168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-1477.3584905660377</v>
      </c>
      <c r="P7" s="120">
        <v>53</v>
      </c>
      <c r="Q7" s="104">
        <v>-78300</v>
      </c>
    </row>
    <row r="8" spans="1:17" x14ac:dyDescent="0.4">
      <c r="A8" s="55" t="s">
        <v>3</v>
      </c>
      <c r="B8" s="47">
        <v>20</v>
      </c>
      <c r="C8" s="39">
        <f>IF(B$2=0,0,B8/B$2)</f>
        <v>0.25316455696202533</v>
      </c>
      <c r="E8" s="63" t="s">
        <v>70</v>
      </c>
      <c r="F8" s="60" t="s">
        <v>25</v>
      </c>
      <c r="G8" s="47">
        <v>31</v>
      </c>
      <c r="H8" s="133">
        <f>IF(B$17=0,0,G8/B$17)</f>
        <v>0.20129870129870131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0.50632911392405067</v>
      </c>
      <c r="E9" s="63" t="s">
        <v>71</v>
      </c>
      <c r="F9" s="60" t="s">
        <v>26</v>
      </c>
      <c r="G9" s="47">
        <v>22</v>
      </c>
      <c r="H9" s="133">
        <f>IF(B$17=0,0,G9/B$17)</f>
        <v>0.14285714285714285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0.189873417721519</v>
      </c>
      <c r="E10" s="63" t="s">
        <v>72</v>
      </c>
      <c r="F10" s="60" t="s">
        <v>27</v>
      </c>
      <c r="G10" s="47">
        <v>16</v>
      </c>
      <c r="H10" s="133">
        <f>IF(B$17=0,0,G10/B$17)</f>
        <v>0.1038961038961039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-18.191666666666663</v>
      </c>
      <c r="P10" s="118">
        <v>24</v>
      </c>
      <c r="Q10" s="106">
        <v>-436.59999999999991</v>
      </c>
    </row>
    <row r="11" spans="1:17" x14ac:dyDescent="0.4">
      <c r="A11" s="56" t="s">
        <v>140</v>
      </c>
      <c r="B11" s="48">
        <v>8</v>
      </c>
      <c r="C11" s="40">
        <f>IF(B$2=0,0,B11/B$2)</f>
        <v>0.10126582278481013</v>
      </c>
      <c r="E11" s="63" t="s">
        <v>66</v>
      </c>
      <c r="F11" s="60" t="s">
        <v>22</v>
      </c>
      <c r="G11" s="47">
        <v>14</v>
      </c>
      <c r="H11" s="133">
        <f>IF(B$17=0,0,G11/B$17)</f>
        <v>9.0909090909090912E-2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-13.836363636363641</v>
      </c>
      <c r="P11" s="119">
        <v>33</v>
      </c>
      <c r="Q11" s="107">
        <v>-456.60000000000014</v>
      </c>
    </row>
    <row r="12" spans="1:17" x14ac:dyDescent="0.4">
      <c r="A12" s="57" t="s">
        <v>160</v>
      </c>
      <c r="B12" s="49">
        <v>5</v>
      </c>
      <c r="C12" s="42">
        <f>IF(B$2=0,0,B12/B$2)</f>
        <v>6.3291139240506333E-2</v>
      </c>
      <c r="E12" s="63" t="s">
        <v>90</v>
      </c>
      <c r="F12" s="60" t="s">
        <v>45</v>
      </c>
      <c r="G12" s="47">
        <v>12</v>
      </c>
      <c r="H12" s="133">
        <f>IF(B$17=0,0,G12/B$17)</f>
        <v>7.792207792207792E-2</v>
      </c>
      <c r="I12" s="94">
        <v>12</v>
      </c>
      <c r="K12" s="38">
        <v>10</v>
      </c>
      <c r="L12" s="99">
        <v>-231.39999999999998</v>
      </c>
      <c r="N12" s="116" t="s">
        <v>166</v>
      </c>
      <c r="O12" s="126">
        <f>IF(P12=0,0,Q12/P12)</f>
        <v>-15.154545454545451</v>
      </c>
      <c r="P12" s="120">
        <v>22</v>
      </c>
      <c r="Q12" s="108">
        <v>-333.39999999999992</v>
      </c>
    </row>
    <row r="13" spans="1:17" x14ac:dyDescent="0.4">
      <c r="A13" s="58" t="s">
        <v>122</v>
      </c>
      <c r="B13" s="50">
        <v>183</v>
      </c>
      <c r="C13" s="44">
        <f>IF(B$3=0,0,B13/B$3)</f>
        <v>0.27811550151975684</v>
      </c>
      <c r="E13" s="63" t="s">
        <v>87</v>
      </c>
      <c r="F13" s="60" t="s">
        <v>42</v>
      </c>
      <c r="G13" s="47">
        <v>10</v>
      </c>
      <c r="H13" s="133">
        <f>IF(B$17=0,0,G13/B$17)</f>
        <v>6.4935064935064929E-2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102</v>
      </c>
      <c r="C14" s="39">
        <f>IF(B$3=0,0,B14/B$3)</f>
        <v>0.15501519756838905</v>
      </c>
      <c r="E14" s="63" t="s">
        <v>79</v>
      </c>
      <c r="F14" s="60" t="s">
        <v>34</v>
      </c>
      <c r="G14" s="47">
        <v>5</v>
      </c>
      <c r="H14" s="133">
        <f>IF(B$17=0,0,G14/B$17)</f>
        <v>3.2467532467532464E-2</v>
      </c>
      <c r="I14" s="94">
        <v>5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95</v>
      </c>
      <c r="C15" s="37">
        <f>IF(B$13=0,0,B15/B$13)</f>
        <v>0.51912568306010931</v>
      </c>
      <c r="E15" s="63" t="s">
        <v>84</v>
      </c>
      <c r="F15" s="60" t="s">
        <v>39</v>
      </c>
      <c r="G15" s="47">
        <v>5</v>
      </c>
      <c r="H15" s="133">
        <f>IF(B$17=0,0,G15/B$17)</f>
        <v>3.2467532467532464E-2</v>
      </c>
      <c r="I15" s="94">
        <v>10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24</v>
      </c>
      <c r="C16" s="37">
        <f>IF(B$14=0,0,B16/B$14)</f>
        <v>0.23529411764705882</v>
      </c>
      <c r="E16" s="63" t="s">
        <v>82</v>
      </c>
      <c r="F16" s="60" t="s">
        <v>37</v>
      </c>
      <c r="G16" s="47">
        <v>3</v>
      </c>
      <c r="H16" s="133">
        <f>IF(B$17=0,0,G16/B$17)</f>
        <v>1.948051948051948E-2</v>
      </c>
      <c r="I16" s="94">
        <v>9</v>
      </c>
      <c r="K16" s="38">
        <v>14</v>
      </c>
      <c r="L16" s="99">
        <v>-394.6</v>
      </c>
      <c r="N16" s="115" t="s">
        <v>177</v>
      </c>
      <c r="O16" s="125">
        <f>IF(P16=0,0,Q16/P16)</f>
        <v>-1.4142857142857135</v>
      </c>
      <c r="P16" s="119">
        <v>14</v>
      </c>
      <c r="Q16" s="107">
        <v>-19.79999999999999</v>
      </c>
    </row>
    <row r="17" spans="1:17" x14ac:dyDescent="0.4">
      <c r="A17" s="54" t="s">
        <v>10</v>
      </c>
      <c r="B17" s="46">
        <f>B19+B18</f>
        <v>154</v>
      </c>
      <c r="C17" s="37">
        <f>IF(B$3=0,0,B17/B$3)</f>
        <v>0.23404255319148937</v>
      </c>
      <c r="E17" s="63" t="s">
        <v>75</v>
      </c>
      <c r="F17" s="60" t="s">
        <v>30</v>
      </c>
      <c r="G17" s="47">
        <v>2</v>
      </c>
      <c r="H17" s="133">
        <f>IF(B$17=0,0,G17/B$17)</f>
        <v>1.2987012987012988E-2</v>
      </c>
      <c r="I17" s="94">
        <v>1</v>
      </c>
      <c r="K17" s="38">
        <v>15</v>
      </c>
      <c r="L17" s="99">
        <v>-424.5</v>
      </c>
      <c r="N17" s="115" t="s">
        <v>128</v>
      </c>
      <c r="O17" s="125">
        <f>IF(P17=0,0,Q17/P17)</f>
        <v>-16.797297297297295</v>
      </c>
      <c r="P17" s="119">
        <v>37</v>
      </c>
      <c r="Q17" s="107">
        <v>-621.49999999999989</v>
      </c>
    </row>
    <row r="18" spans="1:17" x14ac:dyDescent="0.4">
      <c r="A18" s="55" t="s">
        <v>12</v>
      </c>
      <c r="B18" s="47">
        <v>70</v>
      </c>
      <c r="C18" s="39">
        <f>IF(B$17=0,0,B18/B$17)</f>
        <v>0.45454545454545453</v>
      </c>
      <c r="E18" s="63" t="s">
        <v>88</v>
      </c>
      <c r="F18" s="60" t="s">
        <v>43</v>
      </c>
      <c r="G18" s="47">
        <v>2</v>
      </c>
      <c r="H18" s="133">
        <f>IF(B$17=0,0,G18/B$17)</f>
        <v>1.2987012987012988E-2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84</v>
      </c>
      <c r="C19" s="39">
        <f>IF(B$17=0,0,B19/B$17)</f>
        <v>0.54545454545454541</v>
      </c>
      <c r="E19" s="63" t="s">
        <v>94</v>
      </c>
      <c r="F19" s="60" t="s">
        <v>49</v>
      </c>
      <c r="G19" s="47">
        <v>2</v>
      </c>
      <c r="H19" s="133">
        <f>IF(B$17=0,0,G19/B$17)</f>
        <v>1.2987012987012988E-2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-28.057692307692303</v>
      </c>
      <c r="P19" s="119">
        <v>26</v>
      </c>
      <c r="Q19" s="107">
        <v>-729.49999999999989</v>
      </c>
    </row>
    <row r="20" spans="1:17" x14ac:dyDescent="0.4">
      <c r="A20" s="55" t="s">
        <v>13</v>
      </c>
      <c r="B20" s="47">
        <v>127</v>
      </c>
      <c r="C20" s="39">
        <f>IF(B$3=0,0,B20/B$3)</f>
        <v>0.19300911854103345</v>
      </c>
      <c r="E20" s="63" t="s">
        <v>78</v>
      </c>
      <c r="F20" s="60" t="s">
        <v>33</v>
      </c>
      <c r="G20" s="47">
        <v>1</v>
      </c>
      <c r="H20" s="133">
        <f>IF(B$17=0,0,G20/B$17)</f>
        <v>6.4935064935064939E-3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-29.646938775510211</v>
      </c>
      <c r="P20" s="119">
        <v>49</v>
      </c>
      <c r="Q20" s="107">
        <v>-1452.7000000000003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80</v>
      </c>
      <c r="F21" s="60" t="s">
        <v>35</v>
      </c>
      <c r="G21" s="47">
        <v>1</v>
      </c>
      <c r="H21" s="133">
        <f>IF(B$17=0,0,G21/B$17)</f>
        <v>6.4935064935064939E-3</v>
      </c>
      <c r="I21" s="94">
        <v>9</v>
      </c>
      <c r="K21" s="38">
        <v>19</v>
      </c>
      <c r="L21" s="99">
        <v>-569.49999999999989</v>
      </c>
      <c r="N21" s="115" t="s">
        <v>172</v>
      </c>
      <c r="O21" s="125">
        <f>IF(P21=0,0,Q21/P21)</f>
        <v>-34.278947368421044</v>
      </c>
      <c r="P21" s="119">
        <v>19</v>
      </c>
      <c r="Q21" s="107">
        <v>-651.29999999999984</v>
      </c>
    </row>
    <row r="22" spans="1:17" x14ac:dyDescent="0.4">
      <c r="A22" s="55" t="s">
        <v>192</v>
      </c>
      <c r="B22" s="47">
        <v>31</v>
      </c>
      <c r="C22" s="135">
        <v>0</v>
      </c>
      <c r="E22" s="63" t="s">
        <v>89</v>
      </c>
      <c r="F22" s="60" t="s">
        <v>44</v>
      </c>
      <c r="G22" s="47">
        <v>1</v>
      </c>
      <c r="H22" s="133">
        <f>IF(B$17=0,0,G22/B$17)</f>
        <v>6.4935064935064939E-3</v>
      </c>
      <c r="I22" s="94">
        <v>1</v>
      </c>
      <c r="K22" s="38">
        <v>20</v>
      </c>
      <c r="L22" s="99">
        <v>-632.99999999999989</v>
      </c>
      <c r="N22" s="115" t="s">
        <v>184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8833.1168831168834</v>
      </c>
      <c r="C23" s="41">
        <v>1360300</v>
      </c>
      <c r="E23" s="63" t="s">
        <v>92</v>
      </c>
      <c r="F23" s="60" t="s">
        <v>47</v>
      </c>
      <c r="G23" s="47">
        <v>1</v>
      </c>
      <c r="H23" s="133">
        <f>IF(B$17=0,0,G23/B$17)</f>
        <v>6.4935064935064939E-3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-9254.3307086614168</v>
      </c>
      <c r="C24" s="45">
        <v>-1175300</v>
      </c>
      <c r="E24" s="63" t="s">
        <v>93</v>
      </c>
      <c r="F24" s="60" t="s">
        <v>48</v>
      </c>
      <c r="G24" s="47">
        <v>1</v>
      </c>
      <c r="H24" s="133">
        <f>IF(B$17=0,0,G24/B$17)</f>
        <v>6.4935064935064939E-3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76</v>
      </c>
      <c r="F26" s="60" t="s">
        <v>31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1.5197568389057751E-3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C5D5-C5FD-421F-AC31-06D742AD5C35}">
  <sheetPr codeName="Sheet13"/>
  <dimension ref="A1:Q8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85</v>
      </c>
      <c r="C2" s="151"/>
      <c r="E2" s="62" t="s">
        <v>65</v>
      </c>
      <c r="F2" s="59" t="s">
        <v>21</v>
      </c>
      <c r="G2" s="46">
        <v>111</v>
      </c>
      <c r="H2" s="132">
        <f>IF(B$17=0,0,G2/B$17)</f>
        <v>0.54679802955665024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-372.94117647058823</v>
      </c>
      <c r="P2" s="118">
        <v>85</v>
      </c>
      <c r="Q2" s="102">
        <v>-31700</v>
      </c>
    </row>
    <row r="3" spans="1:17" x14ac:dyDescent="0.4">
      <c r="A3" s="55" t="s">
        <v>8</v>
      </c>
      <c r="B3" s="152">
        <v>708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0.13793103448275862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791.56626506024099</v>
      </c>
      <c r="P3" s="119">
        <v>83</v>
      </c>
      <c r="Q3" s="103">
        <v>65700</v>
      </c>
    </row>
    <row r="4" spans="1:17" x14ac:dyDescent="0.4">
      <c r="A4" s="55" t="s">
        <v>6</v>
      </c>
      <c r="B4" s="154">
        <v>213.10000000000002</v>
      </c>
      <c r="C4" s="155"/>
      <c r="E4" s="63" t="s">
        <v>67</v>
      </c>
      <c r="F4" s="60" t="s">
        <v>23</v>
      </c>
      <c r="G4" s="47">
        <v>172</v>
      </c>
      <c r="H4" s="133">
        <f>IF(B$17=0,0,G4/B$17)</f>
        <v>0.84729064039408863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1650.6493506493507</v>
      </c>
      <c r="P4" s="119">
        <v>77</v>
      </c>
      <c r="Q4" s="103">
        <v>127100</v>
      </c>
    </row>
    <row r="5" spans="1:17" x14ac:dyDescent="0.4">
      <c r="A5" s="55" t="s">
        <v>7</v>
      </c>
      <c r="B5" s="156">
        <f>IF(B$2=0,0,B$4/B$2)</f>
        <v>2.507058823529412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0.34482758620689657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1331.3432835820895</v>
      </c>
      <c r="P5" s="119">
        <v>67</v>
      </c>
      <c r="Q5" s="103">
        <v>89200</v>
      </c>
    </row>
    <row r="6" spans="1:17" x14ac:dyDescent="0.4">
      <c r="A6" s="55" t="s">
        <v>1</v>
      </c>
      <c r="B6" s="146">
        <f>IF(B$2=0,0,(B$7*1+B$8*2+B$9*3)/B$2)</f>
        <v>2.0117647058823529</v>
      </c>
      <c r="C6" s="147"/>
      <c r="E6" s="63" t="s">
        <v>69</v>
      </c>
      <c r="F6" s="60" t="s">
        <v>12</v>
      </c>
      <c r="G6" s="47">
        <v>60</v>
      </c>
      <c r="H6" s="133">
        <f>IF(B$17=0,0,G6/B$17)</f>
        <v>0.29556650246305421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-522.03389830508479</v>
      </c>
      <c r="P6" s="119">
        <v>59</v>
      </c>
      <c r="Q6" s="103">
        <v>-30800</v>
      </c>
    </row>
    <row r="7" spans="1:17" x14ac:dyDescent="0.4">
      <c r="A7" s="55" t="s">
        <v>2</v>
      </c>
      <c r="B7" s="47">
        <v>27</v>
      </c>
      <c r="C7" s="39">
        <f>IF(B$2=0,0,B7/B$2)</f>
        <v>0.31764705882352939</v>
      </c>
      <c r="E7" s="63" t="s">
        <v>70</v>
      </c>
      <c r="F7" s="60" t="s">
        <v>25</v>
      </c>
      <c r="G7" s="47">
        <v>39</v>
      </c>
      <c r="H7" s="133">
        <f>IF(B$17=0,0,G7/B$17)</f>
        <v>0.19211822660098521</v>
      </c>
      <c r="I7" s="94">
        <v>5</v>
      </c>
      <c r="K7" s="38">
        <v>5</v>
      </c>
      <c r="L7" s="99">
        <v>-36.100000000000009</v>
      </c>
      <c r="N7" s="116" t="s">
        <v>137</v>
      </c>
      <c r="O7" s="123">
        <f t="shared" si="0"/>
        <v>-285.18518518518516</v>
      </c>
      <c r="P7" s="120">
        <v>54</v>
      </c>
      <c r="Q7" s="104">
        <v>-15400</v>
      </c>
    </row>
    <row r="8" spans="1:17" x14ac:dyDescent="0.4">
      <c r="A8" s="55" t="s">
        <v>3</v>
      </c>
      <c r="B8" s="47">
        <v>30</v>
      </c>
      <c r="C8" s="39">
        <f>IF(B$2=0,0,B8/B$2)</f>
        <v>0.35294117647058826</v>
      </c>
      <c r="E8" s="63" t="s">
        <v>71</v>
      </c>
      <c r="F8" s="60" t="s">
        <v>26</v>
      </c>
      <c r="G8" s="47">
        <v>21</v>
      </c>
      <c r="H8" s="133">
        <f>IF(B$17=0,0,G8/B$17)</f>
        <v>0.10344827586206896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28</v>
      </c>
      <c r="C9" s="40">
        <f t="shared" ref="C9" si="1">IF(B$2=0,0,B9/B$2)</f>
        <v>0.32941176470588235</v>
      </c>
      <c r="E9" s="63" t="s">
        <v>72</v>
      </c>
      <c r="F9" s="60" t="s">
        <v>27</v>
      </c>
      <c r="G9" s="47">
        <v>12</v>
      </c>
      <c r="H9" s="133">
        <f>IF(B$17=0,0,G9/B$17)</f>
        <v>5.9113300492610835E-2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8.2352941176470587E-2</v>
      </c>
      <c r="E10" s="63" t="s">
        <v>73</v>
      </c>
      <c r="F10" s="60" t="s">
        <v>28</v>
      </c>
      <c r="G10" s="47">
        <v>105</v>
      </c>
      <c r="H10" s="133">
        <f>IF(B$17=0,0,G10/B$17)</f>
        <v>0.51724137931034486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9</v>
      </c>
      <c r="P10" s="118">
        <v>22</v>
      </c>
      <c r="Q10" s="106">
        <v>198</v>
      </c>
    </row>
    <row r="11" spans="1:17" x14ac:dyDescent="0.4">
      <c r="A11" s="56" t="s">
        <v>140</v>
      </c>
      <c r="B11" s="48">
        <v>12</v>
      </c>
      <c r="C11" s="40">
        <f>IF(B$2=0,0,B11/B$2)</f>
        <v>0.14117647058823529</v>
      </c>
      <c r="E11" s="63" t="s">
        <v>74</v>
      </c>
      <c r="F11" s="60" t="s">
        <v>29</v>
      </c>
      <c r="G11" s="47">
        <v>1</v>
      </c>
      <c r="H11" s="133">
        <f>IF(B$17=0,0,G11/B$17)</f>
        <v>4.9261083743842365E-3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7.0588235294117646E-2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3.1206896551724137</v>
      </c>
      <c r="P12" s="120">
        <v>29</v>
      </c>
      <c r="Q12" s="108">
        <v>90.5</v>
      </c>
    </row>
    <row r="13" spans="1:17" x14ac:dyDescent="0.4">
      <c r="A13" s="58" t="s">
        <v>122</v>
      </c>
      <c r="B13" s="50">
        <v>207</v>
      </c>
      <c r="C13" s="44">
        <f>IF(B$3=0,0,B13/B$3)</f>
        <v>0.2923728813559322</v>
      </c>
      <c r="E13" s="63" t="s">
        <v>76</v>
      </c>
      <c r="F13" s="60" t="s">
        <v>31</v>
      </c>
      <c r="G13" s="47">
        <v>3</v>
      </c>
      <c r="H13" s="133">
        <f>IF(B$17=0,0,G13/B$17)</f>
        <v>1.4778325123152709E-2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134</v>
      </c>
      <c r="C14" s="39">
        <f>IF(B$3=0,0,B14/B$3)</f>
        <v>0.18926553672316385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119</v>
      </c>
      <c r="C15" s="37">
        <f>IF(B$13=0,0,B15/B$13)</f>
        <v>0.5748792270531401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28.057692307692299</v>
      </c>
      <c r="P15" s="118">
        <v>26</v>
      </c>
      <c r="Q15" s="106">
        <v>729.49999999999977</v>
      </c>
    </row>
    <row r="16" spans="1:17" x14ac:dyDescent="0.4">
      <c r="A16" s="54" t="s">
        <v>125</v>
      </c>
      <c r="B16" s="46">
        <v>56</v>
      </c>
      <c r="C16" s="37">
        <f>IF(B$14=0,0,B16/B$14)</f>
        <v>0.41791044776119401</v>
      </c>
      <c r="E16" s="63" t="s">
        <v>79</v>
      </c>
      <c r="F16" s="60" t="s">
        <v>34</v>
      </c>
      <c r="G16" s="47">
        <v>9</v>
      </c>
      <c r="H16" s="133">
        <f>IF(B$17=0,0,G16/B$17)</f>
        <v>4.4334975369458129E-2</v>
      </c>
      <c r="I16" s="94">
        <v>3</v>
      </c>
      <c r="K16" s="38">
        <v>14</v>
      </c>
      <c r="L16" s="99">
        <v>-29.400000000000002</v>
      </c>
      <c r="N16" s="115" t="s">
        <v>184</v>
      </c>
      <c r="O16" s="125">
        <f t="shared" si="2"/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203</v>
      </c>
      <c r="C17" s="37">
        <f>IF(B$3=0,0,B17/B$3)</f>
        <v>0.2867231638418079</v>
      </c>
      <c r="E17" s="63" t="s">
        <v>80</v>
      </c>
      <c r="F17" s="60" t="s">
        <v>35</v>
      </c>
      <c r="G17" s="47">
        <v>3</v>
      </c>
      <c r="H17" s="133">
        <f>IF(B$17=0,0,G17/B$17)</f>
        <v>1.4778325123152709E-2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83</v>
      </c>
      <c r="C18" s="39">
        <f>IF(B$17=0,0,B18/B$17)</f>
        <v>0.40886699507389163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120</v>
      </c>
      <c r="C19" s="39">
        <f>IF(B$17=0,0,B19/B$17)</f>
        <v>0.59113300492610843</v>
      </c>
      <c r="E19" s="63" t="s">
        <v>82</v>
      </c>
      <c r="F19" s="60" t="s">
        <v>37</v>
      </c>
      <c r="G19" s="47">
        <v>8</v>
      </c>
      <c r="H19" s="133">
        <f>IF(B$17=0,0,G19/B$17)</f>
        <v>3.9408866995073892E-2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120</v>
      </c>
      <c r="C20" s="39">
        <f>IF(B$3=0,0,B20/B$3)</f>
        <v>0.16949152542372881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5.4187192118226604E-2</v>
      </c>
      <c r="I21" s="94">
        <v>4</v>
      </c>
      <c r="K21" s="38">
        <v>19</v>
      </c>
      <c r="L21" s="99">
        <v>0.60000000000000853</v>
      </c>
      <c r="N21" s="115" t="s">
        <v>200</v>
      </c>
      <c r="O21" s="125">
        <f t="shared" si="2"/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192</v>
      </c>
      <c r="B22" s="47">
        <v>32</v>
      </c>
      <c r="C22" s="135">
        <v>0</v>
      </c>
      <c r="E22" s="63" t="s">
        <v>85</v>
      </c>
      <c r="F22" s="60" t="s">
        <v>40</v>
      </c>
      <c r="G22" s="47">
        <v>2</v>
      </c>
      <c r="H22" s="133">
        <f>IF(B$17=0,0,G22/B$17)</f>
        <v>9.852216748768473E-3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-27.985714285714288</v>
      </c>
      <c r="P22" s="119">
        <v>14</v>
      </c>
      <c r="Q22" s="107">
        <v>-391.8</v>
      </c>
    </row>
    <row r="23" spans="1:17" x14ac:dyDescent="0.4">
      <c r="A23" s="55" t="s">
        <v>5</v>
      </c>
      <c r="B23" s="51">
        <f>IF(B$17=0,0,C23/B$17)</f>
        <v>10064.039408866995</v>
      </c>
      <c r="C23" s="41">
        <v>2043000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-8291.6666666666661</v>
      </c>
      <c r="C24" s="45">
        <v>-995000</v>
      </c>
      <c r="E24" s="63" t="s">
        <v>87</v>
      </c>
      <c r="F24" s="60" t="s">
        <v>42</v>
      </c>
      <c r="G24" s="47">
        <v>15</v>
      </c>
      <c r="H24" s="133">
        <f>IF(B$17=0,0,G24/B$17)</f>
        <v>7.3891625615763554E-2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4.9261083743842365E-3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1.4124293785310734E-3</v>
      </c>
      <c r="E27" s="63" t="s">
        <v>90</v>
      </c>
      <c r="F27" s="60" t="s">
        <v>45</v>
      </c>
      <c r="G27" s="47">
        <v>35</v>
      </c>
      <c r="H27" s="133">
        <f>IF(B$17=0,0,G27/B$17)</f>
        <v>0.17241379310344829</v>
      </c>
      <c r="I27" s="94">
        <v>4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2.9556650246305417E-2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9.852216748768473E-3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4.9261083743842365E-3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1.9704433497536946E-2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8" t="s">
        <v>245</v>
      </c>
      <c r="F51" s="139" t="s">
        <v>246</v>
      </c>
      <c r="G51" s="48">
        <v>79</v>
      </c>
      <c r="H51" s="140">
        <f>IF(B$17=0,0,G51/B$17)</f>
        <v>0.3891625615763547</v>
      </c>
      <c r="I51" s="141">
        <v>9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</sheetData>
  <sortState ref="E2:I8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AE4C-70AF-46BB-AA1E-6CF3427BCB07}">
  <sheetPr codeName="Sheet15"/>
  <dimension ref="A1:Q7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69</v>
      </c>
      <c r="C2" s="151"/>
      <c r="E2" s="62" t="s">
        <v>65</v>
      </c>
      <c r="F2" s="59" t="s">
        <v>21</v>
      </c>
      <c r="G2" s="46">
        <v>72</v>
      </c>
      <c r="H2" s="132">
        <f>IF(B$17=0,0,G2/B$17)</f>
        <v>0.34285714285714286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704.3478260869565</v>
      </c>
      <c r="P2" s="118">
        <v>69</v>
      </c>
      <c r="Q2" s="102">
        <v>48600</v>
      </c>
    </row>
    <row r="3" spans="1:17" x14ac:dyDescent="0.4">
      <c r="A3" s="55" t="s">
        <v>8</v>
      </c>
      <c r="B3" s="152">
        <v>597</v>
      </c>
      <c r="C3" s="153"/>
      <c r="E3" s="63" t="s">
        <v>66</v>
      </c>
      <c r="F3" s="60" t="s">
        <v>22</v>
      </c>
      <c r="G3" s="47">
        <v>24</v>
      </c>
      <c r="H3" s="133">
        <f>IF(B$17=0,0,G3/B$17)</f>
        <v>0.11428571428571428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-755.07246376811599</v>
      </c>
      <c r="P3" s="119">
        <v>69</v>
      </c>
      <c r="Q3" s="103">
        <v>-52100</v>
      </c>
    </row>
    <row r="4" spans="1:17" x14ac:dyDescent="0.4">
      <c r="A4" s="55" t="s">
        <v>6</v>
      </c>
      <c r="B4" s="154">
        <v>-7.6000000000000298</v>
      </c>
      <c r="C4" s="155"/>
      <c r="E4" s="63" t="s">
        <v>67</v>
      </c>
      <c r="F4" s="60" t="s">
        <v>23</v>
      </c>
      <c r="G4" s="47">
        <v>139</v>
      </c>
      <c r="H4" s="133">
        <f>IF(B$17=0,0,G4/B$17)</f>
        <v>0.66190476190476188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-1608.0645161290322</v>
      </c>
      <c r="P4" s="119">
        <v>62</v>
      </c>
      <c r="Q4" s="103">
        <v>-99700</v>
      </c>
    </row>
    <row r="5" spans="1:17" x14ac:dyDescent="0.4">
      <c r="A5" s="55" t="s">
        <v>7</v>
      </c>
      <c r="B5" s="156">
        <f>IF(B$2=0,0,B$4/B$2)</f>
        <v>-0.11014492753623231</v>
      </c>
      <c r="C5" s="157"/>
      <c r="E5" s="63" t="s">
        <v>68</v>
      </c>
      <c r="F5" s="60" t="s">
        <v>24</v>
      </c>
      <c r="G5" s="47">
        <v>35</v>
      </c>
      <c r="H5" s="133">
        <f>IF(B$17=0,0,G5/B$17)</f>
        <v>0.16666666666666666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715.25423728813564</v>
      </c>
      <c r="P5" s="119">
        <v>59</v>
      </c>
      <c r="Q5" s="103">
        <v>42200</v>
      </c>
    </row>
    <row r="6" spans="1:17" x14ac:dyDescent="0.4">
      <c r="A6" s="55" t="s">
        <v>1</v>
      </c>
      <c r="B6" s="146">
        <f>IF(B$2=0,0,(B$7*1+B$8*2+B$9*3)/B$2)</f>
        <v>2.0289855072463769</v>
      </c>
      <c r="C6" s="147"/>
      <c r="E6" s="63" t="s">
        <v>69</v>
      </c>
      <c r="F6" s="60" t="s">
        <v>12</v>
      </c>
      <c r="G6" s="47">
        <v>55</v>
      </c>
      <c r="H6" s="133">
        <f>IF(B$17=0,0,G6/B$17)</f>
        <v>0.26190476190476192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943.85964912280701</v>
      </c>
      <c r="P6" s="119">
        <v>57</v>
      </c>
      <c r="Q6" s="103">
        <v>53800</v>
      </c>
    </row>
    <row r="7" spans="1:17" x14ac:dyDescent="0.4">
      <c r="A7" s="55" t="s">
        <v>2</v>
      </c>
      <c r="B7" s="47">
        <v>19</v>
      </c>
      <c r="C7" s="39">
        <f>IF(B$2=0,0,B7/B$2)</f>
        <v>0.27536231884057971</v>
      </c>
      <c r="E7" s="63" t="s">
        <v>70</v>
      </c>
      <c r="F7" s="60" t="s">
        <v>25</v>
      </c>
      <c r="G7" s="47">
        <v>31</v>
      </c>
      <c r="H7" s="133">
        <f>IF(B$17=0,0,G7/B$17)</f>
        <v>0.14761904761904762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-255.10204081632654</v>
      </c>
      <c r="P7" s="120">
        <v>49</v>
      </c>
      <c r="Q7" s="104">
        <v>-12500</v>
      </c>
    </row>
    <row r="8" spans="1:17" x14ac:dyDescent="0.4">
      <c r="A8" s="55" t="s">
        <v>3</v>
      </c>
      <c r="B8" s="47">
        <v>29</v>
      </c>
      <c r="C8" s="39">
        <f>IF(B$2=0,0,B8/B$2)</f>
        <v>0.42028985507246375</v>
      </c>
      <c r="E8" s="63" t="s">
        <v>71</v>
      </c>
      <c r="F8" s="60" t="s">
        <v>26</v>
      </c>
      <c r="G8" s="47">
        <v>13</v>
      </c>
      <c r="H8" s="133">
        <f>IF(B$17=0,0,G8/B$17)</f>
        <v>6.1904761904761907E-2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0.30434782608695654</v>
      </c>
      <c r="E9" s="63" t="s">
        <v>72</v>
      </c>
      <c r="F9" s="60" t="s">
        <v>27</v>
      </c>
      <c r="G9" s="47">
        <v>17</v>
      </c>
      <c r="H9" s="133">
        <f>IF(B$17=0,0,G9/B$17)</f>
        <v>8.0952380952380956E-2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4.3478260869565216E-2</v>
      </c>
      <c r="E10" s="63" t="s">
        <v>73</v>
      </c>
      <c r="F10" s="60" t="s">
        <v>28</v>
      </c>
      <c r="G10" s="47">
        <v>118</v>
      </c>
      <c r="H10" s="133">
        <f>IF(B$17=0,0,G10/B$17)</f>
        <v>0.56190476190476191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-7.3800000000000026</v>
      </c>
      <c r="P10" s="118">
        <v>20</v>
      </c>
      <c r="Q10" s="106">
        <v>-147.60000000000005</v>
      </c>
    </row>
    <row r="11" spans="1:17" x14ac:dyDescent="0.4">
      <c r="A11" s="56" t="s">
        <v>140</v>
      </c>
      <c r="B11" s="48">
        <v>7</v>
      </c>
      <c r="C11" s="40">
        <f>IF(B$2=0,0,B11/B$2)</f>
        <v>0.10144927536231885</v>
      </c>
      <c r="E11" s="63" t="s">
        <v>74</v>
      </c>
      <c r="F11" s="60" t="s">
        <v>29</v>
      </c>
      <c r="G11" s="47">
        <v>1</v>
      </c>
      <c r="H11" s="133">
        <f>IF(B$17=0,0,G11/B$17)</f>
        <v>4.7619047619047623E-3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5.8090909090909086</v>
      </c>
      <c r="P11" s="119">
        <v>22</v>
      </c>
      <c r="Q11" s="107">
        <v>127.8</v>
      </c>
    </row>
    <row r="12" spans="1:17" x14ac:dyDescent="0.4">
      <c r="A12" s="57" t="s">
        <v>160</v>
      </c>
      <c r="B12" s="49">
        <v>5</v>
      </c>
      <c r="C12" s="42">
        <f>IF(B$2=0,0,B12/B$2)</f>
        <v>7.2463768115942032E-2</v>
      </c>
      <c r="E12" s="63" t="s">
        <v>75</v>
      </c>
      <c r="F12" s="60" t="s">
        <v>30</v>
      </c>
      <c r="G12" s="47">
        <v>1</v>
      </c>
      <c r="H12" s="133">
        <f>IF(B$17=0,0,G12/B$17)</f>
        <v>4.7619047619047623E-3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0.45185185185185184</v>
      </c>
      <c r="P12" s="120">
        <v>27</v>
      </c>
      <c r="Q12" s="108">
        <v>12.2</v>
      </c>
    </row>
    <row r="13" spans="1:17" x14ac:dyDescent="0.4">
      <c r="A13" s="58" t="s">
        <v>122</v>
      </c>
      <c r="B13" s="50">
        <v>129</v>
      </c>
      <c r="C13" s="44">
        <f>IF(B$3=0,0,B13/B$3)</f>
        <v>0.21608040201005024</v>
      </c>
      <c r="E13" s="63" t="s">
        <v>76</v>
      </c>
      <c r="F13" s="60" t="s">
        <v>31</v>
      </c>
      <c r="G13" s="47">
        <v>1</v>
      </c>
      <c r="H13" s="133">
        <f>IF(B$17=0,0,G13/B$17)</f>
        <v>4.7619047619047623E-3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174</v>
      </c>
      <c r="C14" s="39">
        <f>IF(B$3=0,0,B14/B$3)</f>
        <v>0.29145728643216079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72</v>
      </c>
      <c r="C15" s="37">
        <f>IF(B$13=0,0,B15/B$13)</f>
        <v>0.55813953488372092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34.278947368421036</v>
      </c>
      <c r="P15" s="118">
        <v>19</v>
      </c>
      <c r="Q15" s="106">
        <v>651.29999999999973</v>
      </c>
    </row>
    <row r="16" spans="1:17" x14ac:dyDescent="0.4">
      <c r="A16" s="54" t="s">
        <v>125</v>
      </c>
      <c r="B16" s="46">
        <v>75</v>
      </c>
      <c r="C16" s="37">
        <f>IF(B$14=0,0,B16/B$14)</f>
        <v>0.43103448275862066</v>
      </c>
      <c r="E16" s="63" t="s">
        <v>79</v>
      </c>
      <c r="F16" s="60" t="s">
        <v>34</v>
      </c>
      <c r="G16" s="47">
        <v>3</v>
      </c>
      <c r="H16" s="133">
        <f>IF(B$17=0,0,G16/B$17)</f>
        <v>1.4285714285714285E-2</v>
      </c>
      <c r="I16" s="94">
        <v>10</v>
      </c>
      <c r="K16" s="38">
        <v>14</v>
      </c>
      <c r="L16" s="99">
        <v>-12.3</v>
      </c>
      <c r="N16" s="115" t="s">
        <v>223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210</v>
      </c>
      <c r="C17" s="37">
        <f>IF(B$3=0,0,B17/B$3)</f>
        <v>0.35175879396984927</v>
      </c>
      <c r="E17" s="63" t="s">
        <v>80</v>
      </c>
      <c r="F17" s="60" t="s">
        <v>35</v>
      </c>
      <c r="G17" s="47">
        <v>3</v>
      </c>
      <c r="H17" s="133">
        <f>IF(B$17=0,0,G17/B$17)</f>
        <v>1.4285714285714285E-2</v>
      </c>
      <c r="I17" s="94">
        <v>7</v>
      </c>
      <c r="K17" s="38">
        <v>15</v>
      </c>
      <c r="L17" s="99">
        <v>-80.3</v>
      </c>
      <c r="N17" s="115" t="s">
        <v>184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88</v>
      </c>
      <c r="C18" s="39">
        <f>IF(B$17=0,0,B18/B$17)</f>
        <v>0.41904761904761906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200</v>
      </c>
      <c r="O18" s="125">
        <f t="shared" si="2"/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122</v>
      </c>
      <c r="C19" s="39">
        <f>IF(B$17=0,0,B19/B$17)</f>
        <v>0.580952380952381</v>
      </c>
      <c r="E19" s="63" t="s">
        <v>82</v>
      </c>
      <c r="F19" s="60" t="s">
        <v>37</v>
      </c>
      <c r="G19" s="47">
        <v>7</v>
      </c>
      <c r="H19" s="133">
        <f>IF(B$17=0,0,G19/B$17)</f>
        <v>3.3333333333333333E-2</v>
      </c>
      <c r="I19" s="94">
        <v>3</v>
      </c>
      <c r="K19" s="38">
        <v>17</v>
      </c>
      <c r="L19" s="99">
        <v>-55.099999999999994</v>
      </c>
      <c r="N19" s="115" t="s">
        <v>173</v>
      </c>
      <c r="O19" s="125">
        <f t="shared" si="2"/>
        <v>6.6333333333333302</v>
      </c>
      <c r="P19" s="119">
        <v>12</v>
      </c>
      <c r="Q19" s="107">
        <v>79.599999999999966</v>
      </c>
    </row>
    <row r="20" spans="1:17" x14ac:dyDescent="0.4">
      <c r="A20" s="55" t="s">
        <v>13</v>
      </c>
      <c r="B20" s="47">
        <v>80</v>
      </c>
      <c r="C20" s="39">
        <f>IF(B$3=0,0,B20/B$3)</f>
        <v>0.13400335008375208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177</v>
      </c>
      <c r="O20" s="125">
        <f t="shared" si="2"/>
        <v>5.1416666666666657</v>
      </c>
      <c r="P20" s="119">
        <v>12</v>
      </c>
      <c r="Q20" s="107">
        <v>61.699999999999989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12</v>
      </c>
      <c r="H21" s="133">
        <f>IF(B$17=0,0,G21/B$17)</f>
        <v>5.7142857142857141E-2</v>
      </c>
      <c r="I21" s="94">
        <v>3</v>
      </c>
      <c r="K21" s="38">
        <v>19</v>
      </c>
      <c r="L21" s="99">
        <v>29.200000000000003</v>
      </c>
      <c r="N21" s="115" t="s">
        <v>128</v>
      </c>
      <c r="O21" s="125">
        <f t="shared" si="2"/>
        <v>-0.21290322580645182</v>
      </c>
      <c r="P21" s="119">
        <v>31</v>
      </c>
      <c r="Q21" s="107">
        <v>-6.6000000000000068</v>
      </c>
    </row>
    <row r="22" spans="1:17" x14ac:dyDescent="0.4">
      <c r="A22" s="55" t="s">
        <v>192</v>
      </c>
      <c r="B22" s="47">
        <v>23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6635.7142857142853</v>
      </c>
      <c r="C23" s="41">
        <v>1393500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-22.883783783783784</v>
      </c>
      <c r="P23" s="119">
        <v>37</v>
      </c>
      <c r="Q23" s="107">
        <v>-846.7</v>
      </c>
    </row>
    <row r="24" spans="1:17" x14ac:dyDescent="0.4">
      <c r="A24" s="57" t="s">
        <v>14</v>
      </c>
      <c r="B24" s="52">
        <f>IF(B$20=0,0,C24/B$20)</f>
        <v>-8927.5</v>
      </c>
      <c r="C24" s="45">
        <v>-714200</v>
      </c>
      <c r="E24" s="63" t="s">
        <v>87</v>
      </c>
      <c r="F24" s="60" t="s">
        <v>42</v>
      </c>
      <c r="G24" s="47">
        <v>8</v>
      </c>
      <c r="H24" s="133">
        <f>IF(B$17=0,0,G24/B$17)</f>
        <v>3.8095238095238099E-2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4.7619047619047623E-3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1.6750418760469012E-3</v>
      </c>
      <c r="E27" s="63" t="s">
        <v>90</v>
      </c>
      <c r="F27" s="60" t="s">
        <v>45</v>
      </c>
      <c r="G27" s="47">
        <v>17</v>
      </c>
      <c r="H27" s="133">
        <f>IF(B$17=0,0,G27/B$17)</f>
        <v>8.0952380952380956E-2</v>
      </c>
      <c r="I27" s="94">
        <v>11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4.7619047619047623E-3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9.5238095238095247E-3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138" t="s">
        <v>245</v>
      </c>
      <c r="F51" s="139" t="s">
        <v>246</v>
      </c>
      <c r="G51" s="48">
        <v>93</v>
      </c>
      <c r="H51" s="140">
        <f>IF(B$17=0,0,G51/B$17)</f>
        <v>0.44285714285714284</v>
      </c>
      <c r="I51" s="141">
        <v>3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</sheetData>
  <sortState ref="E2:I7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B795-E045-4075-9EFD-3EE7D2F6A0D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44</v>
      </c>
      <c r="C2" s="151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52">
        <v>382</v>
      </c>
      <c r="C3" s="153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4">
        <v>-262.59999999999997</v>
      </c>
      <c r="C4" s="155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6">
        <f>IF(B$2=0,0,B$4/B$2)</f>
        <v>-5.9681818181818178</v>
      </c>
      <c r="C5" s="157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6">
        <f>IF(B$2=0,0,(B$7*1+B$8*2+B$9*3)/B$2)</f>
        <v>2.0681818181818183</v>
      </c>
      <c r="C6" s="147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138" t="s">
        <v>245</v>
      </c>
      <c r="F51" s="139" t="s">
        <v>246</v>
      </c>
      <c r="G51" s="48">
        <v>45</v>
      </c>
      <c r="H51" s="140">
        <f>IF(B$17=0,0,G51/B$17)</f>
        <v>0.39473684210526316</v>
      </c>
      <c r="I51" s="141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CB12-A25C-4FDC-87E8-7AA31C9561EA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51</v>
      </c>
      <c r="C2" s="151"/>
      <c r="E2" s="62" t="s">
        <v>65</v>
      </c>
      <c r="F2" s="59" t="s">
        <v>21</v>
      </c>
      <c r="G2" s="46">
        <v>73</v>
      </c>
      <c r="H2" s="132">
        <f>IF(B$17=0,0,G2/B$17)</f>
        <v>0.58870967741935487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327.45098039215685</v>
      </c>
      <c r="P2" s="118">
        <v>51</v>
      </c>
      <c r="Q2" s="102">
        <v>16700</v>
      </c>
    </row>
    <row r="3" spans="1:17" x14ac:dyDescent="0.4">
      <c r="A3" s="55" t="s">
        <v>8</v>
      </c>
      <c r="B3" s="152">
        <v>415</v>
      </c>
      <c r="C3" s="153"/>
      <c r="E3" s="63" t="s">
        <v>66</v>
      </c>
      <c r="F3" s="60" t="s">
        <v>22</v>
      </c>
      <c r="G3" s="47">
        <v>15</v>
      </c>
      <c r="H3" s="133">
        <f>IF(B$17=0,0,G3/B$17)</f>
        <v>0.12096774193548387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908.33333333333337</v>
      </c>
      <c r="P3" s="119">
        <v>48</v>
      </c>
      <c r="Q3" s="103">
        <v>43600</v>
      </c>
    </row>
    <row r="4" spans="1:17" x14ac:dyDescent="0.4">
      <c r="A4" s="55" t="s">
        <v>6</v>
      </c>
      <c r="B4" s="154">
        <v>20.999999999999993</v>
      </c>
      <c r="C4" s="155"/>
      <c r="E4" s="63" t="s">
        <v>67</v>
      </c>
      <c r="F4" s="60" t="s">
        <v>23</v>
      </c>
      <c r="G4" s="47">
        <v>71</v>
      </c>
      <c r="H4" s="133">
        <f>IF(B$17=0,0,G4/B$17)</f>
        <v>0.57258064516129037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-1147.7272727272727</v>
      </c>
      <c r="P4" s="119">
        <v>44</v>
      </c>
      <c r="Q4" s="103">
        <v>-50500</v>
      </c>
    </row>
    <row r="5" spans="1:17" x14ac:dyDescent="0.4">
      <c r="A5" s="55" t="s">
        <v>7</v>
      </c>
      <c r="B5" s="156">
        <f>IF(B$2=0,0,B$4/B$2)</f>
        <v>0.41176470588235281</v>
      </c>
      <c r="C5" s="157"/>
      <c r="E5" s="63" t="s">
        <v>68</v>
      </c>
      <c r="F5" s="60" t="s">
        <v>24</v>
      </c>
      <c r="G5" s="47">
        <v>44</v>
      </c>
      <c r="H5" s="133">
        <f>IF(B$17=0,0,G5/B$17)</f>
        <v>0.35483870967741937</v>
      </c>
      <c r="I5" s="94">
        <v>7</v>
      </c>
      <c r="K5" s="38">
        <v>3</v>
      </c>
      <c r="L5" s="99">
        <v>-10</v>
      </c>
      <c r="N5" s="115" t="s">
        <v>135</v>
      </c>
      <c r="O5" s="122">
        <f t="shared" si="0"/>
        <v>1418.6046511627908</v>
      </c>
      <c r="P5" s="119">
        <v>43</v>
      </c>
      <c r="Q5" s="103">
        <v>61000</v>
      </c>
    </row>
    <row r="6" spans="1:17" x14ac:dyDescent="0.4">
      <c r="A6" s="55" t="s">
        <v>1</v>
      </c>
      <c r="B6" s="146">
        <f>IF(B$2=0,0,(B$7*1+B$8*2+B$9*3)/B$2)</f>
        <v>1.9607843137254901</v>
      </c>
      <c r="C6" s="147"/>
      <c r="E6" s="63" t="s">
        <v>69</v>
      </c>
      <c r="F6" s="60" t="s">
        <v>12</v>
      </c>
      <c r="G6" s="47">
        <v>38</v>
      </c>
      <c r="H6" s="133">
        <f>IF(B$17=0,0,G6/B$17)</f>
        <v>0.30645161290322581</v>
      </c>
      <c r="I6" s="94">
        <v>9</v>
      </c>
      <c r="K6" s="38">
        <v>4</v>
      </c>
      <c r="L6" s="99">
        <v>40</v>
      </c>
      <c r="N6" s="115" t="s">
        <v>136</v>
      </c>
      <c r="O6" s="122">
        <f t="shared" si="0"/>
        <v>-1741.0256410256411</v>
      </c>
      <c r="P6" s="119">
        <v>39</v>
      </c>
      <c r="Q6" s="103">
        <v>-67900</v>
      </c>
    </row>
    <row r="7" spans="1:17" x14ac:dyDescent="0.4">
      <c r="A7" s="55" t="s">
        <v>2</v>
      </c>
      <c r="B7" s="47">
        <v>19</v>
      </c>
      <c r="C7" s="39">
        <f>IF(B$2=0,0,B7/B$2)</f>
        <v>0.37254901960784315</v>
      </c>
      <c r="E7" s="63" t="s">
        <v>70</v>
      </c>
      <c r="F7" s="60" t="s">
        <v>25</v>
      </c>
      <c r="G7" s="47">
        <v>21</v>
      </c>
      <c r="H7" s="133">
        <f>IF(B$17=0,0,G7/B$17)</f>
        <v>0.16935483870967741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571.875</v>
      </c>
      <c r="P7" s="120">
        <v>32</v>
      </c>
      <c r="Q7" s="104">
        <v>18300</v>
      </c>
    </row>
    <row r="8" spans="1:17" x14ac:dyDescent="0.4">
      <c r="A8" s="55" t="s">
        <v>3</v>
      </c>
      <c r="B8" s="47">
        <v>15</v>
      </c>
      <c r="C8" s="39">
        <f>IF(B$2=0,0,B8/B$2)</f>
        <v>0.29411764705882354</v>
      </c>
      <c r="E8" s="63" t="s">
        <v>71</v>
      </c>
      <c r="F8" s="60" t="s">
        <v>26</v>
      </c>
      <c r="G8" s="47">
        <v>8</v>
      </c>
      <c r="H8" s="133">
        <f>IF(B$17=0,0,G8/B$17)</f>
        <v>6.4516129032258063E-2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6</v>
      </c>
      <c r="H9" s="133">
        <f>IF(B$17=0,0,G9/B$17)</f>
        <v>4.8387096774193547E-2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0.17647058823529413</v>
      </c>
      <c r="E10" s="63" t="s">
        <v>73</v>
      </c>
      <c r="F10" s="60" t="s">
        <v>28</v>
      </c>
      <c r="G10" s="47">
        <v>56</v>
      </c>
      <c r="H10" s="133">
        <f>IF(B$17=0,0,G10/B$17)</f>
        <v>0.45161290322580644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-0.67142857142857204</v>
      </c>
      <c r="P10" s="118">
        <v>14</v>
      </c>
      <c r="Q10" s="106">
        <v>-9.4000000000000092</v>
      </c>
    </row>
    <row r="11" spans="1:17" x14ac:dyDescent="0.4">
      <c r="A11" s="56" t="s">
        <v>140</v>
      </c>
      <c r="B11" s="48">
        <v>5</v>
      </c>
      <c r="C11" s="40">
        <f>IF(B$2=0,0,B11/B$2)</f>
        <v>9.8039215686274508E-2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5.5473684210526315</v>
      </c>
      <c r="P11" s="119">
        <v>19</v>
      </c>
      <c r="Q11" s="107">
        <v>105.39999999999999</v>
      </c>
    </row>
    <row r="12" spans="1:17" x14ac:dyDescent="0.4">
      <c r="A12" s="57" t="s">
        <v>160</v>
      </c>
      <c r="B12" s="49">
        <v>5</v>
      </c>
      <c r="C12" s="42">
        <f>IF(B$2=0,0,B12/B$2)</f>
        <v>9.8039215686274508E-2</v>
      </c>
      <c r="E12" s="63" t="s">
        <v>75</v>
      </c>
      <c r="F12" s="60" t="s">
        <v>30</v>
      </c>
      <c r="G12" s="47">
        <v>1</v>
      </c>
      <c r="H12" s="133">
        <f>IF(B$17=0,0,G12/B$17)</f>
        <v>8.0645161290322578E-3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-4.166666666666667</v>
      </c>
      <c r="P12" s="120">
        <v>18</v>
      </c>
      <c r="Q12" s="108">
        <v>-75</v>
      </c>
    </row>
    <row r="13" spans="1:17" x14ac:dyDescent="0.4">
      <c r="A13" s="58" t="s">
        <v>122</v>
      </c>
      <c r="B13" s="50">
        <v>110</v>
      </c>
      <c r="C13" s="44">
        <f>IF(B$3=0,0,B13/B$3)</f>
        <v>0.26506024096385544</v>
      </c>
      <c r="E13" s="63" t="s">
        <v>76</v>
      </c>
      <c r="F13" s="60" t="s">
        <v>31</v>
      </c>
      <c r="G13" s="47">
        <v>1</v>
      </c>
      <c r="H13" s="133">
        <f>IF(B$17=0,0,G13/B$17)</f>
        <v>8.0645161290322578E-3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78</v>
      </c>
      <c r="C14" s="39">
        <f>IF(B$3=0,0,B14/B$3)</f>
        <v>0.18795180722891566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73</v>
      </c>
      <c r="C15" s="37">
        <f>IF(B$13=0,0,B15/B$13)</f>
        <v>0.66363636363636369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200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29</v>
      </c>
      <c r="C16" s="37">
        <f>IF(B$14=0,0,B16/B$14)</f>
        <v>0.37179487179487181</v>
      </c>
      <c r="E16" s="63" t="s">
        <v>79</v>
      </c>
      <c r="F16" s="60" t="s">
        <v>34</v>
      </c>
      <c r="G16" s="47">
        <v>5</v>
      </c>
      <c r="H16" s="133">
        <f>IF(B$17=0,0,G16/B$17)</f>
        <v>4.0322580645161289E-2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 t="shared" si="2"/>
        <v>27.985714285714291</v>
      </c>
      <c r="P16" s="119">
        <v>14</v>
      </c>
      <c r="Q16" s="107">
        <v>391.80000000000007</v>
      </c>
    </row>
    <row r="17" spans="1:17" x14ac:dyDescent="0.4">
      <c r="A17" s="54" t="s">
        <v>10</v>
      </c>
      <c r="B17" s="46">
        <f>B19+B18</f>
        <v>124</v>
      </c>
      <c r="C17" s="37">
        <f>IF(B$3=0,0,B17/B$3)</f>
        <v>0.29879518072289157</v>
      </c>
      <c r="E17" s="63" t="s">
        <v>80</v>
      </c>
      <c r="F17" s="60" t="s">
        <v>35</v>
      </c>
      <c r="G17" s="47">
        <v>2</v>
      </c>
      <c r="H17" s="133">
        <f>IF(B$17=0,0,G17/B$17)</f>
        <v>1.6129032258064516E-2</v>
      </c>
      <c r="I17" s="94">
        <v>4</v>
      </c>
      <c r="K17" s="38">
        <v>15</v>
      </c>
      <c r="L17" s="99">
        <v>-146.19999999999999</v>
      </c>
      <c r="N17" s="115" t="s">
        <v>184</v>
      </c>
      <c r="O17" s="125">
        <f t="shared" si="2"/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54</v>
      </c>
      <c r="C18" s="39">
        <f>IF(B$17=0,0,B18/B$17)</f>
        <v>0.43548387096774194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12.139130434782608</v>
      </c>
      <c r="P18" s="119">
        <v>23</v>
      </c>
      <c r="Q18" s="107">
        <v>279.2</v>
      </c>
    </row>
    <row r="19" spans="1:17" x14ac:dyDescent="0.4">
      <c r="A19" s="55" t="s">
        <v>11</v>
      </c>
      <c r="B19" s="47">
        <v>70</v>
      </c>
      <c r="C19" s="39">
        <f>IF(B$17=0,0,B19/B$17)</f>
        <v>0.56451612903225812</v>
      </c>
      <c r="E19" s="63" t="s">
        <v>82</v>
      </c>
      <c r="F19" s="60" t="s">
        <v>37</v>
      </c>
      <c r="G19" s="47">
        <v>3</v>
      </c>
      <c r="H19" s="133">
        <f>IF(B$17=0,0,G19/B$17)</f>
        <v>2.4193548387096774E-2</v>
      </c>
      <c r="I19" s="94">
        <v>8</v>
      </c>
      <c r="K19" s="38">
        <v>17</v>
      </c>
      <c r="L19" s="99">
        <v>-161.19999999999999</v>
      </c>
      <c r="N19" s="115" t="s">
        <v>173</v>
      </c>
      <c r="O19" s="125">
        <f t="shared" si="2"/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67</v>
      </c>
      <c r="C20" s="39">
        <f>IF(B$3=0,0,B20/B$3)</f>
        <v>0.16144578313253011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1.4142857142857115</v>
      </c>
      <c r="P20" s="119">
        <v>14</v>
      </c>
      <c r="Q20" s="107">
        <v>19.799999999999962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4.0322580645161289E-2</v>
      </c>
      <c r="I21" s="94">
        <v>8</v>
      </c>
      <c r="K21" s="38">
        <v>19</v>
      </c>
      <c r="L21" s="99">
        <v>-235.6</v>
      </c>
      <c r="N21" s="115" t="s">
        <v>172</v>
      </c>
      <c r="O21" s="125">
        <f t="shared" si="2"/>
        <v>-5.1416666666666702</v>
      </c>
      <c r="P21" s="119">
        <v>12</v>
      </c>
      <c r="Q21" s="107">
        <v>-61.700000000000038</v>
      </c>
    </row>
    <row r="22" spans="1:17" x14ac:dyDescent="0.4">
      <c r="A22" s="55" t="s">
        <v>192</v>
      </c>
      <c r="B22" s="47">
        <v>22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-30.80869565217392</v>
      </c>
      <c r="P22" s="119">
        <v>23</v>
      </c>
      <c r="Q22" s="107">
        <v>-708.60000000000014</v>
      </c>
    </row>
    <row r="23" spans="1:17" x14ac:dyDescent="0.4">
      <c r="A23" s="55" t="s">
        <v>5</v>
      </c>
      <c r="B23" s="51">
        <f>IF(B$17=0,0,C23/B$17)</f>
        <v>8587.0967741935492</v>
      </c>
      <c r="C23" s="41">
        <v>1064800</v>
      </c>
      <c r="E23" s="63" t="s">
        <v>86</v>
      </c>
      <c r="F23" s="60" t="s">
        <v>41</v>
      </c>
      <c r="G23" s="47">
        <v>2</v>
      </c>
      <c r="H23" s="133">
        <f>IF(B$17=0,0,G23/B$17)</f>
        <v>1.6129032258064516E-2</v>
      </c>
      <c r="I23" s="94">
        <v>1</v>
      </c>
      <c r="K23" s="38">
        <v>21</v>
      </c>
      <c r="L23" s="99">
        <v>-188.60000000000002</v>
      </c>
      <c r="N23" s="115" t="s">
        <v>183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-7931.3432835820895</v>
      </c>
      <c r="C24" s="45">
        <v>-531400</v>
      </c>
      <c r="E24" s="63" t="s">
        <v>87</v>
      </c>
      <c r="F24" s="60" t="s">
        <v>42</v>
      </c>
      <c r="G24" s="47">
        <v>3</v>
      </c>
      <c r="H24" s="133">
        <f>IF(B$17=0,0,G24/B$17)</f>
        <v>2.4193548387096774E-2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7.2289156626506026E-3</v>
      </c>
      <c r="E27" s="63" t="s">
        <v>90</v>
      </c>
      <c r="F27" s="60" t="s">
        <v>45</v>
      </c>
      <c r="G27" s="47">
        <v>13</v>
      </c>
      <c r="H27" s="133">
        <f>IF(B$17=0,0,G27/B$17)</f>
        <v>0.10483870967741936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8.0645161290322578E-3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4.0322580645161289E-2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8.0645161290322578E-3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8.0645161290322578E-3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40.899999999999991</v>
      </c>
    </row>
    <row r="51" spans="5:12" x14ac:dyDescent="0.4">
      <c r="E51" s="138" t="s">
        <v>245</v>
      </c>
      <c r="F51" s="139" t="s">
        <v>246</v>
      </c>
      <c r="G51" s="48">
        <v>51</v>
      </c>
      <c r="H51" s="140">
        <f>IF(B$17=0,0,G51/B$17)</f>
        <v>0.41129032258064518</v>
      </c>
      <c r="I51" s="141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</sheetData>
  <sortState ref="E2:I5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1984-961B-4F6A-9AF9-2C8AAB3A280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2</v>
      </c>
      <c r="H51" s="140">
        <f>IF(B$17=0,0,G51/B$17)</f>
        <v>0.4</v>
      </c>
      <c r="I51" s="141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81428-ABAF-4D30-BF60-9737845D026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</v>
      </c>
      <c r="C2" s="151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52">
        <v>118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4">
        <v>-138.69999999999999</v>
      </c>
      <c r="C4" s="155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6">
        <f>IF(B$2=0,0,B$4/B$2)</f>
        <v>-9.9071428571428566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5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2</v>
      </c>
      <c r="N21" s="115" t="s">
        <v>183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192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62700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12</v>
      </c>
      <c r="H51" s="140">
        <f>IF(B$17=0,0,G51/B$17)</f>
        <v>0.35294117647058826</v>
      </c>
      <c r="I51" s="141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486A-1E85-4CD9-92DE-7E0F8823777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</v>
      </c>
      <c r="C2" s="151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52">
        <v>69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4">
        <v>-25.300000000000004</v>
      </c>
      <c r="C4" s="155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6">
        <f>IF(B$2=0,0,B$4/B$2)</f>
        <v>-3.6142857142857148</v>
      </c>
      <c r="C5" s="157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6</v>
      </c>
    </row>
    <row r="22" spans="1:17" x14ac:dyDescent="0.4">
      <c r="A22" s="55" t="s">
        <v>192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7</v>
      </c>
      <c r="H51" s="140">
        <f>IF(B$17=0,0,G51/B$17)</f>
        <v>0.33333333333333331</v>
      </c>
      <c r="I51" s="141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4053-E633-45EA-BCE3-5F7BEF1CD41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0.5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E82-91D5-494C-AC3C-82E94060075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0.2</v>
      </c>
      <c r="I51" s="141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9A1A-11EB-4D4D-9C13-BFB0CB4A1C02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584-75BA-4460-B6D3-3C88ABBA198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421F-71A8-4330-B42A-F7FE309C5BA6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D3DE-EAB2-418C-B5AB-C3CC1E224B1A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81CA-656B-4ABC-8423-4EFD906EF00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96D8-CA80-4D9E-B28F-2A29C742664F}">
  <sheetPr codeName="Sheet20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E3A4-0A6C-44E2-AD8B-3FE3F455F42F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FE53-43B9-46DF-BA3A-2E05AF4A0C75}">
  <sheetPr codeName="Sheet16"/>
  <dimension ref="A1:Q7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90D4-F851-4055-A23C-61016B8A87CD}">
  <sheetPr codeName="Sheet14"/>
  <dimension ref="A1:Q8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B072-025A-40A9-89CB-D0676B3EF31C}">
  <sheetPr codeName="Sheet12"/>
  <dimension ref="A1:Q8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BBFD-DEFF-4D3D-87BB-17440BF2CCB3}">
  <sheetPr codeName="Sheet10"/>
  <dimension ref="A1:Q1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77C-30AE-496B-863A-4FC58CDF78AC}">
  <sheetPr codeName="Sheet8"/>
  <dimension ref="A1:Q1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5B43-A7D3-4905-9FA2-B6BE087D125A}">
  <sheetPr codeName="Sheet6"/>
  <dimension ref="A1:Q20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2019-06-05T16:47:04Z</dcterms:modified>
</cp:coreProperties>
</file>