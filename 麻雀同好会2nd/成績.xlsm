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4F735BE3-05C2-4720-BB33-7F0C68C0FDE1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265" r:id="rId6"/>
    <sheet name="だいち" sheetId="5267" r:id="rId7"/>
    <sheet name="りくと" sheetId="5269" r:id="rId8"/>
    <sheet name="ただ" sheetId="5271" r:id="rId9"/>
    <sheet name="れんたろう" sheetId="5273" r:id="rId10"/>
    <sheet name="たかの" sheetId="5275" r:id="rId11"/>
    <sheet name="ぱぱ" sheetId="5277" r:id="rId12"/>
    <sheet name="まっつん" sheetId="5279" r:id="rId13"/>
    <sheet name="あさひ" sheetId="5281" r:id="rId14"/>
    <sheet name="いっしー" sheetId="5283" r:id="rId15"/>
    <sheet name="ほたに" sheetId="5285" r:id="rId16"/>
    <sheet name="かわたつ" sheetId="5287" r:id="rId17"/>
    <sheet name="やがさき" sheetId="5289" r:id="rId18"/>
    <sheet name="やがさき2" sheetId="5290" state="hidden" r:id="rId19"/>
    <sheet name="かわたつ2" sheetId="5288" state="hidden" r:id="rId20"/>
    <sheet name="ほたに2" sheetId="5286" state="hidden" r:id="rId21"/>
    <sheet name="いっしー2" sheetId="5284" state="hidden" r:id="rId22"/>
    <sheet name="あさひ2" sheetId="5282" state="hidden" r:id="rId23"/>
    <sheet name="まっつん2" sheetId="5280" state="hidden" r:id="rId24"/>
    <sheet name="ぱぱ2" sheetId="5278" state="hidden" r:id="rId25"/>
    <sheet name="たかの2" sheetId="5276" state="hidden" r:id="rId26"/>
    <sheet name="れんたろう2" sheetId="5274" state="hidden" r:id="rId27"/>
    <sheet name="ただ2" sheetId="5272" state="hidden" r:id="rId28"/>
    <sheet name="りくと2" sheetId="5270" state="hidden" r:id="rId29"/>
    <sheet name="だいち2" sheetId="5268" state="hidden" r:id="rId30"/>
    <sheet name="全体2" sheetId="5266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271" l="1"/>
  <c r="O16" i="5275"/>
  <c r="O15" i="5265"/>
  <c r="O16" i="5289"/>
  <c r="O15" i="5289"/>
  <c r="C27" i="5289"/>
  <c r="B24" i="5289"/>
  <c r="C20" i="5289"/>
  <c r="B17" i="5289"/>
  <c r="H50" i="5289" s="1"/>
  <c r="C16" i="5289"/>
  <c r="C15" i="5289"/>
  <c r="H17" i="5289"/>
  <c r="C14" i="5289"/>
  <c r="C13" i="5289"/>
  <c r="O12" i="5289"/>
  <c r="C12" i="5289"/>
  <c r="O11" i="5289"/>
  <c r="C11" i="5289"/>
  <c r="O10" i="5289"/>
  <c r="C10" i="5289"/>
  <c r="C9" i="5289"/>
  <c r="H12" i="5289"/>
  <c r="C8" i="5289"/>
  <c r="O7" i="5289"/>
  <c r="C7" i="5289"/>
  <c r="O6" i="5289"/>
  <c r="B6" i="5289"/>
  <c r="O5" i="5289"/>
  <c r="B5" i="5289"/>
  <c r="O4" i="5289"/>
  <c r="O3" i="5289"/>
  <c r="O2" i="5289"/>
  <c r="O15" i="5287"/>
  <c r="O16" i="5287"/>
  <c r="H43" i="5287"/>
  <c r="H40" i="5287"/>
  <c r="H32" i="5287"/>
  <c r="H31" i="5287"/>
  <c r="C27" i="5287"/>
  <c r="B24" i="5287"/>
  <c r="H22" i="5287"/>
  <c r="C20" i="5287"/>
  <c r="C18" i="5287"/>
  <c r="H19" i="5287"/>
  <c r="B17" i="5287"/>
  <c r="H50" i="5287" s="1"/>
  <c r="H18" i="5287"/>
  <c r="C16" i="5287"/>
  <c r="C15" i="5287"/>
  <c r="H16" i="5287"/>
  <c r="C14" i="5287"/>
  <c r="C13" i="5287"/>
  <c r="O12" i="5287"/>
  <c r="H14" i="5287"/>
  <c r="C12" i="5287"/>
  <c r="O11" i="5287"/>
  <c r="H13" i="5287"/>
  <c r="C11" i="5287"/>
  <c r="O10" i="5287"/>
  <c r="H12" i="5287"/>
  <c r="C10" i="5287"/>
  <c r="H11" i="5287"/>
  <c r="C9" i="5287"/>
  <c r="H10" i="5287"/>
  <c r="C8" i="5287"/>
  <c r="O7" i="5287"/>
  <c r="C7" i="5287"/>
  <c r="O6" i="5287"/>
  <c r="H5" i="5287"/>
  <c r="B6" i="5287"/>
  <c r="O5" i="5287"/>
  <c r="H4" i="5287"/>
  <c r="B5" i="5287"/>
  <c r="O4" i="5287"/>
  <c r="H2" i="5287"/>
  <c r="O3" i="5287"/>
  <c r="H8" i="5287"/>
  <c r="O2" i="5287"/>
  <c r="H3" i="5287"/>
  <c r="O23" i="5273"/>
  <c r="O17" i="5267"/>
  <c r="O25" i="5265"/>
  <c r="H14" i="5289" l="1"/>
  <c r="H3" i="5289"/>
  <c r="H10" i="5289"/>
  <c r="H2" i="5289"/>
  <c r="H5" i="5289"/>
  <c r="H6" i="5289"/>
  <c r="C18" i="5289"/>
  <c r="H32" i="5289"/>
  <c r="H43" i="5289"/>
  <c r="H21" i="5289"/>
  <c r="H26" i="5289"/>
  <c r="H35" i="5289"/>
  <c r="H47" i="5289"/>
  <c r="H11" i="5289"/>
  <c r="H16" i="5289"/>
  <c r="C17" i="5289"/>
  <c r="H39" i="5289"/>
  <c r="H48" i="5289"/>
  <c r="H18" i="5289"/>
  <c r="H9" i="5289"/>
  <c r="H4" i="5289"/>
  <c r="H13" i="5289"/>
  <c r="H15" i="5289"/>
  <c r="H19" i="5289"/>
  <c r="H23" i="5289"/>
  <c r="H31" i="5289"/>
  <c r="H40" i="5289"/>
  <c r="H51" i="5289"/>
  <c r="C19" i="5289"/>
  <c r="H24" i="5289"/>
  <c r="H7" i="5289"/>
  <c r="H36" i="5289"/>
  <c r="H44" i="5289"/>
  <c r="H8" i="5289"/>
  <c r="B23" i="5289"/>
  <c r="H27" i="5289"/>
  <c r="H29" i="5289"/>
  <c r="H33" i="5289"/>
  <c r="H37" i="5289"/>
  <c r="H41" i="5289"/>
  <c r="H45" i="5289"/>
  <c r="H49" i="5289"/>
  <c r="H20" i="5289"/>
  <c r="H22" i="5289"/>
  <c r="H25" i="5289"/>
  <c r="H28" i="5289"/>
  <c r="H30" i="5289"/>
  <c r="H34" i="5289"/>
  <c r="H38" i="5289"/>
  <c r="H42" i="5289"/>
  <c r="H46" i="5289"/>
  <c r="H6" i="5287"/>
  <c r="H35" i="5287"/>
  <c r="H47" i="5287"/>
  <c r="H25" i="5287"/>
  <c r="H9" i="5287"/>
  <c r="H15" i="5287"/>
  <c r="H17" i="5287"/>
  <c r="C17" i="5287"/>
  <c r="H39" i="5287"/>
  <c r="H48" i="5287"/>
  <c r="H51" i="5287"/>
  <c r="C19" i="5287"/>
  <c r="H23" i="5287"/>
  <c r="H28" i="5287"/>
  <c r="H36" i="5287"/>
  <c r="H44" i="5287"/>
  <c r="H7" i="5287"/>
  <c r="B23" i="5287"/>
  <c r="H26" i="5287"/>
  <c r="H29" i="5287"/>
  <c r="H33" i="5287"/>
  <c r="H37" i="5287"/>
  <c r="H41" i="5287"/>
  <c r="H45" i="5287"/>
  <c r="H49" i="5287"/>
  <c r="H20" i="5287"/>
  <c r="H21" i="5287"/>
  <c r="H24" i="5287"/>
  <c r="H27" i="5287"/>
  <c r="H30" i="5287"/>
  <c r="H34" i="5287"/>
  <c r="H38" i="5287"/>
  <c r="H42" i="5287"/>
  <c r="H46" i="5287"/>
  <c r="O18" i="5275" l="1"/>
  <c r="O18" i="5283"/>
  <c r="O20" i="5285" l="1"/>
  <c r="O18" i="5285"/>
  <c r="O15" i="5279"/>
  <c r="O20" i="5269"/>
  <c r="O24" i="5267" l="1"/>
  <c r="O16" i="5285"/>
  <c r="O21" i="5277"/>
  <c r="O15" i="5285"/>
  <c r="O17" i="5285" l="1"/>
  <c r="O19" i="5285"/>
  <c r="C27" i="5285"/>
  <c r="B24" i="5285"/>
  <c r="C20" i="5285"/>
  <c r="B17" i="5285"/>
  <c r="H49" i="5285" s="1"/>
  <c r="C16" i="5285"/>
  <c r="C15" i="5285"/>
  <c r="C14" i="5285"/>
  <c r="C13" i="5285"/>
  <c r="O12" i="5285"/>
  <c r="C12" i="5285"/>
  <c r="O11" i="5285"/>
  <c r="C11" i="5285"/>
  <c r="O10" i="5285"/>
  <c r="C10" i="5285"/>
  <c r="C9" i="5285"/>
  <c r="H14" i="5285"/>
  <c r="C8" i="5285"/>
  <c r="O7" i="5285"/>
  <c r="C7" i="5285"/>
  <c r="O6" i="5285"/>
  <c r="B6" i="5285"/>
  <c r="O5" i="5285"/>
  <c r="B5" i="5285"/>
  <c r="O4" i="5285"/>
  <c r="O3" i="5285"/>
  <c r="O2" i="5285"/>
  <c r="O21" i="5273"/>
  <c r="O19" i="5275"/>
  <c r="O19" i="5265"/>
  <c r="H3" i="5285" l="1"/>
  <c r="C17" i="5285"/>
  <c r="H4" i="5285"/>
  <c r="H2" i="5285"/>
  <c r="H22" i="5285"/>
  <c r="H24" i="5285"/>
  <c r="H26" i="5285"/>
  <c r="H28" i="5285"/>
  <c r="H30" i="5285"/>
  <c r="H34" i="5285"/>
  <c r="H38" i="5285"/>
  <c r="H42" i="5285"/>
  <c r="H46" i="5285"/>
  <c r="H50" i="5285"/>
  <c r="H8" i="5285"/>
  <c r="H18" i="5285"/>
  <c r="H20" i="5285"/>
  <c r="C19" i="5285"/>
  <c r="H13" i="5285"/>
  <c r="H31" i="5285"/>
  <c r="H35" i="5285"/>
  <c r="H39" i="5285"/>
  <c r="H43" i="5285"/>
  <c r="H47" i="5285"/>
  <c r="H51" i="5285"/>
  <c r="H12" i="5285"/>
  <c r="H6" i="5285"/>
  <c r="H15" i="5285"/>
  <c r="H17" i="5285"/>
  <c r="H21" i="5285"/>
  <c r="H23" i="5285"/>
  <c r="H25" i="5285"/>
  <c r="H11" i="5285"/>
  <c r="H9" i="5285"/>
  <c r="H32" i="5285"/>
  <c r="H36" i="5285"/>
  <c r="H40" i="5285"/>
  <c r="H44" i="5285"/>
  <c r="H48" i="5285"/>
  <c r="H7" i="5285"/>
  <c r="H5" i="5285"/>
  <c r="H16" i="5285"/>
  <c r="H19" i="5285"/>
  <c r="H10" i="5285"/>
  <c r="C18" i="5285"/>
  <c r="B23" i="5285"/>
  <c r="H27" i="5285"/>
  <c r="H29" i="5285"/>
  <c r="H33" i="5285"/>
  <c r="H37" i="5285"/>
  <c r="H41" i="5285"/>
  <c r="H45" i="5285"/>
  <c r="O17" i="5275" l="1"/>
  <c r="O16" i="5271"/>
  <c r="O21" i="5279"/>
  <c r="O20" i="5279"/>
  <c r="O22" i="5267" l="1"/>
  <c r="O16" i="5283"/>
  <c r="O20" i="5283" l="1"/>
  <c r="O15" i="5283"/>
  <c r="O15" i="5273"/>
  <c r="O22" i="5271"/>
  <c r="O17" i="5281" l="1"/>
  <c r="O22" i="5277"/>
  <c r="O15" i="5281"/>
  <c r="O21" i="5283"/>
  <c r="O15" i="5269"/>
  <c r="O18" i="5279"/>
  <c r="O17" i="5265"/>
  <c r="O19" i="5283"/>
  <c r="O17" i="5283"/>
  <c r="C27" i="5283"/>
  <c r="B24" i="5283"/>
  <c r="C20" i="5283"/>
  <c r="B17" i="5283"/>
  <c r="H51" i="5283" s="1"/>
  <c r="C16" i="5283"/>
  <c r="C15" i="5283"/>
  <c r="C14" i="5283"/>
  <c r="C13" i="5283"/>
  <c r="O12" i="5283"/>
  <c r="C12" i="5283"/>
  <c r="O11" i="5283"/>
  <c r="C11" i="5283"/>
  <c r="O10" i="5283"/>
  <c r="C10" i="5283"/>
  <c r="C9" i="5283"/>
  <c r="C8" i="5283"/>
  <c r="O7" i="5283"/>
  <c r="C7" i="5283"/>
  <c r="O6" i="5283"/>
  <c r="B6" i="5283"/>
  <c r="O5" i="5283"/>
  <c r="B5" i="5283"/>
  <c r="O4" i="5283"/>
  <c r="O3" i="5283"/>
  <c r="O2" i="5283"/>
  <c r="O16" i="5281"/>
  <c r="O18" i="5281"/>
  <c r="C27" i="5281"/>
  <c r="B24" i="5281"/>
  <c r="C20" i="5281"/>
  <c r="B17" i="5281"/>
  <c r="H49" i="5281" s="1"/>
  <c r="C16" i="5281"/>
  <c r="C15" i="5281"/>
  <c r="C14" i="5281"/>
  <c r="C13" i="5281"/>
  <c r="O12" i="5281"/>
  <c r="C12" i="5281"/>
  <c r="O11" i="5281"/>
  <c r="C11" i="5281"/>
  <c r="O10" i="5281"/>
  <c r="C10" i="5281"/>
  <c r="C9" i="5281"/>
  <c r="C8" i="5281"/>
  <c r="O7" i="5281"/>
  <c r="C7" i="5281"/>
  <c r="O6" i="5281"/>
  <c r="B6" i="5281"/>
  <c r="O5" i="5281"/>
  <c r="B5" i="5281"/>
  <c r="O4" i="5281"/>
  <c r="O3" i="5281"/>
  <c r="O2" i="5281"/>
  <c r="O22" i="5279"/>
  <c r="O23" i="5279"/>
  <c r="O15" i="5267"/>
  <c r="O18" i="5267"/>
  <c r="O26" i="5265"/>
  <c r="H4" i="5281" l="1"/>
  <c r="H3" i="5281"/>
  <c r="H2" i="5281"/>
  <c r="H13" i="5281"/>
  <c r="C17" i="5281"/>
  <c r="H4" i="5283"/>
  <c r="H2" i="5283"/>
  <c r="H14" i="5283"/>
  <c r="H5" i="5283"/>
  <c r="C17" i="5283"/>
  <c r="H13" i="5283"/>
  <c r="H10" i="5283"/>
  <c r="H3" i="5283"/>
  <c r="H18" i="5283"/>
  <c r="H12" i="5283"/>
  <c r="H17" i="5283"/>
  <c r="H24" i="5283"/>
  <c r="H26" i="5283"/>
  <c r="H8" i="5283"/>
  <c r="H32" i="5283"/>
  <c r="H36" i="5283"/>
  <c r="H40" i="5283"/>
  <c r="H44" i="5283"/>
  <c r="H48" i="5283"/>
  <c r="H6" i="5283"/>
  <c r="H7" i="5283"/>
  <c r="H15" i="5283"/>
  <c r="H19" i="5283"/>
  <c r="H21" i="5283"/>
  <c r="C18" i="5283"/>
  <c r="B23" i="5283"/>
  <c r="H27" i="5283"/>
  <c r="H29" i="5283"/>
  <c r="H33" i="5283"/>
  <c r="H37" i="5283"/>
  <c r="H41" i="5283"/>
  <c r="H45" i="5283"/>
  <c r="H49" i="5283"/>
  <c r="H22" i="5283"/>
  <c r="H23" i="5283"/>
  <c r="H25" i="5283"/>
  <c r="H28" i="5283"/>
  <c r="H30" i="5283"/>
  <c r="H34" i="5283"/>
  <c r="H38" i="5283"/>
  <c r="H42" i="5283"/>
  <c r="H46" i="5283"/>
  <c r="H50" i="5283"/>
  <c r="H9" i="5283"/>
  <c r="H16" i="5283"/>
  <c r="H20" i="5283"/>
  <c r="C19" i="5283"/>
  <c r="H11" i="5283"/>
  <c r="H31" i="5283"/>
  <c r="H35" i="5283"/>
  <c r="H39" i="5283"/>
  <c r="H43" i="5283"/>
  <c r="H47" i="5283"/>
  <c r="H21" i="5281"/>
  <c r="H23" i="5281"/>
  <c r="H26" i="5281"/>
  <c r="H28" i="5281"/>
  <c r="H30" i="5281"/>
  <c r="H34" i="5281"/>
  <c r="H38" i="5281"/>
  <c r="H42" i="5281"/>
  <c r="H46" i="5281"/>
  <c r="H50" i="5281"/>
  <c r="H9" i="5281"/>
  <c r="H16" i="5281"/>
  <c r="H18" i="5281"/>
  <c r="C19" i="5281"/>
  <c r="H24" i="5281"/>
  <c r="H31" i="5281"/>
  <c r="H35" i="5281"/>
  <c r="H39" i="5281"/>
  <c r="H43" i="5281"/>
  <c r="H47" i="5281"/>
  <c r="H51" i="5281"/>
  <c r="H12" i="5281"/>
  <c r="H8" i="5281"/>
  <c r="H10" i="5281"/>
  <c r="H15" i="5281"/>
  <c r="H20" i="5281"/>
  <c r="H22" i="5281"/>
  <c r="H25" i="5281"/>
  <c r="H11" i="5281"/>
  <c r="H6" i="5281"/>
  <c r="H32" i="5281"/>
  <c r="H36" i="5281"/>
  <c r="H40" i="5281"/>
  <c r="H44" i="5281"/>
  <c r="H48" i="5281"/>
  <c r="H7" i="5281"/>
  <c r="H5" i="5281"/>
  <c r="H14" i="5281"/>
  <c r="H17" i="5281"/>
  <c r="H19" i="5281"/>
  <c r="C18" i="5281"/>
  <c r="B23" i="5281"/>
  <c r="H27" i="5281"/>
  <c r="H29" i="5281"/>
  <c r="H33" i="5281"/>
  <c r="H37" i="5281"/>
  <c r="H41" i="5281"/>
  <c r="H45" i="5281"/>
  <c r="O16" i="5279" l="1"/>
  <c r="O20" i="5277"/>
  <c r="O16" i="5277"/>
  <c r="O17" i="5269"/>
  <c r="O20" i="5275" l="1"/>
  <c r="O17" i="5273"/>
  <c r="O17" i="5277"/>
  <c r="O18" i="5277"/>
  <c r="O15" i="5275" l="1"/>
  <c r="O16" i="5273"/>
  <c r="O21" i="5271"/>
  <c r="O18" i="5271"/>
  <c r="O17" i="5279"/>
  <c r="O19" i="5279"/>
  <c r="C27" i="5279"/>
  <c r="B24" i="5279"/>
  <c r="C20" i="5279"/>
  <c r="B17" i="5279"/>
  <c r="H5" i="5279" s="1"/>
  <c r="C16" i="5279"/>
  <c r="C15" i="5279"/>
  <c r="C14" i="5279"/>
  <c r="C13" i="5279"/>
  <c r="O12" i="5279"/>
  <c r="C12" i="5279"/>
  <c r="O11" i="5279"/>
  <c r="C11" i="5279"/>
  <c r="O10" i="5279"/>
  <c r="C10" i="5279"/>
  <c r="C9" i="5279"/>
  <c r="C8" i="5279"/>
  <c r="O7" i="5279"/>
  <c r="C7" i="5279"/>
  <c r="O6" i="5279"/>
  <c r="B6" i="5279"/>
  <c r="O5" i="5279"/>
  <c r="B5" i="5279"/>
  <c r="O4" i="5279"/>
  <c r="O3" i="5279"/>
  <c r="O2" i="5279"/>
  <c r="O22" i="5273"/>
  <c r="O21" i="5269"/>
  <c r="O22" i="5265"/>
  <c r="H3" i="5279" l="1"/>
  <c r="H2" i="5279"/>
  <c r="H4" i="5279"/>
  <c r="H10" i="5279"/>
  <c r="H12" i="5279"/>
  <c r="H8" i="5279"/>
  <c r="H26" i="5279"/>
  <c r="C18" i="5279"/>
  <c r="H21" i="5279"/>
  <c r="C17" i="5279"/>
  <c r="H11" i="5279"/>
  <c r="H7" i="5279"/>
  <c r="H14" i="5279"/>
  <c r="H20" i="5279"/>
  <c r="H6" i="5279"/>
  <c r="H25" i="5279"/>
  <c r="H22" i="5279"/>
  <c r="H16" i="5279"/>
  <c r="C19" i="5279"/>
  <c r="B23" i="5279"/>
  <c r="H30" i="5279"/>
  <c r="H32" i="5279"/>
  <c r="H34" i="5279"/>
  <c r="H38" i="5279"/>
  <c r="H41" i="5279"/>
  <c r="H45" i="5279"/>
  <c r="H49" i="5279"/>
  <c r="H27" i="5279"/>
  <c r="H28" i="5279"/>
  <c r="H18" i="5279"/>
  <c r="H31" i="5279"/>
  <c r="H13" i="5279"/>
  <c r="H35" i="5279"/>
  <c r="H39" i="5279"/>
  <c r="H42" i="5279"/>
  <c r="H46" i="5279"/>
  <c r="H50" i="5279"/>
  <c r="H23" i="5279"/>
  <c r="H36" i="5279"/>
  <c r="H40" i="5279"/>
  <c r="H43" i="5279"/>
  <c r="H47" i="5279"/>
  <c r="H51" i="5279"/>
  <c r="H17" i="5279"/>
  <c r="H15" i="5279"/>
  <c r="H29" i="5279"/>
  <c r="H19" i="5279"/>
  <c r="H9" i="5279"/>
  <c r="H33" i="5279"/>
  <c r="H37" i="5279"/>
  <c r="H24" i="5279"/>
  <c r="H44" i="5279"/>
  <c r="H48" i="5279"/>
  <c r="O19" i="5271" l="1"/>
  <c r="O19" i="5277"/>
  <c r="O15" i="5277"/>
  <c r="C27" i="5277"/>
  <c r="B24" i="5277"/>
  <c r="C20" i="5277"/>
  <c r="B17" i="5277"/>
  <c r="H6" i="5277" s="1"/>
  <c r="C16" i="5277"/>
  <c r="C15" i="5277"/>
  <c r="C14" i="5277"/>
  <c r="C13" i="5277"/>
  <c r="O12" i="5277"/>
  <c r="C12" i="5277"/>
  <c r="O11" i="5277"/>
  <c r="C11" i="5277"/>
  <c r="O10" i="5277"/>
  <c r="C10" i="5277"/>
  <c r="C9" i="5277"/>
  <c r="C8" i="5277"/>
  <c r="O7" i="5277"/>
  <c r="C7" i="5277"/>
  <c r="O6" i="5277"/>
  <c r="B6" i="5277"/>
  <c r="O5" i="5277"/>
  <c r="B5" i="5277"/>
  <c r="O4" i="5277"/>
  <c r="O3" i="5277"/>
  <c r="O2" i="5277"/>
  <c r="O19" i="5267"/>
  <c r="O18" i="5265"/>
  <c r="O21" i="5275"/>
  <c r="O18" i="5269"/>
  <c r="O19" i="5269"/>
  <c r="O20" i="5273"/>
  <c r="O22" i="5275"/>
  <c r="O23" i="5275"/>
  <c r="C27" i="5275"/>
  <c r="B24" i="5275"/>
  <c r="C20" i="5275"/>
  <c r="B17" i="5275"/>
  <c r="H4" i="5275" s="1"/>
  <c r="C16" i="5275"/>
  <c r="C15" i="5275"/>
  <c r="C14" i="5275"/>
  <c r="C13" i="5275"/>
  <c r="O12" i="5275"/>
  <c r="C12" i="5275"/>
  <c r="O11" i="5275"/>
  <c r="C11" i="5275"/>
  <c r="O10" i="5275"/>
  <c r="C10" i="5275"/>
  <c r="C9" i="5275"/>
  <c r="C8" i="5275"/>
  <c r="O7" i="5275"/>
  <c r="C7" i="5275"/>
  <c r="O6" i="5275"/>
  <c r="B6" i="5275"/>
  <c r="O5" i="5275"/>
  <c r="B5" i="5275"/>
  <c r="O4" i="5275"/>
  <c r="O3" i="5275"/>
  <c r="O2" i="5275"/>
  <c r="O19" i="5273"/>
  <c r="O18" i="5273"/>
  <c r="C27" i="5273"/>
  <c r="B24" i="5273"/>
  <c r="C20" i="5273"/>
  <c r="B17" i="5273"/>
  <c r="H51" i="5273" s="1"/>
  <c r="C16" i="5273"/>
  <c r="C15" i="5273"/>
  <c r="C14" i="5273"/>
  <c r="C13" i="5273"/>
  <c r="O12" i="5273"/>
  <c r="C12" i="5273"/>
  <c r="O11" i="5273"/>
  <c r="C11" i="5273"/>
  <c r="O10" i="5273"/>
  <c r="C10" i="5273"/>
  <c r="C9" i="5273"/>
  <c r="C8" i="5273"/>
  <c r="O7" i="5273"/>
  <c r="C7" i="5273"/>
  <c r="O6" i="5273"/>
  <c r="B6" i="5273"/>
  <c r="O5" i="5273"/>
  <c r="B5" i="5273"/>
  <c r="O4" i="5273"/>
  <c r="O3" i="5273"/>
  <c r="O2" i="5273"/>
  <c r="O20" i="5267"/>
  <c r="O23" i="5267"/>
  <c r="O21" i="5265"/>
  <c r="O23" i="5265"/>
  <c r="H12" i="5275" l="1"/>
  <c r="C17" i="5277"/>
  <c r="H22" i="5277"/>
  <c r="H14" i="5277"/>
  <c r="H7" i="5277"/>
  <c r="H8" i="5277"/>
  <c r="H2" i="5277"/>
  <c r="H10" i="5277"/>
  <c r="H4" i="5277"/>
  <c r="H3" i="5277"/>
  <c r="H15" i="5277"/>
  <c r="H5" i="5275"/>
  <c r="H2" i="5275"/>
  <c r="H3" i="5275"/>
  <c r="H2" i="5273"/>
  <c r="H3" i="5273"/>
  <c r="H11" i="5273"/>
  <c r="C18" i="5277"/>
  <c r="B23" i="5277"/>
  <c r="H29" i="5277"/>
  <c r="H31" i="5277"/>
  <c r="H34" i="5277"/>
  <c r="H38" i="5277"/>
  <c r="H42" i="5277"/>
  <c r="H46" i="5277"/>
  <c r="H50" i="5277"/>
  <c r="H24" i="5277"/>
  <c r="H26" i="5277"/>
  <c r="H28" i="5277"/>
  <c r="H30" i="5277"/>
  <c r="H18" i="5277"/>
  <c r="H35" i="5277"/>
  <c r="H39" i="5277"/>
  <c r="H43" i="5277"/>
  <c r="H47" i="5277"/>
  <c r="H51" i="5277"/>
  <c r="H21" i="5277"/>
  <c r="H23" i="5277"/>
  <c r="C19" i="5277"/>
  <c r="H17" i="5277"/>
  <c r="H32" i="5277"/>
  <c r="H36" i="5277"/>
  <c r="H40" i="5277"/>
  <c r="H44" i="5277"/>
  <c r="H48" i="5277"/>
  <c r="H19" i="5277"/>
  <c r="H11" i="5277"/>
  <c r="H5" i="5277"/>
  <c r="H12" i="5277"/>
  <c r="H20" i="5277"/>
  <c r="H16" i="5277"/>
  <c r="H25" i="5277"/>
  <c r="H27" i="5277"/>
  <c r="H13" i="5277"/>
  <c r="H9" i="5277"/>
  <c r="H33" i="5277"/>
  <c r="H37" i="5277"/>
  <c r="H41" i="5277"/>
  <c r="H45" i="5277"/>
  <c r="H49" i="5277"/>
  <c r="H20" i="5275"/>
  <c r="H37" i="5275"/>
  <c r="C17" i="5275"/>
  <c r="H41" i="5275"/>
  <c r="H24" i="5275"/>
  <c r="C18" i="5275"/>
  <c r="H30" i="5275"/>
  <c r="H45" i="5275"/>
  <c r="H8" i="5275"/>
  <c r="H19" i="5275"/>
  <c r="H13" i="5275"/>
  <c r="H9" i="5275"/>
  <c r="H6" i="5275"/>
  <c r="H10" i="5275"/>
  <c r="H22" i="5275"/>
  <c r="B23" i="5275"/>
  <c r="H7" i="5275"/>
  <c r="H21" i="5275"/>
  <c r="H23" i="5275"/>
  <c r="H16" i="5275"/>
  <c r="C19" i="5275"/>
  <c r="H33" i="5275"/>
  <c r="H49" i="5275"/>
  <c r="H25" i="5275"/>
  <c r="H26" i="5275"/>
  <c r="H28" i="5275"/>
  <c r="H29" i="5275"/>
  <c r="H18" i="5275"/>
  <c r="H34" i="5275"/>
  <c r="H38" i="5275"/>
  <c r="H42" i="5275"/>
  <c r="H46" i="5275"/>
  <c r="H50" i="5275"/>
  <c r="H31" i="5275"/>
  <c r="H35" i="5275"/>
  <c r="H39" i="5275"/>
  <c r="H43" i="5275"/>
  <c r="H47" i="5275"/>
  <c r="H51" i="5275"/>
  <c r="H17" i="5275"/>
  <c r="H15" i="5275"/>
  <c r="H27" i="5275"/>
  <c r="H14" i="5275"/>
  <c r="H11" i="5275"/>
  <c r="H32" i="5275"/>
  <c r="H36" i="5275"/>
  <c r="H40" i="5275"/>
  <c r="H44" i="5275"/>
  <c r="H48" i="5275"/>
  <c r="H4" i="5273"/>
  <c r="H42" i="5273"/>
  <c r="C17" i="5273"/>
  <c r="H16" i="5273"/>
  <c r="B23" i="5273"/>
  <c r="H25" i="5273"/>
  <c r="H38" i="5273"/>
  <c r="H44" i="5273"/>
  <c r="H49" i="5273"/>
  <c r="C19" i="5273"/>
  <c r="H24" i="5273"/>
  <c r="H5" i="5273"/>
  <c r="H8" i="5273"/>
  <c r="H17" i="5273"/>
  <c r="H28" i="5273"/>
  <c r="H10" i="5273"/>
  <c r="H7" i="5273"/>
  <c r="H13" i="5273"/>
  <c r="H26" i="5273"/>
  <c r="H18" i="5273"/>
  <c r="H9" i="5273"/>
  <c r="H34" i="5273"/>
  <c r="H40" i="5273"/>
  <c r="H45" i="5273"/>
  <c r="H50" i="5273"/>
  <c r="H20" i="5273"/>
  <c r="H21" i="5273"/>
  <c r="H37" i="5273"/>
  <c r="H48" i="5273"/>
  <c r="H6" i="5273"/>
  <c r="H23" i="5273"/>
  <c r="H27" i="5273"/>
  <c r="H14" i="5273"/>
  <c r="C18" i="5273"/>
  <c r="H15" i="5273"/>
  <c r="H12" i="5273"/>
  <c r="H33" i="5273"/>
  <c r="H36" i="5273"/>
  <c r="H41" i="5273"/>
  <c r="H46" i="5273"/>
  <c r="H22" i="5273"/>
  <c r="H29" i="5273"/>
  <c r="H30" i="5273"/>
  <c r="H31" i="5273"/>
  <c r="H32" i="5273"/>
  <c r="H19" i="5273"/>
  <c r="H35" i="5273"/>
  <c r="H39" i="5273"/>
  <c r="H43" i="5273"/>
  <c r="H47" i="5273"/>
  <c r="O17" i="5271" l="1"/>
  <c r="O20" i="5271"/>
  <c r="C27" i="5271"/>
  <c r="B24" i="5271"/>
  <c r="C20" i="5271"/>
  <c r="B17" i="5271"/>
  <c r="H50" i="5271" s="1"/>
  <c r="C16" i="5271"/>
  <c r="C15" i="5271"/>
  <c r="C14" i="5271"/>
  <c r="C13" i="5271"/>
  <c r="O12" i="5271"/>
  <c r="C12" i="5271"/>
  <c r="O11" i="5271"/>
  <c r="C11" i="5271"/>
  <c r="O10" i="5271"/>
  <c r="C10" i="5271"/>
  <c r="C9" i="5271"/>
  <c r="C8" i="5271"/>
  <c r="O7" i="5271"/>
  <c r="C7" i="5271"/>
  <c r="O6" i="5271"/>
  <c r="B6" i="5271"/>
  <c r="O5" i="5271"/>
  <c r="B5" i="5271"/>
  <c r="O4" i="5271"/>
  <c r="O3" i="5271"/>
  <c r="O2" i="5271"/>
  <c r="O22" i="5269"/>
  <c r="O16" i="5269"/>
  <c r="C27" i="5269"/>
  <c r="B24" i="5269"/>
  <c r="C20" i="5269"/>
  <c r="B17" i="5269"/>
  <c r="H51" i="5269" s="1"/>
  <c r="C16" i="5269"/>
  <c r="C15" i="5269"/>
  <c r="C14" i="5269"/>
  <c r="C13" i="5269"/>
  <c r="O12" i="5269"/>
  <c r="C12" i="5269"/>
  <c r="O11" i="5269"/>
  <c r="C11" i="5269"/>
  <c r="O10" i="5269"/>
  <c r="C10" i="5269"/>
  <c r="C9" i="5269"/>
  <c r="C8" i="5269"/>
  <c r="O7" i="5269"/>
  <c r="C7" i="5269"/>
  <c r="O6" i="5269"/>
  <c r="B6" i="5269"/>
  <c r="O5" i="5269"/>
  <c r="B5" i="5269"/>
  <c r="O4" i="5269"/>
  <c r="O3" i="5269"/>
  <c r="O2" i="5269"/>
  <c r="O24" i="5265"/>
  <c r="O16" i="5267"/>
  <c r="O21" i="5267"/>
  <c r="C27" i="5267"/>
  <c r="B24" i="5267"/>
  <c r="C20" i="5267"/>
  <c r="B17" i="5267"/>
  <c r="H51" i="5267" s="1"/>
  <c r="C16" i="5267"/>
  <c r="C15" i="5267"/>
  <c r="C14" i="5267"/>
  <c r="C13" i="5267"/>
  <c r="O12" i="5267"/>
  <c r="C12" i="5267"/>
  <c r="O11" i="5267"/>
  <c r="C11" i="5267"/>
  <c r="O10" i="5267"/>
  <c r="C10" i="5267"/>
  <c r="C9" i="5267"/>
  <c r="C8" i="5267"/>
  <c r="O7" i="5267"/>
  <c r="C7" i="5267"/>
  <c r="O6" i="5267"/>
  <c r="B6" i="5267"/>
  <c r="O5" i="5267"/>
  <c r="B5" i="5267"/>
  <c r="O4" i="5267"/>
  <c r="O3" i="5267"/>
  <c r="O2" i="5267"/>
  <c r="O16" i="5265"/>
  <c r="O20" i="5265"/>
  <c r="C27" i="5265"/>
  <c r="B24" i="5265"/>
  <c r="C20" i="5265"/>
  <c r="B17" i="5265"/>
  <c r="H50" i="5265" s="1"/>
  <c r="C16" i="5265"/>
  <c r="C15" i="5265"/>
  <c r="C14" i="5265"/>
  <c r="C13" i="5265"/>
  <c r="O12" i="5265"/>
  <c r="C12" i="5265"/>
  <c r="O11" i="5265"/>
  <c r="C11" i="5265"/>
  <c r="O10" i="5265"/>
  <c r="C10" i="5265"/>
  <c r="C9" i="5265"/>
  <c r="C8" i="5265"/>
  <c r="O7" i="5265"/>
  <c r="C7" i="5265"/>
  <c r="O6" i="5265"/>
  <c r="B6" i="5265"/>
  <c r="O5" i="5265"/>
  <c r="B5" i="5265"/>
  <c r="O4" i="5265"/>
  <c r="O3" i="5265"/>
  <c r="O2" i="5265"/>
  <c r="H9" i="5271" l="1"/>
  <c r="H3" i="5271"/>
  <c r="H4" i="5269"/>
  <c r="H10" i="5269"/>
  <c r="H2" i="5271"/>
  <c r="H7" i="5271"/>
  <c r="H11" i="5267"/>
  <c r="H30" i="5267"/>
  <c r="C18" i="5267"/>
  <c r="H20" i="5267"/>
  <c r="H6" i="5267"/>
  <c r="H2" i="5267"/>
  <c r="H4" i="5267"/>
  <c r="H3" i="5267"/>
  <c r="H17" i="5267"/>
  <c r="H17" i="5271"/>
  <c r="H12" i="5271"/>
  <c r="H35" i="5271"/>
  <c r="H47" i="5271"/>
  <c r="H8" i="5271"/>
  <c r="H25" i="5271"/>
  <c r="H19" i="5271"/>
  <c r="C17" i="5271"/>
  <c r="H39" i="5271"/>
  <c r="H48" i="5271"/>
  <c r="H13" i="5271"/>
  <c r="H4" i="5271"/>
  <c r="H20" i="5271"/>
  <c r="H32" i="5271"/>
  <c r="H40" i="5271"/>
  <c r="H10" i="5271"/>
  <c r="H16" i="5271"/>
  <c r="H14" i="5271"/>
  <c r="H6" i="5271"/>
  <c r="H24" i="5271"/>
  <c r="H26" i="5271"/>
  <c r="H15" i="5271"/>
  <c r="C18" i="5271"/>
  <c r="H18" i="5271"/>
  <c r="H43" i="5271"/>
  <c r="H26" i="5269"/>
  <c r="H6" i="5269"/>
  <c r="H12" i="5269"/>
  <c r="H21" i="5269"/>
  <c r="C18" i="5269"/>
  <c r="H2" i="5269"/>
  <c r="H3" i="5269"/>
  <c r="H19" i="5269"/>
  <c r="H11" i="5265"/>
  <c r="H51" i="5271"/>
  <c r="C19" i="5271"/>
  <c r="H29" i="5271"/>
  <c r="H11" i="5271"/>
  <c r="H36" i="5271"/>
  <c r="H44" i="5271"/>
  <c r="H5" i="5271"/>
  <c r="B23" i="5271"/>
  <c r="H21" i="5271"/>
  <c r="H31" i="5271"/>
  <c r="H33" i="5271"/>
  <c r="H37" i="5271"/>
  <c r="H41" i="5271"/>
  <c r="H45" i="5271"/>
  <c r="H49" i="5271"/>
  <c r="H27" i="5271"/>
  <c r="H28" i="5271"/>
  <c r="H30" i="5271"/>
  <c r="H22" i="5271"/>
  <c r="H23" i="5271"/>
  <c r="H34" i="5271"/>
  <c r="H38" i="5271"/>
  <c r="H42" i="5271"/>
  <c r="H46" i="5271"/>
  <c r="H29" i="5269"/>
  <c r="H14" i="5269"/>
  <c r="H27" i="5269"/>
  <c r="H9" i="5269"/>
  <c r="H7" i="5269"/>
  <c r="H20" i="5269"/>
  <c r="H17" i="5269"/>
  <c r="H41" i="5269"/>
  <c r="H44" i="5269"/>
  <c r="H15" i="5269"/>
  <c r="H13" i="5269"/>
  <c r="H36" i="5269"/>
  <c r="H48" i="5269"/>
  <c r="H8" i="5269"/>
  <c r="H22" i="5269"/>
  <c r="H23" i="5269"/>
  <c r="C17" i="5269"/>
  <c r="H40" i="5269"/>
  <c r="H49" i="5269"/>
  <c r="H18" i="5269"/>
  <c r="C19" i="5269"/>
  <c r="H24" i="5269"/>
  <c r="H11" i="5269"/>
  <c r="H37" i="5269"/>
  <c r="H45" i="5269"/>
  <c r="H5" i="5269"/>
  <c r="B23" i="5269"/>
  <c r="H33" i="5269"/>
  <c r="H34" i="5269"/>
  <c r="H35" i="5269"/>
  <c r="H38" i="5269"/>
  <c r="H42" i="5269"/>
  <c r="H46" i="5269"/>
  <c r="H50" i="5269"/>
  <c r="H30" i="5269"/>
  <c r="H31" i="5269"/>
  <c r="H32" i="5269"/>
  <c r="H25" i="5269"/>
  <c r="H16" i="5269"/>
  <c r="H28" i="5269"/>
  <c r="H39" i="5269"/>
  <c r="H43" i="5269"/>
  <c r="H47" i="5269"/>
  <c r="H3" i="5265"/>
  <c r="C17" i="5265"/>
  <c r="H2" i="5265"/>
  <c r="H4" i="5265"/>
  <c r="B23" i="5267"/>
  <c r="H9" i="5267"/>
  <c r="H36" i="5267"/>
  <c r="H44" i="5267"/>
  <c r="H38" i="5267"/>
  <c r="C17" i="5267"/>
  <c r="H13" i="5267"/>
  <c r="H40" i="5267"/>
  <c r="H49" i="5267"/>
  <c r="H15" i="5267"/>
  <c r="H25" i="5267"/>
  <c r="H45" i="5267"/>
  <c r="H8" i="5267"/>
  <c r="H21" i="5267"/>
  <c r="H22" i="5267"/>
  <c r="H27" i="5267"/>
  <c r="H10" i="5267"/>
  <c r="H7" i="5267"/>
  <c r="H12" i="5267"/>
  <c r="H29" i="5267"/>
  <c r="H18" i="5267"/>
  <c r="H14" i="5267"/>
  <c r="H35" i="5267"/>
  <c r="H41" i="5267"/>
  <c r="H50" i="5267"/>
  <c r="H46" i="5267"/>
  <c r="H16" i="5267"/>
  <c r="C19" i="5267"/>
  <c r="H33" i="5267"/>
  <c r="H24" i="5267"/>
  <c r="H26" i="5267"/>
  <c r="H37" i="5267"/>
  <c r="H42" i="5267"/>
  <c r="H48" i="5267"/>
  <c r="H5" i="5267"/>
  <c r="H31" i="5267"/>
  <c r="H32" i="5267"/>
  <c r="H23" i="5267"/>
  <c r="H34" i="5267"/>
  <c r="H19" i="5267"/>
  <c r="H28" i="5267"/>
  <c r="H39" i="5267"/>
  <c r="H43" i="5267"/>
  <c r="H47" i="5267"/>
  <c r="H34" i="5265"/>
  <c r="H35" i="5265"/>
  <c r="H28" i="5265"/>
  <c r="H29" i="5265"/>
  <c r="H17" i="5265"/>
  <c r="H30" i="5265"/>
  <c r="H40" i="5265"/>
  <c r="H43" i="5265"/>
  <c r="H47" i="5265"/>
  <c r="H51" i="5265"/>
  <c r="H8" i="5265"/>
  <c r="H20" i="5265"/>
  <c r="H26" i="5265"/>
  <c r="C19" i="5265"/>
  <c r="H14" i="5265"/>
  <c r="H23" i="5265"/>
  <c r="H37" i="5265"/>
  <c r="H41" i="5265"/>
  <c r="H44" i="5265"/>
  <c r="H48" i="5265"/>
  <c r="H19" i="5265"/>
  <c r="H10" i="5265"/>
  <c r="H6" i="5265"/>
  <c r="H12" i="5265"/>
  <c r="H22" i="5265"/>
  <c r="H18" i="5265"/>
  <c r="H15" i="5265"/>
  <c r="H27" i="5265"/>
  <c r="H13" i="5265"/>
  <c r="H9" i="5265"/>
  <c r="H24" i="5265"/>
  <c r="H38" i="5265"/>
  <c r="H33" i="5265"/>
  <c r="H45" i="5265"/>
  <c r="H49" i="5265"/>
  <c r="H5" i="5265"/>
  <c r="H7" i="5265"/>
  <c r="H21" i="5265"/>
  <c r="H31" i="5265"/>
  <c r="H16" i="5265"/>
  <c r="C18" i="5265"/>
  <c r="B23" i="5265"/>
  <c r="H25" i="5265"/>
  <c r="H32" i="5265"/>
  <c r="H36" i="5265"/>
  <c r="H39" i="5265"/>
  <c r="H42" i="5265"/>
  <c r="H46" i="526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<sst xmlns="http://schemas.openxmlformats.org/spreadsheetml/2006/main" count="3203" uniqueCount="234">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</sst>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全体!$K$2:$K$515</c:f>
              <c:numCache>
                <c:formatCode>General</c:formatCode>
                <c:ptCount val="5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</c:numCache>
            </c:numRef>
          </c:xVal>
          <c:yVal>
            <c:numRef>
              <c:f>全体!$L$2:$L$515</c:f>
              <c:numCache>
                <c:formatCode>\+0.0;\-0.0;\±0</c:formatCode>
                <c:ptCount val="514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23-47A4-81E0-C4FA62293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-15.594541910331383</c:v>
                </c:pt>
                <c:pt idx="1">
                  <c:v>-7.9840319361277441</c:v>
                </c:pt>
                <c:pt idx="2">
                  <c:v>12.578616352201259</c:v>
                </c:pt>
                <c:pt idx="3">
                  <c:v>6.9930069930069934</c:v>
                </c:pt>
                <c:pt idx="4">
                  <c:v>-13.020833333333334</c:v>
                </c:pt>
                <c:pt idx="5">
                  <c:v>22.792022792022792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B-41AD-B3C2-3FE6B915F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だいち!$L$2:$L$116</c:f>
              <c:numCache>
                <c:formatCode>\+0.0;\-0.0;\±0</c:formatCode>
                <c:ptCount val="115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35-4A26-A4AC-9C8D38571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1921.9298245614036</c:v>
                </c:pt>
                <c:pt idx="1">
                  <c:v>1445.0450450450451</c:v>
                </c:pt>
                <c:pt idx="2">
                  <c:v>1577.3584905660377</c:v>
                </c:pt>
                <c:pt idx="3">
                  <c:v>2056.25</c:v>
                </c:pt>
                <c:pt idx="4">
                  <c:v>-21.428571428571427</c:v>
                </c:pt>
                <c:pt idx="5">
                  <c:v>317.33333333333331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60-4EAD-8885-5F0EEA836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りくと!$L$2:$L$116</c:f>
              <c:numCache>
                <c:formatCode>\+0.0;\-0.0;\±0</c:formatCode>
                <c:ptCount val="11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DA-420D-8935-CDF3A26F2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518.42105263157896</c:v>
                </c:pt>
                <c:pt idx="1">
                  <c:v>-2330</c:v>
                </c:pt>
                <c:pt idx="2">
                  <c:v>118.69158878504673</c:v>
                </c:pt>
                <c:pt idx="3">
                  <c:v>340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37-4C51-930E-DF6CC9BB8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ただ!$L$2:$L$63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3-4540-A5F5-B90EB183A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-2593.4426229508199</c:v>
                </c:pt>
                <c:pt idx="1">
                  <c:v>-1111.8644067796611</c:v>
                </c:pt>
                <c:pt idx="2">
                  <c:v>-1116.3636363636363</c:v>
                </c:pt>
                <c:pt idx="3">
                  <c:v>-5212.7659574468089</c:v>
                </c:pt>
                <c:pt idx="4">
                  <c:v>-956.09756097560978</c:v>
                </c:pt>
                <c:pt idx="5">
                  <c:v>-1786.8421052631579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7A-4701-9361-FA1A32D6E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れんたろう!$L$2:$L$71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46-460E-B2AA-6A258CDF5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-795.6521739130435</c:v>
                </c:pt>
                <c:pt idx="1">
                  <c:v>854.41176470588232</c:v>
                </c:pt>
                <c:pt idx="2">
                  <c:v>1390.7692307692307</c:v>
                </c:pt>
                <c:pt idx="3">
                  <c:v>2243.6363636363635</c:v>
                </c:pt>
                <c:pt idx="4">
                  <c:v>-1202.0408163265306</c:v>
                </c:pt>
                <c:pt idx="5">
                  <c:v>802.22222222222217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7F-4476-99D0-551506E63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たかの!$L$2:$L$56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84-4D9C-968C-A8AD8806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540.74074074074076</c:v>
                </c:pt>
                <c:pt idx="1">
                  <c:v>370.37037037037038</c:v>
                </c:pt>
                <c:pt idx="2">
                  <c:v>-877.55102040816325</c:v>
                </c:pt>
                <c:pt idx="3">
                  <c:v>184.78260869565219</c:v>
                </c:pt>
                <c:pt idx="4">
                  <c:v>1197.7777777777778</c:v>
                </c:pt>
                <c:pt idx="5">
                  <c:v>-677.5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F-4320-8445-5242A3A22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70-47F3-83E7-5DDEA4ED4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-2987.5</c:v>
                </c:pt>
                <c:pt idx="1">
                  <c:v>1407.5</c:v>
                </c:pt>
                <c:pt idx="2">
                  <c:v>-894.73684210526312</c:v>
                </c:pt>
                <c:pt idx="3">
                  <c:v>-4045.7142857142858</c:v>
                </c:pt>
                <c:pt idx="4">
                  <c:v>145.16129032258064</c:v>
                </c:pt>
                <c:pt idx="5">
                  <c:v>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9-4908-A7B1-57DE9720E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C-4C17-90FD-994C9C863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683.78378378378375</c:v>
                </c:pt>
                <c:pt idx="1">
                  <c:v>142.85714285714286</c:v>
                </c:pt>
                <c:pt idx="2">
                  <c:v>-1475.7575757575758</c:v>
                </c:pt>
                <c:pt idx="3">
                  <c:v>2278.125</c:v>
                </c:pt>
                <c:pt idx="4">
                  <c:v>-596.42857142857144</c:v>
                </c:pt>
                <c:pt idx="5">
                  <c:v>212.5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F0-4A21-8236-2D26FAE6C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F7-4856-827E-69D0637B5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AC-4856-BD8B-6B453B9E1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02-4AF6-A722-714EECFAB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-508.33333333333331</c:v>
                </c:pt>
                <c:pt idx="1">
                  <c:v>-1075</c:v>
                </c:pt>
                <c:pt idx="2">
                  <c:v>-550</c:v>
                </c:pt>
                <c:pt idx="3">
                  <c:v>-3772.7272727272725</c:v>
                </c:pt>
                <c:pt idx="4">
                  <c:v>390.90909090909093</c:v>
                </c:pt>
                <c:pt idx="5">
                  <c:v>-3072.7272727272725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C4-4816-88C2-C294B20DF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FC-4C0A-9C07-EE5E5BF34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EE-4EB5-82B3-24713C459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BF-436B-8D08-B800F8BB9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4-46C5-80F4-E339C1B71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39-43E7-82E6-A1F1210F6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3C-4EAF-889F-5FE883867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やがさき2!$C$3:$C$4</c:f>
              <c:numCache>
                <c:formatCode>\+0.0;\-0.0;\±0</c:formatCode>
                <c:ptCount val="2"/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3850735589865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やがさき2!$D$3:$D$4</c:f>
              <c:numCache>
                <c:formatCode>0.00\ "位"</c:formatCode>
                <c:ptCount val="2"/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やがさき2!$F$3:$F$4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やがさき2!$G$3:$G$4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023293733985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やがさき2!$H$3:$H$4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550197996738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やがさき2!$I$3:$I$4</c:f>
              <c:numCache>
                <c:formatCode>0</c:formatCode>
                <c:ptCount val="2"/>
                <c:pt idx="1">
                  <c:v>8666.6666666666661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96.27329192546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やがさき2!$J$3:$J$4</c:f>
              <c:numCache>
                <c:formatCode>0</c:formatCode>
                <c:ptCount val="2"/>
                <c:pt idx="1">
                  <c:v>-14000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22.23776223776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3060428849902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3060428849902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やがさき2!$M$3:$M$4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5331935709294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やがさき2!$N$3:$N$4</c:f>
              <c:numCache>
                <c:formatCode>0.0%</c:formatCode>
                <c:ptCount val="2"/>
                <c:pt idx="1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0575355229443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やがさき2!$O$3:$O$4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7986463620981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8274336283185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やがさき2!$Q$3:$Q$4</c:f>
              <c:numCache>
                <c:formatCode>0.0%</c:formatCode>
                <c:ptCount val="2"/>
                <c:pt idx="1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8664596273291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7353FF2-34F4-4E86-B31E-3793FA781A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D0E5B4F-42BF-4139-B918-812758D663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2C7CA67-8B7C-4361-BC94-2827A3FFA8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692A4B1-94DD-428A-8FE0-96C0A0CC01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9C9FF3C-18FF-42D5-ADDC-419BEC86AA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6322B32-BAEF-43F3-B8D5-B402E5A27B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611ED31-F17F-4176-80D0-B490C57336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CAE7E3D-EE0F-41BA-B7AE-105207A7EC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A00F485-312A-4368-BDB3-47707EA99F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EBBA317-22B5-49F0-B8C3-AC114548CF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EB06162-281F-4762-8852-17218A0905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066D72C-F3D0-428C-B3C0-ED427F173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A7D58C5-9FF0-44CF-ACE6-35617D3525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3AF1D0-704D-4246-9ABB-508AF53008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FC02D52-5C8E-4BDE-89E6-7E4724AC95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35E7B35-AFBF-459E-9E91-E447709596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7E5EF70-6024-4D4C-8048-C623E24826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6C87E86-263A-4C0C-AF68-6890A7E90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25B441F-6AAC-4DED-8B88-14D4A6CA9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B856260-91A9-4470-B407-4DDA29D987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184D782-B551-481C-88F4-1AC8224BB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B283292-5E37-4BCF-AB2F-A5C4EFC4E3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9870E83-C8D7-4410-80C1-32BDECE9FC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F170078-890E-4D38-B002-DC0ADC708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B3B949D-BD4E-4BCC-93FA-5F2E0334F8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E719DE2-A8FF-4495-895A-2CB5BC8AC8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45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43560.923958333333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43560.923958333333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43560.923958333333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43560.923958333333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43561.114791666667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43563.354502314818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43566.043888888889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43566.04109953704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43566.04109953704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43567.62232638889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43568.073333333334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43569.506898148145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43570.561921296299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43571.057638888888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43573.881539351853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43574.073113425926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43575.795416666668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43576.362476851849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43577.448182870372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43579.070729166669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43583.728298611109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43583.728298611109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43583.728298611109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43583.728298611109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43591.888472222221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43601.059386574074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43601.059386574074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43601.059386574074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43601.059386574074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43601.059386574074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43601.059386574074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43601.059386574074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43601.059386574074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43601.059386574074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43601.059386574074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43601.059942129628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43602.105740740742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43605.86346064815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43605.863437499997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43605.863379629627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43606.051539351851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43607.022546296299</v>
      </c>
      <c r="C44" s="30" t="s">
        <v>130</v>
      </c>
    </row>
    <row r="45" spans="1:11" x14ac:dyDescent="0.4">
      <c r="A45" s="30" t="s">
        <v>232</v>
      </c>
      <c r="B45" s="31">
        <v>43607.022546296299</v>
      </c>
      <c r="C45" s="30" t="s">
        <v>130</v>
      </c>
      <c r="D45" s="30" t="s">
        <v>131</v>
      </c>
      <c r="E45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513</v>
      </c>
    </row>
    <row r="2" spans="1:2" x14ac:dyDescent="0.4">
      <c r="A2" t="s">
        <v>127</v>
      </c>
      <c r="B2">
        <v>114</v>
      </c>
    </row>
    <row r="3" spans="1:2" x14ac:dyDescent="0.4">
      <c r="A3" t="s">
        <v>128</v>
      </c>
      <c r="B3">
        <v>114</v>
      </c>
    </row>
    <row r="4" spans="1:2" x14ac:dyDescent="0.4">
      <c r="A4" t="s">
        <v>129</v>
      </c>
      <c r="B4">
        <v>61</v>
      </c>
    </row>
    <row r="5" spans="1:2" x14ac:dyDescent="0.4">
      <c r="A5" t="s">
        <v>171</v>
      </c>
      <c r="B5">
        <v>69</v>
      </c>
    </row>
    <row r="6" spans="1:2" x14ac:dyDescent="0.4">
      <c r="A6" t="s">
        <v>172</v>
      </c>
      <c r="B6">
        <v>54</v>
      </c>
    </row>
    <row r="7" spans="1:2" x14ac:dyDescent="0.4">
      <c r="A7" t="s">
        <v>173</v>
      </c>
      <c r="B7">
        <v>40</v>
      </c>
    </row>
    <row r="8" spans="1:2" x14ac:dyDescent="0.4">
      <c r="A8" t="s">
        <v>177</v>
      </c>
      <c r="B8">
        <v>37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12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0.4752006466099622</v>
      </c>
      <c r="G2" s="159"/>
      <c r="H2" s="158">
        <v>8.577024302668794E-2</v>
      </c>
      <c r="I2" s="159"/>
      <c r="J2" s="158">
        <v>0.68551375480276366</v>
      </c>
      <c r="K2" s="159"/>
      <c r="L2" s="158">
        <v>0.27297765495662446</v>
      </c>
      <c r="M2" s="159"/>
      <c r="N2" s="158">
        <v>0.52980806013198989</v>
      </c>
      <c r="O2" s="159"/>
      <c r="P2" s="158">
        <v>0.43293194587283818</v>
      </c>
      <c r="Q2" s="159"/>
      <c r="R2" s="158">
        <v>-5.435826508510052E-2</v>
      </c>
      <c r="S2" s="159"/>
      <c r="T2" s="158">
        <v>0.22399757720960567</v>
      </c>
      <c r="U2" s="159"/>
      <c r="V2" s="158">
        <v>0.73962894742964014</v>
      </c>
      <c r="W2" s="159"/>
      <c r="X2" s="158">
        <v>0.86492315777087991</v>
      </c>
      <c r="Y2" s="159"/>
      <c r="Z2" s="158">
        <v>-8.9422956586766814E-2</v>
      </c>
      <c r="AA2" s="159"/>
      <c r="AB2" s="158">
        <v>-0.3683857092952213</v>
      </c>
      <c r="AC2" s="159"/>
      <c r="AD2" s="158">
        <v>3.8310707900868081E-2</v>
      </c>
      <c r="AE2" s="159"/>
      <c r="AF2" s="158">
        <v>-0.51643581936839533</v>
      </c>
      <c r="AG2" s="159"/>
      <c r="AH2" s="158">
        <v>0.73398239185090719</v>
      </c>
      <c r="AI2" s="159"/>
    </row>
    <row r="3" spans="1:35" x14ac:dyDescent="0.4">
      <c r="A3" s="74">
        <v>1</v>
      </c>
      <c r="B3" s="75" t="s">
        <v>127</v>
      </c>
      <c r="C3" s="76">
        <v>1351.1000000000008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0.17543859649122806</v>
      </c>
      <c r="X3" s="77" t="s">
        <v>225</v>
      </c>
      <c r="Y3" s="80">
        <v>0.375</v>
      </c>
      <c r="Z3" s="77" t="s">
        <v>172</v>
      </c>
      <c r="AA3" s="80">
        <v>0.29535864978902954</v>
      </c>
      <c r="AB3" s="77" t="s">
        <v>225</v>
      </c>
      <c r="AC3" s="80">
        <v>1</v>
      </c>
      <c r="AD3" s="77" t="s">
        <v>127</v>
      </c>
      <c r="AE3" s="80">
        <v>0.50990099009900991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106.19999999999999</v>
      </c>
      <c r="D4" s="85" t="s">
        <v>224</v>
      </c>
      <c r="E4" s="97">
        <v>13.3</v>
      </c>
      <c r="F4" s="85" t="s">
        <v>127</v>
      </c>
      <c r="G4" s="86">
        <v>1.7456140350877194</v>
      </c>
      <c r="H4" s="85" t="s">
        <v>127</v>
      </c>
      <c r="I4" s="87">
        <v>0.49122807017543857</v>
      </c>
      <c r="J4" s="85" t="s">
        <v>224</v>
      </c>
      <c r="K4" s="87">
        <v>0</v>
      </c>
      <c r="L4" s="85" t="s">
        <v>172</v>
      </c>
      <c r="M4" s="88">
        <v>0.37130801687763715</v>
      </c>
      <c r="N4" s="85" t="s">
        <v>185</v>
      </c>
      <c r="O4" s="88">
        <v>0.10526315789473684</v>
      </c>
      <c r="P4" s="85" t="s">
        <v>171</v>
      </c>
      <c r="Q4" s="89">
        <v>9756.707317073171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0.13043478260869565</v>
      </c>
      <c r="X4" s="85" t="s">
        <v>127</v>
      </c>
      <c r="Y4" s="88">
        <v>0.32573289902280128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11.85175438596492</v>
      </c>
      <c r="F5" s="85" t="s">
        <v>177</v>
      </c>
      <c r="G5" s="86">
        <v>1.9459459459459461</v>
      </c>
      <c r="H5" s="85" t="s">
        <v>186</v>
      </c>
      <c r="I5" s="87">
        <v>0.41666666666666669</v>
      </c>
      <c r="J5" s="85" t="s">
        <v>202</v>
      </c>
      <c r="K5" s="87">
        <v>0.14285714285714285</v>
      </c>
      <c r="L5" s="85" t="s">
        <v>127</v>
      </c>
      <c r="M5" s="88">
        <v>0.34961997828447339</v>
      </c>
      <c r="N5" s="85" t="s">
        <v>172</v>
      </c>
      <c r="O5" s="88">
        <v>0.13291139240506328</v>
      </c>
      <c r="P5" s="85" t="s">
        <v>128</v>
      </c>
      <c r="Q5" s="89">
        <v>9304.2635658914733</v>
      </c>
      <c r="R5" s="85" t="s">
        <v>128</v>
      </c>
      <c r="S5" s="89">
        <v>-7563.125</v>
      </c>
      <c r="T5" s="85" t="s">
        <v>224</v>
      </c>
      <c r="U5" s="87">
        <v>0</v>
      </c>
      <c r="V5" s="85" t="s">
        <v>129</v>
      </c>
      <c r="W5" s="87">
        <v>0.11475409836065574</v>
      </c>
      <c r="X5" s="85" t="s">
        <v>128</v>
      </c>
      <c r="Y5" s="88">
        <v>0.29755579171094582</v>
      </c>
      <c r="Z5" s="85" t="s">
        <v>173</v>
      </c>
      <c r="AA5" s="88">
        <v>0.25360230547550433</v>
      </c>
      <c r="AB5" s="85" t="s">
        <v>177</v>
      </c>
      <c r="AC5" s="88">
        <v>0.69565217391304346</v>
      </c>
      <c r="AD5" s="85" t="s">
        <v>186</v>
      </c>
      <c r="AE5" s="88">
        <v>0.45</v>
      </c>
      <c r="AF5" s="85" t="s">
        <v>173</v>
      </c>
      <c r="AG5" s="88">
        <v>0.5145631067961165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172</v>
      </c>
      <c r="C6" s="84">
        <v>55.599999999999987</v>
      </c>
      <c r="D6" s="85" t="s">
        <v>171</v>
      </c>
      <c r="E6" s="97">
        <v>1.5391304347826085</v>
      </c>
      <c r="F6" s="85" t="s">
        <v>145</v>
      </c>
      <c r="G6" s="86">
        <v>2</v>
      </c>
      <c r="H6" s="85" t="s">
        <v>177</v>
      </c>
      <c r="I6" s="87">
        <v>0.40540540540540543</v>
      </c>
      <c r="J6" s="85" t="s">
        <v>127</v>
      </c>
      <c r="K6" s="87">
        <v>0.23684210526315788</v>
      </c>
      <c r="L6" s="85" t="s">
        <v>202</v>
      </c>
      <c r="M6" s="88">
        <v>0.30434782608695654</v>
      </c>
      <c r="N6" s="85" t="s">
        <v>127</v>
      </c>
      <c r="O6" s="88">
        <v>0.15200868621064062</v>
      </c>
      <c r="P6" s="85" t="s">
        <v>129</v>
      </c>
      <c r="Q6" s="89">
        <v>9149.1228070175439</v>
      </c>
      <c r="R6" s="85" t="s">
        <v>173</v>
      </c>
      <c r="S6" s="89">
        <v>-7625.373134328358</v>
      </c>
      <c r="T6" s="85" t="s">
        <v>225</v>
      </c>
      <c r="U6" s="87">
        <v>0</v>
      </c>
      <c r="V6" s="85" t="s">
        <v>145</v>
      </c>
      <c r="W6" s="87">
        <v>0.11306042884990253</v>
      </c>
      <c r="X6" s="85" t="s">
        <v>171</v>
      </c>
      <c r="Y6" s="88">
        <v>0.27796610169491526</v>
      </c>
      <c r="Z6" s="85" t="s">
        <v>127</v>
      </c>
      <c r="AA6" s="88">
        <v>0.21932681867535286</v>
      </c>
      <c r="AB6" s="85" t="s">
        <v>186</v>
      </c>
      <c r="AC6" s="88">
        <v>0.625</v>
      </c>
      <c r="AD6" s="85" t="s">
        <v>172</v>
      </c>
      <c r="AE6" s="88">
        <v>0.43571428571428572</v>
      </c>
      <c r="AF6" s="85" t="s">
        <v>186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177</v>
      </c>
      <c r="C7" s="84">
        <v>44.70000000000001</v>
      </c>
      <c r="D7" s="85" t="s">
        <v>177</v>
      </c>
      <c r="E7" s="97">
        <v>1.2081081081081084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0.31481481481481483</v>
      </c>
      <c r="L7" s="85" t="s">
        <v>145</v>
      </c>
      <c r="M7" s="88">
        <v>0.30002329373398556</v>
      </c>
      <c r="N7" s="85" t="s">
        <v>171</v>
      </c>
      <c r="O7" s="88">
        <v>0.16271186440677965</v>
      </c>
      <c r="P7" s="85" t="s">
        <v>127</v>
      </c>
      <c r="Q7" s="89">
        <v>9056.8322981366455</v>
      </c>
      <c r="R7" s="85" t="s">
        <v>177</v>
      </c>
      <c r="S7" s="89">
        <v>-7680.3921568627447</v>
      </c>
      <c r="T7" s="85" t="s">
        <v>171</v>
      </c>
      <c r="U7" s="87">
        <v>4.3478260869565216E-2</v>
      </c>
      <c r="V7" s="85" t="s">
        <v>172</v>
      </c>
      <c r="W7" s="87">
        <v>0.1111111111111111</v>
      </c>
      <c r="X7" s="85" t="s">
        <v>145</v>
      </c>
      <c r="Y7" s="88">
        <v>0.27533193570929421</v>
      </c>
      <c r="Z7" s="85" t="s">
        <v>177</v>
      </c>
      <c r="AA7" s="88">
        <v>0.2168284789644013</v>
      </c>
      <c r="AB7" s="85" t="s">
        <v>173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224</v>
      </c>
      <c r="C8" s="84">
        <v>13.3</v>
      </c>
      <c r="D8" s="85" t="s">
        <v>172</v>
      </c>
      <c r="E8" s="97">
        <v>1.0296296296296295</v>
      </c>
      <c r="F8" s="85" t="s">
        <v>224</v>
      </c>
      <c r="G8" s="86">
        <v>2</v>
      </c>
      <c r="H8" s="85" t="s">
        <v>171</v>
      </c>
      <c r="I8" s="87">
        <v>0.28985507246376813</v>
      </c>
      <c r="J8" s="85" t="s">
        <v>145</v>
      </c>
      <c r="K8" s="87">
        <v>0.33333333333333331</v>
      </c>
      <c r="L8" s="85" t="s">
        <v>177</v>
      </c>
      <c r="M8" s="88">
        <v>0.29773462783171523</v>
      </c>
      <c r="N8" s="85" t="s">
        <v>177</v>
      </c>
      <c r="O8" s="88">
        <v>0.1650485436893204</v>
      </c>
      <c r="P8" s="85" t="s">
        <v>177</v>
      </c>
      <c r="Q8" s="89">
        <v>8683.6956521739139</v>
      </c>
      <c r="R8" s="85" t="s">
        <v>186</v>
      </c>
      <c r="S8" s="89">
        <v>-7700</v>
      </c>
      <c r="T8" s="85" t="s">
        <v>172</v>
      </c>
      <c r="U8" s="87">
        <v>5.5555555555555552E-2</v>
      </c>
      <c r="V8" s="85" t="s">
        <v>128</v>
      </c>
      <c r="W8" s="87">
        <v>9.6491228070175433E-2</v>
      </c>
      <c r="X8" s="85" t="s">
        <v>129</v>
      </c>
      <c r="Y8" s="88">
        <v>0.26506024096385544</v>
      </c>
      <c r="Z8" s="85" t="s">
        <v>145</v>
      </c>
      <c r="AA8" s="88">
        <v>0.21057535522944329</v>
      </c>
      <c r="AB8" s="85" t="s">
        <v>185</v>
      </c>
      <c r="AC8" s="88">
        <v>0.6</v>
      </c>
      <c r="AD8" s="85" t="s">
        <v>171</v>
      </c>
      <c r="AE8" s="88">
        <v>0.4</v>
      </c>
      <c r="AF8" s="85" t="s">
        <v>129</v>
      </c>
      <c r="AG8" s="88">
        <v>0.49122807017543857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7.1054273576010019E-15</v>
      </c>
      <c r="D9" s="85" t="s">
        <v>145</v>
      </c>
      <c r="E9" s="97">
        <v>1.38507355898655E-17</v>
      </c>
      <c r="F9" s="85" t="s">
        <v>172</v>
      </c>
      <c r="G9" s="86">
        <v>2.0370370370370372</v>
      </c>
      <c r="H9" s="85" t="s">
        <v>172</v>
      </c>
      <c r="I9" s="87">
        <v>0.27777777777777779</v>
      </c>
      <c r="J9" s="85" t="s">
        <v>128</v>
      </c>
      <c r="K9" s="87">
        <v>0.34210526315789475</v>
      </c>
      <c r="L9" s="85" t="s">
        <v>173</v>
      </c>
      <c r="M9" s="88">
        <v>0.29682997118155618</v>
      </c>
      <c r="N9" s="85" t="s">
        <v>145</v>
      </c>
      <c r="O9" s="88">
        <v>0.16655019799673887</v>
      </c>
      <c r="P9" s="85" t="s">
        <v>225</v>
      </c>
      <c r="Q9" s="89">
        <v>8666.6666666666661</v>
      </c>
      <c r="R9" s="85" t="s">
        <v>171</v>
      </c>
      <c r="S9" s="89">
        <v>-7819.791666666667</v>
      </c>
      <c r="T9" s="85" t="s">
        <v>145</v>
      </c>
      <c r="U9" s="87">
        <v>0.11306042884990253</v>
      </c>
      <c r="V9" s="85" t="s">
        <v>177</v>
      </c>
      <c r="W9" s="87">
        <v>8.1081081081081086E-2</v>
      </c>
      <c r="X9" s="85" t="s">
        <v>185</v>
      </c>
      <c r="Y9" s="88">
        <v>0.26315789473684209</v>
      </c>
      <c r="Z9" s="85" t="s">
        <v>185</v>
      </c>
      <c r="AA9" s="88">
        <v>0.21052631578947367</v>
      </c>
      <c r="AB9" s="85" t="s">
        <v>172</v>
      </c>
      <c r="AC9" s="88">
        <v>0.59047619047619049</v>
      </c>
      <c r="AD9" s="85" t="s">
        <v>145</v>
      </c>
      <c r="AE9" s="88">
        <v>0.38827433628318586</v>
      </c>
      <c r="AF9" s="85" t="s">
        <v>145</v>
      </c>
      <c r="AG9" s="88">
        <v>0.43866459627329191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202</v>
      </c>
      <c r="C10" s="84">
        <v>-25.300000000000004</v>
      </c>
      <c r="D10" s="85" t="s">
        <v>128</v>
      </c>
      <c r="E10" s="97">
        <v>-2.183333333333334</v>
      </c>
      <c r="F10" s="85" t="s">
        <v>171</v>
      </c>
      <c r="G10" s="86">
        <v>2.0579710144927534</v>
      </c>
      <c r="H10" s="85" t="s">
        <v>173</v>
      </c>
      <c r="I10" s="87">
        <v>0.27500000000000002</v>
      </c>
      <c r="J10" s="85" t="s">
        <v>171</v>
      </c>
      <c r="K10" s="87">
        <v>0.34782608695652173</v>
      </c>
      <c r="L10" s="85" t="s">
        <v>171</v>
      </c>
      <c r="M10" s="88">
        <v>0.27796610169491526</v>
      </c>
      <c r="N10" s="85" t="s">
        <v>128</v>
      </c>
      <c r="O10" s="88">
        <v>0.17003188097768332</v>
      </c>
      <c r="P10" s="85" t="s">
        <v>145</v>
      </c>
      <c r="Q10" s="89">
        <v>8596.2732919254649</v>
      </c>
      <c r="R10" s="85" t="s">
        <v>145</v>
      </c>
      <c r="S10" s="89">
        <v>-8222.2377622377626</v>
      </c>
      <c r="T10" s="85" t="s">
        <v>127</v>
      </c>
      <c r="U10" s="87">
        <v>0.11403508771929824</v>
      </c>
      <c r="V10" s="85" t="s">
        <v>173</v>
      </c>
      <c r="W10" s="87">
        <v>0.05</v>
      </c>
      <c r="X10" s="85" t="s">
        <v>202</v>
      </c>
      <c r="Y10" s="88">
        <v>0.24637681159420291</v>
      </c>
      <c r="Z10" s="85" t="s">
        <v>186</v>
      </c>
      <c r="AA10" s="88">
        <v>0.19230769230769232</v>
      </c>
      <c r="AB10" s="85" t="s">
        <v>128</v>
      </c>
      <c r="AC10" s="88">
        <v>0.5892857142857143</v>
      </c>
      <c r="AD10" s="85" t="s">
        <v>177</v>
      </c>
      <c r="AE10" s="88">
        <v>0.37313432835820898</v>
      </c>
      <c r="AF10" s="85" t="s">
        <v>171</v>
      </c>
      <c r="AG10" s="88">
        <v>0.43292682926829268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225</v>
      </c>
      <c r="C11" s="84">
        <v>-37</v>
      </c>
      <c r="D11" s="85" t="s">
        <v>202</v>
      </c>
      <c r="E11" s="97">
        <v>-3.6142857142857148</v>
      </c>
      <c r="F11" s="85" t="s">
        <v>128</v>
      </c>
      <c r="G11" s="86">
        <v>2.0701754385964914</v>
      </c>
      <c r="H11" s="85" t="s">
        <v>128</v>
      </c>
      <c r="I11" s="87">
        <v>0.27192982456140352</v>
      </c>
      <c r="J11" s="85" t="s">
        <v>173</v>
      </c>
      <c r="K11" s="87">
        <v>0.35</v>
      </c>
      <c r="L11" s="85" t="s">
        <v>128</v>
      </c>
      <c r="M11" s="88">
        <v>0.27417640807651433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127</v>
      </c>
      <c r="S11" s="89">
        <v>-8390</v>
      </c>
      <c r="T11" s="85" t="s">
        <v>128</v>
      </c>
      <c r="U11" s="87">
        <v>0.12280701754385964</v>
      </c>
      <c r="V11" s="85" t="s">
        <v>186</v>
      </c>
      <c r="W11" s="87">
        <v>0</v>
      </c>
      <c r="X11" s="85" t="s">
        <v>186</v>
      </c>
      <c r="Y11" s="88">
        <v>0.23076923076923078</v>
      </c>
      <c r="Z11" s="85" t="s">
        <v>171</v>
      </c>
      <c r="AA11" s="88">
        <v>0.1864406779661017</v>
      </c>
      <c r="AB11" s="85" t="s">
        <v>145</v>
      </c>
      <c r="AC11" s="88">
        <v>0.58798646362098139</v>
      </c>
      <c r="AD11" s="85" t="s">
        <v>173</v>
      </c>
      <c r="AE11" s="88">
        <v>0.32954545454545453</v>
      </c>
      <c r="AF11" s="85" t="s">
        <v>128</v>
      </c>
      <c r="AG11" s="88">
        <v>0.4263565891472868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-116.6</v>
      </c>
      <c r="D12" s="85" t="s">
        <v>173</v>
      </c>
      <c r="E12" s="97">
        <v>-6.9974999999999996</v>
      </c>
      <c r="F12" s="85" t="s">
        <v>173</v>
      </c>
      <c r="G12" s="86">
        <v>2.0750000000000002</v>
      </c>
      <c r="H12" s="85" t="s">
        <v>129</v>
      </c>
      <c r="I12" s="87">
        <v>0.24590163934426229</v>
      </c>
      <c r="J12" s="85" t="s">
        <v>177</v>
      </c>
      <c r="K12" s="87">
        <v>0.35135135135135137</v>
      </c>
      <c r="L12" s="85" t="s">
        <v>186</v>
      </c>
      <c r="M12" s="88">
        <v>0.26923076923076922</v>
      </c>
      <c r="N12" s="85" t="s">
        <v>129</v>
      </c>
      <c r="O12" s="88">
        <v>0.19277108433734941</v>
      </c>
      <c r="P12" s="85" t="s">
        <v>186</v>
      </c>
      <c r="Q12" s="89">
        <v>7700</v>
      </c>
      <c r="R12" s="85" t="s">
        <v>172</v>
      </c>
      <c r="S12" s="89">
        <v>-9374.6031746031749</v>
      </c>
      <c r="T12" s="85" t="s">
        <v>173</v>
      </c>
      <c r="U12" s="87">
        <v>0.125</v>
      </c>
      <c r="V12" s="85" t="s">
        <v>185</v>
      </c>
      <c r="W12" s="87">
        <v>0</v>
      </c>
      <c r="X12" s="85" t="s">
        <v>224</v>
      </c>
      <c r="Y12" s="88">
        <v>0.23076923076923078</v>
      </c>
      <c r="Z12" s="85" t="s">
        <v>128</v>
      </c>
      <c r="AA12" s="88">
        <v>0.18172157279489903</v>
      </c>
      <c r="AB12" s="85" t="s">
        <v>171</v>
      </c>
      <c r="AC12" s="88">
        <v>0.58536585365853655</v>
      </c>
      <c r="AD12" s="85" t="s">
        <v>128</v>
      </c>
      <c r="AE12" s="88">
        <v>0.2982456140350877</v>
      </c>
      <c r="AF12" s="85" t="s">
        <v>172</v>
      </c>
      <c r="AG12" s="88">
        <v>0.42045454545454547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128</v>
      </c>
      <c r="C13" s="84">
        <v>-248.90000000000009</v>
      </c>
      <c r="D13" s="85" t="s">
        <v>186</v>
      </c>
      <c r="E13" s="97">
        <v>-9.7166666666666668</v>
      </c>
      <c r="F13" s="85" t="s">
        <v>186</v>
      </c>
      <c r="G13" s="86">
        <v>2.0833333333333335</v>
      </c>
      <c r="H13" s="85" t="s">
        <v>202</v>
      </c>
      <c r="I13" s="87">
        <v>0.14285714285714285</v>
      </c>
      <c r="J13" s="85" t="s">
        <v>129</v>
      </c>
      <c r="K13" s="87">
        <v>0.47540983606557374</v>
      </c>
      <c r="L13" s="85" t="s">
        <v>185</v>
      </c>
      <c r="M13" s="88">
        <v>0.26315789473684209</v>
      </c>
      <c r="N13" s="85" t="s">
        <v>173</v>
      </c>
      <c r="O13" s="88">
        <v>0.1930835734870317</v>
      </c>
      <c r="P13" s="85" t="s">
        <v>202</v>
      </c>
      <c r="Q13" s="89">
        <v>7438.0952380952385</v>
      </c>
      <c r="R13" s="85" t="s">
        <v>129</v>
      </c>
      <c r="S13" s="89">
        <v>-9593.75</v>
      </c>
      <c r="T13" s="85" t="s">
        <v>177</v>
      </c>
      <c r="U13" s="87">
        <v>0.16216216216216217</v>
      </c>
      <c r="V13" s="85" t="s">
        <v>202</v>
      </c>
      <c r="W13" s="87">
        <v>0</v>
      </c>
      <c r="X13" s="85" t="s">
        <v>173</v>
      </c>
      <c r="Y13" s="88">
        <v>0.23054755043227665</v>
      </c>
      <c r="Z13" s="85" t="s">
        <v>129</v>
      </c>
      <c r="AA13" s="88">
        <v>0.16265060240963855</v>
      </c>
      <c r="AB13" s="85" t="s">
        <v>127</v>
      </c>
      <c r="AC13" s="88">
        <v>0.57999999999999996</v>
      </c>
      <c r="AD13" s="85" t="s">
        <v>129</v>
      </c>
      <c r="AE13" s="88">
        <v>0.23456790123456789</v>
      </c>
      <c r="AF13" s="85" t="s">
        <v>127</v>
      </c>
      <c r="AG13" s="88">
        <v>0.41304347826086957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173</v>
      </c>
      <c r="C14" s="84">
        <v>-279.89999999999998</v>
      </c>
      <c r="D14" s="85" t="s">
        <v>129</v>
      </c>
      <c r="E14" s="97">
        <v>-15.150819672131142</v>
      </c>
      <c r="F14" s="85" t="s">
        <v>129</v>
      </c>
      <c r="G14" s="86">
        <v>2.2295081967213113</v>
      </c>
      <c r="H14" s="85" t="s">
        <v>224</v>
      </c>
      <c r="I14" s="87">
        <v>0</v>
      </c>
      <c r="J14" s="85" t="s">
        <v>186</v>
      </c>
      <c r="K14" s="87">
        <v>0.5</v>
      </c>
      <c r="L14" s="85" t="s">
        <v>129</v>
      </c>
      <c r="M14" s="88">
        <v>0.2289156626506024</v>
      </c>
      <c r="N14" s="85" t="s">
        <v>186</v>
      </c>
      <c r="O14" s="88">
        <v>0.23076923076923078</v>
      </c>
      <c r="P14" s="85" t="s">
        <v>173</v>
      </c>
      <c r="Q14" s="89">
        <v>6838.8349514563106</v>
      </c>
      <c r="R14" s="85" t="s">
        <v>224</v>
      </c>
      <c r="S14" s="89">
        <v>-12000</v>
      </c>
      <c r="T14" s="85" t="s">
        <v>186</v>
      </c>
      <c r="U14" s="87">
        <v>0.16666666666666666</v>
      </c>
      <c r="V14" s="85" t="s">
        <v>224</v>
      </c>
      <c r="W14" s="87">
        <v>0</v>
      </c>
      <c r="X14" s="85" t="s">
        <v>177</v>
      </c>
      <c r="Y14" s="88">
        <v>0.22330097087378642</v>
      </c>
      <c r="Z14" s="85" t="s">
        <v>225</v>
      </c>
      <c r="AA14" s="88">
        <v>0.125</v>
      </c>
      <c r="AB14" s="85" t="s">
        <v>129</v>
      </c>
      <c r="AC14" s="88">
        <v>0.51515151515151514</v>
      </c>
      <c r="AD14" s="85" t="s">
        <v>224</v>
      </c>
      <c r="AE14" s="88">
        <v>0</v>
      </c>
      <c r="AF14" s="85" t="s">
        <v>177</v>
      </c>
      <c r="AG14" s="88">
        <v>0.41304347826086957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-924.1999999999997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6500.568181818182</v>
      </c>
      <c r="R15" s="85" t="s">
        <v>225</v>
      </c>
      <c r="S15" s="89">
        <v>-14000</v>
      </c>
      <c r="T15" s="85" t="s">
        <v>129</v>
      </c>
      <c r="U15" s="87">
        <v>0.19672131147540983</v>
      </c>
      <c r="V15" s="85" t="s">
        <v>225</v>
      </c>
      <c r="W15" s="87">
        <v>0</v>
      </c>
      <c r="X15" s="85" t="s">
        <v>172</v>
      </c>
      <c r="Y15" s="88">
        <v>0.22151898734177214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AA192-EF1F-494F-A9AB-FDC5411916BC}">
  <sheetPr codeName="Sheet4"/>
  <dimension ref="A1:Q51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513</v>
      </c>
      <c r="C2" s="147"/>
      <c r="E2" s="62" t="s">
        <v>67</v>
      </c>
      <c r="F2" s="59" t="s">
        <v>23</v>
      </c>
      <c r="G2" s="46">
        <v>950</v>
      </c>
      <c r="H2" s="132">
        <f>IF(B$17=0,0,G2/B$17)</f>
        <v>0.73757763975155277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-15.594541910331383</v>
      </c>
      <c r="P2" s="118">
        <v>513</v>
      </c>
      <c r="Q2" s="102">
        <v>-8000</v>
      </c>
    </row>
    <row r="3" spans="1:17" x14ac:dyDescent="0.4">
      <c r="A3" s="55" t="s">
        <v>8</v>
      </c>
      <c r="B3" s="148">
        <v>4293</v>
      </c>
      <c r="C3" s="149"/>
      <c r="E3" s="63" t="s">
        <v>65</v>
      </c>
      <c r="F3" s="60" t="s">
        <v>21</v>
      </c>
      <c r="G3" s="47">
        <v>666</v>
      </c>
      <c r="H3" s="133">
        <f>IF(B$17=0,0,G3/B$17)</f>
        <v>0.51708074534161486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-7.9840319361277441</v>
      </c>
      <c r="P3" s="119">
        <v>501</v>
      </c>
      <c r="Q3" s="103">
        <v>-4000</v>
      </c>
    </row>
    <row r="4" spans="1:17" x14ac:dyDescent="0.4">
      <c r="A4" s="55" t="s">
        <v>6</v>
      </c>
      <c r="B4" s="150">
        <v>7.1054273576010019E-15</v>
      </c>
      <c r="C4" s="151"/>
      <c r="E4" s="63" t="s">
        <v>73</v>
      </c>
      <c r="F4" s="60" t="s">
        <v>28</v>
      </c>
      <c r="G4" s="47">
        <v>661</v>
      </c>
      <c r="H4" s="133">
        <f>IF(B$17=0,0,G4/B$17)</f>
        <v>0.51319875776397517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12.578616352201259</v>
      </c>
      <c r="P4" s="119">
        <v>477</v>
      </c>
      <c r="Q4" s="103">
        <v>6000</v>
      </c>
    </row>
    <row r="5" spans="1:17" x14ac:dyDescent="0.4">
      <c r="A5" s="55" t="s">
        <v>7</v>
      </c>
      <c r="B5" s="152">
        <f>IF(B$2=0,0,B$4/B$2)</f>
        <v>1.38507355898655E-17</v>
      </c>
      <c r="C5" s="153"/>
      <c r="E5" s="63" t="s">
        <v>181</v>
      </c>
      <c r="F5" s="60" t="s">
        <v>182</v>
      </c>
      <c r="G5" s="47">
        <v>516</v>
      </c>
      <c r="H5" s="133">
        <f>IF(B$17=0,0,G5/B$17)</f>
        <v>0.40062111801242234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6.9930069930069934</v>
      </c>
      <c r="P5" s="119">
        <v>429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405</v>
      </c>
      <c r="H6" s="133">
        <f>IF(B$17=0,0,G6/B$17)</f>
        <v>0.3144409937888199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-13.020833333333334</v>
      </c>
      <c r="P6" s="119">
        <v>384</v>
      </c>
      <c r="Q6" s="103">
        <v>-5000</v>
      </c>
    </row>
    <row r="7" spans="1:17" x14ac:dyDescent="0.4">
      <c r="A7" s="55" t="s">
        <v>2</v>
      </c>
      <c r="B7" s="47">
        <v>171</v>
      </c>
      <c r="C7" s="39">
        <f>IF(B$2=0,0,B7/B$2)</f>
        <v>0.33333333333333331</v>
      </c>
      <c r="E7" s="63" t="s">
        <v>68</v>
      </c>
      <c r="F7" s="60" t="s">
        <v>24</v>
      </c>
      <c r="G7" s="47">
        <v>393</v>
      </c>
      <c r="H7" s="133">
        <f>IF(B$17=0,0,G7/B$17)</f>
        <v>0.30512422360248448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22.792022792022792</v>
      </c>
      <c r="P7" s="120">
        <v>351</v>
      </c>
      <c r="Q7" s="104">
        <v>8000</v>
      </c>
    </row>
    <row r="8" spans="1:17" x14ac:dyDescent="0.4">
      <c r="A8" s="55" t="s">
        <v>3</v>
      </c>
      <c r="B8" s="47">
        <v>171</v>
      </c>
      <c r="C8" s="39">
        <f>IF(B$2=0,0,B8/B$2)</f>
        <v>0.33333333333333331</v>
      </c>
      <c r="E8" s="63" t="s">
        <v>70</v>
      </c>
      <c r="F8" s="60" t="s">
        <v>25</v>
      </c>
      <c r="G8" s="47">
        <v>234</v>
      </c>
      <c r="H8" s="133">
        <f>IF(B$17=0,0,G8/B$17)</f>
        <v>0.18167701863354038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171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157</v>
      </c>
      <c r="H9" s="133">
        <f>IF(B$17=0,0,G9/B$17)</f>
        <v>0.12189440993788819</v>
      </c>
      <c r="I9" s="94">
        <v>8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58</v>
      </c>
      <c r="C10" s="40">
        <f>IF(B$2=0,0,B10/B$2)</f>
        <v>0.11306042884990253</v>
      </c>
      <c r="E10" s="63" t="s">
        <v>66</v>
      </c>
      <c r="F10" s="60" t="s">
        <v>22</v>
      </c>
      <c r="G10" s="47">
        <v>155</v>
      </c>
      <c r="H10" s="133">
        <f>IF(B$17=0,0,G10/B$17)</f>
        <v>0.1203416149068323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-1.1766081871345031</v>
      </c>
      <c r="P10" s="118">
        <v>171</v>
      </c>
      <c r="Q10" s="106">
        <v>-201.20000000000005</v>
      </c>
    </row>
    <row r="11" spans="1:17" x14ac:dyDescent="0.4">
      <c r="A11" s="56" t="s">
        <v>140</v>
      </c>
      <c r="B11" s="48">
        <v>58</v>
      </c>
      <c r="C11" s="40">
        <f>IF(B$2=0,0,B11/B$2)</f>
        <v>0.11306042884990253</v>
      </c>
      <c r="E11" s="63" t="s">
        <v>71</v>
      </c>
      <c r="F11" s="60" t="s">
        <v>26</v>
      </c>
      <c r="G11" s="47">
        <v>136</v>
      </c>
      <c r="H11" s="133">
        <f>IF(B$17=0,0,G11/B$17)</f>
        <v>0.10559006211180125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-2.0766081871345032</v>
      </c>
      <c r="P11" s="119">
        <v>171</v>
      </c>
      <c r="Q11" s="107">
        <v>-355.10000000000008</v>
      </c>
    </row>
    <row r="12" spans="1:17" x14ac:dyDescent="0.4">
      <c r="A12" s="57" t="s">
        <v>160</v>
      </c>
      <c r="B12" s="49">
        <v>43</v>
      </c>
      <c r="C12" s="42">
        <f>IF(B$2=0,0,B12/B$2)</f>
        <v>8.3820662768031184E-2</v>
      </c>
      <c r="E12" s="63" t="s">
        <v>72</v>
      </c>
      <c r="F12" s="60" t="s">
        <v>27</v>
      </c>
      <c r="G12" s="47">
        <v>84</v>
      </c>
      <c r="H12" s="133">
        <f>IF(B$17=0,0,G12/B$17)</f>
        <v>6.5217391304347824E-2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3.2532163742690061</v>
      </c>
      <c r="P12" s="120">
        <v>171</v>
      </c>
      <c r="Q12" s="108">
        <v>556.30000000000007</v>
      </c>
    </row>
    <row r="13" spans="1:17" x14ac:dyDescent="0.4">
      <c r="A13" s="58" t="s">
        <v>122</v>
      </c>
      <c r="B13" s="50">
        <v>1182</v>
      </c>
      <c r="C13" s="44">
        <f>IF(B$3=0,0,B13/B$3)</f>
        <v>0.27533193570929421</v>
      </c>
      <c r="E13" s="63" t="s">
        <v>87</v>
      </c>
      <c r="F13" s="60" t="s">
        <v>42</v>
      </c>
      <c r="G13" s="47">
        <v>76</v>
      </c>
      <c r="H13" s="133">
        <f>IF(B$17=0,0,G13/B$17)</f>
        <v>5.9006211180124224E-2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904</v>
      </c>
      <c r="C14" s="39">
        <f>IF(B$3=0,0,B14/B$3)</f>
        <v>0.21057535522944329</v>
      </c>
      <c r="E14" s="63" t="s">
        <v>84</v>
      </c>
      <c r="F14" s="60" t="s">
        <v>39</v>
      </c>
      <c r="G14" s="47">
        <v>59</v>
      </c>
      <c r="H14" s="133">
        <f>IF(B$17=0,0,G14/B$17)</f>
        <v>4.5807453416149072E-2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695</v>
      </c>
      <c r="C15" s="37">
        <f>IF(B$13=0,0,B15/B$13)</f>
        <v>0.58798646362098139</v>
      </c>
      <c r="E15" s="63" t="s">
        <v>82</v>
      </c>
      <c r="F15" s="60" t="s">
        <v>37</v>
      </c>
      <c r="G15" s="47">
        <v>37</v>
      </c>
      <c r="H15" s="133">
        <f>IF(B$17=0,0,G15/B$17)</f>
        <v>2.872670807453416E-2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351</v>
      </c>
      <c r="C16" s="37">
        <f>IF(B$14=0,0,B16/B$14)</f>
        <v>0.38827433628318586</v>
      </c>
      <c r="E16" s="63" t="s">
        <v>79</v>
      </c>
      <c r="F16" s="60" t="s">
        <v>34</v>
      </c>
      <c r="G16" s="47">
        <v>30</v>
      </c>
      <c r="H16" s="133">
        <f>IF(B$17=0,0,G16/B$17)</f>
        <v>2.3291925465838508E-2</v>
      </c>
      <c r="I16" s="94">
        <v>5</v>
      </c>
      <c r="K16" s="38">
        <v>14</v>
      </c>
      <c r="L16" s="99">
        <v>18.79999999999999</v>
      </c>
      <c r="N16" s="115" t="s">
        <v>129</v>
      </c>
      <c r="O16" s="125">
        <f>IF(P16=0,0,Q16/P16)</f>
        <v>22.726229508196738</v>
      </c>
      <c r="P16" s="119">
        <v>122</v>
      </c>
      <c r="Q16" s="107">
        <v>2772.6000000000022</v>
      </c>
    </row>
    <row r="17" spans="1:17" x14ac:dyDescent="0.4">
      <c r="A17" s="54" t="s">
        <v>10</v>
      </c>
      <c r="B17" s="46">
        <f>B19+B18</f>
        <v>1288</v>
      </c>
      <c r="C17" s="37">
        <f>IF(B$3=0,0,B17/B$3)</f>
        <v>0.30002329373398556</v>
      </c>
      <c r="E17" s="63" t="s">
        <v>92</v>
      </c>
      <c r="F17" s="60" t="s">
        <v>47</v>
      </c>
      <c r="G17" s="47">
        <v>22</v>
      </c>
      <c r="H17" s="133">
        <f>IF(B$17=0,0,G17/B$17)</f>
        <v>1.7080745341614908E-2</v>
      </c>
      <c r="I17" s="94">
        <v>4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14.575000000000001</v>
      </c>
      <c r="P17" s="119">
        <v>24</v>
      </c>
      <c r="Q17" s="107">
        <v>349.8</v>
      </c>
    </row>
    <row r="18" spans="1:17" x14ac:dyDescent="0.4">
      <c r="A18" s="55" t="s">
        <v>12</v>
      </c>
      <c r="B18" s="47">
        <v>565</v>
      </c>
      <c r="C18" s="39">
        <f>IF(B$17=0,0,B18/B$17)</f>
        <v>0.43866459627329191</v>
      </c>
      <c r="E18" s="63" t="s">
        <v>80</v>
      </c>
      <c r="F18" s="60" t="s">
        <v>35</v>
      </c>
      <c r="G18" s="47">
        <v>21</v>
      </c>
      <c r="H18" s="133">
        <f>IF(B$17=0,0,G18/B$17)</f>
        <v>1.6304347826086956E-2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10.496249999999998</v>
      </c>
      <c r="P18" s="119">
        <v>80</v>
      </c>
      <c r="Q18" s="107">
        <v>839.69999999999982</v>
      </c>
    </row>
    <row r="19" spans="1:17" x14ac:dyDescent="0.4">
      <c r="A19" s="55" t="s">
        <v>11</v>
      </c>
      <c r="B19" s="47">
        <v>723</v>
      </c>
      <c r="C19" s="39">
        <f>IF(B$17=0,0,B19/B$17)</f>
        <v>0.56133540372670809</v>
      </c>
      <c r="E19" s="63" t="s">
        <v>180</v>
      </c>
      <c r="F19" s="60" t="s">
        <v>183</v>
      </c>
      <c r="G19" s="47">
        <v>18</v>
      </c>
      <c r="H19" s="133">
        <f>IF(B$17=0,0,G19/B$17)</f>
        <v>1.3975155279503106E-2</v>
      </c>
      <c r="I19" s="94">
        <v>3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715</v>
      </c>
      <c r="C20" s="39">
        <f>IF(B$3=0,0,B20/B$3)</f>
        <v>0.16655019799673887</v>
      </c>
      <c r="E20" s="63" t="s">
        <v>76</v>
      </c>
      <c r="F20" s="60" t="s">
        <v>31</v>
      </c>
      <c r="G20" s="47">
        <v>9</v>
      </c>
      <c r="H20" s="133">
        <f>IF(B$17=0,0,G20/B$17)</f>
        <v>6.987577639751553E-3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3.2750000000000012</v>
      </c>
      <c r="P20" s="119">
        <v>228</v>
      </c>
      <c r="Q20" s="107">
        <v>746.70000000000027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8</v>
      </c>
      <c r="H21" s="133">
        <f>IF(B$17=0,0,G21/B$17)</f>
        <v>6.2111801242236021E-3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-1.5444444444444463</v>
      </c>
      <c r="P21" s="119">
        <v>108</v>
      </c>
      <c r="Q21" s="107">
        <v>-166.80000000000021</v>
      </c>
    </row>
    <row r="22" spans="1:17" x14ac:dyDescent="0.4">
      <c r="A22" s="55" t="s">
        <v>194</v>
      </c>
      <c r="B22" s="47">
        <v>31</v>
      </c>
      <c r="C22" s="135">
        <v>0</v>
      </c>
      <c r="E22" s="63" t="s">
        <v>75</v>
      </c>
      <c r="F22" s="60" t="s">
        <v>30</v>
      </c>
      <c r="G22" s="47">
        <v>5</v>
      </c>
      <c r="H22" s="133">
        <f>IF(B$17=0,0,G22/B$17)</f>
        <v>3.8819875776397515E-3</v>
      </c>
      <c r="I22" s="94">
        <v>4</v>
      </c>
      <c r="K22" s="38">
        <v>20</v>
      </c>
      <c r="L22" s="99">
        <v>0.79999999999999716</v>
      </c>
      <c r="N22" s="115" t="s">
        <v>177</v>
      </c>
      <c r="O22" s="125">
        <f>IF(P22=0,0,Q22/P22)</f>
        <v>-1.8121621621621644</v>
      </c>
      <c r="P22" s="119">
        <v>74</v>
      </c>
      <c r="Q22" s="107">
        <v>-134.10000000000016</v>
      </c>
    </row>
    <row r="23" spans="1:17" x14ac:dyDescent="0.4">
      <c r="A23" s="55" t="s">
        <v>5</v>
      </c>
      <c r="B23" s="51">
        <f>IF(B$17=0,0,C23/B$17)</f>
        <v>8596.2732919254649</v>
      </c>
      <c r="C23" s="41">
        <v>11072000</v>
      </c>
      <c r="E23" s="63" t="s">
        <v>93</v>
      </c>
      <c r="F23" s="60" t="s">
        <v>48</v>
      </c>
      <c r="G23" s="47">
        <v>5</v>
      </c>
      <c r="H23" s="133">
        <f>IF(B$17=0,0,G23/B$17)</f>
        <v>3.8819875776397515E-3</v>
      </c>
      <c r="I23" s="94">
        <v>3</v>
      </c>
      <c r="K23" s="38">
        <v>21</v>
      </c>
      <c r="L23" s="99">
        <v>-2.886579864025407E-15</v>
      </c>
      <c r="N23" s="115" t="s">
        <v>171</v>
      </c>
      <c r="O23" s="125">
        <f>IF(P23=0,0,Q23/P23)</f>
        <v>-2.3086956521739106</v>
      </c>
      <c r="P23" s="119">
        <v>138</v>
      </c>
      <c r="Q23" s="107">
        <v>-318.59999999999968</v>
      </c>
    </row>
    <row r="24" spans="1:17" x14ac:dyDescent="0.4">
      <c r="A24" s="57" t="s">
        <v>14</v>
      </c>
      <c r="B24" s="52">
        <f>IF(B$20=0,0,C24/B$20)</f>
        <v>-8222.2377622377626</v>
      </c>
      <c r="C24" s="45">
        <v>-5878900</v>
      </c>
      <c r="E24" s="63" t="s">
        <v>94</v>
      </c>
      <c r="F24" s="60" t="s">
        <v>49</v>
      </c>
      <c r="G24" s="47">
        <v>5</v>
      </c>
      <c r="H24" s="133">
        <f>IF(B$17=0,0,G24/B$17)</f>
        <v>3.8819875776397515E-3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-17.77763157894735</v>
      </c>
      <c r="P24" s="119">
        <v>228</v>
      </c>
      <c r="Q24" s="107">
        <v>-4053.2999999999961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4</v>
      </c>
      <c r="H25" s="133">
        <f>IF(B$17=0,0,G25/B$17)</f>
        <v>3.105590062111801E-3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78</v>
      </c>
      <c r="F26" s="60" t="s">
        <v>33</v>
      </c>
      <c r="G26" s="47">
        <v>3</v>
      </c>
      <c r="H26" s="133">
        <f>IF(B$17=0,0,G26/B$17)</f>
        <v>2.329192546583851E-3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13</v>
      </c>
      <c r="C27" s="42">
        <f>IF(B$3=0,0,B27/B$3)</f>
        <v>3.028185418122525E-3</v>
      </c>
      <c r="E27" s="63" t="s">
        <v>85</v>
      </c>
      <c r="F27" s="60" t="s">
        <v>40</v>
      </c>
      <c r="G27" s="47">
        <v>3</v>
      </c>
      <c r="H27" s="133">
        <f>IF(B$17=0,0,G27/B$17)</f>
        <v>2.329192546583851E-3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3</v>
      </c>
      <c r="H28" s="133">
        <f>IF(B$17=0,0,G28/B$17)</f>
        <v>2.329192546583851E-3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1.5527950310559005E-3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96</v>
      </c>
      <c r="F30" s="60" t="s">
        <v>51</v>
      </c>
      <c r="G30" s="47">
        <v>2</v>
      </c>
      <c r="H30" s="133">
        <f>IF(B$17=0,0,G30/B$17)</f>
        <v>1.5527950310559005E-3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77</v>
      </c>
      <c r="F31" s="60" t="s">
        <v>32</v>
      </c>
      <c r="G31" s="47">
        <v>1</v>
      </c>
      <c r="H31" s="133">
        <f>IF(B$17=0,0,G31/B$17)</f>
        <v>7.7639751552795026E-4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91</v>
      </c>
      <c r="F32" s="60" t="s">
        <v>46</v>
      </c>
      <c r="G32" s="47">
        <v>1</v>
      </c>
      <c r="H32" s="133">
        <f>IF(B$17=0,0,G32/B$17)</f>
        <v>7.7639751552795026E-4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7.7639751552795026E-4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C1B88-A249-445E-849F-C27EF0E704A9}">
  <sheetPr codeName="Sheet7"/>
  <dimension ref="A1:Q11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114</v>
      </c>
      <c r="C2" s="147"/>
      <c r="E2" s="62" t="s">
        <v>67</v>
      </c>
      <c r="F2" s="59" t="s">
        <v>23</v>
      </c>
      <c r="G2" s="46">
        <v>235</v>
      </c>
      <c r="H2" s="132">
        <f>IF(B$17=0,0,G2/B$17)</f>
        <v>0.72981366459627328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1921.9298245614036</v>
      </c>
      <c r="P2" s="118">
        <v>114</v>
      </c>
      <c r="Q2" s="102">
        <v>219100</v>
      </c>
    </row>
    <row r="3" spans="1:17" x14ac:dyDescent="0.4">
      <c r="A3" s="55" t="s">
        <v>8</v>
      </c>
      <c r="B3" s="148">
        <v>921</v>
      </c>
      <c r="C3" s="149"/>
      <c r="E3" s="63" t="s">
        <v>73</v>
      </c>
      <c r="F3" s="60" t="s">
        <v>28</v>
      </c>
      <c r="G3" s="47">
        <v>179</v>
      </c>
      <c r="H3" s="133">
        <f>IF(B$17=0,0,G3/B$17)</f>
        <v>0.55590062111801242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1445.0450450450451</v>
      </c>
      <c r="P3" s="119">
        <v>111</v>
      </c>
      <c r="Q3" s="103">
        <v>160400</v>
      </c>
    </row>
    <row r="4" spans="1:17" x14ac:dyDescent="0.4">
      <c r="A4" s="55" t="s">
        <v>6</v>
      </c>
      <c r="B4" s="150">
        <v>1351.1000000000008</v>
      </c>
      <c r="C4" s="151"/>
      <c r="E4" s="63" t="s">
        <v>65</v>
      </c>
      <c r="F4" s="60" t="s">
        <v>21</v>
      </c>
      <c r="G4" s="47">
        <v>162</v>
      </c>
      <c r="H4" s="133">
        <f>IF(B$17=0,0,G4/B$17)</f>
        <v>0.50310559006211175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1577.3584905660377</v>
      </c>
      <c r="P4" s="119">
        <v>106</v>
      </c>
      <c r="Q4" s="103">
        <v>167200</v>
      </c>
    </row>
    <row r="5" spans="1:17" x14ac:dyDescent="0.4">
      <c r="A5" s="55" t="s">
        <v>7</v>
      </c>
      <c r="B5" s="152">
        <f>IF(B$2=0,0,B$4/B$2)</f>
        <v>11.85175438596492</v>
      </c>
      <c r="C5" s="153"/>
      <c r="E5" s="63" t="s">
        <v>181</v>
      </c>
      <c r="F5" s="60" t="s">
        <v>182</v>
      </c>
      <c r="G5" s="47">
        <v>135</v>
      </c>
      <c r="H5" s="133">
        <f>IF(B$17=0,0,G5/B$17)</f>
        <v>0.41925465838509318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2056.25</v>
      </c>
      <c r="P5" s="119">
        <v>96</v>
      </c>
      <c r="Q5" s="103">
        <v>197400</v>
      </c>
    </row>
    <row r="6" spans="1:17" x14ac:dyDescent="0.4">
      <c r="A6" s="55" t="s">
        <v>1</v>
      </c>
      <c r="B6" s="142">
        <f>IF(B$2=0,0,(B$7*1+B$8*2+B$9*3)/B$2)</f>
        <v>1.7456140350877194</v>
      </c>
      <c r="C6" s="143"/>
      <c r="E6" s="63" t="s">
        <v>68</v>
      </c>
      <c r="F6" s="60" t="s">
        <v>24</v>
      </c>
      <c r="G6" s="47">
        <v>97</v>
      </c>
      <c r="H6" s="133">
        <f>IF(B$17=0,0,G6/B$17)</f>
        <v>0.30124223602484473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-21.428571428571427</v>
      </c>
      <c r="P6" s="119">
        <v>84</v>
      </c>
      <c r="Q6" s="103">
        <v>-1800</v>
      </c>
    </row>
    <row r="7" spans="1:17" x14ac:dyDescent="0.4">
      <c r="A7" s="55" t="s">
        <v>2</v>
      </c>
      <c r="B7" s="47">
        <v>56</v>
      </c>
      <c r="C7" s="39">
        <f>IF(B$2=0,0,B7/B$2)</f>
        <v>0.49122807017543857</v>
      </c>
      <c r="E7" s="63" t="s">
        <v>69</v>
      </c>
      <c r="F7" s="60" t="s">
        <v>12</v>
      </c>
      <c r="G7" s="47">
        <v>84</v>
      </c>
      <c r="H7" s="133">
        <f>IF(B$17=0,0,G7/B$17)</f>
        <v>0.2608695652173913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317.33333333333331</v>
      </c>
      <c r="P7" s="120">
        <v>75</v>
      </c>
      <c r="Q7" s="104">
        <v>23800</v>
      </c>
    </row>
    <row r="8" spans="1:17" x14ac:dyDescent="0.4">
      <c r="A8" s="55" t="s">
        <v>3</v>
      </c>
      <c r="B8" s="47">
        <v>31</v>
      </c>
      <c r="C8" s="39">
        <f>IF(B$2=0,0,B8/B$2)</f>
        <v>0.27192982456140352</v>
      </c>
      <c r="E8" s="63" t="s">
        <v>70</v>
      </c>
      <c r="F8" s="60" t="s">
        <v>25</v>
      </c>
      <c r="G8" s="47">
        <v>59</v>
      </c>
      <c r="H8" s="133">
        <f>IF(B$17=0,0,G8/B$17)</f>
        <v>0.18322981366459629</v>
      </c>
      <c r="I8" s="94">
        <v>6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0.23684210526315788</v>
      </c>
      <c r="E9" s="63" t="s">
        <v>90</v>
      </c>
      <c r="F9" s="60" t="s">
        <v>45</v>
      </c>
      <c r="G9" s="47">
        <v>50</v>
      </c>
      <c r="H9" s="133">
        <f>IF(B$17=0,0,G9/B$17)</f>
        <v>0.15527950310559005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0.11403508771929824</v>
      </c>
      <c r="E10" s="63" t="s">
        <v>66</v>
      </c>
      <c r="F10" s="60" t="s">
        <v>22</v>
      </c>
      <c r="G10" s="47">
        <v>49</v>
      </c>
      <c r="H10" s="133">
        <f>IF(B$17=0,0,G10/B$17)</f>
        <v>0.15217391304347827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16.679411764705883</v>
      </c>
      <c r="P10" s="118">
        <v>34</v>
      </c>
      <c r="Q10" s="106">
        <v>567.1</v>
      </c>
    </row>
    <row r="11" spans="1:17" x14ac:dyDescent="0.4">
      <c r="A11" s="56" t="s">
        <v>140</v>
      </c>
      <c r="B11" s="48">
        <v>20</v>
      </c>
      <c r="C11" s="40">
        <f>IF(B$2=0,0,B11/B$2)</f>
        <v>0.17543859649122806</v>
      </c>
      <c r="E11" s="63" t="s">
        <v>71</v>
      </c>
      <c r="F11" s="60" t="s">
        <v>26</v>
      </c>
      <c r="G11" s="47">
        <v>33</v>
      </c>
      <c r="H11" s="133">
        <f>IF(B$17=0,0,G11/B$17)</f>
        <v>0.10248447204968944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5.6472222222222221</v>
      </c>
      <c r="P11" s="119">
        <v>36</v>
      </c>
      <c r="Q11" s="107">
        <v>203.3</v>
      </c>
    </row>
    <row r="12" spans="1:17" x14ac:dyDescent="0.4">
      <c r="A12" s="57" t="s">
        <v>160</v>
      </c>
      <c r="B12" s="49">
        <v>17</v>
      </c>
      <c r="C12" s="42">
        <f>IF(B$2=0,0,B12/B$2)</f>
        <v>0.14912280701754385</v>
      </c>
      <c r="E12" s="63" t="s">
        <v>72</v>
      </c>
      <c r="F12" s="60" t="s">
        <v>27</v>
      </c>
      <c r="G12" s="47">
        <v>23</v>
      </c>
      <c r="H12" s="133">
        <f>IF(B$17=0,0,G12/B$17)</f>
        <v>7.1428571428571425E-2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13.197727272727276</v>
      </c>
      <c r="P12" s="120">
        <v>44</v>
      </c>
      <c r="Q12" s="108">
        <v>580.70000000000016</v>
      </c>
    </row>
    <row r="13" spans="1:17" x14ac:dyDescent="0.4">
      <c r="A13" s="58" t="s">
        <v>122</v>
      </c>
      <c r="B13" s="50">
        <v>300</v>
      </c>
      <c r="C13" s="44">
        <f>IF(B$3=0,0,B13/B$3)</f>
        <v>0.32573289902280128</v>
      </c>
      <c r="E13" s="63" t="s">
        <v>87</v>
      </c>
      <c r="F13" s="60" t="s">
        <v>42</v>
      </c>
      <c r="G13" s="47">
        <v>23</v>
      </c>
      <c r="H13" s="133">
        <f>IF(B$17=0,0,G13/B$17)</f>
        <v>7.1428571428571425E-2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202</v>
      </c>
      <c r="C14" s="39">
        <f>IF(B$3=0,0,B14/B$3)</f>
        <v>0.21932681867535286</v>
      </c>
      <c r="E14" s="63" t="s">
        <v>84</v>
      </c>
      <c r="F14" s="60" t="s">
        <v>39</v>
      </c>
      <c r="G14" s="47">
        <v>17</v>
      </c>
      <c r="H14" s="133">
        <f>IF(B$17=0,0,G14/B$17)</f>
        <v>5.2795031055900624E-2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174</v>
      </c>
      <c r="C15" s="37">
        <f>IF(B$13=0,0,B15/B$13)</f>
        <v>0.57999999999999996</v>
      </c>
      <c r="E15" s="63" t="s">
        <v>82</v>
      </c>
      <c r="F15" s="60" t="s">
        <v>37</v>
      </c>
      <c r="G15" s="47">
        <v>11</v>
      </c>
      <c r="H15" s="133">
        <f>IF(B$17=0,0,G15/B$17)</f>
        <v>3.4161490683229816E-2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103</v>
      </c>
      <c r="C16" s="37">
        <f>IF(B$14=0,0,B16/B$14)</f>
        <v>0.50990099009900991</v>
      </c>
      <c r="E16" s="63" t="s">
        <v>180</v>
      </c>
      <c r="F16" s="60" t="s">
        <v>183</v>
      </c>
      <c r="G16" s="47">
        <v>10</v>
      </c>
      <c r="H16" s="133">
        <f>IF(B$17=0,0,G16/B$17)</f>
        <v>3.1055900621118012E-2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33.517142857142858</v>
      </c>
      <c r="P16" s="119">
        <v>35</v>
      </c>
      <c r="Q16" s="107">
        <v>1173.1000000000001</v>
      </c>
    </row>
    <row r="17" spans="1:17" x14ac:dyDescent="0.4">
      <c r="A17" s="54" t="s">
        <v>10</v>
      </c>
      <c r="B17" s="46">
        <f>B19+B18</f>
        <v>322</v>
      </c>
      <c r="C17" s="37">
        <f>IF(B$3=0,0,B17/B$3)</f>
        <v>0.34961997828447339</v>
      </c>
      <c r="E17" s="63" t="s">
        <v>79</v>
      </c>
      <c r="F17" s="60" t="s">
        <v>34</v>
      </c>
      <c r="G17" s="47">
        <v>6</v>
      </c>
      <c r="H17" s="133">
        <f>IF(B$17=0,0,G17/B$17)</f>
        <v>1.8633540372670808E-2</v>
      </c>
      <c r="I17" s="94">
        <v>8</v>
      </c>
      <c r="K17" s="38">
        <v>15</v>
      </c>
      <c r="L17" s="99">
        <v>481.50000000000006</v>
      </c>
      <c r="N17" s="115" t="s">
        <v>224</v>
      </c>
      <c r="O17" s="125">
        <f>IF(P17=0,0,Q17/P17)</f>
        <v>29.599999999999998</v>
      </c>
      <c r="P17" s="119">
        <v>1</v>
      </c>
      <c r="Q17" s="107">
        <v>29.599999999999998</v>
      </c>
    </row>
    <row r="18" spans="1:17" x14ac:dyDescent="0.4">
      <c r="A18" s="55" t="s">
        <v>12</v>
      </c>
      <c r="B18" s="47">
        <v>133</v>
      </c>
      <c r="C18" s="39">
        <f>IF(B$17=0,0,B18/B$17)</f>
        <v>0.41304347826086957</v>
      </c>
      <c r="E18" s="63" t="s">
        <v>80</v>
      </c>
      <c r="F18" s="60" t="s">
        <v>35</v>
      </c>
      <c r="G18" s="47">
        <v>4</v>
      </c>
      <c r="H18" s="133">
        <f>IF(B$17=0,0,G18/B$17)</f>
        <v>1.2422360248447204E-2</v>
      </c>
      <c r="I18" s="94">
        <v>7</v>
      </c>
      <c r="K18" s="38">
        <v>16</v>
      </c>
      <c r="L18" s="99">
        <v>425.50000000000006</v>
      </c>
      <c r="N18" s="115" t="s">
        <v>177</v>
      </c>
      <c r="O18" s="125">
        <f>IF(P18=0,0,Q18/P18)</f>
        <v>24.585714285714289</v>
      </c>
      <c r="P18" s="119">
        <v>14</v>
      </c>
      <c r="Q18" s="107">
        <v>344.20000000000005</v>
      </c>
    </row>
    <row r="19" spans="1:17" x14ac:dyDescent="0.4">
      <c r="A19" s="55" t="s">
        <v>11</v>
      </c>
      <c r="B19" s="47">
        <v>189</v>
      </c>
      <c r="C19" s="39">
        <f>IF(B$17=0,0,B19/B$17)</f>
        <v>0.58695652173913049</v>
      </c>
      <c r="E19" s="63" t="s">
        <v>92</v>
      </c>
      <c r="F19" s="60" t="s">
        <v>47</v>
      </c>
      <c r="G19" s="47">
        <v>4</v>
      </c>
      <c r="H19" s="133">
        <f>IF(B$17=0,0,G19/B$17)</f>
        <v>1.2422360248447204E-2</v>
      </c>
      <c r="I19" s="94">
        <v>5</v>
      </c>
      <c r="K19" s="38">
        <v>17</v>
      </c>
      <c r="L19" s="99">
        <v>427.40000000000003</v>
      </c>
      <c r="N19" s="115" t="s">
        <v>173</v>
      </c>
      <c r="O19" s="125">
        <f>IF(P19=0,0,Q19/P19)</f>
        <v>22.754999999999999</v>
      </c>
      <c r="P19" s="119">
        <v>20</v>
      </c>
      <c r="Q19" s="107">
        <v>455.09999999999997</v>
      </c>
    </row>
    <row r="20" spans="1:17" x14ac:dyDescent="0.4">
      <c r="A20" s="55" t="s">
        <v>13</v>
      </c>
      <c r="B20" s="47">
        <v>140</v>
      </c>
      <c r="C20" s="39">
        <f>IF(B$3=0,0,B20/B$3)</f>
        <v>0.15200868621064062</v>
      </c>
      <c r="E20" s="63" t="s">
        <v>74</v>
      </c>
      <c r="F20" s="60" t="s">
        <v>29</v>
      </c>
      <c r="G20" s="47">
        <v>2</v>
      </c>
      <c r="H20" s="133">
        <f>IF(B$17=0,0,G20/B$17)</f>
        <v>6.2111801242236021E-3</v>
      </c>
      <c r="I20" s="94">
        <v>4</v>
      </c>
      <c r="K20" s="38">
        <v>18</v>
      </c>
      <c r="L20" s="99">
        <v>429.3</v>
      </c>
      <c r="N20" s="115" t="s">
        <v>172</v>
      </c>
      <c r="O20" s="125">
        <f>IF(P20=0,0,Q20/P20)</f>
        <v>21.879310344827591</v>
      </c>
      <c r="P20" s="119">
        <v>29</v>
      </c>
      <c r="Q20" s="107">
        <v>634.50000000000011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76</v>
      </c>
      <c r="F21" s="60" t="s">
        <v>31</v>
      </c>
      <c r="G21" s="47">
        <v>1</v>
      </c>
      <c r="H21" s="133">
        <f>IF(B$17=0,0,G21/B$17)</f>
        <v>3.105590062111801E-3</v>
      </c>
      <c r="I21" s="94">
        <v>7</v>
      </c>
      <c r="K21" s="38">
        <v>19</v>
      </c>
      <c r="L21" s="99">
        <v>405.40000000000003</v>
      </c>
      <c r="N21" s="115" t="s">
        <v>128</v>
      </c>
      <c r="O21" s="125">
        <f>IF(P21=0,0,Q21/P21)</f>
        <v>16.614102564102566</v>
      </c>
      <c r="P21" s="119">
        <v>78</v>
      </c>
      <c r="Q21" s="107">
        <v>1295.9000000000001</v>
      </c>
    </row>
    <row r="22" spans="1:17" x14ac:dyDescent="0.4">
      <c r="A22" s="55" t="s">
        <v>194</v>
      </c>
      <c r="B22" s="47">
        <v>39</v>
      </c>
      <c r="C22" s="135">
        <v>4</v>
      </c>
      <c r="E22" s="63" t="s">
        <v>78</v>
      </c>
      <c r="F22" s="60" t="s">
        <v>33</v>
      </c>
      <c r="G22" s="47">
        <v>1</v>
      </c>
      <c r="H22" s="133">
        <f>IF(B$17=0,0,G22/B$17)</f>
        <v>3.105590062111801E-3</v>
      </c>
      <c r="I22" s="94">
        <v>3</v>
      </c>
      <c r="K22" s="38">
        <v>20</v>
      </c>
      <c r="L22" s="99">
        <v>469.6</v>
      </c>
      <c r="N22" s="115" t="s">
        <v>186</v>
      </c>
      <c r="O22" s="125">
        <f>IF(P22=0,0,Q22/P22)</f>
        <v>15.424999999999994</v>
      </c>
      <c r="P22" s="119">
        <v>8</v>
      </c>
      <c r="Q22" s="107">
        <v>123.39999999999995</v>
      </c>
    </row>
    <row r="23" spans="1:17" x14ac:dyDescent="0.4">
      <c r="A23" s="55" t="s">
        <v>5</v>
      </c>
      <c r="B23" s="51">
        <f>IF(B$17=0,0,C23/B$17)</f>
        <v>9056.8322981366455</v>
      </c>
      <c r="C23" s="41">
        <v>2916300</v>
      </c>
      <c r="E23" s="63" t="s">
        <v>86</v>
      </c>
      <c r="F23" s="60" t="s">
        <v>41</v>
      </c>
      <c r="G23" s="47">
        <v>1</v>
      </c>
      <c r="H23" s="133">
        <f>IF(B$17=0,0,G23/B$17)</f>
        <v>3.105590062111801E-3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-1.1200000000000032</v>
      </c>
      <c r="P23" s="119">
        <v>40</v>
      </c>
      <c r="Q23" s="107">
        <v>-44.800000000000125</v>
      </c>
    </row>
    <row r="24" spans="1:17" x14ac:dyDescent="0.4">
      <c r="A24" s="57" t="s">
        <v>14</v>
      </c>
      <c r="B24" s="52">
        <f>IF(B$20=0,0,C24/B$20)</f>
        <v>-8390</v>
      </c>
      <c r="C24" s="45">
        <v>-1174600</v>
      </c>
      <c r="E24" s="63" t="s">
        <v>88</v>
      </c>
      <c r="F24" s="60" t="s">
        <v>43</v>
      </c>
      <c r="G24" s="47">
        <v>1</v>
      </c>
      <c r="H24" s="133">
        <f>IF(B$17=0,0,G24/B$17)</f>
        <v>3.105590062111801E-3</v>
      </c>
      <c r="I24" s="94">
        <v>4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91</v>
      </c>
      <c r="F25" s="60" t="s">
        <v>46</v>
      </c>
      <c r="G25" s="47">
        <v>1</v>
      </c>
      <c r="H25" s="133">
        <f>IF(B$17=0,0,G25/B$17)</f>
        <v>3.105590062111801E-3</v>
      </c>
      <c r="I25" s="94">
        <v>1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3.105590062111801E-3</v>
      </c>
      <c r="I26" s="94">
        <v>5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1.0857763300760044E-3</v>
      </c>
      <c r="E27" s="63" t="s">
        <v>94</v>
      </c>
      <c r="F27" s="60" t="s">
        <v>49</v>
      </c>
      <c r="G27" s="47">
        <v>1</v>
      </c>
      <c r="H27" s="133">
        <f>IF(B$17=0,0,G27/B$17)</f>
        <v>3.105590062111801E-3</v>
      </c>
      <c r="I27" s="94">
        <v>5</v>
      </c>
      <c r="K27" s="38">
        <v>25</v>
      </c>
      <c r="L27" s="99">
        <v>655.20000000000005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3.105590062111801E-3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75</v>
      </c>
      <c r="F29" s="60" t="s">
        <v>30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596.30000000000007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655.6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85</v>
      </c>
      <c r="F33" s="60" t="s">
        <v>40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3229C-86BC-409E-B52A-E3FFDF9F9A2C}">
  <sheetPr codeName="Sheet9"/>
  <dimension ref="A1:Q11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114</v>
      </c>
      <c r="C2" s="147"/>
      <c r="E2" s="62" t="s">
        <v>67</v>
      </c>
      <c r="F2" s="59" t="s">
        <v>23</v>
      </c>
      <c r="G2" s="46">
        <v>197</v>
      </c>
      <c r="H2" s="132">
        <f>IF(B$17=0,0,G2/B$17)</f>
        <v>0.76356589147286824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518.42105263157896</v>
      </c>
      <c r="P2" s="118">
        <v>114</v>
      </c>
      <c r="Q2" s="102">
        <v>59100</v>
      </c>
    </row>
    <row r="3" spans="1:17" x14ac:dyDescent="0.4">
      <c r="A3" s="55" t="s">
        <v>8</v>
      </c>
      <c r="B3" s="148">
        <v>941</v>
      </c>
      <c r="C3" s="149"/>
      <c r="E3" s="63" t="s">
        <v>65</v>
      </c>
      <c r="F3" s="60" t="s">
        <v>21</v>
      </c>
      <c r="G3" s="47">
        <v>156</v>
      </c>
      <c r="H3" s="133">
        <f>IF(B$17=0,0,G3/B$17)</f>
        <v>0.60465116279069764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-2330</v>
      </c>
      <c r="P3" s="119">
        <v>110</v>
      </c>
      <c r="Q3" s="103">
        <v>-256300</v>
      </c>
    </row>
    <row r="4" spans="1:17" x14ac:dyDescent="0.4">
      <c r="A4" s="55" t="s">
        <v>6</v>
      </c>
      <c r="B4" s="150">
        <v>-248.90000000000009</v>
      </c>
      <c r="C4" s="151"/>
      <c r="E4" s="63" t="s">
        <v>73</v>
      </c>
      <c r="F4" s="60" t="s">
        <v>28</v>
      </c>
      <c r="G4" s="47">
        <v>120</v>
      </c>
      <c r="H4" s="133">
        <f>IF(B$17=0,0,G4/B$17)</f>
        <v>0.46511627906976744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118.69158878504673</v>
      </c>
      <c r="P4" s="119">
        <v>107</v>
      </c>
      <c r="Q4" s="103">
        <v>12700</v>
      </c>
    </row>
    <row r="5" spans="1:17" x14ac:dyDescent="0.4">
      <c r="A5" s="55" t="s">
        <v>7</v>
      </c>
      <c r="B5" s="152">
        <f>IF(B$2=0,0,B$4/B$2)</f>
        <v>-2.183333333333334</v>
      </c>
      <c r="C5" s="153"/>
      <c r="E5" s="63" t="s">
        <v>181</v>
      </c>
      <c r="F5" s="60" t="s">
        <v>182</v>
      </c>
      <c r="G5" s="47">
        <v>114</v>
      </c>
      <c r="H5" s="133">
        <f>IF(B$17=0,0,G5/B$17)</f>
        <v>0.44186046511627908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340</v>
      </c>
      <c r="P5" s="119">
        <v>95</v>
      </c>
      <c r="Q5" s="103">
        <v>32300</v>
      </c>
    </row>
    <row r="6" spans="1:17" x14ac:dyDescent="0.4">
      <c r="A6" s="55" t="s">
        <v>1</v>
      </c>
      <c r="B6" s="142">
        <f>IF(B$2=0,0,(B$7*1+B$8*2+B$9*3)/B$2)</f>
        <v>2.0701754385964914</v>
      </c>
      <c r="C6" s="143"/>
      <c r="E6" s="63" t="s">
        <v>68</v>
      </c>
      <c r="F6" s="60" t="s">
        <v>24</v>
      </c>
      <c r="G6" s="47">
        <v>94</v>
      </c>
      <c r="H6" s="133">
        <f>IF(B$17=0,0,G6/B$17)</f>
        <v>0.36434108527131781</v>
      </c>
      <c r="I6" s="94">
        <v>5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31</v>
      </c>
      <c r="C7" s="39">
        <f>IF(B$2=0,0,B7/B$2)</f>
        <v>0.27192982456140352</v>
      </c>
      <c r="E7" s="63" t="s">
        <v>69</v>
      </c>
      <c r="F7" s="60" t="s">
        <v>12</v>
      </c>
      <c r="G7" s="47">
        <v>88</v>
      </c>
      <c r="H7" s="133">
        <f>IF(B$17=0,0,G7/B$17)</f>
        <v>0.34108527131782945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0.38596491228070173</v>
      </c>
      <c r="E8" s="63" t="s">
        <v>70</v>
      </c>
      <c r="F8" s="60" t="s">
        <v>25</v>
      </c>
      <c r="G8" s="47">
        <v>58</v>
      </c>
      <c r="H8" s="133">
        <f>IF(B$17=0,0,G8/B$17)</f>
        <v>0.22480620155038761</v>
      </c>
      <c r="I8" s="94">
        <v>2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0.34210526315789475</v>
      </c>
      <c r="E9" s="63" t="s">
        <v>66</v>
      </c>
      <c r="F9" s="60" t="s">
        <v>22</v>
      </c>
      <c r="G9" s="47">
        <v>41</v>
      </c>
      <c r="H9" s="133">
        <f>IF(B$17=0,0,G9/B$17)</f>
        <v>0.15891472868217055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0.12280701754385964</v>
      </c>
      <c r="E10" s="63" t="s">
        <v>71</v>
      </c>
      <c r="F10" s="60" t="s">
        <v>26</v>
      </c>
      <c r="G10" s="47">
        <v>31</v>
      </c>
      <c r="H10" s="133">
        <f>IF(B$17=0,0,G10/B$17)</f>
        <v>0.12015503875968993</v>
      </c>
      <c r="I10" s="94">
        <v>5</v>
      </c>
      <c r="K10" s="38">
        <v>8</v>
      </c>
      <c r="L10" s="99">
        <v>-49.6</v>
      </c>
      <c r="N10" s="114" t="s">
        <v>164</v>
      </c>
      <c r="O10" s="124">
        <f>IF(P10=0,0,Q10/P10)</f>
        <v>-5.6850000000000014</v>
      </c>
      <c r="P10" s="118">
        <v>60</v>
      </c>
      <c r="Q10" s="106">
        <v>-341.10000000000008</v>
      </c>
    </row>
    <row r="11" spans="1:17" x14ac:dyDescent="0.4">
      <c r="A11" s="56" t="s">
        <v>140</v>
      </c>
      <c r="B11" s="48">
        <v>11</v>
      </c>
      <c r="C11" s="40">
        <f>IF(B$2=0,0,B11/B$2)</f>
        <v>9.6491228070175433E-2</v>
      </c>
      <c r="E11" s="63" t="s">
        <v>90</v>
      </c>
      <c r="F11" s="60" t="s">
        <v>45</v>
      </c>
      <c r="G11" s="47">
        <v>25</v>
      </c>
      <c r="H11" s="133">
        <f>IF(B$17=0,0,G11/B$17)</f>
        <v>9.6899224806201556E-2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7.0175438596491224E-2</v>
      </c>
      <c r="E12" s="63" t="s">
        <v>72</v>
      </c>
      <c r="F12" s="60" t="s">
        <v>27</v>
      </c>
      <c r="G12" s="47">
        <v>14</v>
      </c>
      <c r="H12" s="133">
        <f>IF(B$17=0,0,G12/B$17)</f>
        <v>5.4263565891472867E-2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280</v>
      </c>
      <c r="C13" s="44">
        <f>IF(B$3=0,0,B13/B$3)</f>
        <v>0.29755579171094582</v>
      </c>
      <c r="E13" s="63" t="s">
        <v>87</v>
      </c>
      <c r="F13" s="60" t="s">
        <v>42</v>
      </c>
      <c r="G13" s="47">
        <v>14</v>
      </c>
      <c r="H13" s="133">
        <f>IF(B$17=0,0,G13/B$17)</f>
        <v>5.4263565891472867E-2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171</v>
      </c>
      <c r="C14" s="39">
        <f>IF(B$3=0,0,B14/B$3)</f>
        <v>0.18172157279489903</v>
      </c>
      <c r="E14" s="63" t="s">
        <v>84</v>
      </c>
      <c r="F14" s="60" t="s">
        <v>39</v>
      </c>
      <c r="G14" s="47">
        <v>10</v>
      </c>
      <c r="H14" s="133">
        <f>IF(B$17=0,0,G14/B$17)</f>
        <v>3.875968992248062E-2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165</v>
      </c>
      <c r="C15" s="37">
        <f>IF(B$13=0,0,B15/B$13)</f>
        <v>0.5892857142857143</v>
      </c>
      <c r="E15" s="63" t="s">
        <v>82</v>
      </c>
      <c r="F15" s="60" t="s">
        <v>37</v>
      </c>
      <c r="G15" s="47">
        <v>8</v>
      </c>
      <c r="H15" s="133">
        <f>IF(B$17=0,0,G15/B$17)</f>
        <v>3.1007751937984496E-2</v>
      </c>
      <c r="I15" s="94">
        <v>6</v>
      </c>
      <c r="K15" s="38">
        <v>13</v>
      </c>
      <c r="L15" s="99">
        <v>-81.900000000000006</v>
      </c>
      <c r="N15" s="114" t="s">
        <v>186</v>
      </c>
      <c r="O15" s="124">
        <f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51</v>
      </c>
      <c r="C16" s="37">
        <f>IF(B$14=0,0,B16/B$14)</f>
        <v>0.2982456140350877</v>
      </c>
      <c r="E16" s="63" t="s">
        <v>92</v>
      </c>
      <c r="F16" s="60" t="s">
        <v>47</v>
      </c>
      <c r="G16" s="47">
        <v>6</v>
      </c>
      <c r="H16" s="133">
        <f>IF(B$17=0,0,G16/B$17)</f>
        <v>2.3255813953488372E-2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14.73142857142857</v>
      </c>
      <c r="P16" s="119">
        <v>35</v>
      </c>
      <c r="Q16" s="107">
        <v>515.59999999999991</v>
      </c>
    </row>
    <row r="17" spans="1:17" x14ac:dyDescent="0.4">
      <c r="A17" s="54" t="s">
        <v>10</v>
      </c>
      <c r="B17" s="46">
        <f>B19+B18</f>
        <v>258</v>
      </c>
      <c r="C17" s="37">
        <f>IF(B$3=0,0,B17/B$3)</f>
        <v>0.27417640807651433</v>
      </c>
      <c r="E17" s="63" t="s">
        <v>80</v>
      </c>
      <c r="F17" s="60" t="s">
        <v>35</v>
      </c>
      <c r="G17" s="47">
        <v>5</v>
      </c>
      <c r="H17" s="133">
        <f>IF(B$17=0,0,G17/B$17)</f>
        <v>1.937984496124031E-2</v>
      </c>
      <c r="I17" s="94">
        <v>4</v>
      </c>
      <c r="K17" s="38">
        <v>15</v>
      </c>
      <c r="L17" s="99">
        <v>47.999999999999986</v>
      </c>
      <c r="N17" s="115" t="s">
        <v>173</v>
      </c>
      <c r="O17" s="125">
        <f>IF(P17=0,0,Q17/P17)</f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110</v>
      </c>
      <c r="C18" s="39">
        <f>IF(B$17=0,0,B18/B$17)</f>
        <v>0.4263565891472868</v>
      </c>
      <c r="E18" s="63" t="s">
        <v>180</v>
      </c>
      <c r="F18" s="60" t="s">
        <v>183</v>
      </c>
      <c r="G18" s="47">
        <v>5</v>
      </c>
      <c r="H18" s="133">
        <f>IF(B$17=0,0,G18/B$17)</f>
        <v>1.937984496124031E-2</v>
      </c>
      <c r="I18" s="94">
        <v>2</v>
      </c>
      <c r="K18" s="38">
        <v>16</v>
      </c>
      <c r="L18" s="99">
        <v>41.699999999999989</v>
      </c>
      <c r="N18" s="115" t="s">
        <v>171</v>
      </c>
      <c r="O18" s="125">
        <f>IF(P18=0,0,Q18/P18)</f>
        <v>1.6352941176470646</v>
      </c>
      <c r="P18" s="119">
        <v>34</v>
      </c>
      <c r="Q18" s="107">
        <v>55.600000000000193</v>
      </c>
    </row>
    <row r="19" spans="1:17" x14ac:dyDescent="0.4">
      <c r="A19" s="55" t="s">
        <v>11</v>
      </c>
      <c r="B19" s="47">
        <v>148</v>
      </c>
      <c r="C19" s="39">
        <f>IF(B$17=0,0,B19/B$17)</f>
        <v>0.5736434108527132</v>
      </c>
      <c r="E19" s="63" t="s">
        <v>79</v>
      </c>
      <c r="F19" s="60" t="s">
        <v>34</v>
      </c>
      <c r="G19" s="47">
        <v>4</v>
      </c>
      <c r="H19" s="133">
        <f>IF(B$17=0,0,G19/B$17)</f>
        <v>1.5503875968992248E-2</v>
      </c>
      <c r="I19" s="94">
        <v>9</v>
      </c>
      <c r="K19" s="38">
        <v>17</v>
      </c>
      <c r="L19" s="99">
        <v>94.6</v>
      </c>
      <c r="N19" s="115" t="s">
        <v>172</v>
      </c>
      <c r="O19" s="125">
        <f>IF(P19=0,0,Q19/P19)</f>
        <v>1.070000000000001</v>
      </c>
      <c r="P19" s="119">
        <v>30</v>
      </c>
      <c r="Q19" s="107">
        <v>32.10000000000003</v>
      </c>
    </row>
    <row r="20" spans="1:17" x14ac:dyDescent="0.4">
      <c r="A20" s="55" t="s">
        <v>13</v>
      </c>
      <c r="B20" s="47">
        <v>160</v>
      </c>
      <c r="C20" s="39">
        <f>IF(B$3=0,0,B20/B$3)</f>
        <v>0.17003188097768332</v>
      </c>
      <c r="E20" s="63" t="s">
        <v>74</v>
      </c>
      <c r="F20" s="60" t="s">
        <v>29</v>
      </c>
      <c r="G20" s="47">
        <v>2</v>
      </c>
      <c r="H20" s="133">
        <f>IF(B$17=0,0,G20/B$17)</f>
        <v>7.7519379844961239E-3</v>
      </c>
      <c r="I20" s="94">
        <v>3</v>
      </c>
      <c r="K20" s="38">
        <v>18</v>
      </c>
      <c r="L20" s="99">
        <v>116.69999999999999</v>
      </c>
      <c r="N20" s="115" t="s">
        <v>202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2</v>
      </c>
      <c r="E21" s="63" t="s">
        <v>75</v>
      </c>
      <c r="F21" s="60" t="s">
        <v>30</v>
      </c>
      <c r="G21" s="47">
        <v>2</v>
      </c>
      <c r="H21" s="133">
        <f>IF(B$17=0,0,G21/B$17)</f>
        <v>7.7519379844961239E-3</v>
      </c>
      <c r="I21" s="94">
        <v>3</v>
      </c>
      <c r="K21" s="38">
        <v>19</v>
      </c>
      <c r="L21" s="99">
        <v>138.79999999999998</v>
      </c>
      <c r="N21" s="115" t="s">
        <v>177</v>
      </c>
      <c r="O21" s="125">
        <f>IF(P21=0,0,Q21/P21)</f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11</v>
      </c>
      <c r="E22" s="63" t="s">
        <v>76</v>
      </c>
      <c r="F22" s="60" t="s">
        <v>31</v>
      </c>
      <c r="G22" s="47">
        <v>2</v>
      </c>
      <c r="H22" s="133">
        <f>IF(B$17=0,0,G22/B$17)</f>
        <v>7.7519379844961239E-3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-16.614102564102566</v>
      </c>
      <c r="P22" s="119">
        <v>78</v>
      </c>
      <c r="Q22" s="107">
        <v>-1295.9000000000001</v>
      </c>
    </row>
    <row r="23" spans="1:17" x14ac:dyDescent="0.4">
      <c r="A23" s="55" t="s">
        <v>5</v>
      </c>
      <c r="B23" s="51">
        <f>IF(B$17=0,0,C23/B$17)</f>
        <v>9304.2635658914733</v>
      </c>
      <c r="C23" s="41">
        <v>2400500</v>
      </c>
      <c r="E23" s="63" t="s">
        <v>78</v>
      </c>
      <c r="F23" s="60" t="s">
        <v>33</v>
      </c>
      <c r="G23" s="47">
        <v>1</v>
      </c>
      <c r="H23" s="133">
        <f>IF(B$17=0,0,G23/B$17)</f>
        <v>3.875968992248062E-3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-7563.125</v>
      </c>
      <c r="C24" s="45">
        <v>-1210100</v>
      </c>
      <c r="E24" s="63" t="s">
        <v>85</v>
      </c>
      <c r="F24" s="60" t="s">
        <v>40</v>
      </c>
      <c r="G24" s="47">
        <v>1</v>
      </c>
      <c r="H24" s="133">
        <f>IF(B$17=0,0,G24/B$17)</f>
        <v>3.875968992248062E-3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3.875968992248062E-3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3.875968992248062E-3</v>
      </c>
      <c r="I26" s="94">
        <v>4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5.3134962805526037E-3</v>
      </c>
      <c r="E27" s="63" t="s">
        <v>94</v>
      </c>
      <c r="F27" s="60" t="s">
        <v>49</v>
      </c>
      <c r="G27" s="47">
        <v>1</v>
      </c>
      <c r="H27" s="133">
        <f>IF(B$17=0,0,G27/B$17)</f>
        <v>3.875968992248062E-3</v>
      </c>
      <c r="I27" s="94">
        <v>4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3.875968992248062E-3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6C3F7-AD8A-49EF-930C-3B88A1E3B7DD}">
  <sheetPr codeName="Sheet11"/>
  <dimension ref="A1:Q6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61</v>
      </c>
      <c r="C2" s="147"/>
      <c r="E2" s="62" t="s">
        <v>67</v>
      </c>
      <c r="F2" s="59" t="s">
        <v>23</v>
      </c>
      <c r="G2" s="46">
        <v>103</v>
      </c>
      <c r="H2" s="132">
        <f>IF(B$17=0,0,G2/B$17)</f>
        <v>0.90350877192982459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-2593.4426229508199</v>
      </c>
      <c r="P2" s="118">
        <v>61</v>
      </c>
      <c r="Q2" s="102">
        <v>-158200</v>
      </c>
    </row>
    <row r="3" spans="1:17" x14ac:dyDescent="0.4">
      <c r="A3" s="55" t="s">
        <v>8</v>
      </c>
      <c r="B3" s="148">
        <v>498</v>
      </c>
      <c r="C3" s="149"/>
      <c r="E3" s="63" t="s">
        <v>65</v>
      </c>
      <c r="F3" s="60" t="s">
        <v>21</v>
      </c>
      <c r="G3" s="47">
        <v>65</v>
      </c>
      <c r="H3" s="133">
        <f>IF(B$17=0,0,G3/B$17)</f>
        <v>0.57017543859649122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-1111.8644067796611</v>
      </c>
      <c r="P3" s="119">
        <v>59</v>
      </c>
      <c r="Q3" s="103">
        <v>-65600</v>
      </c>
    </row>
    <row r="4" spans="1:17" x14ac:dyDescent="0.4">
      <c r="A4" s="55" t="s">
        <v>6</v>
      </c>
      <c r="B4" s="150">
        <v>-924.1999999999997</v>
      </c>
      <c r="C4" s="151"/>
      <c r="E4" s="63" t="s">
        <v>69</v>
      </c>
      <c r="F4" s="60" t="s">
        <v>12</v>
      </c>
      <c r="G4" s="47">
        <v>48</v>
      </c>
      <c r="H4" s="133">
        <f>IF(B$17=0,0,G4/B$17)</f>
        <v>0.42105263157894735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-1116.3636363636363</v>
      </c>
      <c r="P4" s="119">
        <v>55</v>
      </c>
      <c r="Q4" s="103">
        <v>-61400</v>
      </c>
    </row>
    <row r="5" spans="1:17" x14ac:dyDescent="0.4">
      <c r="A5" s="55" t="s">
        <v>7</v>
      </c>
      <c r="B5" s="152">
        <f>IF(B$2=0,0,B$4/B$2)</f>
        <v>-15.150819672131142</v>
      </c>
      <c r="C5" s="153"/>
      <c r="E5" s="63" t="s">
        <v>181</v>
      </c>
      <c r="F5" s="60" t="s">
        <v>182</v>
      </c>
      <c r="G5" s="47">
        <v>43</v>
      </c>
      <c r="H5" s="133">
        <f>IF(B$17=0,0,G5/B$17)</f>
        <v>0.37719298245614036</v>
      </c>
      <c r="I5" s="94">
        <v>7</v>
      </c>
      <c r="K5" s="38">
        <v>3</v>
      </c>
      <c r="L5" s="99">
        <v>-23.099999999999998</v>
      </c>
      <c r="N5" s="115" t="s">
        <v>135</v>
      </c>
      <c r="O5" s="122">
        <f t="shared" si="0"/>
        <v>-5212.7659574468089</v>
      </c>
      <c r="P5" s="119">
        <v>47</v>
      </c>
      <c r="Q5" s="103">
        <v>-245000</v>
      </c>
    </row>
    <row r="6" spans="1:17" x14ac:dyDescent="0.4">
      <c r="A6" s="55" t="s">
        <v>1</v>
      </c>
      <c r="B6" s="142">
        <f>IF(B$2=0,0,(B$7*1+B$8*2+B$9*3)/B$2)</f>
        <v>2.2295081967213113</v>
      </c>
      <c r="C6" s="143"/>
      <c r="E6" s="63" t="s">
        <v>68</v>
      </c>
      <c r="F6" s="60" t="s">
        <v>24</v>
      </c>
      <c r="G6" s="47">
        <v>41</v>
      </c>
      <c r="H6" s="133">
        <f>IF(B$17=0,0,G6/B$17)</f>
        <v>0.35964912280701755</v>
      </c>
      <c r="I6" s="94">
        <v>6</v>
      </c>
      <c r="K6" s="38">
        <v>4</v>
      </c>
      <c r="L6" s="99">
        <v>-31.4</v>
      </c>
      <c r="N6" s="115" t="s">
        <v>136</v>
      </c>
      <c r="O6" s="122">
        <f t="shared" si="0"/>
        <v>-956.09756097560978</v>
      </c>
      <c r="P6" s="119">
        <v>41</v>
      </c>
      <c r="Q6" s="103">
        <v>-39200</v>
      </c>
    </row>
    <row r="7" spans="1:17" x14ac:dyDescent="0.4">
      <c r="A7" s="55" t="s">
        <v>2</v>
      </c>
      <c r="B7" s="47">
        <v>15</v>
      </c>
      <c r="C7" s="39">
        <f>IF(B$2=0,0,B7/B$2)</f>
        <v>0.24590163934426229</v>
      </c>
      <c r="E7" s="63" t="s">
        <v>73</v>
      </c>
      <c r="F7" s="60" t="s">
        <v>28</v>
      </c>
      <c r="G7" s="47">
        <v>40</v>
      </c>
      <c r="H7" s="133">
        <f>IF(B$17=0,0,G7/B$17)</f>
        <v>0.35087719298245612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-1786.8421052631579</v>
      </c>
      <c r="P7" s="120">
        <v>38</v>
      </c>
      <c r="Q7" s="104">
        <v>-67900</v>
      </c>
    </row>
    <row r="8" spans="1:17" x14ac:dyDescent="0.4">
      <c r="A8" s="55" t="s">
        <v>3</v>
      </c>
      <c r="B8" s="47">
        <v>17</v>
      </c>
      <c r="C8" s="39">
        <f>IF(B$2=0,0,B8/B$2)</f>
        <v>0.27868852459016391</v>
      </c>
      <c r="E8" s="63" t="s">
        <v>70</v>
      </c>
      <c r="F8" s="60" t="s">
        <v>25</v>
      </c>
      <c r="G8" s="47">
        <v>25</v>
      </c>
      <c r="H8" s="133">
        <f>IF(B$17=0,0,G8/B$17)</f>
        <v>0.21929824561403508</v>
      </c>
      <c r="I8" s="94">
        <v>3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29</v>
      </c>
      <c r="C9" s="40">
        <f t="shared" ref="C9" si="1">IF(B$2=0,0,B9/B$2)</f>
        <v>0.47540983606557374</v>
      </c>
      <c r="E9" s="63" t="s">
        <v>71</v>
      </c>
      <c r="F9" s="60" t="s">
        <v>26</v>
      </c>
      <c r="G9" s="47">
        <v>18</v>
      </c>
      <c r="H9" s="133">
        <f>IF(B$17=0,0,G9/B$17)</f>
        <v>0.15789473684210525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0.19672131147540983</v>
      </c>
      <c r="E10" s="63" t="s">
        <v>72</v>
      </c>
      <c r="F10" s="60" t="s">
        <v>27</v>
      </c>
      <c r="G10" s="47">
        <v>12</v>
      </c>
      <c r="H10" s="133">
        <f>IF(B$17=0,0,G10/B$17)</f>
        <v>0.10526315789473684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-16.227777777777774</v>
      </c>
      <c r="P10" s="118">
        <v>18</v>
      </c>
      <c r="Q10" s="106">
        <v>-292.09999999999997</v>
      </c>
    </row>
    <row r="11" spans="1:17" x14ac:dyDescent="0.4">
      <c r="A11" s="56" t="s">
        <v>140</v>
      </c>
      <c r="B11" s="48">
        <v>7</v>
      </c>
      <c r="C11" s="40">
        <f>IF(B$2=0,0,B11/B$2)</f>
        <v>0.11475409836065574</v>
      </c>
      <c r="E11" s="63" t="s">
        <v>90</v>
      </c>
      <c r="F11" s="60" t="s">
        <v>45</v>
      </c>
      <c r="G11" s="47">
        <v>10</v>
      </c>
      <c r="H11" s="133">
        <f>IF(B$17=0,0,G11/B$17)</f>
        <v>8.771929824561403E-2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-12.088000000000005</v>
      </c>
      <c r="P11" s="119">
        <v>25</v>
      </c>
      <c r="Q11" s="107">
        <v>-302.2000000000001</v>
      </c>
    </row>
    <row r="12" spans="1:17" x14ac:dyDescent="0.4">
      <c r="A12" s="57" t="s">
        <v>160</v>
      </c>
      <c r="B12" s="49">
        <v>5</v>
      </c>
      <c r="C12" s="42">
        <f>IF(B$2=0,0,B12/B$2)</f>
        <v>8.1967213114754092E-2</v>
      </c>
      <c r="E12" s="63" t="s">
        <v>87</v>
      </c>
      <c r="F12" s="60" t="s">
        <v>42</v>
      </c>
      <c r="G12" s="47">
        <v>9</v>
      </c>
      <c r="H12" s="133">
        <f>IF(B$17=0,0,G12/B$17)</f>
        <v>7.8947368421052627E-2</v>
      </c>
      <c r="I12" s="94">
        <v>4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132</v>
      </c>
      <c r="C13" s="44">
        <f>IF(B$3=0,0,B13/B$3)</f>
        <v>0.26506024096385544</v>
      </c>
      <c r="E13" s="63" t="s">
        <v>66</v>
      </c>
      <c r="F13" s="60" t="s">
        <v>22</v>
      </c>
      <c r="G13" s="47">
        <v>8</v>
      </c>
      <c r="H13" s="133">
        <f>IF(B$17=0,0,G13/B$17)</f>
        <v>7.0175438596491224E-2</v>
      </c>
      <c r="I13" s="94">
        <v>7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81</v>
      </c>
      <c r="C14" s="39">
        <f>IF(B$3=0,0,B14/B$3)</f>
        <v>0.16265060240963855</v>
      </c>
      <c r="E14" s="63" t="s">
        <v>84</v>
      </c>
      <c r="F14" s="60" t="s">
        <v>39</v>
      </c>
      <c r="G14" s="47">
        <v>5</v>
      </c>
      <c r="H14" s="133">
        <f>IF(B$17=0,0,G14/B$17)</f>
        <v>4.3859649122807015E-2</v>
      </c>
      <c r="I14" s="94">
        <v>7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68</v>
      </c>
      <c r="C15" s="37">
        <f>IF(B$13=0,0,B15/B$13)</f>
        <v>0.51515151515151514</v>
      </c>
      <c r="E15" s="63" t="s">
        <v>79</v>
      </c>
      <c r="F15" s="60" t="s">
        <v>34</v>
      </c>
      <c r="G15" s="47">
        <v>4</v>
      </c>
      <c r="H15" s="133">
        <f>IF(B$17=0,0,G15/B$17)</f>
        <v>3.5087719298245612E-2</v>
      </c>
      <c r="I15" s="94">
        <v>4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19</v>
      </c>
      <c r="C16" s="37">
        <f>IF(B$14=0,0,B16/B$14)</f>
        <v>0.23456790123456789</v>
      </c>
      <c r="E16" s="63" t="s">
        <v>75</v>
      </c>
      <c r="F16" s="60" t="s">
        <v>30</v>
      </c>
      <c r="G16" s="47">
        <v>2</v>
      </c>
      <c r="H16" s="133">
        <f>IF(B$17=0,0,G16/B$17)</f>
        <v>1.7543859649122806E-2</v>
      </c>
      <c r="I16" s="94">
        <v>1</v>
      </c>
      <c r="K16" s="38">
        <v>14</v>
      </c>
      <c r="L16" s="99">
        <v>-394.6</v>
      </c>
      <c r="N16" s="115" t="s">
        <v>177</v>
      </c>
      <c r="O16" s="125">
        <f>IF(P16=0,0,Q16/P16)</f>
        <v>3.3454545454545457</v>
      </c>
      <c r="P16" s="119">
        <v>11</v>
      </c>
      <c r="Q16" s="107">
        <v>36.800000000000004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0.2289156626506024</v>
      </c>
      <c r="E17" s="63" t="s">
        <v>82</v>
      </c>
      <c r="F17" s="60" t="s">
        <v>37</v>
      </c>
      <c r="G17" s="47">
        <v>2</v>
      </c>
      <c r="H17" s="133">
        <f>IF(B$17=0,0,G17/B$17)</f>
        <v>1.7543859649122806E-2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-14.731428571428566</v>
      </c>
      <c r="P17" s="119">
        <v>35</v>
      </c>
      <c r="Q17" s="107">
        <v>-515.5999999999998</v>
      </c>
    </row>
    <row r="18" spans="1:17" x14ac:dyDescent="0.4">
      <c r="A18" s="55" t="s">
        <v>12</v>
      </c>
      <c r="B18" s="47">
        <v>56</v>
      </c>
      <c r="C18" s="39">
        <f>IF(B$17=0,0,B18/B$17)</f>
        <v>0.49122807017543857</v>
      </c>
      <c r="E18" s="63" t="s">
        <v>94</v>
      </c>
      <c r="F18" s="60" t="s">
        <v>49</v>
      </c>
      <c r="G18" s="47">
        <v>2</v>
      </c>
      <c r="H18" s="133">
        <f>IF(B$17=0,0,G18/B$17)</f>
        <v>1.7543859649122806E-2</v>
      </c>
      <c r="I18" s="94">
        <v>1</v>
      </c>
      <c r="K18" s="38">
        <v>16</v>
      </c>
      <c r="L18" s="99">
        <v>-472</v>
      </c>
      <c r="N18" s="115" t="s">
        <v>171</v>
      </c>
      <c r="O18" s="125">
        <f>IF(P18=0,0,Q18/P18)</f>
        <v>-21.305555555555557</v>
      </c>
      <c r="P18" s="119">
        <v>18</v>
      </c>
      <c r="Q18" s="107">
        <v>-383.5</v>
      </c>
    </row>
    <row r="19" spans="1:17" x14ac:dyDescent="0.4">
      <c r="A19" s="55" t="s">
        <v>11</v>
      </c>
      <c r="B19" s="47">
        <v>58</v>
      </c>
      <c r="C19" s="39">
        <f>IF(B$17=0,0,B19/B$17)</f>
        <v>0.50877192982456143</v>
      </c>
      <c r="E19" s="63" t="s">
        <v>78</v>
      </c>
      <c r="F19" s="60" t="s">
        <v>33</v>
      </c>
      <c r="G19" s="47">
        <v>1</v>
      </c>
      <c r="H19" s="133">
        <f>IF(B$17=0,0,G19/B$17)</f>
        <v>8.771929824561403E-3</v>
      </c>
      <c r="I19" s="94">
        <v>1</v>
      </c>
      <c r="K19" s="38">
        <v>17</v>
      </c>
      <c r="L19" s="99">
        <v>-538.29999999999995</v>
      </c>
      <c r="N19" s="115" t="s">
        <v>173</v>
      </c>
      <c r="O19" s="125">
        <f>IF(P19=0,0,Q19/P19)</f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96</v>
      </c>
      <c r="C20" s="39">
        <f>IF(B$3=0,0,B20/B$3)</f>
        <v>0.19277108433734941</v>
      </c>
      <c r="E20" s="63" t="s">
        <v>80</v>
      </c>
      <c r="F20" s="60" t="s">
        <v>35</v>
      </c>
      <c r="G20" s="47">
        <v>1</v>
      </c>
      <c r="H20" s="133">
        <f>IF(B$17=0,0,G20/B$17)</f>
        <v>8.771929824561403E-3</v>
      </c>
      <c r="I20" s="94">
        <v>9</v>
      </c>
      <c r="K20" s="38">
        <v>18</v>
      </c>
      <c r="L20" s="99">
        <v>-537.19999999999993</v>
      </c>
      <c r="N20" s="115" t="s">
        <v>127</v>
      </c>
      <c r="O20" s="125">
        <f>IF(P20=0,0,Q20/P20)</f>
        <v>-33.517142857142865</v>
      </c>
      <c r="P20" s="119">
        <v>35</v>
      </c>
      <c r="Q20" s="107">
        <v>-1173.1000000000004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88</v>
      </c>
      <c r="F21" s="60" t="s">
        <v>43</v>
      </c>
      <c r="G21" s="47">
        <v>1</v>
      </c>
      <c r="H21" s="133">
        <f>IF(B$17=0,0,G21/B$17)</f>
        <v>8.771929824561403E-3</v>
      </c>
      <c r="I21" s="94">
        <v>1</v>
      </c>
      <c r="K21" s="38">
        <v>19</v>
      </c>
      <c r="L21" s="99">
        <v>-569.49999999999989</v>
      </c>
      <c r="N21" s="115" t="s">
        <v>172</v>
      </c>
      <c r="O21" s="125">
        <f>IF(P21=0,0,Q21/P21)</f>
        <v>-44.441666666666656</v>
      </c>
      <c r="P21" s="119">
        <v>12</v>
      </c>
      <c r="Q21" s="107">
        <v>-533.29999999999984</v>
      </c>
    </row>
    <row r="22" spans="1:17" x14ac:dyDescent="0.4">
      <c r="A22" s="55" t="s">
        <v>194</v>
      </c>
      <c r="B22" s="47">
        <v>31</v>
      </c>
      <c r="C22" s="135">
        <v>3</v>
      </c>
      <c r="E22" s="63" t="s">
        <v>89</v>
      </c>
      <c r="F22" s="60" t="s">
        <v>44</v>
      </c>
      <c r="G22" s="47">
        <v>1</v>
      </c>
      <c r="H22" s="133">
        <f>IF(B$17=0,0,G22/B$17)</f>
        <v>8.771929824561403E-3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-54.849999999999994</v>
      </c>
      <c r="P22" s="119">
        <v>2</v>
      </c>
      <c r="Q22" s="107">
        <v>-109.69999999999999</v>
      </c>
    </row>
    <row r="23" spans="1:17" x14ac:dyDescent="0.4">
      <c r="A23" s="55" t="s">
        <v>5</v>
      </c>
      <c r="B23" s="51">
        <f>IF(B$17=0,0,C23/B$17)</f>
        <v>9149.1228070175439</v>
      </c>
      <c r="C23" s="41">
        <v>1043000</v>
      </c>
      <c r="E23" s="63" t="s">
        <v>92</v>
      </c>
      <c r="F23" s="60" t="s">
        <v>47</v>
      </c>
      <c r="G23" s="47">
        <v>1</v>
      </c>
      <c r="H23" s="133">
        <f>IF(B$17=0,0,G23/B$17)</f>
        <v>8.771929824561403E-3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-9593.75</v>
      </c>
      <c r="C24" s="45">
        <v>-921000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2.008032128514056E-3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72FD8-B0FD-4E76-AFE1-ED177855761E}">
  <sheetPr codeName="Sheet13"/>
  <dimension ref="A1:Q7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69</v>
      </c>
      <c r="C2" s="147"/>
      <c r="E2" s="62" t="s">
        <v>67</v>
      </c>
      <c r="F2" s="59" t="s">
        <v>23</v>
      </c>
      <c r="G2" s="46">
        <v>135</v>
      </c>
      <c r="H2" s="132">
        <f>IF(B$17=0,0,G2/B$17)</f>
        <v>0.82317073170731703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-795.6521739130435</v>
      </c>
      <c r="P2" s="118">
        <v>69</v>
      </c>
      <c r="Q2" s="102">
        <v>-54900</v>
      </c>
    </row>
    <row r="3" spans="1:17" x14ac:dyDescent="0.4">
      <c r="A3" s="55" t="s">
        <v>8</v>
      </c>
      <c r="B3" s="148">
        <v>590</v>
      </c>
      <c r="C3" s="149"/>
      <c r="E3" s="63" t="s">
        <v>65</v>
      </c>
      <c r="F3" s="60" t="s">
        <v>21</v>
      </c>
      <c r="G3" s="47">
        <v>91</v>
      </c>
      <c r="H3" s="133">
        <f>IF(B$17=0,0,G3/B$17)</f>
        <v>0.55487804878048785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854.41176470588232</v>
      </c>
      <c r="P3" s="119">
        <v>68</v>
      </c>
      <c r="Q3" s="103">
        <v>58100</v>
      </c>
    </row>
    <row r="4" spans="1:17" x14ac:dyDescent="0.4">
      <c r="A4" s="55" t="s">
        <v>6</v>
      </c>
      <c r="B4" s="150">
        <v>106.19999999999999</v>
      </c>
      <c r="C4" s="151"/>
      <c r="E4" s="63" t="s">
        <v>73</v>
      </c>
      <c r="F4" s="60" t="s">
        <v>28</v>
      </c>
      <c r="G4" s="47">
        <v>81</v>
      </c>
      <c r="H4" s="133">
        <f>IF(B$17=0,0,G4/B$17)</f>
        <v>0.49390243902439024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1390.7692307692307</v>
      </c>
      <c r="P4" s="119">
        <v>65</v>
      </c>
      <c r="Q4" s="103">
        <v>90400</v>
      </c>
    </row>
    <row r="5" spans="1:17" x14ac:dyDescent="0.4">
      <c r="A5" s="55" t="s">
        <v>7</v>
      </c>
      <c r="B5" s="152">
        <f>IF(B$2=0,0,B$4/B$2)</f>
        <v>1.5391304347826085</v>
      </c>
      <c r="C5" s="153"/>
      <c r="E5" s="63" t="s">
        <v>181</v>
      </c>
      <c r="F5" s="60" t="s">
        <v>182</v>
      </c>
      <c r="G5" s="47">
        <v>61</v>
      </c>
      <c r="H5" s="133">
        <f>IF(B$17=0,0,G5/B$17)</f>
        <v>0.37195121951219512</v>
      </c>
      <c r="I5" s="94">
        <v>8</v>
      </c>
      <c r="K5" s="38">
        <v>3</v>
      </c>
      <c r="L5" s="99">
        <v>-60.100000000000009</v>
      </c>
      <c r="N5" s="115" t="s">
        <v>135</v>
      </c>
      <c r="O5" s="122">
        <f t="shared" si="0"/>
        <v>2243.6363636363635</v>
      </c>
      <c r="P5" s="119">
        <v>55</v>
      </c>
      <c r="Q5" s="103">
        <v>123400</v>
      </c>
    </row>
    <row r="6" spans="1:17" x14ac:dyDescent="0.4">
      <c r="A6" s="55" t="s">
        <v>1</v>
      </c>
      <c r="B6" s="142">
        <f>IF(B$2=0,0,(B$7*1+B$8*2+B$9*3)/B$2)</f>
        <v>2.0579710144927534</v>
      </c>
      <c r="C6" s="143"/>
      <c r="E6" s="63" t="s">
        <v>68</v>
      </c>
      <c r="F6" s="60" t="s">
        <v>24</v>
      </c>
      <c r="G6" s="47">
        <v>52</v>
      </c>
      <c r="H6" s="133">
        <f>IF(B$17=0,0,G6/B$17)</f>
        <v>0.31707317073170732</v>
      </c>
      <c r="I6" s="94">
        <v>8</v>
      </c>
      <c r="K6" s="38">
        <v>4</v>
      </c>
      <c r="L6" s="99">
        <v>-11.300000000000011</v>
      </c>
      <c r="N6" s="115" t="s">
        <v>136</v>
      </c>
      <c r="O6" s="122">
        <f t="shared" si="0"/>
        <v>-1202.0408163265306</v>
      </c>
      <c r="P6" s="119">
        <v>49</v>
      </c>
      <c r="Q6" s="103">
        <v>-58900</v>
      </c>
    </row>
    <row r="7" spans="1:17" x14ac:dyDescent="0.4">
      <c r="A7" s="55" t="s">
        <v>2</v>
      </c>
      <c r="B7" s="47">
        <v>20</v>
      </c>
      <c r="C7" s="39">
        <f>IF(B$2=0,0,B7/B$2)</f>
        <v>0.28985507246376813</v>
      </c>
      <c r="E7" s="63" t="s">
        <v>69</v>
      </c>
      <c r="F7" s="60" t="s">
        <v>12</v>
      </c>
      <c r="G7" s="47">
        <v>51</v>
      </c>
      <c r="H7" s="133">
        <f>IF(B$17=0,0,G7/B$17)</f>
        <v>0.31097560975609756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802.22222222222217</v>
      </c>
      <c r="P7" s="120">
        <v>45</v>
      </c>
      <c r="Q7" s="104">
        <v>36100</v>
      </c>
    </row>
    <row r="8" spans="1:17" x14ac:dyDescent="0.4">
      <c r="A8" s="55" t="s">
        <v>3</v>
      </c>
      <c r="B8" s="47">
        <v>25</v>
      </c>
      <c r="C8" s="39">
        <f>IF(B$2=0,0,B8/B$2)</f>
        <v>0.36231884057971014</v>
      </c>
      <c r="E8" s="63" t="s">
        <v>70</v>
      </c>
      <c r="F8" s="60" t="s">
        <v>25</v>
      </c>
      <c r="G8" s="47">
        <v>34</v>
      </c>
      <c r="H8" s="133">
        <f>IF(B$17=0,0,G8/B$17)</f>
        <v>0.2073170731707317</v>
      </c>
      <c r="I8" s="94">
        <v>4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24</v>
      </c>
      <c r="C9" s="40">
        <f t="shared" ref="C9" si="1">IF(B$2=0,0,B9/B$2)</f>
        <v>0.34782608695652173</v>
      </c>
      <c r="E9" s="63" t="s">
        <v>90</v>
      </c>
      <c r="F9" s="60" t="s">
        <v>45</v>
      </c>
      <c r="G9" s="47">
        <v>24</v>
      </c>
      <c r="H9" s="133">
        <f>IF(B$17=0,0,G9/B$17)</f>
        <v>0.14634146341463414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4.3478260869565216E-2</v>
      </c>
      <c r="E10" s="63" t="s">
        <v>66</v>
      </c>
      <c r="F10" s="60" t="s">
        <v>22</v>
      </c>
      <c r="G10" s="47">
        <v>22</v>
      </c>
      <c r="H10" s="133">
        <f>IF(B$17=0,0,G10/B$17)</f>
        <v>0.13414634146341464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7.625</v>
      </c>
      <c r="P10" s="118">
        <v>16</v>
      </c>
      <c r="Q10" s="106">
        <v>122</v>
      </c>
    </row>
    <row r="11" spans="1:17" x14ac:dyDescent="0.4">
      <c r="A11" s="56" t="s">
        <v>140</v>
      </c>
      <c r="B11" s="48">
        <v>9</v>
      </c>
      <c r="C11" s="40">
        <f>IF(B$2=0,0,B11/B$2)</f>
        <v>0.13043478260869565</v>
      </c>
      <c r="E11" s="63" t="s">
        <v>71</v>
      </c>
      <c r="F11" s="60" t="s">
        <v>26</v>
      </c>
      <c r="G11" s="47">
        <v>20</v>
      </c>
      <c r="H11" s="133">
        <f>IF(B$17=0,0,G11/B$17)</f>
        <v>0.12195121951219512</v>
      </c>
      <c r="I11" s="94">
        <v>4</v>
      </c>
      <c r="K11" s="38">
        <v>9</v>
      </c>
      <c r="L11" s="99">
        <v>-5.8000000000000025</v>
      </c>
      <c r="N11" s="115" t="s">
        <v>165</v>
      </c>
      <c r="O11" s="125">
        <f>IF(P11=0,0,Q11/P11)</f>
        <v>-4.9851851851851841</v>
      </c>
      <c r="P11" s="119">
        <v>27</v>
      </c>
      <c r="Q11" s="107">
        <v>-134.59999999999997</v>
      </c>
    </row>
    <row r="12" spans="1:17" x14ac:dyDescent="0.4">
      <c r="A12" s="57" t="s">
        <v>160</v>
      </c>
      <c r="B12" s="49">
        <v>5</v>
      </c>
      <c r="C12" s="42">
        <f>IF(B$2=0,0,B12/B$2)</f>
        <v>7.2463768115942032E-2</v>
      </c>
      <c r="E12" s="63" t="s">
        <v>87</v>
      </c>
      <c r="F12" s="60" t="s">
        <v>42</v>
      </c>
      <c r="G12" s="47">
        <v>13</v>
      </c>
      <c r="H12" s="133">
        <f>IF(B$17=0,0,G12/B$17)</f>
        <v>7.926829268292683E-2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4.569230769230769</v>
      </c>
      <c r="P12" s="120">
        <v>26</v>
      </c>
      <c r="Q12" s="108">
        <v>118.8</v>
      </c>
    </row>
    <row r="13" spans="1:17" x14ac:dyDescent="0.4">
      <c r="A13" s="58" t="s">
        <v>122</v>
      </c>
      <c r="B13" s="50">
        <v>164</v>
      </c>
      <c r="C13" s="44">
        <f>IF(B$3=0,0,B13/B$3)</f>
        <v>0.27796610169491526</v>
      </c>
      <c r="E13" s="63" t="s">
        <v>72</v>
      </c>
      <c r="F13" s="60" t="s">
        <v>27</v>
      </c>
      <c r="G13" s="47">
        <v>11</v>
      </c>
      <c r="H13" s="133">
        <f>IF(B$17=0,0,G13/B$17)</f>
        <v>6.7073170731707321E-2</v>
      </c>
      <c r="I13" s="94">
        <v>5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110</v>
      </c>
      <c r="C14" s="39">
        <f>IF(B$3=0,0,B14/B$3)</f>
        <v>0.1864406779661017</v>
      </c>
      <c r="E14" s="63" t="s">
        <v>79</v>
      </c>
      <c r="F14" s="60" t="s">
        <v>34</v>
      </c>
      <c r="G14" s="47">
        <v>7</v>
      </c>
      <c r="H14" s="133">
        <f>IF(B$17=0,0,G14/B$17)</f>
        <v>4.2682926829268296E-2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96</v>
      </c>
      <c r="C15" s="37">
        <f>IF(B$13=0,0,B15/B$13)</f>
        <v>0.58536585365853655</v>
      </c>
      <c r="E15" s="63" t="s">
        <v>84</v>
      </c>
      <c r="F15" s="60" t="s">
        <v>39</v>
      </c>
      <c r="G15" s="47">
        <v>7</v>
      </c>
      <c r="H15" s="133">
        <f>IF(B$17=0,0,G15/B$17)</f>
        <v>4.2682926829268296E-2</v>
      </c>
      <c r="I15" s="94">
        <v>8</v>
      </c>
      <c r="K15" s="38">
        <v>13</v>
      </c>
      <c r="L15" s="99">
        <v>-58.7</v>
      </c>
      <c r="N15" s="114" t="s">
        <v>186</v>
      </c>
      <c r="O15" s="124">
        <f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44</v>
      </c>
      <c r="C16" s="37">
        <f>IF(B$14=0,0,B16/B$14)</f>
        <v>0.4</v>
      </c>
      <c r="E16" s="63" t="s">
        <v>82</v>
      </c>
      <c r="F16" s="60" t="s">
        <v>37</v>
      </c>
      <c r="G16" s="47">
        <v>6</v>
      </c>
      <c r="H16" s="133">
        <f>IF(B$17=0,0,G16/B$17)</f>
        <v>3.6585365853658534E-2</v>
      </c>
      <c r="I16" s="94">
        <v>2</v>
      </c>
      <c r="K16" s="38">
        <v>14</v>
      </c>
      <c r="L16" s="99">
        <v>-29.400000000000002</v>
      </c>
      <c r="N16" s="115" t="s">
        <v>129</v>
      </c>
      <c r="O16" s="125">
        <f>IF(P16=0,0,Q16/P16)</f>
        <v>21.305555555555554</v>
      </c>
      <c r="P16" s="119">
        <v>18</v>
      </c>
      <c r="Q16" s="107">
        <v>383.49999999999994</v>
      </c>
    </row>
    <row r="17" spans="1:17" x14ac:dyDescent="0.4">
      <c r="A17" s="54" t="s">
        <v>10</v>
      </c>
      <c r="B17" s="46">
        <f>B19+B18</f>
        <v>164</v>
      </c>
      <c r="C17" s="37">
        <f>IF(B$3=0,0,B17/B$3)</f>
        <v>0.27796610169491526</v>
      </c>
      <c r="E17" s="63" t="s">
        <v>76</v>
      </c>
      <c r="F17" s="60" t="s">
        <v>31</v>
      </c>
      <c r="G17" s="47">
        <v>3</v>
      </c>
      <c r="H17" s="133">
        <f>IF(B$17=0,0,G17/B$17)</f>
        <v>1.8292682926829267E-2</v>
      </c>
      <c r="I17" s="94">
        <v>2</v>
      </c>
      <c r="K17" s="38">
        <v>15</v>
      </c>
      <c r="L17" s="99">
        <v>-26.3</v>
      </c>
      <c r="N17" s="115" t="s">
        <v>173</v>
      </c>
      <c r="O17" s="125">
        <f>IF(P17=0,0,Q17/P17)</f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71</v>
      </c>
      <c r="C18" s="39">
        <f>IF(B$17=0,0,B18/B$17)</f>
        <v>0.43292682926829268</v>
      </c>
      <c r="E18" s="63" t="s">
        <v>80</v>
      </c>
      <c r="F18" s="60" t="s">
        <v>35</v>
      </c>
      <c r="G18" s="47">
        <v>3</v>
      </c>
      <c r="H18" s="133">
        <f>IF(B$17=0,0,G18/B$17)</f>
        <v>1.8292682926829267E-2</v>
      </c>
      <c r="I18" s="94">
        <v>5</v>
      </c>
      <c r="K18" s="38">
        <v>16</v>
      </c>
      <c r="L18" s="99">
        <v>-50.3</v>
      </c>
      <c r="N18" s="115" t="s">
        <v>172</v>
      </c>
      <c r="O18" s="125">
        <f>IF(P18=0,0,Q18/P18)</f>
        <v>2.5357142857142851</v>
      </c>
      <c r="P18" s="119">
        <v>14</v>
      </c>
      <c r="Q18" s="107">
        <v>35.499999999999993</v>
      </c>
    </row>
    <row r="19" spans="1:17" x14ac:dyDescent="0.4">
      <c r="A19" s="55" t="s">
        <v>11</v>
      </c>
      <c r="B19" s="47">
        <v>93</v>
      </c>
      <c r="C19" s="39">
        <f>IF(B$17=0,0,B19/B$17)</f>
        <v>0.56707317073170727</v>
      </c>
      <c r="E19" s="63" t="s">
        <v>92</v>
      </c>
      <c r="F19" s="60" t="s">
        <v>47</v>
      </c>
      <c r="G19" s="47">
        <v>3</v>
      </c>
      <c r="H19" s="133">
        <f>IF(B$17=0,0,G19/B$17)</f>
        <v>1.8292682926829267E-2</v>
      </c>
      <c r="I19" s="94">
        <v>3</v>
      </c>
      <c r="K19" s="38">
        <v>17</v>
      </c>
      <c r="L19" s="99">
        <v>-74.3</v>
      </c>
      <c r="N19" s="115" t="s">
        <v>127</v>
      </c>
      <c r="O19" s="125">
        <f>IF(P19=0,0,Q19/P19)</f>
        <v>1.1200000000000052</v>
      </c>
      <c r="P19" s="119">
        <v>40</v>
      </c>
      <c r="Q19" s="107">
        <v>44.80000000000021</v>
      </c>
    </row>
    <row r="20" spans="1:17" x14ac:dyDescent="0.4">
      <c r="A20" s="55" t="s">
        <v>13</v>
      </c>
      <c r="B20" s="47">
        <v>96</v>
      </c>
      <c r="C20" s="39">
        <f>IF(B$3=0,0,B20/B$3)</f>
        <v>0.16271186440677965</v>
      </c>
      <c r="E20" s="63" t="s">
        <v>85</v>
      </c>
      <c r="F20" s="60" t="s">
        <v>40</v>
      </c>
      <c r="G20" s="47">
        <v>2</v>
      </c>
      <c r="H20" s="133">
        <f>IF(B$17=0,0,G20/B$17)</f>
        <v>1.2195121951219513E-2</v>
      </c>
      <c r="I20" s="94">
        <v>1</v>
      </c>
      <c r="K20" s="38">
        <v>18</v>
      </c>
      <c r="L20" s="99">
        <v>-76.099999999999994</v>
      </c>
      <c r="N20" s="115" t="s">
        <v>128</v>
      </c>
      <c r="O20" s="125">
        <f>IF(P20=0,0,Q20/P20)</f>
        <v>-1.6352941176470643</v>
      </c>
      <c r="P20" s="119">
        <v>34</v>
      </c>
      <c r="Q20" s="107">
        <v>-55.600000000000186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93</v>
      </c>
      <c r="F21" s="60" t="s">
        <v>48</v>
      </c>
      <c r="G21" s="47">
        <v>2</v>
      </c>
      <c r="H21" s="133">
        <f>IF(B$17=0,0,G21/B$17)</f>
        <v>1.2195121951219513E-2</v>
      </c>
      <c r="I21" s="94">
        <v>1</v>
      </c>
      <c r="K21" s="38">
        <v>19</v>
      </c>
      <c r="L21" s="99">
        <v>0.60000000000000853</v>
      </c>
      <c r="N21" s="115" t="s">
        <v>202</v>
      </c>
      <c r="O21" s="125">
        <f>IF(P21=0,0,Q21/P21)</f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0</v>
      </c>
      <c r="E22" s="63" t="s">
        <v>180</v>
      </c>
      <c r="F22" s="60" t="s">
        <v>183</v>
      </c>
      <c r="G22" s="47">
        <v>2</v>
      </c>
      <c r="H22" s="133">
        <f>IF(B$17=0,0,G22/B$17)</f>
        <v>1.2195121951219513E-2</v>
      </c>
      <c r="I22" s="94">
        <v>4</v>
      </c>
      <c r="K22" s="38">
        <v>20</v>
      </c>
      <c r="L22" s="99">
        <v>-3.5999999999999917</v>
      </c>
      <c r="N22" s="115" t="s">
        <v>177</v>
      </c>
      <c r="O22" s="125">
        <f>IF(P22=0,0,Q22/P22)</f>
        <v>-26.43</v>
      </c>
      <c r="P22" s="119">
        <v>10</v>
      </c>
      <c r="Q22" s="107">
        <v>-264.3</v>
      </c>
    </row>
    <row r="23" spans="1:17" x14ac:dyDescent="0.4">
      <c r="A23" s="55" t="s">
        <v>5</v>
      </c>
      <c r="B23" s="51">
        <f>IF(B$17=0,0,C23/B$17)</f>
        <v>9756.707317073171</v>
      </c>
      <c r="C23" s="41">
        <v>1600100</v>
      </c>
      <c r="E23" s="63" t="s">
        <v>74</v>
      </c>
      <c r="F23" s="60" t="s">
        <v>29</v>
      </c>
      <c r="G23" s="47">
        <v>1</v>
      </c>
      <c r="H23" s="133">
        <f>IF(B$17=0,0,G23/B$17)</f>
        <v>6.0975609756097563E-3</v>
      </c>
      <c r="I23" s="94">
        <v>6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-7819.791666666667</v>
      </c>
      <c r="C24" s="45">
        <v>-750700</v>
      </c>
      <c r="E24" s="63" t="s">
        <v>88</v>
      </c>
      <c r="F24" s="60" t="s">
        <v>43</v>
      </c>
      <c r="G24" s="47">
        <v>1</v>
      </c>
      <c r="H24" s="133">
        <f>IF(B$17=0,0,G24/B$17)</f>
        <v>6.0975609756097563E-3</v>
      </c>
      <c r="I24" s="94">
        <v>2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1</v>
      </c>
      <c r="H25" s="133">
        <f>IF(B$17=0,0,G25/B$17)</f>
        <v>6.0975609756097563E-3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1.6949152542372881E-3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E659D-4151-451A-AF0C-731FBD3E29FA}">
  <sheetPr codeName="Sheet15"/>
  <dimension ref="A1:Q5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54</v>
      </c>
      <c r="C2" s="147"/>
      <c r="E2" s="62" t="s">
        <v>67</v>
      </c>
      <c r="F2" s="59" t="s">
        <v>23</v>
      </c>
      <c r="G2" s="46">
        <v>118</v>
      </c>
      <c r="H2" s="132">
        <f>IF(B$17=0,0,G2/B$17)</f>
        <v>0.67045454545454541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540.74074074074076</v>
      </c>
      <c r="P2" s="118">
        <v>54</v>
      </c>
      <c r="Q2" s="102">
        <v>29200</v>
      </c>
    </row>
    <row r="3" spans="1:17" x14ac:dyDescent="0.4">
      <c r="A3" s="55" t="s">
        <v>8</v>
      </c>
      <c r="B3" s="148">
        <v>474</v>
      </c>
      <c r="C3" s="149"/>
      <c r="E3" s="63" t="s">
        <v>73</v>
      </c>
      <c r="F3" s="60" t="s">
        <v>28</v>
      </c>
      <c r="G3" s="47">
        <v>102</v>
      </c>
      <c r="H3" s="133">
        <f>IF(B$17=0,0,G3/B$17)</f>
        <v>0.57954545454545459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370.37037037037038</v>
      </c>
      <c r="P3" s="119">
        <v>54</v>
      </c>
      <c r="Q3" s="103">
        <v>20000</v>
      </c>
    </row>
    <row r="4" spans="1:17" x14ac:dyDescent="0.4">
      <c r="A4" s="55" t="s">
        <v>6</v>
      </c>
      <c r="B4" s="150">
        <v>55.599999999999987</v>
      </c>
      <c r="C4" s="151"/>
      <c r="E4" s="63" t="s">
        <v>181</v>
      </c>
      <c r="F4" s="60" t="s">
        <v>182</v>
      </c>
      <c r="G4" s="47">
        <v>73</v>
      </c>
      <c r="H4" s="133">
        <f>IF(B$17=0,0,G4/B$17)</f>
        <v>0.41477272727272729</v>
      </c>
      <c r="I4" s="94">
        <v>4</v>
      </c>
      <c r="K4" s="38">
        <v>2</v>
      </c>
      <c r="L4" s="99">
        <v>-7.7000000000000011</v>
      </c>
      <c r="N4" s="115" t="s">
        <v>134</v>
      </c>
      <c r="O4" s="122">
        <f t="shared" si="0"/>
        <v>-877.55102040816325</v>
      </c>
      <c r="P4" s="119">
        <v>49</v>
      </c>
      <c r="Q4" s="103">
        <v>-43000</v>
      </c>
    </row>
    <row r="5" spans="1:17" x14ac:dyDescent="0.4">
      <c r="A5" s="55" t="s">
        <v>7</v>
      </c>
      <c r="B5" s="152">
        <f>IF(B$2=0,0,B$4/B$2)</f>
        <v>1.0296296296296295</v>
      </c>
      <c r="C5" s="153"/>
      <c r="E5" s="63" t="s">
        <v>65</v>
      </c>
      <c r="F5" s="60" t="s">
        <v>21</v>
      </c>
      <c r="G5" s="47">
        <v>62</v>
      </c>
      <c r="H5" s="133">
        <f>IF(B$17=0,0,G5/B$17)</f>
        <v>0.35227272727272729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184.78260869565219</v>
      </c>
      <c r="P5" s="119">
        <v>46</v>
      </c>
      <c r="Q5" s="103">
        <v>8500</v>
      </c>
    </row>
    <row r="6" spans="1:17" x14ac:dyDescent="0.4">
      <c r="A6" s="55" t="s">
        <v>1</v>
      </c>
      <c r="B6" s="142">
        <f>IF(B$2=0,0,(B$7*1+B$8*2+B$9*3)/B$2)</f>
        <v>2.0370370370370372</v>
      </c>
      <c r="C6" s="143"/>
      <c r="E6" s="63" t="s">
        <v>69</v>
      </c>
      <c r="F6" s="60" t="s">
        <v>12</v>
      </c>
      <c r="G6" s="47">
        <v>48</v>
      </c>
      <c r="H6" s="133">
        <f>IF(B$17=0,0,G6/B$17)</f>
        <v>0.27272727272727271</v>
      </c>
      <c r="I6" s="94">
        <v>10</v>
      </c>
      <c r="K6" s="38">
        <v>4</v>
      </c>
      <c r="L6" s="99">
        <v>34.9</v>
      </c>
      <c r="N6" s="115" t="s">
        <v>136</v>
      </c>
      <c r="O6" s="122">
        <f t="shared" si="0"/>
        <v>1197.7777777777778</v>
      </c>
      <c r="P6" s="119">
        <v>45</v>
      </c>
      <c r="Q6" s="103">
        <v>53900</v>
      </c>
    </row>
    <row r="7" spans="1:17" x14ac:dyDescent="0.4">
      <c r="A7" s="55" t="s">
        <v>2</v>
      </c>
      <c r="B7" s="47">
        <v>15</v>
      </c>
      <c r="C7" s="39">
        <f>IF(B$2=0,0,B7/B$2)</f>
        <v>0.27777777777777779</v>
      </c>
      <c r="E7" s="63" t="s">
        <v>68</v>
      </c>
      <c r="F7" s="60" t="s">
        <v>24</v>
      </c>
      <c r="G7" s="47">
        <v>31</v>
      </c>
      <c r="H7" s="133">
        <f>IF(B$17=0,0,G7/B$17)</f>
        <v>0.17613636363636365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-677.5</v>
      </c>
      <c r="P7" s="120">
        <v>40</v>
      </c>
      <c r="Q7" s="104">
        <v>-27100</v>
      </c>
    </row>
    <row r="8" spans="1:17" x14ac:dyDescent="0.4">
      <c r="A8" s="55" t="s">
        <v>3</v>
      </c>
      <c r="B8" s="47">
        <v>22</v>
      </c>
      <c r="C8" s="39">
        <f>IF(B$2=0,0,B8/B$2)</f>
        <v>0.40740740740740738</v>
      </c>
      <c r="E8" s="63" t="s">
        <v>70</v>
      </c>
      <c r="F8" s="60" t="s">
        <v>25</v>
      </c>
      <c r="G8" s="47">
        <v>25</v>
      </c>
      <c r="H8" s="133">
        <f>IF(B$17=0,0,G8/B$17)</f>
        <v>0.14204545454545456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0.31481481481481483</v>
      </c>
      <c r="E9" s="63" t="s">
        <v>66</v>
      </c>
      <c r="F9" s="60" t="s">
        <v>22</v>
      </c>
      <c r="G9" s="47">
        <v>19</v>
      </c>
      <c r="H9" s="133">
        <f>IF(B$17=0,0,G9/B$17)</f>
        <v>0.10795454545454546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5.5555555555555552E-2</v>
      </c>
      <c r="E10" s="63" t="s">
        <v>72</v>
      </c>
      <c r="F10" s="60" t="s">
        <v>27</v>
      </c>
      <c r="G10" s="47">
        <v>13</v>
      </c>
      <c r="H10" s="133">
        <f>IF(B$17=0,0,G10/B$17)</f>
        <v>7.3863636363636367E-2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-9.6437500000000025</v>
      </c>
      <c r="P10" s="118">
        <v>16</v>
      </c>
      <c r="Q10" s="106">
        <v>-154.30000000000004</v>
      </c>
    </row>
    <row r="11" spans="1:17" x14ac:dyDescent="0.4">
      <c r="A11" s="56" t="s">
        <v>140</v>
      </c>
      <c r="B11" s="48">
        <v>6</v>
      </c>
      <c r="C11" s="40">
        <f>IF(B$2=0,0,B11/B$2)</f>
        <v>0.1111111111111111</v>
      </c>
      <c r="E11" s="63" t="s">
        <v>90</v>
      </c>
      <c r="F11" s="60" t="s">
        <v>45</v>
      </c>
      <c r="G11" s="47">
        <v>12</v>
      </c>
      <c r="H11" s="133">
        <f>IF(B$17=0,0,G11/B$17)</f>
        <v>6.8181818181818177E-2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6.7947368421052632</v>
      </c>
      <c r="P11" s="119">
        <v>19</v>
      </c>
      <c r="Q11" s="107">
        <v>129.1</v>
      </c>
    </row>
    <row r="12" spans="1:17" x14ac:dyDescent="0.4">
      <c r="A12" s="57" t="s">
        <v>160</v>
      </c>
      <c r="B12" s="49">
        <v>2</v>
      </c>
      <c r="C12" s="42">
        <f>IF(B$2=0,0,B12/B$2)</f>
        <v>3.7037037037037035E-2</v>
      </c>
      <c r="E12" s="63" t="s">
        <v>71</v>
      </c>
      <c r="F12" s="60" t="s">
        <v>26</v>
      </c>
      <c r="G12" s="47">
        <v>10</v>
      </c>
      <c r="H12" s="133">
        <f>IF(B$17=0,0,G12/B$17)</f>
        <v>5.6818181818181816E-2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4.2526315789473692</v>
      </c>
      <c r="P12" s="120">
        <v>19</v>
      </c>
      <c r="Q12" s="108">
        <v>80.800000000000011</v>
      </c>
    </row>
    <row r="13" spans="1:17" x14ac:dyDescent="0.4">
      <c r="A13" s="58" t="s">
        <v>122</v>
      </c>
      <c r="B13" s="50">
        <v>105</v>
      </c>
      <c r="C13" s="44">
        <f>IF(B$3=0,0,B13/B$3)</f>
        <v>0.22151898734177214</v>
      </c>
      <c r="E13" s="63" t="s">
        <v>84</v>
      </c>
      <c r="F13" s="60" t="s">
        <v>39</v>
      </c>
      <c r="G13" s="47">
        <v>9</v>
      </c>
      <c r="H13" s="133">
        <f>IF(B$17=0,0,G13/B$17)</f>
        <v>5.113636363636364E-2</v>
      </c>
      <c r="I13" s="94">
        <v>4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140</v>
      </c>
      <c r="C14" s="39">
        <f>IF(B$3=0,0,B14/B$3)</f>
        <v>0.29535864978902954</v>
      </c>
      <c r="E14" s="63" t="s">
        <v>87</v>
      </c>
      <c r="F14" s="60" t="s">
        <v>42</v>
      </c>
      <c r="G14" s="47">
        <v>8</v>
      </c>
      <c r="H14" s="133">
        <f>IF(B$17=0,0,G14/B$17)</f>
        <v>4.5454545454545456E-2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62</v>
      </c>
      <c r="C15" s="37">
        <f>IF(B$13=0,0,B15/B$13)</f>
        <v>0.59047619047619049</v>
      </c>
      <c r="E15" s="63" t="s">
        <v>82</v>
      </c>
      <c r="F15" s="60" t="s">
        <v>37</v>
      </c>
      <c r="G15" s="47">
        <v>5</v>
      </c>
      <c r="H15" s="133">
        <f>IF(B$17=0,0,G15/B$17)</f>
        <v>2.8409090909090908E-2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44.441666666666642</v>
      </c>
      <c r="P15" s="118">
        <v>12</v>
      </c>
      <c r="Q15" s="106">
        <v>533.29999999999973</v>
      </c>
    </row>
    <row r="16" spans="1:17" x14ac:dyDescent="0.4">
      <c r="A16" s="54" t="s">
        <v>125</v>
      </c>
      <c r="B16" s="46">
        <v>61</v>
      </c>
      <c r="C16" s="37">
        <f>IF(B$14=0,0,B16/B$14)</f>
        <v>0.43571428571428572</v>
      </c>
      <c r="E16" s="63" t="s">
        <v>79</v>
      </c>
      <c r="F16" s="60" t="s">
        <v>34</v>
      </c>
      <c r="G16" s="47">
        <v>2</v>
      </c>
      <c r="H16" s="133">
        <f>IF(B$17=0,0,G16/B$17)</f>
        <v>1.1363636363636364E-2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176</v>
      </c>
      <c r="C17" s="37">
        <f>IF(B$3=0,0,B17/B$3)</f>
        <v>0.37130801687763715</v>
      </c>
      <c r="E17" s="63" t="s">
        <v>80</v>
      </c>
      <c r="F17" s="60" t="s">
        <v>35</v>
      </c>
      <c r="G17" s="47">
        <v>2</v>
      </c>
      <c r="H17" s="133">
        <f>IF(B$17=0,0,G17/B$17)</f>
        <v>1.1363636363636364E-2</v>
      </c>
      <c r="I17" s="94">
        <v>8</v>
      </c>
      <c r="K17" s="38">
        <v>15</v>
      </c>
      <c r="L17" s="99">
        <v>-80.3</v>
      </c>
      <c r="N17" s="115" t="s">
        <v>177</v>
      </c>
      <c r="O17" s="125">
        <f>IF(P17=0,0,Q17/P17)</f>
        <v>18.733333333333334</v>
      </c>
      <c r="P17" s="119">
        <v>6</v>
      </c>
      <c r="Q17" s="107">
        <v>112.4</v>
      </c>
    </row>
    <row r="18" spans="1:17" x14ac:dyDescent="0.4">
      <c r="A18" s="55" t="s">
        <v>12</v>
      </c>
      <c r="B18" s="47">
        <v>74</v>
      </c>
      <c r="C18" s="39">
        <f>IF(B$17=0,0,B18/B$17)</f>
        <v>0.42045454545454547</v>
      </c>
      <c r="E18" s="63" t="s">
        <v>92</v>
      </c>
      <c r="F18" s="60" t="s">
        <v>47</v>
      </c>
      <c r="G18" s="47">
        <v>2</v>
      </c>
      <c r="H18" s="133">
        <f>IF(B$17=0,0,G18/B$17)</f>
        <v>1.1363636363636364E-2</v>
      </c>
      <c r="I18" s="94">
        <v>6</v>
      </c>
      <c r="K18" s="38">
        <v>16</v>
      </c>
      <c r="L18" s="99">
        <v>-87.6</v>
      </c>
      <c r="N18" s="115" t="s">
        <v>186</v>
      </c>
      <c r="O18" s="125">
        <f>IF(P18=0,0,Q18/P18)</f>
        <v>17.349999999999998</v>
      </c>
      <c r="P18" s="119">
        <v>2</v>
      </c>
      <c r="Q18" s="107">
        <v>34.699999999999996</v>
      </c>
    </row>
    <row r="19" spans="1:17" x14ac:dyDescent="0.4">
      <c r="A19" s="55" t="s">
        <v>11</v>
      </c>
      <c r="B19" s="47">
        <v>102</v>
      </c>
      <c r="C19" s="39">
        <f>IF(B$17=0,0,B19/B$17)</f>
        <v>0.57954545454545459</v>
      </c>
      <c r="E19" s="63" t="s">
        <v>76</v>
      </c>
      <c r="F19" s="60" t="s">
        <v>31</v>
      </c>
      <c r="G19" s="47">
        <v>1</v>
      </c>
      <c r="H19" s="133">
        <f>IF(B$17=0,0,G19/B$17)</f>
        <v>5.681818181818182E-3</v>
      </c>
      <c r="I19" s="94">
        <v>6</v>
      </c>
      <c r="K19" s="38">
        <v>17</v>
      </c>
      <c r="L19" s="99">
        <v>-55.099999999999994</v>
      </c>
      <c r="N19" s="115" t="s">
        <v>202</v>
      </c>
      <c r="O19" s="125">
        <f>IF(P19=0,0,Q19/P19)</f>
        <v>16.449999999999996</v>
      </c>
      <c r="P19" s="119">
        <v>4</v>
      </c>
      <c r="Q19" s="107">
        <v>65.799999999999983</v>
      </c>
    </row>
    <row r="20" spans="1:17" x14ac:dyDescent="0.4">
      <c r="A20" s="55" t="s">
        <v>13</v>
      </c>
      <c r="B20" s="47">
        <v>63</v>
      </c>
      <c r="C20" s="39">
        <f>IF(B$3=0,0,B20/B$3)</f>
        <v>0.13291139240506328</v>
      </c>
      <c r="E20" s="63" t="s">
        <v>88</v>
      </c>
      <c r="F20" s="60" t="s">
        <v>43</v>
      </c>
      <c r="G20" s="47">
        <v>1</v>
      </c>
      <c r="H20" s="133">
        <f>IF(B$17=0,0,G20/B$17)</f>
        <v>5.681818181818182E-3</v>
      </c>
      <c r="I20" s="94">
        <v>3</v>
      </c>
      <c r="K20" s="38">
        <v>18</v>
      </c>
      <c r="L20" s="99">
        <v>-28.199999999999996</v>
      </c>
      <c r="N20" s="115" t="s">
        <v>173</v>
      </c>
      <c r="O20" s="125">
        <f>IF(P20=0,0,Q20/P20)</f>
        <v>9.2399999999999984</v>
      </c>
      <c r="P20" s="119">
        <v>10</v>
      </c>
      <c r="Q20" s="107">
        <v>92.399999999999977</v>
      </c>
    </row>
    <row r="21" spans="1:17" x14ac:dyDescent="0.4">
      <c r="A21" s="55" t="s">
        <v>193</v>
      </c>
      <c r="B21" s="47">
        <v>10</v>
      </c>
      <c r="C21" s="135">
        <v>2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29.200000000000003</v>
      </c>
      <c r="N21" s="115" t="s">
        <v>128</v>
      </c>
      <c r="O21" s="125">
        <f>IF(P21=0,0,Q21/P21)</f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9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>IF(P22=0,0,Q22/P22)</f>
        <v>-2.5357142857142869</v>
      </c>
      <c r="P22" s="119">
        <v>14</v>
      </c>
      <c r="Q22" s="107">
        <v>-35.500000000000014</v>
      </c>
    </row>
    <row r="23" spans="1:17" x14ac:dyDescent="0.4">
      <c r="A23" s="55" t="s">
        <v>5</v>
      </c>
      <c r="B23" s="51">
        <f>IF(B$17=0,0,C23/B$17)</f>
        <v>6500.568181818182</v>
      </c>
      <c r="C23" s="41">
        <v>1144100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3</v>
      </c>
      <c r="K23" s="38">
        <v>21</v>
      </c>
      <c r="L23" s="99">
        <v>89.9</v>
      </c>
      <c r="N23" s="115" t="s">
        <v>127</v>
      </c>
      <c r="O23" s="125">
        <f>IF(P23=0,0,Q23/P23)</f>
        <v>-21.879310344827591</v>
      </c>
      <c r="P23" s="119">
        <v>29</v>
      </c>
      <c r="Q23" s="107">
        <v>-634.50000000000011</v>
      </c>
    </row>
    <row r="24" spans="1:17" x14ac:dyDescent="0.4">
      <c r="A24" s="57" t="s">
        <v>14</v>
      </c>
      <c r="B24" s="52">
        <f>IF(B$20=0,0,C24/B$20)</f>
        <v>-9374.6031746031749</v>
      </c>
      <c r="C24" s="45">
        <v>-590600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2.1097046413502108E-3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4</v>
      </c>
      <c r="K27" s="38">
        <v>25</v>
      </c>
      <c r="L27" s="99">
        <v>30.400000000000006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709FB-22CD-472F-9D42-8F15D3E41B18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40</v>
      </c>
      <c r="C2" s="147"/>
      <c r="E2" s="62" t="s">
        <v>67</v>
      </c>
      <c r="F2" s="59" t="s">
        <v>23</v>
      </c>
      <c r="G2" s="46">
        <v>73</v>
      </c>
      <c r="H2" s="132">
        <f>IF(B$17=0,0,G2/B$17)</f>
        <v>0.70873786407766992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-2987.5</v>
      </c>
      <c r="P2" s="118">
        <v>40</v>
      </c>
      <c r="Q2" s="102">
        <v>-119500</v>
      </c>
    </row>
    <row r="3" spans="1:17" x14ac:dyDescent="0.4">
      <c r="A3" s="55" t="s">
        <v>8</v>
      </c>
      <c r="B3" s="148">
        <v>347</v>
      </c>
      <c r="C3" s="149"/>
      <c r="E3" s="63" t="s">
        <v>73</v>
      </c>
      <c r="F3" s="60" t="s">
        <v>28</v>
      </c>
      <c r="G3" s="47">
        <v>53</v>
      </c>
      <c r="H3" s="133">
        <f>IF(B$17=0,0,G3/B$17)</f>
        <v>0.5145631067961165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1407.5</v>
      </c>
      <c r="P3" s="119">
        <v>40</v>
      </c>
      <c r="Q3" s="103">
        <v>56300</v>
      </c>
    </row>
    <row r="4" spans="1:17" x14ac:dyDescent="0.4">
      <c r="A4" s="55" t="s">
        <v>6</v>
      </c>
      <c r="B4" s="150">
        <v>-279.89999999999998</v>
      </c>
      <c r="C4" s="151"/>
      <c r="E4" s="63" t="s">
        <v>65</v>
      </c>
      <c r="F4" s="60" t="s">
        <v>21</v>
      </c>
      <c r="G4" s="47">
        <v>47</v>
      </c>
      <c r="H4" s="133">
        <f>IF(B$17=0,0,G4/B$17)</f>
        <v>0.4563106796116505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-894.73684210526312</v>
      </c>
      <c r="P4" s="119">
        <v>38</v>
      </c>
      <c r="Q4" s="103">
        <v>-34000</v>
      </c>
    </row>
    <row r="5" spans="1:17" x14ac:dyDescent="0.4">
      <c r="A5" s="55" t="s">
        <v>7</v>
      </c>
      <c r="B5" s="152">
        <f>IF(B$2=0,0,B$4/B$2)</f>
        <v>-6.9974999999999996</v>
      </c>
      <c r="C5" s="153"/>
      <c r="E5" s="63" t="s">
        <v>69</v>
      </c>
      <c r="F5" s="60" t="s">
        <v>12</v>
      </c>
      <c r="G5" s="47">
        <v>40</v>
      </c>
      <c r="H5" s="133">
        <f>IF(B$17=0,0,G5/B$17)</f>
        <v>0.38834951456310679</v>
      </c>
      <c r="I5" s="94">
        <v>4</v>
      </c>
      <c r="K5" s="38">
        <v>3</v>
      </c>
      <c r="L5" s="99">
        <v>-149</v>
      </c>
      <c r="N5" s="115" t="s">
        <v>135</v>
      </c>
      <c r="O5" s="122">
        <f t="shared" si="0"/>
        <v>-4045.7142857142858</v>
      </c>
      <c r="P5" s="119">
        <v>35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2.0750000000000002</v>
      </c>
      <c r="C6" s="143"/>
      <c r="E6" s="63" t="s">
        <v>181</v>
      </c>
      <c r="F6" s="60" t="s">
        <v>182</v>
      </c>
      <c r="G6" s="47">
        <v>38</v>
      </c>
      <c r="H6" s="133">
        <f>IF(B$17=0,0,G6/B$17)</f>
        <v>0.36893203883495146</v>
      </c>
      <c r="I6" s="94">
        <v>9</v>
      </c>
      <c r="K6" s="38">
        <v>4</v>
      </c>
      <c r="L6" s="99">
        <v>-150.6</v>
      </c>
      <c r="N6" s="115" t="s">
        <v>136</v>
      </c>
      <c r="O6" s="122">
        <f t="shared" si="0"/>
        <v>145.16129032258064</v>
      </c>
      <c r="P6" s="119">
        <v>31</v>
      </c>
      <c r="Q6" s="103">
        <v>4500</v>
      </c>
    </row>
    <row r="7" spans="1:17" x14ac:dyDescent="0.4">
      <c r="A7" s="55" t="s">
        <v>2</v>
      </c>
      <c r="B7" s="47">
        <v>11</v>
      </c>
      <c r="C7" s="39">
        <f>IF(B$2=0,0,B7/B$2)</f>
        <v>0.27500000000000002</v>
      </c>
      <c r="E7" s="63" t="s">
        <v>68</v>
      </c>
      <c r="F7" s="60" t="s">
        <v>24</v>
      </c>
      <c r="G7" s="47">
        <v>26</v>
      </c>
      <c r="H7" s="133">
        <f>IF(B$17=0,0,G7/B$17)</f>
        <v>0.25242718446601942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680</v>
      </c>
      <c r="P7" s="120">
        <v>30</v>
      </c>
      <c r="Q7" s="104">
        <v>20400</v>
      </c>
    </row>
    <row r="8" spans="1:17" x14ac:dyDescent="0.4">
      <c r="A8" s="55" t="s">
        <v>3</v>
      </c>
      <c r="B8" s="47">
        <v>15</v>
      </c>
      <c r="C8" s="39">
        <f>IF(B$2=0,0,B8/B$2)</f>
        <v>0.375</v>
      </c>
      <c r="E8" s="63" t="s">
        <v>71</v>
      </c>
      <c r="F8" s="60" t="s">
        <v>26</v>
      </c>
      <c r="G8" s="47">
        <v>13</v>
      </c>
      <c r="H8" s="133">
        <f>IF(B$17=0,0,G8/B$17)</f>
        <v>0.12621359223300971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0.35</v>
      </c>
      <c r="E9" s="63" t="s">
        <v>90</v>
      </c>
      <c r="F9" s="60" t="s">
        <v>45</v>
      </c>
      <c r="G9" s="47">
        <v>12</v>
      </c>
      <c r="H9" s="133">
        <f>IF(B$17=0,0,G9/B$17)</f>
        <v>0.11650485436893204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0.125</v>
      </c>
      <c r="E10" s="63" t="s">
        <v>70</v>
      </c>
      <c r="F10" s="60" t="s">
        <v>25</v>
      </c>
      <c r="G10" s="47">
        <v>11</v>
      </c>
      <c r="H10" s="133">
        <f>IF(B$17=0,0,G10/B$17)</f>
        <v>0.10679611650485436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0.05</v>
      </c>
      <c r="E11" s="63" t="s">
        <v>66</v>
      </c>
      <c r="F11" s="60" t="s">
        <v>22</v>
      </c>
      <c r="G11" s="47">
        <v>8</v>
      </c>
      <c r="H11" s="133">
        <f>IF(B$17=0,0,G11/B$17)</f>
        <v>7.7669902912621352E-2</v>
      </c>
      <c r="I11" s="94">
        <v>6</v>
      </c>
      <c r="K11" s="38">
        <v>9</v>
      </c>
      <c r="L11" s="99">
        <v>-260.59999999999997</v>
      </c>
      <c r="N11" s="115" t="s">
        <v>165</v>
      </c>
      <c r="O11" s="125">
        <f>IF(P11=0,0,Q11/P11)</f>
        <v>-5.2111111111111104</v>
      </c>
      <c r="P11" s="119">
        <v>18</v>
      </c>
      <c r="Q11" s="107">
        <v>-93.799999999999983</v>
      </c>
    </row>
    <row r="12" spans="1:17" x14ac:dyDescent="0.4">
      <c r="A12" s="57" t="s">
        <v>160</v>
      </c>
      <c r="B12" s="49">
        <v>1</v>
      </c>
      <c r="C12" s="42">
        <f>IF(B$2=0,0,B12/B$2)</f>
        <v>2.5000000000000001E-2</v>
      </c>
      <c r="E12" s="63" t="s">
        <v>72</v>
      </c>
      <c r="F12" s="60" t="s">
        <v>27</v>
      </c>
      <c r="G12" s="47">
        <v>6</v>
      </c>
      <c r="H12" s="133">
        <f>IF(B$17=0,0,G12/B$17)</f>
        <v>5.8252427184466021E-2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80</v>
      </c>
      <c r="C13" s="44">
        <f>IF(B$3=0,0,B13/B$3)</f>
        <v>0.23054755043227665</v>
      </c>
      <c r="E13" s="63" t="s">
        <v>87</v>
      </c>
      <c r="F13" s="60" t="s">
        <v>42</v>
      </c>
      <c r="G13" s="47">
        <v>4</v>
      </c>
      <c r="H13" s="133">
        <f>IF(B$17=0,0,G13/B$17)</f>
        <v>3.8834951456310676E-2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88</v>
      </c>
      <c r="C14" s="39">
        <f>IF(B$3=0,0,B14/B$3)</f>
        <v>0.25360230547550433</v>
      </c>
      <c r="E14" s="63" t="s">
        <v>74</v>
      </c>
      <c r="F14" s="60" t="s">
        <v>29</v>
      </c>
      <c r="G14" s="47">
        <v>2</v>
      </c>
      <c r="H14" s="133">
        <f>IF(B$17=0,0,G14/B$17)</f>
        <v>1.9417475728155338E-2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</v>
      </c>
      <c r="E15" s="63" t="s">
        <v>79</v>
      </c>
      <c r="F15" s="60" t="s">
        <v>34</v>
      </c>
      <c r="G15" s="47">
        <v>2</v>
      </c>
      <c r="H15" s="133">
        <f>IF(B$17=0,0,G15/B$17)</f>
        <v>1.9417475728155338E-2</v>
      </c>
      <c r="I15" s="94">
        <v>7</v>
      </c>
      <c r="K15" s="38">
        <v>13</v>
      </c>
      <c r="L15" s="99">
        <v>-302.59999999999997</v>
      </c>
      <c r="N15" s="114" t="s">
        <v>129</v>
      </c>
      <c r="O15" s="124">
        <f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29</v>
      </c>
      <c r="C16" s="37">
        <f>IF(B$14=0,0,B16/B$14)</f>
        <v>0.32954545454545453</v>
      </c>
      <c r="E16" s="63" t="s">
        <v>80</v>
      </c>
      <c r="F16" s="60" t="s">
        <v>35</v>
      </c>
      <c r="G16" s="47">
        <v>2</v>
      </c>
      <c r="H16" s="133">
        <f>IF(B$17=0,0,G16/B$17)</f>
        <v>1.9417475728155338E-2</v>
      </c>
      <c r="I16" s="94">
        <v>3</v>
      </c>
      <c r="K16" s="38">
        <v>14</v>
      </c>
      <c r="L16" s="99">
        <v>-269.99999999999994</v>
      </c>
      <c r="N16" s="115" t="s">
        <v>128</v>
      </c>
      <c r="O16" s="125">
        <f>IF(P16=0,0,Q16/P16)</f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0.29682997118155618</v>
      </c>
      <c r="E17" s="63" t="s">
        <v>84</v>
      </c>
      <c r="F17" s="60" t="s">
        <v>39</v>
      </c>
      <c r="G17" s="47">
        <v>2</v>
      </c>
      <c r="H17" s="133">
        <f>IF(B$17=0,0,G17/B$17)</f>
        <v>1.9417475728155338E-2</v>
      </c>
      <c r="I17" s="94">
        <v>10</v>
      </c>
      <c r="K17" s="38">
        <v>15</v>
      </c>
      <c r="L17" s="99">
        <v>-264.59999999999997</v>
      </c>
      <c r="N17" s="115" t="s">
        <v>172</v>
      </c>
      <c r="O17" s="125">
        <f>IF(P17=0,0,Q17/P17)</f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53</v>
      </c>
      <c r="C18" s="39">
        <f>IF(B$17=0,0,B18/B$17)</f>
        <v>0.5145631067961165</v>
      </c>
      <c r="E18" s="63" t="s">
        <v>92</v>
      </c>
      <c r="F18" s="60" t="s">
        <v>47</v>
      </c>
      <c r="G18" s="47">
        <v>1</v>
      </c>
      <c r="H18" s="133">
        <f>IF(B$17=0,0,G18/B$17)</f>
        <v>9.7087378640776691E-3</v>
      </c>
      <c r="I18" s="94">
        <v>7</v>
      </c>
      <c r="K18" s="38">
        <v>16</v>
      </c>
      <c r="L18" s="99">
        <v>-292.79999999999995</v>
      </c>
      <c r="N18" s="115" t="s">
        <v>171</v>
      </c>
      <c r="O18" s="125">
        <f>IF(P18=0,0,Q18/P18)</f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0.4854368932038835</v>
      </c>
      <c r="E19" s="63" t="s">
        <v>180</v>
      </c>
      <c r="F19" s="60" t="s">
        <v>183</v>
      </c>
      <c r="G19" s="47">
        <v>1</v>
      </c>
      <c r="H19" s="133">
        <f>IF(B$17=0,0,G19/B$17)</f>
        <v>9.7087378640776691E-3</v>
      </c>
      <c r="I19" s="94">
        <v>5</v>
      </c>
      <c r="K19" s="38">
        <v>17</v>
      </c>
      <c r="L19" s="99">
        <v>-248.89999999999995</v>
      </c>
      <c r="N19" s="115" t="s">
        <v>127</v>
      </c>
      <c r="O19" s="125">
        <f>IF(P19=0,0,Q19/P19)</f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67</v>
      </c>
      <c r="C20" s="39">
        <f>IF(B$3=0,0,B20/B$3)</f>
        <v>0.1930835734870317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5</v>
      </c>
      <c r="K20" s="38">
        <v>18</v>
      </c>
      <c r="L20" s="99">
        <v>-218.99999999999994</v>
      </c>
      <c r="N20" s="115" t="s">
        <v>177</v>
      </c>
      <c r="O20" s="125">
        <f>IF(P20=0,0,Q20/P20)</f>
        <v>-33.6</v>
      </c>
      <c r="P20" s="119">
        <v>3</v>
      </c>
      <c r="Q20" s="107">
        <v>-100.80000000000001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8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2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6838.8349514563106</v>
      </c>
      <c r="C23" s="41">
        <v>704400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-7625.373134328358</v>
      </c>
      <c r="C24" s="45">
        <v>-510900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10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5.763688760806916E-3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4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FABF9-7CE8-42A4-AD4B-8F84ECF54962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37</v>
      </c>
      <c r="C2" s="147"/>
      <c r="E2" s="62" t="s">
        <v>67</v>
      </c>
      <c r="F2" s="59" t="s">
        <v>23</v>
      </c>
      <c r="G2" s="46">
        <v>50</v>
      </c>
      <c r="H2" s="132">
        <f>IF(B$17=0,0,G2/B$17)</f>
        <v>0.54347826086956519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683.78378378378375</v>
      </c>
      <c r="P2" s="118">
        <v>37</v>
      </c>
      <c r="Q2" s="102">
        <v>25300</v>
      </c>
    </row>
    <row r="3" spans="1:17" x14ac:dyDescent="0.4">
      <c r="A3" s="55" t="s">
        <v>8</v>
      </c>
      <c r="B3" s="148">
        <v>309</v>
      </c>
      <c r="C3" s="149"/>
      <c r="E3" s="63" t="s">
        <v>73</v>
      </c>
      <c r="F3" s="60" t="s">
        <v>28</v>
      </c>
      <c r="G3" s="47">
        <v>50</v>
      </c>
      <c r="H3" s="133">
        <f>IF(B$17=0,0,G3/B$17)</f>
        <v>0.54347826086956519</v>
      </c>
      <c r="I3" s="94">
        <v>6</v>
      </c>
      <c r="K3" s="38">
        <v>1</v>
      </c>
      <c r="L3" s="99">
        <v>-1.9</v>
      </c>
      <c r="N3" s="115" t="s">
        <v>133</v>
      </c>
      <c r="O3" s="122">
        <f t="shared" si="0"/>
        <v>142.85714285714286</v>
      </c>
      <c r="P3" s="119">
        <v>35</v>
      </c>
      <c r="Q3" s="103">
        <v>5000</v>
      </c>
    </row>
    <row r="4" spans="1:17" x14ac:dyDescent="0.4">
      <c r="A4" s="55" t="s">
        <v>6</v>
      </c>
      <c r="B4" s="150">
        <v>44.70000000000001</v>
      </c>
      <c r="C4" s="151"/>
      <c r="E4" s="63" t="s">
        <v>65</v>
      </c>
      <c r="F4" s="60" t="s">
        <v>21</v>
      </c>
      <c r="G4" s="47">
        <v>49</v>
      </c>
      <c r="H4" s="133">
        <f>IF(B$17=0,0,G4/B$17)</f>
        <v>0.53260869565217395</v>
      </c>
      <c r="I4" s="94">
        <v>8</v>
      </c>
      <c r="K4" s="38">
        <v>2</v>
      </c>
      <c r="L4" s="99">
        <v>30</v>
      </c>
      <c r="N4" s="115" t="s">
        <v>134</v>
      </c>
      <c r="O4" s="122">
        <f t="shared" si="0"/>
        <v>-1475.7575757575758</v>
      </c>
      <c r="P4" s="119">
        <v>33</v>
      </c>
      <c r="Q4" s="103">
        <v>-48700</v>
      </c>
    </row>
    <row r="5" spans="1:17" x14ac:dyDescent="0.4">
      <c r="A5" s="55" t="s">
        <v>7</v>
      </c>
      <c r="B5" s="152">
        <f>IF(B$2=0,0,B$4/B$2)</f>
        <v>1.2081081081081084</v>
      </c>
      <c r="C5" s="153"/>
      <c r="E5" s="63" t="s">
        <v>181</v>
      </c>
      <c r="F5" s="60" t="s">
        <v>182</v>
      </c>
      <c r="G5" s="47">
        <v>33</v>
      </c>
      <c r="H5" s="133">
        <f>IF(B$17=0,0,G5/B$17)</f>
        <v>0.35869565217391303</v>
      </c>
      <c r="I5" s="94">
        <v>10</v>
      </c>
      <c r="K5" s="38">
        <v>3</v>
      </c>
      <c r="L5" s="99">
        <v>-10</v>
      </c>
      <c r="N5" s="115" t="s">
        <v>135</v>
      </c>
      <c r="O5" s="122">
        <f t="shared" si="0"/>
        <v>2278.125</v>
      </c>
      <c r="P5" s="119">
        <v>32</v>
      </c>
      <c r="Q5" s="103">
        <v>72900</v>
      </c>
    </row>
    <row r="6" spans="1:17" x14ac:dyDescent="0.4">
      <c r="A6" s="55" t="s">
        <v>1</v>
      </c>
      <c r="B6" s="142">
        <f>IF(B$2=0,0,(B$7*1+B$8*2+B$9*3)/B$2)</f>
        <v>1.9459459459459461</v>
      </c>
      <c r="C6" s="143"/>
      <c r="E6" s="63" t="s">
        <v>68</v>
      </c>
      <c r="F6" s="60" t="s">
        <v>24</v>
      </c>
      <c r="G6" s="47">
        <v>32</v>
      </c>
      <c r="H6" s="133">
        <f>IF(B$17=0,0,G6/B$17)</f>
        <v>0.34782608695652173</v>
      </c>
      <c r="I6" s="94">
        <v>7</v>
      </c>
      <c r="K6" s="38">
        <v>4</v>
      </c>
      <c r="L6" s="99">
        <v>40</v>
      </c>
      <c r="N6" s="115" t="s">
        <v>136</v>
      </c>
      <c r="O6" s="122">
        <f t="shared" si="0"/>
        <v>-596.42857142857144</v>
      </c>
      <c r="P6" s="119">
        <v>28</v>
      </c>
      <c r="Q6" s="103">
        <v>-16700</v>
      </c>
    </row>
    <row r="7" spans="1:17" x14ac:dyDescent="0.4">
      <c r="A7" s="55" t="s">
        <v>2</v>
      </c>
      <c r="B7" s="47">
        <v>15</v>
      </c>
      <c r="C7" s="39">
        <f>IF(B$2=0,0,B7/B$2)</f>
        <v>0.40540540540540543</v>
      </c>
      <c r="E7" s="63" t="s">
        <v>69</v>
      </c>
      <c r="F7" s="60" t="s">
        <v>12</v>
      </c>
      <c r="G7" s="47">
        <v>25</v>
      </c>
      <c r="H7" s="133">
        <f>IF(B$17=0,0,G7/B$17)</f>
        <v>0.27173913043478259</v>
      </c>
      <c r="I7" s="94">
        <v>11</v>
      </c>
      <c r="K7" s="38">
        <v>5</v>
      </c>
      <c r="L7" s="99">
        <v>35.4</v>
      </c>
      <c r="N7" s="116" t="s">
        <v>137</v>
      </c>
      <c r="O7" s="123">
        <f t="shared" si="0"/>
        <v>212.5</v>
      </c>
      <c r="P7" s="120">
        <v>24</v>
      </c>
      <c r="Q7" s="104">
        <v>5100</v>
      </c>
    </row>
    <row r="8" spans="1:17" x14ac:dyDescent="0.4">
      <c r="A8" s="55" t="s">
        <v>3</v>
      </c>
      <c r="B8" s="47">
        <v>9</v>
      </c>
      <c r="C8" s="39">
        <f>IF(B$2=0,0,B8/B$2)</f>
        <v>0.24324324324324326</v>
      </c>
      <c r="E8" s="63" t="s">
        <v>70</v>
      </c>
      <c r="F8" s="60" t="s">
        <v>25</v>
      </c>
      <c r="G8" s="47">
        <v>12</v>
      </c>
      <c r="H8" s="133">
        <f>IF(B$17=0,0,G8/B$17)</f>
        <v>0.13043478260869565</v>
      </c>
      <c r="I8" s="94">
        <v>10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0.35135135135135137</v>
      </c>
      <c r="E9" s="63" t="s">
        <v>90</v>
      </c>
      <c r="F9" s="60" t="s">
        <v>45</v>
      </c>
      <c r="G9" s="47">
        <v>12</v>
      </c>
      <c r="H9" s="133">
        <f>IF(B$17=0,0,G9/B$17)</f>
        <v>0.13043478260869565</v>
      </c>
      <c r="I9" s="94">
        <v>7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0.16216216216216217</v>
      </c>
      <c r="E10" s="63" t="s">
        <v>71</v>
      </c>
      <c r="F10" s="60" t="s">
        <v>26</v>
      </c>
      <c r="G10" s="47">
        <v>7</v>
      </c>
      <c r="H10" s="133">
        <f>IF(B$17=0,0,G10/B$17)</f>
        <v>7.6086956521739135E-2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8.6222222222222218</v>
      </c>
      <c r="P10" s="118">
        <v>9</v>
      </c>
      <c r="Q10" s="106">
        <v>77.599999999999994</v>
      </c>
    </row>
    <row r="11" spans="1:17" x14ac:dyDescent="0.4">
      <c r="A11" s="56" t="s">
        <v>140</v>
      </c>
      <c r="B11" s="48">
        <v>3</v>
      </c>
      <c r="C11" s="40">
        <f>IF(B$2=0,0,B11/B$2)</f>
        <v>8.1081081081081086E-2</v>
      </c>
      <c r="E11" s="63" t="s">
        <v>66</v>
      </c>
      <c r="F11" s="60" t="s">
        <v>22</v>
      </c>
      <c r="G11" s="47">
        <v>6</v>
      </c>
      <c r="H11" s="133">
        <f>IF(B$17=0,0,G11/B$17)</f>
        <v>6.5217391304347824E-2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-3.3214285714285716</v>
      </c>
      <c r="P11" s="119">
        <v>14</v>
      </c>
      <c r="Q11" s="107">
        <v>-46.5</v>
      </c>
    </row>
    <row r="12" spans="1:17" x14ac:dyDescent="0.4">
      <c r="A12" s="57" t="s">
        <v>160</v>
      </c>
      <c r="B12" s="49">
        <v>4</v>
      </c>
      <c r="C12" s="42">
        <f>IF(B$2=0,0,B12/B$2)</f>
        <v>0.10810810810810811</v>
      </c>
      <c r="E12" s="63" t="s">
        <v>84</v>
      </c>
      <c r="F12" s="60" t="s">
        <v>39</v>
      </c>
      <c r="G12" s="47">
        <v>5</v>
      </c>
      <c r="H12" s="133">
        <f>IF(B$17=0,0,G12/B$17)</f>
        <v>5.434782608695652E-2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0.97142857142857209</v>
      </c>
      <c r="P12" s="120">
        <v>14</v>
      </c>
      <c r="Q12" s="108">
        <v>13.600000000000009</v>
      </c>
    </row>
    <row r="13" spans="1:17" x14ac:dyDescent="0.4">
      <c r="A13" s="58" t="s">
        <v>122</v>
      </c>
      <c r="B13" s="50">
        <v>69</v>
      </c>
      <c r="C13" s="44">
        <f>IF(B$3=0,0,B13/B$3)</f>
        <v>0.22330097087378642</v>
      </c>
      <c r="E13" s="63" t="s">
        <v>92</v>
      </c>
      <c r="F13" s="60" t="s">
        <v>47</v>
      </c>
      <c r="G13" s="47">
        <v>5</v>
      </c>
      <c r="H13" s="133">
        <f>IF(B$17=0,0,G13/B$17)</f>
        <v>5.434782608695652E-2</v>
      </c>
      <c r="I13" s="94">
        <v>1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67</v>
      </c>
      <c r="C14" s="39">
        <f>IF(B$3=0,0,B14/B$3)</f>
        <v>0.2168284789644013</v>
      </c>
      <c r="E14" s="63" t="s">
        <v>72</v>
      </c>
      <c r="F14" s="60" t="s">
        <v>27</v>
      </c>
      <c r="G14" s="47">
        <v>3</v>
      </c>
      <c r="H14" s="133">
        <f>IF(B$17=0,0,G14/B$17)</f>
        <v>3.2608695652173912E-2</v>
      </c>
      <c r="I14" s="94">
        <v>10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0.69565217391304346</v>
      </c>
      <c r="E15" s="63" t="s">
        <v>82</v>
      </c>
      <c r="F15" s="60" t="s">
        <v>37</v>
      </c>
      <c r="G15" s="47">
        <v>3</v>
      </c>
      <c r="H15" s="133">
        <f>IF(B$17=0,0,G15/B$17)</f>
        <v>3.2608695652173912E-2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25</v>
      </c>
      <c r="C16" s="37">
        <f>IF(B$14=0,0,B16/B$14)</f>
        <v>0.37313432835820898</v>
      </c>
      <c r="E16" s="63" t="s">
        <v>79</v>
      </c>
      <c r="F16" s="60" t="s">
        <v>34</v>
      </c>
      <c r="G16" s="47">
        <v>2</v>
      </c>
      <c r="H16" s="133">
        <f>IF(B$17=0,0,G16/B$17)</f>
        <v>2.1739130434782608E-2</v>
      </c>
      <c r="I16" s="94">
        <v>6</v>
      </c>
      <c r="K16" s="38">
        <v>14</v>
      </c>
      <c r="L16" s="99">
        <v>-178.49999999999997</v>
      </c>
      <c r="N16" s="115" t="s">
        <v>173</v>
      </c>
      <c r="O16" s="125">
        <f>IF(P16=0,0,Q16/P16)</f>
        <v>33.6</v>
      </c>
      <c r="P16" s="119">
        <v>3</v>
      </c>
      <c r="Q16" s="107">
        <v>100.80000000000001</v>
      </c>
    </row>
    <row r="17" spans="1:17" x14ac:dyDescent="0.4">
      <c r="A17" s="54" t="s">
        <v>10</v>
      </c>
      <c r="B17" s="46">
        <f>B19+B18</f>
        <v>92</v>
      </c>
      <c r="C17" s="37">
        <f>IF(B$3=0,0,B17/B$3)</f>
        <v>0.29773462783171523</v>
      </c>
      <c r="E17" s="63" t="s">
        <v>80</v>
      </c>
      <c r="F17" s="60" t="s">
        <v>35</v>
      </c>
      <c r="G17" s="47">
        <v>2</v>
      </c>
      <c r="H17" s="133">
        <f>IF(B$17=0,0,G17/B$17)</f>
        <v>2.1739130434782608E-2</v>
      </c>
      <c r="I17" s="94">
        <v>2</v>
      </c>
      <c r="K17" s="38">
        <v>15</v>
      </c>
      <c r="L17" s="99">
        <v>-146.19999999999999</v>
      </c>
      <c r="N17" s="115" t="s">
        <v>171</v>
      </c>
      <c r="O17" s="125">
        <f>IF(P17=0,0,Q17/P17)</f>
        <v>26.430000000000007</v>
      </c>
      <c r="P17" s="119">
        <v>10</v>
      </c>
      <c r="Q17" s="107">
        <v>264.30000000000007</v>
      </c>
    </row>
    <row r="18" spans="1:17" x14ac:dyDescent="0.4">
      <c r="A18" s="55" t="s">
        <v>12</v>
      </c>
      <c r="B18" s="47">
        <v>38</v>
      </c>
      <c r="C18" s="39">
        <f>IF(B$17=0,0,B18/B$17)</f>
        <v>0.41304347826086957</v>
      </c>
      <c r="E18" s="63" t="s">
        <v>86</v>
      </c>
      <c r="F18" s="60" t="s">
        <v>41</v>
      </c>
      <c r="G18" s="47">
        <v>2</v>
      </c>
      <c r="H18" s="133">
        <f>IF(B$17=0,0,G18/B$17)</f>
        <v>2.1739130434782608E-2</v>
      </c>
      <c r="I18" s="94">
        <v>1</v>
      </c>
      <c r="K18" s="38">
        <v>16</v>
      </c>
      <c r="L18" s="99">
        <v>-153.29999999999998</v>
      </c>
      <c r="N18" s="115" t="s">
        <v>186</v>
      </c>
      <c r="O18" s="125">
        <f>IF(P18=0,0,Q18/P18)</f>
        <v>15.833333333333337</v>
      </c>
      <c r="P18" s="119">
        <v>3</v>
      </c>
      <c r="Q18" s="107">
        <v>47.500000000000014</v>
      </c>
    </row>
    <row r="19" spans="1:17" x14ac:dyDescent="0.4">
      <c r="A19" s="55" t="s">
        <v>11</v>
      </c>
      <c r="B19" s="47">
        <v>54</v>
      </c>
      <c r="C19" s="39">
        <f>IF(B$17=0,0,B19/B$17)</f>
        <v>0.58695652173913049</v>
      </c>
      <c r="E19" s="63" t="s">
        <v>87</v>
      </c>
      <c r="F19" s="60" t="s">
        <v>42</v>
      </c>
      <c r="G19" s="47">
        <v>2</v>
      </c>
      <c r="H19" s="133">
        <f>IF(B$17=0,0,G19/B$17)</f>
        <v>2.1739130434782608E-2</v>
      </c>
      <c r="I19" s="94">
        <v>10</v>
      </c>
      <c r="K19" s="38">
        <v>17</v>
      </c>
      <c r="L19" s="99">
        <v>-161.19999999999999</v>
      </c>
      <c r="N19" s="115" t="s">
        <v>128</v>
      </c>
      <c r="O19" s="125">
        <f>IF(P19=0,0,Q19/P19)</f>
        <v>10.631818181818183</v>
      </c>
      <c r="P19" s="119">
        <v>22</v>
      </c>
      <c r="Q19" s="107">
        <v>233.9</v>
      </c>
    </row>
    <row r="20" spans="1:17" x14ac:dyDescent="0.4">
      <c r="A20" s="55" t="s">
        <v>13</v>
      </c>
      <c r="B20" s="47">
        <v>51</v>
      </c>
      <c r="C20" s="39">
        <f>IF(B$3=0,0,B20/B$3)</f>
        <v>0.1650485436893204</v>
      </c>
      <c r="E20" s="63" t="s">
        <v>75</v>
      </c>
      <c r="F20" s="60" t="s">
        <v>30</v>
      </c>
      <c r="G20" s="47">
        <v>1</v>
      </c>
      <c r="H20" s="133">
        <f>IF(B$17=0,0,G20/B$17)</f>
        <v>1.0869565217391304E-2</v>
      </c>
      <c r="I20" s="94">
        <v>2</v>
      </c>
      <c r="K20" s="38">
        <v>18</v>
      </c>
      <c r="L20" s="99">
        <v>-159</v>
      </c>
      <c r="N20" s="115" t="s">
        <v>129</v>
      </c>
      <c r="O20" s="125">
        <f>IF(P20=0,0,Q20/P20)</f>
        <v>-3.3454545454545483</v>
      </c>
      <c r="P20" s="119">
        <v>11</v>
      </c>
      <c r="Q20" s="107">
        <v>-36.800000000000033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1.0869565217391304E-2</v>
      </c>
      <c r="I21" s="94">
        <v>3</v>
      </c>
      <c r="K21" s="38">
        <v>19</v>
      </c>
      <c r="L21" s="99">
        <v>-235.6</v>
      </c>
      <c r="N21" s="115" t="s">
        <v>172</v>
      </c>
      <c r="O21" s="125">
        <f>IF(P21=0,0,Q21/P21)</f>
        <v>-18.733333333333338</v>
      </c>
      <c r="P21" s="119">
        <v>6</v>
      </c>
      <c r="Q21" s="107">
        <v>-112.40000000000002</v>
      </c>
    </row>
    <row r="22" spans="1:17" x14ac:dyDescent="0.4">
      <c r="A22" s="55" t="s">
        <v>194</v>
      </c>
      <c r="B22" s="47">
        <v>21</v>
      </c>
      <c r="C22" s="135">
        <v>0</v>
      </c>
      <c r="E22" s="63" t="s">
        <v>77</v>
      </c>
      <c r="F22" s="60" t="s">
        <v>32</v>
      </c>
      <c r="G22" s="47">
        <v>1</v>
      </c>
      <c r="H22" s="133">
        <f>IF(B$17=0,0,G22/B$17)</f>
        <v>1.0869565217391304E-2</v>
      </c>
      <c r="I22" s="94">
        <v>1</v>
      </c>
      <c r="K22" s="38">
        <v>20</v>
      </c>
      <c r="L22" s="99">
        <v>-200.8</v>
      </c>
      <c r="N22" s="115" t="s">
        <v>127</v>
      </c>
      <c r="O22" s="125">
        <f>IF(P22=0,0,Q22/P22)</f>
        <v>-24.585714285714289</v>
      </c>
      <c r="P22" s="119">
        <v>14</v>
      </c>
      <c r="Q22" s="107">
        <v>-344.20000000000005</v>
      </c>
    </row>
    <row r="23" spans="1:17" x14ac:dyDescent="0.4">
      <c r="A23" s="55" t="s">
        <v>5</v>
      </c>
      <c r="B23" s="51">
        <f>IF(B$17=0,0,C23/B$17)</f>
        <v>8683.6956521739139</v>
      </c>
      <c r="C23" s="41">
        <v>798900</v>
      </c>
      <c r="E23" s="63" t="s">
        <v>93</v>
      </c>
      <c r="F23" s="60" t="s">
        <v>48</v>
      </c>
      <c r="G23" s="47">
        <v>1</v>
      </c>
      <c r="H23" s="133">
        <f>IF(B$17=0,0,G23/B$17)</f>
        <v>1.0869565217391304E-2</v>
      </c>
      <c r="I23" s="94">
        <v>2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-7680.3921568627447</v>
      </c>
      <c r="C24" s="45">
        <v>-391700</v>
      </c>
      <c r="E24" s="63" t="s">
        <v>102</v>
      </c>
      <c r="F24" s="60" t="s">
        <v>57</v>
      </c>
      <c r="G24" s="47">
        <v>1</v>
      </c>
      <c r="H24" s="133">
        <f>IF(B$17=0,0,G24/B$17)</f>
        <v>1.0869565217391304E-2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78</v>
      </c>
      <c r="F26" s="60" t="s">
        <v>33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6.4724919093851136E-3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-151.5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-27.099999999999994</v>
      </c>
    </row>
    <row r="30" spans="1:17" x14ac:dyDescent="0.4">
      <c r="E30" s="63" t="s">
        <v>88</v>
      </c>
      <c r="F30" s="60" t="s">
        <v>43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7.2000000000000028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-49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-99.6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BC1CF-0374-4EA0-9338-6F6985027CBD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10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3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6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11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8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3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10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AD5-0CF3-48D9-8179-FAA40D486303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</v>
      </c>
      <c r="C2" s="147"/>
      <c r="E2" s="62" t="s">
        <v>67</v>
      </c>
      <c r="F2" s="59" t="s">
        <v>23</v>
      </c>
      <c r="G2" s="46">
        <v>22</v>
      </c>
      <c r="H2" s="132">
        <f>IF(B$17=0,0,G2/B$17)</f>
        <v>0.7857142857142857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-508.33333333333331</v>
      </c>
      <c r="P2" s="118">
        <v>12</v>
      </c>
      <c r="Q2" s="102">
        <v>-6100</v>
      </c>
    </row>
    <row r="3" spans="1:17" x14ac:dyDescent="0.4">
      <c r="A3" s="55" t="s">
        <v>8</v>
      </c>
      <c r="B3" s="148">
        <v>104</v>
      </c>
      <c r="C3" s="149"/>
      <c r="E3" s="63" t="s">
        <v>73</v>
      </c>
      <c r="F3" s="60" t="s">
        <v>28</v>
      </c>
      <c r="G3" s="47">
        <v>19</v>
      </c>
      <c r="H3" s="133">
        <f>IF(B$17=0,0,G3/B$17)</f>
        <v>0.6785714285714286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-1075</v>
      </c>
      <c r="P3" s="119">
        <v>12</v>
      </c>
      <c r="Q3" s="103">
        <v>-12900</v>
      </c>
    </row>
    <row r="4" spans="1:17" x14ac:dyDescent="0.4">
      <c r="A4" s="55" t="s">
        <v>6</v>
      </c>
      <c r="B4" s="150">
        <v>-116.6</v>
      </c>
      <c r="C4" s="151"/>
      <c r="E4" s="63" t="s">
        <v>65</v>
      </c>
      <c r="F4" s="60" t="s">
        <v>21</v>
      </c>
      <c r="G4" s="47">
        <v>15</v>
      </c>
      <c r="H4" s="133">
        <f>IF(B$17=0,0,G4/B$17)</f>
        <v>0.5357142857142857</v>
      </c>
      <c r="I4" s="94">
        <v>7</v>
      </c>
      <c r="K4" s="38">
        <v>2</v>
      </c>
      <c r="L4" s="99">
        <v>-76.2</v>
      </c>
      <c r="N4" s="115" t="s">
        <v>134</v>
      </c>
      <c r="O4" s="122">
        <f t="shared" si="0"/>
        <v>-550</v>
      </c>
      <c r="P4" s="119">
        <v>12</v>
      </c>
      <c r="Q4" s="103">
        <v>-6600</v>
      </c>
    </row>
    <row r="5" spans="1:17" x14ac:dyDescent="0.4">
      <c r="A5" s="55" t="s">
        <v>7</v>
      </c>
      <c r="B5" s="152">
        <f>IF(B$2=0,0,B$4/B$2)</f>
        <v>-9.7166666666666668</v>
      </c>
      <c r="C5" s="153"/>
      <c r="E5" s="63" t="s">
        <v>69</v>
      </c>
      <c r="F5" s="60" t="s">
        <v>12</v>
      </c>
      <c r="G5" s="47">
        <v>9</v>
      </c>
      <c r="H5" s="133">
        <f>IF(B$17=0,0,G5/B$17)</f>
        <v>0.32142857142857145</v>
      </c>
      <c r="I5" s="94">
        <v>7</v>
      </c>
      <c r="K5" s="38">
        <v>3</v>
      </c>
      <c r="L5" s="99">
        <v>-78.400000000000006</v>
      </c>
      <c r="N5" s="115" t="s">
        <v>135</v>
      </c>
      <c r="O5" s="122">
        <f t="shared" si="0"/>
        <v>-3772.7272727272725</v>
      </c>
      <c r="P5" s="119">
        <v>11</v>
      </c>
      <c r="Q5" s="103">
        <v>-41500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181</v>
      </c>
      <c r="F6" s="60" t="s">
        <v>182</v>
      </c>
      <c r="G6" s="47">
        <v>8</v>
      </c>
      <c r="H6" s="133">
        <f>IF(B$17=0,0,G6/B$17)</f>
        <v>0.2857142857142857</v>
      </c>
      <c r="I6" s="94">
        <v>13</v>
      </c>
      <c r="K6" s="38">
        <v>4</v>
      </c>
      <c r="L6" s="99">
        <v>-49.800000000000004</v>
      </c>
      <c r="N6" s="115" t="s">
        <v>136</v>
      </c>
      <c r="O6" s="122">
        <f t="shared" si="0"/>
        <v>390.90909090909093</v>
      </c>
      <c r="P6" s="119">
        <v>11</v>
      </c>
      <c r="Q6" s="103">
        <v>4300</v>
      </c>
    </row>
    <row r="7" spans="1:17" x14ac:dyDescent="0.4">
      <c r="A7" s="55" t="s">
        <v>2</v>
      </c>
      <c r="B7" s="47">
        <v>5</v>
      </c>
      <c r="C7" s="39">
        <f>IF(B$2=0,0,B7/B$2)</f>
        <v>0.41666666666666669</v>
      </c>
      <c r="E7" s="63" t="s">
        <v>68</v>
      </c>
      <c r="F7" s="60" t="s">
        <v>24</v>
      </c>
      <c r="G7" s="47">
        <v>6</v>
      </c>
      <c r="H7" s="133">
        <f>IF(B$17=0,0,G7/B$17)</f>
        <v>0.21428571428571427</v>
      </c>
      <c r="I7" s="94">
        <v>12</v>
      </c>
      <c r="K7" s="38">
        <v>5</v>
      </c>
      <c r="L7" s="99">
        <v>-121</v>
      </c>
      <c r="N7" s="116" t="s">
        <v>137</v>
      </c>
      <c r="O7" s="123">
        <f t="shared" si="0"/>
        <v>-3072.7272727272725</v>
      </c>
      <c r="P7" s="120">
        <v>11</v>
      </c>
      <c r="Q7" s="104">
        <v>-33800</v>
      </c>
    </row>
    <row r="8" spans="1:17" x14ac:dyDescent="0.4">
      <c r="A8" s="55" t="s">
        <v>3</v>
      </c>
      <c r="B8" s="47">
        <v>1</v>
      </c>
      <c r="C8" s="39">
        <f>IF(B$2=0,0,B8/B$2)</f>
        <v>8.3333333333333329E-2</v>
      </c>
      <c r="E8" s="63" t="s">
        <v>90</v>
      </c>
      <c r="F8" s="60" t="s">
        <v>45</v>
      </c>
      <c r="G8" s="47">
        <v>5</v>
      </c>
      <c r="H8" s="133">
        <f>IF(B$17=0,0,G8/B$17)</f>
        <v>0.17857142857142858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70</v>
      </c>
      <c r="F9" s="60" t="s">
        <v>25</v>
      </c>
      <c r="G9" s="47">
        <v>4</v>
      </c>
      <c r="H9" s="133">
        <f>IF(B$17=0,0,G9/B$17)</f>
        <v>0.14285714285714285</v>
      </c>
      <c r="I9" s="94">
        <v>8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71</v>
      </c>
      <c r="F10" s="60" t="s">
        <v>26</v>
      </c>
      <c r="G10" s="47">
        <v>4</v>
      </c>
      <c r="H10" s="133">
        <f>IF(B$17=0,0,G10/B$17)</f>
        <v>0.14285714285714285</v>
      </c>
      <c r="I10" s="94">
        <v>2</v>
      </c>
      <c r="K10" s="38">
        <v>8</v>
      </c>
      <c r="L10" s="99">
        <v>-170.5</v>
      </c>
      <c r="N10" s="114" t="s">
        <v>164</v>
      </c>
      <c r="O10" s="124">
        <f>IF(P10=0,0,Q10/P10)</f>
        <v>-9.759999999999998</v>
      </c>
      <c r="P10" s="118">
        <v>5</v>
      </c>
      <c r="Q10" s="106">
        <v>-48.79999999999999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3</v>
      </c>
      <c r="H11" s="133">
        <f>IF(B$17=0,0,G11/B$17)</f>
        <v>0.10714285714285714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8.3333333333333329E-2</v>
      </c>
      <c r="E12" s="63" t="s">
        <v>80</v>
      </c>
      <c r="F12" s="60" t="s">
        <v>35</v>
      </c>
      <c r="G12" s="47">
        <v>2</v>
      </c>
      <c r="H12" s="133">
        <f>IF(B$17=0,0,G12/B$17)</f>
        <v>7.1428571428571425E-2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24</v>
      </c>
      <c r="C13" s="44">
        <f>IF(B$3=0,0,B13/B$3)</f>
        <v>0.23076923076923078</v>
      </c>
      <c r="E13" s="63" t="s">
        <v>66</v>
      </c>
      <c r="F13" s="60" t="s">
        <v>22</v>
      </c>
      <c r="G13" s="47">
        <v>1</v>
      </c>
      <c r="H13" s="133">
        <f>IF(B$17=0,0,G13/B$17)</f>
        <v>3.5714285714285712E-2</v>
      </c>
      <c r="I13" s="94">
        <v>10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0.19230769230769232</v>
      </c>
      <c r="E14" s="63" t="s">
        <v>72</v>
      </c>
      <c r="F14" s="60" t="s">
        <v>27</v>
      </c>
      <c r="G14" s="47">
        <v>1</v>
      </c>
      <c r="H14" s="133">
        <f>IF(B$17=0,0,G14/B$17)</f>
        <v>3.5714285714285712E-2</v>
      </c>
      <c r="I14" s="94">
        <v>9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</v>
      </c>
      <c r="C15" s="37">
        <f>IF(B$13=0,0,B15/B$13)</f>
        <v>0.625</v>
      </c>
      <c r="E15" s="63" t="s">
        <v>74</v>
      </c>
      <c r="F15" s="60" t="s">
        <v>29</v>
      </c>
      <c r="G15" s="47">
        <v>1</v>
      </c>
      <c r="H15" s="133">
        <f>IF(B$17=0,0,G15/B$17)</f>
        <v>3.5714285714285712E-2</v>
      </c>
      <c r="I15" s="94">
        <v>1</v>
      </c>
      <c r="N15" s="114" t="s">
        <v>129</v>
      </c>
      <c r="O15" s="124">
        <f>IF(P15=0,0,Q15/P15)</f>
        <v>54.85</v>
      </c>
      <c r="P15" s="118">
        <v>2</v>
      </c>
      <c r="Q15" s="106">
        <v>109.7</v>
      </c>
    </row>
    <row r="16" spans="1:17" x14ac:dyDescent="0.4">
      <c r="A16" s="54" t="s">
        <v>125</v>
      </c>
      <c r="B16" s="46">
        <v>9</v>
      </c>
      <c r="C16" s="37">
        <f>IF(B$14=0,0,B16/B$14)</f>
        <v>0.45</v>
      </c>
      <c r="E16" s="63" t="s">
        <v>76</v>
      </c>
      <c r="F16" s="60" t="s">
        <v>31</v>
      </c>
      <c r="G16" s="47">
        <v>1</v>
      </c>
      <c r="H16" s="133">
        <f>IF(B$17=0,0,G16/B$17)</f>
        <v>3.5714285714285712E-2</v>
      </c>
      <c r="I16" s="94">
        <v>1</v>
      </c>
      <c r="N16" s="115" t="s">
        <v>127</v>
      </c>
      <c r="O16" s="125">
        <f>IF(P16=0,0,Q16/P16)</f>
        <v>-15.425000000000002</v>
      </c>
      <c r="P16" s="119">
        <v>8</v>
      </c>
      <c r="Q16" s="107">
        <v>-123.40000000000002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0.26923076923076922</v>
      </c>
      <c r="E17" s="63" t="s">
        <v>82</v>
      </c>
      <c r="F17" s="60" t="s">
        <v>37</v>
      </c>
      <c r="G17" s="47">
        <v>1</v>
      </c>
      <c r="H17" s="133">
        <f>IF(B$17=0,0,G17/B$17)</f>
        <v>3.5714285714285712E-2</v>
      </c>
      <c r="I17" s="94">
        <v>3</v>
      </c>
      <c r="N17" s="115" t="s">
        <v>177</v>
      </c>
      <c r="O17" s="125">
        <f>IF(P17=0,0,Q17/P17)</f>
        <v>-15.833333333333337</v>
      </c>
      <c r="P17" s="119">
        <v>3</v>
      </c>
      <c r="Q17" s="107">
        <v>-47.500000000000014</v>
      </c>
    </row>
    <row r="18" spans="1:17" x14ac:dyDescent="0.4">
      <c r="A18" s="55" t="s">
        <v>12</v>
      </c>
      <c r="B18" s="47">
        <v>14</v>
      </c>
      <c r="C18" s="39">
        <f>IF(B$17=0,0,B18/B$17)</f>
        <v>0.5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5</v>
      </c>
      <c r="N18" s="115" t="s">
        <v>172</v>
      </c>
      <c r="O18" s="125">
        <f>IF(P18=0,0,Q18/P18)</f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14</v>
      </c>
      <c r="C19" s="39">
        <f>IF(B$17=0,0,B19/B$17)</f>
        <v>0.5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3</v>
      </c>
      <c r="N19" s="115" t="s">
        <v>128</v>
      </c>
      <c r="O19" s="125">
        <f>IF(P19=0,0,Q19/P19)</f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24</v>
      </c>
      <c r="C20" s="39">
        <f>IF(B$3=0,0,B20/B$3)</f>
        <v>0.23076923076923078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171</v>
      </c>
      <c r="O20" s="125">
        <f>IF(P20=0,0,Q20/P20)</f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11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13</v>
      </c>
      <c r="C22" s="135">
        <v>13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7700</v>
      </c>
      <c r="C23" s="41">
        <v>215600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-7700</v>
      </c>
      <c r="C24" s="45">
        <v>-184800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142</v>
      </c>
      <c r="B25" s="140">
        <v>6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75181-6F0D-4772-A943-BD81E806EA55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73</v>
      </c>
      <c r="F2" s="59" t="s">
        <v>28</v>
      </c>
      <c r="G2" s="46">
        <v>13</v>
      </c>
      <c r="H2" s="132">
        <f>IF(B$17=0,0,G2/B$17)</f>
        <v>0.61904761904761907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65</v>
      </c>
      <c r="F3" s="60" t="s">
        <v>21</v>
      </c>
      <c r="G3" s="47">
        <v>12</v>
      </c>
      <c r="H3" s="133">
        <f>IF(B$17=0,0,G3/B$17)</f>
        <v>0.5714285714285714</v>
      </c>
      <c r="I3" s="94">
        <v>4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181</v>
      </c>
      <c r="F7" s="60" t="s">
        <v>182</v>
      </c>
      <c r="G7" s="47">
        <v>7</v>
      </c>
      <c r="H7" s="133">
        <f>IF(B$17=0,0,G7/B$17)</f>
        <v>0.33333333333333331</v>
      </c>
      <c r="I7" s="94">
        <v>11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70</v>
      </c>
      <c r="F8" s="60" t="s">
        <v>25</v>
      </c>
      <c r="G8" s="47">
        <v>5</v>
      </c>
      <c r="H8" s="133">
        <f>IF(B$17=0,0,G8/B$17)</f>
        <v>0.23809523809523808</v>
      </c>
      <c r="I8" s="94">
        <v>1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90</v>
      </c>
      <c r="F9" s="60" t="s">
        <v>45</v>
      </c>
      <c r="G9" s="47">
        <v>4</v>
      </c>
      <c r="H9" s="133">
        <f>IF(B$17=0,0,G9/B$17)</f>
        <v>0.19047619047619047</v>
      </c>
      <c r="I9" s="94">
        <v>3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79</v>
      </c>
      <c r="F10" s="60" t="s">
        <v>34</v>
      </c>
      <c r="G10" s="47">
        <v>2</v>
      </c>
      <c r="H10" s="133">
        <f>IF(B$17=0,0,G10/B$17)</f>
        <v>9.5238095238095233E-2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2</v>
      </c>
      <c r="H11" s="133">
        <f>IF(B$17=0,0,G11/B$17)</f>
        <v>9.5238095238095233E-2</v>
      </c>
      <c r="I11" s="94">
        <v>2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1</v>
      </c>
      <c r="H12" s="133">
        <f>IF(B$17=0,0,G12/B$17)</f>
        <v>4.7619047619047616E-2</v>
      </c>
      <c r="I12" s="94">
        <v>9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84</v>
      </c>
      <c r="F13" s="60" t="s">
        <v>39</v>
      </c>
      <c r="G13" s="47">
        <v>1</v>
      </c>
      <c r="H13" s="133">
        <f>IF(B$17=0,0,G13/B$17)</f>
        <v>4.7619047619047616E-2</v>
      </c>
      <c r="I13" s="94">
        <v>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71</v>
      </c>
      <c r="F14" s="60" t="s">
        <v>26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72</v>
      </c>
      <c r="F15" s="60" t="s">
        <v>27</v>
      </c>
      <c r="G15" s="47">
        <v>0</v>
      </c>
      <c r="H15" s="133">
        <f>IF(B$17=0,0,G15/B$17)</f>
        <v>0</v>
      </c>
      <c r="I15" s="94">
        <v>11</v>
      </c>
      <c r="N15" s="114" t="s">
        <v>173</v>
      </c>
      <c r="O15" s="124">
        <f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7</v>
      </c>
      <c r="N16" s="115" t="s">
        <v>127</v>
      </c>
      <c r="O16" s="125">
        <f>IF(P16=0,0,Q16/P16)</f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5</v>
      </c>
      <c r="N17" s="115" t="s">
        <v>171</v>
      </c>
      <c r="O17" s="125">
        <f>IF(P17=0,0,Q17/P17)</f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8</v>
      </c>
      <c r="N18" s="115" t="s">
        <v>128</v>
      </c>
      <c r="O18" s="125">
        <f>IF(P18=0,0,Q18/P18)</f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3</v>
      </c>
      <c r="N19" s="115" t="s">
        <v>172</v>
      </c>
      <c r="O19" s="125">
        <f>IF(P19=0,0,Q19/P19)</f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177</v>
      </c>
      <c r="O20" s="125">
        <f>IF(P20=0,0,Q20/P20)</f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10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10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DF5B-1485-41D0-8A6D-A075B331B9B5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2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181</v>
      </c>
      <c r="F7" s="60" t="s">
        <v>182</v>
      </c>
      <c r="G7" s="47">
        <v>1</v>
      </c>
      <c r="H7" s="133">
        <f>IF(B$17=0,0,G7/B$17)</f>
        <v>0.5</v>
      </c>
      <c r="I7" s="94">
        <v>1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10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11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13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8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3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5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11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142</v>
      </c>
      <c r="B25" s="140">
        <v>5</v>
      </c>
      <c r="C25" s="141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11</v>
      </c>
    </row>
    <row r="26" spans="1:9" x14ac:dyDescent="0.4">
      <c r="A26" s="58" t="s">
        <v>152</v>
      </c>
      <c r="B26" s="138">
        <v>48300</v>
      </c>
      <c r="C26" s="139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6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F8A78-DE13-4EDF-9C05-676A3B3D144C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68</v>
      </c>
      <c r="F3" s="60" t="s">
        <v>24</v>
      </c>
      <c r="G3" s="47">
        <v>3</v>
      </c>
      <c r="H3" s="133">
        <f>IF(B$17=0,0,G3/B$17)</f>
        <v>1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69</v>
      </c>
      <c r="F4" s="60" t="s">
        <v>12</v>
      </c>
      <c r="G4" s="47">
        <v>2</v>
      </c>
      <c r="H4" s="133">
        <f>IF(B$17=0,0,G4/B$17)</f>
        <v>0.66666666666666663</v>
      </c>
      <c r="I4" s="94">
        <v>1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73</v>
      </c>
      <c r="F5" s="60" t="s">
        <v>28</v>
      </c>
      <c r="G5" s="47">
        <v>1</v>
      </c>
      <c r="H5" s="133">
        <f>IF(B$17=0,0,G5/B$17)</f>
        <v>0.33333333333333331</v>
      </c>
      <c r="I5" s="94">
        <v>12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79</v>
      </c>
      <c r="F6" s="60" t="s">
        <v>34</v>
      </c>
      <c r="G6" s="47">
        <v>1</v>
      </c>
      <c r="H6" s="133">
        <f>IF(B$17=0,0,G6/B$17)</f>
        <v>0.33333333333333331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90</v>
      </c>
      <c r="F7" s="60" t="s">
        <v>45</v>
      </c>
      <c r="G7" s="47">
        <v>1</v>
      </c>
      <c r="H7" s="133">
        <f>IF(B$17=0,0,G7/B$17)</f>
        <v>0.33333333333333331</v>
      </c>
      <c r="I7" s="94">
        <v>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181</v>
      </c>
      <c r="F8" s="60" t="s">
        <v>182</v>
      </c>
      <c r="G8" s="47">
        <v>1</v>
      </c>
      <c r="H8" s="133">
        <f>IF(B$17=0,0,G8/B$17)</f>
        <v>0.33333333333333331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66</v>
      </c>
      <c r="F9" s="60" t="s">
        <v>22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23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70</v>
      </c>
      <c r="F11" s="60" t="s">
        <v>25</v>
      </c>
      <c r="G11" s="47">
        <v>0</v>
      </c>
      <c r="H11" s="133">
        <f>IF(B$17=0,0,G11/B$17)</f>
        <v>0</v>
      </c>
      <c r="I11" s="94">
        <v>12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71</v>
      </c>
      <c r="F12" s="60" t="s">
        <v>26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8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3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10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11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142</v>
      </c>
      <c r="B25" s="140">
        <v>3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9" x14ac:dyDescent="0.4">
      <c r="A26" s="58" t="s">
        <v>152</v>
      </c>
      <c r="B26" s="138">
        <v>18000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705B2-547A-44B8-BFED-C5334432F938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4250D-152D-43AD-9A20-4C9DF01799C0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37E9B-5EDC-4A48-8206-3D8BB3D3165E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31E4B-7B85-4330-BD0A-3AFB3F260948}">
  <sheetPr codeName="Sheet24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13A1E-FC69-4889-B8D1-93BA76053CB8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00E52-8993-4717-ABCE-37673FBC07C5}">
  <sheetPr codeName="Sheet20"/>
  <dimension ref="A1:Q4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9DB2F-8DA1-44C3-BB6E-5A5DDAFDF703}">
  <sheetPr codeName="Sheet18"/>
  <dimension ref="A1:Q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B4280-FC21-4F99-B84D-8ACED24C0D9C}">
  <sheetPr codeName="Sheet16"/>
  <dimension ref="A1:Q5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F8895-0D0D-49A7-87C0-BCD8E2ACE6F2}">
  <sheetPr codeName="Sheet14"/>
  <dimension ref="A1:Q7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90072-237D-4E86-B80B-763E2CFA96AF}">
  <sheetPr codeName="Sheet12"/>
  <dimension ref="A1:Q6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53F9B-B361-4A60-80F9-FDEC77C4AA21}">
  <sheetPr codeName="Sheet10"/>
  <dimension ref="A1:Q1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53CA8-89C2-4E57-A89F-3D812FC46049}">
  <sheetPr codeName="Sheet8"/>
  <dimension ref="A1:Q1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6769F-778D-4520-9B40-DB3180FE2761}">
  <sheetPr codeName="Sheet6"/>
  <dimension ref="A1:Q17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2019-05-21T15:34:27Z</dcterms:modified>
</cp:coreProperties>
</file>