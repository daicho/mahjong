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D577D5C-EB46-4606-81AD-516403901A64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49" r:id="rId6"/>
    <sheet name="だいち" sheetId="5351" r:id="rId7"/>
    <sheet name="りくと" sheetId="5353" r:id="rId8"/>
    <sheet name="ただ" sheetId="5355" r:id="rId9"/>
    <sheet name="れんたろう" sheetId="5357" r:id="rId10"/>
    <sheet name="たかの" sheetId="5359" r:id="rId11"/>
    <sheet name="ぱぱ" sheetId="5361" r:id="rId12"/>
    <sheet name="まっつん" sheetId="5363" r:id="rId13"/>
    <sheet name="あさひ" sheetId="5365" r:id="rId14"/>
    <sheet name="いっしー" sheetId="5367" r:id="rId15"/>
    <sheet name="ほたに" sheetId="5369" r:id="rId16"/>
    <sheet name="かわたつ" sheetId="5371" r:id="rId17"/>
    <sheet name="やがさき" sheetId="5373" r:id="rId18"/>
    <sheet name="やがさき2" sheetId="5374" state="hidden" r:id="rId19"/>
    <sheet name="かわたつ2" sheetId="5372" state="hidden" r:id="rId20"/>
    <sheet name="ほたに2" sheetId="5370" state="hidden" r:id="rId21"/>
    <sheet name="いっしー2" sheetId="5368" state="hidden" r:id="rId22"/>
    <sheet name="あさひ2" sheetId="5366" state="hidden" r:id="rId23"/>
    <sheet name="まっつん2" sheetId="5364" state="hidden" r:id="rId24"/>
    <sheet name="ぱぱ2" sheetId="5362" state="hidden" r:id="rId25"/>
    <sheet name="たかの2" sheetId="5360" state="hidden" r:id="rId26"/>
    <sheet name="れんたろう2" sheetId="5358" state="hidden" r:id="rId27"/>
    <sheet name="ただ2" sheetId="5356" state="hidden" r:id="rId28"/>
    <sheet name="りくと2" sheetId="5354" state="hidden" r:id="rId29"/>
    <sheet name="だいち2" sheetId="5352" state="hidden" r:id="rId30"/>
    <sheet name="全体2" sheetId="5350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55" l="1"/>
  <c r="O16" i="5359"/>
  <c r="O15" i="5349"/>
  <c r="O16" i="5373"/>
  <c r="O15" i="5373"/>
  <c r="C27" i="5373"/>
  <c r="B24" i="5373"/>
  <c r="C20" i="5373"/>
  <c r="C17" i="5373"/>
  <c r="B17" i="5373"/>
  <c r="H48" i="5373" s="1"/>
  <c r="C16" i="5373"/>
  <c r="C15" i="5373"/>
  <c r="C14" i="5373"/>
  <c r="C13" i="5373"/>
  <c r="O12" i="5373"/>
  <c r="C12" i="5373"/>
  <c r="O11" i="5373"/>
  <c r="C11" i="5373"/>
  <c r="O10" i="5373"/>
  <c r="H10" i="5373"/>
  <c r="C10" i="5373"/>
  <c r="C9" i="5373"/>
  <c r="H8" i="5373"/>
  <c r="C8" i="5373"/>
  <c r="O7" i="5373"/>
  <c r="C7" i="5373"/>
  <c r="O6" i="5373"/>
  <c r="B6" i="5373"/>
  <c r="O5" i="5373"/>
  <c r="B5" i="5373"/>
  <c r="O4" i="5373"/>
  <c r="H4" i="5373"/>
  <c r="O3" i="5373"/>
  <c r="O2" i="5373"/>
  <c r="H2" i="5373"/>
  <c r="O15" i="5371"/>
  <c r="O16" i="5371"/>
  <c r="H48" i="5371"/>
  <c r="H32" i="5371"/>
  <c r="C27" i="5371"/>
  <c r="B24" i="5371"/>
  <c r="C20" i="5371"/>
  <c r="C18" i="5371"/>
  <c r="B17" i="5371"/>
  <c r="H51" i="5371" s="1"/>
  <c r="H16" i="5371"/>
  <c r="C16" i="5371"/>
  <c r="C15" i="5371"/>
  <c r="H14" i="5371"/>
  <c r="C14" i="5371"/>
  <c r="C13" i="5371"/>
  <c r="O12" i="5371"/>
  <c r="C12" i="5371"/>
  <c r="O11" i="5371"/>
  <c r="H11" i="5371"/>
  <c r="C11" i="5371"/>
  <c r="O10" i="5371"/>
  <c r="H10" i="5371"/>
  <c r="C10" i="5371"/>
  <c r="C9" i="5371"/>
  <c r="H8" i="5371"/>
  <c r="C8" i="5371"/>
  <c r="O7" i="5371"/>
  <c r="C7" i="5371"/>
  <c r="O6" i="5371"/>
  <c r="B6" i="5371"/>
  <c r="O5" i="5371"/>
  <c r="B5" i="5371"/>
  <c r="O4" i="5371"/>
  <c r="H4" i="5371"/>
  <c r="O3" i="5371"/>
  <c r="O2" i="5371"/>
  <c r="H2" i="5371"/>
  <c r="O23" i="5357"/>
  <c r="O17" i="5351"/>
  <c r="O25" i="5349"/>
  <c r="H18" i="5373" l="1"/>
  <c r="H20" i="5373"/>
  <c r="H23" i="5373"/>
  <c r="H26" i="5373"/>
  <c r="H29" i="5373"/>
  <c r="H33" i="5373"/>
  <c r="H37" i="5373"/>
  <c r="H41" i="5373"/>
  <c r="H45" i="5373"/>
  <c r="H49" i="5373"/>
  <c r="H7" i="5373"/>
  <c r="H13" i="5373"/>
  <c r="H15" i="5373"/>
  <c r="C19" i="5373"/>
  <c r="H21" i="5373"/>
  <c r="H30" i="5373"/>
  <c r="H34" i="5373"/>
  <c r="H38" i="5373"/>
  <c r="H42" i="5373"/>
  <c r="H46" i="5373"/>
  <c r="H50" i="5373"/>
  <c r="H3" i="5373"/>
  <c r="H6" i="5373"/>
  <c r="H9" i="5373"/>
  <c r="H12" i="5373"/>
  <c r="H17" i="5373"/>
  <c r="H19" i="5373"/>
  <c r="H22" i="5373"/>
  <c r="H24" i="5373"/>
  <c r="H27" i="5373"/>
  <c r="H31" i="5373"/>
  <c r="H35" i="5373"/>
  <c r="H39" i="5373"/>
  <c r="H43" i="5373"/>
  <c r="H47" i="5373"/>
  <c r="H51" i="5373"/>
  <c r="H5" i="5373"/>
  <c r="H11" i="5373"/>
  <c r="H14" i="5373"/>
  <c r="H16" i="5373"/>
  <c r="C18" i="5373"/>
  <c r="B23" i="5373"/>
  <c r="H25" i="5373"/>
  <c r="H28" i="5373"/>
  <c r="H32" i="5373"/>
  <c r="H36" i="5373"/>
  <c r="H40" i="5373"/>
  <c r="H44" i="5373"/>
  <c r="H36" i="5371"/>
  <c r="H5" i="5371"/>
  <c r="C17" i="5371"/>
  <c r="H25" i="5371"/>
  <c r="H40" i="5371"/>
  <c r="B23" i="5371"/>
  <c r="H28" i="5371"/>
  <c r="H44" i="5371"/>
  <c r="H18" i="5371"/>
  <c r="H20" i="5371"/>
  <c r="H26" i="5371"/>
  <c r="H33" i="5371"/>
  <c r="H49" i="5371"/>
  <c r="H7" i="5371"/>
  <c r="H13" i="5371"/>
  <c r="H15" i="5371"/>
  <c r="C19" i="5371"/>
  <c r="H21" i="5371"/>
  <c r="H30" i="5371"/>
  <c r="H34" i="5371"/>
  <c r="H38" i="5371"/>
  <c r="H42" i="5371"/>
  <c r="H46" i="5371"/>
  <c r="H50" i="5371"/>
  <c r="H23" i="5371"/>
  <c r="H29" i="5371"/>
  <c r="H37" i="5371"/>
  <c r="H41" i="5371"/>
  <c r="H45" i="5371"/>
  <c r="H3" i="5371"/>
  <c r="H6" i="5371"/>
  <c r="H9" i="5371"/>
  <c r="H12" i="5371"/>
  <c r="H17" i="5371"/>
  <c r="H19" i="5371"/>
  <c r="H22" i="5371"/>
  <c r="H24" i="5371"/>
  <c r="H27" i="5371"/>
  <c r="H31" i="5371"/>
  <c r="H35" i="5371"/>
  <c r="H39" i="5371"/>
  <c r="H43" i="5371"/>
  <c r="H47" i="5371"/>
  <c r="O17" i="5359" l="1"/>
  <c r="O18" i="5367"/>
  <c r="O20" i="5369" l="1"/>
  <c r="O18" i="5369"/>
  <c r="O15" i="5363"/>
  <c r="O20" i="5353"/>
  <c r="O24" i="5351" l="1"/>
  <c r="O16" i="5369"/>
  <c r="O21" i="5361"/>
  <c r="O15" i="5369"/>
  <c r="O17" i="5369" l="1"/>
  <c r="O19" i="5369"/>
  <c r="C27" i="5369"/>
  <c r="B24" i="5369"/>
  <c r="C20" i="5369"/>
  <c r="B17" i="5369"/>
  <c r="H51" i="5369" s="1"/>
  <c r="C16" i="5369"/>
  <c r="C15" i="5369"/>
  <c r="C14" i="5369"/>
  <c r="C13" i="5369"/>
  <c r="O12" i="5369"/>
  <c r="C12" i="5369"/>
  <c r="O11" i="5369"/>
  <c r="C11" i="5369"/>
  <c r="O10" i="5369"/>
  <c r="C10" i="5369"/>
  <c r="C9" i="5369"/>
  <c r="C8" i="5369"/>
  <c r="O7" i="5369"/>
  <c r="C7" i="5369"/>
  <c r="O6" i="5369"/>
  <c r="B6" i="5369"/>
  <c r="O5" i="5369"/>
  <c r="B5" i="5369"/>
  <c r="O4" i="5369"/>
  <c r="O3" i="5369"/>
  <c r="O2" i="5369"/>
  <c r="H2" i="5369"/>
  <c r="O21" i="5357"/>
  <c r="O18" i="5359"/>
  <c r="O19" i="5349"/>
  <c r="H4" i="5369" l="1"/>
  <c r="H8" i="5369"/>
  <c r="H36" i="5369"/>
  <c r="C17" i="5369"/>
  <c r="H40" i="5369"/>
  <c r="H10" i="5369"/>
  <c r="H25" i="5369"/>
  <c r="H7" i="5369"/>
  <c r="H13" i="5369"/>
  <c r="H15" i="5369"/>
  <c r="H21" i="5369"/>
  <c r="H3" i="5369"/>
  <c r="H6" i="5369"/>
  <c r="H9" i="5369"/>
  <c r="H12" i="5369"/>
  <c r="C18" i="5369"/>
  <c r="B23" i="5369"/>
  <c r="H28" i="5369"/>
  <c r="H44" i="5369"/>
  <c r="H5" i="5369"/>
  <c r="H11" i="5369"/>
  <c r="H14" i="5369"/>
  <c r="H16" i="5369"/>
  <c r="C19" i="5369"/>
  <c r="H32" i="5369"/>
  <c r="H48" i="5369"/>
  <c r="H18" i="5369"/>
  <c r="H20" i="5369"/>
  <c r="H23" i="5369"/>
  <c r="H26" i="5369"/>
  <c r="H29" i="5369"/>
  <c r="H33" i="5369"/>
  <c r="H37" i="5369"/>
  <c r="H41" i="5369"/>
  <c r="H45" i="5369"/>
  <c r="H49" i="5369"/>
  <c r="H30" i="5369"/>
  <c r="H34" i="5369"/>
  <c r="H38" i="5369"/>
  <c r="H42" i="5369"/>
  <c r="H46" i="5369"/>
  <c r="H50" i="5369"/>
  <c r="H17" i="5369"/>
  <c r="H19" i="5369"/>
  <c r="H22" i="5369"/>
  <c r="H24" i="5369"/>
  <c r="H27" i="5369"/>
  <c r="H31" i="5369"/>
  <c r="H35" i="5369"/>
  <c r="H39" i="5369"/>
  <c r="H43" i="5369"/>
  <c r="H47" i="5369"/>
  <c r="O20" i="5359" l="1"/>
  <c r="O16" i="5355"/>
  <c r="O21" i="5363"/>
  <c r="O20" i="5363"/>
  <c r="O22" i="5351" l="1"/>
  <c r="O16" i="5367"/>
  <c r="O20" i="5367" l="1"/>
  <c r="O15" i="5367"/>
  <c r="O16" i="5357"/>
  <c r="O22" i="5355"/>
  <c r="O17" i="5365" l="1"/>
  <c r="O22" i="5361"/>
  <c r="O15" i="5365"/>
  <c r="O21" i="5367"/>
  <c r="O15" i="5353"/>
  <c r="O18" i="5363"/>
  <c r="O17" i="5349"/>
  <c r="O19" i="5367"/>
  <c r="O17" i="5367"/>
  <c r="C27" i="5367"/>
  <c r="B24" i="5367"/>
  <c r="C20" i="5367"/>
  <c r="B17" i="5367"/>
  <c r="H51" i="5367" s="1"/>
  <c r="C16" i="5367"/>
  <c r="C15" i="5367"/>
  <c r="C14" i="5367"/>
  <c r="C13" i="5367"/>
  <c r="O12" i="5367"/>
  <c r="C12" i="5367"/>
  <c r="O11" i="5367"/>
  <c r="C11" i="5367"/>
  <c r="O10" i="5367"/>
  <c r="C10" i="5367"/>
  <c r="C9" i="5367"/>
  <c r="C8" i="5367"/>
  <c r="O7" i="5367"/>
  <c r="C7" i="5367"/>
  <c r="O6" i="5367"/>
  <c r="B6" i="5367"/>
  <c r="O5" i="5367"/>
  <c r="B5" i="5367"/>
  <c r="O4" i="5367"/>
  <c r="O3" i="5367"/>
  <c r="O2" i="5367"/>
  <c r="O16" i="5365"/>
  <c r="O18" i="5365"/>
  <c r="C27" i="5365"/>
  <c r="B24" i="5365"/>
  <c r="C20" i="5365"/>
  <c r="B17" i="5365"/>
  <c r="H51" i="5365" s="1"/>
  <c r="C16" i="5365"/>
  <c r="C15" i="5365"/>
  <c r="C14" i="5365"/>
  <c r="C13" i="5365"/>
  <c r="O12" i="5365"/>
  <c r="C12" i="5365"/>
  <c r="O11" i="5365"/>
  <c r="C11" i="5365"/>
  <c r="O10" i="5365"/>
  <c r="C10" i="5365"/>
  <c r="C9" i="5365"/>
  <c r="C8" i="5365"/>
  <c r="O7" i="5365"/>
  <c r="C7" i="5365"/>
  <c r="O6" i="5365"/>
  <c r="B6" i="5365"/>
  <c r="O5" i="5365"/>
  <c r="B5" i="5365"/>
  <c r="O4" i="5365"/>
  <c r="O3" i="5365"/>
  <c r="O2" i="5365"/>
  <c r="O22" i="5363"/>
  <c r="O23" i="5363"/>
  <c r="O15" i="5351"/>
  <c r="O18" i="5351"/>
  <c r="O26" i="5349"/>
  <c r="H4" i="5367" l="1"/>
  <c r="H8" i="5365"/>
  <c r="H14" i="5365"/>
  <c r="B23" i="5365"/>
  <c r="H28" i="5365"/>
  <c r="H44" i="5365"/>
  <c r="H5" i="5365"/>
  <c r="H4" i="5365"/>
  <c r="H11" i="5365"/>
  <c r="C18" i="5365"/>
  <c r="H25" i="5365"/>
  <c r="H36" i="5365"/>
  <c r="C17" i="5365"/>
  <c r="H32" i="5365"/>
  <c r="H48" i="5365"/>
  <c r="H2" i="5365"/>
  <c r="H10" i="5365"/>
  <c r="H16" i="5365"/>
  <c r="H40" i="5365"/>
  <c r="H10" i="5367"/>
  <c r="H2" i="5367"/>
  <c r="H8" i="5367"/>
  <c r="H5" i="5367"/>
  <c r="H11" i="5367"/>
  <c r="H14" i="5367"/>
  <c r="H16" i="5367"/>
  <c r="C19" i="5367"/>
  <c r="H30" i="5367"/>
  <c r="H38" i="5367"/>
  <c r="H25" i="5367"/>
  <c r="H32" i="5367"/>
  <c r="H40" i="5367"/>
  <c r="H34" i="5367"/>
  <c r="H7" i="5367"/>
  <c r="H13" i="5367"/>
  <c r="H15" i="5367"/>
  <c r="C17" i="5367"/>
  <c r="H21" i="5367"/>
  <c r="H44" i="5367"/>
  <c r="H3" i="5367"/>
  <c r="H6" i="5367"/>
  <c r="H9" i="5367"/>
  <c r="H12" i="5367"/>
  <c r="C18" i="5367"/>
  <c r="B23" i="5367"/>
  <c r="H28" i="5367"/>
  <c r="H36" i="5367"/>
  <c r="H48" i="5367"/>
  <c r="H18" i="5367"/>
  <c r="H20" i="5367"/>
  <c r="H23" i="5367"/>
  <c r="H26" i="5367"/>
  <c r="H29" i="5367"/>
  <c r="H33" i="5367"/>
  <c r="H37" i="5367"/>
  <c r="H41" i="5367"/>
  <c r="H45" i="5367"/>
  <c r="H49" i="5367"/>
  <c r="H42" i="5367"/>
  <c r="H46" i="5367"/>
  <c r="H50" i="5367"/>
  <c r="H17" i="5367"/>
  <c r="H19" i="5367"/>
  <c r="H22" i="5367"/>
  <c r="H24" i="5367"/>
  <c r="H27" i="5367"/>
  <c r="H31" i="5367"/>
  <c r="H35" i="5367"/>
  <c r="H39" i="5367"/>
  <c r="H43" i="5367"/>
  <c r="H47" i="5367"/>
  <c r="H18" i="5365"/>
  <c r="H20" i="5365"/>
  <c r="H23" i="5365"/>
  <c r="H26" i="5365"/>
  <c r="H29" i="5365"/>
  <c r="H33" i="5365"/>
  <c r="H37" i="5365"/>
  <c r="H41" i="5365"/>
  <c r="H45" i="5365"/>
  <c r="H49" i="5365"/>
  <c r="H7" i="5365"/>
  <c r="H13" i="5365"/>
  <c r="H15" i="5365"/>
  <c r="C19" i="5365"/>
  <c r="H21" i="5365"/>
  <c r="H30" i="5365"/>
  <c r="H34" i="5365"/>
  <c r="H38" i="5365"/>
  <c r="H42" i="5365"/>
  <c r="H46" i="5365"/>
  <c r="H50" i="5365"/>
  <c r="H3" i="5365"/>
  <c r="H6" i="5365"/>
  <c r="H9" i="5365"/>
  <c r="H12" i="5365"/>
  <c r="H17" i="5365"/>
  <c r="H19" i="5365"/>
  <c r="H22" i="5365"/>
  <c r="H24" i="5365"/>
  <c r="H27" i="5365"/>
  <c r="H31" i="5365"/>
  <c r="H35" i="5365"/>
  <c r="H39" i="5365"/>
  <c r="H43" i="5365"/>
  <c r="H47" i="5365"/>
  <c r="O17" i="5363" l="1"/>
  <c r="O20" i="5361"/>
  <c r="O16" i="5361"/>
  <c r="O17" i="5353"/>
  <c r="O19" i="5359" l="1"/>
  <c r="O17" i="5357"/>
  <c r="O17" i="5361"/>
  <c r="O18" i="5361"/>
  <c r="O15" i="5359" l="1"/>
  <c r="O15" i="5357"/>
  <c r="O21" i="5355"/>
  <c r="O19" i="5355"/>
  <c r="O16" i="5363"/>
  <c r="O19" i="5363"/>
  <c r="C27" i="5363"/>
  <c r="B24" i="5363"/>
  <c r="C20" i="5363"/>
  <c r="B17" i="5363"/>
  <c r="H5" i="5363" s="1"/>
  <c r="C16" i="5363"/>
  <c r="C15" i="5363"/>
  <c r="C14" i="5363"/>
  <c r="C13" i="5363"/>
  <c r="O12" i="5363"/>
  <c r="C12" i="5363"/>
  <c r="O11" i="5363"/>
  <c r="C11" i="5363"/>
  <c r="O10" i="5363"/>
  <c r="C10" i="5363"/>
  <c r="C9" i="5363"/>
  <c r="C8" i="5363"/>
  <c r="O7" i="5363"/>
  <c r="C7" i="5363"/>
  <c r="O6" i="5363"/>
  <c r="B6" i="5363"/>
  <c r="O5" i="5363"/>
  <c r="B5" i="5363"/>
  <c r="O4" i="5363"/>
  <c r="O3" i="5363"/>
  <c r="O2" i="5363"/>
  <c r="O22" i="5357"/>
  <c r="O21" i="5353"/>
  <c r="O23" i="5349"/>
  <c r="H21" i="5363" l="1"/>
  <c r="H3" i="5363"/>
  <c r="H2" i="5363"/>
  <c r="H11" i="5363"/>
  <c r="H31" i="5363"/>
  <c r="H38" i="5363"/>
  <c r="H4" i="5363"/>
  <c r="H8" i="5363"/>
  <c r="H27" i="5363"/>
  <c r="H13" i="5363"/>
  <c r="H15" i="5363"/>
  <c r="H20" i="5363"/>
  <c r="C18" i="5363"/>
  <c r="B23" i="5363"/>
  <c r="H22" i="5363"/>
  <c r="H45" i="5363"/>
  <c r="C17" i="5363"/>
  <c r="H41" i="5363"/>
  <c r="H10" i="5363"/>
  <c r="H7" i="5363"/>
  <c r="H6" i="5363"/>
  <c r="H25" i="5363"/>
  <c r="H26" i="5363"/>
  <c r="H12" i="5363"/>
  <c r="C19" i="5363"/>
  <c r="H34" i="5363"/>
  <c r="H49" i="5363"/>
  <c r="H28" i="5363"/>
  <c r="H29" i="5363"/>
  <c r="H18" i="5363"/>
  <c r="H32" i="5363"/>
  <c r="H14" i="5363"/>
  <c r="H35" i="5363"/>
  <c r="H39" i="5363"/>
  <c r="H42" i="5363"/>
  <c r="H46" i="5363"/>
  <c r="H50" i="5363"/>
  <c r="H23" i="5363"/>
  <c r="H36" i="5363"/>
  <c r="H40" i="5363"/>
  <c r="H43" i="5363"/>
  <c r="H47" i="5363"/>
  <c r="H51" i="5363"/>
  <c r="H17" i="5363"/>
  <c r="H16" i="5363"/>
  <c r="H30" i="5363"/>
  <c r="H19" i="5363"/>
  <c r="H9" i="5363"/>
  <c r="H33" i="5363"/>
  <c r="H37" i="5363"/>
  <c r="H24" i="5363"/>
  <c r="H44" i="5363"/>
  <c r="H48" i="5363"/>
  <c r="O18" i="5355" l="1"/>
  <c r="O19" i="5361"/>
  <c r="O15" i="5361"/>
  <c r="C27" i="5361"/>
  <c r="B24" i="5361"/>
  <c r="C20" i="5361"/>
  <c r="B17" i="5361"/>
  <c r="H6" i="5361" s="1"/>
  <c r="C16" i="5361"/>
  <c r="C15" i="5361"/>
  <c r="C14" i="5361"/>
  <c r="C13" i="5361"/>
  <c r="O12" i="5361"/>
  <c r="C12" i="5361"/>
  <c r="O11" i="5361"/>
  <c r="C11" i="5361"/>
  <c r="O10" i="5361"/>
  <c r="C10" i="5361"/>
  <c r="C9" i="5361"/>
  <c r="C8" i="5361"/>
  <c r="O7" i="5361"/>
  <c r="C7" i="5361"/>
  <c r="O6" i="5361"/>
  <c r="B6" i="5361"/>
  <c r="O5" i="5361"/>
  <c r="B5" i="5361"/>
  <c r="O4" i="5361"/>
  <c r="O3" i="5361"/>
  <c r="O2" i="5361"/>
  <c r="O20" i="5351"/>
  <c r="O18" i="5349"/>
  <c r="O21" i="5359"/>
  <c r="O18" i="5353"/>
  <c r="O19" i="5353"/>
  <c r="O20" i="5357"/>
  <c r="O22" i="5359"/>
  <c r="O23" i="5359"/>
  <c r="C27" i="5359"/>
  <c r="B24" i="5359"/>
  <c r="C20" i="5359"/>
  <c r="B17" i="5359"/>
  <c r="H4" i="5359" s="1"/>
  <c r="C16" i="5359"/>
  <c r="C15" i="5359"/>
  <c r="C14" i="5359"/>
  <c r="C13" i="5359"/>
  <c r="O12" i="5359"/>
  <c r="C12" i="5359"/>
  <c r="O11" i="5359"/>
  <c r="C11" i="5359"/>
  <c r="O10" i="5359"/>
  <c r="C10" i="5359"/>
  <c r="C9" i="5359"/>
  <c r="C8" i="5359"/>
  <c r="O7" i="5359"/>
  <c r="C7" i="5359"/>
  <c r="O6" i="5359"/>
  <c r="B6" i="5359"/>
  <c r="O5" i="5359"/>
  <c r="B5" i="5359"/>
  <c r="O4" i="5359"/>
  <c r="O3" i="5359"/>
  <c r="O2" i="5359"/>
  <c r="O19" i="5357"/>
  <c r="O18" i="5357"/>
  <c r="C27" i="5357"/>
  <c r="B24" i="5357"/>
  <c r="C20" i="5357"/>
  <c r="B17" i="5357"/>
  <c r="H5" i="5357" s="1"/>
  <c r="C16" i="5357"/>
  <c r="C15" i="5357"/>
  <c r="C14" i="5357"/>
  <c r="C13" i="5357"/>
  <c r="O12" i="5357"/>
  <c r="C12" i="5357"/>
  <c r="O11" i="5357"/>
  <c r="C11" i="5357"/>
  <c r="O10" i="5357"/>
  <c r="C10" i="5357"/>
  <c r="C9" i="5357"/>
  <c r="C8" i="5357"/>
  <c r="O7" i="5357"/>
  <c r="C7" i="5357"/>
  <c r="O6" i="5357"/>
  <c r="B6" i="5357"/>
  <c r="O5" i="5357"/>
  <c r="B5" i="5357"/>
  <c r="O4" i="5357"/>
  <c r="O3" i="5357"/>
  <c r="O2" i="5357"/>
  <c r="O19" i="5351"/>
  <c r="O23" i="5351"/>
  <c r="O21" i="5349"/>
  <c r="O22" i="5349"/>
  <c r="H5" i="5359" l="1"/>
  <c r="H23" i="5359"/>
  <c r="H12" i="5359"/>
  <c r="C18" i="5359"/>
  <c r="H37" i="5359"/>
  <c r="H22" i="5359"/>
  <c r="H41" i="5359"/>
  <c r="H2" i="5359"/>
  <c r="H3" i="5359"/>
  <c r="H16" i="5359"/>
  <c r="B23" i="5361"/>
  <c r="H31" i="5361"/>
  <c r="H46" i="5361"/>
  <c r="H2" i="5361"/>
  <c r="H14" i="5361"/>
  <c r="C18" i="5361"/>
  <c r="H19" i="5361"/>
  <c r="H38" i="5361"/>
  <c r="H4" i="5361"/>
  <c r="H3" i="5361"/>
  <c r="H15" i="5361"/>
  <c r="H42" i="5361"/>
  <c r="H8" i="5361"/>
  <c r="H23" i="5361"/>
  <c r="H7" i="5361"/>
  <c r="C17" i="5361"/>
  <c r="H34" i="5361"/>
  <c r="H50" i="5361"/>
  <c r="H27" i="5361"/>
  <c r="H30" i="5361"/>
  <c r="H35" i="5361"/>
  <c r="H39" i="5361"/>
  <c r="H43" i="5361"/>
  <c r="H47" i="5361"/>
  <c r="H10" i="5361"/>
  <c r="H22" i="5361"/>
  <c r="H24" i="5361"/>
  <c r="C19" i="5361"/>
  <c r="H17" i="5361"/>
  <c r="H32" i="5361"/>
  <c r="H36" i="5361"/>
  <c r="H40" i="5361"/>
  <c r="H44" i="5361"/>
  <c r="H48" i="5361"/>
  <c r="H20" i="5361"/>
  <c r="H25" i="5361"/>
  <c r="H29" i="5361"/>
  <c r="H18" i="5361"/>
  <c r="H51" i="5361"/>
  <c r="H11" i="5361"/>
  <c r="H5" i="5361"/>
  <c r="H12" i="5361"/>
  <c r="H21" i="5361"/>
  <c r="H16" i="5361"/>
  <c r="H26" i="5361"/>
  <c r="H28" i="5361"/>
  <c r="H13" i="5361"/>
  <c r="H9" i="5361"/>
  <c r="H33" i="5361"/>
  <c r="H37" i="5361"/>
  <c r="H41" i="5361"/>
  <c r="H45" i="5361"/>
  <c r="H49" i="5361"/>
  <c r="H21" i="5359"/>
  <c r="H38" i="5357"/>
  <c r="H10" i="5357"/>
  <c r="H11" i="5357"/>
  <c r="H27" i="5357"/>
  <c r="H24" i="5357"/>
  <c r="H6" i="5357"/>
  <c r="C18" i="5357"/>
  <c r="H3" i="5357"/>
  <c r="H2" i="5357"/>
  <c r="H23" i="5357"/>
  <c r="H4" i="5357"/>
  <c r="H14" i="5357"/>
  <c r="H42" i="5357"/>
  <c r="B23" i="5359"/>
  <c r="H30" i="5359"/>
  <c r="H45" i="5359"/>
  <c r="H7" i="5359"/>
  <c r="C17" i="5359"/>
  <c r="H33" i="5359"/>
  <c r="H49" i="5359"/>
  <c r="H25" i="5359"/>
  <c r="H28" i="5359"/>
  <c r="H18" i="5359"/>
  <c r="H38" i="5359"/>
  <c r="H42" i="5359"/>
  <c r="H46" i="5359"/>
  <c r="H8" i="5359"/>
  <c r="H20" i="5359"/>
  <c r="H24" i="5359"/>
  <c r="C19" i="5359"/>
  <c r="H13" i="5359"/>
  <c r="H31" i="5359"/>
  <c r="H35" i="5359"/>
  <c r="H39" i="5359"/>
  <c r="H43" i="5359"/>
  <c r="H47" i="5359"/>
  <c r="H51" i="5359"/>
  <c r="H26" i="5359"/>
  <c r="H29" i="5359"/>
  <c r="H34" i="5359"/>
  <c r="H50" i="5359"/>
  <c r="H9" i="5359"/>
  <c r="H6" i="5359"/>
  <c r="H10" i="5359"/>
  <c r="H19" i="5359"/>
  <c r="H17" i="5359"/>
  <c r="H15" i="5359"/>
  <c r="H27" i="5359"/>
  <c r="H14" i="5359"/>
  <c r="H11" i="5359"/>
  <c r="H32" i="5359"/>
  <c r="H36" i="5359"/>
  <c r="H40" i="5359"/>
  <c r="H44" i="5359"/>
  <c r="H48" i="5359"/>
  <c r="B23" i="5357"/>
  <c r="H33" i="5357"/>
  <c r="H46" i="5357"/>
  <c r="H8" i="5357"/>
  <c r="C17" i="5357"/>
  <c r="H34" i="5357"/>
  <c r="H50" i="5357"/>
  <c r="H29" i="5357"/>
  <c r="H30" i="5357"/>
  <c r="H31" i="5357"/>
  <c r="H32" i="5357"/>
  <c r="H19" i="5357"/>
  <c r="H35" i="5357"/>
  <c r="H39" i="5357"/>
  <c r="H43" i="5357"/>
  <c r="H47" i="5357"/>
  <c r="H51" i="5357"/>
  <c r="H17" i="5357"/>
  <c r="H28" i="5357"/>
  <c r="C19" i="5357"/>
  <c r="H16" i="5357"/>
  <c r="H21" i="5357"/>
  <c r="H36" i="5357"/>
  <c r="H40" i="5357"/>
  <c r="H44" i="5357"/>
  <c r="H48" i="5357"/>
  <c r="H22" i="5357"/>
  <c r="H7" i="5357"/>
  <c r="H13" i="5357"/>
  <c r="H26" i="5357"/>
  <c r="H18" i="5357"/>
  <c r="H15" i="5357"/>
  <c r="H20" i="5357"/>
  <c r="H12" i="5357"/>
  <c r="H9" i="5357"/>
  <c r="H25" i="5357"/>
  <c r="H37" i="5357"/>
  <c r="H41" i="5357"/>
  <c r="H45" i="5357"/>
  <c r="H49" i="5357"/>
  <c r="O17" i="5355" l="1"/>
  <c r="O20" i="5355"/>
  <c r="C27" i="5355"/>
  <c r="B24" i="5355"/>
  <c r="C20" i="5355"/>
  <c r="B17" i="5355"/>
  <c r="H51" i="5355" s="1"/>
  <c r="C16" i="5355"/>
  <c r="C15" i="5355"/>
  <c r="C14" i="5355"/>
  <c r="C13" i="5355"/>
  <c r="O12" i="5355"/>
  <c r="C12" i="5355"/>
  <c r="O11" i="5355"/>
  <c r="C11" i="5355"/>
  <c r="O10" i="5355"/>
  <c r="C10" i="5355"/>
  <c r="C9" i="5355"/>
  <c r="C8" i="5355"/>
  <c r="O7" i="5355"/>
  <c r="C7" i="5355"/>
  <c r="O6" i="5355"/>
  <c r="B6" i="5355"/>
  <c r="O5" i="5355"/>
  <c r="B5" i="5355"/>
  <c r="O4" i="5355"/>
  <c r="O3" i="5355"/>
  <c r="O2" i="5355"/>
  <c r="O22" i="5353"/>
  <c r="O16" i="5353"/>
  <c r="C27" i="5353"/>
  <c r="B24" i="5353"/>
  <c r="C20" i="5353"/>
  <c r="B17" i="5353"/>
  <c r="H49" i="5353" s="1"/>
  <c r="C16" i="5353"/>
  <c r="C15" i="5353"/>
  <c r="C14" i="5353"/>
  <c r="C13" i="5353"/>
  <c r="O12" i="5353"/>
  <c r="C12" i="5353"/>
  <c r="O11" i="5353"/>
  <c r="C11" i="5353"/>
  <c r="O10" i="5353"/>
  <c r="C10" i="5353"/>
  <c r="C9" i="5353"/>
  <c r="C8" i="5353"/>
  <c r="O7" i="5353"/>
  <c r="C7" i="5353"/>
  <c r="O6" i="5353"/>
  <c r="B6" i="5353"/>
  <c r="O5" i="5353"/>
  <c r="B5" i="5353"/>
  <c r="O4" i="5353"/>
  <c r="O3" i="5353"/>
  <c r="O2" i="5353"/>
  <c r="O24" i="5349"/>
  <c r="O16" i="5351"/>
  <c r="O21" i="5351"/>
  <c r="C27" i="5351"/>
  <c r="B24" i="5351"/>
  <c r="C20" i="5351"/>
  <c r="B17" i="5351"/>
  <c r="H51" i="5351" s="1"/>
  <c r="C16" i="5351"/>
  <c r="C15" i="5351"/>
  <c r="C14" i="5351"/>
  <c r="C13" i="5351"/>
  <c r="O12" i="5351"/>
  <c r="C12" i="5351"/>
  <c r="O11" i="5351"/>
  <c r="C11" i="5351"/>
  <c r="O10" i="5351"/>
  <c r="C10" i="5351"/>
  <c r="C9" i="5351"/>
  <c r="C8" i="5351"/>
  <c r="O7" i="5351"/>
  <c r="C7" i="5351"/>
  <c r="O6" i="5351"/>
  <c r="B6" i="5351"/>
  <c r="O5" i="5351"/>
  <c r="B5" i="5351"/>
  <c r="O4" i="5351"/>
  <c r="O3" i="5351"/>
  <c r="O2" i="5351"/>
  <c r="O16" i="5349"/>
  <c r="O20" i="5349"/>
  <c r="C27" i="5349"/>
  <c r="B24" i="5349"/>
  <c r="C20" i="5349"/>
  <c r="B17" i="5349"/>
  <c r="H50" i="5349" s="1"/>
  <c r="C16" i="5349"/>
  <c r="C15" i="5349"/>
  <c r="C14" i="5349"/>
  <c r="C13" i="5349"/>
  <c r="O12" i="5349"/>
  <c r="C12" i="5349"/>
  <c r="O11" i="5349"/>
  <c r="C11" i="5349"/>
  <c r="O10" i="5349"/>
  <c r="C10" i="5349"/>
  <c r="C9" i="5349"/>
  <c r="C8" i="5349"/>
  <c r="O7" i="5349"/>
  <c r="C7" i="5349"/>
  <c r="O6" i="5349"/>
  <c r="B6" i="5349"/>
  <c r="O5" i="5349"/>
  <c r="B5" i="5349"/>
  <c r="O4" i="5349"/>
  <c r="O3" i="5349"/>
  <c r="O2" i="5349"/>
  <c r="H12" i="5353" l="1"/>
  <c r="H9" i="5353"/>
  <c r="H2" i="5351"/>
  <c r="H10" i="5355"/>
  <c r="H2" i="5355"/>
  <c r="H17" i="5355"/>
  <c r="H18" i="5355"/>
  <c r="H3" i="5355"/>
  <c r="H4" i="5355"/>
  <c r="H16" i="5355"/>
  <c r="H12" i="5355"/>
  <c r="H9" i="5355"/>
  <c r="H6" i="5355"/>
  <c r="H20" i="5355"/>
  <c r="H13" i="5355"/>
  <c r="H11" i="5353"/>
  <c r="H17" i="5353"/>
  <c r="H6" i="5353"/>
  <c r="H10" i="5353"/>
  <c r="H31" i="5353"/>
  <c r="H14" i="5353"/>
  <c r="H3" i="5353"/>
  <c r="H5" i="5353"/>
  <c r="H8" i="5353"/>
  <c r="C18" i="5353"/>
  <c r="H2" i="5353"/>
  <c r="H4" i="5353"/>
  <c r="H16" i="5353"/>
  <c r="B23" i="5353"/>
  <c r="H32" i="5353"/>
  <c r="H30" i="5351"/>
  <c r="C17" i="5355"/>
  <c r="H29" i="5355"/>
  <c r="H11" i="5355"/>
  <c r="H36" i="5355"/>
  <c r="H40" i="5355"/>
  <c r="H44" i="5355"/>
  <c r="H48" i="5355"/>
  <c r="H5" i="5355"/>
  <c r="H7" i="5355"/>
  <c r="H24" i="5355"/>
  <c r="H26" i="5355"/>
  <c r="H15" i="5355"/>
  <c r="C18" i="5355"/>
  <c r="B23" i="5355"/>
  <c r="H21" i="5355"/>
  <c r="H31" i="5355"/>
  <c r="H33" i="5355"/>
  <c r="H37" i="5355"/>
  <c r="H41" i="5355"/>
  <c r="H45" i="5355"/>
  <c r="H49" i="5355"/>
  <c r="H27" i="5355"/>
  <c r="H28" i="5355"/>
  <c r="H30" i="5355"/>
  <c r="H22" i="5355"/>
  <c r="H23" i="5355"/>
  <c r="H34" i="5355"/>
  <c r="H38" i="5355"/>
  <c r="H42" i="5355"/>
  <c r="H46" i="5355"/>
  <c r="H50" i="5355"/>
  <c r="H8" i="5355"/>
  <c r="H25" i="5355"/>
  <c r="H19" i="5355"/>
  <c r="C19" i="5355"/>
  <c r="H14" i="5355"/>
  <c r="H32" i="5355"/>
  <c r="H35" i="5355"/>
  <c r="H39" i="5355"/>
  <c r="H43" i="5355"/>
  <c r="H47" i="5355"/>
  <c r="H24" i="5353"/>
  <c r="H42" i="5353"/>
  <c r="H7" i="5353"/>
  <c r="H13" i="5353"/>
  <c r="H15" i="5353"/>
  <c r="C17" i="5353"/>
  <c r="H21" i="5353"/>
  <c r="H43" i="5353"/>
  <c r="H27" i="5353"/>
  <c r="H36" i="5353"/>
  <c r="H47" i="5353"/>
  <c r="H19" i="5353"/>
  <c r="H28" i="5353"/>
  <c r="H38" i="5353"/>
  <c r="H48" i="5353"/>
  <c r="H34" i="5353"/>
  <c r="H39" i="5353"/>
  <c r="H44" i="5353"/>
  <c r="H50" i="5353"/>
  <c r="C19" i="5353"/>
  <c r="H22" i="5353"/>
  <c r="H25" i="5353"/>
  <c r="H30" i="5353"/>
  <c r="H35" i="5353"/>
  <c r="H40" i="5353"/>
  <c r="H46" i="5353"/>
  <c r="H51" i="5353"/>
  <c r="H18" i="5353"/>
  <c r="H20" i="5353"/>
  <c r="H23" i="5353"/>
  <c r="H26" i="5353"/>
  <c r="H29" i="5353"/>
  <c r="H33" i="5353"/>
  <c r="H37" i="5353"/>
  <c r="H41" i="5353"/>
  <c r="H45" i="5353"/>
  <c r="C17" i="5349"/>
  <c r="H2" i="5349"/>
  <c r="H4" i="5349"/>
  <c r="H3" i="5349"/>
  <c r="H11" i="5349"/>
  <c r="H36" i="5351"/>
  <c r="H41" i="5351"/>
  <c r="H4" i="5351"/>
  <c r="C18" i="5351"/>
  <c r="H13" i="5351"/>
  <c r="H20" i="5351"/>
  <c r="H46" i="5351"/>
  <c r="H6" i="5351"/>
  <c r="H17" i="5351"/>
  <c r="H14" i="5351"/>
  <c r="H26" i="5351"/>
  <c r="H16" i="5351"/>
  <c r="H25" i="5351"/>
  <c r="H48" i="5351"/>
  <c r="H8" i="5351"/>
  <c r="H22" i="5351"/>
  <c r="H23" i="5351"/>
  <c r="C17" i="5351"/>
  <c r="H15" i="5351"/>
  <c r="B23" i="5351"/>
  <c r="H27" i="5351"/>
  <c r="H38" i="5351"/>
  <c r="H44" i="5351"/>
  <c r="H49" i="5351"/>
  <c r="H11" i="5351"/>
  <c r="H3" i="5351"/>
  <c r="C19" i="5351"/>
  <c r="H33" i="5351"/>
  <c r="H21" i="5351"/>
  <c r="H37" i="5351"/>
  <c r="H42" i="5351"/>
  <c r="H5" i="5351"/>
  <c r="H10" i="5351"/>
  <c r="H7" i="5351"/>
  <c r="H12" i="5351"/>
  <c r="H29" i="5351"/>
  <c r="H19" i="5351"/>
  <c r="H9" i="5351"/>
  <c r="H35" i="5351"/>
  <c r="H40" i="5351"/>
  <c r="H45" i="5351"/>
  <c r="H50" i="5351"/>
  <c r="H31" i="5351"/>
  <c r="H32" i="5351"/>
  <c r="H24" i="5351"/>
  <c r="H34" i="5351"/>
  <c r="H18" i="5351"/>
  <c r="H28" i="5351"/>
  <c r="H39" i="5351"/>
  <c r="H43" i="5351"/>
  <c r="H47" i="5351"/>
  <c r="H34" i="5349"/>
  <c r="H35" i="5349"/>
  <c r="H28" i="5349"/>
  <c r="H29" i="5349"/>
  <c r="H17" i="5349"/>
  <c r="H31" i="5349"/>
  <c r="H40" i="5349"/>
  <c r="H43" i="5349"/>
  <c r="H47" i="5349"/>
  <c r="H51" i="5349"/>
  <c r="H8" i="5349"/>
  <c r="H20" i="5349"/>
  <c r="H26" i="5349"/>
  <c r="C19" i="5349"/>
  <c r="H14" i="5349"/>
  <c r="H23" i="5349"/>
  <c r="H37" i="5349"/>
  <c r="H41" i="5349"/>
  <c r="H44" i="5349"/>
  <c r="H48" i="5349"/>
  <c r="H19" i="5349"/>
  <c r="H9" i="5349"/>
  <c r="H6" i="5349"/>
  <c r="H12" i="5349"/>
  <c r="H22" i="5349"/>
  <c r="H18" i="5349"/>
  <c r="H15" i="5349"/>
  <c r="H27" i="5349"/>
  <c r="H13" i="5349"/>
  <c r="H10" i="5349"/>
  <c r="H25" i="5349"/>
  <c r="H38" i="5349"/>
  <c r="H32" i="5349"/>
  <c r="H45" i="5349"/>
  <c r="H49" i="5349"/>
  <c r="H5" i="5349"/>
  <c r="H7" i="5349"/>
  <c r="H21" i="5349"/>
  <c r="H33" i="5349"/>
  <c r="H16" i="5349"/>
  <c r="C18" i="5349"/>
  <c r="B23" i="5349"/>
  <c r="H24" i="5349"/>
  <c r="H30" i="5349"/>
  <c r="H36" i="5349"/>
  <c r="H39" i="5349"/>
  <c r="H42" i="5349"/>
  <c r="H46" i="534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<sst xmlns="http://schemas.openxmlformats.org/spreadsheetml/2006/main" count="3214" uniqueCount="237">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</sst>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全体!$K$2:$K$539</c:f>
              <c:numCache>
                <c:formatCode>General</c:formatCode>
                <c:ptCount val="5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</c:numCache>
            </c:numRef>
          </c:xVal>
          <c:yVal>
            <c:numRef>
              <c:f>全体!$L$2:$L$539</c:f>
              <c:numCache>
                <c:formatCode>\+0.0;\-0.0;\±0</c:formatCode>
                <c:ptCount val="53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37.400000000000006</c:v>
                </c:pt>
                <c:pt idx="527">
                  <c:v>-5.5999999999999943</c:v>
                </c:pt>
                <c:pt idx="528">
                  <c:v>5.3290705182007514E-15</c:v>
                </c:pt>
                <c:pt idx="529">
                  <c:v>5.3290705182007514E-15</c:v>
                </c:pt>
                <c:pt idx="530">
                  <c:v>-56.999999999999993</c:v>
                </c:pt>
                <c:pt idx="531">
                  <c:v>7.1054273576010019E-15</c:v>
                </c:pt>
                <c:pt idx="532">
                  <c:v>-23.699999999999992</c:v>
                </c:pt>
                <c:pt idx="533">
                  <c:v>-1.2999999999999936</c:v>
                </c:pt>
                <c:pt idx="534">
                  <c:v>6.4392935428259079E-15</c:v>
                </c:pt>
                <c:pt idx="535">
                  <c:v>-2.9999999999999938</c:v>
                </c:pt>
                <c:pt idx="536">
                  <c:v>43.000000000000007</c:v>
                </c:pt>
                <c:pt idx="537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2-463D-89A1-B83358BFB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-14.8975791433892</c:v>
                </c:pt>
                <c:pt idx="1">
                  <c:v>-7.6190476190476186</c:v>
                </c:pt>
                <c:pt idx="2">
                  <c:v>12.121212121212121</c:v>
                </c:pt>
                <c:pt idx="3">
                  <c:v>6.7114093959731544</c:v>
                </c:pt>
                <c:pt idx="4">
                  <c:v>-14.925373134328359</c:v>
                </c:pt>
                <c:pt idx="5">
                  <c:v>24.590163934426229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4C-4F9F-A36B-2D59FF6E1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だいち!$K$2:$K$121</c:f>
              <c:numCache>
                <c:formatCode>General</c:formatCode>
                <c:ptCount val="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</c:numCache>
            </c:numRef>
          </c:xVal>
          <c:yVal>
            <c:numRef>
              <c:f>だいち!$L$2:$L$121</c:f>
              <c:numCache>
                <c:formatCode>\+0.0;\-0.0;\±0</c:formatCode>
                <c:ptCount val="1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1509.3000000000011</c:v>
                </c:pt>
                <c:pt idx="118">
                  <c:v>1509.3000000000011</c:v>
                </c:pt>
                <c:pt idx="119">
                  <c:v>1506.3000000000011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46-45A4-9EE3-89C56C633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1674.7899159663866</c:v>
                </c:pt>
                <c:pt idx="1">
                  <c:v>1326.7241379310344</c:v>
                </c:pt>
                <c:pt idx="2">
                  <c:v>1449.090909090909</c:v>
                </c:pt>
                <c:pt idx="3">
                  <c:v>2241</c:v>
                </c:pt>
                <c:pt idx="4">
                  <c:v>781.81818181818187</c:v>
                </c:pt>
                <c:pt idx="5">
                  <c:v>715.38461538461536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63-4297-A561-17FC5A8FB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りくと!$K$2:$K$116</c:f>
              <c:numCache>
                <c:formatCode>General</c:formatCode>
                <c:ptCount val="1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</c:numCache>
            </c:numRef>
          </c:xVal>
          <c:yVal>
            <c:numRef>
              <c:f>りくと!$L$2:$L$116</c:f>
              <c:numCache>
                <c:formatCode>\+0.0;\-0.0;\±0</c:formatCode>
                <c:ptCount val="11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0-4704-80C0-AA9F69FDD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518.42105263157896</c:v>
                </c:pt>
                <c:pt idx="1">
                  <c:v>-2330</c:v>
                </c:pt>
                <c:pt idx="2">
                  <c:v>118.69158878504673</c:v>
                </c:pt>
                <c:pt idx="3">
                  <c:v>340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E7-48E2-8D56-9B22A45E2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ただ!$L$2:$L$66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6B-4A9F-8FFE-BE65E4F29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-1973.4375</c:v>
                </c:pt>
                <c:pt idx="1">
                  <c:v>-1333.8709677419354</c:v>
                </c:pt>
                <c:pt idx="2">
                  <c:v>-1018.9655172413793</c:v>
                </c:pt>
                <c:pt idx="3">
                  <c:v>-5580</c:v>
                </c:pt>
                <c:pt idx="4">
                  <c:v>-1686.3636363636363</c:v>
                </c:pt>
                <c:pt idx="5">
                  <c:v>-2143.9024390243903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DC-43B6-A3FE-B1AD94716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れんたろう!$L$2:$L$76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41.299999999999983</c:v>
                </c:pt>
                <c:pt idx="74">
                  <c:v>87.299999999999983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6-4A35-A5B5-C39E1C58C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-1167.5675675675675</c:v>
                </c:pt>
                <c:pt idx="1">
                  <c:v>401.36986301369865</c:v>
                </c:pt>
                <c:pt idx="2">
                  <c:v>1682.3529411764705</c:v>
                </c:pt>
                <c:pt idx="3">
                  <c:v>2403.4482758620688</c:v>
                </c:pt>
                <c:pt idx="4">
                  <c:v>-838.46153846153845</c:v>
                </c:pt>
                <c:pt idx="5">
                  <c:v>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C3-4EC1-AE2F-4237D572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たかの!$L$2:$L$61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A-485E-B112-C8EF44B11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445.76271186440675</c:v>
                </c:pt>
                <c:pt idx="1">
                  <c:v>100</c:v>
                </c:pt>
                <c:pt idx="2">
                  <c:v>-1135.8490566037735</c:v>
                </c:pt>
                <c:pt idx="3">
                  <c:v>372</c:v>
                </c:pt>
                <c:pt idx="4">
                  <c:v>661.22448979591832</c:v>
                </c:pt>
                <c:pt idx="5">
                  <c:v>-351.16279069767444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A-479E-834A-60E490593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ぱぱ!$L$2:$L$43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C3-4BCA-A18F-C8CC988DA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-3139.0243902439024</c:v>
                </c:pt>
                <c:pt idx="1">
                  <c:v>2056.0975609756097</c:v>
                </c:pt>
                <c:pt idx="2">
                  <c:v>-987.17948717948718</c:v>
                </c:pt>
                <c:pt idx="3">
                  <c:v>-3933.3333333333335</c:v>
                </c:pt>
                <c:pt idx="4">
                  <c:v>-46.875</c:v>
                </c:pt>
                <c:pt idx="5">
                  <c:v>270.96774193548384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8-4B5A-8C1E-20246559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7-4F93-A59E-A54AEE422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1352.3809523809523</c:v>
                </c:pt>
                <c:pt idx="1">
                  <c:v>1087.5</c:v>
                </c:pt>
                <c:pt idx="2">
                  <c:v>-1263.8888888888889</c:v>
                </c:pt>
                <c:pt idx="3">
                  <c:v>1545.7142857142858</c:v>
                </c:pt>
                <c:pt idx="4">
                  <c:v>-1325.8064516129032</c:v>
                </c:pt>
                <c:pt idx="5">
                  <c:v>307.69230769230768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1-47FC-9F4C-EE8E3AC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2-4B80-8709-CAB2929B6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A-4A0E-BCDA-FBC9C8598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いっしー!$L$2:$L$14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5-43BE-9105-224ED6C21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-508.33333333333331</c:v>
                </c:pt>
                <c:pt idx="1">
                  <c:v>-1075</c:v>
                </c:pt>
                <c:pt idx="2">
                  <c:v>-550</c:v>
                </c:pt>
                <c:pt idx="3">
                  <c:v>-3772.7272727272725</c:v>
                </c:pt>
                <c:pt idx="4">
                  <c:v>390.90909090909093</c:v>
                </c:pt>
                <c:pt idx="5">
                  <c:v>-3072.7272727272725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8F-4052-B45F-DCA786442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9-4C52-BF0C-3F113019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15-4EEC-A322-F8E81D2A6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4A-4CE0-B6A2-15564B389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8-4664-8683-A65677997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E-4D0D-805A-ECB2884B9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7-4FDD-8A35-6394E1095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まっつん2!$B$3:$B$45</c:f>
              <c:numCache>
                <c:formatCode>\+0.0;\-0.0;\±0</c:formatCode>
                <c:ptCount val="4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まっつん2!$C$3:$C$45</c:f>
              <c:numCache>
                <c:formatCode>\+0.0;\-0.0;\±0</c:formatCode>
                <c:ptCount val="43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323170830093296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まっつん2!$D$3:$D$45</c:f>
              <c:numCache>
                <c:formatCode>0.00\ "位"</c:formatCode>
                <c:ptCount val="43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まっつん2!$E$3:$E$45</c:f>
              <c:numCache>
                <c:formatCode>0.0%</c:formatCode>
                <c:ptCount val="4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まっつん2!$F$3:$F$45</c:f>
              <c:numCache>
                <c:formatCode>0.0%</c:formatCode>
                <c:ptCount val="4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まっつん2!$G$3:$G$45</c:f>
              <c:numCache>
                <c:formatCode>0.0%</c:formatCode>
                <c:ptCount val="43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334448160535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まっつん2!$H$3:$H$45</c:f>
              <c:numCache>
                <c:formatCode>0.0%</c:formatCode>
                <c:ptCount val="43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332218506131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まっつん2!$I$3:$I$45</c:f>
              <c:numCache>
                <c:formatCode>0</c:formatCode>
                <c:ptCount val="43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64.88492947290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まっつん2!$J$3:$J$45</c:f>
              <c:numCache>
                <c:formatCode>0</c:formatCode>
                <c:ptCount val="43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26.0053619302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まっつん2!$K$3:$K$45</c:f>
              <c:numCache>
                <c:formatCode>0.0%</c:formatCode>
                <c:ptCount val="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3594040968342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まっつん2!$L$3:$L$45</c:f>
              <c:numCache>
                <c:formatCode>0.0%</c:formatCode>
                <c:ptCount val="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3594040968342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まっつん2!$M$3:$M$45</c:f>
              <c:numCache>
                <c:formatCode>0.0%</c:formatCode>
                <c:ptCount val="43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929765886287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まっつん2!$N$3:$N$45</c:f>
              <c:numCache>
                <c:formatCode>0.0%</c:formatCode>
                <c:ptCount val="43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587513935340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まっつん2!$O$3:$O$45</c:f>
              <c:numCache>
                <c:formatCode>0.0%</c:formatCode>
                <c:ptCount val="43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433253397282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まっつん2!$P$3:$P$45</c:f>
              <c:numCache>
                <c:formatCode>0.0%</c:formatCode>
                <c:ptCount val="43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9361702127659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まっつん2!$Q$3:$Q$45</c:f>
              <c:numCache>
                <c:formatCode>0.0%</c:formatCode>
                <c:ptCount val="43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237564959168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4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43607.939467592594</v>
      </c>
      <c r="C44" s="30" t="s">
        <v>130</v>
      </c>
    </row>
    <row r="45" spans="1:11" x14ac:dyDescent="0.4">
      <c r="A45" s="30" t="s">
        <v>232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43608.535393518519</v>
      </c>
      <c r="C47" s="30" t="s">
        <v>130</v>
      </c>
    </row>
    <row r="48" spans="1:11" x14ac:dyDescent="0.4">
      <c r="A48" s="30" t="s">
        <v>236</v>
      </c>
      <c r="B48" s="31">
        <v>43609.016342592593</v>
      </c>
      <c r="C48" s="30" t="s">
        <v>130</v>
      </c>
      <c r="D48" s="30" t="s">
        <v>131</v>
      </c>
      <c r="E48" s="30" t="s">
        <v>169</v>
      </c>
      <c r="F48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537</v>
      </c>
    </row>
    <row r="2" spans="1:2" x14ac:dyDescent="0.4">
      <c r="A2" t="s">
        <v>127</v>
      </c>
      <c r="B2">
        <v>119</v>
      </c>
    </row>
    <row r="3" spans="1:2" x14ac:dyDescent="0.4">
      <c r="A3" t="s">
        <v>128</v>
      </c>
      <c r="B3">
        <v>114</v>
      </c>
    </row>
    <row r="4" spans="1:2" x14ac:dyDescent="0.4">
      <c r="A4" t="s">
        <v>129</v>
      </c>
      <c r="B4">
        <v>64</v>
      </c>
    </row>
    <row r="5" spans="1:2" x14ac:dyDescent="0.4">
      <c r="A5" t="s">
        <v>171</v>
      </c>
      <c r="B5">
        <v>74</v>
      </c>
    </row>
    <row r="6" spans="1:2" x14ac:dyDescent="0.4">
      <c r="A6" t="s">
        <v>172</v>
      </c>
      <c r="B6">
        <v>59</v>
      </c>
    </row>
    <row r="7" spans="1:2" x14ac:dyDescent="0.4">
      <c r="A7" t="s">
        <v>173</v>
      </c>
      <c r="B7">
        <v>41</v>
      </c>
    </row>
    <row r="8" spans="1:2" x14ac:dyDescent="0.4">
      <c r="A8" t="s">
        <v>177</v>
      </c>
      <c r="B8">
        <v>42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12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0.41013342789988</v>
      </c>
      <c r="G2" s="159"/>
      <c r="H2" s="158">
        <v>7.1154533442773782E-2</v>
      </c>
      <c r="I2" s="159"/>
      <c r="J2" s="158">
        <v>0.60339158476325261</v>
      </c>
      <c r="K2" s="159"/>
      <c r="L2" s="158">
        <v>0.20422767682777521</v>
      </c>
      <c r="M2" s="159"/>
      <c r="N2" s="158">
        <v>0.46088147090707043</v>
      </c>
      <c r="O2" s="159"/>
      <c r="P2" s="158">
        <v>0.46906351124493378</v>
      </c>
      <c r="Q2" s="159"/>
      <c r="R2" s="158">
        <v>-4.7269721629395092E-2</v>
      </c>
      <c r="S2" s="159"/>
      <c r="T2" s="158">
        <v>0.23683029417985652</v>
      </c>
      <c r="U2" s="159"/>
      <c r="V2" s="158">
        <v>0.6847554025991287</v>
      </c>
      <c r="W2" s="159"/>
      <c r="X2" s="158">
        <v>0.8391322272134536</v>
      </c>
      <c r="Y2" s="159"/>
      <c r="Z2" s="158">
        <v>-0.10300651657456718</v>
      </c>
      <c r="AA2" s="159"/>
      <c r="AB2" s="158">
        <v>-0.34859027077348642</v>
      </c>
      <c r="AC2" s="159"/>
      <c r="AD2" s="158">
        <v>-2.4001653648411218E-2</v>
      </c>
      <c r="AE2" s="159"/>
      <c r="AF2" s="158">
        <v>-0.46479044791702556</v>
      </c>
      <c r="AG2" s="159"/>
      <c r="AH2" s="158">
        <v>0.72764231163311155</v>
      </c>
      <c r="AI2" s="159"/>
    </row>
    <row r="3" spans="1:35" x14ac:dyDescent="0.4">
      <c r="A3" s="74">
        <v>1</v>
      </c>
      <c r="B3" s="75" t="s">
        <v>127</v>
      </c>
      <c r="C3" s="76">
        <v>1506.3000000000011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0.17647058823529413</v>
      </c>
      <c r="X3" s="77" t="s">
        <v>225</v>
      </c>
      <c r="Y3" s="80">
        <v>0.375</v>
      </c>
      <c r="Z3" s="77" t="s">
        <v>172</v>
      </c>
      <c r="AA3" s="80">
        <v>0.28875968992248063</v>
      </c>
      <c r="AB3" s="77" t="s">
        <v>225</v>
      </c>
      <c r="AC3" s="80">
        <v>1</v>
      </c>
      <c r="AD3" s="77" t="s">
        <v>127</v>
      </c>
      <c r="AE3" s="80">
        <v>0.50704225352112675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97.600000000000009</v>
      </c>
      <c r="D4" s="85" t="s">
        <v>224</v>
      </c>
      <c r="E4" s="97">
        <v>13.3</v>
      </c>
      <c r="F4" s="85" t="s">
        <v>127</v>
      </c>
      <c r="G4" s="86">
        <v>1.73109243697479</v>
      </c>
      <c r="H4" s="85" t="s">
        <v>127</v>
      </c>
      <c r="I4" s="87">
        <v>0.49579831932773111</v>
      </c>
      <c r="J4" s="85" t="s">
        <v>224</v>
      </c>
      <c r="K4" s="87">
        <v>0</v>
      </c>
      <c r="L4" s="85" t="s">
        <v>172</v>
      </c>
      <c r="M4" s="88">
        <v>0.36434108527131781</v>
      </c>
      <c r="N4" s="85" t="s">
        <v>185</v>
      </c>
      <c r="O4" s="88">
        <v>0.10526315789473684</v>
      </c>
      <c r="P4" s="85" t="s">
        <v>171</v>
      </c>
      <c r="Q4" s="89">
        <v>9780.113636363636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0.12162162162162163</v>
      </c>
      <c r="X4" s="85" t="s">
        <v>127</v>
      </c>
      <c r="Y4" s="88">
        <v>0.32815734989648032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171</v>
      </c>
      <c r="C5" s="84">
        <v>87.299999999999983</v>
      </c>
      <c r="D5" s="85" t="s">
        <v>127</v>
      </c>
      <c r="E5" s="97">
        <v>12.657983193277319</v>
      </c>
      <c r="F5" s="85" t="s">
        <v>177</v>
      </c>
      <c r="G5" s="86">
        <v>1.9285714285714286</v>
      </c>
      <c r="H5" s="85" t="s">
        <v>186</v>
      </c>
      <c r="I5" s="87">
        <v>0.41666666666666669</v>
      </c>
      <c r="J5" s="85" t="s">
        <v>202</v>
      </c>
      <c r="K5" s="87">
        <v>0.14285714285714285</v>
      </c>
      <c r="L5" s="85" t="s">
        <v>127</v>
      </c>
      <c r="M5" s="88">
        <v>0.34886128364389235</v>
      </c>
      <c r="N5" s="85" t="s">
        <v>172</v>
      </c>
      <c r="O5" s="88">
        <v>0.12790697674418605</v>
      </c>
      <c r="P5" s="85" t="s">
        <v>128</v>
      </c>
      <c r="Q5" s="89">
        <v>9304.2635658914733</v>
      </c>
      <c r="R5" s="85" t="s">
        <v>128</v>
      </c>
      <c r="S5" s="89">
        <v>-7563.125</v>
      </c>
      <c r="T5" s="85" t="s">
        <v>224</v>
      </c>
      <c r="U5" s="87">
        <v>0</v>
      </c>
      <c r="V5" s="85" t="s">
        <v>177</v>
      </c>
      <c r="W5" s="87">
        <v>0.11904761904761904</v>
      </c>
      <c r="X5" s="85" t="s">
        <v>128</v>
      </c>
      <c r="Y5" s="88">
        <v>0.29755579171094582</v>
      </c>
      <c r="Z5" s="85" t="s">
        <v>173</v>
      </c>
      <c r="AA5" s="88">
        <v>0.25352112676056338</v>
      </c>
      <c r="AB5" s="85" t="s">
        <v>177</v>
      </c>
      <c r="AC5" s="88">
        <v>0.69411764705882351</v>
      </c>
      <c r="AD5" s="85" t="s">
        <v>186</v>
      </c>
      <c r="AE5" s="88">
        <v>0.45</v>
      </c>
      <c r="AF5" s="85" t="s">
        <v>173</v>
      </c>
      <c r="AG5" s="88">
        <v>0.51923076923076927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177</v>
      </c>
      <c r="E6" s="97">
        <v>2.323809523809524</v>
      </c>
      <c r="F6" s="85" t="s">
        <v>145</v>
      </c>
      <c r="G6" s="86">
        <v>2</v>
      </c>
      <c r="H6" s="85" t="s">
        <v>177</v>
      </c>
      <c r="I6" s="87">
        <v>0.40476190476190477</v>
      </c>
      <c r="J6" s="85" t="s">
        <v>127</v>
      </c>
      <c r="K6" s="87">
        <v>0.22689075630252101</v>
      </c>
      <c r="L6" s="85" t="s">
        <v>177</v>
      </c>
      <c r="M6" s="88">
        <v>0.30791788856304986</v>
      </c>
      <c r="N6" s="85" t="s">
        <v>127</v>
      </c>
      <c r="O6" s="88">
        <v>0.15113871635610765</v>
      </c>
      <c r="P6" s="85" t="s">
        <v>127</v>
      </c>
      <c r="Q6" s="89">
        <v>9143.6201780415431</v>
      </c>
      <c r="R6" s="85" t="s">
        <v>177</v>
      </c>
      <c r="S6" s="89">
        <v>-7670.3703703703704</v>
      </c>
      <c r="T6" s="85" t="s">
        <v>225</v>
      </c>
      <c r="U6" s="87">
        <v>0</v>
      </c>
      <c r="V6" s="85" t="s">
        <v>145</v>
      </c>
      <c r="W6" s="87">
        <v>0.11359404096834265</v>
      </c>
      <c r="X6" s="85" t="s">
        <v>171</v>
      </c>
      <c r="Y6" s="88">
        <v>0.2857142857142857</v>
      </c>
      <c r="Z6" s="85" t="s">
        <v>127</v>
      </c>
      <c r="AA6" s="88">
        <v>0.22049689440993789</v>
      </c>
      <c r="AB6" s="85" t="s">
        <v>186</v>
      </c>
      <c r="AC6" s="88">
        <v>0.625</v>
      </c>
      <c r="AD6" s="85" t="s">
        <v>172</v>
      </c>
      <c r="AE6" s="88">
        <v>0.44295302013422821</v>
      </c>
      <c r="AF6" s="85" t="s">
        <v>129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172</v>
      </c>
      <c r="C7" s="84">
        <v>21.999999999999986</v>
      </c>
      <c r="D7" s="85" t="s">
        <v>171</v>
      </c>
      <c r="E7" s="97">
        <v>1.1797297297297296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0.30508474576271188</v>
      </c>
      <c r="L7" s="85" t="s">
        <v>202</v>
      </c>
      <c r="M7" s="88">
        <v>0.30434782608695654</v>
      </c>
      <c r="N7" s="85" t="s">
        <v>177</v>
      </c>
      <c r="O7" s="88">
        <v>0.15835777126099707</v>
      </c>
      <c r="P7" s="85" t="s">
        <v>129</v>
      </c>
      <c r="Q7" s="89">
        <v>9125.8333333333339</v>
      </c>
      <c r="R7" s="85" t="s">
        <v>173</v>
      </c>
      <c r="S7" s="89">
        <v>-7689.7058823529414</v>
      </c>
      <c r="T7" s="85" t="s">
        <v>172</v>
      </c>
      <c r="U7" s="87">
        <v>5.0847457627118647E-2</v>
      </c>
      <c r="V7" s="85" t="s">
        <v>129</v>
      </c>
      <c r="W7" s="87">
        <v>0.109375</v>
      </c>
      <c r="X7" s="85" t="s">
        <v>145</v>
      </c>
      <c r="Y7" s="88">
        <v>0.27892976588628765</v>
      </c>
      <c r="Z7" s="85" t="s">
        <v>185</v>
      </c>
      <c r="AA7" s="88">
        <v>0.21052631578947367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186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0.37288135593220317</v>
      </c>
      <c r="F8" s="85" t="s">
        <v>224</v>
      </c>
      <c r="G8" s="86">
        <v>2</v>
      </c>
      <c r="H8" s="85" t="s">
        <v>171</v>
      </c>
      <c r="I8" s="87">
        <v>0.29729729729729731</v>
      </c>
      <c r="J8" s="85" t="s">
        <v>177</v>
      </c>
      <c r="K8" s="87">
        <v>0.33333333333333331</v>
      </c>
      <c r="L8" s="85" t="s">
        <v>145</v>
      </c>
      <c r="M8" s="88">
        <v>0.30033444816053512</v>
      </c>
      <c r="N8" s="85" t="s">
        <v>145</v>
      </c>
      <c r="O8" s="88">
        <v>0.16633221850613156</v>
      </c>
      <c r="P8" s="85" t="s">
        <v>177</v>
      </c>
      <c r="Q8" s="89">
        <v>8869.5238095238092</v>
      </c>
      <c r="R8" s="85" t="s">
        <v>186</v>
      </c>
      <c r="S8" s="89">
        <v>-7700</v>
      </c>
      <c r="T8" s="85" t="s">
        <v>171</v>
      </c>
      <c r="U8" s="87">
        <v>6.7567567567567571E-2</v>
      </c>
      <c r="V8" s="85" t="s">
        <v>172</v>
      </c>
      <c r="W8" s="87">
        <v>0.10169491525423729</v>
      </c>
      <c r="X8" s="85" t="s">
        <v>129</v>
      </c>
      <c r="Y8" s="88">
        <v>0.26981132075471698</v>
      </c>
      <c r="Z8" s="85" t="s">
        <v>145</v>
      </c>
      <c r="AA8" s="88">
        <v>0.20958751393534003</v>
      </c>
      <c r="AB8" s="85" t="s">
        <v>173</v>
      </c>
      <c r="AC8" s="88">
        <v>0.59756097560975607</v>
      </c>
      <c r="AD8" s="85" t="s">
        <v>171</v>
      </c>
      <c r="AE8" s="88">
        <v>0.40517241379310343</v>
      </c>
      <c r="AF8" s="85" t="s">
        <v>224</v>
      </c>
      <c r="AG8" s="88">
        <v>0.5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7.1054273576010019E-15</v>
      </c>
      <c r="D9" s="85" t="s">
        <v>145</v>
      </c>
      <c r="E9" s="97">
        <v>1.3231708300932964E-17</v>
      </c>
      <c r="F9" s="85" t="s">
        <v>172</v>
      </c>
      <c r="G9" s="86">
        <v>2.0338983050847457</v>
      </c>
      <c r="H9" s="85" t="s">
        <v>128</v>
      </c>
      <c r="I9" s="87">
        <v>0.27192982456140352</v>
      </c>
      <c r="J9" s="85" t="s">
        <v>145</v>
      </c>
      <c r="K9" s="87">
        <v>0.33333333333333331</v>
      </c>
      <c r="L9" s="85" t="s">
        <v>173</v>
      </c>
      <c r="M9" s="88">
        <v>0.29295774647887324</v>
      </c>
      <c r="N9" s="85" t="s">
        <v>128</v>
      </c>
      <c r="O9" s="88">
        <v>0.17003188097768332</v>
      </c>
      <c r="P9" s="85" t="s">
        <v>225</v>
      </c>
      <c r="Q9" s="89">
        <v>8666.6666666666661</v>
      </c>
      <c r="R9" s="85" t="s">
        <v>171</v>
      </c>
      <c r="S9" s="89">
        <v>-7870.7547169811323</v>
      </c>
      <c r="T9" s="85" t="s">
        <v>127</v>
      </c>
      <c r="U9" s="87">
        <v>0.1092436974789916</v>
      </c>
      <c r="V9" s="85" t="s">
        <v>128</v>
      </c>
      <c r="W9" s="87">
        <v>9.6491228070175433E-2</v>
      </c>
      <c r="X9" s="85" t="s">
        <v>185</v>
      </c>
      <c r="Y9" s="88">
        <v>0.26315789473684209</v>
      </c>
      <c r="Z9" s="85" t="s">
        <v>177</v>
      </c>
      <c r="AA9" s="88">
        <v>0.20527859237536658</v>
      </c>
      <c r="AB9" s="85" t="s">
        <v>128</v>
      </c>
      <c r="AC9" s="88">
        <v>0.5892857142857143</v>
      </c>
      <c r="AD9" s="85" t="s">
        <v>145</v>
      </c>
      <c r="AE9" s="88">
        <v>0.38936170212765958</v>
      </c>
      <c r="AF9" s="85" t="s">
        <v>145</v>
      </c>
      <c r="AG9" s="88">
        <v>0.44023756495916855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-2.183333333333334</v>
      </c>
      <c r="F10" s="85" t="s">
        <v>171</v>
      </c>
      <c r="G10" s="86">
        <v>2.0540540540540539</v>
      </c>
      <c r="H10" s="85" t="s">
        <v>172</v>
      </c>
      <c r="I10" s="87">
        <v>0.2711864406779661</v>
      </c>
      <c r="J10" s="85" t="s">
        <v>128</v>
      </c>
      <c r="K10" s="87">
        <v>0.34210526315789475</v>
      </c>
      <c r="L10" s="85" t="s">
        <v>171</v>
      </c>
      <c r="M10" s="88">
        <v>0.2825040128410915</v>
      </c>
      <c r="N10" s="85" t="s">
        <v>171</v>
      </c>
      <c r="O10" s="88">
        <v>0.17014446227929375</v>
      </c>
      <c r="P10" s="85" t="s">
        <v>145</v>
      </c>
      <c r="Q10" s="89">
        <v>8664.8849294729025</v>
      </c>
      <c r="R10" s="85" t="s">
        <v>145</v>
      </c>
      <c r="S10" s="89">
        <v>-8226.0053619302944</v>
      </c>
      <c r="T10" s="85" t="s">
        <v>145</v>
      </c>
      <c r="U10" s="87">
        <v>0.11359404096834265</v>
      </c>
      <c r="V10" s="85" t="s">
        <v>173</v>
      </c>
      <c r="W10" s="87">
        <v>4.878048780487805E-2</v>
      </c>
      <c r="X10" s="85" t="s">
        <v>177</v>
      </c>
      <c r="Y10" s="88">
        <v>0.24926686217008798</v>
      </c>
      <c r="Z10" s="85" t="s">
        <v>186</v>
      </c>
      <c r="AA10" s="88">
        <v>0.19230769230769232</v>
      </c>
      <c r="AB10" s="85" t="s">
        <v>145</v>
      </c>
      <c r="AC10" s="88">
        <v>0.5843325339728217</v>
      </c>
      <c r="AD10" s="85" t="s">
        <v>177</v>
      </c>
      <c r="AE10" s="88">
        <v>0.37142857142857144</v>
      </c>
      <c r="AF10" s="85" t="s">
        <v>128</v>
      </c>
      <c r="AG10" s="88">
        <v>0.4263565891472868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128</v>
      </c>
      <c r="G11" s="86">
        <v>2.0701754385964914</v>
      </c>
      <c r="H11" s="85" t="s">
        <v>173</v>
      </c>
      <c r="I11" s="87">
        <v>0.26829268292682928</v>
      </c>
      <c r="J11" s="85" t="s">
        <v>171</v>
      </c>
      <c r="K11" s="87">
        <v>0.35135135135135137</v>
      </c>
      <c r="L11" s="85" t="s">
        <v>128</v>
      </c>
      <c r="M11" s="88">
        <v>0.27417640807651433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-8356.1643835616433</v>
      </c>
      <c r="T11" s="85" t="s">
        <v>173</v>
      </c>
      <c r="U11" s="87">
        <v>0.12195121951219512</v>
      </c>
      <c r="V11" s="85" t="s">
        <v>186</v>
      </c>
      <c r="W11" s="87">
        <v>0</v>
      </c>
      <c r="X11" s="85" t="s">
        <v>202</v>
      </c>
      <c r="Y11" s="88">
        <v>0.24637681159420291</v>
      </c>
      <c r="Z11" s="85" t="s">
        <v>171</v>
      </c>
      <c r="AA11" s="88">
        <v>0.18619582664526485</v>
      </c>
      <c r="AB11" s="85" t="s">
        <v>171</v>
      </c>
      <c r="AC11" s="88">
        <v>0.5842696629213483</v>
      </c>
      <c r="AD11" s="85" t="s">
        <v>173</v>
      </c>
      <c r="AE11" s="88">
        <v>0.32222222222222224</v>
      </c>
      <c r="AF11" s="85" t="s">
        <v>171</v>
      </c>
      <c r="AG11" s="88">
        <v>0.42613636363636365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-116.6</v>
      </c>
      <c r="D12" s="85" t="s">
        <v>173</v>
      </c>
      <c r="E12" s="97">
        <v>-7.4048780487804873</v>
      </c>
      <c r="F12" s="85" t="s">
        <v>186</v>
      </c>
      <c r="G12" s="86">
        <v>2.0833333333333335</v>
      </c>
      <c r="H12" s="85" t="s">
        <v>129</v>
      </c>
      <c r="I12" s="87">
        <v>0.234375</v>
      </c>
      <c r="J12" s="85" t="s">
        <v>173</v>
      </c>
      <c r="K12" s="87">
        <v>0.36585365853658536</v>
      </c>
      <c r="L12" s="85" t="s">
        <v>186</v>
      </c>
      <c r="M12" s="88">
        <v>0.26923076923076922</v>
      </c>
      <c r="N12" s="85" t="s">
        <v>173</v>
      </c>
      <c r="O12" s="88">
        <v>0.19154929577464788</v>
      </c>
      <c r="P12" s="85" t="s">
        <v>186</v>
      </c>
      <c r="Q12" s="89">
        <v>7700</v>
      </c>
      <c r="R12" s="85" t="s">
        <v>172</v>
      </c>
      <c r="S12" s="89">
        <v>-9269.69696969697</v>
      </c>
      <c r="T12" s="85" t="s">
        <v>128</v>
      </c>
      <c r="U12" s="87">
        <v>0.12280701754385964</v>
      </c>
      <c r="V12" s="85" t="s">
        <v>185</v>
      </c>
      <c r="W12" s="87">
        <v>0</v>
      </c>
      <c r="X12" s="85" t="s">
        <v>173</v>
      </c>
      <c r="Y12" s="88">
        <v>0.23098591549295774</v>
      </c>
      <c r="Z12" s="85" t="s">
        <v>128</v>
      </c>
      <c r="AA12" s="88">
        <v>0.18172157279489903</v>
      </c>
      <c r="AB12" s="85" t="s">
        <v>172</v>
      </c>
      <c r="AC12" s="88">
        <v>0.57894736842105265</v>
      </c>
      <c r="AD12" s="85" t="s">
        <v>128</v>
      </c>
      <c r="AE12" s="88">
        <v>0.2982456140350877</v>
      </c>
      <c r="AF12" s="85" t="s">
        <v>172</v>
      </c>
      <c r="AG12" s="88">
        <v>0.42021276595744683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128</v>
      </c>
      <c r="C13" s="84">
        <v>-248.90000000000009</v>
      </c>
      <c r="D13" s="85" t="s">
        <v>186</v>
      </c>
      <c r="E13" s="97">
        <v>-9.7166666666666668</v>
      </c>
      <c r="F13" s="85" t="s">
        <v>173</v>
      </c>
      <c r="G13" s="86">
        <v>2.0975609756097562</v>
      </c>
      <c r="H13" s="85" t="s">
        <v>202</v>
      </c>
      <c r="I13" s="87">
        <v>0.14285714285714285</v>
      </c>
      <c r="J13" s="85" t="s">
        <v>129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0.19622641509433963</v>
      </c>
      <c r="P13" s="85" t="s">
        <v>202</v>
      </c>
      <c r="Q13" s="89">
        <v>7438.0952380952385</v>
      </c>
      <c r="R13" s="85" t="s">
        <v>129</v>
      </c>
      <c r="S13" s="89">
        <v>-9557.6923076923085</v>
      </c>
      <c r="T13" s="85" t="s">
        <v>177</v>
      </c>
      <c r="U13" s="87">
        <v>0.16666666666666666</v>
      </c>
      <c r="V13" s="85" t="s">
        <v>202</v>
      </c>
      <c r="W13" s="87">
        <v>0</v>
      </c>
      <c r="X13" s="85" t="s">
        <v>186</v>
      </c>
      <c r="Y13" s="88">
        <v>0.23076923076923078</v>
      </c>
      <c r="Z13" s="85" t="s">
        <v>129</v>
      </c>
      <c r="AA13" s="88">
        <v>0.16226415094339622</v>
      </c>
      <c r="AB13" s="85" t="s">
        <v>127</v>
      </c>
      <c r="AC13" s="88">
        <v>0.57728706624605675</v>
      </c>
      <c r="AD13" s="85" t="s">
        <v>129</v>
      </c>
      <c r="AE13" s="88">
        <v>0.23255813953488372</v>
      </c>
      <c r="AF13" s="85" t="s">
        <v>177</v>
      </c>
      <c r="AG13" s="88">
        <v>0.41904761904761906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173</v>
      </c>
      <c r="C14" s="84">
        <v>-303.59999999999997</v>
      </c>
      <c r="D14" s="85" t="s">
        <v>129</v>
      </c>
      <c r="E14" s="97">
        <v>-16.501562499999995</v>
      </c>
      <c r="F14" s="85" t="s">
        <v>129</v>
      </c>
      <c r="G14" s="86">
        <v>2.265625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0.22641509433962265</v>
      </c>
      <c r="N14" s="85" t="s">
        <v>186</v>
      </c>
      <c r="O14" s="88">
        <v>0.23076923076923078</v>
      </c>
      <c r="P14" s="85" t="s">
        <v>173</v>
      </c>
      <c r="Q14" s="89">
        <v>7119.2307692307695</v>
      </c>
      <c r="R14" s="85" t="s">
        <v>224</v>
      </c>
      <c r="S14" s="89">
        <v>-12000</v>
      </c>
      <c r="T14" s="85" t="s">
        <v>186</v>
      </c>
      <c r="U14" s="87">
        <v>0.16666666666666666</v>
      </c>
      <c r="V14" s="85" t="s">
        <v>224</v>
      </c>
      <c r="W14" s="87">
        <v>0</v>
      </c>
      <c r="X14" s="85" t="s">
        <v>224</v>
      </c>
      <c r="Y14" s="88">
        <v>0.23076923076923078</v>
      </c>
      <c r="Z14" s="85" t="s">
        <v>225</v>
      </c>
      <c r="AA14" s="88">
        <v>0.125</v>
      </c>
      <c r="AB14" s="85" t="s">
        <v>129</v>
      </c>
      <c r="AC14" s="88">
        <v>0.49650349650349651</v>
      </c>
      <c r="AD14" s="85" t="s">
        <v>224</v>
      </c>
      <c r="AE14" s="88">
        <v>0</v>
      </c>
      <c r="AF14" s="85" t="s">
        <v>127</v>
      </c>
      <c r="AG14" s="88">
        <v>0.41839762611275966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-1056.0999999999997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6579.255319148936</v>
      </c>
      <c r="R15" s="85" t="s">
        <v>225</v>
      </c>
      <c r="S15" s="89">
        <v>-14000</v>
      </c>
      <c r="T15" s="85" t="s">
        <v>129</v>
      </c>
      <c r="U15" s="87">
        <v>0.1875</v>
      </c>
      <c r="V15" s="85" t="s">
        <v>225</v>
      </c>
      <c r="W15" s="87">
        <v>0</v>
      </c>
      <c r="X15" s="85" t="s">
        <v>172</v>
      </c>
      <c r="Y15" s="88">
        <v>0.22093023255813954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D851A-19D2-48E8-89FC-E1295470DCF3}">
  <sheetPr codeName="Sheet4"/>
  <dimension ref="A1:Q53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537</v>
      </c>
      <c r="C2" s="147"/>
      <c r="E2" s="62" t="s">
        <v>67</v>
      </c>
      <c r="F2" s="59" t="s">
        <v>23</v>
      </c>
      <c r="G2" s="46">
        <v>999</v>
      </c>
      <c r="H2" s="132">
        <f>IF(B$17=0,0,G2/B$17)</f>
        <v>0.74164810690423166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-14.8975791433892</v>
      </c>
      <c r="P2" s="118">
        <v>537</v>
      </c>
      <c r="Q2" s="102">
        <v>-8000</v>
      </c>
    </row>
    <row r="3" spans="1:17" x14ac:dyDescent="0.4">
      <c r="A3" s="55" t="s">
        <v>8</v>
      </c>
      <c r="B3" s="148">
        <v>4485</v>
      </c>
      <c r="C3" s="149"/>
      <c r="E3" s="63" t="s">
        <v>65</v>
      </c>
      <c r="F3" s="60" t="s">
        <v>21</v>
      </c>
      <c r="G3" s="47">
        <v>699</v>
      </c>
      <c r="H3" s="133">
        <f>IF(B$17=0,0,G3/B$17)</f>
        <v>0.51893095768374164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-7.6190476190476186</v>
      </c>
      <c r="P3" s="119">
        <v>525</v>
      </c>
      <c r="Q3" s="103">
        <v>-4000</v>
      </c>
    </row>
    <row r="4" spans="1:17" x14ac:dyDescent="0.4">
      <c r="A4" s="55" t="s">
        <v>6</v>
      </c>
      <c r="B4" s="150">
        <v>7.1054273576010019E-15</v>
      </c>
      <c r="C4" s="151"/>
      <c r="E4" s="63" t="s">
        <v>73</v>
      </c>
      <c r="F4" s="60" t="s">
        <v>28</v>
      </c>
      <c r="G4" s="47">
        <v>683</v>
      </c>
      <c r="H4" s="133">
        <f>IF(B$17=0,0,G4/B$17)</f>
        <v>0.50705270972531546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12.121212121212121</v>
      </c>
      <c r="P4" s="119">
        <v>495</v>
      </c>
      <c r="Q4" s="103">
        <v>6000</v>
      </c>
    </row>
    <row r="5" spans="1:17" x14ac:dyDescent="0.4">
      <c r="A5" s="55" t="s">
        <v>7</v>
      </c>
      <c r="B5" s="152">
        <f>IF(B$2=0,0,B$4/B$2)</f>
        <v>1.3231708300932964E-17</v>
      </c>
      <c r="C5" s="153"/>
      <c r="E5" s="63" t="s">
        <v>181</v>
      </c>
      <c r="F5" s="60" t="s">
        <v>182</v>
      </c>
      <c r="G5" s="47">
        <v>553</v>
      </c>
      <c r="H5" s="133">
        <f>IF(B$17=0,0,G5/B$17)</f>
        <v>0.41054194506310321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6.7114093959731544</v>
      </c>
      <c r="P5" s="119">
        <v>447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427</v>
      </c>
      <c r="H6" s="133">
        <f>IF(B$17=0,0,G6/B$17)</f>
        <v>0.31700074239049741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-14.925373134328359</v>
      </c>
      <c r="P6" s="119">
        <v>402</v>
      </c>
      <c r="Q6" s="103">
        <v>-6000</v>
      </c>
    </row>
    <row r="7" spans="1:17" x14ac:dyDescent="0.4">
      <c r="A7" s="55" t="s">
        <v>2</v>
      </c>
      <c r="B7" s="47">
        <v>179</v>
      </c>
      <c r="C7" s="39">
        <f>IF(B$2=0,0,B7/B$2)</f>
        <v>0.33333333333333331</v>
      </c>
      <c r="E7" s="63" t="s">
        <v>68</v>
      </c>
      <c r="F7" s="60" t="s">
        <v>24</v>
      </c>
      <c r="G7" s="47">
        <v>407</v>
      </c>
      <c r="H7" s="133">
        <f>IF(B$17=0,0,G7/B$17)</f>
        <v>0.30215293244246472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24.590163934426229</v>
      </c>
      <c r="P7" s="120">
        <v>366</v>
      </c>
      <c r="Q7" s="104">
        <v>9000</v>
      </c>
    </row>
    <row r="8" spans="1:17" x14ac:dyDescent="0.4">
      <c r="A8" s="55" t="s">
        <v>3</v>
      </c>
      <c r="B8" s="47">
        <v>179</v>
      </c>
      <c r="C8" s="39">
        <f>IF(B$2=0,0,B8/B$2)</f>
        <v>0.33333333333333331</v>
      </c>
      <c r="E8" s="63" t="s">
        <v>70</v>
      </c>
      <c r="F8" s="60" t="s">
        <v>25</v>
      </c>
      <c r="G8" s="47">
        <v>244</v>
      </c>
      <c r="H8" s="133">
        <f>IF(B$17=0,0,G8/B$17)</f>
        <v>0.18114328136599853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179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165</v>
      </c>
      <c r="H9" s="133">
        <f>IF(B$17=0,0,G9/B$17)</f>
        <v>0.12249443207126949</v>
      </c>
      <c r="I9" s="94">
        <v>4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61</v>
      </c>
      <c r="C10" s="40">
        <f>IF(B$2=0,0,B10/B$2)</f>
        <v>0.11359404096834265</v>
      </c>
      <c r="E10" s="63" t="s">
        <v>90</v>
      </c>
      <c r="F10" s="60" t="s">
        <v>45</v>
      </c>
      <c r="G10" s="47">
        <v>163</v>
      </c>
      <c r="H10" s="133">
        <f>IF(B$17=0,0,G10/B$17)</f>
        <v>0.12100965107646622</v>
      </c>
      <c r="I10" s="94">
        <v>8</v>
      </c>
      <c r="K10" s="38">
        <v>8</v>
      </c>
      <c r="L10" s="99">
        <v>19.699999999999996</v>
      </c>
      <c r="N10" s="114" t="s">
        <v>164</v>
      </c>
      <c r="O10" s="124">
        <f>IF(P10=0,0,Q10/P10)</f>
        <v>-1.8888268156424581</v>
      </c>
      <c r="P10" s="118">
        <v>179</v>
      </c>
      <c r="Q10" s="106">
        <v>-338.1</v>
      </c>
    </row>
    <row r="11" spans="1:17" x14ac:dyDescent="0.4">
      <c r="A11" s="56" t="s">
        <v>140</v>
      </c>
      <c r="B11" s="48">
        <v>61</v>
      </c>
      <c r="C11" s="40">
        <f>IF(B$2=0,0,B11/B$2)</f>
        <v>0.11359404096834265</v>
      </c>
      <c r="E11" s="63" t="s">
        <v>71</v>
      </c>
      <c r="F11" s="60" t="s">
        <v>26</v>
      </c>
      <c r="G11" s="47">
        <v>140</v>
      </c>
      <c r="H11" s="133">
        <f>IF(B$17=0,0,G11/B$17)</f>
        <v>0.10393466963622866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-1.0072625698324023</v>
      </c>
      <c r="P11" s="119">
        <v>179</v>
      </c>
      <c r="Q11" s="107">
        <v>-180.3</v>
      </c>
    </row>
    <row r="12" spans="1:17" x14ac:dyDescent="0.4">
      <c r="A12" s="57" t="s">
        <v>160</v>
      </c>
      <c r="B12" s="49">
        <v>45</v>
      </c>
      <c r="C12" s="42">
        <f>IF(B$2=0,0,B12/B$2)</f>
        <v>8.3798882681564241E-2</v>
      </c>
      <c r="E12" s="63" t="s">
        <v>72</v>
      </c>
      <c r="F12" s="60" t="s">
        <v>27</v>
      </c>
      <c r="G12" s="47">
        <v>89</v>
      </c>
      <c r="H12" s="133">
        <f>IF(B$17=0,0,G12/B$17)</f>
        <v>6.6072754268745357E-2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2.8960893854748608</v>
      </c>
      <c r="P12" s="120">
        <v>179</v>
      </c>
      <c r="Q12" s="108">
        <v>518.40000000000009</v>
      </c>
    </row>
    <row r="13" spans="1:17" x14ac:dyDescent="0.4">
      <c r="A13" s="58" t="s">
        <v>122</v>
      </c>
      <c r="B13" s="50">
        <v>1251</v>
      </c>
      <c r="C13" s="44">
        <f>IF(B$3=0,0,B13/B$3)</f>
        <v>0.27892976588628765</v>
      </c>
      <c r="E13" s="63" t="s">
        <v>87</v>
      </c>
      <c r="F13" s="60" t="s">
        <v>42</v>
      </c>
      <c r="G13" s="47">
        <v>76</v>
      </c>
      <c r="H13" s="133">
        <f>IF(B$17=0,0,G13/B$17)</f>
        <v>5.6421677802524127E-2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940</v>
      </c>
      <c r="C14" s="39">
        <f>IF(B$3=0,0,B14/B$3)</f>
        <v>0.20958751393534003</v>
      </c>
      <c r="E14" s="63" t="s">
        <v>84</v>
      </c>
      <c r="F14" s="60" t="s">
        <v>39</v>
      </c>
      <c r="G14" s="47">
        <v>60</v>
      </c>
      <c r="H14" s="133">
        <f>IF(B$17=0,0,G14/B$17)</f>
        <v>4.4543429844097995E-2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731</v>
      </c>
      <c r="C15" s="37">
        <f>IF(B$13=0,0,B15/B$13)</f>
        <v>0.5843325339728217</v>
      </c>
      <c r="E15" s="63" t="s">
        <v>82</v>
      </c>
      <c r="F15" s="60" t="s">
        <v>37</v>
      </c>
      <c r="G15" s="47">
        <v>39</v>
      </c>
      <c r="H15" s="133">
        <f>IF(B$17=0,0,G15/B$17)</f>
        <v>2.8953229398663696E-2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366</v>
      </c>
      <c r="C16" s="37">
        <f>IF(B$14=0,0,B16/B$14)</f>
        <v>0.38936170212765958</v>
      </c>
      <c r="E16" s="63" t="s">
        <v>79</v>
      </c>
      <c r="F16" s="60" t="s">
        <v>34</v>
      </c>
      <c r="G16" s="47">
        <v>34</v>
      </c>
      <c r="H16" s="133">
        <f>IF(B$17=0,0,G16/B$17)</f>
        <v>2.5241276911655532E-2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24.752343750000019</v>
      </c>
      <c r="P16" s="119">
        <v>128</v>
      </c>
      <c r="Q16" s="107">
        <v>3168.3000000000025</v>
      </c>
    </row>
    <row r="17" spans="1:17" x14ac:dyDescent="0.4">
      <c r="A17" s="54" t="s">
        <v>10</v>
      </c>
      <c r="B17" s="46">
        <f>B19+B18</f>
        <v>1347</v>
      </c>
      <c r="C17" s="37">
        <f>IF(B$3=0,0,B17/B$3)</f>
        <v>0.30033444816053512</v>
      </c>
      <c r="E17" s="63" t="s">
        <v>92</v>
      </c>
      <c r="F17" s="60" t="s">
        <v>47</v>
      </c>
      <c r="G17" s="47">
        <v>25</v>
      </c>
      <c r="H17" s="133">
        <f>IF(B$17=0,0,G17/B$17)</f>
        <v>1.855976243504083E-2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14.575000000000001</v>
      </c>
      <c r="P17" s="119">
        <v>24</v>
      </c>
      <c r="Q17" s="107">
        <v>349.8</v>
      </c>
    </row>
    <row r="18" spans="1:17" x14ac:dyDescent="0.4">
      <c r="A18" s="55" t="s">
        <v>12</v>
      </c>
      <c r="B18" s="47">
        <v>593</v>
      </c>
      <c r="C18" s="39">
        <f>IF(B$17=0,0,B18/B$17)</f>
        <v>0.44023756495916855</v>
      </c>
      <c r="E18" s="63" t="s">
        <v>80</v>
      </c>
      <c r="F18" s="60" t="s">
        <v>35</v>
      </c>
      <c r="G18" s="47">
        <v>21</v>
      </c>
      <c r="H18" s="133">
        <f>IF(B$17=0,0,G18/B$17)</f>
        <v>1.5590200445434299E-2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11.10731707317073</v>
      </c>
      <c r="P18" s="119">
        <v>82</v>
      </c>
      <c r="Q18" s="107">
        <v>910.79999999999984</v>
      </c>
    </row>
    <row r="19" spans="1:17" x14ac:dyDescent="0.4">
      <c r="A19" s="55" t="s">
        <v>11</v>
      </c>
      <c r="B19" s="47">
        <v>754</v>
      </c>
      <c r="C19" s="39">
        <f>IF(B$17=0,0,B19/B$17)</f>
        <v>0.55976243504083145</v>
      </c>
      <c r="E19" s="63" t="s">
        <v>180</v>
      </c>
      <c r="F19" s="60" t="s">
        <v>183</v>
      </c>
      <c r="G19" s="47">
        <v>19</v>
      </c>
      <c r="H19" s="133">
        <f>IF(B$17=0,0,G19/B$17)</f>
        <v>1.4105419450631032E-2</v>
      </c>
      <c r="I19" s="94">
        <v>3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746</v>
      </c>
      <c r="C20" s="39">
        <f>IF(B$3=0,0,B20/B$3)</f>
        <v>0.16633221850613156</v>
      </c>
      <c r="E20" s="63" t="s">
        <v>76</v>
      </c>
      <c r="F20" s="60" t="s">
        <v>31</v>
      </c>
      <c r="G20" s="47">
        <v>9</v>
      </c>
      <c r="H20" s="133">
        <f>IF(B$17=0,0,G20/B$17)</f>
        <v>6.6815144766146995E-3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3.2750000000000012</v>
      </c>
      <c r="P20" s="119">
        <v>228</v>
      </c>
      <c r="Q20" s="107">
        <v>746.70000000000027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8</v>
      </c>
      <c r="H21" s="133">
        <f>IF(B$17=0,0,G21/B$17)</f>
        <v>5.9391239792130658E-3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-0.5593220338983067</v>
      </c>
      <c r="P21" s="119">
        <v>118</v>
      </c>
      <c r="Q21" s="107">
        <v>-66.000000000000185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75</v>
      </c>
      <c r="F22" s="60" t="s">
        <v>30</v>
      </c>
      <c r="G22" s="47">
        <v>6</v>
      </c>
      <c r="H22" s="133">
        <f>IF(B$17=0,0,G22/B$17)</f>
        <v>4.4543429844097994E-3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-1.7695945945945926</v>
      </c>
      <c r="P22" s="119">
        <v>148</v>
      </c>
      <c r="Q22" s="107">
        <v>-261.89999999999969</v>
      </c>
    </row>
    <row r="23" spans="1:17" x14ac:dyDescent="0.4">
      <c r="A23" s="55" t="s">
        <v>5</v>
      </c>
      <c r="B23" s="51">
        <f>IF(B$17=0,0,C23/B$17)</f>
        <v>8664.8849294729025</v>
      </c>
      <c r="C23" s="41">
        <v>11671600</v>
      </c>
      <c r="E23" s="63" t="s">
        <v>93</v>
      </c>
      <c r="F23" s="60" t="s">
        <v>48</v>
      </c>
      <c r="G23" s="47">
        <v>6</v>
      </c>
      <c r="H23" s="133">
        <f>IF(B$17=0,0,G23/B$17)</f>
        <v>4.4543429844097994E-3</v>
      </c>
      <c r="I23" s="94">
        <v>4</v>
      </c>
      <c r="K23" s="38">
        <v>21</v>
      </c>
      <c r="L23" s="99">
        <v>-2.886579864025407E-15</v>
      </c>
      <c r="N23" s="115" t="s">
        <v>177</v>
      </c>
      <c r="O23" s="125">
        <f>IF(P23=0,0,Q23/P23)</f>
        <v>-3.485714285714288</v>
      </c>
      <c r="P23" s="119">
        <v>84</v>
      </c>
      <c r="Q23" s="107">
        <v>-292.80000000000018</v>
      </c>
    </row>
    <row r="24" spans="1:17" x14ac:dyDescent="0.4">
      <c r="A24" s="57" t="s">
        <v>14</v>
      </c>
      <c r="B24" s="52">
        <f>IF(B$20=0,0,C24/B$20)</f>
        <v>-8226.0053619302944</v>
      </c>
      <c r="C24" s="45">
        <v>-6136600</v>
      </c>
      <c r="E24" s="63" t="s">
        <v>88</v>
      </c>
      <c r="F24" s="60" t="s">
        <v>43</v>
      </c>
      <c r="G24" s="47">
        <v>5</v>
      </c>
      <c r="H24" s="133">
        <f>IF(B$17=0,0,G24/B$17)</f>
        <v>3.7119524870081661E-3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-18.986974789915934</v>
      </c>
      <c r="P24" s="119">
        <v>238</v>
      </c>
      <c r="Q24" s="107">
        <v>-4518.8999999999924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3.7119524870081661E-3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3</v>
      </c>
      <c r="H26" s="133">
        <f>IF(B$17=0,0,G26/B$17)</f>
        <v>2.2271714922048997E-3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13</v>
      </c>
      <c r="C27" s="42">
        <f>IF(B$3=0,0,B27/B$3)</f>
        <v>2.8985507246376812E-3</v>
      </c>
      <c r="E27" s="63" t="s">
        <v>85</v>
      </c>
      <c r="F27" s="60" t="s">
        <v>40</v>
      </c>
      <c r="G27" s="47">
        <v>3</v>
      </c>
      <c r="H27" s="133">
        <f>IF(B$17=0,0,G27/B$17)</f>
        <v>2.2271714922048997E-3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2.2271714922048997E-3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1.4847809948032665E-3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1.4847809948032665E-3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1.4847809948032665E-3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7.4239049740163323E-4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37.400000000000006</v>
      </c>
    </row>
    <row r="529" spans="11:12" x14ac:dyDescent="0.4">
      <c r="K529" s="38">
        <v>527</v>
      </c>
      <c r="L529" s="99">
        <v>-5.5999999999999943</v>
      </c>
    </row>
    <row r="530" spans="11:12" x14ac:dyDescent="0.4">
      <c r="K530" s="38">
        <v>528</v>
      </c>
      <c r="L530" s="99">
        <v>5.3290705182007514E-15</v>
      </c>
    </row>
    <row r="531" spans="11:12" x14ac:dyDescent="0.4">
      <c r="K531" s="38">
        <v>529</v>
      </c>
      <c r="L531" s="99">
        <v>5.3290705182007514E-15</v>
      </c>
    </row>
    <row r="532" spans="11:12" x14ac:dyDescent="0.4">
      <c r="K532" s="38">
        <v>530</v>
      </c>
      <c r="L532" s="99">
        <v>-56.999999999999993</v>
      </c>
    </row>
    <row r="533" spans="11:12" x14ac:dyDescent="0.4">
      <c r="K533" s="38">
        <v>531</v>
      </c>
      <c r="L533" s="99">
        <v>7.1054273576010019E-15</v>
      </c>
    </row>
    <row r="534" spans="11:12" x14ac:dyDescent="0.4">
      <c r="K534" s="38">
        <v>532</v>
      </c>
      <c r="L534" s="99">
        <v>-23.699999999999992</v>
      </c>
    </row>
    <row r="535" spans="11:12" x14ac:dyDescent="0.4">
      <c r="K535" s="38">
        <v>533</v>
      </c>
      <c r="L535" s="99">
        <v>-1.2999999999999936</v>
      </c>
    </row>
    <row r="536" spans="11:12" x14ac:dyDescent="0.4">
      <c r="K536" s="38">
        <v>534</v>
      </c>
      <c r="L536" s="99">
        <v>6.4392935428259079E-15</v>
      </c>
    </row>
    <row r="537" spans="11:12" x14ac:dyDescent="0.4">
      <c r="K537" s="38">
        <v>535</v>
      </c>
      <c r="L537" s="99">
        <v>-2.9999999999999938</v>
      </c>
    </row>
    <row r="538" spans="11:12" x14ac:dyDescent="0.4">
      <c r="K538" s="38">
        <v>536</v>
      </c>
      <c r="L538" s="99">
        <v>43.000000000000007</v>
      </c>
    </row>
    <row r="539" spans="11:12" x14ac:dyDescent="0.4">
      <c r="K539" s="38">
        <v>537</v>
      </c>
      <c r="L539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7C00B-AF70-4F87-A64D-4C3390C25DD6}">
  <sheetPr codeName="Sheet7"/>
  <dimension ref="A1:Q1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119</v>
      </c>
      <c r="C2" s="147"/>
      <c r="E2" s="62" t="s">
        <v>67</v>
      </c>
      <c r="F2" s="59" t="s">
        <v>23</v>
      </c>
      <c r="G2" s="46">
        <v>248</v>
      </c>
      <c r="H2" s="132">
        <f>IF(B$17=0,0,G2/B$17)</f>
        <v>0.73590504451038574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1674.7899159663866</v>
      </c>
      <c r="P2" s="118">
        <v>119</v>
      </c>
      <c r="Q2" s="102">
        <v>199300</v>
      </c>
    </row>
    <row r="3" spans="1:17" x14ac:dyDescent="0.4">
      <c r="A3" s="55" t="s">
        <v>8</v>
      </c>
      <c r="B3" s="148">
        <v>966</v>
      </c>
      <c r="C3" s="149"/>
      <c r="E3" s="63" t="s">
        <v>73</v>
      </c>
      <c r="F3" s="60" t="s">
        <v>28</v>
      </c>
      <c r="G3" s="47">
        <v>186</v>
      </c>
      <c r="H3" s="133">
        <f>IF(B$17=0,0,G3/B$17)</f>
        <v>0.55192878338278928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1326.7241379310344</v>
      </c>
      <c r="P3" s="119">
        <v>116</v>
      </c>
      <c r="Q3" s="103">
        <v>153900</v>
      </c>
    </row>
    <row r="4" spans="1:17" x14ac:dyDescent="0.4">
      <c r="A4" s="55" t="s">
        <v>6</v>
      </c>
      <c r="B4" s="150">
        <v>1506.3000000000011</v>
      </c>
      <c r="C4" s="151"/>
      <c r="E4" s="63" t="s">
        <v>65</v>
      </c>
      <c r="F4" s="60" t="s">
        <v>21</v>
      </c>
      <c r="G4" s="47">
        <v>169</v>
      </c>
      <c r="H4" s="133">
        <f>IF(B$17=0,0,G4/B$17)</f>
        <v>0.50148367952522255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1449.090909090909</v>
      </c>
      <c r="P4" s="119">
        <v>110</v>
      </c>
      <c r="Q4" s="103">
        <v>159400</v>
      </c>
    </row>
    <row r="5" spans="1:17" x14ac:dyDescent="0.4">
      <c r="A5" s="55" t="s">
        <v>7</v>
      </c>
      <c r="B5" s="152">
        <f>IF(B$2=0,0,B$4/B$2)</f>
        <v>12.657983193277319</v>
      </c>
      <c r="C5" s="153"/>
      <c r="E5" s="63" t="s">
        <v>181</v>
      </c>
      <c r="F5" s="60" t="s">
        <v>182</v>
      </c>
      <c r="G5" s="47">
        <v>139</v>
      </c>
      <c r="H5" s="133">
        <f>IF(B$17=0,0,G5/B$17)</f>
        <v>0.41246290801186941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2241</v>
      </c>
      <c r="P5" s="119">
        <v>100</v>
      </c>
      <c r="Q5" s="103">
        <v>224100</v>
      </c>
    </row>
    <row r="6" spans="1:17" x14ac:dyDescent="0.4">
      <c r="A6" s="55" t="s">
        <v>1</v>
      </c>
      <c r="B6" s="142">
        <f>IF(B$2=0,0,(B$7*1+B$8*2+B$9*3)/B$2)</f>
        <v>1.73109243697479</v>
      </c>
      <c r="C6" s="143"/>
      <c r="E6" s="63" t="s">
        <v>68</v>
      </c>
      <c r="F6" s="60" t="s">
        <v>24</v>
      </c>
      <c r="G6" s="47">
        <v>99</v>
      </c>
      <c r="H6" s="133">
        <f>IF(B$17=0,0,G6/B$17)</f>
        <v>0.29376854599406527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781.81818181818187</v>
      </c>
      <c r="P6" s="119">
        <v>88</v>
      </c>
      <c r="Q6" s="103">
        <v>68800</v>
      </c>
    </row>
    <row r="7" spans="1:17" x14ac:dyDescent="0.4">
      <c r="A7" s="55" t="s">
        <v>2</v>
      </c>
      <c r="B7" s="47">
        <v>59</v>
      </c>
      <c r="C7" s="39">
        <f>IF(B$2=0,0,B7/B$2)</f>
        <v>0.49579831932773111</v>
      </c>
      <c r="E7" s="63" t="s">
        <v>69</v>
      </c>
      <c r="F7" s="60" t="s">
        <v>12</v>
      </c>
      <c r="G7" s="47">
        <v>89</v>
      </c>
      <c r="H7" s="133">
        <f>IF(B$17=0,0,G7/B$17)</f>
        <v>0.26409495548961426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715.38461538461536</v>
      </c>
      <c r="P7" s="120">
        <v>78</v>
      </c>
      <c r="Q7" s="104">
        <v>55800</v>
      </c>
    </row>
    <row r="8" spans="1:17" x14ac:dyDescent="0.4">
      <c r="A8" s="55" t="s">
        <v>3</v>
      </c>
      <c r="B8" s="47">
        <v>33</v>
      </c>
      <c r="C8" s="39">
        <f>IF(B$2=0,0,B8/B$2)</f>
        <v>0.27731092436974791</v>
      </c>
      <c r="E8" s="63" t="s">
        <v>70</v>
      </c>
      <c r="F8" s="60" t="s">
        <v>25</v>
      </c>
      <c r="G8" s="47">
        <v>59</v>
      </c>
      <c r="H8" s="133">
        <f>IF(B$17=0,0,G8/B$17)</f>
        <v>0.17507418397626112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0.22689075630252101</v>
      </c>
      <c r="E9" s="63" t="s">
        <v>90</v>
      </c>
      <c r="F9" s="60" t="s">
        <v>45</v>
      </c>
      <c r="G9" s="47">
        <v>51</v>
      </c>
      <c r="H9" s="133">
        <f>IF(B$17=0,0,G9/B$17)</f>
        <v>0.1513353115727003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0.1092436974789916</v>
      </c>
      <c r="E10" s="63" t="s">
        <v>66</v>
      </c>
      <c r="F10" s="60" t="s">
        <v>22</v>
      </c>
      <c r="G10" s="47">
        <v>49</v>
      </c>
      <c r="H10" s="133">
        <f>IF(B$17=0,0,G10/B$17)</f>
        <v>0.14540059347181009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21</v>
      </c>
      <c r="C11" s="40">
        <f>IF(B$2=0,0,B11/B$2)</f>
        <v>0.17647058823529413</v>
      </c>
      <c r="E11" s="63" t="s">
        <v>71</v>
      </c>
      <c r="F11" s="60" t="s">
        <v>26</v>
      </c>
      <c r="G11" s="47">
        <v>33</v>
      </c>
      <c r="H11" s="133">
        <f>IF(B$17=0,0,G11/B$17)</f>
        <v>9.7922848664688422E-2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8.5289473684210524</v>
      </c>
      <c r="P11" s="119">
        <v>38</v>
      </c>
      <c r="Q11" s="107">
        <v>324.10000000000002</v>
      </c>
    </row>
    <row r="12" spans="1:17" x14ac:dyDescent="0.4">
      <c r="A12" s="57" t="s">
        <v>160</v>
      </c>
      <c r="B12" s="49">
        <v>18</v>
      </c>
      <c r="C12" s="42">
        <f>IF(B$2=0,0,B12/B$2)</f>
        <v>0.15126050420168066</v>
      </c>
      <c r="E12" s="63" t="s">
        <v>72</v>
      </c>
      <c r="F12" s="60" t="s">
        <v>27</v>
      </c>
      <c r="G12" s="47">
        <v>23</v>
      </c>
      <c r="H12" s="133">
        <f>IF(B$17=0,0,G12/B$17)</f>
        <v>6.8249258160237386E-2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13.087234042553195</v>
      </c>
      <c r="P12" s="120">
        <v>47</v>
      </c>
      <c r="Q12" s="108">
        <v>615.10000000000014</v>
      </c>
    </row>
    <row r="13" spans="1:17" x14ac:dyDescent="0.4">
      <c r="A13" s="58" t="s">
        <v>122</v>
      </c>
      <c r="B13" s="50">
        <v>317</v>
      </c>
      <c r="C13" s="44">
        <f>IF(B$3=0,0,B13/B$3)</f>
        <v>0.32815734989648032</v>
      </c>
      <c r="E13" s="63" t="s">
        <v>87</v>
      </c>
      <c r="F13" s="60" t="s">
        <v>42</v>
      </c>
      <c r="G13" s="47">
        <v>23</v>
      </c>
      <c r="H13" s="133">
        <f>IF(B$17=0,0,G13/B$17)</f>
        <v>6.8249258160237386E-2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213</v>
      </c>
      <c r="C14" s="39">
        <f>IF(B$3=0,0,B14/B$3)</f>
        <v>0.22049689440993789</v>
      </c>
      <c r="E14" s="63" t="s">
        <v>84</v>
      </c>
      <c r="F14" s="60" t="s">
        <v>39</v>
      </c>
      <c r="G14" s="47">
        <v>17</v>
      </c>
      <c r="H14" s="133">
        <f>IF(B$17=0,0,G14/B$17)</f>
        <v>5.0445103857566766E-2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183</v>
      </c>
      <c r="C15" s="37">
        <f>IF(B$13=0,0,B15/B$13)</f>
        <v>0.57728706624605675</v>
      </c>
      <c r="E15" s="63" t="s">
        <v>82</v>
      </c>
      <c r="F15" s="60" t="s">
        <v>37</v>
      </c>
      <c r="G15" s="47">
        <v>11</v>
      </c>
      <c r="H15" s="133">
        <f>IF(B$17=0,0,G15/B$17)</f>
        <v>3.2640949554896145E-2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108</v>
      </c>
      <c r="C16" s="37">
        <f>IF(B$14=0,0,B16/B$14)</f>
        <v>0.50704225352112675</v>
      </c>
      <c r="E16" s="63" t="s">
        <v>180</v>
      </c>
      <c r="F16" s="60" t="s">
        <v>183</v>
      </c>
      <c r="G16" s="47">
        <v>11</v>
      </c>
      <c r="H16" s="133">
        <f>IF(B$17=0,0,G16/B$17)</f>
        <v>3.2640949554896145E-2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36.205263157894748</v>
      </c>
      <c r="P16" s="119">
        <v>38</v>
      </c>
      <c r="Q16" s="107">
        <v>1375.8000000000004</v>
      </c>
    </row>
    <row r="17" spans="1:17" x14ac:dyDescent="0.4">
      <c r="A17" s="54" t="s">
        <v>10</v>
      </c>
      <c r="B17" s="46">
        <f>B19+B18</f>
        <v>337</v>
      </c>
      <c r="C17" s="37">
        <f>IF(B$3=0,0,B17/B$3)</f>
        <v>0.34886128364389235</v>
      </c>
      <c r="E17" s="63" t="s">
        <v>79</v>
      </c>
      <c r="F17" s="60" t="s">
        <v>34</v>
      </c>
      <c r="G17" s="47">
        <v>7</v>
      </c>
      <c r="H17" s="133">
        <f>IF(B$17=0,0,G17/B$17)</f>
        <v>2.0771513353115726E-2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141</v>
      </c>
      <c r="C18" s="39">
        <f>IF(B$17=0,0,B18/B$17)</f>
        <v>0.41839762611275966</v>
      </c>
      <c r="E18" s="63" t="s">
        <v>92</v>
      </c>
      <c r="F18" s="60" t="s">
        <v>47</v>
      </c>
      <c r="G18" s="47">
        <v>6</v>
      </c>
      <c r="H18" s="133">
        <f>IF(B$17=0,0,G18/B$17)</f>
        <v>1.7804154302670624E-2</v>
      </c>
      <c r="I18" s="94">
        <v>5</v>
      </c>
      <c r="K18" s="38">
        <v>16</v>
      </c>
      <c r="L18" s="99">
        <v>425.50000000000006</v>
      </c>
      <c r="N18" s="115" t="s">
        <v>177</v>
      </c>
      <c r="O18" s="125">
        <f>IF(P18=0,0,Q18/P18)</f>
        <v>27.193750000000001</v>
      </c>
      <c r="P18" s="119">
        <v>16</v>
      </c>
      <c r="Q18" s="107">
        <v>435.1</v>
      </c>
    </row>
    <row r="19" spans="1:17" x14ac:dyDescent="0.4">
      <c r="A19" s="55" t="s">
        <v>11</v>
      </c>
      <c r="B19" s="47">
        <v>196</v>
      </c>
      <c r="C19" s="39">
        <f>IF(B$17=0,0,B19/B$17)</f>
        <v>0.58160237388724034</v>
      </c>
      <c r="E19" s="63" t="s">
        <v>80</v>
      </c>
      <c r="F19" s="60" t="s">
        <v>35</v>
      </c>
      <c r="G19" s="47">
        <v>4</v>
      </c>
      <c r="H19" s="133">
        <f>IF(B$17=0,0,G19/B$17)</f>
        <v>1.1869436201780416E-2</v>
      </c>
      <c r="I19" s="94">
        <v>7</v>
      </c>
      <c r="K19" s="38">
        <v>17</v>
      </c>
      <c r="L19" s="99">
        <v>427.40000000000003</v>
      </c>
      <c r="N19" s="115" t="s">
        <v>172</v>
      </c>
      <c r="O19" s="125">
        <f>IF(P19=0,0,Q19/P19)</f>
        <v>24.890322580645162</v>
      </c>
      <c r="P19" s="119">
        <v>31</v>
      </c>
      <c r="Q19" s="107">
        <v>771.6</v>
      </c>
    </row>
    <row r="20" spans="1:17" x14ac:dyDescent="0.4">
      <c r="A20" s="55" t="s">
        <v>13</v>
      </c>
      <c r="B20" s="47">
        <v>146</v>
      </c>
      <c r="C20" s="39">
        <f>IF(B$3=0,0,B20/B$3)</f>
        <v>0.15113871635610765</v>
      </c>
      <c r="E20" s="63" t="s">
        <v>74</v>
      </c>
      <c r="F20" s="60" t="s">
        <v>29</v>
      </c>
      <c r="G20" s="47">
        <v>2</v>
      </c>
      <c r="H20" s="133">
        <f>IF(B$17=0,0,G20/B$17)</f>
        <v>5.9347181008902079E-3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22.754999999999999</v>
      </c>
      <c r="P20" s="119">
        <v>20</v>
      </c>
      <c r="Q20" s="107">
        <v>455.09999999999997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93</v>
      </c>
      <c r="F21" s="60" t="s">
        <v>48</v>
      </c>
      <c r="G21" s="47">
        <v>2</v>
      </c>
      <c r="H21" s="133">
        <f>IF(B$17=0,0,G21/B$17)</f>
        <v>5.9347181008902079E-3</v>
      </c>
      <c r="I21" s="94">
        <v>3</v>
      </c>
      <c r="K21" s="38">
        <v>19</v>
      </c>
      <c r="L21" s="99">
        <v>405.40000000000003</v>
      </c>
      <c r="N21" s="115" t="s">
        <v>128</v>
      </c>
      <c r="O21" s="125">
        <f>IF(P21=0,0,Q21/P21)</f>
        <v>16.614102564102566</v>
      </c>
      <c r="P21" s="119">
        <v>78</v>
      </c>
      <c r="Q21" s="107">
        <v>1295.9000000000001</v>
      </c>
    </row>
    <row r="22" spans="1:17" x14ac:dyDescent="0.4">
      <c r="A22" s="55" t="s">
        <v>194</v>
      </c>
      <c r="B22" s="47">
        <v>39</v>
      </c>
      <c r="C22" s="135">
        <v>0</v>
      </c>
      <c r="E22" s="63" t="s">
        <v>76</v>
      </c>
      <c r="F22" s="60" t="s">
        <v>31</v>
      </c>
      <c r="G22" s="47">
        <v>1</v>
      </c>
      <c r="H22" s="133">
        <f>IF(B$17=0,0,G22/B$17)</f>
        <v>2.967359050445104E-3</v>
      </c>
      <c r="I22" s="94">
        <v>7</v>
      </c>
      <c r="K22" s="38">
        <v>20</v>
      </c>
      <c r="L22" s="99">
        <v>469.6</v>
      </c>
      <c r="N22" s="115" t="s">
        <v>186</v>
      </c>
      <c r="O22" s="125">
        <f>IF(P22=0,0,Q22/P22)</f>
        <v>15.424999999999994</v>
      </c>
      <c r="P22" s="119">
        <v>8</v>
      </c>
      <c r="Q22" s="107">
        <v>123.39999999999995</v>
      </c>
    </row>
    <row r="23" spans="1:17" x14ac:dyDescent="0.4">
      <c r="A23" s="55" t="s">
        <v>5</v>
      </c>
      <c r="B23" s="51">
        <f>IF(B$17=0,0,C23/B$17)</f>
        <v>9143.6201780415431</v>
      </c>
      <c r="C23" s="41">
        <v>3081400</v>
      </c>
      <c r="E23" s="63" t="s">
        <v>78</v>
      </c>
      <c r="F23" s="60" t="s">
        <v>33</v>
      </c>
      <c r="G23" s="47">
        <v>1</v>
      </c>
      <c r="H23" s="133">
        <f>IF(B$17=0,0,G23/B$17)</f>
        <v>2.967359050445104E-3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-0.23023255813953783</v>
      </c>
      <c r="P23" s="119">
        <v>43</v>
      </c>
      <c r="Q23" s="107">
        <v>-9.9000000000001265</v>
      </c>
    </row>
    <row r="24" spans="1:17" x14ac:dyDescent="0.4">
      <c r="A24" s="57" t="s">
        <v>14</v>
      </c>
      <c r="B24" s="52">
        <f>IF(B$20=0,0,C24/B$20)</f>
        <v>-8356.1643835616433</v>
      </c>
      <c r="C24" s="45">
        <v>-1220000</v>
      </c>
      <c r="E24" s="63" t="s">
        <v>86</v>
      </c>
      <c r="F24" s="60" t="s">
        <v>41</v>
      </c>
      <c r="G24" s="47">
        <v>1</v>
      </c>
      <c r="H24" s="133">
        <f>IF(B$17=0,0,G24/B$17)</f>
        <v>2.967359050445104E-3</v>
      </c>
      <c r="I24" s="94">
        <v>2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2.967359050445104E-3</v>
      </c>
      <c r="I25" s="94">
        <v>6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91</v>
      </c>
      <c r="F26" s="60" t="s">
        <v>46</v>
      </c>
      <c r="G26" s="47">
        <v>1</v>
      </c>
      <c r="H26" s="133">
        <f>IF(B$17=0,0,G26/B$17)</f>
        <v>2.967359050445104E-3</v>
      </c>
      <c r="I26" s="94">
        <v>2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1.0351966873706005E-3</v>
      </c>
      <c r="E27" s="63" t="s">
        <v>94</v>
      </c>
      <c r="F27" s="60" t="s">
        <v>49</v>
      </c>
      <c r="G27" s="47">
        <v>1</v>
      </c>
      <c r="H27" s="133">
        <f>IF(B$17=0,0,G27/B$17)</f>
        <v>2.967359050445104E-3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2.967359050445104E-3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85</v>
      </c>
      <c r="F33" s="60" t="s">
        <v>40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1509.3000000000011</v>
      </c>
    </row>
    <row r="120" spans="11:12" x14ac:dyDescent="0.4">
      <c r="K120" s="38">
        <v>118</v>
      </c>
      <c r="L120" s="99">
        <v>1509.3000000000011</v>
      </c>
    </row>
    <row r="121" spans="11:12" x14ac:dyDescent="0.4">
      <c r="K121" s="38">
        <v>119</v>
      </c>
      <c r="L121" s="99">
        <v>1506.3000000000011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8CAAE-90D3-4FE0-ABA1-2DA7876DD811}">
  <sheetPr codeName="Sheet9"/>
  <dimension ref="A1:Q11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114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518.42105263157896</v>
      </c>
      <c r="P2" s="118">
        <v>114</v>
      </c>
      <c r="Q2" s="102">
        <v>59100</v>
      </c>
    </row>
    <row r="3" spans="1:17" x14ac:dyDescent="0.4">
      <c r="A3" s="55" t="s">
        <v>8</v>
      </c>
      <c r="B3" s="148">
        <v>941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-2330</v>
      </c>
      <c r="P3" s="119">
        <v>110</v>
      </c>
      <c r="Q3" s="103">
        <v>-256300</v>
      </c>
    </row>
    <row r="4" spans="1:17" x14ac:dyDescent="0.4">
      <c r="A4" s="55" t="s">
        <v>6</v>
      </c>
      <c r="B4" s="150">
        <v>-248.90000000000009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118.69158878504673</v>
      </c>
      <c r="P4" s="119">
        <v>107</v>
      </c>
      <c r="Q4" s="103">
        <v>12700</v>
      </c>
    </row>
    <row r="5" spans="1:17" x14ac:dyDescent="0.4">
      <c r="A5" s="55" t="s">
        <v>7</v>
      </c>
      <c r="B5" s="152">
        <f>IF(B$2=0,0,B$4/B$2)</f>
        <v>-2.183333333333334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340</v>
      </c>
      <c r="P5" s="119">
        <v>95</v>
      </c>
      <c r="Q5" s="103">
        <v>32300</v>
      </c>
    </row>
    <row r="6" spans="1:17" x14ac:dyDescent="0.4">
      <c r="A6" s="55" t="s">
        <v>1</v>
      </c>
      <c r="B6" s="142">
        <f>IF(B$2=0,0,(B$7*1+B$8*2+B$9*3)/B$2)</f>
        <v>2.0701754385964914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0.27192982456140352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0.38596491228070173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0.34210526315789475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0.12280701754385964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-5.6850000000000014</v>
      </c>
      <c r="P10" s="118">
        <v>60</v>
      </c>
      <c r="Q10" s="106">
        <v>-341.10000000000008</v>
      </c>
    </row>
    <row r="11" spans="1:17" x14ac:dyDescent="0.4">
      <c r="A11" s="56" t="s">
        <v>140</v>
      </c>
      <c r="B11" s="48">
        <v>11</v>
      </c>
      <c r="C11" s="40">
        <f>IF(B$2=0,0,B11/B$2)</f>
        <v>9.6491228070175433E-2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7.0175438596491224E-2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280</v>
      </c>
      <c r="C13" s="44">
        <f>IF(B$3=0,0,B13/B$3)</f>
        <v>0.29755579171094582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0.18172157279489903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0.5892857142857143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0.27417640807651433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4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1.6352941176470646</v>
      </c>
      <c r="P18" s="119">
        <v>34</v>
      </c>
      <c r="Q18" s="107">
        <v>55.600000000000193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172</v>
      </c>
      <c r="O19" s="125">
        <f t="shared" si="2"/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160</v>
      </c>
      <c r="C20" s="39">
        <f>IF(B$3=0,0,B20/B$3)</f>
        <v>0.17003188097768332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-7563.125</v>
      </c>
      <c r="C24" s="45">
        <v>-1210100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5.3134962805526037E-3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3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</sheetData>
  <sortState ref="E2:I11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6A6F9-B802-4520-9D4F-8584E8A83314}">
  <sheetPr codeName="Sheet11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64</v>
      </c>
      <c r="C2" s="147"/>
      <c r="E2" s="62" t="s">
        <v>67</v>
      </c>
      <c r="F2" s="59" t="s">
        <v>23</v>
      </c>
      <c r="G2" s="46">
        <v>107</v>
      </c>
      <c r="H2" s="132">
        <f>IF(B$17=0,0,G2/B$17)</f>
        <v>0.89166666666666672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-1973.4375</v>
      </c>
      <c r="P2" s="118">
        <v>64</v>
      </c>
      <c r="Q2" s="102">
        <v>-126300</v>
      </c>
    </row>
    <row r="3" spans="1:17" x14ac:dyDescent="0.4">
      <c r="A3" s="55" t="s">
        <v>8</v>
      </c>
      <c r="B3" s="148">
        <v>530</v>
      </c>
      <c r="C3" s="149"/>
      <c r="E3" s="63" t="s">
        <v>65</v>
      </c>
      <c r="F3" s="60" t="s">
        <v>21</v>
      </c>
      <c r="G3" s="47">
        <v>68</v>
      </c>
      <c r="H3" s="133">
        <f>IF(B$17=0,0,G3/B$17)</f>
        <v>0.56666666666666665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-1333.8709677419354</v>
      </c>
      <c r="P3" s="119">
        <v>62</v>
      </c>
      <c r="Q3" s="103">
        <v>-82700</v>
      </c>
    </row>
    <row r="4" spans="1:17" x14ac:dyDescent="0.4">
      <c r="A4" s="55" t="s">
        <v>6</v>
      </c>
      <c r="B4" s="150">
        <v>-1056.0999999999997</v>
      </c>
      <c r="C4" s="151"/>
      <c r="E4" s="63" t="s">
        <v>69</v>
      </c>
      <c r="F4" s="60" t="s">
        <v>12</v>
      </c>
      <c r="G4" s="47">
        <v>52</v>
      </c>
      <c r="H4" s="133">
        <f>IF(B$17=0,0,G4/B$17)</f>
        <v>0.43333333333333335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-1018.9655172413793</v>
      </c>
      <c r="P4" s="119">
        <v>58</v>
      </c>
      <c r="Q4" s="103">
        <v>-59100</v>
      </c>
    </row>
    <row r="5" spans="1:17" x14ac:dyDescent="0.4">
      <c r="A5" s="55" t="s">
        <v>7</v>
      </c>
      <c r="B5" s="152">
        <f>IF(B$2=0,0,B$4/B$2)</f>
        <v>-16.501562499999995</v>
      </c>
      <c r="C5" s="153"/>
      <c r="E5" s="63" t="s">
        <v>181</v>
      </c>
      <c r="F5" s="60" t="s">
        <v>182</v>
      </c>
      <c r="G5" s="47">
        <v>47</v>
      </c>
      <c r="H5" s="133">
        <f>IF(B$17=0,0,G5/B$17)</f>
        <v>0.39166666666666666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-5580</v>
      </c>
      <c r="P5" s="119">
        <v>50</v>
      </c>
      <c r="Q5" s="103">
        <v>-279000</v>
      </c>
    </row>
    <row r="6" spans="1:17" x14ac:dyDescent="0.4">
      <c r="A6" s="55" t="s">
        <v>1</v>
      </c>
      <c r="B6" s="142">
        <f>IF(B$2=0,0,(B$7*1+B$8*2+B$9*3)/B$2)</f>
        <v>2.265625</v>
      </c>
      <c r="C6" s="143"/>
      <c r="E6" s="63" t="s">
        <v>73</v>
      </c>
      <c r="F6" s="60" t="s">
        <v>28</v>
      </c>
      <c r="G6" s="47">
        <v>42</v>
      </c>
      <c r="H6" s="133">
        <f>IF(B$17=0,0,G6/B$17)</f>
        <v>0.35</v>
      </c>
      <c r="I6" s="94">
        <v>11</v>
      </c>
      <c r="K6" s="38">
        <v>4</v>
      </c>
      <c r="L6" s="99">
        <v>-31.4</v>
      </c>
      <c r="N6" s="115" t="s">
        <v>136</v>
      </c>
      <c r="O6" s="122">
        <f t="shared" si="0"/>
        <v>-1686.3636363636363</v>
      </c>
      <c r="P6" s="119">
        <v>44</v>
      </c>
      <c r="Q6" s="103">
        <v>-74200</v>
      </c>
    </row>
    <row r="7" spans="1:17" x14ac:dyDescent="0.4">
      <c r="A7" s="55" t="s">
        <v>2</v>
      </c>
      <c r="B7" s="47">
        <v>15</v>
      </c>
      <c r="C7" s="39">
        <f>IF(B$2=0,0,B7/B$2)</f>
        <v>0.234375</v>
      </c>
      <c r="E7" s="63" t="s">
        <v>68</v>
      </c>
      <c r="F7" s="60" t="s">
        <v>24</v>
      </c>
      <c r="G7" s="47">
        <v>41</v>
      </c>
      <c r="H7" s="133">
        <f>IF(B$17=0,0,G7/B$17)</f>
        <v>0.34166666666666667</v>
      </c>
      <c r="I7" s="94">
        <v>7</v>
      </c>
      <c r="K7" s="38">
        <v>5</v>
      </c>
      <c r="L7" s="99">
        <v>-32.199999999999996</v>
      </c>
      <c r="N7" s="116" t="s">
        <v>137</v>
      </c>
      <c r="O7" s="123">
        <f t="shared" si="0"/>
        <v>-2143.9024390243903</v>
      </c>
      <c r="P7" s="120">
        <v>41</v>
      </c>
      <c r="Q7" s="104">
        <v>-87900</v>
      </c>
    </row>
    <row r="8" spans="1:17" x14ac:dyDescent="0.4">
      <c r="A8" s="55" t="s">
        <v>3</v>
      </c>
      <c r="B8" s="47">
        <v>17</v>
      </c>
      <c r="C8" s="39">
        <f>IF(B$2=0,0,B8/B$2)</f>
        <v>0.265625</v>
      </c>
      <c r="E8" s="63" t="s">
        <v>70</v>
      </c>
      <c r="F8" s="60" t="s">
        <v>25</v>
      </c>
      <c r="G8" s="47">
        <v>27</v>
      </c>
      <c r="H8" s="133">
        <f>IF(B$17=0,0,G8/B$17)</f>
        <v>0.22500000000000001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20</v>
      </c>
      <c r="H9" s="133">
        <f>IF(B$17=0,0,G9/B$17)</f>
        <v>0.16666666666666666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0.1875</v>
      </c>
      <c r="E10" s="63" t="s">
        <v>72</v>
      </c>
      <c r="F10" s="60" t="s">
        <v>27</v>
      </c>
      <c r="G10" s="47">
        <v>13</v>
      </c>
      <c r="H10" s="133">
        <f>IF(B$17=0,0,G10/B$17)</f>
        <v>0.10833333333333334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-19.049999999999997</v>
      </c>
      <c r="P10" s="118">
        <v>20</v>
      </c>
      <c r="Q10" s="106">
        <v>-380.99999999999994</v>
      </c>
    </row>
    <row r="11" spans="1:17" x14ac:dyDescent="0.4">
      <c r="A11" s="56" t="s">
        <v>140</v>
      </c>
      <c r="B11" s="48">
        <v>7</v>
      </c>
      <c r="C11" s="40">
        <f>IF(B$2=0,0,B11/B$2)</f>
        <v>0.109375</v>
      </c>
      <c r="E11" s="63" t="s">
        <v>90</v>
      </c>
      <c r="F11" s="60" t="s">
        <v>45</v>
      </c>
      <c r="G11" s="47">
        <v>11</v>
      </c>
      <c r="H11" s="133">
        <f>IF(B$17=0,0,G11/B$17)</f>
        <v>9.166666666666666E-2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-13.276923076923081</v>
      </c>
      <c r="P11" s="119">
        <v>26</v>
      </c>
      <c r="Q11" s="107">
        <v>-345.2000000000001</v>
      </c>
    </row>
    <row r="12" spans="1:17" x14ac:dyDescent="0.4">
      <c r="A12" s="57" t="s">
        <v>160</v>
      </c>
      <c r="B12" s="49">
        <v>5</v>
      </c>
      <c r="C12" s="42">
        <f>IF(B$2=0,0,B12/B$2)</f>
        <v>7.8125E-2</v>
      </c>
      <c r="E12" s="63" t="s">
        <v>66</v>
      </c>
      <c r="F12" s="60" t="s">
        <v>22</v>
      </c>
      <c r="G12" s="47">
        <v>9</v>
      </c>
      <c r="H12" s="133">
        <f>IF(B$17=0,0,G12/B$17)</f>
        <v>7.4999999999999997E-2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143</v>
      </c>
      <c r="C13" s="44">
        <f>IF(B$3=0,0,B13/B$3)</f>
        <v>0.26981132075471698</v>
      </c>
      <c r="E13" s="63" t="s">
        <v>87</v>
      </c>
      <c r="F13" s="60" t="s">
        <v>42</v>
      </c>
      <c r="G13" s="47">
        <v>9</v>
      </c>
      <c r="H13" s="133">
        <f>IF(B$17=0,0,G13/B$17)</f>
        <v>7.4999999999999997E-2</v>
      </c>
      <c r="I13" s="94">
        <v>3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86</v>
      </c>
      <c r="C14" s="39">
        <f>IF(B$3=0,0,B14/B$3)</f>
        <v>0.16226415094339622</v>
      </c>
      <c r="E14" s="63" t="s">
        <v>84</v>
      </c>
      <c r="F14" s="60" t="s">
        <v>39</v>
      </c>
      <c r="G14" s="47">
        <v>5</v>
      </c>
      <c r="H14" s="133">
        <f>IF(B$17=0,0,G14/B$17)</f>
        <v>4.1666666666666664E-2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71</v>
      </c>
      <c r="C15" s="37">
        <f>IF(B$13=0,0,B15/B$13)</f>
        <v>0.49650349650349651</v>
      </c>
      <c r="E15" s="63" t="s">
        <v>79</v>
      </c>
      <c r="F15" s="60" t="s">
        <v>34</v>
      </c>
      <c r="G15" s="47">
        <v>4</v>
      </c>
      <c r="H15" s="133">
        <f>IF(B$17=0,0,G15/B$17)</f>
        <v>3.3333333333333333E-2</v>
      </c>
      <c r="I15" s="94">
        <v>5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20</v>
      </c>
      <c r="C16" s="37">
        <f>IF(B$14=0,0,B16/B$14)</f>
        <v>0.23255813953488372</v>
      </c>
      <c r="E16" s="63" t="s">
        <v>75</v>
      </c>
      <c r="F16" s="60" t="s">
        <v>30</v>
      </c>
      <c r="G16" s="47">
        <v>2</v>
      </c>
      <c r="H16" s="133">
        <f>IF(B$17=0,0,G16/B$17)</f>
        <v>1.6666666666666666E-2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3.3454545454545457</v>
      </c>
      <c r="P16" s="119">
        <v>11</v>
      </c>
      <c r="Q16" s="107">
        <v>36.800000000000004</v>
      </c>
    </row>
    <row r="17" spans="1:17" x14ac:dyDescent="0.4">
      <c r="A17" s="54" t="s">
        <v>10</v>
      </c>
      <c r="B17" s="46">
        <f>B19+B18</f>
        <v>120</v>
      </c>
      <c r="C17" s="37">
        <f>IF(B$3=0,0,B17/B$3)</f>
        <v>0.22641509433962265</v>
      </c>
      <c r="E17" s="63" t="s">
        <v>82</v>
      </c>
      <c r="F17" s="60" t="s">
        <v>37</v>
      </c>
      <c r="G17" s="47">
        <v>2</v>
      </c>
      <c r="H17" s="133">
        <f>IF(B$17=0,0,G17/B$17)</f>
        <v>1.6666666666666666E-2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60</v>
      </c>
      <c r="C18" s="39">
        <f>IF(B$17=0,0,B18/B$17)</f>
        <v>0.5</v>
      </c>
      <c r="E18" s="63" t="s">
        <v>94</v>
      </c>
      <c r="F18" s="60" t="s">
        <v>49</v>
      </c>
      <c r="G18" s="47">
        <v>2</v>
      </c>
      <c r="H18" s="133">
        <f>IF(B$17=0,0,G18/B$17)</f>
        <v>1.6666666666666666E-2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60</v>
      </c>
      <c r="C19" s="39">
        <f>IF(B$17=0,0,B19/B$17)</f>
        <v>0.5</v>
      </c>
      <c r="E19" s="63" t="s">
        <v>78</v>
      </c>
      <c r="F19" s="60" t="s">
        <v>33</v>
      </c>
      <c r="G19" s="47">
        <v>1</v>
      </c>
      <c r="H19" s="133">
        <f>IF(B$17=0,0,G19/B$17)</f>
        <v>8.3333333333333332E-3</v>
      </c>
      <c r="I19" s="94">
        <v>1</v>
      </c>
      <c r="K19" s="38">
        <v>17</v>
      </c>
      <c r="L19" s="99">
        <v>-538.29999999999995</v>
      </c>
      <c r="N19" s="115" t="s">
        <v>171</v>
      </c>
      <c r="O19" s="125">
        <f>IF(P19=0,0,Q19/P19)</f>
        <v>-26.395</v>
      </c>
      <c r="P19" s="119">
        <v>20</v>
      </c>
      <c r="Q19" s="107">
        <v>-527.9</v>
      </c>
    </row>
    <row r="20" spans="1:17" x14ac:dyDescent="0.4">
      <c r="A20" s="55" t="s">
        <v>13</v>
      </c>
      <c r="B20" s="47">
        <v>104</v>
      </c>
      <c r="C20" s="39">
        <f>IF(B$3=0,0,B20/B$3)</f>
        <v>0.19622641509433963</v>
      </c>
      <c r="E20" s="63" t="s">
        <v>80</v>
      </c>
      <c r="F20" s="60" t="s">
        <v>35</v>
      </c>
      <c r="G20" s="47">
        <v>1</v>
      </c>
      <c r="H20" s="133">
        <f>IF(B$17=0,0,G20/B$17)</f>
        <v>8.3333333333333332E-3</v>
      </c>
      <c r="I20" s="94">
        <v>9</v>
      </c>
      <c r="K20" s="38">
        <v>18</v>
      </c>
      <c r="L20" s="99">
        <v>-537.19999999999993</v>
      </c>
      <c r="N20" s="115" t="s">
        <v>127</v>
      </c>
      <c r="O20" s="125">
        <f>IF(P20=0,0,Q20/P20)</f>
        <v>-36.205263157894755</v>
      </c>
      <c r="P20" s="119">
        <v>38</v>
      </c>
      <c r="Q20" s="107">
        <v>-1375.8000000000006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>IF(B$17=0,0,G21/B$17)</f>
        <v>8.3333333333333332E-3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89</v>
      </c>
      <c r="F22" s="60" t="s">
        <v>44</v>
      </c>
      <c r="G22" s="47">
        <v>1</v>
      </c>
      <c r="H22" s="133">
        <f>IF(B$17=0,0,G22/B$17)</f>
        <v>8.3333333333333332E-3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-54.849999999999994</v>
      </c>
      <c r="P22" s="119">
        <v>2</v>
      </c>
      <c r="Q22" s="107">
        <v>-109.69999999999999</v>
      </c>
    </row>
    <row r="23" spans="1:17" x14ac:dyDescent="0.4">
      <c r="A23" s="55" t="s">
        <v>5</v>
      </c>
      <c r="B23" s="51">
        <f>IF(B$17=0,0,C23/B$17)</f>
        <v>9125.8333333333339</v>
      </c>
      <c r="C23" s="41">
        <v>1095100</v>
      </c>
      <c r="E23" s="63" t="s">
        <v>92</v>
      </c>
      <c r="F23" s="60" t="s">
        <v>47</v>
      </c>
      <c r="G23" s="47">
        <v>1</v>
      </c>
      <c r="H23" s="133">
        <f>IF(B$17=0,0,G23/B$17)</f>
        <v>8.3333333333333332E-3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-9557.6923076923085</v>
      </c>
      <c r="C24" s="45">
        <v>-994000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1.8867924528301887E-3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EF8DF-0910-4556-BBB4-E4F01EC90D08}">
  <sheetPr codeName="Sheet13"/>
  <dimension ref="A1:Q7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74</v>
      </c>
      <c r="C2" s="147"/>
      <c r="E2" s="62" t="s">
        <v>67</v>
      </c>
      <c r="F2" s="59" t="s">
        <v>23</v>
      </c>
      <c r="G2" s="46">
        <v>152</v>
      </c>
      <c r="H2" s="132">
        <f>IF(B$17=0,0,G2/B$17)</f>
        <v>0.86363636363636365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-1167.5675675675675</v>
      </c>
      <c r="P2" s="118">
        <v>74</v>
      </c>
      <c r="Q2" s="102">
        <v>-86400</v>
      </c>
    </row>
    <row r="3" spans="1:17" x14ac:dyDescent="0.4">
      <c r="A3" s="55" t="s">
        <v>8</v>
      </c>
      <c r="B3" s="148">
        <v>623</v>
      </c>
      <c r="C3" s="149"/>
      <c r="E3" s="63" t="s">
        <v>65</v>
      </c>
      <c r="F3" s="60" t="s">
        <v>21</v>
      </c>
      <c r="G3" s="47">
        <v>99</v>
      </c>
      <c r="H3" s="133">
        <f>IF(B$17=0,0,G3/B$17)</f>
        <v>0.5625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401.36986301369865</v>
      </c>
      <c r="P3" s="119">
        <v>73</v>
      </c>
      <c r="Q3" s="103">
        <v>29300</v>
      </c>
    </row>
    <row r="4" spans="1:17" x14ac:dyDescent="0.4">
      <c r="A4" s="55" t="s">
        <v>6</v>
      </c>
      <c r="B4" s="150">
        <v>87.299999999999983</v>
      </c>
      <c r="C4" s="151"/>
      <c r="E4" s="63" t="s">
        <v>73</v>
      </c>
      <c r="F4" s="60" t="s">
        <v>28</v>
      </c>
      <c r="G4" s="47">
        <v>89</v>
      </c>
      <c r="H4" s="133">
        <f>IF(B$17=0,0,G4/B$17)</f>
        <v>0.50568181818181823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1682.3529411764705</v>
      </c>
      <c r="P4" s="119">
        <v>68</v>
      </c>
      <c r="Q4" s="103">
        <v>114400</v>
      </c>
    </row>
    <row r="5" spans="1:17" x14ac:dyDescent="0.4">
      <c r="A5" s="55" t="s">
        <v>7</v>
      </c>
      <c r="B5" s="152">
        <f>IF(B$2=0,0,B$4/B$2)</f>
        <v>1.1797297297297296</v>
      </c>
      <c r="C5" s="153"/>
      <c r="E5" s="63" t="s">
        <v>181</v>
      </c>
      <c r="F5" s="60" t="s">
        <v>182</v>
      </c>
      <c r="G5" s="47">
        <v>68</v>
      </c>
      <c r="H5" s="133">
        <f>IF(B$17=0,0,G5/B$17)</f>
        <v>0.38636363636363635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2403.4482758620688</v>
      </c>
      <c r="P5" s="119">
        <v>58</v>
      </c>
      <c r="Q5" s="103">
        <v>139400</v>
      </c>
    </row>
    <row r="6" spans="1:17" x14ac:dyDescent="0.4">
      <c r="A6" s="55" t="s">
        <v>1</v>
      </c>
      <c r="B6" s="142">
        <f>IF(B$2=0,0,(B$7*1+B$8*2+B$9*3)/B$2)</f>
        <v>2.0540540540540539</v>
      </c>
      <c r="C6" s="143"/>
      <c r="E6" s="63" t="s">
        <v>68</v>
      </c>
      <c r="F6" s="60" t="s">
        <v>24</v>
      </c>
      <c r="G6" s="47">
        <v>59</v>
      </c>
      <c r="H6" s="133">
        <f>IF(B$17=0,0,G6/B$17)</f>
        <v>0.33522727272727271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-838.46153846153845</v>
      </c>
      <c r="P6" s="119">
        <v>52</v>
      </c>
      <c r="Q6" s="103">
        <v>-43600</v>
      </c>
    </row>
    <row r="7" spans="1:17" x14ac:dyDescent="0.4">
      <c r="A7" s="55" t="s">
        <v>2</v>
      </c>
      <c r="B7" s="47">
        <v>22</v>
      </c>
      <c r="C7" s="39">
        <f>IF(B$2=0,0,B7/B$2)</f>
        <v>0.29729729729729731</v>
      </c>
      <c r="E7" s="63" t="s">
        <v>69</v>
      </c>
      <c r="F7" s="60" t="s">
        <v>12</v>
      </c>
      <c r="G7" s="47">
        <v>55</v>
      </c>
      <c r="H7" s="133">
        <f>IF(B$17=0,0,G7/B$17)</f>
        <v>0.3125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462.5</v>
      </c>
      <c r="P7" s="120">
        <v>48</v>
      </c>
      <c r="Q7" s="104">
        <v>22200</v>
      </c>
    </row>
    <row r="8" spans="1:17" x14ac:dyDescent="0.4">
      <c r="A8" s="55" t="s">
        <v>3</v>
      </c>
      <c r="B8" s="47">
        <v>26</v>
      </c>
      <c r="C8" s="39">
        <f>IF(B$2=0,0,B8/B$2)</f>
        <v>0.35135135135135137</v>
      </c>
      <c r="E8" s="63" t="s">
        <v>70</v>
      </c>
      <c r="F8" s="60" t="s">
        <v>25</v>
      </c>
      <c r="G8" s="47">
        <v>35</v>
      </c>
      <c r="H8" s="133">
        <f>IF(B$17=0,0,G8/B$17)</f>
        <v>0.19886363636363635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0.35135135135135137</v>
      </c>
      <c r="E9" s="63" t="s">
        <v>90</v>
      </c>
      <c r="F9" s="60" t="s">
        <v>45</v>
      </c>
      <c r="G9" s="47">
        <v>27</v>
      </c>
      <c r="H9" s="133">
        <f>IF(B$17=0,0,G9/B$17)</f>
        <v>0.15340909090909091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6.7567567567567571E-2</v>
      </c>
      <c r="E10" s="63" t="s">
        <v>66</v>
      </c>
      <c r="F10" s="60" t="s">
        <v>22</v>
      </c>
      <c r="G10" s="47">
        <v>25</v>
      </c>
      <c r="H10" s="133">
        <f>IF(B$17=0,0,G10/B$17)</f>
        <v>0.14204545454545456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9</v>
      </c>
      <c r="C11" s="40">
        <f>IF(B$2=0,0,B11/B$2)</f>
        <v>0.12162162162162163</v>
      </c>
      <c r="E11" s="63" t="s">
        <v>71</v>
      </c>
      <c r="F11" s="60" t="s">
        <v>26</v>
      </c>
      <c r="G11" s="47">
        <v>20</v>
      </c>
      <c r="H11" s="133">
        <f>IF(B$17=0,0,G11/B$17)</f>
        <v>0.11363636363636363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-4.9851851851851841</v>
      </c>
      <c r="P11" s="119">
        <v>27</v>
      </c>
      <c r="Q11" s="107">
        <v>-134.59999999999997</v>
      </c>
    </row>
    <row r="12" spans="1:17" x14ac:dyDescent="0.4">
      <c r="A12" s="57" t="s">
        <v>160</v>
      </c>
      <c r="B12" s="49">
        <v>5</v>
      </c>
      <c r="C12" s="42">
        <f>IF(B$2=0,0,B12/B$2)</f>
        <v>6.7567567567567571E-2</v>
      </c>
      <c r="E12" s="63" t="s">
        <v>87</v>
      </c>
      <c r="F12" s="60" t="s">
        <v>42</v>
      </c>
      <c r="G12" s="47">
        <v>13</v>
      </c>
      <c r="H12" s="133">
        <f>IF(B$17=0,0,G12/B$17)</f>
        <v>7.3863636363636367E-2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178</v>
      </c>
      <c r="C13" s="44">
        <f>IF(B$3=0,0,B13/B$3)</f>
        <v>0.2857142857142857</v>
      </c>
      <c r="E13" s="63" t="s">
        <v>72</v>
      </c>
      <c r="F13" s="60" t="s">
        <v>27</v>
      </c>
      <c r="G13" s="47">
        <v>12</v>
      </c>
      <c r="H13" s="133">
        <f>IF(B$17=0,0,G13/B$17)</f>
        <v>6.8181818181818177E-2</v>
      </c>
      <c r="I13" s="94">
        <v>5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116</v>
      </c>
      <c r="C14" s="39">
        <f>IF(B$3=0,0,B14/B$3)</f>
        <v>0.18619582664526485</v>
      </c>
      <c r="E14" s="63" t="s">
        <v>79</v>
      </c>
      <c r="F14" s="60" t="s">
        <v>34</v>
      </c>
      <c r="G14" s="47">
        <v>7</v>
      </c>
      <c r="H14" s="133">
        <f>IF(B$17=0,0,G14/B$17)</f>
        <v>3.9772727272727272E-2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104</v>
      </c>
      <c r="C15" s="37">
        <f>IF(B$13=0,0,B15/B$13)</f>
        <v>0.5842696629213483</v>
      </c>
      <c r="E15" s="63" t="s">
        <v>82</v>
      </c>
      <c r="F15" s="60" t="s">
        <v>37</v>
      </c>
      <c r="G15" s="47">
        <v>7</v>
      </c>
      <c r="H15" s="133">
        <f>IF(B$17=0,0,G15/B$17)</f>
        <v>3.9772727272727272E-2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26.394999999999992</v>
      </c>
      <c r="P15" s="118">
        <v>20</v>
      </c>
      <c r="Q15" s="106">
        <v>527.89999999999986</v>
      </c>
    </row>
    <row r="16" spans="1:17" x14ac:dyDescent="0.4">
      <c r="A16" s="54" t="s">
        <v>125</v>
      </c>
      <c r="B16" s="46">
        <v>47</v>
      </c>
      <c r="C16" s="37">
        <f>IF(B$14=0,0,B16/B$14)</f>
        <v>0.40517241379310343</v>
      </c>
      <c r="E16" s="63" t="s">
        <v>84</v>
      </c>
      <c r="F16" s="60" t="s">
        <v>39</v>
      </c>
      <c r="G16" s="47">
        <v>7</v>
      </c>
      <c r="H16" s="133">
        <f>IF(B$17=0,0,G16/B$17)</f>
        <v>3.9772727272727272E-2</v>
      </c>
      <c r="I16" s="94">
        <v>8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0.2825040128410915</v>
      </c>
      <c r="E17" s="63" t="s">
        <v>76</v>
      </c>
      <c r="F17" s="60" t="s">
        <v>31</v>
      </c>
      <c r="G17" s="47">
        <v>3</v>
      </c>
      <c r="H17" s="133">
        <f>IF(B$17=0,0,G17/B$17)</f>
        <v>1.7045454545454544E-2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13.774999999999999</v>
      </c>
      <c r="P17" s="119">
        <v>16</v>
      </c>
      <c r="Q17" s="107">
        <v>220.39999999999998</v>
      </c>
    </row>
    <row r="18" spans="1:17" x14ac:dyDescent="0.4">
      <c r="A18" s="55" t="s">
        <v>12</v>
      </c>
      <c r="B18" s="47">
        <v>75</v>
      </c>
      <c r="C18" s="39">
        <f>IF(B$17=0,0,B18/B$17)</f>
        <v>0.42613636363636365</v>
      </c>
      <c r="E18" s="63" t="s">
        <v>80</v>
      </c>
      <c r="F18" s="60" t="s">
        <v>35</v>
      </c>
      <c r="G18" s="47">
        <v>3</v>
      </c>
      <c r="H18" s="133">
        <f>IF(B$17=0,0,G18/B$17)</f>
        <v>1.7045454545454544E-2</v>
      </c>
      <c r="I18" s="94">
        <v>5</v>
      </c>
      <c r="K18" s="38">
        <v>16</v>
      </c>
      <c r="L18" s="99">
        <v>-50.3</v>
      </c>
      <c r="N18" s="115" t="s">
        <v>172</v>
      </c>
      <c r="O18" s="125">
        <f>IF(P18=0,0,Q18/P18)</f>
        <v>3.6749999999999998</v>
      </c>
      <c r="P18" s="119">
        <v>16</v>
      </c>
      <c r="Q18" s="107">
        <v>58.8</v>
      </c>
    </row>
    <row r="19" spans="1:17" x14ac:dyDescent="0.4">
      <c r="A19" s="55" t="s">
        <v>11</v>
      </c>
      <c r="B19" s="47">
        <v>101</v>
      </c>
      <c r="C19" s="39">
        <f>IF(B$17=0,0,B19/B$17)</f>
        <v>0.57386363636363635</v>
      </c>
      <c r="E19" s="63" t="s">
        <v>92</v>
      </c>
      <c r="F19" s="60" t="s">
        <v>47</v>
      </c>
      <c r="G19" s="47">
        <v>3</v>
      </c>
      <c r="H19" s="133">
        <f>IF(B$17=0,0,G19/B$17)</f>
        <v>1.7045454545454544E-2</v>
      </c>
      <c r="I19" s="94">
        <v>6</v>
      </c>
      <c r="K19" s="38">
        <v>17</v>
      </c>
      <c r="L19" s="99">
        <v>-74.3</v>
      </c>
      <c r="N19" s="115" t="s">
        <v>127</v>
      </c>
      <c r="O19" s="125">
        <f>IF(P19=0,0,Q19/P19)</f>
        <v>0.2302325581395398</v>
      </c>
      <c r="P19" s="119">
        <v>43</v>
      </c>
      <c r="Q19" s="107">
        <v>9.9000000000002117</v>
      </c>
    </row>
    <row r="20" spans="1:17" x14ac:dyDescent="0.4">
      <c r="A20" s="55" t="s">
        <v>13</v>
      </c>
      <c r="B20" s="47">
        <v>106</v>
      </c>
      <c r="C20" s="39">
        <f>IF(B$3=0,0,B20/B$3)</f>
        <v>0.17014446227929375</v>
      </c>
      <c r="E20" s="63" t="s">
        <v>85</v>
      </c>
      <c r="F20" s="60" t="s">
        <v>40</v>
      </c>
      <c r="G20" s="47">
        <v>2</v>
      </c>
      <c r="H20" s="133">
        <f>IF(B$17=0,0,G20/B$17)</f>
        <v>1.1363636363636364E-2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>IF(P20=0,0,Q20/P20)</f>
        <v>-1.6352941176470643</v>
      </c>
      <c r="P20" s="119">
        <v>34</v>
      </c>
      <c r="Q20" s="107">
        <v>-55.600000000000186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93</v>
      </c>
      <c r="F21" s="60" t="s">
        <v>48</v>
      </c>
      <c r="G21" s="47">
        <v>2</v>
      </c>
      <c r="H21" s="133">
        <f>IF(B$17=0,0,G21/B$17)</f>
        <v>1.1363636363636364E-2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7</v>
      </c>
      <c r="E22" s="63" t="s">
        <v>180</v>
      </c>
      <c r="F22" s="60" t="s">
        <v>183</v>
      </c>
      <c r="G22" s="47">
        <v>2</v>
      </c>
      <c r="H22" s="133">
        <f>IF(B$17=0,0,G22/B$17)</f>
        <v>1.1363636363636364E-2</v>
      </c>
      <c r="I22" s="94">
        <v>4</v>
      </c>
      <c r="K22" s="38">
        <v>20</v>
      </c>
      <c r="L22" s="99">
        <v>-3.5999999999999917</v>
      </c>
      <c r="N22" s="115" t="s">
        <v>177</v>
      </c>
      <c r="O22" s="125">
        <f>IF(P22=0,0,Q22/P22)</f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9780.113636363636</v>
      </c>
      <c r="C23" s="41">
        <v>1721300</v>
      </c>
      <c r="E23" s="63" t="s">
        <v>74</v>
      </c>
      <c r="F23" s="60" t="s">
        <v>29</v>
      </c>
      <c r="G23" s="47">
        <v>1</v>
      </c>
      <c r="H23" s="133">
        <f>IF(B$17=0,0,G23/B$17)</f>
        <v>5.681818181818182E-3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-7870.7547169811323</v>
      </c>
      <c r="C24" s="45">
        <v>-834300</v>
      </c>
      <c r="E24" s="63" t="s">
        <v>88</v>
      </c>
      <c r="F24" s="60" t="s">
        <v>43</v>
      </c>
      <c r="G24" s="47">
        <v>1</v>
      </c>
      <c r="H24" s="133">
        <f>IF(B$17=0,0,G24/B$17)</f>
        <v>5.681818181818182E-3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5.681818181818182E-3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1.6051364365971107E-3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41.299999999999983</v>
      </c>
    </row>
    <row r="76" spans="11:12" x14ac:dyDescent="0.4">
      <c r="K76" s="38">
        <v>74</v>
      </c>
      <c r="L76" s="99">
        <v>87.299999999999983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AABC9-DCC0-4946-8564-6912072B0AF3}">
  <sheetPr codeName="Sheet15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</v>
      </c>
      <c r="C2" s="147"/>
      <c r="E2" s="62" t="s">
        <v>67</v>
      </c>
      <c r="F2" s="59" t="s">
        <v>23</v>
      </c>
      <c r="G2" s="46">
        <v>125</v>
      </c>
      <c r="H2" s="132">
        <f>IF(B$17=0,0,G2/B$17)</f>
        <v>0.66489361702127658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445.76271186440675</v>
      </c>
      <c r="P2" s="118">
        <v>59</v>
      </c>
      <c r="Q2" s="102">
        <v>26300</v>
      </c>
    </row>
    <row r="3" spans="1:17" x14ac:dyDescent="0.4">
      <c r="A3" s="55" t="s">
        <v>8</v>
      </c>
      <c r="B3" s="148">
        <v>516</v>
      </c>
      <c r="C3" s="149"/>
      <c r="E3" s="63" t="s">
        <v>73</v>
      </c>
      <c r="F3" s="60" t="s">
        <v>28</v>
      </c>
      <c r="G3" s="47">
        <v>106</v>
      </c>
      <c r="H3" s="133">
        <f>IF(B$17=0,0,G3/B$17)</f>
        <v>0.56382978723404253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100</v>
      </c>
      <c r="P3" s="119">
        <v>59</v>
      </c>
      <c r="Q3" s="103">
        <v>5900</v>
      </c>
    </row>
    <row r="4" spans="1:17" x14ac:dyDescent="0.4">
      <c r="A4" s="55" t="s">
        <v>6</v>
      </c>
      <c r="B4" s="150">
        <v>21.999999999999986</v>
      </c>
      <c r="C4" s="151"/>
      <c r="E4" s="63" t="s">
        <v>181</v>
      </c>
      <c r="F4" s="60" t="s">
        <v>182</v>
      </c>
      <c r="G4" s="47">
        <v>86</v>
      </c>
      <c r="H4" s="133">
        <f>IF(B$17=0,0,G4/B$17)</f>
        <v>0.45744680851063829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-1135.8490566037735</v>
      </c>
      <c r="P4" s="119">
        <v>53</v>
      </c>
      <c r="Q4" s="103">
        <v>-60200</v>
      </c>
    </row>
    <row r="5" spans="1:17" x14ac:dyDescent="0.4">
      <c r="A5" s="55" t="s">
        <v>7</v>
      </c>
      <c r="B5" s="152">
        <f>IF(B$2=0,0,B$4/B$2)</f>
        <v>0.37288135593220317</v>
      </c>
      <c r="C5" s="153"/>
      <c r="E5" s="63" t="s">
        <v>65</v>
      </c>
      <c r="F5" s="60" t="s">
        <v>21</v>
      </c>
      <c r="G5" s="47">
        <v>66</v>
      </c>
      <c r="H5" s="133">
        <f>IF(B$17=0,0,G5/B$17)</f>
        <v>0.35106382978723405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372</v>
      </c>
      <c r="P5" s="119">
        <v>50</v>
      </c>
      <c r="Q5" s="103">
        <v>18600</v>
      </c>
    </row>
    <row r="6" spans="1:17" x14ac:dyDescent="0.4">
      <c r="A6" s="55" t="s">
        <v>1</v>
      </c>
      <c r="B6" s="142">
        <f>IF(B$2=0,0,(B$7*1+B$8*2+B$9*3)/B$2)</f>
        <v>2.0338983050847457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0.27127659574468083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661.22448979591832</v>
      </c>
      <c r="P6" s="119">
        <v>49</v>
      </c>
      <c r="Q6" s="103">
        <v>32400</v>
      </c>
    </row>
    <row r="7" spans="1:17" x14ac:dyDescent="0.4">
      <c r="A7" s="55" t="s">
        <v>2</v>
      </c>
      <c r="B7" s="47">
        <v>16</v>
      </c>
      <c r="C7" s="39">
        <f>IF(B$2=0,0,B7/B$2)</f>
        <v>0.2711864406779661</v>
      </c>
      <c r="E7" s="63" t="s">
        <v>68</v>
      </c>
      <c r="F7" s="60" t="s">
        <v>24</v>
      </c>
      <c r="G7" s="47">
        <v>32</v>
      </c>
      <c r="H7" s="133">
        <f>IF(B$17=0,0,G7/B$17)</f>
        <v>0.1702127659574468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-351.16279069767444</v>
      </c>
      <c r="P7" s="120">
        <v>43</v>
      </c>
      <c r="Q7" s="104">
        <v>-15100</v>
      </c>
    </row>
    <row r="8" spans="1:17" x14ac:dyDescent="0.4">
      <c r="A8" s="55" t="s">
        <v>3</v>
      </c>
      <c r="B8" s="47">
        <v>25</v>
      </c>
      <c r="C8" s="39">
        <f>IF(B$2=0,0,B8/B$2)</f>
        <v>0.42372881355932202</v>
      </c>
      <c r="E8" s="63" t="s">
        <v>70</v>
      </c>
      <c r="F8" s="60" t="s">
        <v>25</v>
      </c>
      <c r="G8" s="47">
        <v>28</v>
      </c>
      <c r="H8" s="133">
        <f>IF(B$17=0,0,G8/B$17)</f>
        <v>0.14893617021276595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18</v>
      </c>
      <c r="C9" s="40">
        <f t="shared" ref="C9" si="1">IF(B$2=0,0,B9/B$2)</f>
        <v>0.30508474576271188</v>
      </c>
      <c r="E9" s="63" t="s">
        <v>66</v>
      </c>
      <c r="F9" s="60" t="s">
        <v>22</v>
      </c>
      <c r="G9" s="47">
        <v>21</v>
      </c>
      <c r="H9" s="133">
        <f>IF(B$17=0,0,G9/B$17)</f>
        <v>0.11170212765957446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5.0847457627118647E-2</v>
      </c>
      <c r="E10" s="63" t="s">
        <v>72</v>
      </c>
      <c r="F10" s="60" t="s">
        <v>27</v>
      </c>
      <c r="G10" s="47">
        <v>15</v>
      </c>
      <c r="H10" s="133">
        <f>IF(B$17=0,0,G10/B$17)</f>
        <v>7.9787234042553196E-2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0.10169491525423729</v>
      </c>
      <c r="E11" s="63" t="s">
        <v>90</v>
      </c>
      <c r="F11" s="60" t="s">
        <v>45</v>
      </c>
      <c r="G11" s="47">
        <v>12</v>
      </c>
      <c r="H11" s="133">
        <f>IF(B$17=0,0,G11/B$17)</f>
        <v>6.3829787234042548E-2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3</v>
      </c>
      <c r="C12" s="42">
        <f>IF(B$2=0,0,B12/B$2)</f>
        <v>5.0847457627118647E-2</v>
      </c>
      <c r="E12" s="63" t="s">
        <v>71</v>
      </c>
      <c r="F12" s="60" t="s">
        <v>26</v>
      </c>
      <c r="G12" s="47">
        <v>11</v>
      </c>
      <c r="H12" s="133">
        <f>IF(B$17=0,0,G12/B$17)</f>
        <v>5.8510638297872342E-2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2.8409090909090913</v>
      </c>
      <c r="P12" s="120">
        <v>22</v>
      </c>
      <c r="Q12" s="108">
        <v>62.500000000000007</v>
      </c>
    </row>
    <row r="13" spans="1:17" x14ac:dyDescent="0.4">
      <c r="A13" s="58" t="s">
        <v>122</v>
      </c>
      <c r="B13" s="50">
        <v>114</v>
      </c>
      <c r="C13" s="44">
        <f>IF(B$3=0,0,B13/B$3)</f>
        <v>0.22093023255813954</v>
      </c>
      <c r="E13" s="63" t="s">
        <v>84</v>
      </c>
      <c r="F13" s="60" t="s">
        <v>39</v>
      </c>
      <c r="G13" s="47">
        <v>10</v>
      </c>
      <c r="H13" s="133">
        <f>IF(B$17=0,0,G13/B$17)</f>
        <v>5.3191489361702128E-2</v>
      </c>
      <c r="I13" s="94">
        <v>2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149</v>
      </c>
      <c r="C14" s="39">
        <f>IF(B$3=0,0,B14/B$3)</f>
        <v>0.28875968992248063</v>
      </c>
      <c r="E14" s="63" t="s">
        <v>87</v>
      </c>
      <c r="F14" s="60" t="s">
        <v>42</v>
      </c>
      <c r="G14" s="47">
        <v>8</v>
      </c>
      <c r="H14" s="133">
        <f>IF(B$17=0,0,G14/B$17)</f>
        <v>4.2553191489361701E-2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0.57894736842105265</v>
      </c>
      <c r="E15" s="63" t="s">
        <v>82</v>
      </c>
      <c r="F15" s="60" t="s">
        <v>37</v>
      </c>
      <c r="G15" s="47">
        <v>6</v>
      </c>
      <c r="H15" s="133">
        <f>IF(B$17=0,0,G15/B$17)</f>
        <v>3.1914893617021274E-2</v>
      </c>
      <c r="I15" s="94">
        <v>5</v>
      </c>
      <c r="K15" s="38">
        <v>13</v>
      </c>
      <c r="L15" s="99">
        <v>-3</v>
      </c>
      <c r="N15" s="114" t="s">
        <v>129</v>
      </c>
      <c r="O15" s="124">
        <f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66</v>
      </c>
      <c r="C16" s="37">
        <f>IF(B$14=0,0,B16/B$14)</f>
        <v>0.44295302013422821</v>
      </c>
      <c r="E16" s="63" t="s">
        <v>79</v>
      </c>
      <c r="F16" s="60" t="s">
        <v>34</v>
      </c>
      <c r="G16" s="47">
        <v>2</v>
      </c>
      <c r="H16" s="133">
        <f>IF(B$17=0,0,G16/B$17)</f>
        <v>1.0638297872340425E-2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0.36434108527131781</v>
      </c>
      <c r="E17" s="63" t="s">
        <v>80</v>
      </c>
      <c r="F17" s="60" t="s">
        <v>35</v>
      </c>
      <c r="G17" s="47">
        <v>2</v>
      </c>
      <c r="H17" s="133">
        <f>IF(B$17=0,0,G17/B$17)</f>
        <v>1.0638297872340425E-2</v>
      </c>
      <c r="I17" s="94">
        <v>8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79</v>
      </c>
      <c r="C18" s="39">
        <f>IF(B$17=0,0,B18/B$17)</f>
        <v>0.42021276595744683</v>
      </c>
      <c r="E18" s="63" t="s">
        <v>92</v>
      </c>
      <c r="F18" s="60" t="s">
        <v>47</v>
      </c>
      <c r="G18" s="47">
        <v>2</v>
      </c>
      <c r="H18" s="133">
        <f>IF(B$17=0,0,G18/B$17)</f>
        <v>1.0638297872340425E-2</v>
      </c>
      <c r="I18" s="94">
        <v>7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109</v>
      </c>
      <c r="C19" s="39">
        <f>IF(B$17=0,0,B19/B$17)</f>
        <v>0.57978723404255317</v>
      </c>
      <c r="E19" s="63" t="s">
        <v>75</v>
      </c>
      <c r="F19" s="60" t="s">
        <v>30</v>
      </c>
      <c r="G19" s="47">
        <v>1</v>
      </c>
      <c r="H19" s="133">
        <f>IF(B$17=0,0,G19/B$17)</f>
        <v>5.3191489361702126E-3</v>
      </c>
      <c r="I19" s="94">
        <v>4</v>
      </c>
      <c r="K19" s="38">
        <v>17</v>
      </c>
      <c r="L19" s="99">
        <v>-55.099999999999994</v>
      </c>
      <c r="N19" s="115" t="s">
        <v>173</v>
      </c>
      <c r="O19" s="125">
        <f>IF(P19=0,0,Q19/P19)</f>
        <v>12.590909090909088</v>
      </c>
      <c r="P19" s="119">
        <v>11</v>
      </c>
      <c r="Q19" s="107">
        <v>138.49999999999997</v>
      </c>
    </row>
    <row r="20" spans="1:17" x14ac:dyDescent="0.4">
      <c r="A20" s="55" t="s">
        <v>13</v>
      </c>
      <c r="B20" s="47">
        <v>66</v>
      </c>
      <c r="C20" s="39">
        <f>IF(B$3=0,0,B20/B$3)</f>
        <v>0.12790697674418605</v>
      </c>
      <c r="E20" s="63" t="s">
        <v>76</v>
      </c>
      <c r="F20" s="60" t="s">
        <v>31</v>
      </c>
      <c r="G20" s="47">
        <v>1</v>
      </c>
      <c r="H20" s="133">
        <f>IF(B$17=0,0,G20/B$17)</f>
        <v>5.3191489361702126E-3</v>
      </c>
      <c r="I20" s="94">
        <v>6</v>
      </c>
      <c r="K20" s="38">
        <v>18</v>
      </c>
      <c r="L20" s="99">
        <v>-28.199999999999996</v>
      </c>
      <c r="N20" s="115" t="s">
        <v>177</v>
      </c>
      <c r="O20" s="125">
        <f>IF(P20=0,0,Q20/P20)</f>
        <v>7.7299999999999995</v>
      </c>
      <c r="P20" s="119">
        <v>10</v>
      </c>
      <c r="Q20" s="107">
        <v>77.3</v>
      </c>
    </row>
    <row r="21" spans="1:17" x14ac:dyDescent="0.4">
      <c r="A21" s="55" t="s">
        <v>193</v>
      </c>
      <c r="B21" s="47">
        <v>10</v>
      </c>
      <c r="C21" s="135">
        <v>3</v>
      </c>
      <c r="E21" s="63" t="s">
        <v>88</v>
      </c>
      <c r="F21" s="60" t="s">
        <v>43</v>
      </c>
      <c r="G21" s="47">
        <v>1</v>
      </c>
      <c r="H21" s="133">
        <f>IF(B$17=0,0,G21/B$17)</f>
        <v>5.3191489361702126E-3</v>
      </c>
      <c r="I21" s="94">
        <v>4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15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43</v>
      </c>
      <c r="N22" s="115" t="s">
        <v>171</v>
      </c>
      <c r="O22" s="125">
        <f>IF(P22=0,0,Q22/P22)</f>
        <v>-3.6750000000000007</v>
      </c>
      <c r="P22" s="119">
        <v>16</v>
      </c>
      <c r="Q22" s="107">
        <v>-58.800000000000011</v>
      </c>
    </row>
    <row r="23" spans="1:17" x14ac:dyDescent="0.4">
      <c r="A23" s="55" t="s">
        <v>5</v>
      </c>
      <c r="B23" s="51">
        <f>IF(B$17=0,0,C23/B$17)</f>
        <v>6579.255319148936</v>
      </c>
      <c r="C23" s="41">
        <v>1236900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-24.890322580645162</v>
      </c>
      <c r="P23" s="119">
        <v>31</v>
      </c>
      <c r="Q23" s="107">
        <v>-771.6</v>
      </c>
    </row>
    <row r="24" spans="1:17" x14ac:dyDescent="0.4">
      <c r="A24" s="57" t="s">
        <v>14</v>
      </c>
      <c r="B24" s="52">
        <f>IF(B$20=0,0,C24/B$20)</f>
        <v>-9269.69696969697</v>
      </c>
      <c r="C24" s="45">
        <v>-611800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1.937984496124031E-3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71F2C-5B6A-4196-8AB8-C6FBD5D4E595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41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0.70192307692307687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-3139.0243902439024</v>
      </c>
      <c r="P2" s="118">
        <v>41</v>
      </c>
      <c r="Q2" s="102">
        <v>-128700</v>
      </c>
    </row>
    <row r="3" spans="1:17" x14ac:dyDescent="0.4">
      <c r="A3" s="55" t="s">
        <v>8</v>
      </c>
      <c r="B3" s="148">
        <v>355</v>
      </c>
      <c r="C3" s="149"/>
      <c r="E3" s="63" t="s">
        <v>73</v>
      </c>
      <c r="F3" s="60" t="s">
        <v>28</v>
      </c>
      <c r="G3" s="47">
        <v>53</v>
      </c>
      <c r="H3" s="133">
        <f>IF(B$17=0,0,G3/B$17)</f>
        <v>0.50961538461538458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2056.0975609756097</v>
      </c>
      <c r="P3" s="119">
        <v>41</v>
      </c>
      <c r="Q3" s="103">
        <v>84300</v>
      </c>
    </row>
    <row r="4" spans="1:17" x14ac:dyDescent="0.4">
      <c r="A4" s="55" t="s">
        <v>6</v>
      </c>
      <c r="B4" s="150">
        <v>-303.59999999999997</v>
      </c>
      <c r="C4" s="151"/>
      <c r="E4" s="63" t="s">
        <v>65</v>
      </c>
      <c r="F4" s="60" t="s">
        <v>21</v>
      </c>
      <c r="G4" s="47">
        <v>48</v>
      </c>
      <c r="H4" s="133">
        <f>IF(B$17=0,0,G4/B$17)</f>
        <v>0.46153846153846156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-987.17948717948718</v>
      </c>
      <c r="P4" s="119">
        <v>39</v>
      </c>
      <c r="Q4" s="103">
        <v>-38500</v>
      </c>
    </row>
    <row r="5" spans="1:17" x14ac:dyDescent="0.4">
      <c r="A5" s="55" t="s">
        <v>7</v>
      </c>
      <c r="B5" s="152">
        <f>IF(B$2=0,0,B$4/B$2)</f>
        <v>-7.4048780487804873</v>
      </c>
      <c r="C5" s="153"/>
      <c r="E5" s="63" t="s">
        <v>69</v>
      </c>
      <c r="F5" s="60" t="s">
        <v>12</v>
      </c>
      <c r="G5" s="47">
        <v>41</v>
      </c>
      <c r="H5" s="133">
        <f>IF(B$17=0,0,G5/B$17)</f>
        <v>0.39423076923076922</v>
      </c>
      <c r="I5" s="94">
        <v>4</v>
      </c>
      <c r="K5" s="38">
        <v>3</v>
      </c>
      <c r="L5" s="99">
        <v>-149</v>
      </c>
      <c r="N5" s="115" t="s">
        <v>135</v>
      </c>
      <c r="O5" s="122">
        <f t="shared" si="0"/>
        <v>-3933.3333333333335</v>
      </c>
      <c r="P5" s="119">
        <v>36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2.0975609756097562</v>
      </c>
      <c r="C6" s="143"/>
      <c r="E6" s="63" t="s">
        <v>181</v>
      </c>
      <c r="F6" s="60" t="s">
        <v>182</v>
      </c>
      <c r="G6" s="47">
        <v>38</v>
      </c>
      <c r="H6" s="133">
        <f>IF(B$17=0,0,G6/B$17)</f>
        <v>0.36538461538461536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-46.875</v>
      </c>
      <c r="P6" s="119">
        <v>32</v>
      </c>
      <c r="Q6" s="103">
        <v>-1500</v>
      </c>
    </row>
    <row r="7" spans="1:17" x14ac:dyDescent="0.4">
      <c r="A7" s="55" t="s">
        <v>2</v>
      </c>
      <c r="B7" s="47">
        <v>11</v>
      </c>
      <c r="C7" s="39">
        <f>IF(B$2=0,0,B7/B$2)</f>
        <v>0.26829268292682928</v>
      </c>
      <c r="E7" s="63" t="s">
        <v>68</v>
      </c>
      <c r="F7" s="60" t="s">
        <v>24</v>
      </c>
      <c r="G7" s="47">
        <v>26</v>
      </c>
      <c r="H7" s="133">
        <f>IF(B$17=0,0,G7/B$17)</f>
        <v>0.25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270.96774193548384</v>
      </c>
      <c r="P7" s="120">
        <v>31</v>
      </c>
      <c r="Q7" s="104">
        <v>8400</v>
      </c>
    </row>
    <row r="8" spans="1:17" x14ac:dyDescent="0.4">
      <c r="A8" s="55" t="s">
        <v>3</v>
      </c>
      <c r="B8" s="47">
        <v>15</v>
      </c>
      <c r="C8" s="39">
        <f>IF(B$2=0,0,B8/B$2)</f>
        <v>0.36585365853658536</v>
      </c>
      <c r="E8" s="63" t="s">
        <v>71</v>
      </c>
      <c r="F8" s="60" t="s">
        <v>26</v>
      </c>
      <c r="G8" s="47">
        <v>13</v>
      </c>
      <c r="H8" s="133">
        <f>IF(B$17=0,0,G8/B$17)</f>
        <v>0.125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0.36585365853658536</v>
      </c>
      <c r="E9" s="63" t="s">
        <v>90</v>
      </c>
      <c r="F9" s="60" t="s">
        <v>45</v>
      </c>
      <c r="G9" s="47">
        <v>12</v>
      </c>
      <c r="H9" s="133">
        <f>IF(B$17=0,0,G9/B$17)</f>
        <v>0.11538461538461539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0.12195121951219512</v>
      </c>
      <c r="E10" s="63" t="s">
        <v>70</v>
      </c>
      <c r="F10" s="60" t="s">
        <v>25</v>
      </c>
      <c r="G10" s="47">
        <v>11</v>
      </c>
      <c r="H10" s="133">
        <f>IF(B$17=0,0,G10/B$17)</f>
        <v>0.10576923076923077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4.878048780487805E-2</v>
      </c>
      <c r="E11" s="63" t="s">
        <v>66</v>
      </c>
      <c r="F11" s="60" t="s">
        <v>22</v>
      </c>
      <c r="G11" s="47">
        <v>8</v>
      </c>
      <c r="H11" s="133">
        <f>IF(B$17=0,0,G11/B$17)</f>
        <v>7.6923076923076927E-2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-6.1842105263157885</v>
      </c>
      <c r="P11" s="119">
        <v>19</v>
      </c>
      <c r="Q11" s="107">
        <v>-117.49999999999999</v>
      </c>
    </row>
    <row r="12" spans="1:17" x14ac:dyDescent="0.4">
      <c r="A12" s="57" t="s">
        <v>160</v>
      </c>
      <c r="B12" s="49">
        <v>1</v>
      </c>
      <c r="C12" s="42">
        <f>IF(B$2=0,0,B12/B$2)</f>
        <v>2.4390243902439025E-2</v>
      </c>
      <c r="E12" s="63" t="s">
        <v>72</v>
      </c>
      <c r="F12" s="60" t="s">
        <v>27</v>
      </c>
      <c r="G12" s="47">
        <v>6</v>
      </c>
      <c r="H12" s="133">
        <f>IF(B$17=0,0,G12/B$17)</f>
        <v>5.7692307692307696E-2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82</v>
      </c>
      <c r="C13" s="44">
        <f>IF(B$3=0,0,B13/B$3)</f>
        <v>0.23098591549295774</v>
      </c>
      <c r="E13" s="63" t="s">
        <v>87</v>
      </c>
      <c r="F13" s="60" t="s">
        <v>42</v>
      </c>
      <c r="G13" s="47">
        <v>4</v>
      </c>
      <c r="H13" s="133">
        <f>IF(B$17=0,0,G13/B$17)</f>
        <v>3.8461538461538464E-2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</v>
      </c>
      <c r="C14" s="39">
        <f>IF(B$3=0,0,B14/B$3)</f>
        <v>0.25352112676056338</v>
      </c>
      <c r="E14" s="63" t="s">
        <v>74</v>
      </c>
      <c r="F14" s="60" t="s">
        <v>29</v>
      </c>
      <c r="G14" s="47">
        <v>2</v>
      </c>
      <c r="H14" s="133">
        <f>IF(B$17=0,0,G14/B$17)</f>
        <v>1.9230769230769232E-2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49</v>
      </c>
      <c r="C15" s="37">
        <f>IF(B$13=0,0,B15/B$13)</f>
        <v>0.59756097560975607</v>
      </c>
      <c r="E15" s="63" t="s">
        <v>79</v>
      </c>
      <c r="F15" s="60" t="s">
        <v>34</v>
      </c>
      <c r="G15" s="47">
        <v>2</v>
      </c>
      <c r="H15" s="133">
        <f>IF(B$17=0,0,G15/B$17)</f>
        <v>1.9230769230769232E-2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29</v>
      </c>
      <c r="C16" s="37">
        <f>IF(B$14=0,0,B16/B$14)</f>
        <v>0.32222222222222224</v>
      </c>
      <c r="E16" s="63" t="s">
        <v>80</v>
      </c>
      <c r="F16" s="60" t="s">
        <v>35</v>
      </c>
      <c r="G16" s="47">
        <v>2</v>
      </c>
      <c r="H16" s="133">
        <f>IF(B$17=0,0,G16/B$17)</f>
        <v>1.9230769230769232E-2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104</v>
      </c>
      <c r="C17" s="37">
        <f>IF(B$3=0,0,B17/B$3)</f>
        <v>0.29295774647887324</v>
      </c>
      <c r="E17" s="63" t="s">
        <v>84</v>
      </c>
      <c r="F17" s="60" t="s">
        <v>39</v>
      </c>
      <c r="G17" s="47">
        <v>2</v>
      </c>
      <c r="H17" s="133">
        <f>IF(B$17=0,0,G17/B$17)</f>
        <v>1.9230769230769232E-2</v>
      </c>
      <c r="I17" s="94">
        <v>10</v>
      </c>
      <c r="K17" s="38">
        <v>15</v>
      </c>
      <c r="L17" s="99">
        <v>-264.59999999999997</v>
      </c>
      <c r="N17" s="115" t="s">
        <v>172</v>
      </c>
      <c r="O17" s="125">
        <f>IF(P17=0,0,Q17/P17)</f>
        <v>-12.590909090909088</v>
      </c>
      <c r="P17" s="119">
        <v>11</v>
      </c>
      <c r="Q17" s="107">
        <v>-138.49999999999997</v>
      </c>
    </row>
    <row r="18" spans="1:17" x14ac:dyDescent="0.4">
      <c r="A18" s="55" t="s">
        <v>12</v>
      </c>
      <c r="B18" s="47">
        <v>54</v>
      </c>
      <c r="C18" s="39">
        <f>IF(B$17=0,0,B18/B$17)</f>
        <v>0.51923076923076927</v>
      </c>
      <c r="E18" s="63" t="s">
        <v>92</v>
      </c>
      <c r="F18" s="60" t="s">
        <v>47</v>
      </c>
      <c r="G18" s="47">
        <v>2</v>
      </c>
      <c r="H18" s="133">
        <f>IF(B$17=0,0,G18/B$17)</f>
        <v>1.9230769230769232E-2</v>
      </c>
      <c r="I18" s="94">
        <v>3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0.48076923076923078</v>
      </c>
      <c r="E19" s="63" t="s">
        <v>88</v>
      </c>
      <c r="F19" s="60" t="s">
        <v>43</v>
      </c>
      <c r="G19" s="47">
        <v>1</v>
      </c>
      <c r="H19" s="133">
        <f>IF(B$17=0,0,G19/B$17)</f>
        <v>9.6153846153846159E-3</v>
      </c>
      <c r="I19" s="94">
        <v>1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68</v>
      </c>
      <c r="C20" s="39">
        <f>IF(B$3=0,0,B20/B$3)</f>
        <v>0.19154929577464788</v>
      </c>
      <c r="E20" s="63" t="s">
        <v>180</v>
      </c>
      <c r="F20" s="60" t="s">
        <v>183</v>
      </c>
      <c r="G20" s="47">
        <v>1</v>
      </c>
      <c r="H20" s="133">
        <f>IF(B$17=0,0,G20/B$17)</f>
        <v>9.6153846153846159E-3</v>
      </c>
      <c r="I20" s="94">
        <v>5</v>
      </c>
      <c r="K20" s="38">
        <v>18</v>
      </c>
      <c r="L20" s="99">
        <v>-218.99999999999994</v>
      </c>
      <c r="N20" s="115" t="s">
        <v>177</v>
      </c>
      <c r="O20" s="125">
        <f>IF(P20=0,0,Q20/P20)</f>
        <v>-31.450000000000003</v>
      </c>
      <c r="P20" s="119">
        <v>4</v>
      </c>
      <c r="Q20" s="107">
        <v>-125.80000000000001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7119.2307692307695</v>
      </c>
      <c r="C23" s="41">
        <v>740400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-7689.7058823529414</v>
      </c>
      <c r="C24" s="45">
        <v>-522900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5.6338028169014088E-3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250E5-CCBE-41FB-B940-E51687679724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</v>
      </c>
      <c r="C2" s="147"/>
      <c r="E2" s="62" t="s">
        <v>65</v>
      </c>
      <c r="F2" s="59" t="s">
        <v>21</v>
      </c>
      <c r="G2" s="46">
        <v>59</v>
      </c>
      <c r="H2" s="132">
        <f>IF(B$17=0,0,G2/B$17)</f>
        <v>0.56190476190476191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1352.3809523809523</v>
      </c>
      <c r="P2" s="118">
        <v>42</v>
      </c>
      <c r="Q2" s="102">
        <v>56800</v>
      </c>
    </row>
    <row r="3" spans="1:17" x14ac:dyDescent="0.4">
      <c r="A3" s="55" t="s">
        <v>8</v>
      </c>
      <c r="B3" s="148">
        <v>341</v>
      </c>
      <c r="C3" s="149"/>
      <c r="E3" s="63" t="s">
        <v>67</v>
      </c>
      <c r="F3" s="60" t="s">
        <v>23</v>
      </c>
      <c r="G3" s="47">
        <v>58</v>
      </c>
      <c r="H3" s="133">
        <f>IF(B$17=0,0,G3/B$17)</f>
        <v>0.55238095238095242</v>
      </c>
      <c r="I3" s="94">
        <v>11</v>
      </c>
      <c r="K3" s="38">
        <v>1</v>
      </c>
      <c r="L3" s="99">
        <v>-1.9</v>
      </c>
      <c r="N3" s="115" t="s">
        <v>133</v>
      </c>
      <c r="O3" s="122">
        <f t="shared" si="0"/>
        <v>1087.5</v>
      </c>
      <c r="P3" s="119">
        <v>40</v>
      </c>
      <c r="Q3" s="103">
        <v>43500</v>
      </c>
    </row>
    <row r="4" spans="1:17" x14ac:dyDescent="0.4">
      <c r="A4" s="55" t="s">
        <v>6</v>
      </c>
      <c r="B4" s="150">
        <v>97.600000000000009</v>
      </c>
      <c r="C4" s="151"/>
      <c r="E4" s="63" t="s">
        <v>73</v>
      </c>
      <c r="F4" s="60" t="s">
        <v>28</v>
      </c>
      <c r="G4" s="47">
        <v>51</v>
      </c>
      <c r="H4" s="133">
        <f>IF(B$17=0,0,G4/B$17)</f>
        <v>0.48571428571428571</v>
      </c>
      <c r="I4" s="94">
        <v>9</v>
      </c>
      <c r="K4" s="38">
        <v>2</v>
      </c>
      <c r="L4" s="99">
        <v>30</v>
      </c>
      <c r="N4" s="115" t="s">
        <v>134</v>
      </c>
      <c r="O4" s="122">
        <f t="shared" si="0"/>
        <v>-1263.8888888888889</v>
      </c>
      <c r="P4" s="119">
        <v>36</v>
      </c>
      <c r="Q4" s="103">
        <v>-45500</v>
      </c>
    </row>
    <row r="5" spans="1:17" x14ac:dyDescent="0.4">
      <c r="A5" s="55" t="s">
        <v>7</v>
      </c>
      <c r="B5" s="152">
        <f>IF(B$2=0,0,B$4/B$2)</f>
        <v>2.323809523809524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0.4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1545.7142857142858</v>
      </c>
      <c r="P5" s="119">
        <v>35</v>
      </c>
      <c r="Q5" s="103">
        <v>54100</v>
      </c>
    </row>
    <row r="6" spans="1:17" x14ac:dyDescent="0.4">
      <c r="A6" s="55" t="s">
        <v>1</v>
      </c>
      <c r="B6" s="142">
        <f>IF(B$2=0,0,(B$7*1+B$8*2+B$9*3)/B$2)</f>
        <v>1.9285714285714286</v>
      </c>
      <c r="C6" s="143"/>
      <c r="E6" s="63" t="s">
        <v>68</v>
      </c>
      <c r="F6" s="60" t="s">
        <v>24</v>
      </c>
      <c r="G6" s="47">
        <v>36</v>
      </c>
      <c r="H6" s="133">
        <f>IF(B$17=0,0,G6/B$17)</f>
        <v>0.34285714285714286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-1325.8064516129032</v>
      </c>
      <c r="P6" s="119">
        <v>31</v>
      </c>
      <c r="Q6" s="103">
        <v>-41100</v>
      </c>
    </row>
    <row r="7" spans="1:17" x14ac:dyDescent="0.4">
      <c r="A7" s="55" t="s">
        <v>2</v>
      </c>
      <c r="B7" s="47">
        <v>17</v>
      </c>
      <c r="C7" s="39">
        <f>IF(B$2=0,0,B7/B$2)</f>
        <v>0.40476190476190477</v>
      </c>
      <c r="E7" s="63" t="s">
        <v>69</v>
      </c>
      <c r="F7" s="60" t="s">
        <v>12</v>
      </c>
      <c r="G7" s="47">
        <v>30</v>
      </c>
      <c r="H7" s="133">
        <f>IF(B$17=0,0,G7/B$17)</f>
        <v>0.2857142857142857</v>
      </c>
      <c r="I7" s="94">
        <v>10</v>
      </c>
      <c r="K7" s="38">
        <v>5</v>
      </c>
      <c r="L7" s="99">
        <v>35.4</v>
      </c>
      <c r="N7" s="116" t="s">
        <v>137</v>
      </c>
      <c r="O7" s="123">
        <f t="shared" si="0"/>
        <v>307.69230769230768</v>
      </c>
      <c r="P7" s="120">
        <v>26</v>
      </c>
      <c r="Q7" s="104">
        <v>8000</v>
      </c>
    </row>
    <row r="8" spans="1:17" x14ac:dyDescent="0.4">
      <c r="A8" s="55" t="s">
        <v>3</v>
      </c>
      <c r="B8" s="47">
        <v>11</v>
      </c>
      <c r="C8" s="39">
        <f>IF(B$2=0,0,B8/B$2)</f>
        <v>0.26190476190476192</v>
      </c>
      <c r="E8" s="63" t="s">
        <v>70</v>
      </c>
      <c r="F8" s="60" t="s">
        <v>25</v>
      </c>
      <c r="G8" s="47">
        <v>16</v>
      </c>
      <c r="H8" s="133">
        <f>IF(B$17=0,0,G8/B$17)</f>
        <v>0.15238095238095239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13</v>
      </c>
      <c r="H9" s="133">
        <f>IF(B$17=0,0,G9/B$17)</f>
        <v>0.12380952380952381</v>
      </c>
      <c r="I9" s="94">
        <v>7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0.16666666666666666</v>
      </c>
      <c r="E10" s="63" t="s">
        <v>66</v>
      </c>
      <c r="F10" s="60" t="s">
        <v>22</v>
      </c>
      <c r="G10" s="47">
        <v>10</v>
      </c>
      <c r="H10" s="133">
        <f>IF(B$17=0,0,G10/B$17)</f>
        <v>9.5238095238095233E-2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7.8899999999999988</v>
      </c>
      <c r="P10" s="118">
        <v>10</v>
      </c>
      <c r="Q10" s="106">
        <v>78.899999999999991</v>
      </c>
    </row>
    <row r="11" spans="1:17" x14ac:dyDescent="0.4">
      <c r="A11" s="56" t="s">
        <v>140</v>
      </c>
      <c r="B11" s="48">
        <v>5</v>
      </c>
      <c r="C11" s="40">
        <f>IF(B$2=0,0,B11/B$2)</f>
        <v>0.11904761904761904</v>
      </c>
      <c r="E11" s="63" t="s">
        <v>71</v>
      </c>
      <c r="F11" s="60" t="s">
        <v>26</v>
      </c>
      <c r="G11" s="47">
        <v>8</v>
      </c>
      <c r="H11" s="133">
        <f>IF(B$17=0,0,G11/B$17)</f>
        <v>7.6190476190476197E-2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4.0352941176470587</v>
      </c>
      <c r="P11" s="119">
        <v>17</v>
      </c>
      <c r="Q11" s="107">
        <v>68.599999999999994</v>
      </c>
    </row>
    <row r="12" spans="1:17" x14ac:dyDescent="0.4">
      <c r="A12" s="57" t="s">
        <v>160</v>
      </c>
      <c r="B12" s="49">
        <v>4</v>
      </c>
      <c r="C12" s="42">
        <f>IF(B$2=0,0,B12/B$2)</f>
        <v>9.5238095238095233E-2</v>
      </c>
      <c r="E12" s="63" t="s">
        <v>79</v>
      </c>
      <c r="F12" s="60" t="s">
        <v>34</v>
      </c>
      <c r="G12" s="47">
        <v>5</v>
      </c>
      <c r="H12" s="133">
        <f>IF(B$17=0,0,G12/B$17)</f>
        <v>4.7619047619047616E-2</v>
      </c>
      <c r="I12" s="94">
        <v>3</v>
      </c>
      <c r="K12" s="38">
        <v>10</v>
      </c>
      <c r="L12" s="99">
        <v>-183.7</v>
      </c>
      <c r="N12" s="116" t="s">
        <v>166</v>
      </c>
      <c r="O12" s="126">
        <f>IF(P12=0,0,Q12/P12)</f>
        <v>-3.3266666666666662</v>
      </c>
      <c r="P12" s="120">
        <v>15</v>
      </c>
      <c r="Q12" s="108">
        <v>-49.899999999999991</v>
      </c>
    </row>
    <row r="13" spans="1:17" x14ac:dyDescent="0.4">
      <c r="A13" s="58" t="s">
        <v>122</v>
      </c>
      <c r="B13" s="50">
        <v>85</v>
      </c>
      <c r="C13" s="44">
        <f>IF(B$3=0,0,B13/B$3)</f>
        <v>0.24926686217008798</v>
      </c>
      <c r="E13" s="63" t="s">
        <v>84</v>
      </c>
      <c r="F13" s="60" t="s">
        <v>39</v>
      </c>
      <c r="G13" s="47">
        <v>5</v>
      </c>
      <c r="H13" s="133">
        <f>IF(B$17=0,0,G13/B$17)</f>
        <v>4.7619047619047616E-2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70</v>
      </c>
      <c r="C14" s="39">
        <f>IF(B$3=0,0,B14/B$3)</f>
        <v>0.20527859237536658</v>
      </c>
      <c r="E14" s="63" t="s">
        <v>92</v>
      </c>
      <c r="F14" s="60" t="s">
        <v>47</v>
      </c>
      <c r="G14" s="47">
        <v>5</v>
      </c>
      <c r="H14" s="133">
        <f>IF(B$17=0,0,G14/B$17)</f>
        <v>4.7619047619047616E-2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59</v>
      </c>
      <c r="C15" s="37">
        <f>IF(B$13=0,0,B15/B$13)</f>
        <v>0.69411764705882351</v>
      </c>
      <c r="E15" s="63" t="s">
        <v>72</v>
      </c>
      <c r="F15" s="60" t="s">
        <v>27</v>
      </c>
      <c r="G15" s="47">
        <v>4</v>
      </c>
      <c r="H15" s="133">
        <f>IF(B$17=0,0,G15/B$17)</f>
        <v>3.8095238095238099E-2</v>
      </c>
      <c r="I15" s="94">
        <v>9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0.37142857142857144</v>
      </c>
      <c r="E16" s="63" t="s">
        <v>82</v>
      </c>
      <c r="F16" s="60" t="s">
        <v>37</v>
      </c>
      <c r="G16" s="47">
        <v>3</v>
      </c>
      <c r="H16" s="133">
        <f>IF(B$17=0,0,G16/B$17)</f>
        <v>2.8571428571428571E-2</v>
      </c>
      <c r="I16" s="94">
        <v>8</v>
      </c>
      <c r="K16" s="38">
        <v>14</v>
      </c>
      <c r="L16" s="99">
        <v>-178.49999999999997</v>
      </c>
      <c r="N16" s="115" t="s">
        <v>171</v>
      </c>
      <c r="O16" s="125">
        <f>IF(P16=0,0,Q16/P16)</f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105</v>
      </c>
      <c r="C17" s="37">
        <f>IF(B$3=0,0,B17/B$3)</f>
        <v>0.30791788856304986</v>
      </c>
      <c r="E17" s="63" t="s">
        <v>80</v>
      </c>
      <c r="F17" s="60" t="s">
        <v>35</v>
      </c>
      <c r="G17" s="47">
        <v>2</v>
      </c>
      <c r="H17" s="133">
        <f>IF(B$17=0,0,G17/B$17)</f>
        <v>1.9047619047619049E-2</v>
      </c>
      <c r="I17" s="94">
        <v>4</v>
      </c>
      <c r="K17" s="38">
        <v>15</v>
      </c>
      <c r="L17" s="99">
        <v>-146.19999999999999</v>
      </c>
      <c r="N17" s="115" t="s">
        <v>173</v>
      </c>
      <c r="O17" s="125">
        <f>IF(P17=0,0,Q17/P17)</f>
        <v>31.450000000000003</v>
      </c>
      <c r="P17" s="119">
        <v>4</v>
      </c>
      <c r="Q17" s="107">
        <v>125.80000000000001</v>
      </c>
    </row>
    <row r="18" spans="1:17" x14ac:dyDescent="0.4">
      <c r="A18" s="55" t="s">
        <v>12</v>
      </c>
      <c r="B18" s="47">
        <v>44</v>
      </c>
      <c r="C18" s="39">
        <f>IF(B$17=0,0,B18/B$17)</f>
        <v>0.41904761904761906</v>
      </c>
      <c r="E18" s="63" t="s">
        <v>86</v>
      </c>
      <c r="F18" s="60" t="s">
        <v>41</v>
      </c>
      <c r="G18" s="47">
        <v>2</v>
      </c>
      <c r="H18" s="133">
        <f>IF(B$17=0,0,G18/B$17)</f>
        <v>1.9047619047619049E-2</v>
      </c>
      <c r="I18" s="94">
        <v>1</v>
      </c>
      <c r="K18" s="38">
        <v>16</v>
      </c>
      <c r="L18" s="99">
        <v>-153.29999999999998</v>
      </c>
      <c r="N18" s="115" t="s">
        <v>186</v>
      </c>
      <c r="O18" s="125">
        <f>IF(P18=0,0,Q18/P18)</f>
        <v>15.833333333333337</v>
      </c>
      <c r="P18" s="119">
        <v>3</v>
      </c>
      <c r="Q18" s="107">
        <v>47.500000000000014</v>
      </c>
    </row>
    <row r="19" spans="1:17" x14ac:dyDescent="0.4">
      <c r="A19" s="55" t="s">
        <v>11</v>
      </c>
      <c r="B19" s="47">
        <v>61</v>
      </c>
      <c r="C19" s="39">
        <f>IF(B$17=0,0,B19/B$17)</f>
        <v>0.580952380952381</v>
      </c>
      <c r="E19" s="63" t="s">
        <v>87</v>
      </c>
      <c r="F19" s="60" t="s">
        <v>42</v>
      </c>
      <c r="G19" s="47">
        <v>2</v>
      </c>
      <c r="H19" s="133">
        <f>IF(B$17=0,0,G19/B$17)</f>
        <v>1.9047619047619049E-2</v>
      </c>
      <c r="I19" s="94">
        <v>10</v>
      </c>
      <c r="K19" s="38">
        <v>17</v>
      </c>
      <c r="L19" s="99">
        <v>-161.19999999999999</v>
      </c>
      <c r="N19" s="115" t="s">
        <v>128</v>
      </c>
      <c r="O19" s="125">
        <f>IF(P19=0,0,Q19/P19)</f>
        <v>10.631818181818183</v>
      </c>
      <c r="P19" s="119">
        <v>22</v>
      </c>
      <c r="Q19" s="107">
        <v>233.9</v>
      </c>
    </row>
    <row r="20" spans="1:17" x14ac:dyDescent="0.4">
      <c r="A20" s="55" t="s">
        <v>13</v>
      </c>
      <c r="B20" s="47">
        <v>54</v>
      </c>
      <c r="C20" s="39">
        <f>IF(B$3=0,0,B20/B$3)</f>
        <v>0.15835777126099707</v>
      </c>
      <c r="E20" s="63" t="s">
        <v>75</v>
      </c>
      <c r="F20" s="60" t="s">
        <v>30</v>
      </c>
      <c r="G20" s="47">
        <v>1</v>
      </c>
      <c r="H20" s="133">
        <f>IF(B$17=0,0,G20/B$17)</f>
        <v>9.5238095238095247E-3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-3.3454545454545483</v>
      </c>
      <c r="P20" s="119">
        <v>11</v>
      </c>
      <c r="Q20" s="107">
        <v>-36.800000000000033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9.5238095238095247E-3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2</v>
      </c>
      <c r="E22" s="63" t="s">
        <v>91</v>
      </c>
      <c r="F22" s="60" t="s">
        <v>46</v>
      </c>
      <c r="G22" s="47">
        <v>1</v>
      </c>
      <c r="H22" s="133">
        <f>IF(B$17=0,0,G22/B$17)</f>
        <v>9.5238095238095247E-3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-27.193750000000001</v>
      </c>
      <c r="P22" s="119">
        <v>16</v>
      </c>
      <c r="Q22" s="107">
        <v>-435.1</v>
      </c>
    </row>
    <row r="23" spans="1:17" x14ac:dyDescent="0.4">
      <c r="A23" s="55" t="s">
        <v>5</v>
      </c>
      <c r="B23" s="51">
        <f>IF(B$17=0,0,C23/B$17)</f>
        <v>8869.5238095238092</v>
      </c>
      <c r="C23" s="41">
        <v>931300</v>
      </c>
      <c r="E23" s="63" t="s">
        <v>93</v>
      </c>
      <c r="F23" s="60" t="s">
        <v>48</v>
      </c>
      <c r="G23" s="47">
        <v>1</v>
      </c>
      <c r="H23" s="133">
        <f>IF(B$17=0,0,G23/B$17)</f>
        <v>9.5238095238095247E-3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-7670.3703703703704</v>
      </c>
      <c r="C24" s="45">
        <v>-414200</v>
      </c>
      <c r="E24" s="63" t="s">
        <v>102</v>
      </c>
      <c r="F24" s="60" t="s">
        <v>57</v>
      </c>
      <c r="G24" s="47">
        <v>1</v>
      </c>
      <c r="H24" s="133">
        <f>IF(B$17=0,0,G24/B$17)</f>
        <v>9.5238095238095247E-3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5.8651026392961877E-3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9230C-8B14-47EE-B1AD-FF89D6D125AB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134A0-78EB-4B1D-8DAE-6B288A82B4E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</v>
      </c>
      <c r="C2" s="147"/>
      <c r="E2" s="62" t="s">
        <v>65</v>
      </c>
      <c r="F2" s="59" t="s">
        <v>21</v>
      </c>
      <c r="G2" s="46">
        <v>15</v>
      </c>
      <c r="H2" s="132">
        <f>IF(B$17=0,0,G2/B$17)</f>
        <v>0.5357142857142857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-508.33333333333331</v>
      </c>
      <c r="P2" s="118">
        <v>12</v>
      </c>
      <c r="Q2" s="102">
        <v>-6100</v>
      </c>
    </row>
    <row r="3" spans="1:17" x14ac:dyDescent="0.4">
      <c r="A3" s="55" t="s">
        <v>8</v>
      </c>
      <c r="B3" s="148">
        <v>104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3.5714285714285712E-2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0">
        <v>-116.6</v>
      </c>
      <c r="C4" s="151"/>
      <c r="E4" s="63" t="s">
        <v>67</v>
      </c>
      <c r="F4" s="60" t="s">
        <v>23</v>
      </c>
      <c r="G4" s="47">
        <v>22</v>
      </c>
      <c r="H4" s="133">
        <f>IF(B$17=0,0,G4/B$17)</f>
        <v>0.7857142857142857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-550</v>
      </c>
      <c r="P4" s="119">
        <v>12</v>
      </c>
      <c r="Q4" s="103">
        <v>-6600</v>
      </c>
    </row>
    <row r="5" spans="1:17" x14ac:dyDescent="0.4">
      <c r="A5" s="55" t="s">
        <v>7</v>
      </c>
      <c r="B5" s="152">
        <f>IF(B$2=0,0,B$4/B$2)</f>
        <v>-9.7166666666666668</v>
      </c>
      <c r="C5" s="153"/>
      <c r="E5" s="63" t="s">
        <v>68</v>
      </c>
      <c r="F5" s="60" t="s">
        <v>24</v>
      </c>
      <c r="G5" s="47">
        <v>6</v>
      </c>
      <c r="H5" s="133">
        <f>IF(B$17=0,0,G5/B$17)</f>
        <v>0.21428571428571427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-3772.7272727272725</v>
      </c>
      <c r="P5" s="119">
        <v>11</v>
      </c>
      <c r="Q5" s="103">
        <v>-41500</v>
      </c>
    </row>
    <row r="6" spans="1:17" x14ac:dyDescent="0.4">
      <c r="A6" s="55" t="s">
        <v>1</v>
      </c>
      <c r="B6" s="142">
        <f>IF(B$2=0,0,(B$7*1+B$8*2+B$9*3)/B$2)</f>
        <v>2.0833333333333335</v>
      </c>
      <c r="C6" s="143"/>
      <c r="E6" s="63" t="s">
        <v>69</v>
      </c>
      <c r="F6" s="60" t="s">
        <v>12</v>
      </c>
      <c r="G6" s="47">
        <v>9</v>
      </c>
      <c r="H6" s="133">
        <f>IF(B$17=0,0,G6/B$17)</f>
        <v>0.32142857142857145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390.90909090909093</v>
      </c>
      <c r="P6" s="119">
        <v>11</v>
      </c>
      <c r="Q6" s="103">
        <v>4300</v>
      </c>
    </row>
    <row r="7" spans="1:17" x14ac:dyDescent="0.4">
      <c r="A7" s="55" t="s">
        <v>2</v>
      </c>
      <c r="B7" s="47">
        <v>5</v>
      </c>
      <c r="C7" s="39">
        <f>IF(B$2=0,0,B7/B$2)</f>
        <v>0.41666666666666669</v>
      </c>
      <c r="E7" s="63" t="s">
        <v>70</v>
      </c>
      <c r="F7" s="60" t="s">
        <v>25</v>
      </c>
      <c r="G7" s="47">
        <v>4</v>
      </c>
      <c r="H7" s="133">
        <f>IF(B$17=0,0,G7/B$17)</f>
        <v>0.14285714285714285</v>
      </c>
      <c r="I7" s="94">
        <v>9</v>
      </c>
      <c r="K7" s="38">
        <v>5</v>
      </c>
      <c r="L7" s="99">
        <v>-121</v>
      </c>
      <c r="N7" s="116" t="s">
        <v>137</v>
      </c>
      <c r="O7" s="123">
        <f t="shared" si="0"/>
        <v>-3072.7272727272725</v>
      </c>
      <c r="P7" s="120">
        <v>11</v>
      </c>
      <c r="Q7" s="104">
        <v>-33800</v>
      </c>
    </row>
    <row r="8" spans="1:17" x14ac:dyDescent="0.4">
      <c r="A8" s="55" t="s">
        <v>3</v>
      </c>
      <c r="B8" s="47">
        <v>1</v>
      </c>
      <c r="C8" s="39">
        <f>IF(B$2=0,0,B8/B$2)</f>
        <v>8.3333333333333329E-2</v>
      </c>
      <c r="E8" s="63" t="s">
        <v>71</v>
      </c>
      <c r="F8" s="60" t="s">
        <v>26</v>
      </c>
      <c r="G8" s="47">
        <v>4</v>
      </c>
      <c r="H8" s="133">
        <f>IF(B$17=0,0,G8/B$17)</f>
        <v>0.14285714285714285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1</v>
      </c>
      <c r="H9" s="133">
        <f>IF(B$17=0,0,G9/B$17)</f>
        <v>3.5714285714285712E-2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28</v>
      </c>
      <c r="G10" s="47">
        <v>19</v>
      </c>
      <c r="H10" s="133">
        <f>IF(B$17=0,0,G10/B$17)</f>
        <v>0.6785714285714286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-9.759999999999998</v>
      </c>
      <c r="P10" s="118">
        <v>5</v>
      </c>
      <c r="Q10" s="106">
        <v>-48.79999999999999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3.5714285714285712E-2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8.3333333333333329E-2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24</v>
      </c>
      <c r="C13" s="44">
        <f>IF(B$3=0,0,B13/B$3)</f>
        <v>0.23076923076923078</v>
      </c>
      <c r="E13" s="63" t="s">
        <v>76</v>
      </c>
      <c r="F13" s="60" t="s">
        <v>31</v>
      </c>
      <c r="G13" s="47">
        <v>1</v>
      </c>
      <c r="H13" s="133">
        <f>IF(B$17=0,0,G13/B$17)</f>
        <v>3.5714285714285712E-2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0.19230769230769232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</v>
      </c>
      <c r="C15" s="37">
        <f>IF(B$13=0,0,B15/B$13)</f>
        <v>0.625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54.85</v>
      </c>
      <c r="P15" s="118">
        <v>2</v>
      </c>
      <c r="Q15" s="106">
        <v>109.7</v>
      </c>
    </row>
    <row r="16" spans="1:17" x14ac:dyDescent="0.4">
      <c r="A16" s="54" t="s">
        <v>125</v>
      </c>
      <c r="B16" s="46">
        <v>9</v>
      </c>
      <c r="C16" s="37">
        <f>IF(B$14=0,0,B16/B$14)</f>
        <v>0.45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 t="shared" si="2"/>
        <v>-15.425000000000002</v>
      </c>
      <c r="P16" s="119">
        <v>8</v>
      </c>
      <c r="Q16" s="107">
        <v>-123.40000000000002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0.26923076923076922</v>
      </c>
      <c r="E17" s="63" t="s">
        <v>80</v>
      </c>
      <c r="F17" s="60" t="s">
        <v>35</v>
      </c>
      <c r="G17" s="47">
        <v>2</v>
      </c>
      <c r="H17" s="133">
        <f>IF(B$17=0,0,G17/B$17)</f>
        <v>7.1428571428571425E-2</v>
      </c>
      <c r="I17" s="94">
        <v>1</v>
      </c>
      <c r="N17" s="115" t="s">
        <v>177</v>
      </c>
      <c r="O17" s="125">
        <f t="shared" si="2"/>
        <v>-15.833333333333337</v>
      </c>
      <c r="P17" s="119">
        <v>3</v>
      </c>
      <c r="Q17" s="107">
        <v>-47.500000000000014</v>
      </c>
    </row>
    <row r="18" spans="1:17" x14ac:dyDescent="0.4">
      <c r="A18" s="55" t="s">
        <v>12</v>
      </c>
      <c r="B18" s="47">
        <v>14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172</v>
      </c>
      <c r="O18" s="125">
        <f t="shared" si="2"/>
        <v>-17.350000000000001</v>
      </c>
      <c r="P18" s="119">
        <v>2</v>
      </c>
      <c r="Q18" s="107">
        <v>-34.700000000000003</v>
      </c>
    </row>
    <row r="19" spans="1:17" x14ac:dyDescent="0.4">
      <c r="A19" s="55" t="s">
        <v>11</v>
      </c>
      <c r="B19" s="47">
        <v>14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24</v>
      </c>
      <c r="C20" s="39">
        <f>IF(B$3=0,0,B20/B$3)</f>
        <v>0.23076923076923078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13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7700</v>
      </c>
      <c r="C23" s="41">
        <v>215600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-7700</v>
      </c>
      <c r="C24" s="45">
        <v>-184800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0.17857142857142858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8</v>
      </c>
      <c r="H51" s="134">
        <f>IF(B$17=0,0,G51/B$17)</f>
        <v>0.2857142857142857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186D0-ECA3-4CCC-BDFB-0B33612F42E5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5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C7E9C-771D-4497-8E74-E44F2B6D047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DD29-9EE6-48D4-9713-9C5F05290D57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DD594-B2B4-44C1-875F-C0B4FCC2FA9F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FE170-F72F-49A0-B8C0-5C40D2D5DA57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4BB9A-CC97-4EB6-B853-AC1D2C2653A2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5C30D-306E-455F-9363-262DD8FAC836}">
  <sheetPr codeName="Sheet24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01E2E-D86D-47C1-B4A1-AFFE198918A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BD27-3E30-47FB-8CDE-6C66DD83DBA6}">
  <sheetPr codeName="Sheet20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8FB7-D367-4399-B702-995A1A0F4294}">
  <sheetPr codeName="Sheet18"/>
  <dimension ref="A1:Q4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ACB71-1393-41A8-BD7E-2F67D0AB2549}">
  <sheetPr codeName="Sheet16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2D54E-B4EC-4787-BD6B-1EAB6DC3A169}">
  <sheetPr codeName="Sheet14"/>
  <dimension ref="A1:Q7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41.299999999999983</v>
      </c>
      <c r="C76" s="66">
        <v>0.56575342465753398</v>
      </c>
      <c r="D76" s="71">
        <v>2.0684931506849313</v>
      </c>
      <c r="E76" s="67">
        <v>0.28767123287671231</v>
      </c>
      <c r="F76" s="67">
        <v>0.35616438356164382</v>
      </c>
      <c r="G76" s="67">
        <v>0.2780487804878049</v>
      </c>
      <c r="H76" s="67">
        <v>0.17073170731707318</v>
      </c>
      <c r="I76" s="68">
        <v>9761.9883040935674</v>
      </c>
      <c r="J76" s="68">
        <v>-7869.5238095238092</v>
      </c>
      <c r="K76" s="67">
        <v>6.8493150684931503E-2</v>
      </c>
      <c r="L76" s="67">
        <v>0.12328767123287671</v>
      </c>
      <c r="M76" s="67">
        <v>0.28292682926829266</v>
      </c>
      <c r="N76" s="67">
        <v>0.18699186991869918</v>
      </c>
      <c r="O76" s="67">
        <v>0.58045977011494254</v>
      </c>
      <c r="P76" s="67">
        <v>0.4</v>
      </c>
      <c r="Q76" s="67">
        <v>0.43274853801169588</v>
      </c>
    </row>
    <row r="77" spans="1:17" x14ac:dyDescent="0.4">
      <c r="A77" s="69">
        <v>74</v>
      </c>
      <c r="B77" s="66">
        <v>87.299999999999983</v>
      </c>
      <c r="C77" s="66">
        <v>1.1797297297297296</v>
      </c>
      <c r="D77" s="71">
        <v>2.0540540540540539</v>
      </c>
      <c r="E77" s="67">
        <v>0.29729729729729731</v>
      </c>
      <c r="F77" s="67">
        <v>0.35135135135135137</v>
      </c>
      <c r="G77" s="67">
        <v>0.2825040128410915</v>
      </c>
      <c r="H77" s="67">
        <v>0.17014446227929375</v>
      </c>
      <c r="I77" s="68">
        <v>9780.113636363636</v>
      </c>
      <c r="J77" s="68">
        <v>-7870.7547169811323</v>
      </c>
      <c r="K77" s="67">
        <v>6.7567567567567571E-2</v>
      </c>
      <c r="L77" s="67">
        <v>0.12162162162162163</v>
      </c>
      <c r="M77" s="67">
        <v>0.2857142857142857</v>
      </c>
      <c r="N77" s="67">
        <v>0.18619582664526485</v>
      </c>
      <c r="O77" s="67">
        <v>0.5842696629213483</v>
      </c>
      <c r="P77" s="67">
        <v>0.40517241379310343</v>
      </c>
      <c r="Q77" s="67">
        <v>0.42613636363636365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6BA9-A583-4A29-993D-F9BFB59FA2E4}">
  <sheetPr codeName="Sheet12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BE632-E302-449B-BCC8-207B96C75A69}">
  <sheetPr codeName="Sheet10"/>
  <dimension ref="A1:Q1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8E9A5-51DA-4FE9-83F7-6AFFB8C4289C}">
  <sheetPr codeName="Sheet8"/>
  <dimension ref="A1:Q1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1509.3000000000011</v>
      </c>
      <c r="C120" s="66">
        <v>12.900000000000009</v>
      </c>
      <c r="D120" s="71">
        <v>1.7264957264957266</v>
      </c>
      <c r="E120" s="67">
        <v>0.50427350427350426</v>
      </c>
      <c r="F120" s="67">
        <v>0.23076923076923078</v>
      </c>
      <c r="G120" s="67">
        <v>0.3518324607329843</v>
      </c>
      <c r="H120" s="67">
        <v>0.14973821989528796</v>
      </c>
      <c r="I120" s="68">
        <v>9063.6904761904771</v>
      </c>
      <c r="J120" s="68">
        <v>-8335.6643356643362</v>
      </c>
      <c r="K120" s="67">
        <v>0.1111111111111111</v>
      </c>
      <c r="L120" s="67">
        <v>0.17948717948717949</v>
      </c>
      <c r="M120" s="67">
        <v>0.32774869109947646</v>
      </c>
      <c r="N120" s="67">
        <v>0.22094240837696336</v>
      </c>
      <c r="O120" s="67">
        <v>0.58146964856230032</v>
      </c>
      <c r="P120" s="67">
        <v>0.51184834123222744</v>
      </c>
      <c r="Q120" s="67">
        <v>0.41666666666666669</v>
      </c>
    </row>
    <row r="121" spans="1:17" x14ac:dyDescent="0.4">
      <c r="A121" s="69">
        <v>118</v>
      </c>
      <c r="B121" s="66">
        <v>1509.3000000000011</v>
      </c>
      <c r="C121" s="66">
        <v>12.790677966101704</v>
      </c>
      <c r="D121" s="71">
        <v>1.728813559322034</v>
      </c>
      <c r="E121" s="67">
        <v>0.5</v>
      </c>
      <c r="F121" s="67">
        <v>0.2288135593220339</v>
      </c>
      <c r="G121" s="67">
        <v>0.35073068893528186</v>
      </c>
      <c r="H121" s="67">
        <v>0.14926931106471816</v>
      </c>
      <c r="I121" s="68">
        <v>9063.6904761904771</v>
      </c>
      <c r="J121" s="68">
        <v>-8335.6643356643362</v>
      </c>
      <c r="K121" s="67">
        <v>0.11016949152542373</v>
      </c>
      <c r="L121" s="67">
        <v>0.17796610169491525</v>
      </c>
      <c r="M121" s="67">
        <v>0.3267223382045929</v>
      </c>
      <c r="N121" s="67">
        <v>0.22025052192066805</v>
      </c>
      <c r="O121" s="67">
        <v>0.58146964856230032</v>
      </c>
      <c r="P121" s="67">
        <v>0.51184834123222744</v>
      </c>
      <c r="Q121" s="67">
        <v>0.41666666666666669</v>
      </c>
    </row>
    <row r="122" spans="1:17" x14ac:dyDescent="0.4">
      <c r="A122" s="69">
        <v>119</v>
      </c>
      <c r="B122" s="66">
        <v>1506.3000000000011</v>
      </c>
      <c r="C122" s="66">
        <v>12.657983193277319</v>
      </c>
      <c r="D122" s="71">
        <v>1.73109243697479</v>
      </c>
      <c r="E122" s="67">
        <v>0.49579831932773111</v>
      </c>
      <c r="F122" s="67">
        <v>0.22689075630252101</v>
      </c>
      <c r="G122" s="67">
        <v>0.34886128364389235</v>
      </c>
      <c r="H122" s="67">
        <v>0.15113871635610765</v>
      </c>
      <c r="I122" s="68">
        <v>9143.6201780415431</v>
      </c>
      <c r="J122" s="68">
        <v>-8356.1643835616433</v>
      </c>
      <c r="K122" s="67">
        <v>0.1092436974789916</v>
      </c>
      <c r="L122" s="67">
        <v>0.17647058823529413</v>
      </c>
      <c r="M122" s="67">
        <v>0.32815734989648032</v>
      </c>
      <c r="N122" s="67">
        <v>0.22049689440993789</v>
      </c>
      <c r="O122" s="67">
        <v>0.57728706624605675</v>
      </c>
      <c r="P122" s="67">
        <v>0.50704225352112675</v>
      </c>
      <c r="Q122" s="67">
        <v>0.41839762611275966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F9B2C-0D0C-4FB0-9463-CE9E2984650F}">
  <sheetPr codeName="Sheet6"/>
  <dimension ref="A1:Q1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5.3290705182007514E-15</v>
      </c>
      <c r="C179" s="66">
        <v>1.0092936587501423E-17</v>
      </c>
      <c r="D179" s="71">
        <v>2</v>
      </c>
      <c r="E179" s="67">
        <v>0.33333333333333331</v>
      </c>
      <c r="F179" s="67">
        <v>0.33333333333333331</v>
      </c>
      <c r="G179" s="67">
        <v>0.29990966576332428</v>
      </c>
      <c r="H179" s="67">
        <v>0.16621499548328816</v>
      </c>
      <c r="I179" s="68">
        <v>8605.6475903614464</v>
      </c>
      <c r="J179" s="68">
        <v>-8201.902173913044</v>
      </c>
      <c r="K179" s="67">
        <v>0.11363636363636363</v>
      </c>
      <c r="L179" s="67">
        <v>0.11363636363636363</v>
      </c>
      <c r="M179" s="67">
        <v>0.27777777777777779</v>
      </c>
      <c r="N179" s="67">
        <v>0.20980126467931345</v>
      </c>
      <c r="O179" s="67">
        <v>0.58373983739837398</v>
      </c>
      <c r="P179" s="67">
        <v>0.3907427341227126</v>
      </c>
      <c r="Q179" s="67">
        <v>0.43975903614457829</v>
      </c>
    </row>
    <row r="180" spans="1:17" x14ac:dyDescent="0.4">
      <c r="A180" s="69">
        <v>177</v>
      </c>
      <c r="B180" s="66">
        <v>7.1054273576010019E-15</v>
      </c>
      <c r="C180" s="66">
        <v>1.3381219129192093E-17</v>
      </c>
      <c r="D180" s="71">
        <v>2</v>
      </c>
      <c r="E180" s="67">
        <v>0.33333333333333331</v>
      </c>
      <c r="F180" s="67">
        <v>0.33333333333333331</v>
      </c>
      <c r="G180" s="67">
        <v>0.29997746224926752</v>
      </c>
      <c r="H180" s="67">
        <v>0.16655397791300428</v>
      </c>
      <c r="I180" s="68">
        <v>8613.2982719759584</v>
      </c>
      <c r="J180" s="68">
        <v>-8217.320703653586</v>
      </c>
      <c r="K180" s="67">
        <v>0.11487758945386065</v>
      </c>
      <c r="L180" s="67">
        <v>0.11487758945386065</v>
      </c>
      <c r="M180" s="67">
        <v>0.27789046653144017</v>
      </c>
      <c r="N180" s="67">
        <v>0.20982645931935992</v>
      </c>
      <c r="O180" s="67">
        <v>0.58475263584752635</v>
      </c>
      <c r="P180" s="67">
        <v>0.38990332975295383</v>
      </c>
      <c r="Q180" s="67">
        <v>0.43876784372652139</v>
      </c>
    </row>
    <row r="181" spans="1:17" x14ac:dyDescent="0.4">
      <c r="A181" s="69">
        <v>178</v>
      </c>
      <c r="B181" s="66">
        <v>6.4392935428259079E-15</v>
      </c>
      <c r="C181" s="66">
        <v>1.2058602140123423E-17</v>
      </c>
      <c r="D181" s="71">
        <v>2</v>
      </c>
      <c r="E181" s="67">
        <v>0.33333333333333331</v>
      </c>
      <c r="F181" s="67">
        <v>0.33333333333333331</v>
      </c>
      <c r="G181" s="67">
        <v>0.3001569154898005</v>
      </c>
      <c r="H181" s="67">
        <v>0.16610625420309347</v>
      </c>
      <c r="I181" s="68">
        <v>8641.9716206123976</v>
      </c>
      <c r="J181" s="68">
        <v>-8222.132253711201</v>
      </c>
      <c r="K181" s="67">
        <v>0.11423220973782772</v>
      </c>
      <c r="L181" s="67">
        <v>0.11423220973782772</v>
      </c>
      <c r="M181" s="67">
        <v>0.27796458193230217</v>
      </c>
      <c r="N181" s="67">
        <v>0.21004259134723155</v>
      </c>
      <c r="O181" s="67">
        <v>0.5854838709677419</v>
      </c>
      <c r="P181" s="67">
        <v>0.38954108858057629</v>
      </c>
      <c r="Q181" s="67">
        <v>0.44062733383121733</v>
      </c>
    </row>
    <row r="182" spans="1:17" x14ac:dyDescent="0.4">
      <c r="A182" s="69">
        <v>179</v>
      </c>
      <c r="B182" s="66">
        <v>7.1054273576010019E-15</v>
      </c>
      <c r="C182" s="66">
        <v>1.3231708300932964E-17</v>
      </c>
      <c r="D182" s="71">
        <v>2</v>
      </c>
      <c r="E182" s="67">
        <v>0.33333333333333331</v>
      </c>
      <c r="F182" s="67">
        <v>0.33333333333333331</v>
      </c>
      <c r="G182" s="67">
        <v>0.30033444816053512</v>
      </c>
      <c r="H182" s="67">
        <v>0.16633221850613156</v>
      </c>
      <c r="I182" s="68">
        <v>8664.8849294729025</v>
      </c>
      <c r="J182" s="68">
        <v>-8226.0053619302944</v>
      </c>
      <c r="K182" s="67">
        <v>0.11359404096834265</v>
      </c>
      <c r="L182" s="67">
        <v>0.11359404096834265</v>
      </c>
      <c r="M182" s="67">
        <v>0.27892976588628765</v>
      </c>
      <c r="N182" s="67">
        <v>0.20958751393534003</v>
      </c>
      <c r="O182" s="67">
        <v>0.5843325339728217</v>
      </c>
      <c r="P182" s="67">
        <v>0.38936170212765958</v>
      </c>
      <c r="Q182" s="67">
        <v>0.44023756495916855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2019-05-23T15:23:49Z</dcterms:modified>
</cp:coreProperties>
</file>