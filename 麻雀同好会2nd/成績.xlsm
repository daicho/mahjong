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大池　陸斗\mahjong\麻雀同好会2nd\"/>
    </mc:Choice>
  </mc:AlternateContent>
  <xr:revisionPtr revIDLastSave="0" documentId="13_ncr:1_{40178805-DD48-4A2E-A1C2-308C12F40DB3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434" r:id="rId6"/>
    <sheet name="だいち" sheetId="4436" r:id="rId7"/>
    <sheet name="りくと" sheetId="4438" r:id="rId8"/>
    <sheet name="ただ" sheetId="4440" r:id="rId9"/>
    <sheet name="れんたろう" sheetId="4442" r:id="rId10"/>
    <sheet name="たかの" sheetId="4444" r:id="rId11"/>
    <sheet name="ぱぱ" sheetId="4446" r:id="rId12"/>
    <sheet name="まっつん" sheetId="4448" r:id="rId13"/>
    <sheet name="あさひ" sheetId="4450" r:id="rId14"/>
    <sheet name="いっしー" sheetId="4452" r:id="rId15"/>
    <sheet name="ほたに" sheetId="4454" r:id="rId16"/>
    <sheet name="ほたに2" sheetId="4455" state="hidden" r:id="rId17"/>
    <sheet name="いっしー2" sheetId="4453" state="hidden" r:id="rId18"/>
    <sheet name="あさひ2" sheetId="4451" state="hidden" r:id="rId19"/>
    <sheet name="まっつん2" sheetId="4449" state="hidden" r:id="rId20"/>
    <sheet name="ぱぱ2" sheetId="4447" state="hidden" r:id="rId21"/>
    <sheet name="たかの2" sheetId="4445" state="hidden" r:id="rId22"/>
    <sheet name="れんたろう2" sheetId="4443" state="hidden" r:id="rId23"/>
    <sheet name="ただ2" sheetId="4441" state="hidden" r:id="rId24"/>
    <sheet name="りくと2" sheetId="4439" state="hidden" r:id="rId25"/>
    <sheet name="だいち2" sheetId="4437" state="hidden" r:id="rId26"/>
    <sheet name="全体2" sheetId="4435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アガリ率" sheetId="3189" state="hidden" r:id="rId32"/>
    <sheet name="放銃率" sheetId="3190" state="hidden" r:id="rId33"/>
    <sheet name="平均アガリ点" sheetId="3520" state="hidden" r:id="rId34"/>
    <sheet name="平均放銃点" sheetId="3521" state="hidden" r:id="rId35"/>
    <sheet name="ふっとび率" sheetId="3522" state="hidden" r:id="rId36"/>
    <sheet name="ふっとばし率" sheetId="3523" state="hidden" r:id="rId37"/>
    <sheet name="リーチ率" sheetId="3524" state="hidden" r:id="rId38"/>
    <sheet name="副露率" sheetId="3525" state="hidden" r:id="rId39"/>
    <sheet name="リーチ成功率" sheetId="3526" state="hidden" r:id="rId40"/>
    <sheet name="副露成功率" sheetId="3527" state="hidden" r:id="rId41"/>
    <sheet name="ツモ率" sheetId="3528" state="hidden" r:id="rId42"/>
    <sheet name="逆転率" sheetId="3529" state="hidden" r:id="rId4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1" i="4436" l="1"/>
  <c r="O18" i="4454"/>
  <c r="O21" i="4446"/>
  <c r="O16" i="4454"/>
  <c r="O15" i="4454" l="1"/>
  <c r="O17" i="4454"/>
  <c r="H7" i="4454"/>
  <c r="H52" i="4454"/>
  <c r="H51" i="4454"/>
  <c r="H50" i="4454"/>
  <c r="H49" i="4454"/>
  <c r="H48" i="4454"/>
  <c r="H47" i="4454"/>
  <c r="H46" i="4454"/>
  <c r="H45" i="4454"/>
  <c r="H44" i="4454"/>
  <c r="H43" i="4454"/>
  <c r="H42" i="4454"/>
  <c r="H41" i="4454"/>
  <c r="H40" i="4454"/>
  <c r="H39" i="4454"/>
  <c r="H38" i="4454"/>
  <c r="H37" i="4454"/>
  <c r="H36" i="4454"/>
  <c r="H35" i="4454"/>
  <c r="H34" i="4454"/>
  <c r="H33" i="4454"/>
  <c r="H32" i="4454"/>
  <c r="H31" i="4454"/>
  <c r="H30" i="4454"/>
  <c r="H9" i="4454"/>
  <c r="H29" i="4454"/>
  <c r="H28" i="4454"/>
  <c r="H12" i="4454"/>
  <c r="C25" i="4454"/>
  <c r="H27" i="4454"/>
  <c r="H26" i="4454"/>
  <c r="H25" i="4454"/>
  <c r="B22" i="4454"/>
  <c r="H24" i="4454"/>
  <c r="H23" i="4454"/>
  <c r="C20" i="4454"/>
  <c r="H22" i="4454"/>
  <c r="H21" i="4454"/>
  <c r="H20" i="4454"/>
  <c r="B17" i="4454"/>
  <c r="C18" i="4454" s="1"/>
  <c r="H11" i="4454"/>
  <c r="C16" i="4454"/>
  <c r="H19" i="4454"/>
  <c r="C15" i="4454"/>
  <c r="H18" i="4454"/>
  <c r="C14" i="4454"/>
  <c r="H17" i="4454"/>
  <c r="C13" i="4454"/>
  <c r="O12" i="4454"/>
  <c r="H16" i="4454"/>
  <c r="C12" i="4454"/>
  <c r="O11" i="4454"/>
  <c r="H15" i="4454"/>
  <c r="C11" i="4454"/>
  <c r="O10" i="4454"/>
  <c r="H4" i="4454"/>
  <c r="C10" i="4454"/>
  <c r="H14" i="4454"/>
  <c r="C9" i="4454"/>
  <c r="H13" i="4454"/>
  <c r="C8" i="4454"/>
  <c r="O7" i="4454"/>
  <c r="H8" i="4454"/>
  <c r="C7" i="4454"/>
  <c r="O6" i="4454"/>
  <c r="H6" i="4454"/>
  <c r="B6" i="4454"/>
  <c r="O5" i="4454"/>
  <c r="H5" i="4454"/>
  <c r="B5" i="4454"/>
  <c r="O4" i="4454"/>
  <c r="H2" i="4454"/>
  <c r="O3" i="4454"/>
  <c r="H10" i="4454"/>
  <c r="O2" i="4454"/>
  <c r="H3" i="4454"/>
  <c r="O22" i="4442"/>
  <c r="O16" i="4444"/>
  <c r="O22" i="4434"/>
  <c r="B21" i="4454" l="1"/>
  <c r="C17" i="4454"/>
  <c r="C19" i="4454"/>
  <c r="O17" i="4444" l="1"/>
  <c r="O19" i="4448"/>
  <c r="O17" i="4436" l="1"/>
  <c r="O17" i="4452"/>
  <c r="O16" i="4452" l="1"/>
  <c r="O15" i="4452"/>
  <c r="O16" i="4442"/>
  <c r="O19" i="4440"/>
  <c r="O17" i="4450" l="1"/>
  <c r="O22" i="4446"/>
  <c r="O15" i="4450"/>
  <c r="O20" i="4452"/>
  <c r="O15" i="4438"/>
  <c r="O15" i="4448"/>
  <c r="O15" i="4434"/>
  <c r="O19" i="4452"/>
  <c r="O18" i="4452"/>
  <c r="H5" i="4452"/>
  <c r="H52" i="4452"/>
  <c r="H51" i="4452"/>
  <c r="H50" i="4452"/>
  <c r="H49" i="4452"/>
  <c r="H48" i="4452"/>
  <c r="H47" i="4452"/>
  <c r="H46" i="4452"/>
  <c r="H45" i="4452"/>
  <c r="H44" i="4452"/>
  <c r="H43" i="4452"/>
  <c r="H42" i="4452"/>
  <c r="H41" i="4452"/>
  <c r="H40" i="4452"/>
  <c r="H39" i="4452"/>
  <c r="H38" i="4452"/>
  <c r="H37" i="4452"/>
  <c r="H36" i="4452"/>
  <c r="H35" i="4452"/>
  <c r="H34" i="4452"/>
  <c r="H33" i="4452"/>
  <c r="H32" i="4452"/>
  <c r="H31" i="4452"/>
  <c r="H30" i="4452"/>
  <c r="H6" i="4452"/>
  <c r="H29" i="4452"/>
  <c r="H28" i="4452"/>
  <c r="H27" i="4452"/>
  <c r="C25" i="4452"/>
  <c r="H26" i="4452"/>
  <c r="H25" i="4452"/>
  <c r="H11" i="4452"/>
  <c r="B22" i="4452"/>
  <c r="H24" i="4452"/>
  <c r="H10" i="4452"/>
  <c r="C20" i="4452"/>
  <c r="H23" i="4452"/>
  <c r="H22" i="4452"/>
  <c r="H21" i="4452"/>
  <c r="B17" i="4452"/>
  <c r="B21" i="4452" s="1"/>
  <c r="H20" i="4452"/>
  <c r="C16" i="4452"/>
  <c r="H19" i="4452"/>
  <c r="C15" i="4452"/>
  <c r="H18" i="4452"/>
  <c r="C14" i="4452"/>
  <c r="H17" i="4452"/>
  <c r="C13" i="4452"/>
  <c r="O12" i="4452"/>
  <c r="H16" i="4452"/>
  <c r="C12" i="4452"/>
  <c r="O11" i="4452"/>
  <c r="H15" i="4452"/>
  <c r="C11" i="4452"/>
  <c r="O10" i="4452"/>
  <c r="H3" i="4452"/>
  <c r="C10" i="4452"/>
  <c r="H14" i="4452"/>
  <c r="C9" i="4452"/>
  <c r="H9" i="4452"/>
  <c r="C8" i="4452"/>
  <c r="O7" i="4452"/>
  <c r="H8" i="4452"/>
  <c r="C7" i="4452"/>
  <c r="O6" i="4452"/>
  <c r="H7" i="4452"/>
  <c r="B6" i="4452"/>
  <c r="O5" i="4452"/>
  <c r="H13" i="4452"/>
  <c r="B5" i="4452"/>
  <c r="O4" i="4452"/>
  <c r="H2" i="4452"/>
  <c r="O3" i="4452"/>
  <c r="H12" i="4452"/>
  <c r="O2" i="4452"/>
  <c r="H4" i="4452"/>
  <c r="O16" i="4450"/>
  <c r="O18" i="4450"/>
  <c r="H7" i="4450"/>
  <c r="H52" i="4450"/>
  <c r="H51" i="4450"/>
  <c r="H50" i="4450"/>
  <c r="H49" i="4450"/>
  <c r="H48" i="4450"/>
  <c r="H47" i="4450"/>
  <c r="H46" i="4450"/>
  <c r="H45" i="4450"/>
  <c r="H44" i="4450"/>
  <c r="H43" i="4450"/>
  <c r="H42" i="4450"/>
  <c r="H41" i="4450"/>
  <c r="H40" i="4450"/>
  <c r="H39" i="4450"/>
  <c r="H38" i="4450"/>
  <c r="H37" i="4450"/>
  <c r="H36" i="4450"/>
  <c r="H35" i="4450"/>
  <c r="H34" i="4450"/>
  <c r="H33" i="4450"/>
  <c r="H32" i="4450"/>
  <c r="H31" i="4450"/>
  <c r="H30" i="4450"/>
  <c r="H6" i="4450"/>
  <c r="H29" i="4450"/>
  <c r="H28" i="4450"/>
  <c r="H11" i="4450"/>
  <c r="C25" i="4450"/>
  <c r="H27" i="4450"/>
  <c r="H26" i="4450"/>
  <c r="H25" i="4450"/>
  <c r="B22" i="4450"/>
  <c r="H24" i="4450"/>
  <c r="H23" i="4450"/>
  <c r="C20" i="4450"/>
  <c r="H22" i="4450"/>
  <c r="H21" i="4450"/>
  <c r="H20" i="4450"/>
  <c r="B17" i="4450"/>
  <c r="C18" i="4450" s="1"/>
  <c r="H19" i="4450"/>
  <c r="C16" i="4450"/>
  <c r="H18" i="4450"/>
  <c r="C15" i="4450"/>
  <c r="H17" i="4450"/>
  <c r="C14" i="4450"/>
  <c r="H16" i="4450"/>
  <c r="C13" i="4450"/>
  <c r="O12" i="4450"/>
  <c r="H15" i="4450"/>
  <c r="C12" i="4450"/>
  <c r="O11" i="4450"/>
  <c r="H14" i="4450"/>
  <c r="C11" i="4450"/>
  <c r="O10" i="4450"/>
  <c r="H4" i="4450"/>
  <c r="C10" i="4450"/>
  <c r="H10" i="4450"/>
  <c r="C9" i="4450"/>
  <c r="H13" i="4450"/>
  <c r="C8" i="4450"/>
  <c r="O7" i="4450"/>
  <c r="H9" i="4450"/>
  <c r="C7" i="4450"/>
  <c r="O6" i="4450"/>
  <c r="H8" i="4450"/>
  <c r="B6" i="4450"/>
  <c r="O5" i="4450"/>
  <c r="H5" i="4450"/>
  <c r="B5" i="4450"/>
  <c r="O4" i="4450"/>
  <c r="H3" i="4450"/>
  <c r="O3" i="4450"/>
  <c r="H12" i="4450"/>
  <c r="O2" i="4450"/>
  <c r="H2" i="4450"/>
  <c r="O20" i="4448"/>
  <c r="O21" i="4448"/>
  <c r="O15" i="4436"/>
  <c r="O18" i="4436"/>
  <c r="O23" i="4434"/>
  <c r="C17" i="4450" l="1"/>
  <c r="C18" i="4452"/>
  <c r="C17" i="4452"/>
  <c r="C19" i="4452"/>
  <c r="C19" i="4450"/>
  <c r="B21" i="4450"/>
  <c r="O22" i="4448" l="1"/>
  <c r="O15" i="4440"/>
  <c r="O16" i="4448" l="1"/>
  <c r="O19" i="4446"/>
  <c r="O16" i="4446"/>
  <c r="O20" i="4438"/>
  <c r="O18" i="4444" l="1"/>
  <c r="O17" i="4442"/>
  <c r="O17" i="4446"/>
  <c r="O18" i="4446"/>
  <c r="O15" i="4444" l="1"/>
  <c r="O15" i="4442"/>
  <c r="O20" i="4440"/>
  <c r="O21" i="4440"/>
  <c r="O17" i="4448"/>
  <c r="O18" i="4448"/>
  <c r="H5" i="4448"/>
  <c r="H52" i="4448"/>
  <c r="H51" i="4448"/>
  <c r="H50" i="4448"/>
  <c r="H49" i="4448"/>
  <c r="H48" i="4448"/>
  <c r="H47" i="4448"/>
  <c r="H46" i="4448"/>
  <c r="H45" i="4448"/>
  <c r="H44" i="4448"/>
  <c r="H43" i="4448"/>
  <c r="H42" i="4448"/>
  <c r="H41" i="4448"/>
  <c r="H40" i="4448"/>
  <c r="H39" i="4448"/>
  <c r="H38" i="4448"/>
  <c r="H37" i="4448"/>
  <c r="H36" i="4448"/>
  <c r="H35" i="4448"/>
  <c r="H34" i="4448"/>
  <c r="H33" i="4448"/>
  <c r="H32" i="4448"/>
  <c r="H12" i="4448"/>
  <c r="H31" i="4448"/>
  <c r="H10" i="4448"/>
  <c r="H30" i="4448"/>
  <c r="H29" i="4448"/>
  <c r="H28" i="4448"/>
  <c r="C25" i="4448"/>
  <c r="H17" i="4448"/>
  <c r="H27" i="4448"/>
  <c r="H11" i="4448"/>
  <c r="B22" i="4448"/>
  <c r="H26" i="4448"/>
  <c r="H16" i="4448"/>
  <c r="C20" i="4448"/>
  <c r="H25" i="4448"/>
  <c r="H24" i="4448"/>
  <c r="H23" i="4448"/>
  <c r="B17" i="4448"/>
  <c r="B21" i="4448" s="1"/>
  <c r="H22" i="4448"/>
  <c r="C16" i="4448"/>
  <c r="H21" i="4448"/>
  <c r="C15" i="4448"/>
  <c r="H20" i="4448"/>
  <c r="C14" i="4448"/>
  <c r="H15" i="4448"/>
  <c r="C13" i="4448"/>
  <c r="O12" i="4448"/>
  <c r="H19" i="4448"/>
  <c r="C12" i="4448"/>
  <c r="O11" i="4448"/>
  <c r="H18" i="4448"/>
  <c r="C11" i="4448"/>
  <c r="O10" i="4448"/>
  <c r="H2" i="4448"/>
  <c r="C10" i="4448"/>
  <c r="H14" i="4448"/>
  <c r="C9" i="4448"/>
  <c r="H13" i="4448"/>
  <c r="C8" i="4448"/>
  <c r="O7" i="4448"/>
  <c r="H8" i="4448"/>
  <c r="C7" i="4448"/>
  <c r="O6" i="4448"/>
  <c r="H7" i="4448"/>
  <c r="B6" i="4448"/>
  <c r="O5" i="4448"/>
  <c r="H6" i="4448"/>
  <c r="B5" i="4448"/>
  <c r="O4" i="4448"/>
  <c r="H3" i="4448"/>
  <c r="O3" i="4448"/>
  <c r="H9" i="4448"/>
  <c r="O2" i="4448"/>
  <c r="H4" i="4448"/>
  <c r="O20" i="4442"/>
  <c r="O18" i="4438"/>
  <c r="O17" i="4434"/>
  <c r="C18" i="4448" l="1"/>
  <c r="C17" i="4448"/>
  <c r="C19" i="4448"/>
  <c r="O17" i="4440" l="1"/>
  <c r="O20" i="4446"/>
  <c r="O15" i="4446"/>
  <c r="H6" i="4446"/>
  <c r="H19" i="4446"/>
  <c r="H52" i="4446"/>
  <c r="H51" i="4446"/>
  <c r="H50" i="4446"/>
  <c r="H49" i="4446"/>
  <c r="H48" i="4446"/>
  <c r="H47" i="4446"/>
  <c r="H46" i="4446"/>
  <c r="H45" i="4446"/>
  <c r="H44" i="4446"/>
  <c r="H43" i="4446"/>
  <c r="H42" i="4446"/>
  <c r="H41" i="4446"/>
  <c r="H40" i="4446"/>
  <c r="H39" i="4446"/>
  <c r="H38" i="4446"/>
  <c r="H37" i="4446"/>
  <c r="H36" i="4446"/>
  <c r="H35" i="4446"/>
  <c r="H34" i="4446"/>
  <c r="H33" i="4446"/>
  <c r="H18" i="4446"/>
  <c r="H32" i="4446"/>
  <c r="H8" i="4446"/>
  <c r="H31" i="4446"/>
  <c r="H30" i="4446"/>
  <c r="H13" i="4446"/>
  <c r="C25" i="4446"/>
  <c r="H29" i="4446"/>
  <c r="H28" i="4446"/>
  <c r="H14" i="4446"/>
  <c r="B22" i="4446"/>
  <c r="H27" i="4446"/>
  <c r="H26" i="4446"/>
  <c r="C20" i="4446"/>
  <c r="H25" i="4446"/>
  <c r="H24" i="4446"/>
  <c r="H17" i="4446"/>
  <c r="B17" i="4446"/>
  <c r="C18" i="4446" s="1"/>
  <c r="H16" i="4446"/>
  <c r="C16" i="4446"/>
  <c r="H23" i="4446"/>
  <c r="C15" i="4446"/>
  <c r="H22" i="4446"/>
  <c r="C14" i="4446"/>
  <c r="H21" i="4446"/>
  <c r="C13" i="4446"/>
  <c r="O12" i="4446"/>
  <c r="H20" i="4446"/>
  <c r="C12" i="4446"/>
  <c r="O11" i="4446"/>
  <c r="H15" i="4446"/>
  <c r="C11" i="4446"/>
  <c r="O10" i="4446"/>
  <c r="H3" i="4446"/>
  <c r="C10" i="4446"/>
  <c r="H11" i="4446"/>
  <c r="C9" i="4446"/>
  <c r="H9" i="4446"/>
  <c r="C8" i="4446"/>
  <c r="O7" i="4446"/>
  <c r="H10" i="4446"/>
  <c r="C7" i="4446"/>
  <c r="O6" i="4446"/>
  <c r="H5" i="4446"/>
  <c r="B6" i="4446"/>
  <c r="O5" i="4446"/>
  <c r="H7" i="4446"/>
  <c r="B5" i="4446"/>
  <c r="O4" i="4446"/>
  <c r="H2" i="4446"/>
  <c r="O3" i="4446"/>
  <c r="H12" i="4446"/>
  <c r="O2" i="4446"/>
  <c r="H4" i="4446"/>
  <c r="O20" i="4436"/>
  <c r="O18" i="4434"/>
  <c r="O20" i="4444"/>
  <c r="O17" i="4438"/>
  <c r="O19" i="4438"/>
  <c r="O19" i="4442"/>
  <c r="O19" i="4444"/>
  <c r="O21" i="4444"/>
  <c r="H5" i="4444"/>
  <c r="H52" i="4444"/>
  <c r="H51" i="4444"/>
  <c r="H50" i="4444"/>
  <c r="H49" i="4444"/>
  <c r="H48" i="4444"/>
  <c r="H47" i="4444"/>
  <c r="H46" i="4444"/>
  <c r="H45" i="4444"/>
  <c r="H44" i="4444"/>
  <c r="H43" i="4444"/>
  <c r="H42" i="4444"/>
  <c r="H41" i="4444"/>
  <c r="H40" i="4444"/>
  <c r="H39" i="4444"/>
  <c r="H38" i="4444"/>
  <c r="H37" i="4444"/>
  <c r="H36" i="4444"/>
  <c r="H35" i="4444"/>
  <c r="H34" i="4444"/>
  <c r="H33" i="4444"/>
  <c r="H32" i="4444"/>
  <c r="H18" i="4444"/>
  <c r="H31" i="4444"/>
  <c r="H10" i="4444"/>
  <c r="H30" i="4444"/>
  <c r="H29" i="4444"/>
  <c r="H15" i="4444"/>
  <c r="C25" i="4444"/>
  <c r="H28" i="4444"/>
  <c r="H27" i="4444"/>
  <c r="H12" i="4444"/>
  <c r="B22" i="4444"/>
  <c r="H26" i="4444"/>
  <c r="H13" i="4444"/>
  <c r="C20" i="4444"/>
  <c r="H25" i="4444"/>
  <c r="H24" i="4444"/>
  <c r="H17" i="4444"/>
  <c r="B17" i="4444"/>
  <c r="B21" i="4444" s="1"/>
  <c r="H16" i="4444"/>
  <c r="C16" i="4444"/>
  <c r="H23" i="4444"/>
  <c r="C15" i="4444"/>
  <c r="H22" i="4444"/>
  <c r="C14" i="4444"/>
  <c r="H21" i="4444"/>
  <c r="C13" i="4444"/>
  <c r="O12" i="4444"/>
  <c r="H20" i="4444"/>
  <c r="C12" i="4444"/>
  <c r="O11" i="4444"/>
  <c r="H19" i="4444"/>
  <c r="C11" i="4444"/>
  <c r="O10" i="4444"/>
  <c r="H3" i="4444"/>
  <c r="C10" i="4444"/>
  <c r="H14" i="4444"/>
  <c r="C9" i="4444"/>
  <c r="H11" i="4444"/>
  <c r="C8" i="4444"/>
  <c r="O7" i="4444"/>
  <c r="H8" i="4444"/>
  <c r="C7" i="4444"/>
  <c r="O6" i="4444"/>
  <c r="H6" i="4444"/>
  <c r="B6" i="4444"/>
  <c r="O5" i="4444"/>
  <c r="H7" i="4444"/>
  <c r="B5" i="4444"/>
  <c r="O4" i="4444"/>
  <c r="H2" i="4444"/>
  <c r="O3" i="4444"/>
  <c r="H9" i="4444"/>
  <c r="O2" i="4444"/>
  <c r="H4" i="4444"/>
  <c r="O21" i="4442"/>
  <c r="O18" i="4442"/>
  <c r="H5" i="4442"/>
  <c r="H18" i="4442"/>
  <c r="H52" i="4442"/>
  <c r="H51" i="4442"/>
  <c r="H50" i="4442"/>
  <c r="H49" i="4442"/>
  <c r="H48" i="4442"/>
  <c r="H47" i="4442"/>
  <c r="H46" i="4442"/>
  <c r="H45" i="4442"/>
  <c r="H44" i="4442"/>
  <c r="H43" i="4442"/>
  <c r="H42" i="4442"/>
  <c r="H41" i="4442"/>
  <c r="H40" i="4442"/>
  <c r="H39" i="4442"/>
  <c r="H38" i="4442"/>
  <c r="H37" i="4442"/>
  <c r="H36" i="4442"/>
  <c r="H35" i="4442"/>
  <c r="H34" i="4442"/>
  <c r="H17" i="4442"/>
  <c r="H33" i="4442"/>
  <c r="H32" i="4442"/>
  <c r="H11" i="4442"/>
  <c r="H31" i="4442"/>
  <c r="H30" i="4442"/>
  <c r="H12" i="4442"/>
  <c r="C25" i="4442"/>
  <c r="H29" i="4442"/>
  <c r="H28" i="4442"/>
  <c r="H14" i="4442"/>
  <c r="B22" i="4442"/>
  <c r="H27" i="4442"/>
  <c r="H19" i="4442"/>
  <c r="C20" i="4442"/>
  <c r="H26" i="4442"/>
  <c r="H25" i="4442"/>
  <c r="H24" i="4442"/>
  <c r="B17" i="4442"/>
  <c r="B21" i="4442" s="1"/>
  <c r="H15" i="4442"/>
  <c r="C16" i="4442"/>
  <c r="H23" i="4442"/>
  <c r="C15" i="4442"/>
  <c r="H22" i="4442"/>
  <c r="C14" i="4442"/>
  <c r="H16" i="4442"/>
  <c r="C13" i="4442"/>
  <c r="O12" i="4442"/>
  <c r="H21" i="4442"/>
  <c r="C12" i="4442"/>
  <c r="O11" i="4442"/>
  <c r="H20" i="4442"/>
  <c r="C11" i="4442"/>
  <c r="O10" i="4442"/>
  <c r="H4" i="4442"/>
  <c r="C10" i="4442"/>
  <c r="H13" i="4442"/>
  <c r="C9" i="4442"/>
  <c r="H10" i="4442"/>
  <c r="C8" i="4442"/>
  <c r="O7" i="4442"/>
  <c r="H8" i="4442"/>
  <c r="C7" i="4442"/>
  <c r="O6" i="4442"/>
  <c r="H7" i="4442"/>
  <c r="B6" i="4442"/>
  <c r="O5" i="4442"/>
  <c r="H6" i="4442"/>
  <c r="B5" i="4442"/>
  <c r="O4" i="4442"/>
  <c r="H2" i="4442"/>
  <c r="O3" i="4442"/>
  <c r="H9" i="4442"/>
  <c r="O2" i="4442"/>
  <c r="H3" i="4442"/>
  <c r="O19" i="4436"/>
  <c r="O23" i="4436"/>
  <c r="O21" i="4434"/>
  <c r="O19" i="4434"/>
  <c r="C18" i="4444" l="1"/>
  <c r="C18" i="4442"/>
  <c r="B21" i="4446"/>
  <c r="C17" i="4446"/>
  <c r="C19" i="4446"/>
  <c r="C17" i="4444"/>
  <c r="C19" i="4444"/>
  <c r="C17" i="4442"/>
  <c r="C19" i="4442"/>
  <c r="O16" i="4440" l="1"/>
  <c r="O18" i="4440"/>
  <c r="H5" i="4440"/>
  <c r="H52" i="4440"/>
  <c r="H51" i="4440"/>
  <c r="H50" i="4440"/>
  <c r="H49" i="4440"/>
  <c r="H48" i="4440"/>
  <c r="H47" i="4440"/>
  <c r="H46" i="4440"/>
  <c r="H45" i="4440"/>
  <c r="H44" i="4440"/>
  <c r="H43" i="4440"/>
  <c r="H42" i="4440"/>
  <c r="H41" i="4440"/>
  <c r="H40" i="4440"/>
  <c r="H39" i="4440"/>
  <c r="H38" i="4440"/>
  <c r="H37" i="4440"/>
  <c r="H36" i="4440"/>
  <c r="H35" i="4440"/>
  <c r="H34" i="4440"/>
  <c r="H19" i="4440"/>
  <c r="H33" i="4440"/>
  <c r="H32" i="4440"/>
  <c r="H31" i="4440"/>
  <c r="H11" i="4440"/>
  <c r="H18" i="4440"/>
  <c r="H17" i="4440"/>
  <c r="H13" i="4440"/>
  <c r="C25" i="4440"/>
  <c r="H30" i="4440"/>
  <c r="H29" i="4440"/>
  <c r="H16" i="4440"/>
  <c r="B22" i="4440"/>
  <c r="H28" i="4440"/>
  <c r="H15" i="4440"/>
  <c r="C20" i="4440"/>
  <c r="H27" i="4440"/>
  <c r="H26" i="4440"/>
  <c r="H25" i="4440"/>
  <c r="B17" i="4440"/>
  <c r="B21" i="4440" s="1"/>
  <c r="H14" i="4440"/>
  <c r="C16" i="4440"/>
  <c r="H24" i="4440"/>
  <c r="C15" i="4440"/>
  <c r="H23" i="4440"/>
  <c r="C14" i="4440"/>
  <c r="H22" i="4440"/>
  <c r="C13" i="4440"/>
  <c r="O12" i="4440"/>
  <c r="H21" i="4440"/>
  <c r="C12" i="4440"/>
  <c r="O11" i="4440"/>
  <c r="H20" i="4440"/>
  <c r="C11" i="4440"/>
  <c r="O10" i="4440"/>
  <c r="H7" i="4440"/>
  <c r="C10" i="4440"/>
  <c r="H10" i="4440"/>
  <c r="C9" i="4440"/>
  <c r="H9" i="4440"/>
  <c r="C8" i="4440"/>
  <c r="O7" i="4440"/>
  <c r="H8" i="4440"/>
  <c r="C7" i="4440"/>
  <c r="O6" i="4440"/>
  <c r="H4" i="4440"/>
  <c r="B6" i="4440"/>
  <c r="O5" i="4440"/>
  <c r="H6" i="4440"/>
  <c r="B5" i="4440"/>
  <c r="O4" i="4440"/>
  <c r="H2" i="4440"/>
  <c r="O3" i="4440"/>
  <c r="H12" i="4440"/>
  <c r="O2" i="4440"/>
  <c r="H3" i="4440"/>
  <c r="O21" i="4438"/>
  <c r="O16" i="4438"/>
  <c r="H5" i="4438"/>
  <c r="H17" i="4438"/>
  <c r="H52" i="4438"/>
  <c r="H51" i="4438"/>
  <c r="H50" i="4438"/>
  <c r="H49" i="4438"/>
  <c r="H48" i="4438"/>
  <c r="H47" i="4438"/>
  <c r="H46" i="4438"/>
  <c r="H45" i="4438"/>
  <c r="H44" i="4438"/>
  <c r="H43" i="4438"/>
  <c r="H42" i="4438"/>
  <c r="H41" i="4438"/>
  <c r="H40" i="4438"/>
  <c r="H39" i="4438"/>
  <c r="H38" i="4438"/>
  <c r="H37" i="4438"/>
  <c r="H36" i="4438"/>
  <c r="H35" i="4438"/>
  <c r="H27" i="4438"/>
  <c r="H26" i="4438"/>
  <c r="H16" i="4438"/>
  <c r="H34" i="4438"/>
  <c r="H11" i="4438"/>
  <c r="H25" i="4438"/>
  <c r="H33" i="4438"/>
  <c r="H12" i="4438"/>
  <c r="C25" i="4438"/>
  <c r="H32" i="4438"/>
  <c r="H24" i="4438"/>
  <c r="H15" i="4438"/>
  <c r="B22" i="4438"/>
  <c r="H31" i="4438"/>
  <c r="H14" i="4438"/>
  <c r="C20" i="4438"/>
  <c r="H30" i="4438"/>
  <c r="H29" i="4438"/>
  <c r="H18" i="4438"/>
  <c r="B17" i="4438"/>
  <c r="C18" i="4438" s="1"/>
  <c r="H21" i="4438"/>
  <c r="C16" i="4438"/>
  <c r="H23" i="4438"/>
  <c r="C15" i="4438"/>
  <c r="H28" i="4438"/>
  <c r="C14" i="4438"/>
  <c r="H20" i="4438"/>
  <c r="C13" i="4438"/>
  <c r="O12" i="4438"/>
  <c r="H19" i="4438"/>
  <c r="C12" i="4438"/>
  <c r="O11" i="4438"/>
  <c r="H22" i="4438"/>
  <c r="C11" i="4438"/>
  <c r="O10" i="4438"/>
  <c r="H4" i="4438"/>
  <c r="C10" i="4438"/>
  <c r="H13" i="4438"/>
  <c r="C9" i="4438"/>
  <c r="H10" i="4438"/>
  <c r="C8" i="4438"/>
  <c r="O7" i="4438"/>
  <c r="H8" i="4438"/>
  <c r="C7" i="4438"/>
  <c r="O6" i="4438"/>
  <c r="H7" i="4438"/>
  <c r="B6" i="4438"/>
  <c r="O5" i="4438"/>
  <c r="H6" i="4438"/>
  <c r="B5" i="4438"/>
  <c r="O4" i="4438"/>
  <c r="H2" i="4438"/>
  <c r="O3" i="4438"/>
  <c r="H9" i="4438"/>
  <c r="O2" i="4438"/>
  <c r="H3" i="4438"/>
  <c r="O24" i="4434"/>
  <c r="O16" i="4436"/>
  <c r="O22" i="4436"/>
  <c r="H5" i="4436"/>
  <c r="H16" i="4436"/>
  <c r="H52" i="4436"/>
  <c r="H51" i="4436"/>
  <c r="H50" i="4436"/>
  <c r="H49" i="4436"/>
  <c r="H48" i="4436"/>
  <c r="H47" i="4436"/>
  <c r="H46" i="4436"/>
  <c r="H45" i="4436"/>
  <c r="H44" i="4436"/>
  <c r="H43" i="4436"/>
  <c r="H42" i="4436"/>
  <c r="H41" i="4436"/>
  <c r="H40" i="4436"/>
  <c r="H39" i="4436"/>
  <c r="H38" i="4436"/>
  <c r="H37" i="4436"/>
  <c r="H27" i="4436"/>
  <c r="H36" i="4436"/>
  <c r="H26" i="4436"/>
  <c r="H25" i="4436"/>
  <c r="H18" i="4436"/>
  <c r="H24" i="4436"/>
  <c r="H9" i="4436"/>
  <c r="H35" i="4436"/>
  <c r="H23" i="4436"/>
  <c r="H12" i="4436"/>
  <c r="C25" i="4436"/>
  <c r="H34" i="4436"/>
  <c r="H33" i="4436"/>
  <c r="H14" i="4436"/>
  <c r="B22" i="4436"/>
  <c r="H32" i="4436"/>
  <c r="H15" i="4436"/>
  <c r="C20" i="4436"/>
  <c r="H31" i="4436"/>
  <c r="H30" i="4436"/>
  <c r="H20" i="4436"/>
  <c r="B17" i="4436"/>
  <c r="C18" i="4436" s="1"/>
  <c r="H17" i="4436"/>
  <c r="C16" i="4436"/>
  <c r="H22" i="4436"/>
  <c r="C15" i="4436"/>
  <c r="H29" i="4436"/>
  <c r="C14" i="4436"/>
  <c r="H21" i="4436"/>
  <c r="C13" i="4436"/>
  <c r="O12" i="4436"/>
  <c r="H28" i="4436"/>
  <c r="C12" i="4436"/>
  <c r="O11" i="4436"/>
  <c r="H19" i="4436"/>
  <c r="C11" i="4436"/>
  <c r="O10" i="4436"/>
  <c r="H3" i="4436"/>
  <c r="C10" i="4436"/>
  <c r="H13" i="4436"/>
  <c r="C9" i="4436"/>
  <c r="H11" i="4436"/>
  <c r="C8" i="4436"/>
  <c r="O7" i="4436"/>
  <c r="H8" i="4436"/>
  <c r="C7" i="4436"/>
  <c r="O6" i="4436"/>
  <c r="H7" i="4436"/>
  <c r="B6" i="4436"/>
  <c r="O5" i="4436"/>
  <c r="H6" i="4436"/>
  <c r="B5" i="4436"/>
  <c r="O4" i="4436"/>
  <c r="H2" i="4436"/>
  <c r="O3" i="4436"/>
  <c r="H10" i="4436"/>
  <c r="O2" i="4436"/>
  <c r="H4" i="4436"/>
  <c r="O16" i="4434"/>
  <c r="O20" i="4434"/>
  <c r="H5" i="4434"/>
  <c r="H18" i="4434"/>
  <c r="H52" i="4434"/>
  <c r="H51" i="4434"/>
  <c r="H50" i="4434"/>
  <c r="H49" i="4434"/>
  <c r="H48" i="4434"/>
  <c r="H47" i="4434"/>
  <c r="H46" i="4434"/>
  <c r="H45" i="4434"/>
  <c r="H44" i="4434"/>
  <c r="H43" i="4434"/>
  <c r="H42" i="4434"/>
  <c r="H41" i="4434"/>
  <c r="H40" i="4434"/>
  <c r="H39" i="4434"/>
  <c r="H38" i="4434"/>
  <c r="H37" i="4434"/>
  <c r="H31" i="4434"/>
  <c r="H36" i="4434"/>
  <c r="H23" i="4434"/>
  <c r="H22" i="4434"/>
  <c r="H17" i="4434"/>
  <c r="H30" i="4434"/>
  <c r="H9" i="4434"/>
  <c r="H27" i="4434"/>
  <c r="H26" i="4434"/>
  <c r="H12" i="4434"/>
  <c r="C25" i="4434"/>
  <c r="H29" i="4434"/>
  <c r="H28" i="4434"/>
  <c r="H14" i="4434"/>
  <c r="B22" i="4434"/>
  <c r="H35" i="4434"/>
  <c r="H15" i="4434"/>
  <c r="C20" i="4434"/>
  <c r="H34" i="4434"/>
  <c r="H33" i="4434"/>
  <c r="H19" i="4434"/>
  <c r="B17" i="4434"/>
  <c r="C18" i="4434" s="1"/>
  <c r="H16" i="4434"/>
  <c r="C16" i="4434"/>
  <c r="H25" i="4434"/>
  <c r="C15" i="4434"/>
  <c r="H32" i="4434"/>
  <c r="C14" i="4434"/>
  <c r="H20" i="4434"/>
  <c r="C13" i="4434"/>
  <c r="O12" i="4434"/>
  <c r="H24" i="4434"/>
  <c r="C12" i="4434"/>
  <c r="O11" i="4434"/>
  <c r="H21" i="4434"/>
  <c r="C11" i="4434"/>
  <c r="O10" i="4434"/>
  <c r="H3" i="4434"/>
  <c r="C10" i="4434"/>
  <c r="H13" i="4434"/>
  <c r="C9" i="4434"/>
  <c r="H11" i="4434"/>
  <c r="C8" i="4434"/>
  <c r="O7" i="4434"/>
  <c r="H8" i="4434"/>
  <c r="C7" i="4434"/>
  <c r="O6" i="4434"/>
  <c r="H6" i="4434"/>
  <c r="B6" i="4434"/>
  <c r="O5" i="4434"/>
  <c r="H7" i="4434"/>
  <c r="B5" i="4434"/>
  <c r="O4" i="4434"/>
  <c r="H2" i="4434"/>
  <c r="O3" i="4434"/>
  <c r="H10" i="4434"/>
  <c r="O2" i="4434"/>
  <c r="H4" i="4434"/>
  <c r="C18" i="4440" l="1"/>
  <c r="C17" i="4440"/>
  <c r="C19" i="4440"/>
  <c r="C19" i="4438"/>
  <c r="B21" i="4438"/>
  <c r="C17" i="4438"/>
  <c r="B21" i="4436"/>
  <c r="C17" i="4436"/>
  <c r="C19" i="4436"/>
  <c r="C19" i="4434"/>
  <c r="C17" i="4434"/>
  <c r="B21" i="4434"/>
  <c r="H50" i="2228" l="1"/>
  <c r="H51" i="2228"/>
  <c r="H52" i="2228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49" i="2228" l="1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4" i="2228"/>
  <c r="C17" i="2228"/>
  <c r="B17" i="2228"/>
  <c r="H13" i="2228"/>
  <c r="C16" i="2228"/>
  <c r="H12" i="2228"/>
  <c r="C15" i="2228"/>
  <c r="H11" i="2228"/>
  <c r="H10" i="2228"/>
  <c r="H9" i="2228"/>
  <c r="H8" i="2228"/>
  <c r="C9" i="2228"/>
  <c r="H7" i="2228"/>
  <c r="H6" i="2228"/>
  <c r="C7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<sst xmlns="http://schemas.openxmlformats.org/spreadsheetml/2006/main" count="2748" uniqueCount="219">
  <si>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</si>
  <si>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</si>
  <si>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</si>
  <si>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</si>
  <si>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</si>
  <si>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</si>
  <si>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</si>
  <si>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</si>
  <si>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</si>
  <si>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</si>
  <si>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</si>
  <si>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</si>
  <si>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</si>
  <si>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</si>
  <si>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</si>
  <si>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</si>
  <si>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</si>
  <si>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</si>
  <si>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</si>
  <si>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</si>
  <si>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</si>
  <si>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</si>
  <si>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</si>
  <si>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</si>
  <si>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</si>
  <si>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</si>
  <si>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</si>
  <si>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</si>
  <si>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</si>
  <si>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</si>
  <si>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</si>
  <si>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</si>
  <si>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</si>
  <si>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</si>
  <si>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</si>
  <si>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</si>
  <si>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</si>
  <si>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</si>
  <si>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</si>
  <si>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</si>
  <si>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</si>
  <si>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</si>
  <si>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</si>
  <si>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</si>
  <si>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</si>
  <si>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</si>
  <si>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</si>
  <si>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</si>
  <si>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</si>
  <si>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</si>
  <si>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</si>
  <si>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</si>
  <si>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</si>
  <si>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</si>
  <si>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</si>
  <si>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</si>
  <si>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</si>
  <si>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</si>
  <si>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</si>
  <si>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</si>
  <si>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</si>
  <si>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</si>
  <si>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</si>
  <si>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</si>
  <si>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</si>
  <si>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</si>
  <si>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</si>
  <si>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</si>
  <si>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</si>
  <si>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</si>
  <si>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</si>
  <si>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</si>
  <si>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</si>
  <si>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</si>
  <si>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</si>
  <si>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</si>
  <si>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</si>
  <si>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</si>
  <si>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</si>
  <si>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</si>
  <si>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</si>
  <si>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</si>
  <si>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</si>
  <si>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</si>
  <si>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</si>
  <si>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</si>
  <si>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</si>
  <si>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</si>
  <si>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</si>
  <si>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</si>
  <si>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</si>
  <si>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</si>
  <si>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</si>
  <si>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</si>
  <si>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</si>
  <si>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</si>
  <si>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</si>
  <si>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</si>
  <si>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</si>
  <si>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</si>
  <si>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</si>
  <si>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</si>
  <si>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</si>
  <si>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</si>
  <si>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</si>
  <si>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</si>
  <si>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</si>
  <si>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</si>
  <si>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</si>
  <si>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</si>
  <si>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</si>
  <si>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</si>
  <si>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</si>
  <si>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</si>
  <si>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</si>
  <si>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</si>
  <si>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</si>
  <si>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</si>
  <si>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</si>
  <si>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</si>
  <si>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</si>
  <si>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</si>
  <si>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</si>
  <si>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</si>
  <si>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</si>
  <si>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</si>
  <si>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</si>
  <si>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</si>
  <si>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</si>
  <si>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</si>
  <si>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</si>
  <si>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</si>
  <si>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</si>
  <si>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</si>
  <si>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</si>
  <si>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</si>
  <si>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</si>
  <si>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</si>
  <si>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</si>
  <si>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</si>
  <si>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</si>
  <si>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</si>
  <si>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</si>
  <si>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</si>
  <si>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</si>
  <si>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</si>
  <si>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</si>
  <si>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</si>
  <si>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</si>
  <si>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</si>
  <si>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</si>
  <si>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</si>
  <si>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</si>
  <si>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</si>
  <si>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</si>
  <si>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</si>
  <si>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</si>
  <si>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</si>
  <si>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</si>
  <si>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</si>
  <si>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</si>
  <si>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</si>
  <si>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</si>
  <si>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</si>
  <si>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</si>
  <si>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</si>
  <si>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</si>
  <si>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</si>
  <si>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</si>
  <si>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</si>
  <si>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</si>
  <si>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</si>
  <si>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</si>
  <si>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</si>
  <si>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</si>
  <si>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</si>
  <si>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</si>
  <si>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</si>
  <si>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</si>
  <si>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</si>
  <si>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</si>
  <si>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</si>
  <si>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</si>
  <si>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</si>
  <si>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</si>
  <si>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</si>
  <si>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</si>
  <si>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</si>
  <si>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</si>
  <si>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</si>
  <si>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</si>
  <si>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</si>
  <si>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2019-04-28.xlsm</t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</si>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</sst>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7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0" fontId="0" fillId="0" borderId="4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hartsheet" Target="chart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chartsheet" Target="chart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全体!$K$2:$K$320</c:f>
              <c:numCache>
                <c:formatCode>General</c:formatCode>
                <c:ptCount val="3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</c:numCache>
            </c:numRef>
          </c:xVal>
          <c:yVal>
            <c:numRef>
              <c:f>全体!$L$2:$L$320</c:f>
              <c:numCache>
                <c:formatCode>\+0.0;\-0.0;\±0</c:formatCode>
                <c:ptCount val="319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-24.4</c:v>
                </c:pt>
                <c:pt idx="62">
                  <c:v>-22.299999999999997</c:v>
                </c:pt>
                <c:pt idx="63">
                  <c:v>3.5527136788005009E-15</c:v>
                </c:pt>
                <c:pt idx="64">
                  <c:v>28.900000000000002</c:v>
                </c:pt>
                <c:pt idx="65">
                  <c:v>3.5000000000000036</c:v>
                </c:pt>
                <c:pt idx="66">
                  <c:v>3.5527136788005009E-15</c:v>
                </c:pt>
                <c:pt idx="67">
                  <c:v>-15.299999999999997</c:v>
                </c:pt>
                <c:pt idx="68">
                  <c:v>41</c:v>
                </c:pt>
                <c:pt idx="69">
                  <c:v>0</c:v>
                </c:pt>
                <c:pt idx="70">
                  <c:v>-15.8</c:v>
                </c:pt>
                <c:pt idx="71">
                  <c:v>57.8</c:v>
                </c:pt>
                <c:pt idx="72">
                  <c:v>0</c:v>
                </c:pt>
                <c:pt idx="73">
                  <c:v>54.6</c:v>
                </c:pt>
                <c:pt idx="74">
                  <c:v>14.600000000000001</c:v>
                </c:pt>
                <c:pt idx="75">
                  <c:v>1.7763568394002505E-15</c:v>
                </c:pt>
                <c:pt idx="76">
                  <c:v>-43.7</c:v>
                </c:pt>
                <c:pt idx="77">
                  <c:v>6.2999999999999972</c:v>
                </c:pt>
                <c:pt idx="78">
                  <c:v>-2.6645352591003757E-15</c:v>
                </c:pt>
                <c:pt idx="79">
                  <c:v>-32.5</c:v>
                </c:pt>
                <c:pt idx="80">
                  <c:v>-37.1</c:v>
                </c:pt>
                <c:pt idx="81">
                  <c:v>0</c:v>
                </c:pt>
                <c:pt idx="82">
                  <c:v>8</c:v>
                </c:pt>
                <c:pt idx="83">
                  <c:v>-29.299999999999997</c:v>
                </c:pt>
                <c:pt idx="84">
                  <c:v>3.5527136788005009E-15</c:v>
                </c:pt>
                <c:pt idx="85">
                  <c:v>-6.9999999999999964</c:v>
                </c:pt>
                <c:pt idx="86">
                  <c:v>-38.5</c:v>
                </c:pt>
                <c:pt idx="87">
                  <c:v>0</c:v>
                </c:pt>
                <c:pt idx="88">
                  <c:v>52.9</c:v>
                </c:pt>
                <c:pt idx="89">
                  <c:v>-3.1000000000000014</c:v>
                </c:pt>
                <c:pt idx="90">
                  <c:v>-1.3322676295501878E-15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22.1</c:v>
                </c:pt>
                <c:pt idx="95">
                  <c:v>24</c:v>
                </c:pt>
                <c:pt idx="96">
                  <c:v>0</c:v>
                </c:pt>
                <c:pt idx="97">
                  <c:v>25.7</c:v>
                </c:pt>
                <c:pt idx="98">
                  <c:v>1.8000000000000007</c:v>
                </c:pt>
                <c:pt idx="99">
                  <c:v>6.6613381477509392E-16</c:v>
                </c:pt>
                <c:pt idx="100">
                  <c:v>39.6</c:v>
                </c:pt>
                <c:pt idx="101">
                  <c:v>-64.199999999999989</c:v>
                </c:pt>
                <c:pt idx="102">
                  <c:v>1.4210854715202004E-14</c:v>
                </c:pt>
                <c:pt idx="103">
                  <c:v>-74.499999999999986</c:v>
                </c:pt>
                <c:pt idx="104">
                  <c:v>2.2000000000000171</c:v>
                </c:pt>
                <c:pt idx="105">
                  <c:v>1.6875389974302379E-14</c:v>
                </c:pt>
                <c:pt idx="106">
                  <c:v>-31.599999999999984</c:v>
                </c:pt>
                <c:pt idx="107">
                  <c:v>-35.799999999999983</c:v>
                </c:pt>
                <c:pt idx="108">
                  <c:v>1.4210854715202004E-14</c:v>
                </c:pt>
                <c:pt idx="109">
                  <c:v>35.300000000000011</c:v>
                </c:pt>
                <c:pt idx="110">
                  <c:v>34.000000000000014</c:v>
                </c:pt>
                <c:pt idx="111">
                  <c:v>1.4210854715202004E-14</c:v>
                </c:pt>
                <c:pt idx="112">
                  <c:v>6.1000000000000139</c:v>
                </c:pt>
                <c:pt idx="113">
                  <c:v>57.000000000000014</c:v>
                </c:pt>
                <c:pt idx="114">
                  <c:v>1.4210854715202004E-14</c:v>
                </c:pt>
                <c:pt idx="115">
                  <c:v>-5.0999999999999854</c:v>
                </c:pt>
                <c:pt idx="116">
                  <c:v>31.600000000000016</c:v>
                </c:pt>
                <c:pt idx="117">
                  <c:v>1.4210854715202004E-14</c:v>
                </c:pt>
                <c:pt idx="118">
                  <c:v>5.2000000000000144</c:v>
                </c:pt>
                <c:pt idx="119">
                  <c:v>41.500000000000014</c:v>
                </c:pt>
                <c:pt idx="120">
                  <c:v>1.4210854715202004E-14</c:v>
                </c:pt>
                <c:pt idx="121">
                  <c:v>-7.8999999999999861</c:v>
                </c:pt>
                <c:pt idx="122">
                  <c:v>55.100000000000016</c:v>
                </c:pt>
                <c:pt idx="123">
                  <c:v>1.4210854715202004E-14</c:v>
                </c:pt>
                <c:pt idx="124">
                  <c:v>-0.99999999999998579</c:v>
                </c:pt>
                <c:pt idx="125">
                  <c:v>-30.799999999999986</c:v>
                </c:pt>
                <c:pt idx="126">
                  <c:v>1.4210854715202004E-14</c:v>
                </c:pt>
                <c:pt idx="127">
                  <c:v>0.50000000000001421</c:v>
                </c:pt>
                <c:pt idx="128">
                  <c:v>29.100000000000016</c:v>
                </c:pt>
                <c:pt idx="129">
                  <c:v>1.4210854715202004E-14</c:v>
                </c:pt>
                <c:pt idx="130">
                  <c:v>-45.299999999999983</c:v>
                </c:pt>
                <c:pt idx="131">
                  <c:v>-59.299999999999983</c:v>
                </c:pt>
                <c:pt idx="132">
                  <c:v>1.4210854715202004E-14</c:v>
                </c:pt>
                <c:pt idx="133">
                  <c:v>-8.8999999999999861</c:v>
                </c:pt>
                <c:pt idx="134">
                  <c:v>-47.499999999999986</c:v>
                </c:pt>
                <c:pt idx="135">
                  <c:v>1.4210854715202004E-14</c:v>
                </c:pt>
                <c:pt idx="136">
                  <c:v>-3.4999999999999858</c:v>
                </c:pt>
                <c:pt idx="137">
                  <c:v>27.000000000000014</c:v>
                </c:pt>
                <c:pt idx="138">
                  <c:v>1.4210854715202004E-14</c:v>
                </c:pt>
                <c:pt idx="139">
                  <c:v>-55.199999999999989</c:v>
                </c:pt>
                <c:pt idx="140">
                  <c:v>-80.699999999999989</c:v>
                </c:pt>
                <c:pt idx="141">
                  <c:v>1.4210854715202004E-14</c:v>
                </c:pt>
                <c:pt idx="142">
                  <c:v>8.0000000000000142</c:v>
                </c:pt>
                <c:pt idx="143">
                  <c:v>-63.199999999999989</c:v>
                </c:pt>
                <c:pt idx="144">
                  <c:v>1.4210854715202004E-14</c:v>
                </c:pt>
                <c:pt idx="145">
                  <c:v>54.500000000000014</c:v>
                </c:pt>
                <c:pt idx="146">
                  <c:v>8.5000000000000142</c:v>
                </c:pt>
                <c:pt idx="147">
                  <c:v>1.4210854715202004E-14</c:v>
                </c:pt>
                <c:pt idx="148">
                  <c:v>-10.599999999999985</c:v>
                </c:pt>
                <c:pt idx="149">
                  <c:v>-61.79999999999999</c:v>
                </c:pt>
                <c:pt idx="150">
                  <c:v>7.1054273576010019E-15</c:v>
                </c:pt>
                <c:pt idx="151">
                  <c:v>4.6000000000000068</c:v>
                </c:pt>
                <c:pt idx="152">
                  <c:v>-25.29999999999999</c:v>
                </c:pt>
                <c:pt idx="153">
                  <c:v>1.0658141036401503E-14</c:v>
                </c:pt>
                <c:pt idx="154">
                  <c:v>-2.4999999999999893</c:v>
                </c:pt>
                <c:pt idx="155">
                  <c:v>-49.999999999999986</c:v>
                </c:pt>
                <c:pt idx="156">
                  <c:v>1.4210854715202004E-14</c:v>
                </c:pt>
                <c:pt idx="157">
                  <c:v>31.900000000000013</c:v>
                </c:pt>
                <c:pt idx="158">
                  <c:v>28.100000000000012</c:v>
                </c:pt>
                <c:pt idx="159">
                  <c:v>1.0658141036401503E-14</c:v>
                </c:pt>
                <c:pt idx="160">
                  <c:v>-55.999999999999986</c:v>
                </c:pt>
                <c:pt idx="161">
                  <c:v>13.000000000000014</c:v>
                </c:pt>
                <c:pt idx="162">
                  <c:v>1.4210854715202004E-14</c:v>
                </c:pt>
                <c:pt idx="163">
                  <c:v>12.400000000000015</c:v>
                </c:pt>
                <c:pt idx="164">
                  <c:v>49.100000000000016</c:v>
                </c:pt>
                <c:pt idx="165">
                  <c:v>1.4210854715202004E-14</c:v>
                </c:pt>
                <c:pt idx="166">
                  <c:v>-60.299999999999983</c:v>
                </c:pt>
                <c:pt idx="167">
                  <c:v>9.3000000000000114</c:v>
                </c:pt>
                <c:pt idx="168">
                  <c:v>1.0658141036401503E-14</c:v>
                </c:pt>
                <c:pt idx="169">
                  <c:v>48.500000000000014</c:v>
                </c:pt>
                <c:pt idx="170">
                  <c:v>68.000000000000014</c:v>
                </c:pt>
                <c:pt idx="171">
                  <c:v>1.4210854715202004E-14</c:v>
                </c:pt>
                <c:pt idx="172">
                  <c:v>-1.4999999999999858</c:v>
                </c:pt>
                <c:pt idx="173">
                  <c:v>-32.599999999999987</c:v>
                </c:pt>
                <c:pt idx="174">
                  <c:v>1.4210854715202004E-14</c:v>
                </c:pt>
                <c:pt idx="175">
                  <c:v>47.400000000000013</c:v>
                </c:pt>
                <c:pt idx="176">
                  <c:v>52.300000000000011</c:v>
                </c:pt>
                <c:pt idx="177">
                  <c:v>1.4210854715202004E-14</c:v>
                </c:pt>
                <c:pt idx="178">
                  <c:v>73.600000000000009</c:v>
                </c:pt>
                <c:pt idx="179">
                  <c:v>7.3000000000000114</c:v>
                </c:pt>
                <c:pt idx="180">
                  <c:v>1.1546319456101628E-14</c:v>
                </c:pt>
                <c:pt idx="181">
                  <c:v>-33.599999999999987</c:v>
                </c:pt>
                <c:pt idx="182">
                  <c:v>-32.499999999999986</c:v>
                </c:pt>
                <c:pt idx="183">
                  <c:v>1.4210854715202004E-14</c:v>
                </c:pt>
                <c:pt idx="184">
                  <c:v>5.4000000000000146</c:v>
                </c:pt>
                <c:pt idx="185">
                  <c:v>-26.899999999999984</c:v>
                </c:pt>
                <c:pt idx="186">
                  <c:v>1.4210854715202004E-14</c:v>
                </c:pt>
                <c:pt idx="187">
                  <c:v>15.100000000000014</c:v>
                </c:pt>
                <c:pt idx="188">
                  <c:v>-35.199999999999982</c:v>
                </c:pt>
                <c:pt idx="189">
                  <c:v>2.1316282072803006E-14</c:v>
                </c:pt>
                <c:pt idx="190">
                  <c:v>-28.199999999999978</c:v>
                </c:pt>
                <c:pt idx="191">
                  <c:v>-33.499999999999979</c:v>
                </c:pt>
                <c:pt idx="192">
                  <c:v>2.1316282072803006E-14</c:v>
                </c:pt>
                <c:pt idx="193">
                  <c:v>-60.899999999999977</c:v>
                </c:pt>
                <c:pt idx="194">
                  <c:v>-57.399999999999977</c:v>
                </c:pt>
                <c:pt idx="195">
                  <c:v>2.1316282072803006E-14</c:v>
                </c:pt>
                <c:pt idx="196">
                  <c:v>-57.699999999999982</c:v>
                </c:pt>
                <c:pt idx="197">
                  <c:v>-13.799999999999983</c:v>
                </c:pt>
                <c:pt idx="198">
                  <c:v>1.7763568394002505E-14</c:v>
                </c:pt>
                <c:pt idx="199">
                  <c:v>-55.499999999999986</c:v>
                </c:pt>
                <c:pt idx="200">
                  <c:v>1.5000000000000142</c:v>
                </c:pt>
                <c:pt idx="201">
                  <c:v>1.4210854715202004E-14</c:v>
                </c:pt>
                <c:pt idx="202">
                  <c:v>46.900000000000013</c:v>
                </c:pt>
                <c:pt idx="203">
                  <c:v>12.500000000000014</c:v>
                </c:pt>
                <c:pt idx="204">
                  <c:v>1.4210854715202004E-14</c:v>
                </c:pt>
                <c:pt idx="205">
                  <c:v>-59.899999999999984</c:v>
                </c:pt>
                <c:pt idx="206">
                  <c:v>4.4000000000000128</c:v>
                </c:pt>
                <c:pt idx="207">
                  <c:v>1.2434497875801753E-14</c:v>
                </c:pt>
                <c:pt idx="208">
                  <c:v>54.500000000000014</c:v>
                </c:pt>
                <c:pt idx="209">
                  <c:v>-8.9999999999999858</c:v>
                </c:pt>
                <c:pt idx="210">
                  <c:v>1.4210854715202004E-14</c:v>
                </c:pt>
                <c:pt idx="211">
                  <c:v>-55.399999999999984</c:v>
                </c:pt>
                <c:pt idx="212">
                  <c:v>-51.899999999999984</c:v>
                </c:pt>
                <c:pt idx="213">
                  <c:v>1.4210854715202004E-14</c:v>
                </c:pt>
                <c:pt idx="214">
                  <c:v>4.1000000000000139</c:v>
                </c:pt>
                <c:pt idx="215">
                  <c:v>35.200000000000017</c:v>
                </c:pt>
                <c:pt idx="216">
                  <c:v>1.4210854715202004E-14</c:v>
                </c:pt>
                <c:pt idx="217">
                  <c:v>-5.199999999999986</c:v>
                </c:pt>
                <c:pt idx="218">
                  <c:v>-32.29999999999999</c:v>
                </c:pt>
                <c:pt idx="219">
                  <c:v>7.1054273576010019E-15</c:v>
                </c:pt>
                <c:pt idx="220">
                  <c:v>30.600000000000009</c:v>
                </c:pt>
                <c:pt idx="221">
                  <c:v>-10.099999999999994</c:v>
                </c:pt>
                <c:pt idx="222">
                  <c:v>5.3290705182007514E-15</c:v>
                </c:pt>
                <c:pt idx="223">
                  <c:v>-28.599999999999994</c:v>
                </c:pt>
                <c:pt idx="224">
                  <c:v>1.3000000000000043</c:v>
                </c:pt>
                <c:pt idx="225">
                  <c:v>4.2188474935755949E-15</c:v>
                </c:pt>
                <c:pt idx="226">
                  <c:v>-26.299999999999997</c:v>
                </c:pt>
                <c:pt idx="227">
                  <c:v>4.1000000000000014</c:v>
                </c:pt>
                <c:pt idx="228">
                  <c:v>1.7763568394002505E-15</c:v>
                </c:pt>
                <c:pt idx="229">
                  <c:v>-39.5</c:v>
                </c:pt>
                <c:pt idx="230">
                  <c:v>-33.700000000000003</c:v>
                </c:pt>
                <c:pt idx="231">
                  <c:v>0</c:v>
                </c:pt>
                <c:pt idx="232">
                  <c:v>4.0999999999999996</c:v>
                </c:pt>
                <c:pt idx="233">
                  <c:v>-56</c:v>
                </c:pt>
                <c:pt idx="234">
                  <c:v>0</c:v>
                </c:pt>
                <c:pt idx="235">
                  <c:v>-21</c:v>
                </c:pt>
                <c:pt idx="236">
                  <c:v>58</c:v>
                </c:pt>
                <c:pt idx="237">
                  <c:v>0</c:v>
                </c:pt>
                <c:pt idx="238">
                  <c:v>-34</c:v>
                </c:pt>
                <c:pt idx="239">
                  <c:v>-101</c:v>
                </c:pt>
                <c:pt idx="240">
                  <c:v>0</c:v>
                </c:pt>
                <c:pt idx="241">
                  <c:v>-13</c:v>
                </c:pt>
                <c:pt idx="242">
                  <c:v>-92.9</c:v>
                </c:pt>
                <c:pt idx="243">
                  <c:v>0</c:v>
                </c:pt>
                <c:pt idx="244">
                  <c:v>-3.1</c:v>
                </c:pt>
                <c:pt idx="245">
                  <c:v>30.299999999999997</c:v>
                </c:pt>
                <c:pt idx="246">
                  <c:v>-3.5527136788005009E-15</c:v>
                </c:pt>
                <c:pt idx="247">
                  <c:v>5.3999999999999968</c:v>
                </c:pt>
                <c:pt idx="248">
                  <c:v>-29.4</c:v>
                </c:pt>
                <c:pt idx="249">
                  <c:v>0</c:v>
                </c:pt>
                <c:pt idx="250">
                  <c:v>-61.2</c:v>
                </c:pt>
                <c:pt idx="251">
                  <c:v>-9</c:v>
                </c:pt>
                <c:pt idx="252">
                  <c:v>0</c:v>
                </c:pt>
                <c:pt idx="253">
                  <c:v>-15.6</c:v>
                </c:pt>
                <c:pt idx="254">
                  <c:v>-74.3</c:v>
                </c:pt>
                <c:pt idx="255">
                  <c:v>0</c:v>
                </c:pt>
                <c:pt idx="256">
                  <c:v>7.7</c:v>
                </c:pt>
                <c:pt idx="257">
                  <c:v>38.5</c:v>
                </c:pt>
                <c:pt idx="258">
                  <c:v>0</c:v>
                </c:pt>
                <c:pt idx="259">
                  <c:v>3.4</c:v>
                </c:pt>
                <c:pt idx="260">
                  <c:v>-28.3</c:v>
                </c:pt>
                <c:pt idx="261">
                  <c:v>0</c:v>
                </c:pt>
                <c:pt idx="262">
                  <c:v>-42.3</c:v>
                </c:pt>
                <c:pt idx="263">
                  <c:v>-2.5</c:v>
                </c:pt>
                <c:pt idx="264">
                  <c:v>0</c:v>
                </c:pt>
                <c:pt idx="265">
                  <c:v>-28.8</c:v>
                </c:pt>
                <c:pt idx="266">
                  <c:v>-36.4</c:v>
                </c:pt>
                <c:pt idx="267">
                  <c:v>0</c:v>
                </c:pt>
                <c:pt idx="268">
                  <c:v>-47</c:v>
                </c:pt>
                <c:pt idx="269">
                  <c:v>-7.5</c:v>
                </c:pt>
                <c:pt idx="270">
                  <c:v>0</c:v>
                </c:pt>
                <c:pt idx="271">
                  <c:v>2.9</c:v>
                </c:pt>
                <c:pt idx="272">
                  <c:v>32.1</c:v>
                </c:pt>
                <c:pt idx="273">
                  <c:v>0</c:v>
                </c:pt>
                <c:pt idx="274">
                  <c:v>-24.8</c:v>
                </c:pt>
                <c:pt idx="275">
                  <c:v>-82.5</c:v>
                </c:pt>
                <c:pt idx="276">
                  <c:v>0</c:v>
                </c:pt>
                <c:pt idx="277">
                  <c:v>30.3</c:v>
                </c:pt>
                <c:pt idx="278">
                  <c:v>27.5</c:v>
                </c:pt>
                <c:pt idx="279">
                  <c:v>0</c:v>
                </c:pt>
                <c:pt idx="280">
                  <c:v>-5.5</c:v>
                </c:pt>
                <c:pt idx="281">
                  <c:v>-66.599999999999994</c:v>
                </c:pt>
                <c:pt idx="282">
                  <c:v>0</c:v>
                </c:pt>
                <c:pt idx="283">
                  <c:v>-32.9</c:v>
                </c:pt>
                <c:pt idx="284">
                  <c:v>12.5</c:v>
                </c:pt>
                <c:pt idx="285">
                  <c:v>0</c:v>
                </c:pt>
                <c:pt idx="286">
                  <c:v>45.1</c:v>
                </c:pt>
                <c:pt idx="287">
                  <c:v>7.1000000000000014</c:v>
                </c:pt>
                <c:pt idx="288">
                  <c:v>1.7763568394002505E-15</c:v>
                </c:pt>
                <c:pt idx="289">
                  <c:v>-56.4</c:v>
                </c:pt>
                <c:pt idx="290">
                  <c:v>-51.1</c:v>
                </c:pt>
                <c:pt idx="291">
                  <c:v>0</c:v>
                </c:pt>
                <c:pt idx="292">
                  <c:v>45.4</c:v>
                </c:pt>
                <c:pt idx="293">
                  <c:v>37.5</c:v>
                </c:pt>
                <c:pt idx="294">
                  <c:v>0</c:v>
                </c:pt>
                <c:pt idx="295">
                  <c:v>-58.7</c:v>
                </c:pt>
                <c:pt idx="296">
                  <c:v>-59.2</c:v>
                </c:pt>
                <c:pt idx="297">
                  <c:v>0</c:v>
                </c:pt>
                <c:pt idx="298">
                  <c:v>6.7</c:v>
                </c:pt>
                <c:pt idx="299">
                  <c:v>-27.7</c:v>
                </c:pt>
                <c:pt idx="300">
                  <c:v>0</c:v>
                </c:pt>
                <c:pt idx="301">
                  <c:v>6.1</c:v>
                </c:pt>
                <c:pt idx="302">
                  <c:v>32.700000000000003</c:v>
                </c:pt>
                <c:pt idx="303">
                  <c:v>0</c:v>
                </c:pt>
                <c:pt idx="304">
                  <c:v>-54.9</c:v>
                </c:pt>
                <c:pt idx="305">
                  <c:v>-9.1999999999999957</c:v>
                </c:pt>
                <c:pt idx="306">
                  <c:v>3.5527136788005009E-15</c:v>
                </c:pt>
                <c:pt idx="307">
                  <c:v>-52.8</c:v>
                </c:pt>
                <c:pt idx="308">
                  <c:v>-70.900000000000006</c:v>
                </c:pt>
                <c:pt idx="309">
                  <c:v>0</c:v>
                </c:pt>
                <c:pt idx="310">
                  <c:v>82.3</c:v>
                </c:pt>
                <c:pt idx="311">
                  <c:v>25.5</c:v>
                </c:pt>
                <c:pt idx="312">
                  <c:v>0</c:v>
                </c:pt>
                <c:pt idx="313">
                  <c:v>22.4</c:v>
                </c:pt>
                <c:pt idx="314">
                  <c:v>23.5</c:v>
                </c:pt>
                <c:pt idx="315">
                  <c:v>0</c:v>
                </c:pt>
                <c:pt idx="316">
                  <c:v>-5.3</c:v>
                </c:pt>
                <c:pt idx="317">
                  <c:v>76.600000000000009</c:v>
                </c:pt>
                <c:pt idx="318">
                  <c:v>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66-489C-B088-D6AE458D7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-15.723270440251572</c:v>
                </c:pt>
                <c:pt idx="1">
                  <c:v>-12.698412698412698</c:v>
                </c:pt>
                <c:pt idx="2">
                  <c:v>17.006802721088434</c:v>
                </c:pt>
                <c:pt idx="3">
                  <c:v>11.111111111111111</c:v>
                </c:pt>
                <c:pt idx="4">
                  <c:v>-20.5761316872428</c:v>
                </c:pt>
                <c:pt idx="5">
                  <c:v>26.315789473684209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6E-40C4-900F-62EE49CEF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だいち!$L$2:$L$75</c:f>
              <c:numCache>
                <c:formatCode>\+0.0;\-0.0;\±0</c:formatCode>
                <c:ptCount val="74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7A-404E-98D7-6459940E4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2734.2465753424658</c:v>
                </c:pt>
                <c:pt idx="1">
                  <c:v>2705.5555555555557</c:v>
                </c:pt>
                <c:pt idx="2">
                  <c:v>3142.6470588235293</c:v>
                </c:pt>
                <c:pt idx="3">
                  <c:v>3821.311475409836</c:v>
                </c:pt>
                <c:pt idx="4">
                  <c:v>592.59259259259261</c:v>
                </c:pt>
                <c:pt idx="5">
                  <c:v>1414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7E-4231-A0A2-9B5B5BF49B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りくと!$K$2:$K$79</c:f>
              <c:numCache>
                <c:formatCode>General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りくと!$L$2:$L$79</c:f>
              <c:numCache>
                <c:formatCode>\+0.0;\-0.0;\±0</c:formatCode>
                <c:ptCount val="78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-80.900000000000006</c:v>
                </c:pt>
                <c:pt idx="14">
                  <c:v>-106.30000000000001</c:v>
                </c:pt>
                <c:pt idx="15">
                  <c:v>-50.000000000000014</c:v>
                </c:pt>
                <c:pt idx="16">
                  <c:v>23.59999999999998</c:v>
                </c:pt>
                <c:pt idx="17">
                  <c:v>17.299999999999979</c:v>
                </c:pt>
                <c:pt idx="18">
                  <c:v>70.199999999999974</c:v>
                </c:pt>
                <c:pt idx="19">
                  <c:v>92.299999999999983</c:v>
                </c:pt>
                <c:pt idx="20">
                  <c:v>114.39999999999998</c:v>
                </c:pt>
                <c:pt idx="21">
                  <c:v>140.09999999999997</c:v>
                </c:pt>
                <c:pt idx="22">
                  <c:v>179.69999999999996</c:v>
                </c:pt>
                <c:pt idx="23">
                  <c:v>214.99999999999994</c:v>
                </c:pt>
                <c:pt idx="24">
                  <c:v>221.09999999999994</c:v>
                </c:pt>
                <c:pt idx="25">
                  <c:v>215.99999999999994</c:v>
                </c:pt>
                <c:pt idx="26">
                  <c:v>221.19999999999993</c:v>
                </c:pt>
                <c:pt idx="27">
                  <c:v>213.29999999999993</c:v>
                </c:pt>
                <c:pt idx="28">
                  <c:v>212.29999999999993</c:v>
                </c:pt>
                <c:pt idx="29">
                  <c:v>166.99999999999994</c:v>
                </c:pt>
                <c:pt idx="30">
                  <c:v>158.09999999999994</c:v>
                </c:pt>
                <c:pt idx="31">
                  <c:v>154.59999999999994</c:v>
                </c:pt>
                <c:pt idx="32">
                  <c:v>162.59999999999994</c:v>
                </c:pt>
                <c:pt idx="33">
                  <c:v>217.09999999999994</c:v>
                </c:pt>
                <c:pt idx="34">
                  <c:v>206.49999999999994</c:v>
                </c:pt>
                <c:pt idx="35">
                  <c:v>211.09999999999994</c:v>
                </c:pt>
                <c:pt idx="36">
                  <c:v>208.59999999999994</c:v>
                </c:pt>
                <c:pt idx="37">
                  <c:v>152.59999999999994</c:v>
                </c:pt>
                <c:pt idx="38">
                  <c:v>164.99999999999994</c:v>
                </c:pt>
                <c:pt idx="39">
                  <c:v>104.69999999999995</c:v>
                </c:pt>
                <c:pt idx="40">
                  <c:v>103.19999999999995</c:v>
                </c:pt>
                <c:pt idx="41">
                  <c:v>150.59999999999994</c:v>
                </c:pt>
                <c:pt idx="42">
                  <c:v>224.19999999999993</c:v>
                </c:pt>
                <c:pt idx="43">
                  <c:v>190.59999999999994</c:v>
                </c:pt>
                <c:pt idx="44">
                  <c:v>205.69999999999993</c:v>
                </c:pt>
                <c:pt idx="45">
                  <c:v>144.79999999999993</c:v>
                </c:pt>
                <c:pt idx="46">
                  <c:v>87.099999999999923</c:v>
                </c:pt>
                <c:pt idx="47">
                  <c:v>31.599999999999923</c:v>
                </c:pt>
                <c:pt idx="48">
                  <c:v>-28.300000000000075</c:v>
                </c:pt>
                <c:pt idx="49">
                  <c:v>26.199999999999925</c:v>
                </c:pt>
                <c:pt idx="50">
                  <c:v>-29.200000000000074</c:v>
                </c:pt>
                <c:pt idx="51">
                  <c:v>-25.100000000000072</c:v>
                </c:pt>
                <c:pt idx="52">
                  <c:v>-53.700000000000074</c:v>
                </c:pt>
                <c:pt idx="53">
                  <c:v>-80.000000000000071</c:v>
                </c:pt>
                <c:pt idx="54">
                  <c:v>-119.50000000000007</c:v>
                </c:pt>
                <c:pt idx="55">
                  <c:v>-115.40000000000008</c:v>
                </c:pt>
                <c:pt idx="56">
                  <c:v>-36.400000000000077</c:v>
                </c:pt>
                <c:pt idx="57">
                  <c:v>-70.400000000000077</c:v>
                </c:pt>
                <c:pt idx="58">
                  <c:v>-83.400000000000077</c:v>
                </c:pt>
                <c:pt idx="59">
                  <c:v>-86.500000000000071</c:v>
                </c:pt>
                <c:pt idx="60">
                  <c:v>-81.100000000000065</c:v>
                </c:pt>
                <c:pt idx="61">
                  <c:v>-142.30000000000007</c:v>
                </c:pt>
                <c:pt idx="62">
                  <c:v>-114.00000000000007</c:v>
                </c:pt>
                <c:pt idx="63">
                  <c:v>-121.60000000000007</c:v>
                </c:pt>
                <c:pt idx="64">
                  <c:v>-168.60000000000008</c:v>
                </c:pt>
                <c:pt idx="65">
                  <c:v>-165.70000000000007</c:v>
                </c:pt>
                <c:pt idx="66">
                  <c:v>-135.40000000000006</c:v>
                </c:pt>
                <c:pt idx="67">
                  <c:v>-140.90000000000006</c:v>
                </c:pt>
                <c:pt idx="68">
                  <c:v>-173.80000000000007</c:v>
                </c:pt>
                <c:pt idx="69">
                  <c:v>-128.70000000000007</c:v>
                </c:pt>
                <c:pt idx="70">
                  <c:v>-83.300000000000068</c:v>
                </c:pt>
                <c:pt idx="71">
                  <c:v>-142.00000000000006</c:v>
                </c:pt>
                <c:pt idx="72">
                  <c:v>-135.30000000000007</c:v>
                </c:pt>
                <c:pt idx="73">
                  <c:v>-129.20000000000007</c:v>
                </c:pt>
                <c:pt idx="74">
                  <c:v>-182.00000000000006</c:v>
                </c:pt>
                <c:pt idx="75">
                  <c:v>-99.70000000000006</c:v>
                </c:pt>
                <c:pt idx="76">
                  <c:v>-77.300000000000068</c:v>
                </c:pt>
                <c:pt idx="77">
                  <c:v>-82.600000000000065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4-46CD-AC6A-C04C7B57B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987.01298701298697</c:v>
                </c:pt>
                <c:pt idx="1">
                  <c:v>-1826.3157894736842</c:v>
                </c:pt>
                <c:pt idx="2">
                  <c:v>-1209.5890410958905</c:v>
                </c:pt>
                <c:pt idx="3">
                  <c:v>1168.6567164179105</c:v>
                </c:pt>
                <c:pt idx="4">
                  <c:v>861.66666666666663</c:v>
                </c:pt>
                <c:pt idx="5">
                  <c:v>394.73684210526318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77-4B81-9374-F680C1B1A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ただ!$L$2:$L$32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-125.5</c:v>
                </c:pt>
                <c:pt idx="11">
                  <c:v>-229.3</c:v>
                </c:pt>
                <c:pt idx="12">
                  <c:v>-303.8</c:v>
                </c:pt>
                <c:pt idx="13">
                  <c:v>-335.40000000000003</c:v>
                </c:pt>
                <c:pt idx="14">
                  <c:v>-367.00000000000006</c:v>
                </c:pt>
                <c:pt idx="15">
                  <c:v>-392.50000000000006</c:v>
                </c:pt>
                <c:pt idx="16">
                  <c:v>-422.40000000000003</c:v>
                </c:pt>
                <c:pt idx="17">
                  <c:v>-469.90000000000003</c:v>
                </c:pt>
                <c:pt idx="18">
                  <c:v>-536.20000000000005</c:v>
                </c:pt>
                <c:pt idx="19">
                  <c:v>-535.1</c:v>
                </c:pt>
                <c:pt idx="20">
                  <c:v>-567.4</c:v>
                </c:pt>
                <c:pt idx="21">
                  <c:v>-630.9</c:v>
                </c:pt>
                <c:pt idx="22">
                  <c:v>-627.4</c:v>
                </c:pt>
                <c:pt idx="23">
                  <c:v>-668.1</c:v>
                </c:pt>
                <c:pt idx="24">
                  <c:v>-735.1</c:v>
                </c:pt>
                <c:pt idx="25">
                  <c:v>-815</c:v>
                </c:pt>
                <c:pt idx="26">
                  <c:v>-781.6</c:v>
                </c:pt>
                <c:pt idx="27">
                  <c:v>-816.4</c:v>
                </c:pt>
                <c:pt idx="28">
                  <c:v>-874.1</c:v>
                </c:pt>
                <c:pt idx="29">
                  <c:v>-929</c:v>
                </c:pt>
                <c:pt idx="30">
                  <c:v>-847.1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94-4EEB-9C02-339D1FA9B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-2690</c:v>
                </c:pt>
                <c:pt idx="1">
                  <c:v>-3823.3333333333335</c:v>
                </c:pt>
                <c:pt idx="2">
                  <c:v>-3737.037037037037</c:v>
                </c:pt>
                <c:pt idx="3">
                  <c:v>-6308.333333333333</c:v>
                </c:pt>
                <c:pt idx="4">
                  <c:v>-4242.8571428571431</c:v>
                </c:pt>
                <c:pt idx="5">
                  <c:v>-2020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E7-4DA1-8F16-DDA1ADC5B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れんたろう!$L$2:$L$41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AC-4E54-A334-1D66C2AD2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-505.12820512820514</c:v>
                </c:pt>
                <c:pt idx="1">
                  <c:v>676.92307692307691</c:v>
                </c:pt>
                <c:pt idx="2">
                  <c:v>1162.1621621621621</c:v>
                </c:pt>
                <c:pt idx="3">
                  <c:v>-324.24242424242425</c:v>
                </c:pt>
                <c:pt idx="4">
                  <c:v>-970</c:v>
                </c:pt>
                <c:pt idx="5">
                  <c:v>242.85714285714286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48-4807-93AB-7DD171389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たかの!$L$2:$L$37</c:f>
              <c:numCache>
                <c:formatCode>\+0.0;\-0.0;\±0</c:formatCode>
                <c:ptCount val="36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7B-4574-80CB-00CDB9A2C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1657.1428571428571</c:v>
                </c:pt>
                <c:pt idx="1">
                  <c:v>145.71428571428572</c:v>
                </c:pt>
                <c:pt idx="2">
                  <c:v>700</c:v>
                </c:pt>
                <c:pt idx="3">
                  <c:v>396.42857142857144</c:v>
                </c:pt>
                <c:pt idx="4">
                  <c:v>-1233.3333333333333</c:v>
                </c:pt>
                <c:pt idx="5">
                  <c:v>-1845.8333333333333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FD-43B9-897A-476E7E142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ぱぱ!$L$2:$L$33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47-4568-988D-C166BD730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-2980.6451612903224</c:v>
                </c:pt>
                <c:pt idx="1">
                  <c:v>1854.8387096774193</c:v>
                </c:pt>
                <c:pt idx="2">
                  <c:v>-1900</c:v>
                </c:pt>
                <c:pt idx="3">
                  <c:v>-4244.4444444444443</c:v>
                </c:pt>
                <c:pt idx="4">
                  <c:v>1175</c:v>
                </c:pt>
                <c:pt idx="5">
                  <c:v>439.13043478260869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8A-4784-BEDE-2DE4A9534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52.3</c:v>
                </c:pt>
                <c:pt idx="4">
                  <c:v>12.299999999999997</c:v>
                </c:pt>
                <c:pt idx="5">
                  <c:v>62.3</c:v>
                </c:pt>
                <c:pt idx="6">
                  <c:v>57.699999999999996</c:v>
                </c:pt>
                <c:pt idx="7">
                  <c:v>26.199999999999996</c:v>
                </c:pt>
                <c:pt idx="8">
                  <c:v>-7.8000000000000043</c:v>
                </c:pt>
                <c:pt idx="9">
                  <c:v>-64.800000000000011</c:v>
                </c:pt>
                <c:pt idx="10">
                  <c:v>-106.30000000000001</c:v>
                </c:pt>
                <c:pt idx="11">
                  <c:v>-161.4</c:v>
                </c:pt>
                <c:pt idx="12">
                  <c:v>-130.6</c:v>
                </c:pt>
                <c:pt idx="13">
                  <c:v>-185.8</c:v>
                </c:pt>
                <c:pt idx="14">
                  <c:v>-187.3</c:v>
                </c:pt>
                <c:pt idx="15">
                  <c:v>-156.20000000000002</c:v>
                </c:pt>
                <c:pt idx="16">
                  <c:v>-123.90000000000002</c:v>
                </c:pt>
                <c:pt idx="17">
                  <c:v>-131.00000000000003</c:v>
                </c:pt>
                <c:pt idx="18">
                  <c:v>-138.90000000000003</c:v>
                </c:pt>
                <c:pt idx="19">
                  <c:v>-215.50000000000003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F-4CC0-A8FD-CE16A346E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-5500</c:v>
                </c:pt>
                <c:pt idx="1">
                  <c:v>-1455.5555555555557</c:v>
                </c:pt>
                <c:pt idx="2">
                  <c:v>-731.25</c:v>
                </c:pt>
                <c:pt idx="3">
                  <c:v>-852.94117647058829</c:v>
                </c:pt>
                <c:pt idx="4">
                  <c:v>1213.3333333333333</c:v>
                </c:pt>
                <c:pt idx="5">
                  <c:v>1457.1428571428571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1B-458A-A46E-E43583916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A8-47D5-9C50-7344A56AA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BA-416D-B244-91A7C1763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8E-4F61-84CB-DAB9096D7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14-4C11-AE40-5A1FC136F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07-414B-B6A9-A24FBC320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-6025</c:v>
                </c:pt>
                <c:pt idx="1">
                  <c:v>3450</c:v>
                </c:pt>
                <c:pt idx="2">
                  <c:v>-3650</c:v>
                </c:pt>
                <c:pt idx="3">
                  <c:v>-1250</c:v>
                </c:pt>
                <c:pt idx="4">
                  <c:v>11266.666666666666</c:v>
                </c:pt>
                <c:pt idx="5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99-4C20-B246-307BA0F11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ほたに2!$C$3:$C$7</c:f>
              <c:numCache>
                <c:formatCode>\+0.0;\-0.0;\±0</c:formatCode>
                <c:ptCount val="5"/>
                <c:pt idx="1">
                  <c:v>-12.5</c:v>
                </c:pt>
                <c:pt idx="2">
                  <c:v>-14.05</c:v>
                </c:pt>
                <c:pt idx="3">
                  <c:v>-6.8000000000000007</c:v>
                </c:pt>
                <c:pt idx="4">
                  <c:v>4.8499999999999988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ほたに2!$D$3:$D$7</c:f>
              <c:numCache>
                <c:formatCode>0.00\ "位"</c:formatCode>
                <c:ptCount val="5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ほたに2!$F$3:$F$7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ほたに2!$G$3:$G$7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ほたに2!$H$3:$H$7</c:f>
              <c:numCache>
                <c:formatCode>0</c:formatCode>
                <c:ptCount val="5"/>
                <c:pt idx="1">
                  <c:v>12000</c:v>
                </c:pt>
                <c:pt idx="2">
                  <c:v>10566.666666666666</c:v>
                </c:pt>
                <c:pt idx="3">
                  <c:v>12340</c:v>
                </c:pt>
                <c:pt idx="4">
                  <c:v>9555.5555555555547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ほたに2!$I$3:$I$7</c:f>
              <c:numCache>
                <c:formatCode>0</c:formatCode>
                <c:ptCount val="5"/>
                <c:pt idx="1">
                  <c:v>-3250</c:v>
                </c:pt>
                <c:pt idx="2">
                  <c:v>-6166.666666666667</c:v>
                </c:pt>
                <c:pt idx="3">
                  <c:v>-5880</c:v>
                </c:pt>
                <c:pt idx="4">
                  <c:v>-5866.666666666667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ほたに2!$J$3:$J$7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ほたに2!$K$3:$K$7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ほたに2!$M$3:$M$7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0.30555555555555558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ほたに2!$N$3:$N$7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0.35294117647058826</c:v>
                </c:pt>
                <c:pt idx="3">
                  <c:v>0.32142857142857145</c:v>
                </c:pt>
                <c:pt idx="4">
                  <c:v>0.27777777777777779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ほたに2!$O$3:$O$7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0.4</c:v>
                </c:pt>
                <c:pt idx="4">
                  <c:v>0.54545454545454541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ほたに2!$P$3:$P$7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ほたに2!$Q$3:$Q$7</c:f>
              <c:numCache>
                <c:formatCode>0.0%</c:formatCode>
                <c:ptCount val="5"/>
                <c:pt idx="1">
                  <c:v>0.5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5EDC721-45A8-4781-B1BD-61720530EF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7433CAE-DACC-49F7-ABBF-3C93ED2917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2158E63-164C-4856-B40C-A182D2244C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D790E3B-6ED3-4314-A8AD-406BA8FC5D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A11B8C8-D5AF-4A3D-A11F-B882C46552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DD89550-31AC-433E-B9AA-22D9C5201D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2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3" customWidth="1"/>
    <col min="13" max="13" width="3.625" style="1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1"/>
  </cols>
  <sheetData>
    <row r="1" spans="1:17" x14ac:dyDescent="0.4">
      <c r="A1" s="20" t="s">
        <v>0</v>
      </c>
      <c r="B1" s="143"/>
      <c r="C1" s="144"/>
      <c r="E1" s="133" t="s">
        <v>175</v>
      </c>
      <c r="F1" s="12" t="s">
        <v>118</v>
      </c>
      <c r="G1" s="26" t="s">
        <v>119</v>
      </c>
      <c r="H1" s="134" t="s">
        <v>120</v>
      </c>
      <c r="I1" s="104" t="s">
        <v>159</v>
      </c>
      <c r="K1" s="2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164</v>
      </c>
    </row>
    <row r="2" spans="1:17" x14ac:dyDescent="0.4">
      <c r="A2" s="21" t="s">
        <v>9</v>
      </c>
      <c r="B2" s="145">
        <v>0</v>
      </c>
      <c r="C2" s="146"/>
      <c r="E2" s="62" t="s">
        <v>66</v>
      </c>
      <c r="F2" s="27" t="s">
        <v>21</v>
      </c>
      <c r="G2" s="14">
        <v>0</v>
      </c>
      <c r="H2" s="136">
        <f t="shared" ref="H2:H32" si="0">IF(B$27=0,0,G2/B$27)</f>
        <v>0</v>
      </c>
      <c r="I2" s="97"/>
      <c r="K2" s="3">
        <v>0</v>
      </c>
      <c r="L2" s="102">
        <v>0</v>
      </c>
      <c r="N2" s="118" t="s">
        <v>136</v>
      </c>
      <c r="O2" s="125">
        <f t="shared" ref="O2:O7" si="1">IF(P2=0,0,Q2/P2)</f>
        <v>0</v>
      </c>
      <c r="P2" s="122">
        <v>0</v>
      </c>
      <c r="Q2" s="106">
        <v>0</v>
      </c>
    </row>
    <row r="3" spans="1:17" x14ac:dyDescent="0.4">
      <c r="A3" s="22" t="s">
        <v>8</v>
      </c>
      <c r="B3" s="147">
        <v>0</v>
      </c>
      <c r="C3" s="148"/>
      <c r="E3" s="63" t="s">
        <v>67</v>
      </c>
      <c r="F3" s="28" t="s">
        <v>22</v>
      </c>
      <c r="G3" s="15">
        <v>0</v>
      </c>
      <c r="H3" s="137">
        <f t="shared" si="0"/>
        <v>0</v>
      </c>
      <c r="I3" s="98"/>
      <c r="N3" s="119" t="s">
        <v>137</v>
      </c>
      <c r="O3" s="126">
        <f t="shared" si="1"/>
        <v>0</v>
      </c>
      <c r="P3" s="123">
        <v>0</v>
      </c>
      <c r="Q3" s="107">
        <v>0</v>
      </c>
    </row>
    <row r="4" spans="1:17" x14ac:dyDescent="0.4">
      <c r="A4" s="22" t="s">
        <v>6</v>
      </c>
      <c r="B4" s="149">
        <v>0</v>
      </c>
      <c r="C4" s="150"/>
      <c r="E4" s="63" t="s">
        <v>68</v>
      </c>
      <c r="F4" s="28" t="s">
        <v>23</v>
      </c>
      <c r="G4" s="15">
        <v>0</v>
      </c>
      <c r="H4" s="137">
        <f t="shared" si="0"/>
        <v>0</v>
      </c>
      <c r="I4" s="98"/>
      <c r="N4" s="119" t="s">
        <v>138</v>
      </c>
      <c r="O4" s="126">
        <f t="shared" si="1"/>
        <v>0</v>
      </c>
      <c r="P4" s="123">
        <v>0</v>
      </c>
      <c r="Q4" s="107">
        <v>0</v>
      </c>
    </row>
    <row r="5" spans="1:17" x14ac:dyDescent="0.4">
      <c r="A5" s="22" t="s">
        <v>7</v>
      </c>
      <c r="B5" s="151">
        <f>IF(B$2=0,0,B$4/B$2)</f>
        <v>0</v>
      </c>
      <c r="C5" s="152"/>
      <c r="E5" s="63" t="s">
        <v>69</v>
      </c>
      <c r="F5" s="28" t="s">
        <v>24</v>
      </c>
      <c r="G5" s="15">
        <v>0</v>
      </c>
      <c r="H5" s="137">
        <f t="shared" si="0"/>
        <v>0</v>
      </c>
      <c r="I5" s="98"/>
      <c r="N5" s="119" t="s">
        <v>139</v>
      </c>
      <c r="O5" s="126">
        <f t="shared" si="1"/>
        <v>0</v>
      </c>
      <c r="P5" s="123">
        <v>0</v>
      </c>
      <c r="Q5" s="107">
        <v>0</v>
      </c>
    </row>
    <row r="6" spans="1:17" x14ac:dyDescent="0.4">
      <c r="A6" s="22" t="s">
        <v>1</v>
      </c>
      <c r="B6" s="157">
        <f>IF(B$2=0,0,(B$7*1+B$8*2+B$9*3)/B$2)</f>
        <v>0</v>
      </c>
      <c r="C6" s="158"/>
      <c r="E6" s="63" t="s">
        <v>70</v>
      </c>
      <c r="F6" s="28" t="s">
        <v>12</v>
      </c>
      <c r="G6" s="15">
        <v>0</v>
      </c>
      <c r="H6" s="137">
        <f t="shared" si="0"/>
        <v>0</v>
      </c>
      <c r="I6" s="98"/>
      <c r="N6" s="119" t="s">
        <v>140</v>
      </c>
      <c r="O6" s="126">
        <f t="shared" si="1"/>
        <v>0</v>
      </c>
      <c r="P6" s="123">
        <v>0</v>
      </c>
      <c r="Q6" s="107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71</v>
      </c>
      <c r="F7" s="28" t="s">
        <v>25</v>
      </c>
      <c r="G7" s="15">
        <v>0</v>
      </c>
      <c r="H7" s="137">
        <f t="shared" si="0"/>
        <v>0</v>
      </c>
      <c r="I7" s="98"/>
      <c r="N7" s="120" t="s">
        <v>141</v>
      </c>
      <c r="O7" s="127">
        <f t="shared" si="1"/>
        <v>0</v>
      </c>
      <c r="P7" s="124">
        <v>0</v>
      </c>
      <c r="Q7" s="108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72</v>
      </c>
      <c r="F8" s="28" t="s">
        <v>26</v>
      </c>
      <c r="G8" s="15">
        <v>0</v>
      </c>
      <c r="H8" s="137">
        <f t="shared" si="0"/>
        <v>0</v>
      </c>
      <c r="I8" s="98"/>
      <c r="N8" s="43"/>
      <c r="O8" s="131"/>
      <c r="P8" s="115"/>
      <c r="Q8" s="113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73</v>
      </c>
      <c r="F9" s="28" t="s">
        <v>27</v>
      </c>
      <c r="G9" s="15">
        <v>0</v>
      </c>
      <c r="H9" s="137">
        <f t="shared" si="0"/>
        <v>0</v>
      </c>
      <c r="I9" s="98"/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74</v>
      </c>
      <c r="F10" s="28" t="s">
        <v>28</v>
      </c>
      <c r="G10" s="15">
        <v>0</v>
      </c>
      <c r="H10" s="137">
        <f t="shared" si="0"/>
        <v>0</v>
      </c>
      <c r="I10" s="98"/>
      <c r="N10" s="118" t="s">
        <v>172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75</v>
      </c>
      <c r="F11" s="28" t="s">
        <v>29</v>
      </c>
      <c r="G11" s="15">
        <v>0</v>
      </c>
      <c r="H11" s="137">
        <f t="shared" si="0"/>
        <v>0</v>
      </c>
      <c r="I11" s="98"/>
      <c r="N11" s="119" t="s">
        <v>173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76</v>
      </c>
      <c r="F12" s="28" t="s">
        <v>30</v>
      </c>
      <c r="G12" s="15">
        <v>0</v>
      </c>
      <c r="H12" s="137">
        <f t="shared" si="0"/>
        <v>0</v>
      </c>
      <c r="I12" s="98"/>
      <c r="N12" s="120" t="s">
        <v>174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25" t="s">
        <v>126</v>
      </c>
      <c r="B13" s="17">
        <v>0</v>
      </c>
      <c r="C13" s="11">
        <f>IF(B$26=0,0,B13/B$26)</f>
        <v>0</v>
      </c>
      <c r="E13" s="63" t="s">
        <v>77</v>
      </c>
      <c r="F13" s="28" t="s">
        <v>31</v>
      </c>
      <c r="G13" s="15">
        <v>0</v>
      </c>
      <c r="H13" s="137">
        <f t="shared" si="0"/>
        <v>0</v>
      </c>
      <c r="I13" s="98"/>
      <c r="N13" s="33"/>
      <c r="O13" s="114"/>
      <c r="P13" s="116"/>
      <c r="Q13" s="114"/>
    </row>
    <row r="14" spans="1:17" x14ac:dyDescent="0.4">
      <c r="A14" s="22" t="s">
        <v>121</v>
      </c>
      <c r="B14" s="15">
        <v>0</v>
      </c>
      <c r="C14" s="6">
        <f>IF(B$26=0,0,B14/B$26)</f>
        <v>0</v>
      </c>
      <c r="E14" s="63" t="s">
        <v>78</v>
      </c>
      <c r="F14" s="28" t="s">
        <v>32</v>
      </c>
      <c r="G14" s="15">
        <v>0</v>
      </c>
      <c r="H14" s="137">
        <f t="shared" si="0"/>
        <v>0</v>
      </c>
      <c r="I14" s="98"/>
      <c r="N14" s="117" t="s">
        <v>160</v>
      </c>
      <c r="O14" s="34" t="s">
        <v>161</v>
      </c>
      <c r="P14" s="121" t="s">
        <v>162</v>
      </c>
      <c r="Q14" s="109" t="s">
        <v>163</v>
      </c>
    </row>
    <row r="15" spans="1:17" x14ac:dyDescent="0.4">
      <c r="A15" s="21" t="s">
        <v>128</v>
      </c>
      <c r="B15" s="14">
        <v>0</v>
      </c>
      <c r="C15" s="4">
        <f>IF(B$13=0,0,B15/B$13)</f>
        <v>0</v>
      </c>
      <c r="E15" s="63" t="s">
        <v>79</v>
      </c>
      <c r="F15" s="28" t="s">
        <v>33</v>
      </c>
      <c r="G15" s="15">
        <v>0</v>
      </c>
      <c r="H15" s="137">
        <f t="shared" si="0"/>
        <v>0</v>
      </c>
      <c r="I15" s="98"/>
      <c r="N15" s="118"/>
      <c r="O15" s="128"/>
      <c r="P15" s="122"/>
      <c r="Q15" s="110"/>
    </row>
    <row r="16" spans="1:17" x14ac:dyDescent="0.4">
      <c r="A16" s="21" t="s">
        <v>129</v>
      </c>
      <c r="B16" s="14">
        <v>0</v>
      </c>
      <c r="C16" s="4">
        <f>IF(B$14=0,0,B16/B$14)</f>
        <v>0</v>
      </c>
      <c r="E16" s="63" t="s">
        <v>80</v>
      </c>
      <c r="F16" s="28" t="s">
        <v>34</v>
      </c>
      <c r="G16" s="15">
        <v>0</v>
      </c>
      <c r="H16" s="137">
        <f t="shared" si="0"/>
        <v>0</v>
      </c>
      <c r="I16" s="98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81</v>
      </c>
      <c r="F17" s="28" t="s">
        <v>35</v>
      </c>
      <c r="G17" s="15">
        <v>0</v>
      </c>
      <c r="H17" s="137">
        <f t="shared" si="0"/>
        <v>0</v>
      </c>
      <c r="I17" s="98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82</v>
      </c>
      <c r="F18" s="28" t="s">
        <v>36</v>
      </c>
      <c r="G18" s="15">
        <v>0</v>
      </c>
      <c r="H18" s="137">
        <f t="shared" si="0"/>
        <v>0</v>
      </c>
      <c r="I18" s="98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83</v>
      </c>
      <c r="F19" s="28" t="s">
        <v>37</v>
      </c>
      <c r="G19" s="15">
        <v>0</v>
      </c>
      <c r="H19" s="137">
        <f t="shared" si="0"/>
        <v>0</v>
      </c>
      <c r="I19" s="98"/>
    </row>
    <row r="20" spans="1:9" x14ac:dyDescent="0.4">
      <c r="A20" s="22" t="s">
        <v>13</v>
      </c>
      <c r="B20" s="15">
        <v>0</v>
      </c>
      <c r="C20" s="6">
        <f>IF(B$3=0,0,B20/B$3)</f>
        <v>0</v>
      </c>
      <c r="E20" s="63" t="s">
        <v>84</v>
      </c>
      <c r="F20" s="28" t="s">
        <v>38</v>
      </c>
      <c r="G20" s="15">
        <v>0</v>
      </c>
      <c r="H20" s="137">
        <f t="shared" si="0"/>
        <v>0</v>
      </c>
      <c r="I20" s="98"/>
    </row>
    <row r="21" spans="1:9" x14ac:dyDescent="0.4">
      <c r="A21" s="22" t="s">
        <v>5</v>
      </c>
      <c r="B21" s="18">
        <f>IF(B$17=0,0,C21/B$17)</f>
        <v>0</v>
      </c>
      <c r="C21" s="8">
        <v>0</v>
      </c>
      <c r="E21" s="63" t="s">
        <v>85</v>
      </c>
      <c r="F21" s="28" t="s">
        <v>39</v>
      </c>
      <c r="G21" s="15">
        <v>0</v>
      </c>
      <c r="H21" s="137">
        <f t="shared" si="0"/>
        <v>0</v>
      </c>
      <c r="I21" s="98"/>
    </row>
    <row r="22" spans="1:9" x14ac:dyDescent="0.4">
      <c r="A22" s="24" t="s">
        <v>14</v>
      </c>
      <c r="B22" s="19">
        <f>IF(B$20=0,0,C22/B$20)</f>
        <v>0</v>
      </c>
      <c r="C22" s="13">
        <v>0</v>
      </c>
      <c r="E22" s="63" t="s">
        <v>86</v>
      </c>
      <c r="F22" s="28" t="s">
        <v>40</v>
      </c>
      <c r="G22" s="15">
        <v>0</v>
      </c>
      <c r="H22" s="137">
        <f t="shared" si="0"/>
        <v>0</v>
      </c>
      <c r="I22" s="98"/>
    </row>
    <row r="23" spans="1:9" x14ac:dyDescent="0.4">
      <c r="A23" s="94" t="s">
        <v>146</v>
      </c>
      <c r="B23" s="155">
        <v>0</v>
      </c>
      <c r="C23" s="156"/>
      <c r="E23" s="63" t="s">
        <v>87</v>
      </c>
      <c r="F23" s="28" t="s">
        <v>41</v>
      </c>
      <c r="G23" s="15">
        <v>0</v>
      </c>
      <c r="H23" s="137">
        <f t="shared" si="0"/>
        <v>0</v>
      </c>
      <c r="I23" s="98"/>
    </row>
    <row r="24" spans="1:9" x14ac:dyDescent="0.4">
      <c r="A24" s="58" t="s">
        <v>157</v>
      </c>
      <c r="B24" s="153">
        <v>0</v>
      </c>
      <c r="C24" s="154"/>
      <c r="E24" s="63" t="s">
        <v>88</v>
      </c>
      <c r="F24" s="28" t="s">
        <v>42</v>
      </c>
      <c r="G24" s="15">
        <v>0</v>
      </c>
      <c r="H24" s="137">
        <f t="shared" si="0"/>
        <v>0</v>
      </c>
      <c r="I24" s="98"/>
    </row>
    <row r="25" spans="1:9" x14ac:dyDescent="0.4">
      <c r="A25" s="24" t="s">
        <v>147</v>
      </c>
      <c r="B25" s="32">
        <v>0</v>
      </c>
      <c r="C25" s="9">
        <f>IF(B$3=0,0,B25/B$3)</f>
        <v>0</v>
      </c>
      <c r="E25" s="63" t="s">
        <v>89</v>
      </c>
      <c r="F25" s="28" t="s">
        <v>43</v>
      </c>
      <c r="G25" s="15">
        <v>0</v>
      </c>
      <c r="H25" s="137">
        <f t="shared" si="0"/>
        <v>0</v>
      </c>
      <c r="I25" s="98"/>
    </row>
    <row r="26" spans="1:9" x14ac:dyDescent="0.4">
      <c r="A26" s="21" t="s">
        <v>124</v>
      </c>
      <c r="B26" s="145">
        <v>0</v>
      </c>
      <c r="C26" s="146"/>
      <c r="E26" s="63" t="s">
        <v>90</v>
      </c>
      <c r="F26" s="28" t="s">
        <v>44</v>
      </c>
      <c r="G26" s="15">
        <v>0</v>
      </c>
      <c r="H26" s="137">
        <f t="shared" si="0"/>
        <v>0</v>
      </c>
      <c r="I26" s="98"/>
    </row>
    <row r="27" spans="1:9" x14ac:dyDescent="0.4">
      <c r="A27" s="24" t="s">
        <v>125</v>
      </c>
      <c r="B27" s="159">
        <v>0</v>
      </c>
      <c r="C27" s="160"/>
      <c r="E27" s="63" t="s">
        <v>91</v>
      </c>
      <c r="F27" s="28" t="s">
        <v>45</v>
      </c>
      <c r="G27" s="15">
        <v>0</v>
      </c>
      <c r="H27" s="137">
        <f t="shared" si="0"/>
        <v>0</v>
      </c>
      <c r="I27" s="98"/>
    </row>
    <row r="28" spans="1:9" x14ac:dyDescent="0.4">
      <c r="E28" s="63" t="s">
        <v>92</v>
      </c>
      <c r="F28" s="28" t="s">
        <v>46</v>
      </c>
      <c r="G28" s="15">
        <v>0</v>
      </c>
      <c r="H28" s="137">
        <f t="shared" si="0"/>
        <v>0</v>
      </c>
      <c r="I28" s="98"/>
    </row>
    <row r="29" spans="1:9" x14ac:dyDescent="0.4">
      <c r="E29" s="63" t="s">
        <v>93</v>
      </c>
      <c r="F29" s="28" t="s">
        <v>47</v>
      </c>
      <c r="G29" s="15">
        <v>0</v>
      </c>
      <c r="H29" s="137">
        <f t="shared" si="0"/>
        <v>0</v>
      </c>
      <c r="I29" s="98"/>
    </row>
    <row r="30" spans="1:9" x14ac:dyDescent="0.4">
      <c r="E30" s="63" t="s">
        <v>94</v>
      </c>
      <c r="F30" s="28" t="s">
        <v>48</v>
      </c>
      <c r="G30" s="15">
        <v>0</v>
      </c>
      <c r="H30" s="137">
        <f t="shared" si="0"/>
        <v>0</v>
      </c>
      <c r="I30" s="98"/>
    </row>
    <row r="31" spans="1:9" x14ac:dyDescent="0.4">
      <c r="E31" s="63" t="s">
        <v>95</v>
      </c>
      <c r="F31" s="28" t="s">
        <v>49</v>
      </c>
      <c r="G31" s="15">
        <v>0</v>
      </c>
      <c r="H31" s="137">
        <f t="shared" si="0"/>
        <v>0</v>
      </c>
      <c r="I31" s="98"/>
    </row>
    <row r="32" spans="1:9" x14ac:dyDescent="0.4">
      <c r="E32" s="63" t="s">
        <v>96</v>
      </c>
      <c r="F32" s="28" t="s">
        <v>50</v>
      </c>
      <c r="G32" s="15">
        <v>0</v>
      </c>
      <c r="H32" s="137">
        <f t="shared" si="0"/>
        <v>0</v>
      </c>
      <c r="I32" s="98"/>
    </row>
    <row r="33" spans="5:9" x14ac:dyDescent="0.4">
      <c r="E33" s="63" t="s">
        <v>97</v>
      </c>
      <c r="F33" s="28" t="s">
        <v>51</v>
      </c>
      <c r="G33" s="15">
        <v>0</v>
      </c>
      <c r="H33" s="137">
        <f t="shared" ref="H33:H50" si="3">IF(B$27=0,0,G33/B$27)</f>
        <v>0</v>
      </c>
      <c r="I33" s="98"/>
    </row>
    <row r="34" spans="5:9" x14ac:dyDescent="0.4">
      <c r="E34" s="63" t="s">
        <v>98</v>
      </c>
      <c r="F34" s="28" t="s">
        <v>52</v>
      </c>
      <c r="G34" s="15">
        <v>0</v>
      </c>
      <c r="H34" s="137">
        <f t="shared" si="3"/>
        <v>0</v>
      </c>
      <c r="I34" s="98"/>
    </row>
    <row r="35" spans="5:9" x14ac:dyDescent="0.4">
      <c r="E35" s="63" t="s">
        <v>99</v>
      </c>
      <c r="F35" s="28" t="s">
        <v>53</v>
      </c>
      <c r="G35" s="15">
        <v>0</v>
      </c>
      <c r="H35" s="137">
        <f t="shared" si="3"/>
        <v>0</v>
      </c>
      <c r="I35" s="98"/>
    </row>
    <row r="36" spans="5:9" x14ac:dyDescent="0.4">
      <c r="E36" s="63" t="s">
        <v>100</v>
      </c>
      <c r="F36" s="28" t="s">
        <v>54</v>
      </c>
      <c r="G36" s="15">
        <v>0</v>
      </c>
      <c r="H36" s="137">
        <f t="shared" si="3"/>
        <v>0</v>
      </c>
      <c r="I36" s="98"/>
    </row>
    <row r="37" spans="5:9" x14ac:dyDescent="0.4">
      <c r="E37" s="63" t="s">
        <v>101</v>
      </c>
      <c r="F37" s="28" t="s">
        <v>55</v>
      </c>
      <c r="G37" s="15">
        <v>0</v>
      </c>
      <c r="H37" s="137">
        <f t="shared" si="3"/>
        <v>0</v>
      </c>
      <c r="I37" s="98"/>
    </row>
    <row r="38" spans="5:9" x14ac:dyDescent="0.4">
      <c r="E38" s="63" t="s">
        <v>102</v>
      </c>
      <c r="F38" s="28" t="s">
        <v>56</v>
      </c>
      <c r="G38" s="15">
        <v>0</v>
      </c>
      <c r="H38" s="137">
        <f t="shared" si="3"/>
        <v>0</v>
      </c>
      <c r="I38" s="98"/>
    </row>
    <row r="39" spans="5:9" x14ac:dyDescent="0.4">
      <c r="E39" s="63" t="s">
        <v>103</v>
      </c>
      <c r="F39" s="28" t="s">
        <v>57</v>
      </c>
      <c r="G39" s="15">
        <v>0</v>
      </c>
      <c r="H39" s="137">
        <f t="shared" si="3"/>
        <v>0</v>
      </c>
      <c r="I39" s="98"/>
    </row>
    <row r="40" spans="5:9" x14ac:dyDescent="0.4">
      <c r="E40" s="63" t="s">
        <v>104</v>
      </c>
      <c r="F40" s="28" t="s">
        <v>58</v>
      </c>
      <c r="G40" s="15">
        <v>0</v>
      </c>
      <c r="H40" s="137">
        <f t="shared" si="3"/>
        <v>0</v>
      </c>
      <c r="I40" s="98"/>
    </row>
    <row r="41" spans="5:9" x14ac:dyDescent="0.4">
      <c r="E41" s="63" t="s">
        <v>105</v>
      </c>
      <c r="F41" s="28" t="s">
        <v>59</v>
      </c>
      <c r="G41" s="15">
        <v>0</v>
      </c>
      <c r="H41" s="137">
        <f t="shared" si="3"/>
        <v>0</v>
      </c>
      <c r="I41" s="98"/>
    </row>
    <row r="42" spans="5:9" x14ac:dyDescent="0.4">
      <c r="E42" s="63" t="s">
        <v>106</v>
      </c>
      <c r="F42" s="28" t="s">
        <v>60</v>
      </c>
      <c r="G42" s="15">
        <v>0</v>
      </c>
      <c r="H42" s="137">
        <f t="shared" si="3"/>
        <v>0</v>
      </c>
      <c r="I42" s="98"/>
    </row>
    <row r="43" spans="5:9" x14ac:dyDescent="0.4">
      <c r="E43" s="63" t="s">
        <v>107</v>
      </c>
      <c r="F43" s="28" t="s">
        <v>61</v>
      </c>
      <c r="G43" s="15">
        <v>0</v>
      </c>
      <c r="H43" s="137">
        <f t="shared" si="3"/>
        <v>0</v>
      </c>
      <c r="I43" s="98"/>
    </row>
    <row r="44" spans="5:9" x14ac:dyDescent="0.4">
      <c r="E44" s="63" t="s">
        <v>108</v>
      </c>
      <c r="F44" s="28" t="s">
        <v>115</v>
      </c>
      <c r="G44" s="15">
        <v>0</v>
      </c>
      <c r="H44" s="137">
        <f t="shared" si="3"/>
        <v>0</v>
      </c>
      <c r="I44" s="98"/>
    </row>
    <row r="45" spans="5:9" x14ac:dyDescent="0.4">
      <c r="E45" s="63" t="s">
        <v>109</v>
      </c>
      <c r="F45" s="28" t="s">
        <v>116</v>
      </c>
      <c r="G45" s="15">
        <v>0</v>
      </c>
      <c r="H45" s="137">
        <f t="shared" si="3"/>
        <v>0</v>
      </c>
      <c r="I45" s="98"/>
    </row>
    <row r="46" spans="5:9" x14ac:dyDescent="0.4">
      <c r="E46" s="63" t="s">
        <v>110</v>
      </c>
      <c r="F46" s="28" t="s">
        <v>117</v>
      </c>
      <c r="G46" s="15">
        <v>0</v>
      </c>
      <c r="H46" s="137">
        <f t="shared" si="3"/>
        <v>0</v>
      </c>
      <c r="I46" s="98"/>
    </row>
    <row r="47" spans="5:9" x14ac:dyDescent="0.4">
      <c r="E47" s="63" t="s">
        <v>111</v>
      </c>
      <c r="F47" s="28" t="s">
        <v>62</v>
      </c>
      <c r="G47" s="15">
        <v>0</v>
      </c>
      <c r="H47" s="137">
        <f t="shared" si="3"/>
        <v>0</v>
      </c>
      <c r="I47" s="98"/>
    </row>
    <row r="48" spans="5:9" x14ac:dyDescent="0.4">
      <c r="E48" s="63" t="s">
        <v>112</v>
      </c>
      <c r="F48" s="28" t="s">
        <v>63</v>
      </c>
      <c r="G48" s="15">
        <v>0</v>
      </c>
      <c r="H48" s="137">
        <f t="shared" si="3"/>
        <v>0</v>
      </c>
      <c r="I48" s="98"/>
    </row>
    <row r="49" spans="5:9" x14ac:dyDescent="0.4">
      <c r="E49" s="63" t="s">
        <v>113</v>
      </c>
      <c r="F49" s="28" t="s">
        <v>64</v>
      </c>
      <c r="G49" s="15">
        <v>0</v>
      </c>
      <c r="H49" s="137">
        <f t="shared" si="3"/>
        <v>0</v>
      </c>
      <c r="I49" s="98"/>
    </row>
    <row r="50" spans="5:9" x14ac:dyDescent="0.4">
      <c r="E50" s="63" t="s">
        <v>114</v>
      </c>
      <c r="F50" s="60" t="s">
        <v>65</v>
      </c>
      <c r="G50" s="47">
        <v>0</v>
      </c>
      <c r="H50" s="137">
        <f t="shared" si="3"/>
        <v>0</v>
      </c>
      <c r="I50" s="98"/>
    </row>
    <row r="51" spans="5:9" x14ac:dyDescent="0.4">
      <c r="E51" s="63" t="s">
        <v>188</v>
      </c>
      <c r="F51" s="60" t="s">
        <v>191</v>
      </c>
      <c r="G51" s="47">
        <v>0</v>
      </c>
      <c r="H51" s="137">
        <f t="shared" ref="H51:H52" si="4">IF(B$27=0,0,G51/B$27)</f>
        <v>0</v>
      </c>
      <c r="I51" s="98"/>
    </row>
    <row r="52" spans="5:9" x14ac:dyDescent="0.4">
      <c r="E52" s="64" t="s">
        <v>189</v>
      </c>
      <c r="F52" s="61" t="s">
        <v>190</v>
      </c>
      <c r="G52" s="49">
        <v>0</v>
      </c>
      <c r="H52" s="138">
        <f t="shared" si="4"/>
        <v>0</v>
      </c>
      <c r="I52" s="99"/>
    </row>
  </sheetData>
  <mergeCells count="10">
    <mergeCell ref="B24:C24"/>
    <mergeCell ref="B23:C23"/>
    <mergeCell ref="B6:C6"/>
    <mergeCell ref="B26:C26"/>
    <mergeCell ref="B27:C27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27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176</v>
      </c>
      <c r="B2" s="31">
        <v>43561.52239583333</v>
      </c>
      <c r="C2" s="30" t="s">
        <v>134</v>
      </c>
      <c r="D2" s="30" t="s">
        <v>135</v>
      </c>
      <c r="E2" s="30" t="s">
        <v>177</v>
      </c>
    </row>
    <row r="3" spans="1:10" x14ac:dyDescent="0.4">
      <c r="A3" s="30" t="s">
        <v>178</v>
      </c>
      <c r="B3" s="31">
        <v>43561.52239583333</v>
      </c>
      <c r="C3" s="30" t="s">
        <v>134</v>
      </c>
      <c r="D3" s="30" t="s">
        <v>135</v>
      </c>
      <c r="E3" s="30" t="s">
        <v>177</v>
      </c>
      <c r="F3" s="30" t="s">
        <v>182</v>
      </c>
      <c r="G3" s="30" t="s">
        <v>183</v>
      </c>
    </row>
    <row r="4" spans="1:10" x14ac:dyDescent="0.4">
      <c r="A4" s="30" t="s">
        <v>184</v>
      </c>
      <c r="B4" s="31">
        <v>43561.52239583333</v>
      </c>
      <c r="C4" s="30" t="s">
        <v>134</v>
      </c>
      <c r="D4" s="30" t="s">
        <v>135</v>
      </c>
      <c r="E4" s="30" t="s">
        <v>177</v>
      </c>
    </row>
    <row r="5" spans="1:10" x14ac:dyDescent="0.4">
      <c r="A5" s="30" t="s">
        <v>186</v>
      </c>
      <c r="B5" s="31">
        <v>43561.52239583333</v>
      </c>
      <c r="C5" s="30" t="s">
        <v>134</v>
      </c>
      <c r="D5" s="30" t="s">
        <v>135</v>
      </c>
      <c r="E5" s="30" t="s">
        <v>177</v>
      </c>
      <c r="F5" s="30" t="s">
        <v>182</v>
      </c>
    </row>
    <row r="6" spans="1:10" x14ac:dyDescent="0.4">
      <c r="A6" s="30" t="s">
        <v>187</v>
      </c>
      <c r="B6" s="31">
        <v>43561.52239583333</v>
      </c>
      <c r="C6" s="30" t="s">
        <v>134</v>
      </c>
      <c r="D6" s="30" t="s">
        <v>135</v>
      </c>
      <c r="E6" s="30" t="s">
        <v>177</v>
      </c>
      <c r="F6" s="30" t="s">
        <v>182</v>
      </c>
      <c r="G6" s="30" t="s">
        <v>183</v>
      </c>
    </row>
    <row r="7" spans="1:10" x14ac:dyDescent="0.4">
      <c r="A7" s="30" t="s">
        <v>192</v>
      </c>
      <c r="B7" s="31">
        <v>43584.053437499999</v>
      </c>
      <c r="C7" s="30" t="s">
        <v>134</v>
      </c>
      <c r="D7" s="30" t="s">
        <v>135</v>
      </c>
    </row>
    <row r="8" spans="1:10" x14ac:dyDescent="0.4">
      <c r="A8" s="30" t="s">
        <v>193</v>
      </c>
      <c r="B8" s="31">
        <v>43584.414884259262</v>
      </c>
      <c r="C8" s="30" t="s">
        <v>134</v>
      </c>
      <c r="D8" s="30" t="s">
        <v>135</v>
      </c>
      <c r="E8" s="30" t="s">
        <v>177</v>
      </c>
      <c r="F8" s="30" t="s">
        <v>182</v>
      </c>
      <c r="G8" s="30" t="s">
        <v>183</v>
      </c>
      <c r="H8" s="30" t="s">
        <v>196</v>
      </c>
      <c r="I8" s="30" t="s">
        <v>197</v>
      </c>
      <c r="J8" s="30" t="s">
        <v>198</v>
      </c>
    </row>
    <row r="9" spans="1:10" x14ac:dyDescent="0.4">
      <c r="A9" s="30" t="s">
        <v>199</v>
      </c>
      <c r="B9" s="31">
        <v>43584.414884259262</v>
      </c>
      <c r="C9" s="30" t="s">
        <v>134</v>
      </c>
      <c r="D9" s="30" t="s">
        <v>135</v>
      </c>
      <c r="E9" s="30" t="s">
        <v>177</v>
      </c>
      <c r="F9" s="30" t="s">
        <v>182</v>
      </c>
      <c r="G9" s="30" t="s">
        <v>183</v>
      </c>
      <c r="H9" s="30" t="s">
        <v>196</v>
      </c>
      <c r="I9" s="30" t="s">
        <v>197</v>
      </c>
    </row>
    <row r="10" spans="1:10" x14ac:dyDescent="0.4">
      <c r="A10" s="30" t="s">
        <v>200</v>
      </c>
      <c r="B10" s="31">
        <v>43584.414884259262</v>
      </c>
      <c r="C10" s="30" t="s">
        <v>134</v>
      </c>
      <c r="D10" s="30" t="s">
        <v>135</v>
      </c>
    </row>
    <row r="11" spans="1:10" x14ac:dyDescent="0.4">
      <c r="A11" s="30" t="s">
        <v>201</v>
      </c>
      <c r="B11" s="31">
        <v>43584.414884259262</v>
      </c>
      <c r="C11" s="30" t="s">
        <v>134</v>
      </c>
      <c r="D11" s="30" t="s">
        <v>135</v>
      </c>
      <c r="E11" s="30" t="s">
        <v>177</v>
      </c>
      <c r="F11" s="30" t="s">
        <v>182</v>
      </c>
    </row>
    <row r="12" spans="1:10" x14ac:dyDescent="0.4">
      <c r="A12" s="30" t="s">
        <v>202</v>
      </c>
      <c r="B12" s="31">
        <v>43584.414884259262</v>
      </c>
      <c r="C12" s="30" t="s">
        <v>134</v>
      </c>
      <c r="D12" s="30" t="s">
        <v>135</v>
      </c>
      <c r="E12" s="30" t="s">
        <v>177</v>
      </c>
    </row>
    <row r="13" spans="1:10" x14ac:dyDescent="0.4">
      <c r="A13" s="30" t="s">
        <v>203</v>
      </c>
      <c r="B13" s="31">
        <v>43584.414884259262</v>
      </c>
      <c r="C13" s="30" t="s">
        <v>134</v>
      </c>
      <c r="D13" s="30" t="s">
        <v>135</v>
      </c>
      <c r="E13" s="30" t="s">
        <v>177</v>
      </c>
      <c r="F13" s="30" t="s">
        <v>182</v>
      </c>
      <c r="G13" s="30" t="s">
        <v>183</v>
      </c>
    </row>
    <row r="14" spans="1:10" x14ac:dyDescent="0.4">
      <c r="A14" s="30" t="s">
        <v>204</v>
      </c>
      <c r="B14" s="31">
        <v>43584.414884259262</v>
      </c>
      <c r="C14" s="30" t="s">
        <v>134</v>
      </c>
      <c r="D14" s="30" t="s">
        <v>135</v>
      </c>
      <c r="E14" s="30" t="s">
        <v>177</v>
      </c>
    </row>
    <row r="15" spans="1:10" x14ac:dyDescent="0.4">
      <c r="A15" s="30" t="s">
        <v>205</v>
      </c>
      <c r="B15" s="31">
        <v>43584.414884259262</v>
      </c>
      <c r="C15" s="30" t="s">
        <v>134</v>
      </c>
      <c r="D15" s="30" t="s">
        <v>135</v>
      </c>
      <c r="E15" s="30" t="s">
        <v>177</v>
      </c>
      <c r="F15" s="30" t="s">
        <v>182</v>
      </c>
      <c r="G15" s="30" t="s">
        <v>183</v>
      </c>
    </row>
    <row r="16" spans="1:10" x14ac:dyDescent="0.4">
      <c r="A16" s="30" t="s">
        <v>206</v>
      </c>
      <c r="B16" s="31">
        <v>43584.414884259262</v>
      </c>
      <c r="C16" s="30" t="s">
        <v>134</v>
      </c>
      <c r="D16" s="30" t="s">
        <v>135</v>
      </c>
      <c r="E16" s="30" t="s">
        <v>177</v>
      </c>
      <c r="F16" s="30" t="s">
        <v>182</v>
      </c>
      <c r="G16" s="30" t="s">
        <v>183</v>
      </c>
      <c r="H16" s="30" t="s">
        <v>196</v>
      </c>
    </row>
    <row r="17" spans="1:10" x14ac:dyDescent="0.4">
      <c r="A17" s="30" t="s">
        <v>207</v>
      </c>
      <c r="B17" s="31">
        <v>43584.414884259262</v>
      </c>
      <c r="C17" s="30" t="s">
        <v>134</v>
      </c>
      <c r="D17" s="30" t="s">
        <v>135</v>
      </c>
    </row>
    <row r="18" spans="1:10" x14ac:dyDescent="0.4">
      <c r="A18" s="30" t="s">
        <v>208</v>
      </c>
      <c r="B18" s="31">
        <v>43584.414884259262</v>
      </c>
      <c r="C18" s="30" t="s">
        <v>134</v>
      </c>
      <c r="D18" s="30" t="s">
        <v>135</v>
      </c>
      <c r="E18" s="30" t="s">
        <v>177</v>
      </c>
    </row>
    <row r="19" spans="1:10" x14ac:dyDescent="0.4">
      <c r="A19" s="30" t="s">
        <v>210</v>
      </c>
      <c r="B19" s="31">
        <v>43584.414884259262</v>
      </c>
      <c r="C19" s="30" t="s">
        <v>134</v>
      </c>
      <c r="D19" s="30" t="s">
        <v>135</v>
      </c>
      <c r="E19" s="30" t="s">
        <v>177</v>
      </c>
      <c r="F19" s="30" t="s">
        <v>182</v>
      </c>
      <c r="G19" s="30" t="s">
        <v>183</v>
      </c>
    </row>
    <row r="20" spans="1:10" x14ac:dyDescent="0.4">
      <c r="A20" s="30" t="s">
        <v>211</v>
      </c>
      <c r="B20" s="31">
        <v>43584.414884259262</v>
      </c>
      <c r="C20" s="30" t="s">
        <v>134</v>
      </c>
      <c r="D20" s="30" t="s">
        <v>135</v>
      </c>
      <c r="E20" s="30" t="s">
        <v>177</v>
      </c>
    </row>
    <row r="21" spans="1:10" x14ac:dyDescent="0.4">
      <c r="A21" s="30" t="s">
        <v>212</v>
      </c>
      <c r="B21" s="31">
        <v>43584.414884259262</v>
      </c>
      <c r="C21" s="30" t="s">
        <v>134</v>
      </c>
      <c r="D21" s="30" t="s">
        <v>135</v>
      </c>
      <c r="E21" s="30" t="s">
        <v>177</v>
      </c>
      <c r="F21" s="30" t="s">
        <v>182</v>
      </c>
      <c r="G21" s="30" t="s">
        <v>183</v>
      </c>
      <c r="H21" s="30" t="s">
        <v>196</v>
      </c>
    </row>
    <row r="22" spans="1:10" x14ac:dyDescent="0.4">
      <c r="A22" s="30" t="s">
        <v>213</v>
      </c>
      <c r="B22" s="31">
        <v>43584.414895833332</v>
      </c>
      <c r="C22" s="30" t="s">
        <v>134</v>
      </c>
      <c r="D22" s="30" t="s">
        <v>135</v>
      </c>
      <c r="E22" s="30" t="s">
        <v>177</v>
      </c>
      <c r="F22" s="30" t="s">
        <v>182</v>
      </c>
      <c r="G22" s="30" t="s">
        <v>183</v>
      </c>
      <c r="H22" s="30" t="s">
        <v>196</v>
      </c>
      <c r="I22" s="30" t="s">
        <v>197</v>
      </c>
      <c r="J22" s="30" t="s">
        <v>198</v>
      </c>
    </row>
    <row r="23" spans="1:10" x14ac:dyDescent="0.4">
      <c r="A23" s="30" t="s">
        <v>214</v>
      </c>
      <c r="B23" s="31">
        <v>43584.414895833332</v>
      </c>
      <c r="C23" s="30" t="s">
        <v>134</v>
      </c>
      <c r="D23" s="30" t="s">
        <v>135</v>
      </c>
      <c r="E23" s="30" t="s">
        <v>177</v>
      </c>
      <c r="F23" s="30" t="s">
        <v>182</v>
      </c>
    </row>
    <row r="24" spans="1:10" x14ac:dyDescent="0.4">
      <c r="A24" s="30" t="s">
        <v>215</v>
      </c>
      <c r="B24" s="31">
        <v>43584.414895833332</v>
      </c>
      <c r="C24" s="30" t="s">
        <v>134</v>
      </c>
      <c r="D24" s="30" t="s">
        <v>135</v>
      </c>
      <c r="E24" s="30" t="s">
        <v>177</v>
      </c>
    </row>
    <row r="25" spans="1:10" x14ac:dyDescent="0.4">
      <c r="A25" s="30" t="s">
        <v>216</v>
      </c>
      <c r="B25" s="31">
        <v>43584.414895833332</v>
      </c>
      <c r="C25" s="30" t="s">
        <v>134</v>
      </c>
      <c r="D25" s="30" t="s">
        <v>135</v>
      </c>
    </row>
    <row r="26" spans="1:10" x14ac:dyDescent="0.4">
      <c r="A26" s="30" t="s">
        <v>217</v>
      </c>
      <c r="B26" s="31">
        <v>43584.414895833332</v>
      </c>
      <c r="C26" s="30" t="s">
        <v>134</v>
      </c>
      <c r="D26" s="30" t="s">
        <v>135</v>
      </c>
      <c r="E26" s="30" t="s">
        <v>177</v>
      </c>
    </row>
    <row r="27" spans="1:10" x14ac:dyDescent="0.4">
      <c r="A27" s="30" t="s">
        <v>218</v>
      </c>
      <c r="B27" s="31">
        <v>43584.414895833332</v>
      </c>
      <c r="C27" s="30" t="s">
        <v>134</v>
      </c>
      <c r="D27" s="30" t="s">
        <v>135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149</v>
      </c>
    </row>
    <row r="2" spans="1:1" x14ac:dyDescent="0.4">
      <c r="A2" t="s">
        <v>131</v>
      </c>
    </row>
    <row r="3" spans="1:1" x14ac:dyDescent="0.4">
      <c r="A3" t="s">
        <v>132</v>
      </c>
    </row>
    <row r="4" spans="1:1" x14ac:dyDescent="0.4">
      <c r="A4" t="s">
        <v>133</v>
      </c>
    </row>
    <row r="5" spans="1:1" x14ac:dyDescent="0.4">
      <c r="A5" t="s">
        <v>179</v>
      </c>
    </row>
    <row r="6" spans="1:1" x14ac:dyDescent="0.4">
      <c r="A6" t="s">
        <v>180</v>
      </c>
    </row>
    <row r="7" spans="1:1" x14ac:dyDescent="0.4">
      <c r="A7" t="s">
        <v>181</v>
      </c>
    </row>
    <row r="8" spans="1:1" x14ac:dyDescent="0.4">
      <c r="A8" t="s">
        <v>185</v>
      </c>
    </row>
    <row r="9" spans="1:1" x14ac:dyDescent="0.4">
      <c r="A9" t="s">
        <v>194</v>
      </c>
    </row>
    <row r="10" spans="1:1" x14ac:dyDescent="0.4">
      <c r="A10" t="s">
        <v>195</v>
      </c>
    </row>
    <row r="11" spans="1:1" x14ac:dyDescent="0.4">
      <c r="A11" t="s">
        <v>209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3"/>
  <sheetViews>
    <sheetView showGridLines="0" tabSelected="1" zoomScale="200" zoomScaleNormal="200" workbookViewId="0">
      <selection activeCell="AC14" sqref="AC14"/>
    </sheetView>
  </sheetViews>
  <sheetFormatPr defaultColWidth="9" defaultRowHeight="18.75" x14ac:dyDescent="0.4"/>
  <cols>
    <col min="1" max="1" width="6" style="84" customWidth="1"/>
    <col min="2" max="2" width="10.75" style="85" customWidth="1"/>
    <col min="3" max="3" width="10.75" style="86" customWidth="1"/>
    <col min="4" max="4" width="10.75" style="87" customWidth="1"/>
    <col min="5" max="5" width="10.75" style="101" customWidth="1"/>
    <col min="6" max="6" width="10.75" style="87" customWidth="1"/>
    <col min="7" max="7" width="10.75" style="88" customWidth="1"/>
    <col min="8" max="8" width="10.75" style="87" customWidth="1"/>
    <col min="9" max="9" width="10.75" style="89" customWidth="1"/>
    <col min="10" max="10" width="10.75" style="87" customWidth="1"/>
    <col min="11" max="11" width="10.75" style="89" customWidth="1"/>
    <col min="12" max="12" width="10.75" style="87" customWidth="1"/>
    <col min="13" max="13" width="10.75" style="90" customWidth="1"/>
    <col min="14" max="14" width="10.75" style="87" customWidth="1"/>
    <col min="15" max="15" width="10.75" style="90" customWidth="1"/>
    <col min="16" max="16" width="10.75" style="87" customWidth="1"/>
    <col min="17" max="17" width="10.75" style="91" customWidth="1"/>
    <col min="18" max="18" width="10.75" style="87" customWidth="1"/>
    <col min="19" max="19" width="10.75" style="91" customWidth="1"/>
    <col min="20" max="20" width="10.75" style="87" customWidth="1"/>
    <col min="21" max="21" width="10.75" style="89" customWidth="1"/>
    <col min="22" max="22" width="10.75" style="87" customWidth="1"/>
    <col min="23" max="23" width="10.75" style="89" customWidth="1"/>
    <col min="24" max="24" width="10.75" style="87" customWidth="1"/>
    <col min="25" max="25" width="10.75" style="89" customWidth="1"/>
    <col min="26" max="26" width="10.75" style="87" customWidth="1"/>
    <col min="27" max="27" width="10.75" style="90" customWidth="1"/>
    <col min="28" max="28" width="10.75" style="87" customWidth="1"/>
    <col min="29" max="29" width="10.75" style="90" customWidth="1"/>
    <col min="30" max="30" width="10.75" style="87" customWidth="1"/>
    <col min="31" max="31" width="10.75" style="90" customWidth="1"/>
    <col min="32" max="32" width="10.75" style="87" customWidth="1"/>
    <col min="33" max="33" width="10.75" style="90" customWidth="1"/>
    <col min="34" max="34" width="10.75" style="87" customWidth="1"/>
    <col min="35" max="35" width="10.75" style="90" customWidth="1"/>
    <col min="36" max="36" width="10.75" style="87" customWidth="1"/>
    <col min="37" max="37" width="10.75" style="92" customWidth="1"/>
    <col min="38" max="38" width="10.75" style="87" customWidth="1"/>
    <col min="39" max="39" width="10.75" style="96" customWidth="1"/>
    <col min="40" max="40" width="10.75" style="87" customWidth="1"/>
    <col min="41" max="41" width="10.75" style="93" customWidth="1"/>
    <col min="42" max="16384" width="9" style="73"/>
  </cols>
  <sheetData>
    <row r="1" spans="1:41" x14ac:dyDescent="0.4">
      <c r="A1" s="72"/>
      <c r="B1" s="165" t="s">
        <v>6</v>
      </c>
      <c r="C1" s="166"/>
      <c r="D1" s="165" t="s">
        <v>7</v>
      </c>
      <c r="E1" s="166"/>
      <c r="F1" s="165" t="s">
        <v>16</v>
      </c>
      <c r="G1" s="166"/>
      <c r="H1" s="165" t="s">
        <v>15</v>
      </c>
      <c r="I1" s="166"/>
      <c r="J1" s="165" t="s">
        <v>169</v>
      </c>
      <c r="K1" s="166"/>
      <c r="L1" s="165" t="s">
        <v>153</v>
      </c>
      <c r="M1" s="166"/>
      <c r="N1" s="165" t="s">
        <v>154</v>
      </c>
      <c r="O1" s="166"/>
      <c r="P1" s="165" t="s">
        <v>5</v>
      </c>
      <c r="Q1" s="166"/>
      <c r="R1" s="165" t="s">
        <v>17</v>
      </c>
      <c r="S1" s="166"/>
      <c r="T1" s="165" t="s">
        <v>18</v>
      </c>
      <c r="U1" s="166"/>
      <c r="V1" s="165" t="s">
        <v>145</v>
      </c>
      <c r="W1" s="166"/>
      <c r="X1" s="165" t="s">
        <v>167</v>
      </c>
      <c r="Y1" s="166"/>
      <c r="Z1" s="165" t="s">
        <v>127</v>
      </c>
      <c r="AA1" s="166"/>
      <c r="AB1" s="165" t="s">
        <v>122</v>
      </c>
      <c r="AC1" s="166"/>
      <c r="AD1" s="165" t="s">
        <v>130</v>
      </c>
      <c r="AE1" s="166"/>
      <c r="AF1" s="165" t="s">
        <v>155</v>
      </c>
      <c r="AG1" s="166"/>
      <c r="AH1" s="165" t="s">
        <v>148</v>
      </c>
      <c r="AI1" s="166"/>
      <c r="AJ1" s="165" t="s">
        <v>156</v>
      </c>
      <c r="AK1" s="166"/>
      <c r="AL1" s="165" t="s">
        <v>158</v>
      </c>
      <c r="AM1" s="166"/>
      <c r="AN1" s="165" t="s">
        <v>170</v>
      </c>
      <c r="AO1" s="166"/>
    </row>
    <row r="2" spans="1:41" x14ac:dyDescent="0.4">
      <c r="A2" s="72" t="s">
        <v>168</v>
      </c>
      <c r="B2" s="163"/>
      <c r="C2" s="164"/>
      <c r="D2" s="163"/>
      <c r="E2" s="164"/>
      <c r="F2" s="161">
        <v>0.96558704380508231</v>
      </c>
      <c r="G2" s="162"/>
      <c r="H2" s="161">
        <v>0.90304810343056674</v>
      </c>
      <c r="I2" s="162"/>
      <c r="J2" s="161">
        <v>0.96185670275411828</v>
      </c>
      <c r="K2" s="162"/>
      <c r="L2" s="161">
        <v>0.88220632340086935</v>
      </c>
      <c r="M2" s="162"/>
      <c r="N2" s="161">
        <v>0.86806521797803171</v>
      </c>
      <c r="O2" s="162"/>
      <c r="P2" s="161">
        <v>0.28967521484295361</v>
      </c>
      <c r="Q2" s="162"/>
      <c r="R2" s="161">
        <v>0.47555404496151571</v>
      </c>
      <c r="S2" s="162"/>
      <c r="T2" s="161">
        <v>0.80410772005331099</v>
      </c>
      <c r="U2" s="162"/>
      <c r="V2" s="161">
        <v>0.83260926706572969</v>
      </c>
      <c r="W2" s="162"/>
      <c r="X2" s="161">
        <v>0.7059263358603024</v>
      </c>
      <c r="Y2" s="162"/>
      <c r="Z2" s="161">
        <v>0.62291804990196376</v>
      </c>
      <c r="AA2" s="162"/>
      <c r="AB2" s="161">
        <v>0.51460127303007286</v>
      </c>
      <c r="AC2" s="162"/>
      <c r="AD2" s="161">
        <v>0.72691315045060978</v>
      </c>
      <c r="AE2" s="162"/>
      <c r="AF2" s="161">
        <v>0.89084314676728704</v>
      </c>
      <c r="AG2" s="162"/>
      <c r="AH2" s="161">
        <v>-0.54960784206751623</v>
      </c>
      <c r="AI2" s="162"/>
      <c r="AJ2" s="161">
        <v>-3.2993051246612823E-2</v>
      </c>
      <c r="AK2" s="162"/>
      <c r="AL2" s="161">
        <v>0.5459190564181815</v>
      </c>
      <c r="AM2" s="162"/>
      <c r="AN2" s="161">
        <v>-0.15026387096539853</v>
      </c>
      <c r="AO2" s="162"/>
    </row>
    <row r="3" spans="1:41" x14ac:dyDescent="0.4">
      <c r="A3" s="74">
        <v>1</v>
      </c>
      <c r="B3" s="75" t="s">
        <v>131</v>
      </c>
      <c r="C3" s="76">
        <v>1588.9000000000005</v>
      </c>
      <c r="D3" s="77" t="s">
        <v>131</v>
      </c>
      <c r="E3" s="100">
        <v>21.765753424657543</v>
      </c>
      <c r="F3" s="77" t="s">
        <v>194</v>
      </c>
      <c r="G3" s="78">
        <v>1.3333333333333333</v>
      </c>
      <c r="H3" s="77" t="s">
        <v>194</v>
      </c>
      <c r="I3" s="79">
        <v>0.66666666666666663</v>
      </c>
      <c r="J3" s="77" t="s">
        <v>194</v>
      </c>
      <c r="K3" s="79">
        <v>0</v>
      </c>
      <c r="L3" s="77" t="s">
        <v>131</v>
      </c>
      <c r="M3" s="80">
        <v>0.39451114922813035</v>
      </c>
      <c r="N3" s="77" t="s">
        <v>194</v>
      </c>
      <c r="O3" s="80">
        <v>0.10526315789473684</v>
      </c>
      <c r="P3" s="77" t="s">
        <v>209</v>
      </c>
      <c r="Q3" s="81">
        <v>9555.5555555555547</v>
      </c>
      <c r="R3" s="77" t="s">
        <v>194</v>
      </c>
      <c r="S3" s="81">
        <v>-5150</v>
      </c>
      <c r="T3" s="77" t="s">
        <v>194</v>
      </c>
      <c r="U3" s="79">
        <v>0</v>
      </c>
      <c r="V3" s="77" t="s">
        <v>131</v>
      </c>
      <c r="W3" s="79">
        <v>0.19178082191780821</v>
      </c>
      <c r="X3" s="77" t="s">
        <v>131</v>
      </c>
      <c r="Y3" s="79">
        <v>0.21917808219178081</v>
      </c>
      <c r="Z3" s="77" t="s">
        <v>131</v>
      </c>
      <c r="AA3" s="80">
        <v>0.32590051457975988</v>
      </c>
      <c r="AB3" s="77" t="s">
        <v>180</v>
      </c>
      <c r="AC3" s="80">
        <v>0.3164983164983165</v>
      </c>
      <c r="AD3" s="77" t="s">
        <v>195</v>
      </c>
      <c r="AE3" s="80">
        <v>0.7142857142857143</v>
      </c>
      <c r="AF3" s="77" t="s">
        <v>131</v>
      </c>
      <c r="AG3" s="80">
        <v>0.53472222222222221</v>
      </c>
      <c r="AH3" s="77" t="s">
        <v>209</v>
      </c>
      <c r="AI3" s="80">
        <v>0.66666666666666663</v>
      </c>
      <c r="AJ3" s="77" t="s">
        <v>131</v>
      </c>
      <c r="AK3" s="82">
        <v>7</v>
      </c>
      <c r="AL3" s="77" t="s">
        <v>131</v>
      </c>
      <c r="AM3" s="95">
        <v>116000</v>
      </c>
      <c r="AN3" s="77" t="s">
        <v>149</v>
      </c>
      <c r="AO3" s="83">
        <v>9</v>
      </c>
    </row>
    <row r="4" spans="1:41" x14ac:dyDescent="0.4">
      <c r="A4" s="84">
        <v>2</v>
      </c>
      <c r="B4" s="85" t="s">
        <v>194</v>
      </c>
      <c r="C4" s="86">
        <v>61</v>
      </c>
      <c r="D4" s="87" t="s">
        <v>194</v>
      </c>
      <c r="E4" s="101">
        <v>20.333333333333332</v>
      </c>
      <c r="F4" s="87" t="s">
        <v>131</v>
      </c>
      <c r="G4" s="88">
        <v>1.5616438356164384</v>
      </c>
      <c r="H4" s="87" t="s">
        <v>131</v>
      </c>
      <c r="I4" s="89">
        <v>0.58904109589041098</v>
      </c>
      <c r="J4" s="87" t="s">
        <v>209</v>
      </c>
      <c r="K4" s="89">
        <v>0</v>
      </c>
      <c r="L4" s="87" t="s">
        <v>180</v>
      </c>
      <c r="M4" s="90">
        <v>0.35016835016835018</v>
      </c>
      <c r="N4" s="87" t="s">
        <v>131</v>
      </c>
      <c r="O4" s="90">
        <v>0.14579759862778729</v>
      </c>
      <c r="P4" s="87" t="s">
        <v>131</v>
      </c>
      <c r="Q4" s="91">
        <v>9301.7391304347821</v>
      </c>
      <c r="R4" s="87" t="s">
        <v>209</v>
      </c>
      <c r="S4" s="91">
        <v>-5866.666666666667</v>
      </c>
      <c r="T4" s="87" t="s">
        <v>209</v>
      </c>
      <c r="U4" s="89">
        <v>0</v>
      </c>
      <c r="V4" s="87" t="s">
        <v>180</v>
      </c>
      <c r="W4" s="89">
        <v>0.14285714285714285</v>
      </c>
      <c r="X4" s="87" t="s">
        <v>185</v>
      </c>
      <c r="Y4" s="89">
        <v>0.10526315789473684</v>
      </c>
      <c r="Z4" s="87" t="s">
        <v>209</v>
      </c>
      <c r="AA4" s="90">
        <v>0.30555555555555558</v>
      </c>
      <c r="AB4" s="87" t="s">
        <v>209</v>
      </c>
      <c r="AC4" s="90">
        <v>0.27777777777777779</v>
      </c>
      <c r="AD4" s="87" t="s">
        <v>132</v>
      </c>
      <c r="AE4" s="90">
        <v>0.6428571428571429</v>
      </c>
      <c r="AF4" s="87" t="s">
        <v>194</v>
      </c>
      <c r="AG4" s="90">
        <v>0.5</v>
      </c>
      <c r="AH4" s="87" t="s">
        <v>133</v>
      </c>
      <c r="AI4" s="90">
        <v>0.53061224489795922</v>
      </c>
      <c r="AJ4" s="87" t="s">
        <v>132</v>
      </c>
      <c r="AK4" s="92">
        <v>7</v>
      </c>
      <c r="AL4" s="87" t="s">
        <v>149</v>
      </c>
      <c r="AM4" s="96">
        <v>116000</v>
      </c>
      <c r="AN4" s="87" t="s">
        <v>132</v>
      </c>
      <c r="AO4" s="93">
        <v>4</v>
      </c>
    </row>
    <row r="5" spans="1:41" x14ac:dyDescent="0.4">
      <c r="A5" s="84">
        <v>3</v>
      </c>
      <c r="B5" s="85" t="s">
        <v>209</v>
      </c>
      <c r="C5" s="86">
        <v>19.399999999999995</v>
      </c>
      <c r="D5" s="87" t="s">
        <v>209</v>
      </c>
      <c r="E5" s="101">
        <v>4.8499999999999988</v>
      </c>
      <c r="F5" s="87" t="s">
        <v>209</v>
      </c>
      <c r="G5" s="88">
        <v>1.75</v>
      </c>
      <c r="H5" s="87" t="s">
        <v>149</v>
      </c>
      <c r="I5" s="89">
        <v>0.33333333333333331</v>
      </c>
      <c r="J5" s="87" t="s">
        <v>131</v>
      </c>
      <c r="K5" s="89">
        <v>0.15068493150684931</v>
      </c>
      <c r="L5" s="87" t="s">
        <v>181</v>
      </c>
      <c r="M5" s="90">
        <v>0.30656934306569344</v>
      </c>
      <c r="N5" s="87" t="s">
        <v>180</v>
      </c>
      <c r="O5" s="90">
        <v>0.14814814814814814</v>
      </c>
      <c r="P5" s="87" t="s">
        <v>132</v>
      </c>
      <c r="Q5" s="91">
        <v>8997.3262032085568</v>
      </c>
      <c r="R5" s="87" t="s">
        <v>185</v>
      </c>
      <c r="S5" s="91">
        <v>-7093.1034482758623</v>
      </c>
      <c r="T5" s="87" t="s">
        <v>179</v>
      </c>
      <c r="U5" s="89">
        <v>2.564102564102564E-2</v>
      </c>
      <c r="V5" s="87" t="s">
        <v>179</v>
      </c>
      <c r="W5" s="89">
        <v>0.12820512820512819</v>
      </c>
      <c r="X5" s="87" t="s">
        <v>149</v>
      </c>
      <c r="Y5" s="89">
        <v>0.10377358490566038</v>
      </c>
      <c r="Z5" s="87" t="s">
        <v>132</v>
      </c>
      <c r="AA5" s="90">
        <v>0.28888888888888886</v>
      </c>
      <c r="AB5" s="87" t="s">
        <v>185</v>
      </c>
      <c r="AC5" s="90">
        <v>0.25503355704697989</v>
      </c>
      <c r="AD5" s="87" t="s">
        <v>131</v>
      </c>
      <c r="AE5" s="90">
        <v>0.62105263157894741</v>
      </c>
      <c r="AF5" s="87" t="s">
        <v>180</v>
      </c>
      <c r="AG5" s="90">
        <v>0.42553191489361702</v>
      </c>
      <c r="AH5" s="87" t="s">
        <v>181</v>
      </c>
      <c r="AI5" s="90">
        <v>0.51190476190476186</v>
      </c>
      <c r="AJ5" s="87" t="s">
        <v>133</v>
      </c>
      <c r="AK5" s="92">
        <v>7</v>
      </c>
      <c r="AL5" s="87" t="s">
        <v>180</v>
      </c>
      <c r="AM5" s="96">
        <v>97500</v>
      </c>
      <c r="AN5" s="87" t="s">
        <v>133</v>
      </c>
      <c r="AO5" s="93">
        <v>1</v>
      </c>
    </row>
    <row r="6" spans="1:41" x14ac:dyDescent="0.4">
      <c r="A6" s="84">
        <v>4</v>
      </c>
      <c r="B6" s="85" t="s">
        <v>149</v>
      </c>
      <c r="C6" s="86">
        <v>1.4210854715202004E-14</v>
      </c>
      <c r="D6" s="87" t="s">
        <v>149</v>
      </c>
      <c r="E6" s="101">
        <v>4.4688222374849071E-17</v>
      </c>
      <c r="F6" s="87" t="s">
        <v>149</v>
      </c>
      <c r="G6" s="88">
        <v>2</v>
      </c>
      <c r="H6" s="87" t="s">
        <v>185</v>
      </c>
      <c r="I6" s="89">
        <v>0.31578947368421051</v>
      </c>
      <c r="J6" s="87" t="s">
        <v>132</v>
      </c>
      <c r="K6" s="89">
        <v>0.31168831168831168</v>
      </c>
      <c r="L6" s="87" t="s">
        <v>149</v>
      </c>
      <c r="M6" s="90">
        <v>0.30254656024325349</v>
      </c>
      <c r="N6" s="87" t="s">
        <v>179</v>
      </c>
      <c r="O6" s="90">
        <v>0.15596330275229359</v>
      </c>
      <c r="P6" s="87" t="s">
        <v>179</v>
      </c>
      <c r="Q6" s="91">
        <v>8769.1358024691363</v>
      </c>
      <c r="R6" s="87" t="s">
        <v>179</v>
      </c>
      <c r="S6" s="91">
        <v>-7225.4901960784309</v>
      </c>
      <c r="T6" s="87" t="s">
        <v>131</v>
      </c>
      <c r="U6" s="89">
        <v>5.4794520547945202E-2</v>
      </c>
      <c r="V6" s="87" t="s">
        <v>149</v>
      </c>
      <c r="W6" s="89">
        <v>0.10377358490566038</v>
      </c>
      <c r="X6" s="87" t="s">
        <v>179</v>
      </c>
      <c r="Y6" s="89">
        <v>0.10256410256410256</v>
      </c>
      <c r="Z6" s="87" t="s">
        <v>149</v>
      </c>
      <c r="AA6" s="90">
        <v>0.2691272587466359</v>
      </c>
      <c r="AB6" s="87" t="s">
        <v>131</v>
      </c>
      <c r="AC6" s="90">
        <v>0.24699828473413379</v>
      </c>
      <c r="AD6" s="87" t="s">
        <v>181</v>
      </c>
      <c r="AE6" s="90">
        <v>0.60606060606060608</v>
      </c>
      <c r="AF6" s="87" t="s">
        <v>195</v>
      </c>
      <c r="AG6" s="90">
        <v>0.38461538461538464</v>
      </c>
      <c r="AH6" s="87" t="s">
        <v>195</v>
      </c>
      <c r="AI6" s="90">
        <v>0.5</v>
      </c>
      <c r="AJ6" s="87" t="s">
        <v>180</v>
      </c>
      <c r="AK6" s="92">
        <v>7</v>
      </c>
      <c r="AL6" s="87" t="s">
        <v>132</v>
      </c>
      <c r="AM6" s="96">
        <v>97300</v>
      </c>
      <c r="AN6" s="87" t="s">
        <v>179</v>
      </c>
      <c r="AO6" s="93">
        <v>1</v>
      </c>
    </row>
    <row r="7" spans="1:41" x14ac:dyDescent="0.4">
      <c r="A7" s="84">
        <v>5</v>
      </c>
      <c r="B7" s="85" t="s">
        <v>180</v>
      </c>
      <c r="C7" s="86">
        <v>-8.2999999999999972</v>
      </c>
      <c r="D7" s="87" t="s">
        <v>180</v>
      </c>
      <c r="E7" s="101">
        <v>-0.23714285714285707</v>
      </c>
      <c r="F7" s="87" t="s">
        <v>132</v>
      </c>
      <c r="G7" s="88">
        <v>2.0389610389610389</v>
      </c>
      <c r="H7" s="87" t="s">
        <v>180</v>
      </c>
      <c r="I7" s="89">
        <v>0.2857142857142857</v>
      </c>
      <c r="J7" s="87" t="s">
        <v>149</v>
      </c>
      <c r="K7" s="89">
        <v>0.33333333333333331</v>
      </c>
      <c r="L7" s="87" t="s">
        <v>132</v>
      </c>
      <c r="M7" s="90">
        <v>0.29218749999999999</v>
      </c>
      <c r="N7" s="87" t="s">
        <v>209</v>
      </c>
      <c r="O7" s="90">
        <v>0.16666666666666666</v>
      </c>
      <c r="P7" s="87" t="s">
        <v>133</v>
      </c>
      <c r="Q7" s="91">
        <v>8689.7959183673465</v>
      </c>
      <c r="R7" s="87" t="s">
        <v>132</v>
      </c>
      <c r="S7" s="91">
        <v>-7440.1785714285716</v>
      </c>
      <c r="T7" s="87" t="s">
        <v>180</v>
      </c>
      <c r="U7" s="89">
        <v>5.7142857142857141E-2</v>
      </c>
      <c r="V7" s="87" t="s">
        <v>132</v>
      </c>
      <c r="W7" s="89">
        <v>7.792207792207792E-2</v>
      </c>
      <c r="X7" s="87" t="s">
        <v>132</v>
      </c>
      <c r="Y7" s="89">
        <v>7.792207792207792E-2</v>
      </c>
      <c r="Z7" s="87" t="s">
        <v>194</v>
      </c>
      <c r="AA7" s="90">
        <v>0.26315789473684209</v>
      </c>
      <c r="AB7" s="87" t="s">
        <v>181</v>
      </c>
      <c r="AC7" s="90">
        <v>0.23863636363636365</v>
      </c>
      <c r="AD7" s="87" t="s">
        <v>194</v>
      </c>
      <c r="AE7" s="90">
        <v>0.6</v>
      </c>
      <c r="AF7" s="87" t="s">
        <v>149</v>
      </c>
      <c r="AG7" s="90">
        <v>0.3767361111111111</v>
      </c>
      <c r="AH7" s="87" t="s">
        <v>180</v>
      </c>
      <c r="AI7" s="90">
        <v>0.44230769230769229</v>
      </c>
      <c r="AJ7" s="87" t="s">
        <v>185</v>
      </c>
      <c r="AK7" s="92">
        <v>7</v>
      </c>
      <c r="AL7" s="87" t="s">
        <v>133</v>
      </c>
      <c r="AM7" s="96">
        <v>96900</v>
      </c>
      <c r="AN7" s="87" t="s">
        <v>180</v>
      </c>
      <c r="AO7" s="93">
        <v>1</v>
      </c>
    </row>
    <row r="8" spans="1:41" x14ac:dyDescent="0.4">
      <c r="A8" s="84">
        <v>6</v>
      </c>
      <c r="B8" s="85" t="s">
        <v>179</v>
      </c>
      <c r="C8" s="86">
        <v>-71.3</v>
      </c>
      <c r="D8" s="87" t="s">
        <v>132</v>
      </c>
      <c r="E8" s="101">
        <v>-1.0727272727272736</v>
      </c>
      <c r="F8" s="87" t="s">
        <v>181</v>
      </c>
      <c r="G8" s="88">
        <v>2.096774193548387</v>
      </c>
      <c r="H8" s="87" t="s">
        <v>132</v>
      </c>
      <c r="I8" s="89">
        <v>0.27272727272727271</v>
      </c>
      <c r="J8" s="87" t="s">
        <v>181</v>
      </c>
      <c r="K8" s="89">
        <v>0.35483870967741937</v>
      </c>
      <c r="L8" s="87" t="s">
        <v>194</v>
      </c>
      <c r="M8" s="90">
        <v>0.26315789473684209</v>
      </c>
      <c r="N8" s="87" t="s">
        <v>149</v>
      </c>
      <c r="O8" s="90">
        <v>0.17103762827822122</v>
      </c>
      <c r="P8" s="87" t="s">
        <v>149</v>
      </c>
      <c r="Q8" s="91">
        <v>8458.5427135678383</v>
      </c>
      <c r="R8" s="87" t="s">
        <v>149</v>
      </c>
      <c r="S8" s="91">
        <v>-8014.4444444444443</v>
      </c>
      <c r="T8" s="87" t="s">
        <v>149</v>
      </c>
      <c r="U8" s="89">
        <v>0.10377358490566038</v>
      </c>
      <c r="V8" s="87" t="s">
        <v>181</v>
      </c>
      <c r="W8" s="89">
        <v>6.4516129032258063E-2</v>
      </c>
      <c r="X8" s="87" t="s">
        <v>133</v>
      </c>
      <c r="Y8" s="89">
        <v>6.6666666666666666E-2</v>
      </c>
      <c r="Z8" s="87" t="s">
        <v>179</v>
      </c>
      <c r="AA8" s="90">
        <v>0.25867507886435331</v>
      </c>
      <c r="AB8" s="87" t="s">
        <v>195</v>
      </c>
      <c r="AC8" s="90">
        <v>0.22807017543859648</v>
      </c>
      <c r="AD8" s="87" t="s">
        <v>149</v>
      </c>
      <c r="AE8" s="90">
        <v>0.59857142857142853</v>
      </c>
      <c r="AF8" s="87" t="s">
        <v>185</v>
      </c>
      <c r="AG8" s="90">
        <v>0.36842105263157893</v>
      </c>
      <c r="AH8" s="87" t="s">
        <v>149</v>
      </c>
      <c r="AI8" s="90">
        <v>0.42587939698492461</v>
      </c>
      <c r="AJ8" s="87" t="s">
        <v>149</v>
      </c>
      <c r="AK8" s="92">
        <v>7</v>
      </c>
      <c r="AL8" s="87" t="s">
        <v>179</v>
      </c>
      <c r="AM8" s="96">
        <v>91700</v>
      </c>
      <c r="AN8" s="87" t="s">
        <v>181</v>
      </c>
      <c r="AO8" s="93">
        <v>1</v>
      </c>
    </row>
    <row r="9" spans="1:41" x14ac:dyDescent="0.4">
      <c r="A9" s="84">
        <v>7</v>
      </c>
      <c r="B9" s="85" t="s">
        <v>132</v>
      </c>
      <c r="C9" s="86">
        <v>-82.600000000000065</v>
      </c>
      <c r="D9" s="87" t="s">
        <v>179</v>
      </c>
      <c r="E9" s="101">
        <v>-1.8282051282051281</v>
      </c>
      <c r="F9" s="87" t="s">
        <v>179</v>
      </c>
      <c r="G9" s="88">
        <v>2.1025641025641026</v>
      </c>
      <c r="H9" s="87" t="s">
        <v>181</v>
      </c>
      <c r="I9" s="89">
        <v>0.25806451612903225</v>
      </c>
      <c r="J9" s="87" t="s">
        <v>179</v>
      </c>
      <c r="K9" s="89">
        <v>0.35897435897435898</v>
      </c>
      <c r="L9" s="87" t="s">
        <v>209</v>
      </c>
      <c r="M9" s="90">
        <v>0.25</v>
      </c>
      <c r="N9" s="87" t="s">
        <v>132</v>
      </c>
      <c r="O9" s="90">
        <v>0.17499999999999999</v>
      </c>
      <c r="P9" s="87" t="s">
        <v>194</v>
      </c>
      <c r="Q9" s="91">
        <v>7860</v>
      </c>
      <c r="R9" s="87" t="s">
        <v>131</v>
      </c>
      <c r="S9" s="91">
        <v>-8017.6470588235297</v>
      </c>
      <c r="T9" s="87" t="s">
        <v>132</v>
      </c>
      <c r="U9" s="89">
        <v>0.11688311688311688</v>
      </c>
      <c r="V9" s="87" t="s">
        <v>133</v>
      </c>
      <c r="W9" s="89">
        <v>3.3333333333333333E-2</v>
      </c>
      <c r="X9" s="87" t="s">
        <v>180</v>
      </c>
      <c r="Y9" s="89">
        <v>5.7142857142857141E-2</v>
      </c>
      <c r="Z9" s="87" t="s">
        <v>181</v>
      </c>
      <c r="AA9" s="90">
        <v>0.25</v>
      </c>
      <c r="AB9" s="87" t="s">
        <v>149</v>
      </c>
      <c r="AC9" s="90">
        <v>0.22145328719723184</v>
      </c>
      <c r="AD9" s="87" t="s">
        <v>179</v>
      </c>
      <c r="AE9" s="90">
        <v>0.57317073170731703</v>
      </c>
      <c r="AF9" s="87" t="s">
        <v>181</v>
      </c>
      <c r="AG9" s="90">
        <v>0.31746031746031744</v>
      </c>
      <c r="AH9" s="87" t="s">
        <v>131</v>
      </c>
      <c r="AI9" s="90">
        <v>0.40869565217391307</v>
      </c>
      <c r="AJ9" s="87" t="s">
        <v>181</v>
      </c>
      <c r="AK9" s="92">
        <v>6</v>
      </c>
      <c r="AL9" s="87" t="s">
        <v>181</v>
      </c>
      <c r="AM9" s="96">
        <v>85900</v>
      </c>
      <c r="AN9" s="87" t="s">
        <v>185</v>
      </c>
      <c r="AO9" s="93">
        <v>1</v>
      </c>
    </row>
    <row r="10" spans="1:41" x14ac:dyDescent="0.4">
      <c r="A10" s="84">
        <v>8</v>
      </c>
      <c r="B10" s="85" t="s">
        <v>185</v>
      </c>
      <c r="C10" s="86">
        <v>-215.50000000000003</v>
      </c>
      <c r="D10" s="87" t="s">
        <v>181</v>
      </c>
      <c r="E10" s="101">
        <v>-7.3</v>
      </c>
      <c r="F10" s="87" t="s">
        <v>185</v>
      </c>
      <c r="G10" s="88">
        <v>2.1052631578947367</v>
      </c>
      <c r="H10" s="87" t="s">
        <v>179</v>
      </c>
      <c r="I10" s="89">
        <v>0.25641025641025639</v>
      </c>
      <c r="J10" s="87" t="s">
        <v>180</v>
      </c>
      <c r="K10" s="89">
        <v>0.4</v>
      </c>
      <c r="L10" s="87" t="s">
        <v>179</v>
      </c>
      <c r="M10" s="90">
        <v>0.24770642201834864</v>
      </c>
      <c r="N10" s="87" t="s">
        <v>181</v>
      </c>
      <c r="O10" s="90">
        <v>0.18978102189781021</v>
      </c>
      <c r="P10" s="87" t="s">
        <v>185</v>
      </c>
      <c r="Q10" s="91">
        <v>7431.4285714285716</v>
      </c>
      <c r="R10" s="87" t="s">
        <v>181</v>
      </c>
      <c r="S10" s="91">
        <v>-8353.8461538461543</v>
      </c>
      <c r="T10" s="87" t="s">
        <v>181</v>
      </c>
      <c r="U10" s="89">
        <v>0.12903225806451613</v>
      </c>
      <c r="V10" s="87" t="s">
        <v>185</v>
      </c>
      <c r="W10" s="89">
        <v>0</v>
      </c>
      <c r="X10" s="87" t="s">
        <v>181</v>
      </c>
      <c r="Y10" s="89">
        <v>3.2258064516129031E-2</v>
      </c>
      <c r="Z10" s="87" t="s">
        <v>133</v>
      </c>
      <c r="AA10" s="90">
        <v>0.24899598393574296</v>
      </c>
      <c r="AB10" s="87" t="s">
        <v>194</v>
      </c>
      <c r="AC10" s="90">
        <v>0.21052631578947367</v>
      </c>
      <c r="AD10" s="87" t="s">
        <v>180</v>
      </c>
      <c r="AE10" s="90">
        <v>0.55882352941176472</v>
      </c>
      <c r="AF10" s="87" t="s">
        <v>179</v>
      </c>
      <c r="AG10" s="90">
        <v>0.30909090909090908</v>
      </c>
      <c r="AH10" s="87" t="s">
        <v>132</v>
      </c>
      <c r="AI10" s="90">
        <v>0.40106951871657753</v>
      </c>
      <c r="AJ10" s="87" t="s">
        <v>195</v>
      </c>
      <c r="AK10" s="92">
        <v>5</v>
      </c>
      <c r="AL10" s="87" t="s">
        <v>185</v>
      </c>
      <c r="AM10" s="96">
        <v>65000</v>
      </c>
      <c r="AN10" s="87" t="s">
        <v>131</v>
      </c>
      <c r="AO10" s="93">
        <v>0</v>
      </c>
    </row>
    <row r="11" spans="1:41" x14ac:dyDescent="0.4">
      <c r="A11" s="84">
        <v>9</v>
      </c>
      <c r="B11" s="85" t="s">
        <v>195</v>
      </c>
      <c r="C11" s="86">
        <v>-218.2</v>
      </c>
      <c r="D11" s="87" t="s">
        <v>185</v>
      </c>
      <c r="E11" s="101">
        <v>-11.342105263157896</v>
      </c>
      <c r="F11" s="87" t="s">
        <v>180</v>
      </c>
      <c r="G11" s="88">
        <v>2.1142857142857143</v>
      </c>
      <c r="H11" s="87" t="s">
        <v>209</v>
      </c>
      <c r="I11" s="89">
        <v>0.25</v>
      </c>
      <c r="J11" s="87" t="s">
        <v>185</v>
      </c>
      <c r="K11" s="89">
        <v>0.42105263157894735</v>
      </c>
      <c r="L11" s="87" t="s">
        <v>185</v>
      </c>
      <c r="M11" s="90">
        <v>0.2348993288590604</v>
      </c>
      <c r="N11" s="87" t="s">
        <v>185</v>
      </c>
      <c r="O11" s="90">
        <v>0.19463087248322147</v>
      </c>
      <c r="P11" s="87" t="s">
        <v>180</v>
      </c>
      <c r="Q11" s="91">
        <v>7118.2692307692305</v>
      </c>
      <c r="R11" s="87" t="s">
        <v>180</v>
      </c>
      <c r="S11" s="91">
        <v>-8481.818181818182</v>
      </c>
      <c r="T11" s="87" t="s">
        <v>195</v>
      </c>
      <c r="U11" s="89">
        <v>0.14285714285714285</v>
      </c>
      <c r="V11" s="87" t="s">
        <v>194</v>
      </c>
      <c r="W11" s="89">
        <v>0</v>
      </c>
      <c r="X11" s="87" t="s">
        <v>194</v>
      </c>
      <c r="Y11" s="89">
        <v>0</v>
      </c>
      <c r="Z11" s="87" t="s">
        <v>180</v>
      </c>
      <c r="AA11" s="90">
        <v>0.22895622895622897</v>
      </c>
      <c r="AB11" s="87" t="s">
        <v>132</v>
      </c>
      <c r="AC11" s="90">
        <v>0.19682539682539682</v>
      </c>
      <c r="AD11" s="87" t="s">
        <v>209</v>
      </c>
      <c r="AE11" s="90">
        <v>0.54545454545454541</v>
      </c>
      <c r="AF11" s="87" t="s">
        <v>209</v>
      </c>
      <c r="AG11" s="90">
        <v>0.3</v>
      </c>
      <c r="AH11" s="87" t="s">
        <v>185</v>
      </c>
      <c r="AI11" s="90">
        <v>0.4</v>
      </c>
      <c r="AJ11" s="87" t="s">
        <v>179</v>
      </c>
      <c r="AK11" s="92">
        <v>4</v>
      </c>
      <c r="AL11" s="87" t="s">
        <v>209</v>
      </c>
      <c r="AM11" s="96">
        <v>54800</v>
      </c>
      <c r="AN11" s="87" t="s">
        <v>194</v>
      </c>
      <c r="AO11" s="93">
        <v>0</v>
      </c>
    </row>
    <row r="12" spans="1:41" x14ac:dyDescent="0.4">
      <c r="A12" s="84">
        <v>10</v>
      </c>
      <c r="B12" s="85" t="s">
        <v>181</v>
      </c>
      <c r="C12" s="86">
        <v>-226.29999999999998</v>
      </c>
      <c r="D12" s="87" t="s">
        <v>133</v>
      </c>
      <c r="E12" s="101">
        <v>-28.236666666666668</v>
      </c>
      <c r="F12" s="87" t="s">
        <v>133</v>
      </c>
      <c r="G12" s="88">
        <v>2.5</v>
      </c>
      <c r="H12" s="87" t="s">
        <v>195</v>
      </c>
      <c r="I12" s="89">
        <v>0.14285714285714285</v>
      </c>
      <c r="J12" s="87" t="s">
        <v>133</v>
      </c>
      <c r="K12" s="89">
        <v>0.6333333333333333</v>
      </c>
      <c r="L12" s="87" t="s">
        <v>195</v>
      </c>
      <c r="M12" s="90">
        <v>0.21052631578947367</v>
      </c>
      <c r="N12" s="87" t="s">
        <v>133</v>
      </c>
      <c r="O12" s="90">
        <v>0.21285140562248997</v>
      </c>
      <c r="P12" s="87" t="s">
        <v>181</v>
      </c>
      <c r="Q12" s="91">
        <v>6801.1904761904761</v>
      </c>
      <c r="R12" s="87" t="s">
        <v>195</v>
      </c>
      <c r="S12" s="91">
        <v>-8762.5</v>
      </c>
      <c r="T12" s="87" t="s">
        <v>185</v>
      </c>
      <c r="U12" s="89">
        <v>0.21052631578947367</v>
      </c>
      <c r="V12" s="87" t="s">
        <v>195</v>
      </c>
      <c r="W12" s="89">
        <v>0</v>
      </c>
      <c r="X12" s="87" t="s">
        <v>195</v>
      </c>
      <c r="Y12" s="89">
        <v>0</v>
      </c>
      <c r="Z12" s="87" t="s">
        <v>185</v>
      </c>
      <c r="AA12" s="90">
        <v>0.18120805369127516</v>
      </c>
      <c r="AB12" s="87" t="s">
        <v>179</v>
      </c>
      <c r="AC12" s="90">
        <v>0.17350157728706625</v>
      </c>
      <c r="AD12" s="87" t="s">
        <v>185</v>
      </c>
      <c r="AE12" s="90">
        <v>0.51851851851851849</v>
      </c>
      <c r="AF12" s="87" t="s">
        <v>132</v>
      </c>
      <c r="AG12" s="90">
        <v>0.28225806451612906</v>
      </c>
      <c r="AH12" s="87" t="s">
        <v>179</v>
      </c>
      <c r="AI12" s="90">
        <v>0.34567901234567899</v>
      </c>
      <c r="AJ12" s="87" t="s">
        <v>209</v>
      </c>
      <c r="AK12" s="92">
        <v>4</v>
      </c>
      <c r="AL12" s="87" t="s">
        <v>194</v>
      </c>
      <c r="AM12" s="96">
        <v>53500</v>
      </c>
      <c r="AN12" s="87" t="s">
        <v>195</v>
      </c>
      <c r="AO12" s="93">
        <v>0</v>
      </c>
    </row>
    <row r="13" spans="1:41" x14ac:dyDescent="0.4">
      <c r="A13" s="84">
        <v>11</v>
      </c>
      <c r="B13" s="85" t="s">
        <v>133</v>
      </c>
      <c r="C13" s="86">
        <v>-847.1</v>
      </c>
      <c r="D13" s="87" t="s">
        <v>195</v>
      </c>
      <c r="E13" s="101">
        <v>-31.171428571428571</v>
      </c>
      <c r="F13" s="87" t="s">
        <v>195</v>
      </c>
      <c r="G13" s="88">
        <v>2.5714285714285716</v>
      </c>
      <c r="H13" s="87" t="s">
        <v>133</v>
      </c>
      <c r="I13" s="89">
        <v>0.13333333333333333</v>
      </c>
      <c r="J13" s="87" t="s">
        <v>195</v>
      </c>
      <c r="K13" s="89">
        <v>0.7142857142857143</v>
      </c>
      <c r="L13" s="87" t="s">
        <v>133</v>
      </c>
      <c r="M13" s="90">
        <v>0.19678714859437751</v>
      </c>
      <c r="N13" s="87" t="s">
        <v>195</v>
      </c>
      <c r="O13" s="90">
        <v>0.2807017543859649</v>
      </c>
      <c r="P13" s="87" t="s">
        <v>195</v>
      </c>
      <c r="Q13" s="91">
        <v>6500</v>
      </c>
      <c r="R13" s="87" t="s">
        <v>133</v>
      </c>
      <c r="S13" s="91">
        <v>-9890.566037735849</v>
      </c>
      <c r="T13" s="87" t="s">
        <v>133</v>
      </c>
      <c r="U13" s="89">
        <v>0.26666666666666666</v>
      </c>
      <c r="V13" s="87" t="s">
        <v>209</v>
      </c>
      <c r="W13" s="89">
        <v>0</v>
      </c>
      <c r="X13" s="87" t="s">
        <v>209</v>
      </c>
      <c r="Y13" s="89">
        <v>0</v>
      </c>
      <c r="Z13" s="87" t="s">
        <v>195</v>
      </c>
      <c r="AA13" s="90">
        <v>0.12280701754385964</v>
      </c>
      <c r="AB13" s="87" t="s">
        <v>133</v>
      </c>
      <c r="AC13" s="90">
        <v>0.12449799196787148</v>
      </c>
      <c r="AD13" s="87" t="s">
        <v>133</v>
      </c>
      <c r="AE13" s="90">
        <v>0.5</v>
      </c>
      <c r="AF13" s="87" t="s">
        <v>133</v>
      </c>
      <c r="AG13" s="90">
        <v>0.12903225806451613</v>
      </c>
      <c r="AH13" s="87" t="s">
        <v>194</v>
      </c>
      <c r="AI13" s="90">
        <v>0.2</v>
      </c>
      <c r="AJ13" s="87" t="s">
        <v>194</v>
      </c>
      <c r="AK13" s="92">
        <v>3</v>
      </c>
      <c r="AL13" s="87" t="s">
        <v>195</v>
      </c>
      <c r="AM13" s="96">
        <v>43600</v>
      </c>
      <c r="AN13" s="87" t="s">
        <v>209</v>
      </c>
      <c r="AO13" s="93">
        <v>0</v>
      </c>
    </row>
  </sheetData>
  <sortState ref="AN3:AO44">
    <sortCondition descending="1" ref="AO1"/>
  </sortState>
  <mergeCells count="40">
    <mergeCell ref="N1:O1"/>
    <mergeCell ref="AL1:AM1"/>
    <mergeCell ref="B1:C1"/>
    <mergeCell ref="D1:E1"/>
    <mergeCell ref="F1:G1"/>
    <mergeCell ref="H1:I1"/>
    <mergeCell ref="L1:M1"/>
    <mergeCell ref="X1:Y1"/>
    <mergeCell ref="J1:K1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FDCBE-A636-47E4-88FE-A53CFCF939C7}">
  <sheetPr codeName="Sheet4"/>
  <dimension ref="A1:Q320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3" t="s">
        <v>149</v>
      </c>
      <c r="C1" s="144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5">
        <v>318</v>
      </c>
      <c r="C2" s="146"/>
      <c r="E2" s="62" t="s">
        <v>68</v>
      </c>
      <c r="F2" s="59" t="s">
        <v>23</v>
      </c>
      <c r="G2" s="46">
        <v>585</v>
      </c>
      <c r="H2" s="136">
        <f>IF(B$27=0,0,G2/B$27)</f>
        <v>0.74238578680203049</v>
      </c>
      <c r="I2" s="97">
        <v>6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-15.723270440251572</v>
      </c>
      <c r="P2" s="122">
        <v>318</v>
      </c>
      <c r="Q2" s="106">
        <v>-5000</v>
      </c>
    </row>
    <row r="3" spans="1:17" x14ac:dyDescent="0.4">
      <c r="A3" s="55" t="s">
        <v>8</v>
      </c>
      <c r="B3" s="147">
        <v>2631</v>
      </c>
      <c r="C3" s="148"/>
      <c r="E3" s="63" t="s">
        <v>74</v>
      </c>
      <c r="F3" s="60" t="s">
        <v>28</v>
      </c>
      <c r="G3" s="47">
        <v>423</v>
      </c>
      <c r="H3" s="137">
        <f>IF(B$27=0,0,G3/B$27)</f>
        <v>0.53680203045685282</v>
      </c>
      <c r="I3" s="98">
        <v>7</v>
      </c>
      <c r="K3" s="38">
        <v>1</v>
      </c>
      <c r="L3" s="103">
        <v>-5.0999999999999996</v>
      </c>
      <c r="N3" s="119" t="s">
        <v>137</v>
      </c>
      <c r="O3" s="126">
        <f t="shared" si="0"/>
        <v>-12.698412698412698</v>
      </c>
      <c r="P3" s="123">
        <v>315</v>
      </c>
      <c r="Q3" s="107">
        <v>-4000</v>
      </c>
    </row>
    <row r="4" spans="1:17" x14ac:dyDescent="0.4">
      <c r="A4" s="55" t="s">
        <v>6</v>
      </c>
      <c r="B4" s="149">
        <v>1.4210854715202004E-14</v>
      </c>
      <c r="C4" s="150"/>
      <c r="E4" s="63" t="s">
        <v>66</v>
      </c>
      <c r="F4" s="60" t="s">
        <v>21</v>
      </c>
      <c r="G4" s="47">
        <v>390</v>
      </c>
      <c r="H4" s="137">
        <f>IF(B$27=0,0,G4/B$27)</f>
        <v>0.49492385786802029</v>
      </c>
      <c r="I4" s="98">
        <v>6</v>
      </c>
      <c r="K4" s="38">
        <v>2</v>
      </c>
      <c r="L4" s="103">
        <v>40.4</v>
      </c>
      <c r="N4" s="119" t="s">
        <v>138</v>
      </c>
      <c r="O4" s="126">
        <f t="shared" si="0"/>
        <v>17.006802721088434</v>
      </c>
      <c r="P4" s="123">
        <v>294</v>
      </c>
      <c r="Q4" s="107">
        <v>5000</v>
      </c>
    </row>
    <row r="5" spans="1:17" x14ac:dyDescent="0.4">
      <c r="A5" s="55" t="s">
        <v>7</v>
      </c>
      <c r="B5" s="151">
        <f>IF(B$2=0,0,B$4/B$2)</f>
        <v>4.4688222374849071E-17</v>
      </c>
      <c r="C5" s="152"/>
      <c r="E5" s="63" t="s">
        <v>189</v>
      </c>
      <c r="F5" s="60" t="s">
        <v>190</v>
      </c>
      <c r="G5" s="47">
        <v>306</v>
      </c>
      <c r="H5" s="137">
        <f>IF(B$27=0,0,G5/B$27)</f>
        <v>0.3883248730964467</v>
      </c>
      <c r="I5" s="98">
        <v>5</v>
      </c>
      <c r="K5" s="38">
        <v>3</v>
      </c>
      <c r="L5" s="103">
        <v>0</v>
      </c>
      <c r="N5" s="119" t="s">
        <v>139</v>
      </c>
      <c r="O5" s="126">
        <f t="shared" si="0"/>
        <v>11.111111111111111</v>
      </c>
      <c r="P5" s="123">
        <v>270</v>
      </c>
      <c r="Q5" s="107">
        <v>3000</v>
      </c>
    </row>
    <row r="6" spans="1:17" x14ac:dyDescent="0.4">
      <c r="A6" s="55" t="s">
        <v>1</v>
      </c>
      <c r="B6" s="157">
        <f>IF(B$2=0,0,(B$7*1+B$8*2+B$9*3)/B$2)</f>
        <v>2</v>
      </c>
      <c r="C6" s="158"/>
      <c r="E6" s="63" t="s">
        <v>70</v>
      </c>
      <c r="F6" s="60" t="s">
        <v>12</v>
      </c>
      <c r="G6" s="47">
        <v>234</v>
      </c>
      <c r="H6" s="137">
        <f>IF(B$27=0,0,G6/B$27)</f>
        <v>0.29695431472081218</v>
      </c>
      <c r="I6" s="98">
        <v>5</v>
      </c>
      <c r="K6" s="38">
        <v>4</v>
      </c>
      <c r="L6" s="103">
        <v>2.2000000000000002</v>
      </c>
      <c r="N6" s="119" t="s">
        <v>140</v>
      </c>
      <c r="O6" s="126">
        <f t="shared" si="0"/>
        <v>-20.5761316872428</v>
      </c>
      <c r="P6" s="123">
        <v>243</v>
      </c>
      <c r="Q6" s="107">
        <v>-5000</v>
      </c>
    </row>
    <row r="7" spans="1:17" x14ac:dyDescent="0.4">
      <c r="A7" s="55" t="s">
        <v>2</v>
      </c>
      <c r="B7" s="47">
        <v>106</v>
      </c>
      <c r="C7" s="39">
        <f>IF(B$2=0,0,B7/B$2)</f>
        <v>0.33333333333333331</v>
      </c>
      <c r="E7" s="63" t="s">
        <v>69</v>
      </c>
      <c r="F7" s="60" t="s">
        <v>24</v>
      </c>
      <c r="G7" s="47">
        <v>230</v>
      </c>
      <c r="H7" s="137">
        <f>IF(B$27=0,0,G7/B$27)</f>
        <v>0.29187817258883247</v>
      </c>
      <c r="I7" s="98">
        <v>6</v>
      </c>
      <c r="K7" s="38">
        <v>5</v>
      </c>
      <c r="L7" s="103">
        <v>-37</v>
      </c>
      <c r="N7" s="120" t="s">
        <v>141</v>
      </c>
      <c r="O7" s="127">
        <f t="shared" si="0"/>
        <v>26.315789473684209</v>
      </c>
      <c r="P7" s="124">
        <v>228</v>
      </c>
      <c r="Q7" s="108">
        <v>6000</v>
      </c>
    </row>
    <row r="8" spans="1:17" x14ac:dyDescent="0.4">
      <c r="A8" s="55" t="s">
        <v>3</v>
      </c>
      <c r="B8" s="47">
        <v>106</v>
      </c>
      <c r="C8" s="39">
        <f>IF(B$2=0,0,B8/B$2)</f>
        <v>0.33333333333333331</v>
      </c>
      <c r="E8" s="63" t="s">
        <v>71</v>
      </c>
      <c r="F8" s="60" t="s">
        <v>25</v>
      </c>
      <c r="G8" s="47">
        <v>144</v>
      </c>
      <c r="H8" s="137">
        <f>IF(B$27=0,0,G8/B$27)</f>
        <v>0.18274111675126903</v>
      </c>
      <c r="I8" s="98">
        <v>7</v>
      </c>
      <c r="K8" s="38">
        <v>6</v>
      </c>
      <c r="L8" s="103">
        <v>0</v>
      </c>
      <c r="N8" s="43"/>
      <c r="O8" s="131"/>
      <c r="P8" s="115"/>
      <c r="Q8" s="113"/>
    </row>
    <row r="9" spans="1:17" x14ac:dyDescent="0.4">
      <c r="A9" s="56" t="s">
        <v>4</v>
      </c>
      <c r="B9" s="48">
        <v>106</v>
      </c>
      <c r="C9" s="40">
        <f t="shared" ref="C9" si="1">IF(B$2=0,0,B9/B$2)</f>
        <v>0.33333333333333331</v>
      </c>
      <c r="E9" s="63" t="s">
        <v>92</v>
      </c>
      <c r="F9" s="60" t="s">
        <v>46</v>
      </c>
      <c r="G9" s="47">
        <v>110</v>
      </c>
      <c r="H9" s="137">
        <f>IF(B$27=0,0,G9/B$27)</f>
        <v>0.13959390862944163</v>
      </c>
      <c r="I9" s="98">
        <v>5</v>
      </c>
      <c r="K9" s="38">
        <v>7</v>
      </c>
      <c r="L9" s="103">
        <v>73.3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33</v>
      </c>
      <c r="C10" s="40">
        <f>IF(B$2=0,0,B10/B$2)</f>
        <v>0.10377358490566038</v>
      </c>
      <c r="E10" s="63" t="s">
        <v>67</v>
      </c>
      <c r="F10" s="60" t="s">
        <v>22</v>
      </c>
      <c r="G10" s="47">
        <v>98</v>
      </c>
      <c r="H10" s="137">
        <f>IF(B$27=0,0,G10/B$27)</f>
        <v>0.12436548223350254</v>
      </c>
      <c r="I10" s="98">
        <v>4</v>
      </c>
      <c r="K10" s="38">
        <v>8</v>
      </c>
      <c r="L10" s="103">
        <v>19.699999999999996</v>
      </c>
      <c r="N10" s="118" t="s">
        <v>172</v>
      </c>
      <c r="O10" s="128">
        <f>IF(P10=0,0,Q10/P10)</f>
        <v>-1.9575471698113209</v>
      </c>
      <c r="P10" s="122">
        <v>106</v>
      </c>
      <c r="Q10" s="110">
        <v>-207.50000000000003</v>
      </c>
    </row>
    <row r="11" spans="1:17" x14ac:dyDescent="0.4">
      <c r="A11" s="56" t="s">
        <v>144</v>
      </c>
      <c r="B11" s="48">
        <v>33</v>
      </c>
      <c r="C11" s="40">
        <f>IF(B$2=0,0,B11/B$2)</f>
        <v>0.10377358490566038</v>
      </c>
      <c r="E11" s="63" t="s">
        <v>72</v>
      </c>
      <c r="F11" s="60" t="s">
        <v>26</v>
      </c>
      <c r="G11" s="47">
        <v>83</v>
      </c>
      <c r="H11" s="137">
        <f>IF(B$27=0,0,G11/B$27)</f>
        <v>0.10532994923857868</v>
      </c>
      <c r="I11" s="98">
        <v>5</v>
      </c>
      <c r="K11" s="38">
        <v>9</v>
      </c>
      <c r="L11" s="103">
        <v>-3.5527136788005009E-15</v>
      </c>
      <c r="N11" s="119" t="s">
        <v>173</v>
      </c>
      <c r="O11" s="129">
        <f>IF(P11=0,0,Q11/P11)</f>
        <v>-3.3500000000000014</v>
      </c>
      <c r="P11" s="123">
        <v>106</v>
      </c>
      <c r="Q11" s="111">
        <v>-355.10000000000014</v>
      </c>
    </row>
    <row r="12" spans="1:17" x14ac:dyDescent="0.4">
      <c r="A12" s="57" t="s">
        <v>165</v>
      </c>
      <c r="B12" s="49">
        <v>33</v>
      </c>
      <c r="C12" s="42">
        <f>IF(B$2=0,0,B12/B$2)</f>
        <v>0.10377358490566038</v>
      </c>
      <c r="E12" s="63" t="s">
        <v>89</v>
      </c>
      <c r="F12" s="60" t="s">
        <v>43</v>
      </c>
      <c r="G12" s="47">
        <v>49</v>
      </c>
      <c r="H12" s="137">
        <f>IF(B$27=0,0,G12/B$27)</f>
        <v>6.2182741116751268E-2</v>
      </c>
      <c r="I12" s="98">
        <v>5</v>
      </c>
      <c r="K12" s="38">
        <v>10</v>
      </c>
      <c r="L12" s="103">
        <v>40.099999999999994</v>
      </c>
      <c r="N12" s="120" t="s">
        <v>174</v>
      </c>
      <c r="O12" s="130">
        <f>IF(P12=0,0,Q12/P12)</f>
        <v>5.3075471698113201</v>
      </c>
      <c r="P12" s="124">
        <v>106</v>
      </c>
      <c r="Q12" s="112">
        <v>562.59999999999991</v>
      </c>
    </row>
    <row r="13" spans="1:17" x14ac:dyDescent="0.4">
      <c r="A13" s="58" t="s">
        <v>126</v>
      </c>
      <c r="B13" s="50">
        <v>700</v>
      </c>
      <c r="C13" s="44">
        <f>IF(B$26=0,0,B13/B$26)</f>
        <v>0.2691272587466359</v>
      </c>
      <c r="E13" s="63" t="s">
        <v>73</v>
      </c>
      <c r="F13" s="60" t="s">
        <v>27</v>
      </c>
      <c r="G13" s="47">
        <v>44</v>
      </c>
      <c r="H13" s="137">
        <f>IF(B$27=0,0,G13/B$27)</f>
        <v>5.5837563451776651E-2</v>
      </c>
      <c r="I13" s="98">
        <v>6</v>
      </c>
      <c r="K13" s="38">
        <v>11</v>
      </c>
      <c r="L13" s="103">
        <v>-11.100000000000009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576</v>
      </c>
      <c r="C14" s="39">
        <f>IF(B$26=0,0,B14/B$26)</f>
        <v>0.22145328719723184</v>
      </c>
      <c r="E14" s="63" t="s">
        <v>86</v>
      </c>
      <c r="F14" s="60" t="s">
        <v>40</v>
      </c>
      <c r="G14" s="47">
        <v>35</v>
      </c>
      <c r="H14" s="137">
        <f>IF(B$27=0,0,G14/B$27)</f>
        <v>4.4416243654822336E-2</v>
      </c>
      <c r="I14" s="98">
        <v>6</v>
      </c>
      <c r="K14" s="38">
        <v>12</v>
      </c>
      <c r="L14" s="103">
        <v>-8.8817841970012523E-15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419</v>
      </c>
      <c r="C15" s="37">
        <f>IF(B$13=0,0,B15/B$13)</f>
        <v>0.59857142857142853</v>
      </c>
      <c r="E15" s="63" t="s">
        <v>84</v>
      </c>
      <c r="F15" s="60" t="s">
        <v>38</v>
      </c>
      <c r="G15" s="47">
        <v>24</v>
      </c>
      <c r="H15" s="137">
        <f>IF(B$27=0,0,G15/B$27)</f>
        <v>3.0456852791878174E-2</v>
      </c>
      <c r="I15" s="98">
        <v>4</v>
      </c>
      <c r="K15" s="38">
        <v>13</v>
      </c>
      <c r="L15" s="103">
        <v>-42.100000000000009</v>
      </c>
      <c r="N15" s="118" t="s">
        <v>195</v>
      </c>
      <c r="O15" s="128">
        <f>IF(P15=0,0,Q15/P15)</f>
        <v>46.75714285714286</v>
      </c>
      <c r="P15" s="122">
        <v>14</v>
      </c>
      <c r="Q15" s="110">
        <v>654.6</v>
      </c>
    </row>
    <row r="16" spans="1:17" x14ac:dyDescent="0.4">
      <c r="A16" s="54" t="s">
        <v>129</v>
      </c>
      <c r="B16" s="46">
        <v>217</v>
      </c>
      <c r="C16" s="37">
        <f>IF(B$14=0,0,B16/B$14)</f>
        <v>0.3767361111111111</v>
      </c>
      <c r="E16" s="63" t="s">
        <v>80</v>
      </c>
      <c r="F16" s="60" t="s">
        <v>34</v>
      </c>
      <c r="G16" s="47">
        <v>14</v>
      </c>
      <c r="H16" s="137">
        <f>IF(B$27=0,0,G16/B$27)</f>
        <v>1.7766497461928935E-2</v>
      </c>
      <c r="I16" s="98">
        <v>5</v>
      </c>
      <c r="K16" s="38">
        <v>14</v>
      </c>
      <c r="L16" s="103">
        <v>18.79999999999999</v>
      </c>
      <c r="N16" s="119" t="s">
        <v>133</v>
      </c>
      <c r="O16" s="129">
        <f>IF(P16=0,0,Q16/P16)</f>
        <v>42.354999999999997</v>
      </c>
      <c r="P16" s="123">
        <v>60</v>
      </c>
      <c r="Q16" s="111">
        <v>2541.2999999999997</v>
      </c>
    </row>
    <row r="17" spans="1:17" x14ac:dyDescent="0.4">
      <c r="A17" s="54" t="s">
        <v>10</v>
      </c>
      <c r="B17" s="46">
        <f>B19+B18</f>
        <v>796</v>
      </c>
      <c r="C17" s="37">
        <f>IF(B$3=0,0,B17/B$3)</f>
        <v>0.30254656024325349</v>
      </c>
      <c r="E17" s="63" t="s">
        <v>94</v>
      </c>
      <c r="F17" s="60" t="s">
        <v>48</v>
      </c>
      <c r="G17" s="47">
        <v>13</v>
      </c>
      <c r="H17" s="137">
        <f>IF(B$27=0,0,G17/B$27)</f>
        <v>1.6497461928934011E-2</v>
      </c>
      <c r="I17" s="98">
        <v>4</v>
      </c>
      <c r="K17" s="38">
        <v>15</v>
      </c>
      <c r="L17" s="103">
        <v>-1.0658141036401503E-14</v>
      </c>
      <c r="N17" s="119" t="s">
        <v>185</v>
      </c>
      <c r="O17" s="129">
        <f>IF(P17=0,0,Q17/P17)</f>
        <v>17.013157894736839</v>
      </c>
      <c r="P17" s="123">
        <v>38</v>
      </c>
      <c r="Q17" s="111">
        <v>646.49999999999989</v>
      </c>
    </row>
    <row r="18" spans="1:17" x14ac:dyDescent="0.4">
      <c r="A18" s="55" t="s">
        <v>12</v>
      </c>
      <c r="B18" s="47">
        <v>339</v>
      </c>
      <c r="C18" s="39">
        <f>IF(B$17=0,0,B18/B$17)</f>
        <v>0.42587939698492461</v>
      </c>
      <c r="E18" s="63" t="s">
        <v>188</v>
      </c>
      <c r="F18" s="60" t="s">
        <v>191</v>
      </c>
      <c r="G18" s="47">
        <v>13</v>
      </c>
      <c r="H18" s="137">
        <f>IF(B$27=0,0,G18/B$27)</f>
        <v>1.6497461928934011E-2</v>
      </c>
      <c r="I18" s="98">
        <v>4</v>
      </c>
      <c r="K18" s="38">
        <v>16</v>
      </c>
      <c r="L18" s="103">
        <v>90.899999999999991</v>
      </c>
      <c r="N18" s="119" t="s">
        <v>181</v>
      </c>
      <c r="O18" s="129">
        <f>IF(P18=0,0,Q18/P18)</f>
        <v>10.95</v>
      </c>
      <c r="P18" s="123">
        <v>62</v>
      </c>
      <c r="Q18" s="111">
        <v>678.9</v>
      </c>
    </row>
    <row r="19" spans="1:17" x14ac:dyDescent="0.4">
      <c r="A19" s="55" t="s">
        <v>11</v>
      </c>
      <c r="B19" s="47">
        <v>457</v>
      </c>
      <c r="C19" s="39">
        <f>IF(B$17=0,0,B19/B$17)</f>
        <v>0.57412060301507539</v>
      </c>
      <c r="E19" s="63" t="s">
        <v>81</v>
      </c>
      <c r="F19" s="60" t="s">
        <v>35</v>
      </c>
      <c r="G19" s="47">
        <v>8</v>
      </c>
      <c r="H19" s="137">
        <f>IF(B$27=0,0,G19/B$27)</f>
        <v>1.015228426395939E-2</v>
      </c>
      <c r="I19" s="98">
        <v>4</v>
      </c>
      <c r="K19" s="38">
        <v>17</v>
      </c>
      <c r="L19" s="103">
        <v>8.2999999999999972</v>
      </c>
      <c r="N19" s="119" t="s">
        <v>179</v>
      </c>
      <c r="O19" s="129">
        <f>IF(P19=0,0,Q19/P19)</f>
        <v>2.7423076923076946</v>
      </c>
      <c r="P19" s="123">
        <v>78</v>
      </c>
      <c r="Q19" s="111">
        <v>213.90000000000018</v>
      </c>
    </row>
    <row r="20" spans="1:17" x14ac:dyDescent="0.4">
      <c r="A20" s="55" t="s">
        <v>13</v>
      </c>
      <c r="B20" s="47">
        <v>450</v>
      </c>
      <c r="C20" s="39">
        <f>IF(B$3=0,0,B20/B$3)</f>
        <v>0.17103762827822122</v>
      </c>
      <c r="E20" s="63" t="s">
        <v>77</v>
      </c>
      <c r="F20" s="60" t="s">
        <v>31</v>
      </c>
      <c r="G20" s="47">
        <v>6</v>
      </c>
      <c r="H20" s="137">
        <f>IF(B$27=0,0,G20/B$27)</f>
        <v>7.6142131979695434E-3</v>
      </c>
      <c r="I20" s="98">
        <v>4</v>
      </c>
      <c r="K20" s="38">
        <v>18</v>
      </c>
      <c r="L20" s="103">
        <v>-3.5527136788005009E-15</v>
      </c>
      <c r="N20" s="119" t="s">
        <v>132</v>
      </c>
      <c r="O20" s="129">
        <f>IF(P20=0,0,Q20/P20)</f>
        <v>1.6090909090909056</v>
      </c>
      <c r="P20" s="123">
        <v>154</v>
      </c>
      <c r="Q20" s="111">
        <v>247.79999999999947</v>
      </c>
    </row>
    <row r="21" spans="1:17" x14ac:dyDescent="0.4">
      <c r="A21" s="55" t="s">
        <v>5</v>
      </c>
      <c r="B21" s="51">
        <f>IF(B$17=0,0,C21/B$17)</f>
        <v>8458.5427135678383</v>
      </c>
      <c r="C21" s="41">
        <v>6733000</v>
      </c>
      <c r="E21" s="63" t="s">
        <v>75</v>
      </c>
      <c r="F21" s="60" t="s">
        <v>29</v>
      </c>
      <c r="G21" s="47">
        <v>4</v>
      </c>
      <c r="H21" s="137">
        <f>IF(B$27=0,0,G21/B$27)</f>
        <v>5.076142131979695E-3</v>
      </c>
      <c r="I21" s="98">
        <v>4</v>
      </c>
      <c r="K21" s="38">
        <v>19</v>
      </c>
      <c r="L21" s="103">
        <v>30.999999999999996</v>
      </c>
      <c r="N21" s="119" t="s">
        <v>180</v>
      </c>
      <c r="O21" s="129">
        <f>IF(P21=0,0,Q21/P21)</f>
        <v>0.35571428571428426</v>
      </c>
      <c r="P21" s="123">
        <v>70</v>
      </c>
      <c r="Q21" s="111">
        <v>24.899999999999899</v>
      </c>
    </row>
    <row r="22" spans="1:17" x14ac:dyDescent="0.4">
      <c r="A22" s="57" t="s">
        <v>14</v>
      </c>
      <c r="B22" s="52">
        <f>IF(B$20=0,0,C22/B$20)</f>
        <v>-8014.4444444444443</v>
      </c>
      <c r="C22" s="45">
        <v>-3606500</v>
      </c>
      <c r="E22" s="63" t="s">
        <v>95</v>
      </c>
      <c r="F22" s="60" t="s">
        <v>49</v>
      </c>
      <c r="G22" s="47">
        <v>4</v>
      </c>
      <c r="H22" s="137">
        <f>IF(B$27=0,0,G22/B$27)</f>
        <v>5.076142131979695E-3</v>
      </c>
      <c r="I22" s="98">
        <v>3</v>
      </c>
      <c r="K22" s="38">
        <v>20</v>
      </c>
      <c r="L22" s="103">
        <v>0.79999999999999716</v>
      </c>
      <c r="N22" s="119" t="s">
        <v>209</v>
      </c>
      <c r="O22" s="129">
        <f>IF(P22=0,0,Q22/P22)</f>
        <v>-7.2750000000000021</v>
      </c>
      <c r="P22" s="123">
        <v>8</v>
      </c>
      <c r="Q22" s="111">
        <v>-58.200000000000017</v>
      </c>
    </row>
    <row r="23" spans="1:17" x14ac:dyDescent="0.4">
      <c r="A23" s="94" t="s">
        <v>146</v>
      </c>
      <c r="B23" s="155">
        <v>7</v>
      </c>
      <c r="C23" s="156"/>
      <c r="E23" s="63" t="s">
        <v>96</v>
      </c>
      <c r="F23" s="60" t="s">
        <v>50</v>
      </c>
      <c r="G23" s="47">
        <v>3</v>
      </c>
      <c r="H23" s="137">
        <f>IF(B$27=0,0,G23/B$27)</f>
        <v>3.8071065989847717E-3</v>
      </c>
      <c r="I23" s="98">
        <v>4</v>
      </c>
      <c r="K23" s="38">
        <v>21</v>
      </c>
      <c r="L23" s="103">
        <v>-2.886579864025407E-15</v>
      </c>
      <c r="N23" s="119" t="s">
        <v>194</v>
      </c>
      <c r="O23" s="129">
        <f>IF(P23=0,0,Q23/P23)</f>
        <v>-30.5</v>
      </c>
      <c r="P23" s="123">
        <v>6</v>
      </c>
      <c r="Q23" s="111">
        <v>-183</v>
      </c>
    </row>
    <row r="24" spans="1:17" x14ac:dyDescent="0.4">
      <c r="A24" s="58" t="s">
        <v>157</v>
      </c>
      <c r="B24" s="153">
        <v>116000</v>
      </c>
      <c r="C24" s="154"/>
      <c r="E24" s="63" t="s">
        <v>76</v>
      </c>
      <c r="F24" s="60" t="s">
        <v>30</v>
      </c>
      <c r="G24" s="47">
        <v>2</v>
      </c>
      <c r="H24" s="137">
        <f>IF(B$27=0,0,G24/B$27)</f>
        <v>2.5380710659898475E-3</v>
      </c>
      <c r="I24" s="98">
        <v>2</v>
      </c>
      <c r="K24" s="38">
        <v>22</v>
      </c>
      <c r="L24" s="103">
        <v>23.699999999999996</v>
      </c>
      <c r="N24" s="119" t="s">
        <v>131</v>
      </c>
      <c r="O24" s="129">
        <f>IF(P24=0,0,Q24/P24)</f>
        <v>-32.64863013698627</v>
      </c>
      <c r="P24" s="123">
        <v>146</v>
      </c>
      <c r="Q24" s="111">
        <v>-4766.6999999999953</v>
      </c>
    </row>
    <row r="25" spans="1:17" x14ac:dyDescent="0.4">
      <c r="A25" s="57" t="s">
        <v>147</v>
      </c>
      <c r="B25" s="65">
        <v>9</v>
      </c>
      <c r="C25" s="42">
        <f>IF(B$3=0,0,B25/B$3)</f>
        <v>3.4207525655644243E-3</v>
      </c>
      <c r="E25" s="63" t="s">
        <v>79</v>
      </c>
      <c r="F25" s="60" t="s">
        <v>33</v>
      </c>
      <c r="G25" s="47">
        <v>2</v>
      </c>
      <c r="H25" s="137">
        <f>IF(B$27=0,0,G25/B$27)</f>
        <v>2.5380710659898475E-3</v>
      </c>
      <c r="I25" s="98">
        <v>3</v>
      </c>
      <c r="K25" s="38">
        <v>23</v>
      </c>
      <c r="L25" s="103">
        <v>26.299999999999997</v>
      </c>
    </row>
    <row r="26" spans="1:17" x14ac:dyDescent="0.4">
      <c r="A26" s="54" t="s">
        <v>124</v>
      </c>
      <c r="B26" s="145">
        <v>2601</v>
      </c>
      <c r="C26" s="146"/>
      <c r="E26" s="63" t="s">
        <v>90</v>
      </c>
      <c r="F26" s="60" t="s">
        <v>44</v>
      </c>
      <c r="G26" s="47">
        <v>2</v>
      </c>
      <c r="H26" s="137">
        <f>IF(B$27=0,0,G26/B$27)</f>
        <v>2.5380710659898475E-3</v>
      </c>
      <c r="I26" s="98">
        <v>3</v>
      </c>
      <c r="K26" s="38">
        <v>24</v>
      </c>
      <c r="L26" s="103">
        <v>-3.5527136788005009E-15</v>
      </c>
    </row>
    <row r="27" spans="1:17" x14ac:dyDescent="0.4">
      <c r="A27" s="57" t="s">
        <v>125</v>
      </c>
      <c r="B27" s="159">
        <v>788</v>
      </c>
      <c r="C27" s="160"/>
      <c r="E27" s="63" t="s">
        <v>91</v>
      </c>
      <c r="F27" s="60" t="s">
        <v>45</v>
      </c>
      <c r="G27" s="47">
        <v>2</v>
      </c>
      <c r="H27" s="137">
        <f>IF(B$27=0,0,G27/B$27)</f>
        <v>2.5380710659898475E-3</v>
      </c>
      <c r="I27" s="98">
        <v>3</v>
      </c>
      <c r="K27" s="38">
        <v>25</v>
      </c>
      <c r="L27" s="103">
        <v>-31.300000000000004</v>
      </c>
    </row>
    <row r="28" spans="1:17" x14ac:dyDescent="0.4">
      <c r="E28" s="63" t="s">
        <v>87</v>
      </c>
      <c r="F28" s="60" t="s">
        <v>41</v>
      </c>
      <c r="G28" s="47">
        <v>1</v>
      </c>
      <c r="H28" s="137">
        <f>IF(B$27=0,0,G28/B$27)</f>
        <v>1.2690355329949238E-3</v>
      </c>
      <c r="I28" s="98">
        <v>2</v>
      </c>
      <c r="K28" s="38">
        <v>26</v>
      </c>
      <c r="L28" s="103">
        <v>1.8999999999999986</v>
      </c>
    </row>
    <row r="29" spans="1:17" x14ac:dyDescent="0.4">
      <c r="E29" s="63" t="s">
        <v>88</v>
      </c>
      <c r="F29" s="60" t="s">
        <v>42</v>
      </c>
      <c r="G29" s="47">
        <v>1</v>
      </c>
      <c r="H29" s="137">
        <f>IF(B$27=0,0,G29/B$27)</f>
        <v>1.2690355329949238E-3</v>
      </c>
      <c r="I29" s="98">
        <v>2</v>
      </c>
      <c r="K29" s="38">
        <v>27</v>
      </c>
      <c r="L29" s="103">
        <v>-1.3322676295501878E-15</v>
      </c>
    </row>
    <row r="30" spans="1:17" x14ac:dyDescent="0.4">
      <c r="E30" s="63" t="s">
        <v>93</v>
      </c>
      <c r="F30" s="60" t="s">
        <v>47</v>
      </c>
      <c r="G30" s="47">
        <v>1</v>
      </c>
      <c r="H30" s="137">
        <f>IF(B$27=0,0,G30/B$27)</f>
        <v>1.2690355329949238E-3</v>
      </c>
      <c r="I30" s="98">
        <v>2</v>
      </c>
      <c r="K30" s="38">
        <v>28</v>
      </c>
      <c r="L30" s="103">
        <v>-58.3</v>
      </c>
    </row>
    <row r="31" spans="1:17" x14ac:dyDescent="0.4">
      <c r="E31" s="63" t="s">
        <v>98</v>
      </c>
      <c r="F31" s="60" t="s">
        <v>52</v>
      </c>
      <c r="G31" s="47">
        <v>1</v>
      </c>
      <c r="H31" s="137">
        <f>IF(B$27=0,0,G31/B$27)</f>
        <v>1.2690355329949238E-3</v>
      </c>
      <c r="I31" s="98">
        <v>2</v>
      </c>
      <c r="K31" s="38">
        <v>29</v>
      </c>
      <c r="L31" s="103">
        <v>-9.5</v>
      </c>
    </row>
    <row r="32" spans="1:17" x14ac:dyDescent="0.4">
      <c r="E32" s="63" t="s">
        <v>78</v>
      </c>
      <c r="F32" s="60" t="s">
        <v>32</v>
      </c>
      <c r="G32" s="47">
        <v>0</v>
      </c>
      <c r="H32" s="137">
        <f>IF(B$27=0,0,G32/B$27)</f>
        <v>0</v>
      </c>
      <c r="I32" s="98">
        <v>1</v>
      </c>
      <c r="K32" s="38">
        <v>30</v>
      </c>
      <c r="L32" s="103">
        <v>0</v>
      </c>
    </row>
    <row r="33" spans="5:12" x14ac:dyDescent="0.4">
      <c r="E33" s="63" t="s">
        <v>82</v>
      </c>
      <c r="F33" s="60" t="s">
        <v>36</v>
      </c>
      <c r="G33" s="47">
        <v>0</v>
      </c>
      <c r="H33" s="137">
        <f>IF(B$27=0,0,G33/B$27)</f>
        <v>0</v>
      </c>
      <c r="I33" s="98">
        <v>1</v>
      </c>
      <c r="K33" s="38">
        <v>31</v>
      </c>
      <c r="L33" s="103">
        <v>29.1</v>
      </c>
    </row>
    <row r="34" spans="5:12" x14ac:dyDescent="0.4">
      <c r="E34" s="63" t="s">
        <v>83</v>
      </c>
      <c r="F34" s="60" t="s">
        <v>37</v>
      </c>
      <c r="G34" s="47">
        <v>0</v>
      </c>
      <c r="H34" s="137">
        <f>IF(B$27=0,0,G34/B$27)</f>
        <v>0</v>
      </c>
      <c r="I34" s="98">
        <v>1</v>
      </c>
      <c r="K34" s="38">
        <v>32</v>
      </c>
      <c r="L34" s="103">
        <v>4.3000000000000007</v>
      </c>
    </row>
    <row r="35" spans="5:12" x14ac:dyDescent="0.4">
      <c r="E35" s="63" t="s">
        <v>85</v>
      </c>
      <c r="F35" s="60" t="s">
        <v>39</v>
      </c>
      <c r="G35" s="47">
        <v>0</v>
      </c>
      <c r="H35" s="137">
        <f>IF(B$27=0,0,G35/B$27)</f>
        <v>0</v>
      </c>
      <c r="I35" s="98">
        <v>1</v>
      </c>
      <c r="K35" s="38">
        <v>33</v>
      </c>
      <c r="L35" s="103">
        <v>8.8817841970012523E-16</v>
      </c>
    </row>
    <row r="36" spans="5:12" x14ac:dyDescent="0.4">
      <c r="E36" s="63" t="s">
        <v>97</v>
      </c>
      <c r="F36" s="60" t="s">
        <v>51</v>
      </c>
      <c r="G36" s="47">
        <v>0</v>
      </c>
      <c r="H36" s="137">
        <f>IF(B$27=0,0,G36/B$27)</f>
        <v>0</v>
      </c>
      <c r="I36" s="98">
        <v>1</v>
      </c>
      <c r="K36" s="38">
        <v>34</v>
      </c>
      <c r="L36" s="103">
        <v>-7.2999999999999989</v>
      </c>
    </row>
    <row r="37" spans="5:12" x14ac:dyDescent="0.4">
      <c r="E37" s="63" t="s">
        <v>99</v>
      </c>
      <c r="F37" s="60" t="s">
        <v>53</v>
      </c>
      <c r="G37" s="47">
        <v>0</v>
      </c>
      <c r="H37" s="137">
        <f>IF(B$27=0,0,G37/B$27)</f>
        <v>0</v>
      </c>
      <c r="I37" s="98">
        <v>1</v>
      </c>
      <c r="K37" s="38">
        <v>35</v>
      </c>
      <c r="L37" s="103">
        <v>-37.199999999999996</v>
      </c>
    </row>
    <row r="38" spans="5:12" x14ac:dyDescent="0.4">
      <c r="E38" s="63" t="s">
        <v>100</v>
      </c>
      <c r="F38" s="60" t="s">
        <v>54</v>
      </c>
      <c r="G38" s="47">
        <v>0</v>
      </c>
      <c r="H38" s="137">
        <f>IF(B$27=0,0,G38/B$27)</f>
        <v>0</v>
      </c>
      <c r="I38" s="98">
        <v>1</v>
      </c>
      <c r="K38" s="38">
        <v>36</v>
      </c>
      <c r="L38" s="103">
        <v>7.1054273576010019E-15</v>
      </c>
    </row>
    <row r="39" spans="5:12" x14ac:dyDescent="0.4">
      <c r="E39" s="63" t="s">
        <v>101</v>
      </c>
      <c r="F39" s="60" t="s">
        <v>55</v>
      </c>
      <c r="G39" s="47">
        <v>0</v>
      </c>
      <c r="H39" s="137">
        <f>IF(B$27=0,0,G39/B$27)</f>
        <v>0</v>
      </c>
      <c r="I39" s="98">
        <v>1</v>
      </c>
      <c r="K39" s="38">
        <v>37</v>
      </c>
      <c r="L39" s="103">
        <v>-31.699999999999992</v>
      </c>
    </row>
    <row r="40" spans="5:12" x14ac:dyDescent="0.4">
      <c r="E40" s="63" t="s">
        <v>102</v>
      </c>
      <c r="F40" s="60" t="s">
        <v>56</v>
      </c>
      <c r="G40" s="47">
        <v>0</v>
      </c>
      <c r="H40" s="137">
        <f>IF(B$27=0,0,G40/B$27)</f>
        <v>0</v>
      </c>
      <c r="I40" s="98">
        <v>1</v>
      </c>
      <c r="K40" s="38">
        <v>38</v>
      </c>
      <c r="L40" s="103">
        <v>-33.099999999999994</v>
      </c>
    </row>
    <row r="41" spans="5:12" x14ac:dyDescent="0.4">
      <c r="E41" s="63" t="s">
        <v>103</v>
      </c>
      <c r="F41" s="60" t="s">
        <v>57</v>
      </c>
      <c r="G41" s="47">
        <v>0</v>
      </c>
      <c r="H41" s="137">
        <f>IF(B$27=0,0,G41/B$27)</f>
        <v>0</v>
      </c>
      <c r="I41" s="98">
        <v>1</v>
      </c>
      <c r="K41" s="38">
        <v>39</v>
      </c>
      <c r="L41" s="103">
        <v>7.1054273576010019E-15</v>
      </c>
    </row>
    <row r="42" spans="5:12" x14ac:dyDescent="0.4">
      <c r="E42" s="63" t="s">
        <v>104</v>
      </c>
      <c r="F42" s="60" t="s">
        <v>58</v>
      </c>
      <c r="G42" s="47">
        <v>0</v>
      </c>
      <c r="H42" s="137">
        <f>IF(B$27=0,0,G42/B$27)</f>
        <v>0</v>
      </c>
      <c r="I42" s="98">
        <v>1</v>
      </c>
      <c r="K42" s="38">
        <v>40</v>
      </c>
      <c r="L42" s="103">
        <v>-39.699999999999996</v>
      </c>
    </row>
    <row r="43" spans="5:12" x14ac:dyDescent="0.4">
      <c r="E43" s="63" t="s">
        <v>105</v>
      </c>
      <c r="F43" s="60" t="s">
        <v>59</v>
      </c>
      <c r="G43" s="47">
        <v>0</v>
      </c>
      <c r="H43" s="137">
        <f>IF(B$27=0,0,G43/B$27)</f>
        <v>0</v>
      </c>
      <c r="I43" s="98">
        <v>1</v>
      </c>
      <c r="K43" s="38">
        <v>41</v>
      </c>
      <c r="L43" s="103">
        <v>5.5000000000000071</v>
      </c>
    </row>
    <row r="44" spans="5:12" x14ac:dyDescent="0.4">
      <c r="E44" s="63" t="s">
        <v>106</v>
      </c>
      <c r="F44" s="60" t="s">
        <v>60</v>
      </c>
      <c r="G44" s="47">
        <v>0</v>
      </c>
      <c r="H44" s="137">
        <f>IF(B$27=0,0,G44/B$27)</f>
        <v>0</v>
      </c>
      <c r="I44" s="98">
        <v>1</v>
      </c>
      <c r="K44" s="38">
        <v>42</v>
      </c>
      <c r="L44" s="103">
        <v>7.1054273576010019E-15</v>
      </c>
    </row>
    <row r="45" spans="5:12" x14ac:dyDescent="0.4">
      <c r="E45" s="63" t="s">
        <v>107</v>
      </c>
      <c r="F45" s="60" t="s">
        <v>61</v>
      </c>
      <c r="G45" s="47">
        <v>0</v>
      </c>
      <c r="H45" s="137">
        <f>IF(B$27=0,0,G45/B$27)</f>
        <v>0</v>
      </c>
      <c r="I45" s="98">
        <v>1</v>
      </c>
      <c r="K45" s="38">
        <v>43</v>
      </c>
      <c r="L45" s="103">
        <v>87.1</v>
      </c>
    </row>
    <row r="46" spans="5:12" x14ac:dyDescent="0.4">
      <c r="E46" s="63" t="s">
        <v>108</v>
      </c>
      <c r="F46" s="60" t="s">
        <v>115</v>
      </c>
      <c r="G46" s="47">
        <v>0</v>
      </c>
      <c r="H46" s="137">
        <f>IF(B$27=0,0,G46/B$27)</f>
        <v>0</v>
      </c>
      <c r="I46" s="98">
        <v>1</v>
      </c>
      <c r="K46" s="38">
        <v>44</v>
      </c>
      <c r="L46" s="103">
        <v>60.399999999999991</v>
      </c>
    </row>
    <row r="47" spans="5:12" x14ac:dyDescent="0.4">
      <c r="E47" s="63" t="s">
        <v>109</v>
      </c>
      <c r="F47" s="60" t="s">
        <v>116</v>
      </c>
      <c r="G47" s="47">
        <v>0</v>
      </c>
      <c r="H47" s="137">
        <f>IF(B$27=0,0,G47/B$27)</f>
        <v>0</v>
      </c>
      <c r="I47" s="98">
        <v>1</v>
      </c>
      <c r="K47" s="38">
        <v>45</v>
      </c>
      <c r="L47" s="103">
        <v>-7.1054273576010019E-15</v>
      </c>
    </row>
    <row r="48" spans="5:12" x14ac:dyDescent="0.4">
      <c r="E48" s="63" t="s">
        <v>110</v>
      </c>
      <c r="F48" s="60" t="s">
        <v>117</v>
      </c>
      <c r="G48" s="47">
        <v>0</v>
      </c>
      <c r="H48" s="137">
        <f>IF(B$27=0,0,G48/B$27)</f>
        <v>0</v>
      </c>
      <c r="I48" s="98">
        <v>1</v>
      </c>
      <c r="K48" s="38">
        <v>46</v>
      </c>
      <c r="L48" s="103">
        <v>-48.000000000000007</v>
      </c>
    </row>
    <row r="49" spans="5:12" x14ac:dyDescent="0.4">
      <c r="E49" s="63" t="s">
        <v>111</v>
      </c>
      <c r="F49" s="60" t="s">
        <v>62</v>
      </c>
      <c r="G49" s="47">
        <v>0</v>
      </c>
      <c r="H49" s="137">
        <f>IF(B$27=0,0,G49/B$27)</f>
        <v>0</v>
      </c>
      <c r="I49" s="98">
        <v>1</v>
      </c>
      <c r="K49" s="38">
        <v>47</v>
      </c>
      <c r="L49" s="103">
        <v>-49.600000000000009</v>
      </c>
    </row>
    <row r="50" spans="5:12" x14ac:dyDescent="0.4">
      <c r="E50" s="63" t="s">
        <v>112</v>
      </c>
      <c r="F50" s="60" t="s">
        <v>63</v>
      </c>
      <c r="G50" s="47">
        <v>0</v>
      </c>
      <c r="H50" s="137">
        <f>IF(B$27=0,0,G50/B$27)</f>
        <v>0</v>
      </c>
      <c r="I50" s="98">
        <v>1</v>
      </c>
      <c r="K50" s="38">
        <v>48</v>
      </c>
      <c r="L50" s="103">
        <v>-7.1054273576010019E-15</v>
      </c>
    </row>
    <row r="51" spans="5:12" x14ac:dyDescent="0.4">
      <c r="E51" s="63" t="s">
        <v>113</v>
      </c>
      <c r="F51" s="60" t="s">
        <v>64</v>
      </c>
      <c r="G51" s="47">
        <v>0</v>
      </c>
      <c r="H51" s="137">
        <f>IF(B$27=0,0,G51/B$27)</f>
        <v>0</v>
      </c>
      <c r="I51" s="98">
        <v>1</v>
      </c>
      <c r="K51" s="38">
        <v>49</v>
      </c>
      <c r="L51" s="103">
        <v>38.399999999999991</v>
      </c>
    </row>
    <row r="52" spans="5:12" x14ac:dyDescent="0.4">
      <c r="E52" s="64" t="s">
        <v>114</v>
      </c>
      <c r="F52" s="61" t="s">
        <v>65</v>
      </c>
      <c r="G52" s="49">
        <v>0</v>
      </c>
      <c r="H52" s="138">
        <f>IF(B$27=0,0,G52/B$27)</f>
        <v>0</v>
      </c>
      <c r="I52" s="99">
        <v>1</v>
      </c>
      <c r="K52" s="38">
        <v>50</v>
      </c>
      <c r="L52" s="103">
        <v>4.0999999999999943</v>
      </c>
    </row>
    <row r="53" spans="5:12" x14ac:dyDescent="0.4">
      <c r="K53" s="38">
        <v>51</v>
      </c>
      <c r="L53" s="103">
        <v>-5.3290705182007514E-15</v>
      </c>
    </row>
    <row r="54" spans="5:12" x14ac:dyDescent="0.4">
      <c r="K54" s="38">
        <v>52</v>
      </c>
      <c r="L54" s="103">
        <v>27.799999999999997</v>
      </c>
    </row>
    <row r="55" spans="5:12" x14ac:dyDescent="0.4">
      <c r="K55" s="38">
        <v>53</v>
      </c>
      <c r="L55" s="103">
        <v>25.099999999999998</v>
      </c>
    </row>
    <row r="56" spans="5:12" x14ac:dyDescent="0.4">
      <c r="K56" s="38">
        <v>54</v>
      </c>
      <c r="L56" s="103">
        <v>-3.5527136788005009E-15</v>
      </c>
    </row>
    <row r="57" spans="5:12" x14ac:dyDescent="0.4">
      <c r="K57" s="38">
        <v>55</v>
      </c>
      <c r="L57" s="103">
        <v>47.2</v>
      </c>
    </row>
    <row r="58" spans="5:12" x14ac:dyDescent="0.4">
      <c r="K58" s="38">
        <v>56</v>
      </c>
      <c r="L58" s="103">
        <v>-3.5</v>
      </c>
    </row>
    <row r="59" spans="5:12" x14ac:dyDescent="0.4">
      <c r="K59" s="38">
        <v>57</v>
      </c>
      <c r="L59" s="103">
        <v>0</v>
      </c>
    </row>
    <row r="60" spans="5:12" x14ac:dyDescent="0.4">
      <c r="K60" s="38">
        <v>58</v>
      </c>
      <c r="L60" s="103">
        <v>-28.5</v>
      </c>
    </row>
    <row r="61" spans="5:12" x14ac:dyDescent="0.4">
      <c r="K61" s="38">
        <v>59</v>
      </c>
      <c r="L61" s="103">
        <v>-31.9</v>
      </c>
    </row>
    <row r="62" spans="5:12" x14ac:dyDescent="0.4">
      <c r="K62" s="38">
        <v>60</v>
      </c>
      <c r="L62" s="103">
        <v>0</v>
      </c>
    </row>
    <row r="63" spans="5:12" x14ac:dyDescent="0.4">
      <c r="K63" s="38">
        <v>61</v>
      </c>
      <c r="L63" s="103">
        <v>-24.4</v>
      </c>
    </row>
    <row r="64" spans="5:12" x14ac:dyDescent="0.4">
      <c r="K64" s="38">
        <v>62</v>
      </c>
      <c r="L64" s="103">
        <v>-22.299999999999997</v>
      </c>
    </row>
    <row r="65" spans="11:12" x14ac:dyDescent="0.4">
      <c r="K65" s="38">
        <v>63</v>
      </c>
      <c r="L65" s="103">
        <v>3.5527136788005009E-15</v>
      </c>
    </row>
    <row r="66" spans="11:12" x14ac:dyDescent="0.4">
      <c r="K66" s="38">
        <v>64</v>
      </c>
      <c r="L66" s="103">
        <v>28.900000000000002</v>
      </c>
    </row>
    <row r="67" spans="11:12" x14ac:dyDescent="0.4">
      <c r="K67" s="38">
        <v>65</v>
      </c>
      <c r="L67" s="103">
        <v>3.5000000000000036</v>
      </c>
    </row>
    <row r="68" spans="11:12" x14ac:dyDescent="0.4">
      <c r="K68" s="38">
        <v>66</v>
      </c>
      <c r="L68" s="103">
        <v>3.5527136788005009E-15</v>
      </c>
    </row>
    <row r="69" spans="11:12" x14ac:dyDescent="0.4">
      <c r="K69" s="38">
        <v>67</v>
      </c>
      <c r="L69" s="103">
        <v>-15.299999999999997</v>
      </c>
    </row>
    <row r="70" spans="11:12" x14ac:dyDescent="0.4">
      <c r="K70" s="38">
        <v>68</v>
      </c>
      <c r="L70" s="103">
        <v>41</v>
      </c>
    </row>
    <row r="71" spans="11:12" x14ac:dyDescent="0.4">
      <c r="K71" s="38">
        <v>69</v>
      </c>
      <c r="L71" s="103">
        <v>0</v>
      </c>
    </row>
    <row r="72" spans="11:12" x14ac:dyDescent="0.4">
      <c r="K72" s="38">
        <v>70</v>
      </c>
      <c r="L72" s="103">
        <v>-15.8</v>
      </c>
    </row>
    <row r="73" spans="11:12" x14ac:dyDescent="0.4">
      <c r="K73" s="38">
        <v>71</v>
      </c>
      <c r="L73" s="103">
        <v>57.8</v>
      </c>
    </row>
    <row r="74" spans="11:12" x14ac:dyDescent="0.4">
      <c r="K74" s="38">
        <v>72</v>
      </c>
      <c r="L74" s="103">
        <v>0</v>
      </c>
    </row>
    <row r="75" spans="11:12" x14ac:dyDescent="0.4">
      <c r="K75" s="38">
        <v>73</v>
      </c>
      <c r="L75" s="103">
        <v>54.6</v>
      </c>
    </row>
    <row r="76" spans="11:12" x14ac:dyDescent="0.4">
      <c r="K76" s="38">
        <v>74</v>
      </c>
      <c r="L76" s="103">
        <v>14.600000000000001</v>
      </c>
    </row>
    <row r="77" spans="11:12" x14ac:dyDescent="0.4">
      <c r="K77" s="38">
        <v>75</v>
      </c>
      <c r="L77" s="103">
        <v>1.7763568394002505E-15</v>
      </c>
    </row>
    <row r="78" spans="11:12" x14ac:dyDescent="0.4">
      <c r="K78" s="38">
        <v>76</v>
      </c>
      <c r="L78" s="103">
        <v>-43.7</v>
      </c>
    </row>
    <row r="79" spans="11:12" x14ac:dyDescent="0.4">
      <c r="K79" s="38">
        <v>77</v>
      </c>
      <c r="L79" s="103">
        <v>6.2999999999999972</v>
      </c>
    </row>
    <row r="80" spans="11:12" x14ac:dyDescent="0.4">
      <c r="K80" s="38">
        <v>78</v>
      </c>
      <c r="L80" s="103">
        <v>-2.6645352591003757E-15</v>
      </c>
    </row>
    <row r="81" spans="11:12" x14ac:dyDescent="0.4">
      <c r="K81" s="38">
        <v>79</v>
      </c>
      <c r="L81" s="103">
        <v>-32.5</v>
      </c>
    </row>
    <row r="82" spans="11:12" x14ac:dyDescent="0.4">
      <c r="K82" s="38">
        <v>80</v>
      </c>
      <c r="L82" s="103">
        <v>-37.1</v>
      </c>
    </row>
    <row r="83" spans="11:12" x14ac:dyDescent="0.4">
      <c r="K83" s="38">
        <v>81</v>
      </c>
      <c r="L83" s="103">
        <v>0</v>
      </c>
    </row>
    <row r="84" spans="11:12" x14ac:dyDescent="0.4">
      <c r="K84" s="38">
        <v>82</v>
      </c>
      <c r="L84" s="103">
        <v>8</v>
      </c>
    </row>
    <row r="85" spans="11:12" x14ac:dyDescent="0.4">
      <c r="K85" s="38">
        <v>83</v>
      </c>
      <c r="L85" s="103">
        <v>-29.299999999999997</v>
      </c>
    </row>
    <row r="86" spans="11:12" x14ac:dyDescent="0.4">
      <c r="K86" s="38">
        <v>84</v>
      </c>
      <c r="L86" s="103">
        <v>3.5527136788005009E-15</v>
      </c>
    </row>
    <row r="87" spans="11:12" x14ac:dyDescent="0.4">
      <c r="K87" s="38">
        <v>85</v>
      </c>
      <c r="L87" s="103">
        <v>-6.9999999999999964</v>
      </c>
    </row>
    <row r="88" spans="11:12" x14ac:dyDescent="0.4">
      <c r="K88" s="38">
        <v>86</v>
      </c>
      <c r="L88" s="103">
        <v>-38.5</v>
      </c>
    </row>
    <row r="89" spans="11:12" x14ac:dyDescent="0.4">
      <c r="K89" s="38">
        <v>87</v>
      </c>
      <c r="L89" s="103">
        <v>0</v>
      </c>
    </row>
    <row r="90" spans="11:12" x14ac:dyDescent="0.4">
      <c r="K90" s="38">
        <v>88</v>
      </c>
      <c r="L90" s="103">
        <v>52.9</v>
      </c>
    </row>
    <row r="91" spans="11:12" x14ac:dyDescent="0.4">
      <c r="K91" s="38">
        <v>89</v>
      </c>
      <c r="L91" s="103">
        <v>-3.1000000000000014</v>
      </c>
    </row>
    <row r="92" spans="11:12" x14ac:dyDescent="0.4">
      <c r="K92" s="38">
        <v>90</v>
      </c>
      <c r="L92" s="103">
        <v>-1.3322676295501878E-15</v>
      </c>
    </row>
    <row r="93" spans="11:12" x14ac:dyDescent="0.4">
      <c r="K93" s="38">
        <v>91</v>
      </c>
      <c r="L93" s="103">
        <v>22.1</v>
      </c>
    </row>
    <row r="94" spans="11:12" x14ac:dyDescent="0.4">
      <c r="K94" s="38">
        <v>92</v>
      </c>
      <c r="L94" s="103">
        <v>24</v>
      </c>
    </row>
    <row r="95" spans="11:12" x14ac:dyDescent="0.4">
      <c r="K95" s="38">
        <v>93</v>
      </c>
      <c r="L95" s="103">
        <v>0</v>
      </c>
    </row>
    <row r="96" spans="11:12" x14ac:dyDescent="0.4">
      <c r="K96" s="38">
        <v>94</v>
      </c>
      <c r="L96" s="103">
        <v>22.1</v>
      </c>
    </row>
    <row r="97" spans="11:12" x14ac:dyDescent="0.4">
      <c r="K97" s="38">
        <v>95</v>
      </c>
      <c r="L97" s="103">
        <v>24</v>
      </c>
    </row>
    <row r="98" spans="11:12" x14ac:dyDescent="0.4">
      <c r="K98" s="38">
        <v>96</v>
      </c>
      <c r="L98" s="103">
        <v>0</v>
      </c>
    </row>
    <row r="99" spans="11:12" x14ac:dyDescent="0.4">
      <c r="K99" s="38">
        <v>97</v>
      </c>
      <c r="L99" s="103">
        <v>25.7</v>
      </c>
    </row>
    <row r="100" spans="11:12" x14ac:dyDescent="0.4">
      <c r="K100" s="38">
        <v>98</v>
      </c>
      <c r="L100" s="103">
        <v>1.8000000000000007</v>
      </c>
    </row>
    <row r="101" spans="11:12" x14ac:dyDescent="0.4">
      <c r="K101" s="38">
        <v>99</v>
      </c>
      <c r="L101" s="103">
        <v>6.6613381477509392E-16</v>
      </c>
    </row>
    <row r="102" spans="11:12" x14ac:dyDescent="0.4">
      <c r="K102" s="38">
        <v>100</v>
      </c>
      <c r="L102" s="103">
        <v>39.6</v>
      </c>
    </row>
    <row r="103" spans="11:12" x14ac:dyDescent="0.4">
      <c r="K103" s="38">
        <v>101</v>
      </c>
      <c r="L103" s="103">
        <v>-64.199999999999989</v>
      </c>
    </row>
    <row r="104" spans="11:12" x14ac:dyDescent="0.4">
      <c r="K104" s="38">
        <v>102</v>
      </c>
      <c r="L104" s="103">
        <v>1.4210854715202004E-14</v>
      </c>
    </row>
    <row r="105" spans="11:12" x14ac:dyDescent="0.4">
      <c r="K105" s="38">
        <v>103</v>
      </c>
      <c r="L105" s="103">
        <v>-74.499999999999986</v>
      </c>
    </row>
    <row r="106" spans="11:12" x14ac:dyDescent="0.4">
      <c r="K106" s="38">
        <v>104</v>
      </c>
      <c r="L106" s="103">
        <v>2.2000000000000171</v>
      </c>
    </row>
    <row r="107" spans="11:12" x14ac:dyDescent="0.4">
      <c r="K107" s="38">
        <v>105</v>
      </c>
      <c r="L107" s="103">
        <v>1.6875389974302379E-14</v>
      </c>
    </row>
    <row r="108" spans="11:12" x14ac:dyDescent="0.4">
      <c r="K108" s="38">
        <v>106</v>
      </c>
      <c r="L108" s="103">
        <v>-31.599999999999984</v>
      </c>
    </row>
    <row r="109" spans="11:12" x14ac:dyDescent="0.4">
      <c r="K109" s="38">
        <v>107</v>
      </c>
      <c r="L109" s="103">
        <v>-35.799999999999983</v>
      </c>
    </row>
    <row r="110" spans="11:12" x14ac:dyDescent="0.4">
      <c r="K110" s="38">
        <v>108</v>
      </c>
      <c r="L110" s="103">
        <v>1.4210854715202004E-14</v>
      </c>
    </row>
    <row r="111" spans="11:12" x14ac:dyDescent="0.4">
      <c r="K111" s="38">
        <v>109</v>
      </c>
      <c r="L111" s="103">
        <v>35.300000000000011</v>
      </c>
    </row>
    <row r="112" spans="11:12" x14ac:dyDescent="0.4">
      <c r="K112" s="38">
        <v>110</v>
      </c>
      <c r="L112" s="103">
        <v>34.000000000000014</v>
      </c>
    </row>
    <row r="113" spans="11:12" x14ac:dyDescent="0.4">
      <c r="K113" s="38">
        <v>111</v>
      </c>
      <c r="L113" s="103">
        <v>1.4210854715202004E-14</v>
      </c>
    </row>
    <row r="114" spans="11:12" x14ac:dyDescent="0.4">
      <c r="K114" s="38">
        <v>112</v>
      </c>
      <c r="L114" s="103">
        <v>6.1000000000000139</v>
      </c>
    </row>
    <row r="115" spans="11:12" x14ac:dyDescent="0.4">
      <c r="K115" s="38">
        <v>113</v>
      </c>
      <c r="L115" s="103">
        <v>57.000000000000014</v>
      </c>
    </row>
    <row r="116" spans="11:12" x14ac:dyDescent="0.4">
      <c r="K116" s="38">
        <v>114</v>
      </c>
      <c r="L116" s="103">
        <v>1.4210854715202004E-14</v>
      </c>
    </row>
    <row r="117" spans="11:12" x14ac:dyDescent="0.4">
      <c r="K117" s="38">
        <v>115</v>
      </c>
      <c r="L117" s="103">
        <v>-5.0999999999999854</v>
      </c>
    </row>
    <row r="118" spans="11:12" x14ac:dyDescent="0.4">
      <c r="K118" s="38">
        <v>116</v>
      </c>
      <c r="L118" s="103">
        <v>31.600000000000016</v>
      </c>
    </row>
    <row r="119" spans="11:12" x14ac:dyDescent="0.4">
      <c r="K119" s="38">
        <v>117</v>
      </c>
      <c r="L119" s="103">
        <v>1.4210854715202004E-14</v>
      </c>
    </row>
    <row r="120" spans="11:12" x14ac:dyDescent="0.4">
      <c r="K120" s="38">
        <v>118</v>
      </c>
      <c r="L120" s="103">
        <v>5.2000000000000144</v>
      </c>
    </row>
    <row r="121" spans="11:12" x14ac:dyDescent="0.4">
      <c r="K121" s="38">
        <v>119</v>
      </c>
      <c r="L121" s="103">
        <v>41.500000000000014</v>
      </c>
    </row>
    <row r="122" spans="11:12" x14ac:dyDescent="0.4">
      <c r="K122" s="38">
        <v>120</v>
      </c>
      <c r="L122" s="103">
        <v>1.4210854715202004E-14</v>
      </c>
    </row>
    <row r="123" spans="11:12" x14ac:dyDescent="0.4">
      <c r="K123" s="38">
        <v>121</v>
      </c>
      <c r="L123" s="103">
        <v>-7.8999999999999861</v>
      </c>
    </row>
    <row r="124" spans="11:12" x14ac:dyDescent="0.4">
      <c r="K124" s="38">
        <v>122</v>
      </c>
      <c r="L124" s="103">
        <v>55.100000000000016</v>
      </c>
    </row>
    <row r="125" spans="11:12" x14ac:dyDescent="0.4">
      <c r="K125" s="38">
        <v>123</v>
      </c>
      <c r="L125" s="103">
        <v>1.4210854715202004E-14</v>
      </c>
    </row>
    <row r="126" spans="11:12" x14ac:dyDescent="0.4">
      <c r="K126" s="38">
        <v>124</v>
      </c>
      <c r="L126" s="103">
        <v>-0.99999999999998579</v>
      </c>
    </row>
    <row r="127" spans="11:12" x14ac:dyDescent="0.4">
      <c r="K127" s="38">
        <v>125</v>
      </c>
      <c r="L127" s="103">
        <v>-30.799999999999986</v>
      </c>
    </row>
    <row r="128" spans="11:12" x14ac:dyDescent="0.4">
      <c r="K128" s="38">
        <v>126</v>
      </c>
      <c r="L128" s="103">
        <v>1.4210854715202004E-14</v>
      </c>
    </row>
    <row r="129" spans="11:12" x14ac:dyDescent="0.4">
      <c r="K129" s="38">
        <v>127</v>
      </c>
      <c r="L129" s="103">
        <v>0.50000000000001421</v>
      </c>
    </row>
    <row r="130" spans="11:12" x14ac:dyDescent="0.4">
      <c r="K130" s="38">
        <v>128</v>
      </c>
      <c r="L130" s="103">
        <v>29.100000000000016</v>
      </c>
    </row>
    <row r="131" spans="11:12" x14ac:dyDescent="0.4">
      <c r="K131" s="38">
        <v>129</v>
      </c>
      <c r="L131" s="103">
        <v>1.4210854715202004E-14</v>
      </c>
    </row>
    <row r="132" spans="11:12" x14ac:dyDescent="0.4">
      <c r="K132" s="38">
        <v>130</v>
      </c>
      <c r="L132" s="103">
        <v>-45.299999999999983</v>
      </c>
    </row>
    <row r="133" spans="11:12" x14ac:dyDescent="0.4">
      <c r="K133" s="38">
        <v>131</v>
      </c>
      <c r="L133" s="103">
        <v>-59.299999999999983</v>
      </c>
    </row>
    <row r="134" spans="11:12" x14ac:dyDescent="0.4">
      <c r="K134" s="38">
        <v>132</v>
      </c>
      <c r="L134" s="103">
        <v>1.4210854715202004E-14</v>
      </c>
    </row>
    <row r="135" spans="11:12" x14ac:dyDescent="0.4">
      <c r="K135" s="38">
        <v>133</v>
      </c>
      <c r="L135" s="103">
        <v>-8.8999999999999861</v>
      </c>
    </row>
    <row r="136" spans="11:12" x14ac:dyDescent="0.4">
      <c r="K136" s="38">
        <v>134</v>
      </c>
      <c r="L136" s="103">
        <v>-47.499999999999986</v>
      </c>
    </row>
    <row r="137" spans="11:12" x14ac:dyDescent="0.4">
      <c r="K137" s="38">
        <v>135</v>
      </c>
      <c r="L137" s="103">
        <v>1.4210854715202004E-14</v>
      </c>
    </row>
    <row r="138" spans="11:12" x14ac:dyDescent="0.4">
      <c r="K138" s="38">
        <v>136</v>
      </c>
      <c r="L138" s="103">
        <v>-3.4999999999999858</v>
      </c>
    </row>
    <row r="139" spans="11:12" x14ac:dyDescent="0.4">
      <c r="K139" s="38">
        <v>137</v>
      </c>
      <c r="L139" s="103">
        <v>27.000000000000014</v>
      </c>
    </row>
    <row r="140" spans="11:12" x14ac:dyDescent="0.4">
      <c r="K140" s="38">
        <v>138</v>
      </c>
      <c r="L140" s="103">
        <v>1.4210854715202004E-14</v>
      </c>
    </row>
    <row r="141" spans="11:12" x14ac:dyDescent="0.4">
      <c r="K141" s="38">
        <v>139</v>
      </c>
      <c r="L141" s="103">
        <v>-55.199999999999989</v>
      </c>
    </row>
    <row r="142" spans="11:12" x14ac:dyDescent="0.4">
      <c r="K142" s="38">
        <v>140</v>
      </c>
      <c r="L142" s="103">
        <v>-80.699999999999989</v>
      </c>
    </row>
    <row r="143" spans="11:12" x14ac:dyDescent="0.4">
      <c r="K143" s="38">
        <v>141</v>
      </c>
      <c r="L143" s="103">
        <v>1.4210854715202004E-14</v>
      </c>
    </row>
    <row r="144" spans="11:12" x14ac:dyDescent="0.4">
      <c r="K144" s="38">
        <v>142</v>
      </c>
      <c r="L144" s="103">
        <v>8.0000000000000142</v>
      </c>
    </row>
    <row r="145" spans="11:12" x14ac:dyDescent="0.4">
      <c r="K145" s="38">
        <v>143</v>
      </c>
      <c r="L145" s="103">
        <v>-63.199999999999989</v>
      </c>
    </row>
    <row r="146" spans="11:12" x14ac:dyDescent="0.4">
      <c r="K146" s="38">
        <v>144</v>
      </c>
      <c r="L146" s="103">
        <v>1.4210854715202004E-14</v>
      </c>
    </row>
    <row r="147" spans="11:12" x14ac:dyDescent="0.4">
      <c r="K147" s="38">
        <v>145</v>
      </c>
      <c r="L147" s="103">
        <v>54.500000000000014</v>
      </c>
    </row>
    <row r="148" spans="11:12" x14ac:dyDescent="0.4">
      <c r="K148" s="38">
        <v>146</v>
      </c>
      <c r="L148" s="103">
        <v>8.5000000000000142</v>
      </c>
    </row>
    <row r="149" spans="11:12" x14ac:dyDescent="0.4">
      <c r="K149" s="38">
        <v>147</v>
      </c>
      <c r="L149" s="103">
        <v>1.4210854715202004E-14</v>
      </c>
    </row>
    <row r="150" spans="11:12" x14ac:dyDescent="0.4">
      <c r="K150" s="38">
        <v>148</v>
      </c>
      <c r="L150" s="103">
        <v>-10.599999999999985</v>
      </c>
    </row>
    <row r="151" spans="11:12" x14ac:dyDescent="0.4">
      <c r="K151" s="38">
        <v>149</v>
      </c>
      <c r="L151" s="103">
        <v>-61.79999999999999</v>
      </c>
    </row>
    <row r="152" spans="11:12" x14ac:dyDescent="0.4">
      <c r="K152" s="38">
        <v>150</v>
      </c>
      <c r="L152" s="103">
        <v>7.1054273576010019E-15</v>
      </c>
    </row>
    <row r="153" spans="11:12" x14ac:dyDescent="0.4">
      <c r="K153" s="38">
        <v>151</v>
      </c>
      <c r="L153" s="103">
        <v>4.6000000000000068</v>
      </c>
    </row>
    <row r="154" spans="11:12" x14ac:dyDescent="0.4">
      <c r="K154" s="38">
        <v>152</v>
      </c>
      <c r="L154" s="103">
        <v>-25.29999999999999</v>
      </c>
    </row>
    <row r="155" spans="11:12" x14ac:dyDescent="0.4">
      <c r="K155" s="38">
        <v>153</v>
      </c>
      <c r="L155" s="103">
        <v>1.0658141036401503E-14</v>
      </c>
    </row>
    <row r="156" spans="11:12" x14ac:dyDescent="0.4">
      <c r="K156" s="38">
        <v>154</v>
      </c>
      <c r="L156" s="103">
        <v>-2.4999999999999893</v>
      </c>
    </row>
    <row r="157" spans="11:12" x14ac:dyDescent="0.4">
      <c r="K157" s="38">
        <v>155</v>
      </c>
      <c r="L157" s="103">
        <v>-49.999999999999986</v>
      </c>
    </row>
    <row r="158" spans="11:12" x14ac:dyDescent="0.4">
      <c r="K158" s="38">
        <v>156</v>
      </c>
      <c r="L158" s="103">
        <v>1.4210854715202004E-14</v>
      </c>
    </row>
    <row r="159" spans="11:12" x14ac:dyDescent="0.4">
      <c r="K159" s="38">
        <v>157</v>
      </c>
      <c r="L159" s="103">
        <v>31.900000000000013</v>
      </c>
    </row>
    <row r="160" spans="11:12" x14ac:dyDescent="0.4">
      <c r="K160" s="38">
        <v>158</v>
      </c>
      <c r="L160" s="103">
        <v>28.100000000000012</v>
      </c>
    </row>
    <row r="161" spans="11:12" x14ac:dyDescent="0.4">
      <c r="K161" s="38">
        <v>159</v>
      </c>
      <c r="L161" s="103">
        <v>1.0658141036401503E-14</v>
      </c>
    </row>
    <row r="162" spans="11:12" x14ac:dyDescent="0.4">
      <c r="K162" s="38">
        <v>160</v>
      </c>
      <c r="L162" s="103">
        <v>-55.999999999999986</v>
      </c>
    </row>
    <row r="163" spans="11:12" x14ac:dyDescent="0.4">
      <c r="K163" s="38">
        <v>161</v>
      </c>
      <c r="L163" s="103">
        <v>13.000000000000014</v>
      </c>
    </row>
    <row r="164" spans="11:12" x14ac:dyDescent="0.4">
      <c r="K164" s="38">
        <v>162</v>
      </c>
      <c r="L164" s="103">
        <v>1.4210854715202004E-14</v>
      </c>
    </row>
    <row r="165" spans="11:12" x14ac:dyDescent="0.4">
      <c r="K165" s="38">
        <v>163</v>
      </c>
      <c r="L165" s="103">
        <v>12.400000000000015</v>
      </c>
    </row>
    <row r="166" spans="11:12" x14ac:dyDescent="0.4">
      <c r="K166" s="38">
        <v>164</v>
      </c>
      <c r="L166" s="103">
        <v>49.100000000000016</v>
      </c>
    </row>
    <row r="167" spans="11:12" x14ac:dyDescent="0.4">
      <c r="K167" s="38">
        <v>165</v>
      </c>
      <c r="L167" s="103">
        <v>1.4210854715202004E-14</v>
      </c>
    </row>
    <row r="168" spans="11:12" x14ac:dyDescent="0.4">
      <c r="K168" s="38">
        <v>166</v>
      </c>
      <c r="L168" s="103">
        <v>-60.299999999999983</v>
      </c>
    </row>
    <row r="169" spans="11:12" x14ac:dyDescent="0.4">
      <c r="K169" s="38">
        <v>167</v>
      </c>
      <c r="L169" s="103">
        <v>9.3000000000000114</v>
      </c>
    </row>
    <row r="170" spans="11:12" x14ac:dyDescent="0.4">
      <c r="K170" s="38">
        <v>168</v>
      </c>
      <c r="L170" s="103">
        <v>1.0658141036401503E-14</v>
      </c>
    </row>
    <row r="171" spans="11:12" x14ac:dyDescent="0.4">
      <c r="K171" s="38">
        <v>169</v>
      </c>
      <c r="L171" s="103">
        <v>48.500000000000014</v>
      </c>
    </row>
    <row r="172" spans="11:12" x14ac:dyDescent="0.4">
      <c r="K172" s="38">
        <v>170</v>
      </c>
      <c r="L172" s="103">
        <v>68.000000000000014</v>
      </c>
    </row>
    <row r="173" spans="11:12" x14ac:dyDescent="0.4">
      <c r="K173" s="38">
        <v>171</v>
      </c>
      <c r="L173" s="103">
        <v>1.4210854715202004E-14</v>
      </c>
    </row>
    <row r="174" spans="11:12" x14ac:dyDescent="0.4">
      <c r="K174" s="38">
        <v>172</v>
      </c>
      <c r="L174" s="103">
        <v>-1.4999999999999858</v>
      </c>
    </row>
    <row r="175" spans="11:12" x14ac:dyDescent="0.4">
      <c r="K175" s="38">
        <v>173</v>
      </c>
      <c r="L175" s="103">
        <v>-32.599999999999987</v>
      </c>
    </row>
    <row r="176" spans="11:12" x14ac:dyDescent="0.4">
      <c r="K176" s="38">
        <v>174</v>
      </c>
      <c r="L176" s="103">
        <v>1.4210854715202004E-14</v>
      </c>
    </row>
    <row r="177" spans="11:12" x14ac:dyDescent="0.4">
      <c r="K177" s="38">
        <v>175</v>
      </c>
      <c r="L177" s="103">
        <v>47.400000000000013</v>
      </c>
    </row>
    <row r="178" spans="11:12" x14ac:dyDescent="0.4">
      <c r="K178" s="38">
        <v>176</v>
      </c>
      <c r="L178" s="103">
        <v>52.300000000000011</v>
      </c>
    </row>
    <row r="179" spans="11:12" x14ac:dyDescent="0.4">
      <c r="K179" s="38">
        <v>177</v>
      </c>
      <c r="L179" s="103">
        <v>1.4210854715202004E-14</v>
      </c>
    </row>
    <row r="180" spans="11:12" x14ac:dyDescent="0.4">
      <c r="K180" s="38">
        <v>178</v>
      </c>
      <c r="L180" s="103">
        <v>73.600000000000009</v>
      </c>
    </row>
    <row r="181" spans="11:12" x14ac:dyDescent="0.4">
      <c r="K181" s="38">
        <v>179</v>
      </c>
      <c r="L181" s="103">
        <v>7.3000000000000114</v>
      </c>
    </row>
    <row r="182" spans="11:12" x14ac:dyDescent="0.4">
      <c r="K182" s="38">
        <v>180</v>
      </c>
      <c r="L182" s="103">
        <v>1.1546319456101628E-14</v>
      </c>
    </row>
    <row r="183" spans="11:12" x14ac:dyDescent="0.4">
      <c r="K183" s="38">
        <v>181</v>
      </c>
      <c r="L183" s="103">
        <v>-33.599999999999987</v>
      </c>
    </row>
    <row r="184" spans="11:12" x14ac:dyDescent="0.4">
      <c r="K184" s="38">
        <v>182</v>
      </c>
      <c r="L184" s="103">
        <v>-32.499999999999986</v>
      </c>
    </row>
    <row r="185" spans="11:12" x14ac:dyDescent="0.4">
      <c r="K185" s="38">
        <v>183</v>
      </c>
      <c r="L185" s="103">
        <v>1.4210854715202004E-14</v>
      </c>
    </row>
    <row r="186" spans="11:12" x14ac:dyDescent="0.4">
      <c r="K186" s="38">
        <v>184</v>
      </c>
      <c r="L186" s="103">
        <v>5.4000000000000146</v>
      </c>
    </row>
    <row r="187" spans="11:12" x14ac:dyDescent="0.4">
      <c r="K187" s="38">
        <v>185</v>
      </c>
      <c r="L187" s="103">
        <v>-26.899999999999984</v>
      </c>
    </row>
    <row r="188" spans="11:12" x14ac:dyDescent="0.4">
      <c r="K188" s="38">
        <v>186</v>
      </c>
      <c r="L188" s="103">
        <v>1.4210854715202004E-14</v>
      </c>
    </row>
    <row r="189" spans="11:12" x14ac:dyDescent="0.4">
      <c r="K189" s="38">
        <v>187</v>
      </c>
      <c r="L189" s="103">
        <v>15.100000000000014</v>
      </c>
    </row>
    <row r="190" spans="11:12" x14ac:dyDescent="0.4">
      <c r="K190" s="38">
        <v>188</v>
      </c>
      <c r="L190" s="103">
        <v>-35.199999999999982</v>
      </c>
    </row>
    <row r="191" spans="11:12" x14ac:dyDescent="0.4">
      <c r="K191" s="38">
        <v>189</v>
      </c>
      <c r="L191" s="103">
        <v>2.1316282072803006E-14</v>
      </c>
    </row>
    <row r="192" spans="11:12" x14ac:dyDescent="0.4">
      <c r="K192" s="38">
        <v>190</v>
      </c>
      <c r="L192" s="103">
        <v>-28.199999999999978</v>
      </c>
    </row>
    <row r="193" spans="11:12" x14ac:dyDescent="0.4">
      <c r="K193" s="38">
        <v>191</v>
      </c>
      <c r="L193" s="103">
        <v>-33.499999999999979</v>
      </c>
    </row>
    <row r="194" spans="11:12" x14ac:dyDescent="0.4">
      <c r="K194" s="38">
        <v>192</v>
      </c>
      <c r="L194" s="103">
        <v>2.1316282072803006E-14</v>
      </c>
    </row>
    <row r="195" spans="11:12" x14ac:dyDescent="0.4">
      <c r="K195" s="38">
        <v>193</v>
      </c>
      <c r="L195" s="103">
        <v>-60.899999999999977</v>
      </c>
    </row>
    <row r="196" spans="11:12" x14ac:dyDescent="0.4">
      <c r="K196" s="38">
        <v>194</v>
      </c>
      <c r="L196" s="103">
        <v>-57.399999999999977</v>
      </c>
    </row>
    <row r="197" spans="11:12" x14ac:dyDescent="0.4">
      <c r="K197" s="38">
        <v>195</v>
      </c>
      <c r="L197" s="103">
        <v>2.1316282072803006E-14</v>
      </c>
    </row>
    <row r="198" spans="11:12" x14ac:dyDescent="0.4">
      <c r="K198" s="38">
        <v>196</v>
      </c>
      <c r="L198" s="103">
        <v>-57.699999999999982</v>
      </c>
    </row>
    <row r="199" spans="11:12" x14ac:dyDescent="0.4">
      <c r="K199" s="38">
        <v>197</v>
      </c>
      <c r="L199" s="103">
        <v>-13.799999999999983</v>
      </c>
    </row>
    <row r="200" spans="11:12" x14ac:dyDescent="0.4">
      <c r="K200" s="38">
        <v>198</v>
      </c>
      <c r="L200" s="103">
        <v>1.7763568394002505E-14</v>
      </c>
    </row>
    <row r="201" spans="11:12" x14ac:dyDescent="0.4">
      <c r="K201" s="38">
        <v>199</v>
      </c>
      <c r="L201" s="103">
        <v>-55.499999999999986</v>
      </c>
    </row>
    <row r="202" spans="11:12" x14ac:dyDescent="0.4">
      <c r="K202" s="38">
        <v>200</v>
      </c>
      <c r="L202" s="103">
        <v>1.5000000000000142</v>
      </c>
    </row>
    <row r="203" spans="11:12" x14ac:dyDescent="0.4">
      <c r="K203" s="38">
        <v>201</v>
      </c>
      <c r="L203" s="103">
        <v>1.4210854715202004E-14</v>
      </c>
    </row>
    <row r="204" spans="11:12" x14ac:dyDescent="0.4">
      <c r="K204" s="38">
        <v>202</v>
      </c>
      <c r="L204" s="103">
        <v>46.900000000000013</v>
      </c>
    </row>
    <row r="205" spans="11:12" x14ac:dyDescent="0.4">
      <c r="K205" s="38">
        <v>203</v>
      </c>
      <c r="L205" s="103">
        <v>12.500000000000014</v>
      </c>
    </row>
    <row r="206" spans="11:12" x14ac:dyDescent="0.4">
      <c r="K206" s="38">
        <v>204</v>
      </c>
      <c r="L206" s="103">
        <v>1.4210854715202004E-14</v>
      </c>
    </row>
    <row r="207" spans="11:12" x14ac:dyDescent="0.4">
      <c r="K207" s="38">
        <v>205</v>
      </c>
      <c r="L207" s="103">
        <v>-59.899999999999984</v>
      </c>
    </row>
    <row r="208" spans="11:12" x14ac:dyDescent="0.4">
      <c r="K208" s="38">
        <v>206</v>
      </c>
      <c r="L208" s="103">
        <v>4.4000000000000128</v>
      </c>
    </row>
    <row r="209" spans="11:12" x14ac:dyDescent="0.4">
      <c r="K209" s="38">
        <v>207</v>
      </c>
      <c r="L209" s="103">
        <v>1.2434497875801753E-14</v>
      </c>
    </row>
    <row r="210" spans="11:12" x14ac:dyDescent="0.4">
      <c r="K210" s="38">
        <v>208</v>
      </c>
      <c r="L210" s="103">
        <v>54.500000000000014</v>
      </c>
    </row>
    <row r="211" spans="11:12" x14ac:dyDescent="0.4">
      <c r="K211" s="38">
        <v>209</v>
      </c>
      <c r="L211" s="103">
        <v>-8.9999999999999858</v>
      </c>
    </row>
    <row r="212" spans="11:12" x14ac:dyDescent="0.4">
      <c r="K212" s="38">
        <v>210</v>
      </c>
      <c r="L212" s="103">
        <v>1.4210854715202004E-14</v>
      </c>
    </row>
    <row r="213" spans="11:12" x14ac:dyDescent="0.4">
      <c r="K213" s="38">
        <v>211</v>
      </c>
      <c r="L213" s="103">
        <v>-55.399999999999984</v>
      </c>
    </row>
    <row r="214" spans="11:12" x14ac:dyDescent="0.4">
      <c r="K214" s="38">
        <v>212</v>
      </c>
      <c r="L214" s="103">
        <v>-51.899999999999984</v>
      </c>
    </row>
    <row r="215" spans="11:12" x14ac:dyDescent="0.4">
      <c r="K215" s="38">
        <v>213</v>
      </c>
      <c r="L215" s="103">
        <v>1.4210854715202004E-14</v>
      </c>
    </row>
    <row r="216" spans="11:12" x14ac:dyDescent="0.4">
      <c r="K216" s="38">
        <v>214</v>
      </c>
      <c r="L216" s="103">
        <v>4.1000000000000139</v>
      </c>
    </row>
    <row r="217" spans="11:12" x14ac:dyDescent="0.4">
      <c r="K217" s="38">
        <v>215</v>
      </c>
      <c r="L217" s="103">
        <v>35.200000000000017</v>
      </c>
    </row>
    <row r="218" spans="11:12" x14ac:dyDescent="0.4">
      <c r="K218" s="38">
        <v>216</v>
      </c>
      <c r="L218" s="103">
        <v>1.4210854715202004E-14</v>
      </c>
    </row>
    <row r="219" spans="11:12" x14ac:dyDescent="0.4">
      <c r="K219" s="38">
        <v>217</v>
      </c>
      <c r="L219" s="103">
        <v>-5.199999999999986</v>
      </c>
    </row>
    <row r="220" spans="11:12" x14ac:dyDescent="0.4">
      <c r="K220" s="38">
        <v>218</v>
      </c>
      <c r="L220" s="103">
        <v>-32.29999999999999</v>
      </c>
    </row>
    <row r="221" spans="11:12" x14ac:dyDescent="0.4">
      <c r="K221" s="38">
        <v>219</v>
      </c>
      <c r="L221" s="103">
        <v>7.1054273576010019E-15</v>
      </c>
    </row>
    <row r="222" spans="11:12" x14ac:dyDescent="0.4">
      <c r="K222" s="38">
        <v>220</v>
      </c>
      <c r="L222" s="103">
        <v>30.600000000000009</v>
      </c>
    </row>
    <row r="223" spans="11:12" x14ac:dyDescent="0.4">
      <c r="K223" s="38">
        <v>221</v>
      </c>
      <c r="L223" s="103">
        <v>-10.099999999999994</v>
      </c>
    </row>
    <row r="224" spans="11:12" x14ac:dyDescent="0.4">
      <c r="K224" s="38">
        <v>222</v>
      </c>
      <c r="L224" s="103">
        <v>5.3290705182007514E-15</v>
      </c>
    </row>
    <row r="225" spans="11:12" x14ac:dyDescent="0.4">
      <c r="K225" s="38">
        <v>223</v>
      </c>
      <c r="L225" s="103">
        <v>-28.599999999999994</v>
      </c>
    </row>
    <row r="226" spans="11:12" x14ac:dyDescent="0.4">
      <c r="K226" s="38">
        <v>224</v>
      </c>
      <c r="L226" s="103">
        <v>1.3000000000000043</v>
      </c>
    </row>
    <row r="227" spans="11:12" x14ac:dyDescent="0.4">
      <c r="K227" s="38">
        <v>225</v>
      </c>
      <c r="L227" s="103">
        <v>4.2188474935755949E-15</v>
      </c>
    </row>
    <row r="228" spans="11:12" x14ac:dyDescent="0.4">
      <c r="K228" s="38">
        <v>226</v>
      </c>
      <c r="L228" s="103">
        <v>-26.299999999999997</v>
      </c>
    </row>
    <row r="229" spans="11:12" x14ac:dyDescent="0.4">
      <c r="K229" s="38">
        <v>227</v>
      </c>
      <c r="L229" s="103">
        <v>4.1000000000000014</v>
      </c>
    </row>
    <row r="230" spans="11:12" x14ac:dyDescent="0.4">
      <c r="K230" s="38">
        <v>228</v>
      </c>
      <c r="L230" s="103">
        <v>1.7763568394002505E-15</v>
      </c>
    </row>
    <row r="231" spans="11:12" x14ac:dyDescent="0.4">
      <c r="K231" s="38">
        <v>229</v>
      </c>
      <c r="L231" s="103">
        <v>-39.5</v>
      </c>
    </row>
    <row r="232" spans="11:12" x14ac:dyDescent="0.4">
      <c r="K232" s="38">
        <v>230</v>
      </c>
      <c r="L232" s="103">
        <v>-33.700000000000003</v>
      </c>
    </row>
    <row r="233" spans="11:12" x14ac:dyDescent="0.4">
      <c r="K233" s="38">
        <v>231</v>
      </c>
      <c r="L233" s="103">
        <v>0</v>
      </c>
    </row>
    <row r="234" spans="11:12" x14ac:dyDescent="0.4">
      <c r="K234" s="38">
        <v>232</v>
      </c>
      <c r="L234" s="103">
        <v>4.0999999999999996</v>
      </c>
    </row>
    <row r="235" spans="11:12" x14ac:dyDescent="0.4">
      <c r="K235" s="38">
        <v>233</v>
      </c>
      <c r="L235" s="103">
        <v>-56</v>
      </c>
    </row>
    <row r="236" spans="11:12" x14ac:dyDescent="0.4">
      <c r="K236" s="38">
        <v>234</v>
      </c>
      <c r="L236" s="103">
        <v>0</v>
      </c>
    </row>
    <row r="237" spans="11:12" x14ac:dyDescent="0.4">
      <c r="K237" s="38">
        <v>235</v>
      </c>
      <c r="L237" s="103">
        <v>-21</v>
      </c>
    </row>
    <row r="238" spans="11:12" x14ac:dyDescent="0.4">
      <c r="K238" s="38">
        <v>236</v>
      </c>
      <c r="L238" s="103">
        <v>58</v>
      </c>
    </row>
    <row r="239" spans="11:12" x14ac:dyDescent="0.4">
      <c r="K239" s="38">
        <v>237</v>
      </c>
      <c r="L239" s="103">
        <v>0</v>
      </c>
    </row>
    <row r="240" spans="11:12" x14ac:dyDescent="0.4">
      <c r="K240" s="38">
        <v>238</v>
      </c>
      <c r="L240" s="103">
        <v>-34</v>
      </c>
    </row>
    <row r="241" spans="11:12" x14ac:dyDescent="0.4">
      <c r="K241" s="38">
        <v>239</v>
      </c>
      <c r="L241" s="103">
        <v>-101</v>
      </c>
    </row>
    <row r="242" spans="11:12" x14ac:dyDescent="0.4">
      <c r="K242" s="38">
        <v>240</v>
      </c>
      <c r="L242" s="103">
        <v>0</v>
      </c>
    </row>
    <row r="243" spans="11:12" x14ac:dyDescent="0.4">
      <c r="K243" s="38">
        <v>241</v>
      </c>
      <c r="L243" s="103">
        <v>-13</v>
      </c>
    </row>
    <row r="244" spans="11:12" x14ac:dyDescent="0.4">
      <c r="K244" s="38">
        <v>242</v>
      </c>
      <c r="L244" s="103">
        <v>-92.9</v>
      </c>
    </row>
    <row r="245" spans="11:12" x14ac:dyDescent="0.4">
      <c r="K245" s="38">
        <v>243</v>
      </c>
      <c r="L245" s="103">
        <v>0</v>
      </c>
    </row>
    <row r="246" spans="11:12" x14ac:dyDescent="0.4">
      <c r="K246" s="38">
        <v>244</v>
      </c>
      <c r="L246" s="103">
        <v>-3.1</v>
      </c>
    </row>
    <row r="247" spans="11:12" x14ac:dyDescent="0.4">
      <c r="K247" s="38">
        <v>245</v>
      </c>
      <c r="L247" s="103">
        <v>30.299999999999997</v>
      </c>
    </row>
    <row r="248" spans="11:12" x14ac:dyDescent="0.4">
      <c r="K248" s="38">
        <v>246</v>
      </c>
      <c r="L248" s="103">
        <v>-3.5527136788005009E-15</v>
      </c>
    </row>
    <row r="249" spans="11:12" x14ac:dyDescent="0.4">
      <c r="K249" s="38">
        <v>247</v>
      </c>
      <c r="L249" s="103">
        <v>5.3999999999999968</v>
      </c>
    </row>
    <row r="250" spans="11:12" x14ac:dyDescent="0.4">
      <c r="K250" s="38">
        <v>248</v>
      </c>
      <c r="L250" s="103">
        <v>-29.4</v>
      </c>
    </row>
    <row r="251" spans="11:12" x14ac:dyDescent="0.4">
      <c r="K251" s="38">
        <v>249</v>
      </c>
      <c r="L251" s="103">
        <v>0</v>
      </c>
    </row>
    <row r="252" spans="11:12" x14ac:dyDescent="0.4">
      <c r="K252" s="38">
        <v>250</v>
      </c>
      <c r="L252" s="103">
        <v>-61.2</v>
      </c>
    </row>
    <row r="253" spans="11:12" x14ac:dyDescent="0.4">
      <c r="K253" s="38">
        <v>251</v>
      </c>
      <c r="L253" s="103">
        <v>-9</v>
      </c>
    </row>
    <row r="254" spans="11:12" x14ac:dyDescent="0.4">
      <c r="K254" s="38">
        <v>252</v>
      </c>
      <c r="L254" s="103">
        <v>0</v>
      </c>
    </row>
    <row r="255" spans="11:12" x14ac:dyDescent="0.4">
      <c r="K255" s="38">
        <v>253</v>
      </c>
      <c r="L255" s="103">
        <v>-15.6</v>
      </c>
    </row>
    <row r="256" spans="11:12" x14ac:dyDescent="0.4">
      <c r="K256" s="38">
        <v>254</v>
      </c>
      <c r="L256" s="103">
        <v>-74.3</v>
      </c>
    </row>
    <row r="257" spans="11:12" x14ac:dyDescent="0.4">
      <c r="K257" s="38">
        <v>255</v>
      </c>
      <c r="L257" s="103">
        <v>0</v>
      </c>
    </row>
    <row r="258" spans="11:12" x14ac:dyDescent="0.4">
      <c r="K258" s="38">
        <v>256</v>
      </c>
      <c r="L258" s="103">
        <v>7.7</v>
      </c>
    </row>
    <row r="259" spans="11:12" x14ac:dyDescent="0.4">
      <c r="K259" s="38">
        <v>257</v>
      </c>
      <c r="L259" s="103">
        <v>38.5</v>
      </c>
    </row>
    <row r="260" spans="11:12" x14ac:dyDescent="0.4">
      <c r="K260" s="38">
        <v>258</v>
      </c>
      <c r="L260" s="103">
        <v>0</v>
      </c>
    </row>
    <row r="261" spans="11:12" x14ac:dyDescent="0.4">
      <c r="K261" s="38">
        <v>259</v>
      </c>
      <c r="L261" s="103">
        <v>3.4</v>
      </c>
    </row>
    <row r="262" spans="11:12" x14ac:dyDescent="0.4">
      <c r="K262" s="38">
        <v>260</v>
      </c>
      <c r="L262" s="103">
        <v>-28.3</v>
      </c>
    </row>
    <row r="263" spans="11:12" x14ac:dyDescent="0.4">
      <c r="K263" s="38">
        <v>261</v>
      </c>
      <c r="L263" s="103">
        <v>0</v>
      </c>
    </row>
    <row r="264" spans="11:12" x14ac:dyDescent="0.4">
      <c r="K264" s="38">
        <v>262</v>
      </c>
      <c r="L264" s="103">
        <v>-42.3</v>
      </c>
    </row>
    <row r="265" spans="11:12" x14ac:dyDescent="0.4">
      <c r="K265" s="38">
        <v>263</v>
      </c>
      <c r="L265" s="103">
        <v>-2.5</v>
      </c>
    </row>
    <row r="266" spans="11:12" x14ac:dyDescent="0.4">
      <c r="K266" s="38">
        <v>264</v>
      </c>
      <c r="L266" s="103">
        <v>0</v>
      </c>
    </row>
    <row r="267" spans="11:12" x14ac:dyDescent="0.4">
      <c r="K267" s="38">
        <v>265</v>
      </c>
      <c r="L267" s="103">
        <v>-28.8</v>
      </c>
    </row>
    <row r="268" spans="11:12" x14ac:dyDescent="0.4">
      <c r="K268" s="38">
        <v>266</v>
      </c>
      <c r="L268" s="103">
        <v>-36.4</v>
      </c>
    </row>
    <row r="269" spans="11:12" x14ac:dyDescent="0.4">
      <c r="K269" s="38">
        <v>267</v>
      </c>
      <c r="L269" s="103">
        <v>0</v>
      </c>
    </row>
    <row r="270" spans="11:12" x14ac:dyDescent="0.4">
      <c r="K270" s="38">
        <v>268</v>
      </c>
      <c r="L270" s="103">
        <v>-47</v>
      </c>
    </row>
    <row r="271" spans="11:12" x14ac:dyDescent="0.4">
      <c r="K271" s="38">
        <v>269</v>
      </c>
      <c r="L271" s="103">
        <v>-7.5</v>
      </c>
    </row>
    <row r="272" spans="11:12" x14ac:dyDescent="0.4">
      <c r="K272" s="38">
        <v>270</v>
      </c>
      <c r="L272" s="103">
        <v>0</v>
      </c>
    </row>
    <row r="273" spans="11:12" x14ac:dyDescent="0.4">
      <c r="K273" s="38">
        <v>271</v>
      </c>
      <c r="L273" s="103">
        <v>2.9</v>
      </c>
    </row>
    <row r="274" spans="11:12" x14ac:dyDescent="0.4">
      <c r="K274" s="38">
        <v>272</v>
      </c>
      <c r="L274" s="103">
        <v>32.1</v>
      </c>
    </row>
    <row r="275" spans="11:12" x14ac:dyDescent="0.4">
      <c r="K275" s="38">
        <v>273</v>
      </c>
      <c r="L275" s="103">
        <v>0</v>
      </c>
    </row>
    <row r="276" spans="11:12" x14ac:dyDescent="0.4">
      <c r="K276" s="38">
        <v>274</v>
      </c>
      <c r="L276" s="103">
        <v>-24.8</v>
      </c>
    </row>
    <row r="277" spans="11:12" x14ac:dyDescent="0.4">
      <c r="K277" s="38">
        <v>275</v>
      </c>
      <c r="L277" s="103">
        <v>-82.5</v>
      </c>
    </row>
    <row r="278" spans="11:12" x14ac:dyDescent="0.4">
      <c r="K278" s="38">
        <v>276</v>
      </c>
      <c r="L278" s="103">
        <v>0</v>
      </c>
    </row>
    <row r="279" spans="11:12" x14ac:dyDescent="0.4">
      <c r="K279" s="38">
        <v>277</v>
      </c>
      <c r="L279" s="103">
        <v>30.3</v>
      </c>
    </row>
    <row r="280" spans="11:12" x14ac:dyDescent="0.4">
      <c r="K280" s="38">
        <v>278</v>
      </c>
      <c r="L280" s="103">
        <v>27.5</v>
      </c>
    </row>
    <row r="281" spans="11:12" x14ac:dyDescent="0.4">
      <c r="K281" s="38">
        <v>279</v>
      </c>
      <c r="L281" s="103">
        <v>0</v>
      </c>
    </row>
    <row r="282" spans="11:12" x14ac:dyDescent="0.4">
      <c r="K282" s="38">
        <v>280</v>
      </c>
      <c r="L282" s="103">
        <v>-5.5</v>
      </c>
    </row>
    <row r="283" spans="11:12" x14ac:dyDescent="0.4">
      <c r="K283" s="38">
        <v>281</v>
      </c>
      <c r="L283" s="103">
        <v>-66.599999999999994</v>
      </c>
    </row>
    <row r="284" spans="11:12" x14ac:dyDescent="0.4">
      <c r="K284" s="38">
        <v>282</v>
      </c>
      <c r="L284" s="103">
        <v>0</v>
      </c>
    </row>
    <row r="285" spans="11:12" x14ac:dyDescent="0.4">
      <c r="K285" s="38">
        <v>283</v>
      </c>
      <c r="L285" s="103">
        <v>-32.9</v>
      </c>
    </row>
    <row r="286" spans="11:12" x14ac:dyDescent="0.4">
      <c r="K286" s="38">
        <v>284</v>
      </c>
      <c r="L286" s="103">
        <v>12.5</v>
      </c>
    </row>
    <row r="287" spans="11:12" x14ac:dyDescent="0.4">
      <c r="K287" s="38">
        <v>285</v>
      </c>
      <c r="L287" s="103">
        <v>0</v>
      </c>
    </row>
    <row r="288" spans="11:12" x14ac:dyDescent="0.4">
      <c r="K288" s="38">
        <v>286</v>
      </c>
      <c r="L288" s="103">
        <v>45.1</v>
      </c>
    </row>
    <row r="289" spans="11:12" x14ac:dyDescent="0.4">
      <c r="K289" s="38">
        <v>287</v>
      </c>
      <c r="L289" s="103">
        <v>7.1000000000000014</v>
      </c>
    </row>
    <row r="290" spans="11:12" x14ac:dyDescent="0.4">
      <c r="K290" s="38">
        <v>288</v>
      </c>
      <c r="L290" s="103">
        <v>1.7763568394002505E-15</v>
      </c>
    </row>
    <row r="291" spans="11:12" x14ac:dyDescent="0.4">
      <c r="K291" s="38">
        <v>289</v>
      </c>
      <c r="L291" s="103">
        <v>-56.4</v>
      </c>
    </row>
    <row r="292" spans="11:12" x14ac:dyDescent="0.4">
      <c r="K292" s="38">
        <v>290</v>
      </c>
      <c r="L292" s="103">
        <v>-51.1</v>
      </c>
    </row>
    <row r="293" spans="11:12" x14ac:dyDescent="0.4">
      <c r="K293" s="38">
        <v>291</v>
      </c>
      <c r="L293" s="103">
        <v>0</v>
      </c>
    </row>
    <row r="294" spans="11:12" x14ac:dyDescent="0.4">
      <c r="K294" s="38">
        <v>292</v>
      </c>
      <c r="L294" s="103">
        <v>45.4</v>
      </c>
    </row>
    <row r="295" spans="11:12" x14ac:dyDescent="0.4">
      <c r="K295" s="38">
        <v>293</v>
      </c>
      <c r="L295" s="103">
        <v>37.5</v>
      </c>
    </row>
    <row r="296" spans="11:12" x14ac:dyDescent="0.4">
      <c r="K296" s="38">
        <v>294</v>
      </c>
      <c r="L296" s="103">
        <v>0</v>
      </c>
    </row>
    <row r="297" spans="11:12" x14ac:dyDescent="0.4">
      <c r="K297" s="38">
        <v>295</v>
      </c>
      <c r="L297" s="103">
        <v>-58.7</v>
      </c>
    </row>
    <row r="298" spans="11:12" x14ac:dyDescent="0.4">
      <c r="K298" s="38">
        <v>296</v>
      </c>
      <c r="L298" s="103">
        <v>-59.2</v>
      </c>
    </row>
    <row r="299" spans="11:12" x14ac:dyDescent="0.4">
      <c r="K299" s="38">
        <v>297</v>
      </c>
      <c r="L299" s="103">
        <v>0</v>
      </c>
    </row>
    <row r="300" spans="11:12" x14ac:dyDescent="0.4">
      <c r="K300" s="38">
        <v>298</v>
      </c>
      <c r="L300" s="103">
        <v>6.7</v>
      </c>
    </row>
    <row r="301" spans="11:12" x14ac:dyDescent="0.4">
      <c r="K301" s="38">
        <v>299</v>
      </c>
      <c r="L301" s="103">
        <v>-27.7</v>
      </c>
    </row>
    <row r="302" spans="11:12" x14ac:dyDescent="0.4">
      <c r="K302" s="38">
        <v>300</v>
      </c>
      <c r="L302" s="103">
        <v>0</v>
      </c>
    </row>
    <row r="303" spans="11:12" x14ac:dyDescent="0.4">
      <c r="K303" s="38">
        <v>301</v>
      </c>
      <c r="L303" s="103">
        <v>6.1</v>
      </c>
    </row>
    <row r="304" spans="11:12" x14ac:dyDescent="0.4">
      <c r="K304" s="38">
        <v>302</v>
      </c>
      <c r="L304" s="103">
        <v>32.700000000000003</v>
      </c>
    </row>
    <row r="305" spans="11:12" x14ac:dyDescent="0.4">
      <c r="K305" s="38">
        <v>303</v>
      </c>
      <c r="L305" s="103">
        <v>0</v>
      </c>
    </row>
    <row r="306" spans="11:12" x14ac:dyDescent="0.4">
      <c r="K306" s="38">
        <v>304</v>
      </c>
      <c r="L306" s="103">
        <v>-54.9</v>
      </c>
    </row>
    <row r="307" spans="11:12" x14ac:dyDescent="0.4">
      <c r="K307" s="38">
        <v>305</v>
      </c>
      <c r="L307" s="103">
        <v>-9.1999999999999957</v>
      </c>
    </row>
    <row r="308" spans="11:12" x14ac:dyDescent="0.4">
      <c r="K308" s="38">
        <v>306</v>
      </c>
      <c r="L308" s="103">
        <v>3.5527136788005009E-15</v>
      </c>
    </row>
    <row r="309" spans="11:12" x14ac:dyDescent="0.4">
      <c r="K309" s="38">
        <v>307</v>
      </c>
      <c r="L309" s="103">
        <v>-52.8</v>
      </c>
    </row>
    <row r="310" spans="11:12" x14ac:dyDescent="0.4">
      <c r="K310" s="38">
        <v>308</v>
      </c>
      <c r="L310" s="103">
        <v>-70.900000000000006</v>
      </c>
    </row>
    <row r="311" spans="11:12" x14ac:dyDescent="0.4">
      <c r="K311" s="38">
        <v>309</v>
      </c>
      <c r="L311" s="103">
        <v>0</v>
      </c>
    </row>
    <row r="312" spans="11:12" x14ac:dyDescent="0.4">
      <c r="K312" s="38">
        <v>310</v>
      </c>
      <c r="L312" s="103">
        <v>82.3</v>
      </c>
    </row>
    <row r="313" spans="11:12" x14ac:dyDescent="0.4">
      <c r="K313" s="38">
        <v>311</v>
      </c>
      <c r="L313" s="103">
        <v>25.5</v>
      </c>
    </row>
    <row r="314" spans="11:12" x14ac:dyDescent="0.4">
      <c r="K314" s="38">
        <v>312</v>
      </c>
      <c r="L314" s="103">
        <v>0</v>
      </c>
    </row>
    <row r="315" spans="11:12" x14ac:dyDescent="0.4">
      <c r="K315" s="38">
        <v>313</v>
      </c>
      <c r="L315" s="103">
        <v>22.4</v>
      </c>
    </row>
    <row r="316" spans="11:12" x14ac:dyDescent="0.4">
      <c r="K316" s="38">
        <v>314</v>
      </c>
      <c r="L316" s="103">
        <v>23.5</v>
      </c>
    </row>
    <row r="317" spans="11:12" x14ac:dyDescent="0.4">
      <c r="K317" s="38">
        <v>315</v>
      </c>
      <c r="L317" s="103">
        <v>0</v>
      </c>
    </row>
    <row r="318" spans="11:12" x14ac:dyDescent="0.4">
      <c r="K318" s="38">
        <v>316</v>
      </c>
      <c r="L318" s="103">
        <v>-5.3</v>
      </c>
    </row>
    <row r="319" spans="11:12" x14ac:dyDescent="0.4">
      <c r="K319" s="38">
        <v>317</v>
      </c>
      <c r="L319" s="103">
        <v>76.600000000000009</v>
      </c>
    </row>
    <row r="320" spans="11:12" x14ac:dyDescent="0.4">
      <c r="K320" s="38">
        <v>318</v>
      </c>
      <c r="L320" s="103">
        <v>1.4210854715202004E-14</v>
      </c>
    </row>
  </sheetData>
  <sortState ref="N15:Q24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C39C2-3944-486C-9F6C-104FCF864D31}">
  <sheetPr codeName="Sheet7"/>
  <dimension ref="A1:Q75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3" t="s">
        <v>131</v>
      </c>
      <c r="C1" s="144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5">
        <v>73</v>
      </c>
      <c r="C2" s="146"/>
      <c r="E2" s="62" t="s">
        <v>68</v>
      </c>
      <c r="F2" s="59" t="s">
        <v>23</v>
      </c>
      <c r="G2" s="46">
        <v>174</v>
      </c>
      <c r="H2" s="136">
        <f>IF(B$27=0,0,G2/B$27)</f>
        <v>0.75652173913043474</v>
      </c>
      <c r="I2" s="97">
        <v>4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2734.2465753424658</v>
      </c>
      <c r="P2" s="122">
        <v>73</v>
      </c>
      <c r="Q2" s="106">
        <v>199600</v>
      </c>
    </row>
    <row r="3" spans="1:17" x14ac:dyDescent="0.4">
      <c r="A3" s="55" t="s">
        <v>8</v>
      </c>
      <c r="B3" s="147">
        <v>583</v>
      </c>
      <c r="C3" s="148"/>
      <c r="E3" s="63" t="s">
        <v>74</v>
      </c>
      <c r="F3" s="60" t="s">
        <v>28</v>
      </c>
      <c r="G3" s="47">
        <v>126</v>
      </c>
      <c r="H3" s="137">
        <f>IF(B$27=0,0,G3/B$27)</f>
        <v>0.54782608695652169</v>
      </c>
      <c r="I3" s="98">
        <v>6</v>
      </c>
      <c r="K3" s="38">
        <v>1</v>
      </c>
      <c r="L3" s="103">
        <v>-5.0999999999999996</v>
      </c>
      <c r="N3" s="119" t="s">
        <v>137</v>
      </c>
      <c r="O3" s="126">
        <f t="shared" si="0"/>
        <v>2705.5555555555557</v>
      </c>
      <c r="P3" s="123">
        <v>72</v>
      </c>
      <c r="Q3" s="107">
        <v>194800</v>
      </c>
    </row>
    <row r="4" spans="1:17" x14ac:dyDescent="0.4">
      <c r="A4" s="55" t="s">
        <v>6</v>
      </c>
      <c r="B4" s="149">
        <v>1588.9000000000005</v>
      </c>
      <c r="C4" s="150"/>
      <c r="E4" s="63" t="s">
        <v>66</v>
      </c>
      <c r="F4" s="60" t="s">
        <v>21</v>
      </c>
      <c r="G4" s="47">
        <v>109</v>
      </c>
      <c r="H4" s="137">
        <f>IF(B$27=0,0,G4/B$27)</f>
        <v>0.47391304347826085</v>
      </c>
      <c r="I4" s="98">
        <v>7</v>
      </c>
      <c r="K4" s="38">
        <v>2</v>
      </c>
      <c r="L4" s="103">
        <v>-2.8999999999999995</v>
      </c>
      <c r="N4" s="119" t="s">
        <v>138</v>
      </c>
      <c r="O4" s="126">
        <f t="shared" si="0"/>
        <v>3142.6470588235293</v>
      </c>
      <c r="P4" s="123">
        <v>68</v>
      </c>
      <c r="Q4" s="107">
        <v>213700</v>
      </c>
    </row>
    <row r="5" spans="1:17" x14ac:dyDescent="0.4">
      <c r="A5" s="55" t="s">
        <v>7</v>
      </c>
      <c r="B5" s="151">
        <f>IF(B$2=0,0,B$4/B$2)</f>
        <v>21.765753424657543</v>
      </c>
      <c r="C5" s="152"/>
      <c r="E5" s="63" t="s">
        <v>189</v>
      </c>
      <c r="F5" s="60" t="s">
        <v>190</v>
      </c>
      <c r="G5" s="47">
        <v>93</v>
      </c>
      <c r="H5" s="137">
        <f>IF(B$27=0,0,G5/B$27)</f>
        <v>0.40434782608695652</v>
      </c>
      <c r="I5" s="98">
        <v>3</v>
      </c>
      <c r="K5" s="38">
        <v>3</v>
      </c>
      <c r="L5" s="103">
        <v>70.399999999999991</v>
      </c>
      <c r="N5" s="119" t="s">
        <v>139</v>
      </c>
      <c r="O5" s="126">
        <f t="shared" si="0"/>
        <v>3821.311475409836</v>
      </c>
      <c r="P5" s="123">
        <v>61</v>
      </c>
      <c r="Q5" s="107">
        <v>233100</v>
      </c>
    </row>
    <row r="6" spans="1:17" x14ac:dyDescent="0.4">
      <c r="A6" s="55" t="s">
        <v>1</v>
      </c>
      <c r="B6" s="157">
        <f>IF(B$2=0,0,(B$7*1+B$8*2+B$9*3)/B$2)</f>
        <v>1.5616438356164384</v>
      </c>
      <c r="C6" s="158"/>
      <c r="E6" s="63" t="s">
        <v>69</v>
      </c>
      <c r="F6" s="60" t="s">
        <v>24</v>
      </c>
      <c r="G6" s="47">
        <v>75</v>
      </c>
      <c r="H6" s="137">
        <f>IF(B$27=0,0,G6/B$27)</f>
        <v>0.32608695652173914</v>
      </c>
      <c r="I6" s="98">
        <v>5</v>
      </c>
      <c r="K6" s="38">
        <v>4</v>
      </c>
      <c r="L6" s="103">
        <v>110.5</v>
      </c>
      <c r="N6" s="119" t="s">
        <v>140</v>
      </c>
      <c r="O6" s="126">
        <f t="shared" si="0"/>
        <v>592.59259259259261</v>
      </c>
      <c r="P6" s="123">
        <v>54</v>
      </c>
      <c r="Q6" s="107">
        <v>32000</v>
      </c>
    </row>
    <row r="7" spans="1:17" x14ac:dyDescent="0.4">
      <c r="A7" s="55" t="s">
        <v>2</v>
      </c>
      <c r="B7" s="47">
        <v>43</v>
      </c>
      <c r="C7" s="39">
        <f>IF(B$2=0,0,B7/B$2)</f>
        <v>0.58904109589041098</v>
      </c>
      <c r="E7" s="63" t="s">
        <v>70</v>
      </c>
      <c r="F7" s="60" t="s">
        <v>12</v>
      </c>
      <c r="G7" s="47">
        <v>55</v>
      </c>
      <c r="H7" s="137">
        <f>IF(B$27=0,0,G7/B$27)</f>
        <v>0.2391304347826087</v>
      </c>
      <c r="I7" s="98">
        <v>8</v>
      </c>
      <c r="K7" s="38">
        <v>5</v>
      </c>
      <c r="L7" s="103">
        <v>201.4</v>
      </c>
      <c r="N7" s="120" t="s">
        <v>141</v>
      </c>
      <c r="O7" s="127">
        <f t="shared" si="0"/>
        <v>1414</v>
      </c>
      <c r="P7" s="124">
        <v>50</v>
      </c>
      <c r="Q7" s="108">
        <v>70700</v>
      </c>
    </row>
    <row r="8" spans="1:17" x14ac:dyDescent="0.4">
      <c r="A8" s="55" t="s">
        <v>3</v>
      </c>
      <c r="B8" s="47">
        <v>19</v>
      </c>
      <c r="C8" s="39">
        <f>IF(B$2=0,0,B8/B$2)</f>
        <v>0.26027397260273971</v>
      </c>
      <c r="E8" s="63" t="s">
        <v>71</v>
      </c>
      <c r="F8" s="60" t="s">
        <v>25</v>
      </c>
      <c r="G8" s="47">
        <v>43</v>
      </c>
      <c r="H8" s="137">
        <f>IF(B$27=0,0,G8/B$27)</f>
        <v>0.18695652173913044</v>
      </c>
      <c r="I8" s="98">
        <v>6</v>
      </c>
      <c r="K8" s="38">
        <v>6</v>
      </c>
      <c r="L8" s="103">
        <v>232.4</v>
      </c>
      <c r="N8" s="43"/>
      <c r="O8" s="131"/>
      <c r="P8" s="115"/>
      <c r="Q8" s="113"/>
    </row>
    <row r="9" spans="1:17" x14ac:dyDescent="0.4">
      <c r="A9" s="56" t="s">
        <v>4</v>
      </c>
      <c r="B9" s="48">
        <v>11</v>
      </c>
      <c r="C9" s="40">
        <f t="shared" ref="C9" si="1">IF(B$2=0,0,B9/B$2)</f>
        <v>0.15068493150684931</v>
      </c>
      <c r="E9" s="63" t="s">
        <v>92</v>
      </c>
      <c r="F9" s="60" t="s">
        <v>46</v>
      </c>
      <c r="G9" s="47">
        <v>43</v>
      </c>
      <c r="H9" s="137">
        <f>IF(B$27=0,0,G9/B$27)</f>
        <v>0.18695652173913044</v>
      </c>
      <c r="I9" s="98">
        <v>4</v>
      </c>
      <c r="K9" s="38">
        <v>7</v>
      </c>
      <c r="L9" s="103">
        <v>256.10000000000002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4</v>
      </c>
      <c r="C10" s="40">
        <f>IF(B$2=0,0,B10/B$2)</f>
        <v>5.4794520547945202E-2</v>
      </c>
      <c r="E10" s="63" t="s">
        <v>67</v>
      </c>
      <c r="F10" s="60" t="s">
        <v>22</v>
      </c>
      <c r="G10" s="47">
        <v>32</v>
      </c>
      <c r="H10" s="137">
        <f>IF(B$27=0,0,G10/B$27)</f>
        <v>0.1391304347826087</v>
      </c>
      <c r="I10" s="98">
        <v>3</v>
      </c>
      <c r="K10" s="38">
        <v>8</v>
      </c>
      <c r="L10" s="103">
        <v>285.20000000000005</v>
      </c>
      <c r="N10" s="118" t="s">
        <v>172</v>
      </c>
      <c r="O10" s="128">
        <f>IF(P10=0,0,Q10/P10)</f>
        <v>21.395652173913042</v>
      </c>
      <c r="P10" s="122">
        <v>23</v>
      </c>
      <c r="Q10" s="110">
        <v>492.09999999999997</v>
      </c>
    </row>
    <row r="11" spans="1:17" x14ac:dyDescent="0.4">
      <c r="A11" s="56" t="s">
        <v>144</v>
      </c>
      <c r="B11" s="48">
        <v>14</v>
      </c>
      <c r="C11" s="40">
        <f>IF(B$2=0,0,B11/B$2)</f>
        <v>0.19178082191780821</v>
      </c>
      <c r="E11" s="63" t="s">
        <v>72</v>
      </c>
      <c r="F11" s="60" t="s">
        <v>26</v>
      </c>
      <c r="G11" s="47">
        <v>20</v>
      </c>
      <c r="H11" s="137">
        <f>IF(B$27=0,0,G11/B$27)</f>
        <v>8.6956521739130432E-2</v>
      </c>
      <c r="I11" s="98">
        <v>6</v>
      </c>
      <c r="K11" s="38">
        <v>9</v>
      </c>
      <c r="L11" s="103">
        <v>277.90000000000003</v>
      </c>
      <c r="N11" s="119" t="s">
        <v>173</v>
      </c>
      <c r="O11" s="129">
        <f>IF(P11=0,0,Q11/P11)</f>
        <v>15.577272727272726</v>
      </c>
      <c r="P11" s="123">
        <v>22</v>
      </c>
      <c r="Q11" s="111">
        <v>342.7</v>
      </c>
    </row>
    <row r="12" spans="1:17" x14ac:dyDescent="0.4">
      <c r="A12" s="57" t="s">
        <v>165</v>
      </c>
      <c r="B12" s="49">
        <v>16</v>
      </c>
      <c r="C12" s="42">
        <f>IF(B$2=0,0,B12/B$2)</f>
        <v>0.21917808219178081</v>
      </c>
      <c r="E12" s="63" t="s">
        <v>89</v>
      </c>
      <c r="F12" s="60" t="s">
        <v>43</v>
      </c>
      <c r="G12" s="47">
        <v>19</v>
      </c>
      <c r="H12" s="137">
        <f>IF(B$27=0,0,G12/B$27)</f>
        <v>8.2608695652173908E-2</v>
      </c>
      <c r="I12" s="98">
        <v>4</v>
      </c>
      <c r="K12" s="38">
        <v>10</v>
      </c>
      <c r="L12" s="103">
        <v>246.20000000000005</v>
      </c>
      <c r="N12" s="120" t="s">
        <v>174</v>
      </c>
      <c r="O12" s="130">
        <f>IF(P12=0,0,Q12/P12)</f>
        <v>26.93214285714286</v>
      </c>
      <c r="P12" s="124">
        <v>28</v>
      </c>
      <c r="Q12" s="112">
        <v>754.10000000000014</v>
      </c>
    </row>
    <row r="13" spans="1:17" x14ac:dyDescent="0.4">
      <c r="A13" s="58" t="s">
        <v>126</v>
      </c>
      <c r="B13" s="50">
        <v>190</v>
      </c>
      <c r="C13" s="44">
        <f>IF(B$26=0,0,B13/B$26)</f>
        <v>0.32590051457975988</v>
      </c>
      <c r="E13" s="63" t="s">
        <v>73</v>
      </c>
      <c r="F13" s="60" t="s">
        <v>27</v>
      </c>
      <c r="G13" s="47">
        <v>13</v>
      </c>
      <c r="H13" s="137">
        <f>IF(B$27=0,0,G13/B$27)</f>
        <v>5.6521739130434782E-2</v>
      </c>
      <c r="I13" s="98">
        <v>5</v>
      </c>
      <c r="K13" s="38">
        <v>11</v>
      </c>
      <c r="L13" s="103">
        <v>333.30000000000007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144</v>
      </c>
      <c r="C14" s="39">
        <f>IF(B$26=0,0,B14/B$26)</f>
        <v>0.24699828473413379</v>
      </c>
      <c r="E14" s="63" t="s">
        <v>86</v>
      </c>
      <c r="F14" s="60" t="s">
        <v>40</v>
      </c>
      <c r="G14" s="47">
        <v>13</v>
      </c>
      <c r="H14" s="137">
        <f>IF(B$27=0,0,G14/B$27)</f>
        <v>5.6521739130434782E-2</v>
      </c>
      <c r="I14" s="98">
        <v>4</v>
      </c>
      <c r="K14" s="38">
        <v>12</v>
      </c>
      <c r="L14" s="103">
        <v>371.70000000000005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118</v>
      </c>
      <c r="C15" s="37">
        <f>IF(B$13=0,0,B15/B$13)</f>
        <v>0.62105263157894741</v>
      </c>
      <c r="E15" s="63" t="s">
        <v>84</v>
      </c>
      <c r="F15" s="60" t="s">
        <v>38</v>
      </c>
      <c r="G15" s="47">
        <v>7</v>
      </c>
      <c r="H15" s="137">
        <f>IF(B$27=0,0,G15/B$27)</f>
        <v>3.0434782608695653E-2</v>
      </c>
      <c r="I15" s="98">
        <v>5</v>
      </c>
      <c r="K15" s="38">
        <v>13</v>
      </c>
      <c r="L15" s="103">
        <v>418.90000000000003</v>
      </c>
      <c r="N15" s="118" t="s">
        <v>194</v>
      </c>
      <c r="O15" s="128">
        <f>IF(P15=0,0,Q15/P15)</f>
        <v>69.2</v>
      </c>
      <c r="P15" s="122">
        <v>1</v>
      </c>
      <c r="Q15" s="110">
        <v>69.2</v>
      </c>
    </row>
    <row r="16" spans="1:17" x14ac:dyDescent="0.4">
      <c r="A16" s="54" t="s">
        <v>129</v>
      </c>
      <c r="B16" s="46">
        <v>77</v>
      </c>
      <c r="C16" s="37">
        <f>IF(B$14=0,0,B16/B$14)</f>
        <v>0.53472222222222221</v>
      </c>
      <c r="E16" s="63" t="s">
        <v>188</v>
      </c>
      <c r="F16" s="60" t="s">
        <v>191</v>
      </c>
      <c r="G16" s="47">
        <v>6</v>
      </c>
      <c r="H16" s="137">
        <f>IF(B$27=0,0,G16/B$27)</f>
        <v>2.6086956521739129E-2</v>
      </c>
      <c r="I16" s="98">
        <v>1</v>
      </c>
      <c r="K16" s="38">
        <v>14</v>
      </c>
      <c r="L16" s="103">
        <v>473.50000000000006</v>
      </c>
      <c r="N16" s="119" t="s">
        <v>133</v>
      </c>
      <c r="O16" s="129">
        <f>IF(P16=0,0,Q16/P16)</f>
        <v>62.552631578947377</v>
      </c>
      <c r="P16" s="123">
        <v>19</v>
      </c>
      <c r="Q16" s="111">
        <v>1188.5000000000002</v>
      </c>
    </row>
    <row r="17" spans="1:17" x14ac:dyDescent="0.4">
      <c r="A17" s="54" t="s">
        <v>10</v>
      </c>
      <c r="B17" s="46">
        <f>B19+B18</f>
        <v>230</v>
      </c>
      <c r="C17" s="37">
        <f>IF(B$3=0,0,B17/B$3)</f>
        <v>0.39451114922813035</v>
      </c>
      <c r="E17" s="63" t="s">
        <v>80</v>
      </c>
      <c r="F17" s="60" t="s">
        <v>34</v>
      </c>
      <c r="G17" s="47">
        <v>4</v>
      </c>
      <c r="H17" s="137">
        <f>IF(B$27=0,0,G17/B$27)</f>
        <v>1.7391304347826087E-2</v>
      </c>
      <c r="I17" s="98">
        <v>6</v>
      </c>
      <c r="K17" s="38">
        <v>15</v>
      </c>
      <c r="L17" s="103">
        <v>481.50000000000006</v>
      </c>
      <c r="N17" s="119" t="s">
        <v>195</v>
      </c>
      <c r="O17" s="129">
        <f>IF(P17=0,0,Q17/P17)</f>
        <v>56.8</v>
      </c>
      <c r="P17" s="123">
        <v>4</v>
      </c>
      <c r="Q17" s="111">
        <v>227.2</v>
      </c>
    </row>
    <row r="18" spans="1:17" x14ac:dyDescent="0.4">
      <c r="A18" s="55" t="s">
        <v>12</v>
      </c>
      <c r="B18" s="47">
        <v>94</v>
      </c>
      <c r="C18" s="39">
        <f>IF(B$17=0,0,B18/B$17)</f>
        <v>0.40869565217391307</v>
      </c>
      <c r="E18" s="63" t="s">
        <v>94</v>
      </c>
      <c r="F18" s="60" t="s">
        <v>48</v>
      </c>
      <c r="G18" s="47">
        <v>3</v>
      </c>
      <c r="H18" s="137">
        <f>IF(B$27=0,0,G18/B$27)</f>
        <v>1.3043478260869565E-2</v>
      </c>
      <c r="I18" s="98">
        <v>5</v>
      </c>
      <c r="K18" s="38">
        <v>16</v>
      </c>
      <c r="L18" s="103">
        <v>425.50000000000006</v>
      </c>
      <c r="N18" s="119" t="s">
        <v>185</v>
      </c>
      <c r="O18" s="129">
        <f>IF(P18=0,0,Q18/P18)</f>
        <v>40.06666666666667</v>
      </c>
      <c r="P18" s="123">
        <v>9</v>
      </c>
      <c r="Q18" s="111">
        <v>360.6</v>
      </c>
    </row>
    <row r="19" spans="1:17" x14ac:dyDescent="0.4">
      <c r="A19" s="55" t="s">
        <v>11</v>
      </c>
      <c r="B19" s="47">
        <v>136</v>
      </c>
      <c r="C19" s="39">
        <f>IF(B$17=0,0,B19/B$17)</f>
        <v>0.59130434782608698</v>
      </c>
      <c r="E19" s="63" t="s">
        <v>75</v>
      </c>
      <c r="F19" s="60" t="s">
        <v>29</v>
      </c>
      <c r="G19" s="47">
        <v>2</v>
      </c>
      <c r="H19" s="137">
        <f>IF(B$27=0,0,G19/B$27)</f>
        <v>8.6956521739130436E-3</v>
      </c>
      <c r="I19" s="98">
        <v>2</v>
      </c>
      <c r="K19" s="38">
        <v>17</v>
      </c>
      <c r="L19" s="103">
        <v>427.40000000000003</v>
      </c>
      <c r="N19" s="119" t="s">
        <v>180</v>
      </c>
      <c r="O19" s="129">
        <f>IF(P19=0,0,Q19/P19)</f>
        <v>38.435294117647068</v>
      </c>
      <c r="P19" s="123">
        <v>17</v>
      </c>
      <c r="Q19" s="111">
        <v>653.4000000000002</v>
      </c>
    </row>
    <row r="20" spans="1:17" x14ac:dyDescent="0.4">
      <c r="A20" s="55" t="s">
        <v>13</v>
      </c>
      <c r="B20" s="47">
        <v>85</v>
      </c>
      <c r="C20" s="39">
        <f>IF(B$3=0,0,B20/B$3)</f>
        <v>0.14579759862778729</v>
      </c>
      <c r="E20" s="63" t="s">
        <v>81</v>
      </c>
      <c r="F20" s="60" t="s">
        <v>35</v>
      </c>
      <c r="G20" s="47">
        <v>2</v>
      </c>
      <c r="H20" s="137">
        <f>IF(B$27=0,0,G20/B$27)</f>
        <v>8.6956521739130436E-3</v>
      </c>
      <c r="I20" s="98">
        <v>5</v>
      </c>
      <c r="K20" s="38">
        <v>18</v>
      </c>
      <c r="L20" s="103">
        <v>429.3</v>
      </c>
      <c r="N20" s="119" t="s">
        <v>181</v>
      </c>
      <c r="O20" s="129">
        <f>IF(P20=0,0,Q20/P20)</f>
        <v>33.157142857142858</v>
      </c>
      <c r="P20" s="123">
        <v>14</v>
      </c>
      <c r="Q20" s="111">
        <v>464.2</v>
      </c>
    </row>
    <row r="21" spans="1:17" x14ac:dyDescent="0.4">
      <c r="A21" s="55" t="s">
        <v>5</v>
      </c>
      <c r="B21" s="51">
        <f>IF(B$17=0,0,C21/B$17)</f>
        <v>9301.7391304347821</v>
      </c>
      <c r="C21" s="41">
        <v>2139400</v>
      </c>
      <c r="E21" s="63" t="s">
        <v>77</v>
      </c>
      <c r="F21" s="60" t="s">
        <v>31</v>
      </c>
      <c r="G21" s="47">
        <v>1</v>
      </c>
      <c r="H21" s="137">
        <f>IF(B$27=0,0,G21/B$27)</f>
        <v>4.3478260869565218E-3</v>
      </c>
      <c r="I21" s="98">
        <v>5</v>
      </c>
      <c r="K21" s="38">
        <v>19</v>
      </c>
      <c r="L21" s="103">
        <v>405.40000000000003</v>
      </c>
      <c r="N21" s="119" t="s">
        <v>209</v>
      </c>
      <c r="O21" s="129">
        <f>IF(P21=0,0,Q21/P21)</f>
        <v>23.1</v>
      </c>
      <c r="P21" s="123">
        <v>1</v>
      </c>
      <c r="Q21" s="111">
        <v>23.1</v>
      </c>
    </row>
    <row r="22" spans="1:17" x14ac:dyDescent="0.4">
      <c r="A22" s="57" t="s">
        <v>14</v>
      </c>
      <c r="B22" s="52">
        <f>IF(B$20=0,0,C22/B$20)</f>
        <v>-8017.6470588235297</v>
      </c>
      <c r="C22" s="45">
        <v>-681500</v>
      </c>
      <c r="E22" s="63" t="s">
        <v>79</v>
      </c>
      <c r="F22" s="60" t="s">
        <v>33</v>
      </c>
      <c r="G22" s="47">
        <v>1</v>
      </c>
      <c r="H22" s="137">
        <f>IF(B$27=0,0,G22/B$27)</f>
        <v>4.3478260869565218E-3</v>
      </c>
      <c r="I22" s="98">
        <v>2</v>
      </c>
      <c r="K22" s="38">
        <v>20</v>
      </c>
      <c r="L22" s="103">
        <v>469.6</v>
      </c>
      <c r="N22" s="119" t="s">
        <v>132</v>
      </c>
      <c r="O22" s="129">
        <f>IF(P22=0,0,Q22/P22)</f>
        <v>22.382456140350889</v>
      </c>
      <c r="P22" s="123">
        <v>57</v>
      </c>
      <c r="Q22" s="111">
        <v>1275.8000000000006</v>
      </c>
    </row>
    <row r="23" spans="1:17" x14ac:dyDescent="0.4">
      <c r="A23" s="94" t="s">
        <v>146</v>
      </c>
      <c r="B23" s="155">
        <v>7</v>
      </c>
      <c r="C23" s="156"/>
      <c r="E23" s="63" t="s">
        <v>90</v>
      </c>
      <c r="F23" s="60" t="s">
        <v>44</v>
      </c>
      <c r="G23" s="47">
        <v>1</v>
      </c>
      <c r="H23" s="137">
        <f>IF(B$27=0,0,G23/B$27)</f>
        <v>4.3478260869565218E-3</v>
      </c>
      <c r="I23" s="98">
        <v>2</v>
      </c>
      <c r="K23" s="38">
        <v>21</v>
      </c>
      <c r="L23" s="103">
        <v>468.3</v>
      </c>
      <c r="N23" s="119" t="s">
        <v>179</v>
      </c>
      <c r="O23" s="129">
        <f>IF(P23=0,0,Q23/P23)</f>
        <v>21.029166666666658</v>
      </c>
      <c r="P23" s="123">
        <v>24</v>
      </c>
      <c r="Q23" s="111">
        <v>504.69999999999982</v>
      </c>
    </row>
    <row r="24" spans="1:17" x14ac:dyDescent="0.4">
      <c r="A24" s="58" t="s">
        <v>157</v>
      </c>
      <c r="B24" s="153">
        <v>116000</v>
      </c>
      <c r="C24" s="154"/>
      <c r="E24" s="63" t="s">
        <v>93</v>
      </c>
      <c r="F24" s="60" t="s">
        <v>47</v>
      </c>
      <c r="G24" s="47">
        <v>1</v>
      </c>
      <c r="H24" s="137">
        <f>IF(B$27=0,0,G24/B$27)</f>
        <v>4.3478260869565218E-3</v>
      </c>
      <c r="I24" s="98">
        <v>1</v>
      </c>
      <c r="K24" s="38">
        <v>22</v>
      </c>
      <c r="L24" s="103">
        <v>519.20000000000005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95</v>
      </c>
      <c r="F25" s="60" t="s">
        <v>49</v>
      </c>
      <c r="G25" s="47">
        <v>1</v>
      </c>
      <c r="H25" s="137">
        <f>IF(B$27=0,0,G25/B$27)</f>
        <v>4.3478260869565218E-3</v>
      </c>
      <c r="I25" s="98">
        <v>4</v>
      </c>
      <c r="K25" s="38">
        <v>23</v>
      </c>
      <c r="L25" s="103">
        <v>555.90000000000009</v>
      </c>
    </row>
    <row r="26" spans="1:17" x14ac:dyDescent="0.4">
      <c r="A26" s="54" t="s">
        <v>124</v>
      </c>
      <c r="B26" s="145">
        <v>583</v>
      </c>
      <c r="C26" s="146"/>
      <c r="E26" s="63" t="s">
        <v>96</v>
      </c>
      <c r="F26" s="60" t="s">
        <v>50</v>
      </c>
      <c r="G26" s="47">
        <v>1</v>
      </c>
      <c r="H26" s="137">
        <f>IF(B$27=0,0,G26/B$27)</f>
        <v>4.3478260869565218E-3</v>
      </c>
      <c r="I26" s="98">
        <v>3</v>
      </c>
      <c r="K26" s="38">
        <v>24</v>
      </c>
      <c r="L26" s="103">
        <v>592.20000000000005</v>
      </c>
    </row>
    <row r="27" spans="1:17" x14ac:dyDescent="0.4">
      <c r="A27" s="57" t="s">
        <v>125</v>
      </c>
      <c r="B27" s="159">
        <v>230</v>
      </c>
      <c r="C27" s="160"/>
      <c r="E27" s="63" t="s">
        <v>98</v>
      </c>
      <c r="F27" s="60" t="s">
        <v>52</v>
      </c>
      <c r="G27" s="47">
        <v>1</v>
      </c>
      <c r="H27" s="137">
        <f>IF(B$27=0,0,G27/B$27)</f>
        <v>4.3478260869565218E-3</v>
      </c>
      <c r="I27" s="98">
        <v>1</v>
      </c>
      <c r="K27" s="38">
        <v>25</v>
      </c>
      <c r="L27" s="103">
        <v>655.20000000000005</v>
      </c>
    </row>
    <row r="28" spans="1:17" x14ac:dyDescent="0.4">
      <c r="E28" s="63" t="s">
        <v>76</v>
      </c>
      <c r="F28" s="60" t="s">
        <v>30</v>
      </c>
      <c r="G28" s="47">
        <v>0</v>
      </c>
      <c r="H28" s="137">
        <f>IF(B$27=0,0,G28/B$27)</f>
        <v>0</v>
      </c>
      <c r="I28" s="98">
        <v>3</v>
      </c>
      <c r="K28" s="38">
        <v>26</v>
      </c>
      <c r="L28" s="103">
        <v>625.40000000000009</v>
      </c>
    </row>
    <row r="29" spans="1:17" x14ac:dyDescent="0.4">
      <c r="E29" s="63" t="s">
        <v>78</v>
      </c>
      <c r="F29" s="60" t="s">
        <v>32</v>
      </c>
      <c r="G29" s="47">
        <v>0</v>
      </c>
      <c r="H29" s="137">
        <f>IF(B$27=0,0,G29/B$27)</f>
        <v>0</v>
      </c>
      <c r="I29" s="98">
        <v>1</v>
      </c>
      <c r="K29" s="38">
        <v>27</v>
      </c>
      <c r="L29" s="103">
        <v>596.30000000000007</v>
      </c>
    </row>
    <row r="30" spans="1:17" x14ac:dyDescent="0.4">
      <c r="E30" s="63" t="s">
        <v>82</v>
      </c>
      <c r="F30" s="60" t="s">
        <v>36</v>
      </c>
      <c r="G30" s="47">
        <v>0</v>
      </c>
      <c r="H30" s="137">
        <f>IF(B$27=0,0,G30/B$27)</f>
        <v>0</v>
      </c>
      <c r="I30" s="98">
        <v>1</v>
      </c>
      <c r="K30" s="38">
        <v>28</v>
      </c>
      <c r="L30" s="103">
        <v>655.6</v>
      </c>
    </row>
    <row r="31" spans="1:17" x14ac:dyDescent="0.4">
      <c r="E31" s="63" t="s">
        <v>83</v>
      </c>
      <c r="F31" s="60" t="s">
        <v>37</v>
      </c>
      <c r="G31" s="47">
        <v>0</v>
      </c>
      <c r="H31" s="137">
        <f>IF(B$27=0,0,G31/B$27)</f>
        <v>0</v>
      </c>
      <c r="I31" s="98">
        <v>1</v>
      </c>
      <c r="K31" s="38">
        <v>29</v>
      </c>
      <c r="L31" s="103">
        <v>703.1</v>
      </c>
    </row>
    <row r="32" spans="1:17" x14ac:dyDescent="0.4">
      <c r="E32" s="63" t="s">
        <v>85</v>
      </c>
      <c r="F32" s="60" t="s">
        <v>39</v>
      </c>
      <c r="G32" s="47">
        <v>0</v>
      </c>
      <c r="H32" s="137">
        <f>IF(B$27=0,0,G32/B$27)</f>
        <v>0</v>
      </c>
      <c r="I32" s="98">
        <v>1</v>
      </c>
      <c r="K32" s="38">
        <v>30</v>
      </c>
      <c r="L32" s="103">
        <v>733.6</v>
      </c>
    </row>
    <row r="33" spans="5:12" x14ac:dyDescent="0.4">
      <c r="E33" s="63" t="s">
        <v>87</v>
      </c>
      <c r="F33" s="60" t="s">
        <v>41</v>
      </c>
      <c r="G33" s="47">
        <v>0</v>
      </c>
      <c r="H33" s="137">
        <f>IF(B$27=0,0,G33/B$27)</f>
        <v>0</v>
      </c>
      <c r="I33" s="98">
        <v>3</v>
      </c>
      <c r="K33" s="38">
        <v>31</v>
      </c>
      <c r="L33" s="103">
        <v>796.80000000000007</v>
      </c>
    </row>
    <row r="34" spans="5:12" x14ac:dyDescent="0.4">
      <c r="E34" s="63" t="s">
        <v>88</v>
      </c>
      <c r="F34" s="60" t="s">
        <v>42</v>
      </c>
      <c r="G34" s="47">
        <v>0</v>
      </c>
      <c r="H34" s="137">
        <f>IF(B$27=0,0,G34/B$27)</f>
        <v>0</v>
      </c>
      <c r="I34" s="98">
        <v>3</v>
      </c>
      <c r="K34" s="38">
        <v>32</v>
      </c>
      <c r="L34" s="103">
        <v>788.30000000000007</v>
      </c>
    </row>
    <row r="35" spans="5:12" x14ac:dyDescent="0.4">
      <c r="E35" s="63" t="s">
        <v>91</v>
      </c>
      <c r="F35" s="60" t="s">
        <v>45</v>
      </c>
      <c r="G35" s="47">
        <v>0</v>
      </c>
      <c r="H35" s="137">
        <f>IF(B$27=0,0,G35/B$27)</f>
        <v>0</v>
      </c>
      <c r="I35" s="98">
        <v>4</v>
      </c>
      <c r="K35" s="38">
        <v>33</v>
      </c>
      <c r="L35" s="103">
        <v>850.1</v>
      </c>
    </row>
    <row r="36" spans="5:12" x14ac:dyDescent="0.4">
      <c r="E36" s="63" t="s">
        <v>97</v>
      </c>
      <c r="F36" s="60" t="s">
        <v>51</v>
      </c>
      <c r="G36" s="47">
        <v>0</v>
      </c>
      <c r="H36" s="137">
        <f>IF(B$27=0,0,G36/B$27)</f>
        <v>0</v>
      </c>
      <c r="I36" s="98">
        <v>1</v>
      </c>
      <c r="K36" s="38">
        <v>34</v>
      </c>
      <c r="L36" s="103">
        <v>875.4</v>
      </c>
    </row>
    <row r="37" spans="5:12" x14ac:dyDescent="0.4">
      <c r="E37" s="63" t="s">
        <v>99</v>
      </c>
      <c r="F37" s="60" t="s">
        <v>53</v>
      </c>
      <c r="G37" s="47">
        <v>0</v>
      </c>
      <c r="H37" s="137">
        <f>IF(B$27=0,0,G37/B$27)</f>
        <v>0</v>
      </c>
      <c r="I37" s="98">
        <v>1</v>
      </c>
      <c r="K37" s="38">
        <v>35</v>
      </c>
      <c r="L37" s="103">
        <v>907.3</v>
      </c>
    </row>
    <row r="38" spans="5:12" x14ac:dyDescent="0.4">
      <c r="E38" s="63" t="s">
        <v>100</v>
      </c>
      <c r="F38" s="60" t="s">
        <v>54</v>
      </c>
      <c r="G38" s="47">
        <v>0</v>
      </c>
      <c r="H38" s="137">
        <f>IF(B$27=0,0,G38/B$27)</f>
        <v>0</v>
      </c>
      <c r="I38" s="98">
        <v>1</v>
      </c>
      <c r="K38" s="38">
        <v>36</v>
      </c>
      <c r="L38" s="103">
        <v>976.3</v>
      </c>
    </row>
    <row r="39" spans="5:12" x14ac:dyDescent="0.4">
      <c r="E39" s="63" t="s">
        <v>101</v>
      </c>
      <c r="F39" s="60" t="s">
        <v>55</v>
      </c>
      <c r="G39" s="47">
        <v>0</v>
      </c>
      <c r="H39" s="137">
        <f>IF(B$27=0,0,G39/B$27)</f>
        <v>0</v>
      </c>
      <c r="I39" s="98">
        <v>1</v>
      </c>
      <c r="K39" s="38">
        <v>37</v>
      </c>
      <c r="L39" s="103">
        <v>1013</v>
      </c>
    </row>
    <row r="40" spans="5:12" x14ac:dyDescent="0.4">
      <c r="E40" s="63" t="s">
        <v>102</v>
      </c>
      <c r="F40" s="60" t="s">
        <v>56</v>
      </c>
      <c r="G40" s="47">
        <v>0</v>
      </c>
      <c r="H40" s="137">
        <f>IF(B$27=0,0,G40/B$27)</f>
        <v>0</v>
      </c>
      <c r="I40" s="98">
        <v>1</v>
      </c>
      <c r="K40" s="38">
        <v>38</v>
      </c>
      <c r="L40" s="103">
        <v>1082.5999999999999</v>
      </c>
    </row>
    <row r="41" spans="5:12" x14ac:dyDescent="0.4">
      <c r="E41" s="63" t="s">
        <v>103</v>
      </c>
      <c r="F41" s="60" t="s">
        <v>57</v>
      </c>
      <c r="G41" s="47">
        <v>0</v>
      </c>
      <c r="H41" s="137">
        <f>IF(B$27=0,0,G41/B$27)</f>
        <v>0</v>
      </c>
      <c r="I41" s="98">
        <v>1</v>
      </c>
      <c r="K41" s="38">
        <v>39</v>
      </c>
      <c r="L41" s="103">
        <v>1131.0999999999999</v>
      </c>
    </row>
    <row r="42" spans="5:12" x14ac:dyDescent="0.4">
      <c r="E42" s="63" t="s">
        <v>104</v>
      </c>
      <c r="F42" s="60" t="s">
        <v>58</v>
      </c>
      <c r="G42" s="47">
        <v>0</v>
      </c>
      <c r="H42" s="137">
        <f>IF(B$27=0,0,G42/B$27)</f>
        <v>0</v>
      </c>
      <c r="I42" s="98">
        <v>1</v>
      </c>
      <c r="K42" s="38">
        <v>40</v>
      </c>
      <c r="L42" s="103">
        <v>1078.8</v>
      </c>
    </row>
    <row r="43" spans="5:12" x14ac:dyDescent="0.4">
      <c r="E43" s="63" t="s">
        <v>105</v>
      </c>
      <c r="F43" s="60" t="s">
        <v>59</v>
      </c>
      <c r="G43" s="47">
        <v>0</v>
      </c>
      <c r="H43" s="137">
        <f>IF(B$27=0,0,G43/B$27)</f>
        <v>0</v>
      </c>
      <c r="I43" s="98">
        <v>1</v>
      </c>
      <c r="K43" s="38">
        <v>41</v>
      </c>
      <c r="L43" s="103">
        <v>1114</v>
      </c>
    </row>
    <row r="44" spans="5:12" x14ac:dyDescent="0.4">
      <c r="E44" s="63" t="s">
        <v>106</v>
      </c>
      <c r="F44" s="60" t="s">
        <v>60</v>
      </c>
      <c r="G44" s="47">
        <v>0</v>
      </c>
      <c r="H44" s="137">
        <f>IF(B$27=0,0,G44/B$27)</f>
        <v>0</v>
      </c>
      <c r="I44" s="98">
        <v>1</v>
      </c>
      <c r="K44" s="38">
        <v>42</v>
      </c>
      <c r="L44" s="103">
        <v>1147.5</v>
      </c>
    </row>
    <row r="45" spans="5:12" x14ac:dyDescent="0.4">
      <c r="E45" s="63" t="s">
        <v>107</v>
      </c>
      <c r="F45" s="60" t="s">
        <v>61</v>
      </c>
      <c r="G45" s="47">
        <v>0</v>
      </c>
      <c r="H45" s="137">
        <f>IF(B$27=0,0,G45/B$27)</f>
        <v>0</v>
      </c>
      <c r="I45" s="98">
        <v>1</v>
      </c>
      <c r="K45" s="38">
        <v>43</v>
      </c>
      <c r="L45" s="103">
        <v>1151</v>
      </c>
    </row>
    <row r="46" spans="5:12" x14ac:dyDescent="0.4">
      <c r="E46" s="63" t="s">
        <v>108</v>
      </c>
      <c r="F46" s="60" t="s">
        <v>115</v>
      </c>
      <c r="G46" s="47">
        <v>0</v>
      </c>
      <c r="H46" s="137">
        <f>IF(B$27=0,0,G46/B$27)</f>
        <v>0</v>
      </c>
      <c r="I46" s="98">
        <v>1</v>
      </c>
      <c r="K46" s="38">
        <v>44</v>
      </c>
      <c r="L46" s="103">
        <v>1208</v>
      </c>
    </row>
    <row r="47" spans="5:12" x14ac:dyDescent="0.4">
      <c r="E47" s="63" t="s">
        <v>109</v>
      </c>
      <c r="F47" s="60" t="s">
        <v>116</v>
      </c>
      <c r="G47" s="47">
        <v>0</v>
      </c>
      <c r="H47" s="137">
        <f>IF(B$27=0,0,G47/B$27)</f>
        <v>0</v>
      </c>
      <c r="I47" s="98">
        <v>1</v>
      </c>
      <c r="K47" s="38">
        <v>45</v>
      </c>
      <c r="L47" s="103">
        <v>1203.5999999999999</v>
      </c>
    </row>
    <row r="48" spans="5:12" x14ac:dyDescent="0.4">
      <c r="E48" s="63" t="s">
        <v>110</v>
      </c>
      <c r="F48" s="60" t="s">
        <v>117</v>
      </c>
      <c r="G48" s="47">
        <v>0</v>
      </c>
      <c r="H48" s="137">
        <f>IF(B$27=0,0,G48/B$27)</f>
        <v>0</v>
      </c>
      <c r="I48" s="98">
        <v>1</v>
      </c>
      <c r="K48" s="38">
        <v>46</v>
      </c>
      <c r="L48" s="103">
        <v>1212.5999999999999</v>
      </c>
    </row>
    <row r="49" spans="5:12" x14ac:dyDescent="0.4">
      <c r="E49" s="63" t="s">
        <v>111</v>
      </c>
      <c r="F49" s="60" t="s">
        <v>62</v>
      </c>
      <c r="G49" s="47">
        <v>0</v>
      </c>
      <c r="H49" s="137">
        <f>IF(B$27=0,0,G49/B$27)</f>
        <v>0</v>
      </c>
      <c r="I49" s="98">
        <v>1</v>
      </c>
      <c r="K49" s="38">
        <v>47</v>
      </c>
      <c r="L49" s="103">
        <v>1264.5</v>
      </c>
    </row>
    <row r="50" spans="5:12" x14ac:dyDescent="0.4">
      <c r="E50" s="63" t="s">
        <v>112</v>
      </c>
      <c r="F50" s="60" t="s">
        <v>63</v>
      </c>
      <c r="G50" s="47">
        <v>0</v>
      </c>
      <c r="H50" s="137">
        <f>IF(B$27=0,0,G50/B$27)</f>
        <v>0</v>
      </c>
      <c r="I50" s="98">
        <v>1</v>
      </c>
      <c r="K50" s="38">
        <v>48</v>
      </c>
      <c r="L50" s="103">
        <v>1259.3</v>
      </c>
    </row>
    <row r="51" spans="5:12" x14ac:dyDescent="0.4">
      <c r="E51" s="63" t="s">
        <v>113</v>
      </c>
      <c r="F51" s="60" t="s">
        <v>64</v>
      </c>
      <c r="G51" s="47">
        <v>0</v>
      </c>
      <c r="H51" s="137">
        <f>IF(B$27=0,0,G51/B$27)</f>
        <v>0</v>
      </c>
      <c r="I51" s="98">
        <v>1</v>
      </c>
      <c r="K51" s="38">
        <v>49</v>
      </c>
      <c r="L51" s="103">
        <v>1289.8999999999999</v>
      </c>
    </row>
    <row r="52" spans="5:12" x14ac:dyDescent="0.4">
      <c r="E52" s="64" t="s">
        <v>114</v>
      </c>
      <c r="F52" s="61" t="s">
        <v>65</v>
      </c>
      <c r="G52" s="49">
        <v>0</v>
      </c>
      <c r="H52" s="138">
        <f>IF(B$27=0,0,G52/B$27)</f>
        <v>0</v>
      </c>
      <c r="I52" s="99">
        <v>1</v>
      </c>
      <c r="K52" s="38">
        <v>50</v>
      </c>
      <c r="L52" s="103">
        <v>1288.5999999999999</v>
      </c>
    </row>
    <row r="53" spans="5:12" x14ac:dyDescent="0.4">
      <c r="K53" s="38">
        <v>51</v>
      </c>
      <c r="L53" s="103">
        <v>1284.5</v>
      </c>
    </row>
    <row r="54" spans="5:12" x14ac:dyDescent="0.4">
      <c r="K54" s="38">
        <v>52</v>
      </c>
      <c r="L54" s="103">
        <v>1318.2</v>
      </c>
    </row>
    <row r="55" spans="5:12" x14ac:dyDescent="0.4">
      <c r="K55" s="38">
        <v>53</v>
      </c>
      <c r="L55" s="103">
        <v>1374.2</v>
      </c>
    </row>
    <row r="56" spans="5:12" x14ac:dyDescent="0.4">
      <c r="K56" s="38">
        <v>54</v>
      </c>
      <c r="L56" s="103">
        <v>1316.2</v>
      </c>
    </row>
    <row r="57" spans="5:12" x14ac:dyDescent="0.4">
      <c r="K57" s="38">
        <v>55</v>
      </c>
      <c r="L57" s="103">
        <v>1417.2</v>
      </c>
    </row>
    <row r="58" spans="5:12" x14ac:dyDescent="0.4">
      <c r="K58" s="38">
        <v>56</v>
      </c>
      <c r="L58" s="103">
        <v>1510.1000000000001</v>
      </c>
    </row>
    <row r="59" spans="5:12" x14ac:dyDescent="0.4">
      <c r="K59" s="38">
        <v>57</v>
      </c>
      <c r="L59" s="103">
        <v>1479.8000000000002</v>
      </c>
    </row>
    <row r="60" spans="5:12" x14ac:dyDescent="0.4">
      <c r="K60" s="38">
        <v>58</v>
      </c>
      <c r="L60" s="103">
        <v>1509.2000000000003</v>
      </c>
    </row>
    <row r="61" spans="5:12" x14ac:dyDescent="0.4">
      <c r="K61" s="38">
        <v>59</v>
      </c>
      <c r="L61" s="103">
        <v>1518.2000000000003</v>
      </c>
    </row>
    <row r="62" spans="5:12" x14ac:dyDescent="0.4">
      <c r="K62" s="38">
        <v>60</v>
      </c>
      <c r="L62" s="103">
        <v>1549.0000000000002</v>
      </c>
    </row>
    <row r="63" spans="5:12" x14ac:dyDescent="0.4">
      <c r="K63" s="38">
        <v>61</v>
      </c>
      <c r="L63" s="103">
        <v>1585.4000000000003</v>
      </c>
    </row>
    <row r="64" spans="5:12" x14ac:dyDescent="0.4">
      <c r="K64" s="38">
        <v>62</v>
      </c>
      <c r="L64" s="103">
        <v>1624.9000000000003</v>
      </c>
    </row>
    <row r="65" spans="11:12" x14ac:dyDescent="0.4">
      <c r="K65" s="38">
        <v>63</v>
      </c>
      <c r="L65" s="103">
        <v>1654.1000000000004</v>
      </c>
    </row>
    <row r="66" spans="11:12" x14ac:dyDescent="0.4">
      <c r="K66" s="38">
        <v>64</v>
      </c>
      <c r="L66" s="103">
        <v>1629.3000000000004</v>
      </c>
    </row>
    <row r="67" spans="11:12" x14ac:dyDescent="0.4">
      <c r="K67" s="38">
        <v>65</v>
      </c>
      <c r="L67" s="103">
        <v>1626.5000000000005</v>
      </c>
    </row>
    <row r="68" spans="11:12" x14ac:dyDescent="0.4">
      <c r="K68" s="38">
        <v>66</v>
      </c>
      <c r="L68" s="103">
        <v>1565.4000000000005</v>
      </c>
    </row>
    <row r="69" spans="11:12" x14ac:dyDescent="0.4">
      <c r="K69" s="38">
        <v>67</v>
      </c>
      <c r="L69" s="103">
        <v>1610.8000000000006</v>
      </c>
    </row>
    <row r="70" spans="11:12" x14ac:dyDescent="0.4">
      <c r="K70" s="38">
        <v>68</v>
      </c>
      <c r="L70" s="103">
        <v>1572.8000000000006</v>
      </c>
    </row>
    <row r="71" spans="11:12" x14ac:dyDescent="0.4">
      <c r="K71" s="38">
        <v>69</v>
      </c>
      <c r="L71" s="103">
        <v>1572.3000000000006</v>
      </c>
    </row>
    <row r="72" spans="11:12" x14ac:dyDescent="0.4">
      <c r="K72" s="38">
        <v>70</v>
      </c>
      <c r="L72" s="103">
        <v>1598.9000000000005</v>
      </c>
    </row>
    <row r="73" spans="11:12" x14ac:dyDescent="0.4">
      <c r="K73" s="38">
        <v>71</v>
      </c>
      <c r="L73" s="103">
        <v>1644.6000000000006</v>
      </c>
    </row>
    <row r="74" spans="11:12" x14ac:dyDescent="0.4">
      <c r="K74" s="38">
        <v>72</v>
      </c>
      <c r="L74" s="103">
        <v>1587.8000000000006</v>
      </c>
    </row>
    <row r="75" spans="11:12" x14ac:dyDescent="0.4">
      <c r="K75" s="38">
        <v>73</v>
      </c>
      <c r="L75" s="103">
        <v>1588.9000000000005</v>
      </c>
    </row>
  </sheetData>
  <sortState ref="N15:Q23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E0387-0DA2-41EE-A33C-C632F81DA54B}">
  <sheetPr codeName="Sheet9"/>
  <dimension ref="A1:Q79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3" t="s">
        <v>132</v>
      </c>
      <c r="C1" s="144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5">
        <v>77</v>
      </c>
      <c r="C2" s="146"/>
      <c r="E2" s="62" t="s">
        <v>68</v>
      </c>
      <c r="F2" s="59" t="s">
        <v>23</v>
      </c>
      <c r="G2" s="46">
        <v>132</v>
      </c>
      <c r="H2" s="136">
        <f>IF(B$27=0,0,G2/B$27)</f>
        <v>0.72928176795580113</v>
      </c>
      <c r="I2" s="97">
        <v>8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987.01298701298697</v>
      </c>
      <c r="P2" s="122">
        <v>77</v>
      </c>
      <c r="Q2" s="106">
        <v>76000</v>
      </c>
    </row>
    <row r="3" spans="1:17" x14ac:dyDescent="0.4">
      <c r="A3" s="55" t="s">
        <v>8</v>
      </c>
      <c r="B3" s="147">
        <v>640</v>
      </c>
      <c r="C3" s="148"/>
      <c r="E3" s="63" t="s">
        <v>66</v>
      </c>
      <c r="F3" s="60" t="s">
        <v>21</v>
      </c>
      <c r="G3" s="47">
        <v>109</v>
      </c>
      <c r="H3" s="137">
        <f>IF(B$27=0,0,G3/B$27)</f>
        <v>0.60220994475138123</v>
      </c>
      <c r="I3" s="98">
        <v>3</v>
      </c>
      <c r="K3" s="38">
        <v>1</v>
      </c>
      <c r="L3" s="103">
        <v>45.5</v>
      </c>
      <c r="N3" s="119" t="s">
        <v>137</v>
      </c>
      <c r="O3" s="126">
        <f t="shared" si="0"/>
        <v>-1826.3157894736842</v>
      </c>
      <c r="P3" s="123">
        <v>76</v>
      </c>
      <c r="Q3" s="107">
        <v>-138800</v>
      </c>
    </row>
    <row r="4" spans="1:17" x14ac:dyDescent="0.4">
      <c r="A4" s="55" t="s">
        <v>6</v>
      </c>
      <c r="B4" s="149">
        <v>-82.600000000000065</v>
      </c>
      <c r="C4" s="150"/>
      <c r="E4" s="63" t="s">
        <v>74</v>
      </c>
      <c r="F4" s="60" t="s">
        <v>28</v>
      </c>
      <c r="G4" s="47">
        <v>85</v>
      </c>
      <c r="H4" s="137">
        <f>IF(B$27=0,0,G4/B$27)</f>
        <v>0.46961325966850831</v>
      </c>
      <c r="I4" s="98">
        <v>10</v>
      </c>
      <c r="K4" s="38">
        <v>2</v>
      </c>
      <c r="L4" s="103">
        <v>6.2999999999999972</v>
      </c>
      <c r="N4" s="119" t="s">
        <v>138</v>
      </c>
      <c r="O4" s="126">
        <f t="shared" si="0"/>
        <v>-1209.5890410958905</v>
      </c>
      <c r="P4" s="123">
        <v>73</v>
      </c>
      <c r="Q4" s="107">
        <v>-88300</v>
      </c>
    </row>
    <row r="5" spans="1:17" x14ac:dyDescent="0.4">
      <c r="A5" s="55" t="s">
        <v>7</v>
      </c>
      <c r="B5" s="151">
        <f>IF(B$2=0,0,B$4/B$2)</f>
        <v>-1.0727272727272736</v>
      </c>
      <c r="C5" s="152"/>
      <c r="E5" s="63" t="s">
        <v>189</v>
      </c>
      <c r="F5" s="60" t="s">
        <v>190</v>
      </c>
      <c r="G5" s="47">
        <v>82</v>
      </c>
      <c r="H5" s="137">
        <f>IF(B$27=0,0,G5/B$27)</f>
        <v>0.45303867403314918</v>
      </c>
      <c r="I5" s="98">
        <v>2</v>
      </c>
      <c r="K5" s="38">
        <v>3</v>
      </c>
      <c r="L5" s="103">
        <v>-47.300000000000004</v>
      </c>
      <c r="N5" s="119" t="s">
        <v>139</v>
      </c>
      <c r="O5" s="126">
        <f t="shared" si="0"/>
        <v>1168.6567164179105</v>
      </c>
      <c r="P5" s="123">
        <v>67</v>
      </c>
      <c r="Q5" s="107">
        <v>78300</v>
      </c>
    </row>
    <row r="6" spans="1:17" x14ac:dyDescent="0.4">
      <c r="A6" s="55" t="s">
        <v>1</v>
      </c>
      <c r="B6" s="157">
        <f>IF(B$2=0,0,(B$7*1+B$8*2+B$9*3)/B$2)</f>
        <v>2.0389610389610389</v>
      </c>
      <c r="C6" s="158"/>
      <c r="E6" s="63" t="s">
        <v>69</v>
      </c>
      <c r="F6" s="60" t="s">
        <v>24</v>
      </c>
      <c r="G6" s="47">
        <v>62</v>
      </c>
      <c r="H6" s="137">
        <f>IF(B$27=0,0,G6/B$27)</f>
        <v>0.34254143646408841</v>
      </c>
      <c r="I6" s="98">
        <v>4</v>
      </c>
      <c r="K6" s="38">
        <v>4</v>
      </c>
      <c r="L6" s="103">
        <v>13.599999999999994</v>
      </c>
      <c r="N6" s="119" t="s">
        <v>140</v>
      </c>
      <c r="O6" s="126">
        <f t="shared" si="0"/>
        <v>861.66666666666663</v>
      </c>
      <c r="P6" s="123">
        <v>60</v>
      </c>
      <c r="Q6" s="107">
        <v>51700</v>
      </c>
    </row>
    <row r="7" spans="1:17" x14ac:dyDescent="0.4">
      <c r="A7" s="55" t="s">
        <v>2</v>
      </c>
      <c r="B7" s="47">
        <v>21</v>
      </c>
      <c r="C7" s="39">
        <f>IF(B$2=0,0,B7/B$2)</f>
        <v>0.27272727272727271</v>
      </c>
      <c r="E7" s="63" t="s">
        <v>70</v>
      </c>
      <c r="F7" s="60" t="s">
        <v>12</v>
      </c>
      <c r="G7" s="47">
        <v>61</v>
      </c>
      <c r="H7" s="137">
        <f>IF(B$27=0,0,G7/B$27)</f>
        <v>0.33701657458563539</v>
      </c>
      <c r="I7" s="98">
        <v>4</v>
      </c>
      <c r="K7" s="38">
        <v>5</v>
      </c>
      <c r="L7" s="103">
        <v>-16.600000000000005</v>
      </c>
      <c r="N7" s="120" t="s">
        <v>141</v>
      </c>
      <c r="O7" s="127">
        <f t="shared" si="0"/>
        <v>394.73684210526318</v>
      </c>
      <c r="P7" s="124">
        <v>57</v>
      </c>
      <c r="Q7" s="108">
        <v>22500</v>
      </c>
    </row>
    <row r="8" spans="1:17" x14ac:dyDescent="0.4">
      <c r="A8" s="55" t="s">
        <v>3</v>
      </c>
      <c r="B8" s="47">
        <v>32</v>
      </c>
      <c r="C8" s="39">
        <f>IF(B$2=0,0,B8/B$2)</f>
        <v>0.41558441558441561</v>
      </c>
      <c r="E8" s="63" t="s">
        <v>71</v>
      </c>
      <c r="F8" s="60" t="s">
        <v>25</v>
      </c>
      <c r="G8" s="47">
        <v>39</v>
      </c>
      <c r="H8" s="137">
        <f>IF(B$27=0,0,G8/B$27)</f>
        <v>0.21546961325966851</v>
      </c>
      <c r="I8" s="98">
        <v>4</v>
      </c>
      <c r="K8" s="38">
        <v>6</v>
      </c>
      <c r="L8" s="103">
        <v>-14.000000000000005</v>
      </c>
      <c r="N8" s="43"/>
      <c r="O8" s="131"/>
      <c r="P8" s="115"/>
      <c r="Q8" s="113"/>
    </row>
    <row r="9" spans="1:17" x14ac:dyDescent="0.4">
      <c r="A9" s="56" t="s">
        <v>4</v>
      </c>
      <c r="B9" s="48">
        <v>24</v>
      </c>
      <c r="C9" s="40">
        <f t="shared" ref="C9" si="1">IF(B$2=0,0,B9/B$2)</f>
        <v>0.31168831168831168</v>
      </c>
      <c r="E9" s="63" t="s">
        <v>67</v>
      </c>
      <c r="F9" s="60" t="s">
        <v>22</v>
      </c>
      <c r="G9" s="47">
        <v>31</v>
      </c>
      <c r="H9" s="137">
        <f>IF(B$27=0,0,G9/B$27)</f>
        <v>0.17127071823204421</v>
      </c>
      <c r="I9" s="98">
        <v>1</v>
      </c>
      <c r="K9" s="38">
        <v>7</v>
      </c>
      <c r="L9" s="103">
        <v>-45.300000000000004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9</v>
      </c>
      <c r="C10" s="40">
        <f>IF(B$2=0,0,B10/B$2)</f>
        <v>0.11688311688311688</v>
      </c>
      <c r="E10" s="63" t="s">
        <v>72</v>
      </c>
      <c r="F10" s="60" t="s">
        <v>26</v>
      </c>
      <c r="G10" s="47">
        <v>25</v>
      </c>
      <c r="H10" s="137">
        <f>IF(B$27=0,0,G10/B$27)</f>
        <v>0.13812154696132597</v>
      </c>
      <c r="I10" s="98">
        <v>2</v>
      </c>
      <c r="K10" s="38">
        <v>8</v>
      </c>
      <c r="L10" s="103">
        <v>-49.6</v>
      </c>
      <c r="N10" s="118" t="s">
        <v>172</v>
      </c>
      <c r="O10" s="128">
        <f>IF(P10=0,0,Q10/P10)</f>
        <v>-0.78157894736842182</v>
      </c>
      <c r="P10" s="122">
        <v>38</v>
      </c>
      <c r="Q10" s="110">
        <v>-29.700000000000028</v>
      </c>
    </row>
    <row r="11" spans="1:17" x14ac:dyDescent="0.4">
      <c r="A11" s="56" t="s">
        <v>144</v>
      </c>
      <c r="B11" s="48">
        <v>6</v>
      </c>
      <c r="C11" s="40">
        <f>IF(B$2=0,0,B11/B$2)</f>
        <v>7.792207792207792E-2</v>
      </c>
      <c r="E11" s="63" t="s">
        <v>92</v>
      </c>
      <c r="F11" s="60" t="s">
        <v>46</v>
      </c>
      <c r="G11" s="47">
        <v>18</v>
      </c>
      <c r="H11" s="137">
        <f>IF(B$27=0,0,G11/B$27)</f>
        <v>9.9447513812154692E-2</v>
      </c>
      <c r="I11" s="98">
        <v>10</v>
      </c>
      <c r="K11" s="38">
        <v>9</v>
      </c>
      <c r="L11" s="103">
        <v>-79.5</v>
      </c>
      <c r="N11" s="119" t="s">
        <v>173</v>
      </c>
      <c r="O11" s="129">
        <f>IF(P11=0,0,Q11/P11)</f>
        <v>-6.9349999999999978</v>
      </c>
      <c r="P11" s="123">
        <v>20</v>
      </c>
      <c r="Q11" s="111">
        <v>-138.69999999999996</v>
      </c>
    </row>
    <row r="12" spans="1:17" x14ac:dyDescent="0.4">
      <c r="A12" s="57" t="s">
        <v>165</v>
      </c>
      <c r="B12" s="49">
        <v>6</v>
      </c>
      <c r="C12" s="42">
        <f>IF(B$2=0,0,B12/B$2)</f>
        <v>7.792207792207792E-2</v>
      </c>
      <c r="E12" s="63" t="s">
        <v>89</v>
      </c>
      <c r="F12" s="60" t="s">
        <v>43</v>
      </c>
      <c r="G12" s="47">
        <v>11</v>
      </c>
      <c r="H12" s="137">
        <f>IF(B$27=0,0,G12/B$27)</f>
        <v>6.0773480662983423E-2</v>
      </c>
      <c r="I12" s="98">
        <v>6</v>
      </c>
      <c r="K12" s="38">
        <v>10</v>
      </c>
      <c r="L12" s="103">
        <v>-80.900000000000006</v>
      </c>
      <c r="N12" s="120" t="s">
        <v>174</v>
      </c>
      <c r="O12" s="130">
        <f>IF(P12=0,0,Q12/P12)</f>
        <v>4.5157894736842108</v>
      </c>
      <c r="P12" s="124">
        <v>19</v>
      </c>
      <c r="Q12" s="112">
        <v>85.8</v>
      </c>
    </row>
    <row r="13" spans="1:17" x14ac:dyDescent="0.4">
      <c r="A13" s="58" t="s">
        <v>126</v>
      </c>
      <c r="B13" s="50">
        <v>182</v>
      </c>
      <c r="C13" s="44">
        <f>IF(B$26=0,0,B13/B$26)</f>
        <v>0.28888888888888886</v>
      </c>
      <c r="E13" s="63" t="s">
        <v>73</v>
      </c>
      <c r="F13" s="60" t="s">
        <v>27</v>
      </c>
      <c r="G13" s="47">
        <v>9</v>
      </c>
      <c r="H13" s="137">
        <f>IF(B$27=0,0,G13/B$27)</f>
        <v>4.9723756906077346E-2</v>
      </c>
      <c r="I13" s="98">
        <v>7</v>
      </c>
      <c r="K13" s="38">
        <v>11</v>
      </c>
      <c r="L13" s="103">
        <v>-53.100000000000009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124</v>
      </c>
      <c r="C14" s="39">
        <f>IF(B$26=0,0,B14/B$26)</f>
        <v>0.19682539682539682</v>
      </c>
      <c r="E14" s="63" t="s">
        <v>84</v>
      </c>
      <c r="F14" s="60" t="s">
        <v>38</v>
      </c>
      <c r="G14" s="47">
        <v>8</v>
      </c>
      <c r="H14" s="137">
        <f>IF(B$27=0,0,G14/B$27)</f>
        <v>4.4198895027624308E-2</v>
      </c>
      <c r="I14" s="98">
        <v>3</v>
      </c>
      <c r="K14" s="38">
        <v>12</v>
      </c>
      <c r="L14" s="103">
        <v>-56.500000000000007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117</v>
      </c>
      <c r="C15" s="37">
        <f>IF(B$13=0,0,B15/B$13)</f>
        <v>0.6428571428571429</v>
      </c>
      <c r="E15" s="63" t="s">
        <v>86</v>
      </c>
      <c r="F15" s="60" t="s">
        <v>40</v>
      </c>
      <c r="G15" s="47">
        <v>5</v>
      </c>
      <c r="H15" s="137">
        <f>IF(B$27=0,0,G15/B$27)</f>
        <v>2.7624309392265192E-2</v>
      </c>
      <c r="I15" s="98">
        <v>7</v>
      </c>
      <c r="K15" s="38">
        <v>13</v>
      </c>
      <c r="L15" s="103">
        <v>-80.900000000000006</v>
      </c>
      <c r="N15" s="118" t="s">
        <v>195</v>
      </c>
      <c r="O15" s="128">
        <f>IF(P15=0,0,Q15/P15)</f>
        <v>64.425000000000011</v>
      </c>
      <c r="P15" s="122">
        <v>4</v>
      </c>
      <c r="Q15" s="110">
        <v>257.70000000000005</v>
      </c>
    </row>
    <row r="16" spans="1:17" x14ac:dyDescent="0.4">
      <c r="A16" s="54" t="s">
        <v>129</v>
      </c>
      <c r="B16" s="46">
        <v>35</v>
      </c>
      <c r="C16" s="37">
        <f>IF(B$14=0,0,B16/B$14)</f>
        <v>0.28225806451612906</v>
      </c>
      <c r="E16" s="63" t="s">
        <v>94</v>
      </c>
      <c r="F16" s="60" t="s">
        <v>48</v>
      </c>
      <c r="G16" s="47">
        <v>5</v>
      </c>
      <c r="H16" s="137">
        <f>IF(B$27=0,0,G16/B$27)</f>
        <v>2.7624309392265192E-2</v>
      </c>
      <c r="I16" s="98">
        <v>2</v>
      </c>
      <c r="K16" s="38">
        <v>14</v>
      </c>
      <c r="L16" s="103">
        <v>-106.30000000000001</v>
      </c>
      <c r="N16" s="119" t="s">
        <v>133</v>
      </c>
      <c r="O16" s="129">
        <f>IF(P16=0,0,Q16/P16)</f>
        <v>15.590000000000003</v>
      </c>
      <c r="P16" s="123">
        <v>20</v>
      </c>
      <c r="Q16" s="111">
        <v>311.80000000000007</v>
      </c>
    </row>
    <row r="17" spans="1:17" x14ac:dyDescent="0.4">
      <c r="A17" s="54" t="s">
        <v>10</v>
      </c>
      <c r="B17" s="46">
        <f>B19+B18</f>
        <v>187</v>
      </c>
      <c r="C17" s="37">
        <f>IF(B$3=0,0,B17/B$3)</f>
        <v>0.29218749999999999</v>
      </c>
      <c r="E17" s="63" t="s">
        <v>188</v>
      </c>
      <c r="F17" s="60" t="s">
        <v>191</v>
      </c>
      <c r="G17" s="47">
        <v>4</v>
      </c>
      <c r="H17" s="137">
        <f>IF(B$27=0,0,G17/B$27)</f>
        <v>2.2099447513812154E-2</v>
      </c>
      <c r="I17" s="98">
        <v>3</v>
      </c>
      <c r="K17" s="38">
        <v>15</v>
      </c>
      <c r="L17" s="103">
        <v>-50.000000000000014</v>
      </c>
      <c r="N17" s="119" t="s">
        <v>179</v>
      </c>
      <c r="O17" s="129">
        <f>IF(P17=0,0,Q17/P17)</f>
        <v>10.050000000000008</v>
      </c>
      <c r="P17" s="123">
        <v>20</v>
      </c>
      <c r="Q17" s="111">
        <v>201.00000000000017</v>
      </c>
    </row>
    <row r="18" spans="1:17" x14ac:dyDescent="0.4">
      <c r="A18" s="55" t="s">
        <v>12</v>
      </c>
      <c r="B18" s="47">
        <v>75</v>
      </c>
      <c r="C18" s="39">
        <f>IF(B$17=0,0,B18/B$17)</f>
        <v>0.40106951871657753</v>
      </c>
      <c r="E18" s="63" t="s">
        <v>81</v>
      </c>
      <c r="F18" s="60" t="s">
        <v>35</v>
      </c>
      <c r="G18" s="47">
        <v>3</v>
      </c>
      <c r="H18" s="137">
        <f>IF(B$27=0,0,G18/B$27)</f>
        <v>1.6574585635359115E-2</v>
      </c>
      <c r="I18" s="98">
        <v>2</v>
      </c>
      <c r="K18" s="38">
        <v>16</v>
      </c>
      <c r="L18" s="103">
        <v>23.59999999999998</v>
      </c>
      <c r="N18" s="119" t="s">
        <v>185</v>
      </c>
      <c r="O18" s="129">
        <f>IF(P18=0,0,Q18/P18)</f>
        <v>8.757142857142858</v>
      </c>
      <c r="P18" s="123">
        <v>14</v>
      </c>
      <c r="Q18" s="111">
        <v>122.60000000000001</v>
      </c>
    </row>
    <row r="19" spans="1:17" x14ac:dyDescent="0.4">
      <c r="A19" s="55" t="s">
        <v>11</v>
      </c>
      <c r="B19" s="47">
        <v>112</v>
      </c>
      <c r="C19" s="39">
        <f>IF(B$17=0,0,B19/B$17)</f>
        <v>0.59893048128342241</v>
      </c>
      <c r="E19" s="63" t="s">
        <v>76</v>
      </c>
      <c r="F19" s="60" t="s">
        <v>30</v>
      </c>
      <c r="G19" s="47">
        <v>2</v>
      </c>
      <c r="H19" s="137">
        <f>IF(B$27=0,0,G19/B$27)</f>
        <v>1.1049723756906077E-2</v>
      </c>
      <c r="I19" s="98">
        <v>1</v>
      </c>
      <c r="K19" s="38">
        <v>17</v>
      </c>
      <c r="L19" s="103">
        <v>17.299999999999979</v>
      </c>
      <c r="N19" s="119" t="s">
        <v>180</v>
      </c>
      <c r="O19" s="129">
        <f>IF(P19=0,0,Q19/P19)</f>
        <v>8.7249999999999979</v>
      </c>
      <c r="P19" s="123">
        <v>20</v>
      </c>
      <c r="Q19" s="111">
        <v>174.49999999999997</v>
      </c>
    </row>
    <row r="20" spans="1:17" x14ac:dyDescent="0.4">
      <c r="A20" s="55" t="s">
        <v>13</v>
      </c>
      <c r="B20" s="47">
        <v>112</v>
      </c>
      <c r="C20" s="39">
        <f>IF(B$3=0,0,B20/B$3)</f>
        <v>0.17499999999999999</v>
      </c>
      <c r="E20" s="63" t="s">
        <v>77</v>
      </c>
      <c r="F20" s="60" t="s">
        <v>31</v>
      </c>
      <c r="G20" s="47">
        <v>2</v>
      </c>
      <c r="H20" s="137">
        <f>IF(B$27=0,0,G20/B$27)</f>
        <v>1.1049723756906077E-2</v>
      </c>
      <c r="I20" s="98">
        <v>3</v>
      </c>
      <c r="K20" s="38">
        <v>18</v>
      </c>
      <c r="L20" s="103">
        <v>70.199999999999974</v>
      </c>
      <c r="N20" s="119" t="s">
        <v>181</v>
      </c>
      <c r="O20" s="129">
        <f>IF(P20=0,0,Q20/P20)</f>
        <v>-2.0842105263157902</v>
      </c>
      <c r="P20" s="123">
        <v>19</v>
      </c>
      <c r="Q20" s="111">
        <v>-39.600000000000016</v>
      </c>
    </row>
    <row r="21" spans="1:17" x14ac:dyDescent="0.4">
      <c r="A21" s="55" t="s">
        <v>5</v>
      </c>
      <c r="B21" s="51">
        <f>IF(B$17=0,0,C21/B$17)</f>
        <v>8997.3262032085568</v>
      </c>
      <c r="C21" s="41">
        <v>1682500</v>
      </c>
      <c r="E21" s="63" t="s">
        <v>80</v>
      </c>
      <c r="F21" s="60" t="s">
        <v>34</v>
      </c>
      <c r="G21" s="47">
        <v>2</v>
      </c>
      <c r="H21" s="137">
        <f>IF(B$27=0,0,G21/B$27)</f>
        <v>1.1049723756906077E-2</v>
      </c>
      <c r="I21" s="98">
        <v>8</v>
      </c>
      <c r="K21" s="38">
        <v>19</v>
      </c>
      <c r="L21" s="103">
        <v>92.299999999999983</v>
      </c>
      <c r="N21" s="119" t="s">
        <v>131</v>
      </c>
      <c r="O21" s="129">
        <f>IF(P21=0,0,Q21/P21)</f>
        <v>-22.382456140350889</v>
      </c>
      <c r="P21" s="123">
        <v>57</v>
      </c>
      <c r="Q21" s="111">
        <v>-1275.8000000000006</v>
      </c>
    </row>
    <row r="22" spans="1:17" x14ac:dyDescent="0.4">
      <c r="A22" s="57" t="s">
        <v>14</v>
      </c>
      <c r="B22" s="52">
        <f>IF(B$20=0,0,C22/B$20)</f>
        <v>-7440.1785714285716</v>
      </c>
      <c r="C22" s="45">
        <v>-833300</v>
      </c>
      <c r="E22" s="63" t="s">
        <v>75</v>
      </c>
      <c r="F22" s="60" t="s">
        <v>29</v>
      </c>
      <c r="G22" s="47">
        <v>1</v>
      </c>
      <c r="H22" s="137">
        <f>IF(B$27=0,0,G22/B$27)</f>
        <v>5.5248618784530384E-3</v>
      </c>
      <c r="I22" s="98">
        <v>3</v>
      </c>
      <c r="K22" s="38">
        <v>20</v>
      </c>
      <c r="L22" s="103">
        <v>114.39999999999998</v>
      </c>
    </row>
    <row r="23" spans="1:17" x14ac:dyDescent="0.4">
      <c r="A23" s="94" t="s">
        <v>146</v>
      </c>
      <c r="B23" s="155">
        <v>7</v>
      </c>
      <c r="C23" s="156"/>
      <c r="E23" s="63" t="s">
        <v>79</v>
      </c>
      <c r="F23" s="60" t="s">
        <v>33</v>
      </c>
      <c r="G23" s="47">
        <v>1</v>
      </c>
      <c r="H23" s="137">
        <f>IF(B$27=0,0,G23/B$27)</f>
        <v>5.5248618784530384E-3</v>
      </c>
      <c r="I23" s="98">
        <v>1</v>
      </c>
      <c r="K23" s="38">
        <v>21</v>
      </c>
      <c r="L23" s="103">
        <v>140.09999999999997</v>
      </c>
    </row>
    <row r="24" spans="1:17" x14ac:dyDescent="0.4">
      <c r="A24" s="58" t="s">
        <v>157</v>
      </c>
      <c r="B24" s="153">
        <v>97300</v>
      </c>
      <c r="C24" s="154"/>
      <c r="E24" s="63" t="s">
        <v>87</v>
      </c>
      <c r="F24" s="60" t="s">
        <v>41</v>
      </c>
      <c r="G24" s="47">
        <v>1</v>
      </c>
      <c r="H24" s="137">
        <f>IF(B$27=0,0,G24/B$27)</f>
        <v>5.5248618784530384E-3</v>
      </c>
      <c r="I24" s="98">
        <v>1</v>
      </c>
      <c r="K24" s="38">
        <v>22</v>
      </c>
      <c r="L24" s="103">
        <v>179.69999999999996</v>
      </c>
    </row>
    <row r="25" spans="1:17" x14ac:dyDescent="0.4">
      <c r="A25" s="57" t="s">
        <v>147</v>
      </c>
      <c r="B25" s="65">
        <v>4</v>
      </c>
      <c r="C25" s="42">
        <f>IF(B$3=0,0,B25/B$3)</f>
        <v>6.2500000000000003E-3</v>
      </c>
      <c r="E25" s="63" t="s">
        <v>91</v>
      </c>
      <c r="F25" s="60" t="s">
        <v>45</v>
      </c>
      <c r="G25" s="47">
        <v>1</v>
      </c>
      <c r="H25" s="137">
        <f>IF(B$27=0,0,G25/B$27)</f>
        <v>5.5248618784530384E-3</v>
      </c>
      <c r="I25" s="98">
        <v>2</v>
      </c>
      <c r="K25" s="38">
        <v>23</v>
      </c>
      <c r="L25" s="103">
        <v>214.99999999999994</v>
      </c>
    </row>
    <row r="26" spans="1:17" x14ac:dyDescent="0.4">
      <c r="A26" s="54" t="s">
        <v>124</v>
      </c>
      <c r="B26" s="145">
        <v>630</v>
      </c>
      <c r="C26" s="146"/>
      <c r="E26" s="63" t="s">
        <v>95</v>
      </c>
      <c r="F26" s="60" t="s">
        <v>49</v>
      </c>
      <c r="G26" s="47">
        <v>1</v>
      </c>
      <c r="H26" s="137">
        <f>IF(B$27=0,0,G26/B$27)</f>
        <v>5.5248618784530384E-3</v>
      </c>
      <c r="I26" s="98">
        <v>2</v>
      </c>
      <c r="K26" s="38">
        <v>24</v>
      </c>
      <c r="L26" s="103">
        <v>221.09999999999994</v>
      </c>
    </row>
    <row r="27" spans="1:17" x14ac:dyDescent="0.4">
      <c r="A27" s="57" t="s">
        <v>125</v>
      </c>
      <c r="B27" s="159">
        <v>181</v>
      </c>
      <c r="C27" s="160"/>
      <c r="E27" s="63" t="s">
        <v>96</v>
      </c>
      <c r="F27" s="60" t="s">
        <v>50</v>
      </c>
      <c r="G27" s="47">
        <v>1</v>
      </c>
      <c r="H27" s="137">
        <f>IF(B$27=0,0,G27/B$27)</f>
        <v>5.5248618784530384E-3</v>
      </c>
      <c r="I27" s="98">
        <v>2</v>
      </c>
      <c r="K27" s="38">
        <v>25</v>
      </c>
      <c r="L27" s="103">
        <v>215.99999999999994</v>
      </c>
    </row>
    <row r="28" spans="1:17" x14ac:dyDescent="0.4">
      <c r="E28" s="63" t="s">
        <v>78</v>
      </c>
      <c r="F28" s="60" t="s">
        <v>32</v>
      </c>
      <c r="G28" s="47">
        <v>0</v>
      </c>
      <c r="H28" s="137">
        <f>IF(B$27=0,0,G28/B$27)</f>
        <v>0</v>
      </c>
      <c r="I28" s="98">
        <v>1</v>
      </c>
      <c r="K28" s="38">
        <v>26</v>
      </c>
      <c r="L28" s="103">
        <v>221.19999999999993</v>
      </c>
    </row>
    <row r="29" spans="1:17" x14ac:dyDescent="0.4">
      <c r="E29" s="63" t="s">
        <v>82</v>
      </c>
      <c r="F29" s="60" t="s">
        <v>36</v>
      </c>
      <c r="G29" s="47">
        <v>0</v>
      </c>
      <c r="H29" s="137">
        <f>IF(B$27=0,0,G29/B$27)</f>
        <v>0</v>
      </c>
      <c r="I29" s="98">
        <v>1</v>
      </c>
      <c r="K29" s="38">
        <v>27</v>
      </c>
      <c r="L29" s="103">
        <v>213.29999999999993</v>
      </c>
    </row>
    <row r="30" spans="1:17" x14ac:dyDescent="0.4">
      <c r="E30" s="63" t="s">
        <v>83</v>
      </c>
      <c r="F30" s="60" t="s">
        <v>37</v>
      </c>
      <c r="G30" s="47">
        <v>0</v>
      </c>
      <c r="H30" s="137">
        <f>IF(B$27=0,0,G30/B$27)</f>
        <v>0</v>
      </c>
      <c r="I30" s="98">
        <v>1</v>
      </c>
      <c r="K30" s="38">
        <v>28</v>
      </c>
      <c r="L30" s="103">
        <v>212.29999999999993</v>
      </c>
    </row>
    <row r="31" spans="1:17" x14ac:dyDescent="0.4">
      <c r="E31" s="63" t="s">
        <v>85</v>
      </c>
      <c r="F31" s="60" t="s">
        <v>39</v>
      </c>
      <c r="G31" s="47">
        <v>0</v>
      </c>
      <c r="H31" s="137">
        <f>IF(B$27=0,0,G31/B$27)</f>
        <v>0</v>
      </c>
      <c r="I31" s="98">
        <v>1</v>
      </c>
      <c r="K31" s="38">
        <v>29</v>
      </c>
      <c r="L31" s="103">
        <v>166.99999999999994</v>
      </c>
    </row>
    <row r="32" spans="1:17" x14ac:dyDescent="0.4">
      <c r="E32" s="63" t="s">
        <v>88</v>
      </c>
      <c r="F32" s="60" t="s">
        <v>42</v>
      </c>
      <c r="G32" s="47">
        <v>0</v>
      </c>
      <c r="H32" s="137">
        <f>IF(B$27=0,0,G32/B$27)</f>
        <v>0</v>
      </c>
      <c r="I32" s="98">
        <v>3</v>
      </c>
      <c r="K32" s="38">
        <v>30</v>
      </c>
      <c r="L32" s="103">
        <v>158.09999999999994</v>
      </c>
    </row>
    <row r="33" spans="5:12" x14ac:dyDescent="0.4">
      <c r="E33" s="63" t="s">
        <v>90</v>
      </c>
      <c r="F33" s="60" t="s">
        <v>44</v>
      </c>
      <c r="G33" s="47">
        <v>0</v>
      </c>
      <c r="H33" s="137">
        <f>IF(B$27=0,0,G33/B$27)</f>
        <v>0</v>
      </c>
      <c r="I33" s="98">
        <v>4</v>
      </c>
      <c r="K33" s="38">
        <v>31</v>
      </c>
      <c r="L33" s="103">
        <v>154.59999999999994</v>
      </c>
    </row>
    <row r="34" spans="5:12" x14ac:dyDescent="0.4">
      <c r="E34" s="63" t="s">
        <v>93</v>
      </c>
      <c r="F34" s="60" t="s">
        <v>47</v>
      </c>
      <c r="G34" s="47">
        <v>0</v>
      </c>
      <c r="H34" s="137">
        <f>IF(B$27=0,0,G34/B$27)</f>
        <v>0</v>
      </c>
      <c r="I34" s="98">
        <v>3</v>
      </c>
      <c r="K34" s="38">
        <v>32</v>
      </c>
      <c r="L34" s="103">
        <v>162.59999999999994</v>
      </c>
    </row>
    <row r="35" spans="5:12" x14ac:dyDescent="0.4">
      <c r="E35" s="63" t="s">
        <v>97</v>
      </c>
      <c r="F35" s="60" t="s">
        <v>51</v>
      </c>
      <c r="G35" s="47">
        <v>0</v>
      </c>
      <c r="H35" s="137">
        <f>IF(B$27=0,0,G35/B$27)</f>
        <v>0</v>
      </c>
      <c r="I35" s="98">
        <v>1</v>
      </c>
      <c r="K35" s="38">
        <v>33</v>
      </c>
      <c r="L35" s="103">
        <v>217.09999999999994</v>
      </c>
    </row>
    <row r="36" spans="5:12" x14ac:dyDescent="0.4">
      <c r="E36" s="63" t="s">
        <v>98</v>
      </c>
      <c r="F36" s="60" t="s">
        <v>52</v>
      </c>
      <c r="G36" s="47">
        <v>0</v>
      </c>
      <c r="H36" s="137">
        <f>IF(B$27=0,0,G36/B$27)</f>
        <v>0</v>
      </c>
      <c r="I36" s="98">
        <v>3</v>
      </c>
      <c r="K36" s="38">
        <v>34</v>
      </c>
      <c r="L36" s="103">
        <v>206.49999999999994</v>
      </c>
    </row>
    <row r="37" spans="5:12" x14ac:dyDescent="0.4">
      <c r="E37" s="63" t="s">
        <v>99</v>
      </c>
      <c r="F37" s="60" t="s">
        <v>53</v>
      </c>
      <c r="G37" s="47">
        <v>0</v>
      </c>
      <c r="H37" s="137">
        <f>IF(B$27=0,0,G37/B$27)</f>
        <v>0</v>
      </c>
      <c r="I37" s="98">
        <v>1</v>
      </c>
      <c r="K37" s="38">
        <v>35</v>
      </c>
      <c r="L37" s="103">
        <v>211.09999999999994</v>
      </c>
    </row>
    <row r="38" spans="5:12" x14ac:dyDescent="0.4">
      <c r="E38" s="63" t="s">
        <v>100</v>
      </c>
      <c r="F38" s="60" t="s">
        <v>54</v>
      </c>
      <c r="G38" s="47">
        <v>0</v>
      </c>
      <c r="H38" s="137">
        <f>IF(B$27=0,0,G38/B$27)</f>
        <v>0</v>
      </c>
      <c r="I38" s="98">
        <v>1</v>
      </c>
      <c r="K38" s="38">
        <v>36</v>
      </c>
      <c r="L38" s="103">
        <v>208.59999999999994</v>
      </c>
    </row>
    <row r="39" spans="5:12" x14ac:dyDescent="0.4">
      <c r="E39" s="63" t="s">
        <v>101</v>
      </c>
      <c r="F39" s="60" t="s">
        <v>55</v>
      </c>
      <c r="G39" s="47">
        <v>0</v>
      </c>
      <c r="H39" s="137">
        <f>IF(B$27=0,0,G39/B$27)</f>
        <v>0</v>
      </c>
      <c r="I39" s="98">
        <v>1</v>
      </c>
      <c r="K39" s="38">
        <v>37</v>
      </c>
      <c r="L39" s="103">
        <v>152.59999999999994</v>
      </c>
    </row>
    <row r="40" spans="5:12" x14ac:dyDescent="0.4">
      <c r="E40" s="63" t="s">
        <v>102</v>
      </c>
      <c r="F40" s="60" t="s">
        <v>56</v>
      </c>
      <c r="G40" s="47">
        <v>0</v>
      </c>
      <c r="H40" s="137">
        <f>IF(B$27=0,0,G40/B$27)</f>
        <v>0</v>
      </c>
      <c r="I40" s="98">
        <v>1</v>
      </c>
      <c r="K40" s="38">
        <v>38</v>
      </c>
      <c r="L40" s="103">
        <v>164.99999999999994</v>
      </c>
    </row>
    <row r="41" spans="5:12" x14ac:dyDescent="0.4">
      <c r="E41" s="63" t="s">
        <v>103</v>
      </c>
      <c r="F41" s="60" t="s">
        <v>57</v>
      </c>
      <c r="G41" s="47">
        <v>0</v>
      </c>
      <c r="H41" s="137">
        <f>IF(B$27=0,0,G41/B$27)</f>
        <v>0</v>
      </c>
      <c r="I41" s="98">
        <v>1</v>
      </c>
      <c r="K41" s="38">
        <v>39</v>
      </c>
      <c r="L41" s="103">
        <v>104.69999999999995</v>
      </c>
    </row>
    <row r="42" spans="5:12" x14ac:dyDescent="0.4">
      <c r="E42" s="63" t="s">
        <v>104</v>
      </c>
      <c r="F42" s="60" t="s">
        <v>58</v>
      </c>
      <c r="G42" s="47">
        <v>0</v>
      </c>
      <c r="H42" s="137">
        <f>IF(B$27=0,0,G42/B$27)</f>
        <v>0</v>
      </c>
      <c r="I42" s="98">
        <v>1</v>
      </c>
      <c r="K42" s="38">
        <v>40</v>
      </c>
      <c r="L42" s="103">
        <v>103.19999999999995</v>
      </c>
    </row>
    <row r="43" spans="5:12" x14ac:dyDescent="0.4">
      <c r="E43" s="63" t="s">
        <v>105</v>
      </c>
      <c r="F43" s="60" t="s">
        <v>59</v>
      </c>
      <c r="G43" s="47">
        <v>0</v>
      </c>
      <c r="H43" s="137">
        <f>IF(B$27=0,0,G43/B$27)</f>
        <v>0</v>
      </c>
      <c r="I43" s="98">
        <v>1</v>
      </c>
      <c r="K43" s="38">
        <v>41</v>
      </c>
      <c r="L43" s="103">
        <v>150.59999999999994</v>
      </c>
    </row>
    <row r="44" spans="5:12" x14ac:dyDescent="0.4">
      <c r="E44" s="63" t="s">
        <v>106</v>
      </c>
      <c r="F44" s="60" t="s">
        <v>60</v>
      </c>
      <c r="G44" s="47">
        <v>0</v>
      </c>
      <c r="H44" s="137">
        <f>IF(B$27=0,0,G44/B$27)</f>
        <v>0</v>
      </c>
      <c r="I44" s="98">
        <v>1</v>
      </c>
      <c r="K44" s="38">
        <v>42</v>
      </c>
      <c r="L44" s="103">
        <v>224.19999999999993</v>
      </c>
    </row>
    <row r="45" spans="5:12" x14ac:dyDescent="0.4">
      <c r="E45" s="63" t="s">
        <v>107</v>
      </c>
      <c r="F45" s="60" t="s">
        <v>61</v>
      </c>
      <c r="G45" s="47">
        <v>0</v>
      </c>
      <c r="H45" s="137">
        <f>IF(B$27=0,0,G45/B$27)</f>
        <v>0</v>
      </c>
      <c r="I45" s="98">
        <v>1</v>
      </c>
      <c r="K45" s="38">
        <v>43</v>
      </c>
      <c r="L45" s="103">
        <v>190.59999999999994</v>
      </c>
    </row>
    <row r="46" spans="5:12" x14ac:dyDescent="0.4">
      <c r="E46" s="63" t="s">
        <v>108</v>
      </c>
      <c r="F46" s="60" t="s">
        <v>115</v>
      </c>
      <c r="G46" s="47">
        <v>0</v>
      </c>
      <c r="H46" s="137">
        <f>IF(B$27=0,0,G46/B$27)</f>
        <v>0</v>
      </c>
      <c r="I46" s="98">
        <v>1</v>
      </c>
      <c r="K46" s="38">
        <v>44</v>
      </c>
      <c r="L46" s="103">
        <v>205.69999999999993</v>
      </c>
    </row>
    <row r="47" spans="5:12" x14ac:dyDescent="0.4">
      <c r="E47" s="63" t="s">
        <v>109</v>
      </c>
      <c r="F47" s="60" t="s">
        <v>116</v>
      </c>
      <c r="G47" s="47">
        <v>0</v>
      </c>
      <c r="H47" s="137">
        <f>IF(B$27=0,0,G47/B$27)</f>
        <v>0</v>
      </c>
      <c r="I47" s="98">
        <v>1</v>
      </c>
      <c r="K47" s="38">
        <v>45</v>
      </c>
      <c r="L47" s="103">
        <v>144.79999999999993</v>
      </c>
    </row>
    <row r="48" spans="5:12" x14ac:dyDescent="0.4">
      <c r="E48" s="63" t="s">
        <v>110</v>
      </c>
      <c r="F48" s="60" t="s">
        <v>117</v>
      </c>
      <c r="G48" s="47">
        <v>0</v>
      </c>
      <c r="H48" s="137">
        <f>IF(B$27=0,0,G48/B$27)</f>
        <v>0</v>
      </c>
      <c r="I48" s="98">
        <v>1</v>
      </c>
      <c r="K48" s="38">
        <v>46</v>
      </c>
      <c r="L48" s="103">
        <v>87.099999999999923</v>
      </c>
    </row>
    <row r="49" spans="5:12" x14ac:dyDescent="0.4">
      <c r="E49" s="63" t="s">
        <v>111</v>
      </c>
      <c r="F49" s="60" t="s">
        <v>62</v>
      </c>
      <c r="G49" s="47">
        <v>0</v>
      </c>
      <c r="H49" s="137">
        <f>IF(B$27=0,0,G49/B$27)</f>
        <v>0</v>
      </c>
      <c r="I49" s="98">
        <v>1</v>
      </c>
      <c r="K49" s="38">
        <v>47</v>
      </c>
      <c r="L49" s="103">
        <v>31.599999999999923</v>
      </c>
    </row>
    <row r="50" spans="5:12" x14ac:dyDescent="0.4">
      <c r="E50" s="63" t="s">
        <v>112</v>
      </c>
      <c r="F50" s="60" t="s">
        <v>63</v>
      </c>
      <c r="G50" s="47">
        <v>0</v>
      </c>
      <c r="H50" s="137">
        <f>IF(B$27=0,0,G50/B$27)</f>
        <v>0</v>
      </c>
      <c r="I50" s="98">
        <v>1</v>
      </c>
      <c r="K50" s="38">
        <v>48</v>
      </c>
      <c r="L50" s="103">
        <v>-28.300000000000075</v>
      </c>
    </row>
    <row r="51" spans="5:12" x14ac:dyDescent="0.4">
      <c r="E51" s="63" t="s">
        <v>113</v>
      </c>
      <c r="F51" s="60" t="s">
        <v>64</v>
      </c>
      <c r="G51" s="47">
        <v>0</v>
      </c>
      <c r="H51" s="137">
        <f>IF(B$27=0,0,G51/B$27)</f>
        <v>0</v>
      </c>
      <c r="I51" s="98">
        <v>1</v>
      </c>
      <c r="K51" s="38">
        <v>49</v>
      </c>
      <c r="L51" s="103">
        <v>26.199999999999925</v>
      </c>
    </row>
    <row r="52" spans="5:12" x14ac:dyDescent="0.4">
      <c r="E52" s="64" t="s">
        <v>114</v>
      </c>
      <c r="F52" s="61" t="s">
        <v>65</v>
      </c>
      <c r="G52" s="49">
        <v>0</v>
      </c>
      <c r="H52" s="138">
        <f>IF(B$27=0,0,G52/B$27)</f>
        <v>0</v>
      </c>
      <c r="I52" s="99">
        <v>1</v>
      </c>
      <c r="K52" s="38">
        <v>50</v>
      </c>
      <c r="L52" s="103">
        <v>-29.200000000000074</v>
      </c>
    </row>
    <row r="53" spans="5:12" x14ac:dyDescent="0.4">
      <c r="K53" s="38">
        <v>51</v>
      </c>
      <c r="L53" s="103">
        <v>-25.100000000000072</v>
      </c>
    </row>
    <row r="54" spans="5:12" x14ac:dyDescent="0.4">
      <c r="K54" s="38">
        <v>52</v>
      </c>
      <c r="L54" s="103">
        <v>-53.700000000000074</v>
      </c>
    </row>
    <row r="55" spans="5:12" x14ac:dyDescent="0.4">
      <c r="K55" s="38">
        <v>53</v>
      </c>
      <c r="L55" s="103">
        <v>-80.000000000000071</v>
      </c>
    </row>
    <row r="56" spans="5:12" x14ac:dyDescent="0.4">
      <c r="K56" s="38">
        <v>54</v>
      </c>
      <c r="L56" s="103">
        <v>-119.50000000000007</v>
      </c>
    </row>
    <row r="57" spans="5:12" x14ac:dyDescent="0.4">
      <c r="K57" s="38">
        <v>55</v>
      </c>
      <c r="L57" s="103">
        <v>-115.40000000000008</v>
      </c>
    </row>
    <row r="58" spans="5:12" x14ac:dyDescent="0.4">
      <c r="K58" s="38">
        <v>56</v>
      </c>
      <c r="L58" s="103">
        <v>-36.400000000000077</v>
      </c>
    </row>
    <row r="59" spans="5:12" x14ac:dyDescent="0.4">
      <c r="K59" s="38">
        <v>57</v>
      </c>
      <c r="L59" s="103">
        <v>-70.400000000000077</v>
      </c>
    </row>
    <row r="60" spans="5:12" x14ac:dyDescent="0.4">
      <c r="K60" s="38">
        <v>58</v>
      </c>
      <c r="L60" s="103">
        <v>-83.400000000000077</v>
      </c>
    </row>
    <row r="61" spans="5:12" x14ac:dyDescent="0.4">
      <c r="K61" s="38">
        <v>59</v>
      </c>
      <c r="L61" s="103">
        <v>-86.500000000000071</v>
      </c>
    </row>
    <row r="62" spans="5:12" x14ac:dyDescent="0.4">
      <c r="K62" s="38">
        <v>60</v>
      </c>
      <c r="L62" s="103">
        <v>-81.100000000000065</v>
      </c>
    </row>
    <row r="63" spans="5:12" x14ac:dyDescent="0.4">
      <c r="K63" s="38">
        <v>61</v>
      </c>
      <c r="L63" s="103">
        <v>-142.30000000000007</v>
      </c>
    </row>
    <row r="64" spans="5:12" x14ac:dyDescent="0.4">
      <c r="K64" s="38">
        <v>62</v>
      </c>
      <c r="L64" s="103">
        <v>-114.00000000000007</v>
      </c>
    </row>
    <row r="65" spans="11:12" x14ac:dyDescent="0.4">
      <c r="K65" s="38">
        <v>63</v>
      </c>
      <c r="L65" s="103">
        <v>-121.60000000000007</v>
      </c>
    </row>
    <row r="66" spans="11:12" x14ac:dyDescent="0.4">
      <c r="K66" s="38">
        <v>64</v>
      </c>
      <c r="L66" s="103">
        <v>-168.60000000000008</v>
      </c>
    </row>
    <row r="67" spans="11:12" x14ac:dyDescent="0.4">
      <c r="K67" s="38">
        <v>65</v>
      </c>
      <c r="L67" s="103">
        <v>-165.70000000000007</v>
      </c>
    </row>
    <row r="68" spans="11:12" x14ac:dyDescent="0.4">
      <c r="K68" s="38">
        <v>66</v>
      </c>
      <c r="L68" s="103">
        <v>-135.40000000000006</v>
      </c>
    </row>
    <row r="69" spans="11:12" x14ac:dyDescent="0.4">
      <c r="K69" s="38">
        <v>67</v>
      </c>
      <c r="L69" s="103">
        <v>-140.90000000000006</v>
      </c>
    </row>
    <row r="70" spans="11:12" x14ac:dyDescent="0.4">
      <c r="K70" s="38">
        <v>68</v>
      </c>
      <c r="L70" s="103">
        <v>-173.80000000000007</v>
      </c>
    </row>
    <row r="71" spans="11:12" x14ac:dyDescent="0.4">
      <c r="K71" s="38">
        <v>69</v>
      </c>
      <c r="L71" s="103">
        <v>-128.70000000000007</v>
      </c>
    </row>
    <row r="72" spans="11:12" x14ac:dyDescent="0.4">
      <c r="K72" s="38">
        <v>70</v>
      </c>
      <c r="L72" s="103">
        <v>-83.300000000000068</v>
      </c>
    </row>
    <row r="73" spans="11:12" x14ac:dyDescent="0.4">
      <c r="K73" s="38">
        <v>71</v>
      </c>
      <c r="L73" s="103">
        <v>-142.00000000000006</v>
      </c>
    </row>
    <row r="74" spans="11:12" x14ac:dyDescent="0.4">
      <c r="K74" s="38">
        <v>72</v>
      </c>
      <c r="L74" s="103">
        <v>-135.30000000000007</v>
      </c>
    </row>
    <row r="75" spans="11:12" x14ac:dyDescent="0.4">
      <c r="K75" s="38">
        <v>73</v>
      </c>
      <c r="L75" s="103">
        <v>-129.20000000000007</v>
      </c>
    </row>
    <row r="76" spans="11:12" x14ac:dyDescent="0.4">
      <c r="K76" s="38">
        <v>74</v>
      </c>
      <c r="L76" s="103">
        <v>-182.00000000000006</v>
      </c>
    </row>
    <row r="77" spans="11:12" x14ac:dyDescent="0.4">
      <c r="K77" s="38">
        <v>75</v>
      </c>
      <c r="L77" s="103">
        <v>-99.70000000000006</v>
      </c>
    </row>
    <row r="78" spans="11:12" x14ac:dyDescent="0.4">
      <c r="K78" s="38">
        <v>76</v>
      </c>
      <c r="L78" s="103">
        <v>-77.300000000000068</v>
      </c>
    </row>
    <row r="79" spans="11:12" x14ac:dyDescent="0.4">
      <c r="K79" s="38">
        <v>77</v>
      </c>
      <c r="L79" s="103">
        <v>-82.600000000000065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CABBF-AC61-4E97-93DE-BBE4FCD52BCF}">
  <sheetPr codeName="Sheet11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3" t="s">
        <v>133</v>
      </c>
      <c r="C1" s="144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5">
        <v>30</v>
      </c>
      <c r="C2" s="146"/>
      <c r="E2" s="62" t="s">
        <v>68</v>
      </c>
      <c r="F2" s="59" t="s">
        <v>23</v>
      </c>
      <c r="G2" s="46">
        <v>42</v>
      </c>
      <c r="H2" s="136">
        <f>IF(B$27=0,0,G2/B$27)</f>
        <v>0.8571428571428571</v>
      </c>
      <c r="I2" s="97">
        <v>1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-2690</v>
      </c>
      <c r="P2" s="122">
        <v>30</v>
      </c>
      <c r="Q2" s="106">
        <v>-80700</v>
      </c>
    </row>
    <row r="3" spans="1:17" x14ac:dyDescent="0.4">
      <c r="A3" s="55" t="s">
        <v>8</v>
      </c>
      <c r="B3" s="147">
        <v>249</v>
      </c>
      <c r="C3" s="148"/>
      <c r="E3" s="63" t="s">
        <v>66</v>
      </c>
      <c r="F3" s="60" t="s">
        <v>21</v>
      </c>
      <c r="G3" s="47">
        <v>30</v>
      </c>
      <c r="H3" s="137">
        <f>IF(B$27=0,0,G3/B$27)</f>
        <v>0.61224489795918369</v>
      </c>
      <c r="I3" s="98">
        <v>2</v>
      </c>
      <c r="K3" s="38">
        <v>1</v>
      </c>
      <c r="L3" s="103">
        <v>-40.4</v>
      </c>
      <c r="N3" s="119" t="s">
        <v>137</v>
      </c>
      <c r="O3" s="126">
        <f t="shared" si="0"/>
        <v>-3823.3333333333335</v>
      </c>
      <c r="P3" s="123">
        <v>30</v>
      </c>
      <c r="Q3" s="107">
        <v>-114700</v>
      </c>
    </row>
    <row r="4" spans="1:17" x14ac:dyDescent="0.4">
      <c r="A4" s="55" t="s">
        <v>6</v>
      </c>
      <c r="B4" s="149">
        <v>-847.1</v>
      </c>
      <c r="C4" s="150"/>
      <c r="E4" s="63" t="s">
        <v>70</v>
      </c>
      <c r="F4" s="60" t="s">
        <v>12</v>
      </c>
      <c r="G4" s="47">
        <v>21</v>
      </c>
      <c r="H4" s="137">
        <f>IF(B$27=0,0,G4/B$27)</f>
        <v>0.42857142857142855</v>
      </c>
      <c r="I4" s="98">
        <v>2</v>
      </c>
      <c r="K4" s="38">
        <v>2</v>
      </c>
      <c r="L4" s="103">
        <v>-3.3999999999999986</v>
      </c>
      <c r="N4" s="119" t="s">
        <v>138</v>
      </c>
      <c r="O4" s="126">
        <f t="shared" si="0"/>
        <v>-3737.037037037037</v>
      </c>
      <c r="P4" s="123">
        <v>27</v>
      </c>
      <c r="Q4" s="107">
        <v>-100900</v>
      </c>
    </row>
    <row r="5" spans="1:17" x14ac:dyDescent="0.4">
      <c r="A5" s="55" t="s">
        <v>7</v>
      </c>
      <c r="B5" s="151">
        <f>IF(B$2=0,0,B$4/B$2)</f>
        <v>-28.236666666666668</v>
      </c>
      <c r="C5" s="152"/>
      <c r="E5" s="63" t="s">
        <v>189</v>
      </c>
      <c r="F5" s="60" t="s">
        <v>190</v>
      </c>
      <c r="G5" s="47">
        <v>18</v>
      </c>
      <c r="H5" s="137">
        <f>IF(B$27=0,0,G5/B$27)</f>
        <v>0.36734693877551022</v>
      </c>
      <c r="I5" s="98">
        <v>6</v>
      </c>
      <c r="K5" s="38">
        <v>3</v>
      </c>
      <c r="L5" s="103">
        <v>-23.099999999999998</v>
      </c>
      <c r="N5" s="119" t="s">
        <v>139</v>
      </c>
      <c r="O5" s="126">
        <f t="shared" si="0"/>
        <v>-6308.333333333333</v>
      </c>
      <c r="P5" s="123">
        <v>24</v>
      </c>
      <c r="Q5" s="107">
        <v>-151400</v>
      </c>
    </row>
    <row r="6" spans="1:17" x14ac:dyDescent="0.4">
      <c r="A6" s="55" t="s">
        <v>1</v>
      </c>
      <c r="B6" s="157">
        <f>IF(B$2=0,0,(B$7*1+B$8*2+B$9*3)/B$2)</f>
        <v>2.5</v>
      </c>
      <c r="C6" s="158"/>
      <c r="E6" s="63" t="s">
        <v>69</v>
      </c>
      <c r="F6" s="60" t="s">
        <v>24</v>
      </c>
      <c r="G6" s="47">
        <v>17</v>
      </c>
      <c r="H6" s="137">
        <f>IF(B$27=0,0,G6/B$27)</f>
        <v>0.34693877551020408</v>
      </c>
      <c r="I6" s="98">
        <v>3</v>
      </c>
      <c r="K6" s="38">
        <v>4</v>
      </c>
      <c r="L6" s="103">
        <v>-31.4</v>
      </c>
      <c r="N6" s="119" t="s">
        <v>140</v>
      </c>
      <c r="O6" s="126">
        <f t="shared" si="0"/>
        <v>-4242.8571428571431</v>
      </c>
      <c r="P6" s="123">
        <v>21</v>
      </c>
      <c r="Q6" s="107">
        <v>-89100</v>
      </c>
    </row>
    <row r="7" spans="1:17" x14ac:dyDescent="0.4">
      <c r="A7" s="55" t="s">
        <v>2</v>
      </c>
      <c r="B7" s="47">
        <v>4</v>
      </c>
      <c r="C7" s="39">
        <f>IF(B$2=0,0,B7/B$2)</f>
        <v>0.13333333333333333</v>
      </c>
      <c r="E7" s="63" t="s">
        <v>74</v>
      </c>
      <c r="F7" s="60" t="s">
        <v>28</v>
      </c>
      <c r="G7" s="47">
        <v>15</v>
      </c>
      <c r="H7" s="137">
        <f>IF(B$27=0,0,G7/B$27)</f>
        <v>0.30612244897959184</v>
      </c>
      <c r="I7" s="98">
        <v>11</v>
      </c>
      <c r="K7" s="38">
        <v>5</v>
      </c>
      <c r="L7" s="103">
        <v>-32.199999999999996</v>
      </c>
      <c r="N7" s="120" t="s">
        <v>141</v>
      </c>
      <c r="O7" s="127">
        <f t="shared" si="0"/>
        <v>-2020</v>
      </c>
      <c r="P7" s="124">
        <v>20</v>
      </c>
      <c r="Q7" s="108">
        <v>-40400</v>
      </c>
    </row>
    <row r="8" spans="1:17" x14ac:dyDescent="0.4">
      <c r="A8" s="55" t="s">
        <v>3</v>
      </c>
      <c r="B8" s="47">
        <v>7</v>
      </c>
      <c r="C8" s="39">
        <f>IF(B$2=0,0,B8/B$2)</f>
        <v>0.23333333333333334</v>
      </c>
      <c r="E8" s="63" t="s">
        <v>71</v>
      </c>
      <c r="F8" s="60" t="s">
        <v>25</v>
      </c>
      <c r="G8" s="47">
        <v>11</v>
      </c>
      <c r="H8" s="137">
        <f>IF(B$27=0,0,G8/B$27)</f>
        <v>0.22448979591836735</v>
      </c>
      <c r="I8" s="98">
        <v>2</v>
      </c>
      <c r="K8" s="38">
        <v>6</v>
      </c>
      <c r="L8" s="103">
        <v>-58.5</v>
      </c>
      <c r="N8" s="43"/>
      <c r="O8" s="131"/>
      <c r="P8" s="115"/>
      <c r="Q8" s="113"/>
    </row>
    <row r="9" spans="1:17" x14ac:dyDescent="0.4">
      <c r="A9" s="56" t="s">
        <v>4</v>
      </c>
      <c r="B9" s="48">
        <v>19</v>
      </c>
      <c r="C9" s="40">
        <f t="shared" ref="C9" si="1">IF(B$2=0,0,B9/B$2)</f>
        <v>0.6333333333333333</v>
      </c>
      <c r="E9" s="63" t="s">
        <v>72</v>
      </c>
      <c r="F9" s="60" t="s">
        <v>26</v>
      </c>
      <c r="G9" s="47">
        <v>9</v>
      </c>
      <c r="H9" s="137">
        <f>IF(B$27=0,0,G9/B$27)</f>
        <v>0.18367346938775511</v>
      </c>
      <c r="I9" s="98">
        <v>1</v>
      </c>
      <c r="K9" s="38">
        <v>7</v>
      </c>
      <c r="L9" s="103">
        <v>-116.8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8</v>
      </c>
      <c r="C10" s="40">
        <f>IF(B$2=0,0,B10/B$2)</f>
        <v>0.26666666666666666</v>
      </c>
      <c r="E10" s="63" t="s">
        <v>73</v>
      </c>
      <c r="F10" s="60" t="s">
        <v>27</v>
      </c>
      <c r="G10" s="47">
        <v>5</v>
      </c>
      <c r="H10" s="137">
        <f>IF(B$27=0,0,G10/B$27)</f>
        <v>0.10204081632653061</v>
      </c>
      <c r="I10" s="98">
        <v>2</v>
      </c>
      <c r="K10" s="38">
        <v>8</v>
      </c>
      <c r="L10" s="103">
        <v>-79.599999999999994</v>
      </c>
      <c r="N10" s="118" t="s">
        <v>172</v>
      </c>
      <c r="O10" s="128">
        <f>IF(P10=0,0,Q10/P10)</f>
        <v>-29.581818181818178</v>
      </c>
      <c r="P10" s="122">
        <v>11</v>
      </c>
      <c r="Q10" s="110">
        <v>-325.39999999999998</v>
      </c>
    </row>
    <row r="11" spans="1:17" x14ac:dyDescent="0.4">
      <c r="A11" s="56" t="s">
        <v>144</v>
      </c>
      <c r="B11" s="48">
        <v>1</v>
      </c>
      <c r="C11" s="40">
        <f>IF(B$2=0,0,B11/B$2)</f>
        <v>3.3333333333333333E-2</v>
      </c>
      <c r="E11" s="63" t="s">
        <v>92</v>
      </c>
      <c r="F11" s="60" t="s">
        <v>46</v>
      </c>
      <c r="G11" s="47">
        <v>5</v>
      </c>
      <c r="H11" s="137">
        <f>IF(B$27=0,0,G11/B$27)</f>
        <v>0.10204081632653061</v>
      </c>
      <c r="I11" s="98">
        <v>9</v>
      </c>
      <c r="K11" s="38">
        <v>9</v>
      </c>
      <c r="L11" s="103">
        <v>-127.6</v>
      </c>
      <c r="N11" s="119" t="s">
        <v>173</v>
      </c>
      <c r="O11" s="129">
        <f>IF(P11=0,0,Q11/P11)</f>
        <v>-20.81818181818182</v>
      </c>
      <c r="P11" s="123">
        <v>11</v>
      </c>
      <c r="Q11" s="111">
        <v>-229.00000000000003</v>
      </c>
    </row>
    <row r="12" spans="1:17" x14ac:dyDescent="0.4">
      <c r="A12" s="57" t="s">
        <v>165</v>
      </c>
      <c r="B12" s="49">
        <v>2</v>
      </c>
      <c r="C12" s="42">
        <f>IF(B$2=0,0,B12/B$2)</f>
        <v>6.6666666666666666E-2</v>
      </c>
      <c r="E12" s="63" t="s">
        <v>67</v>
      </c>
      <c r="F12" s="60" t="s">
        <v>22</v>
      </c>
      <c r="G12" s="47">
        <v>4</v>
      </c>
      <c r="H12" s="137">
        <f>IF(B$27=0,0,G12/B$27)</f>
        <v>8.1632653061224483E-2</v>
      </c>
      <c r="I12" s="98">
        <v>8</v>
      </c>
      <c r="K12" s="38">
        <v>10</v>
      </c>
      <c r="L12" s="103">
        <v>-125.5</v>
      </c>
      <c r="N12" s="120" t="s">
        <v>174</v>
      </c>
      <c r="O12" s="130">
        <f>IF(P12=0,0,Q12/P12)</f>
        <v>-36.587499999999999</v>
      </c>
      <c r="P12" s="124">
        <v>8</v>
      </c>
      <c r="Q12" s="112">
        <v>-292.7</v>
      </c>
    </row>
    <row r="13" spans="1:17" x14ac:dyDescent="0.4">
      <c r="A13" s="58" t="s">
        <v>126</v>
      </c>
      <c r="B13" s="50">
        <v>62</v>
      </c>
      <c r="C13" s="44">
        <f>IF(B$26=0,0,B13/B$26)</f>
        <v>0.24899598393574296</v>
      </c>
      <c r="E13" s="63" t="s">
        <v>89</v>
      </c>
      <c r="F13" s="60" t="s">
        <v>43</v>
      </c>
      <c r="G13" s="47">
        <v>2</v>
      </c>
      <c r="H13" s="137">
        <f>IF(B$27=0,0,G13/B$27)</f>
        <v>4.0816326530612242E-2</v>
      </c>
      <c r="I13" s="98">
        <v>8</v>
      </c>
      <c r="K13" s="38">
        <v>11</v>
      </c>
      <c r="L13" s="103">
        <v>-229.3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31</v>
      </c>
      <c r="C14" s="39">
        <f>IF(B$26=0,0,B14/B$26)</f>
        <v>0.12449799196787148</v>
      </c>
      <c r="E14" s="63" t="s">
        <v>80</v>
      </c>
      <c r="F14" s="60" t="s">
        <v>34</v>
      </c>
      <c r="G14" s="47">
        <v>1</v>
      </c>
      <c r="H14" s="137">
        <f>IF(B$27=0,0,G14/B$27)</f>
        <v>2.0408163265306121E-2</v>
      </c>
      <c r="I14" s="98">
        <v>3</v>
      </c>
      <c r="K14" s="38">
        <v>12</v>
      </c>
      <c r="L14" s="103">
        <v>-303.8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31</v>
      </c>
      <c r="C15" s="37">
        <f>IF(B$13=0,0,B15/B$13)</f>
        <v>0.5</v>
      </c>
      <c r="E15" s="63" t="s">
        <v>84</v>
      </c>
      <c r="F15" s="60" t="s">
        <v>38</v>
      </c>
      <c r="G15" s="47">
        <v>1</v>
      </c>
      <c r="H15" s="137">
        <f>IF(B$27=0,0,G15/B$27)</f>
        <v>2.0408163265306121E-2</v>
      </c>
      <c r="I15" s="98">
        <v>7</v>
      </c>
      <c r="K15" s="38">
        <v>13</v>
      </c>
      <c r="L15" s="103">
        <v>-335.40000000000003</v>
      </c>
      <c r="N15" s="118" t="s">
        <v>185</v>
      </c>
      <c r="O15" s="128">
        <f>IF(P15=0,0,Q15/P15)</f>
        <v>56</v>
      </c>
      <c r="P15" s="122">
        <v>3</v>
      </c>
      <c r="Q15" s="110">
        <v>168</v>
      </c>
    </row>
    <row r="16" spans="1:17" x14ac:dyDescent="0.4">
      <c r="A16" s="54" t="s">
        <v>129</v>
      </c>
      <c r="B16" s="46">
        <v>4</v>
      </c>
      <c r="C16" s="37">
        <f>IF(B$14=0,0,B16/B$14)</f>
        <v>0.12903225806451613</v>
      </c>
      <c r="E16" s="63" t="s">
        <v>86</v>
      </c>
      <c r="F16" s="60" t="s">
        <v>40</v>
      </c>
      <c r="G16" s="47">
        <v>1</v>
      </c>
      <c r="H16" s="137">
        <f>IF(B$27=0,0,G16/B$27)</f>
        <v>2.0408163265306121E-2</v>
      </c>
      <c r="I16" s="98">
        <v>9</v>
      </c>
      <c r="K16" s="38">
        <v>14</v>
      </c>
      <c r="L16" s="103">
        <v>-367.00000000000006</v>
      </c>
      <c r="N16" s="119" t="s">
        <v>132</v>
      </c>
      <c r="O16" s="129">
        <f>IF(P16=0,0,Q16/P16)</f>
        <v>-15.589999999999995</v>
      </c>
      <c r="P16" s="123">
        <v>20</v>
      </c>
      <c r="Q16" s="111">
        <v>-311.7999999999999</v>
      </c>
    </row>
    <row r="17" spans="1:17" x14ac:dyDescent="0.4">
      <c r="A17" s="54" t="s">
        <v>10</v>
      </c>
      <c r="B17" s="46">
        <f>B19+B18</f>
        <v>49</v>
      </c>
      <c r="C17" s="37">
        <f>IF(B$3=0,0,B17/B$3)</f>
        <v>0.19678714859437751</v>
      </c>
      <c r="E17" s="63" t="s">
        <v>90</v>
      </c>
      <c r="F17" s="60" t="s">
        <v>44</v>
      </c>
      <c r="G17" s="47">
        <v>1</v>
      </c>
      <c r="H17" s="137">
        <f>IF(B$27=0,0,G17/B$27)</f>
        <v>2.0408163265306121E-2</v>
      </c>
      <c r="I17" s="98">
        <v>1</v>
      </c>
      <c r="K17" s="38">
        <v>15</v>
      </c>
      <c r="L17" s="103">
        <v>-392.50000000000006</v>
      </c>
      <c r="N17" s="119" t="s">
        <v>181</v>
      </c>
      <c r="O17" s="129">
        <f>IF(P17=0,0,Q17/P17)</f>
        <v>-28.259999999999998</v>
      </c>
      <c r="P17" s="123">
        <v>5</v>
      </c>
      <c r="Q17" s="111">
        <v>-141.29999999999998</v>
      </c>
    </row>
    <row r="18" spans="1:17" x14ac:dyDescent="0.4">
      <c r="A18" s="55" t="s">
        <v>12</v>
      </c>
      <c r="B18" s="47">
        <v>26</v>
      </c>
      <c r="C18" s="39">
        <f>IF(B$17=0,0,B18/B$17)</f>
        <v>0.53061224489795922</v>
      </c>
      <c r="E18" s="63" t="s">
        <v>91</v>
      </c>
      <c r="F18" s="60" t="s">
        <v>45</v>
      </c>
      <c r="G18" s="47">
        <v>1</v>
      </c>
      <c r="H18" s="137">
        <f>IF(B$27=0,0,G18/B$27)</f>
        <v>2.0408163265306121E-2</v>
      </c>
      <c r="I18" s="98">
        <v>1</v>
      </c>
      <c r="K18" s="38">
        <v>16</v>
      </c>
      <c r="L18" s="103">
        <v>-422.40000000000003</v>
      </c>
      <c r="N18" s="119" t="s">
        <v>131</v>
      </c>
      <c r="O18" s="129">
        <f>IF(P18=0,0,Q18/P18)</f>
        <v>-62.552631578947391</v>
      </c>
      <c r="P18" s="123">
        <v>19</v>
      </c>
      <c r="Q18" s="111">
        <v>-1188.5000000000005</v>
      </c>
    </row>
    <row r="19" spans="1:17" x14ac:dyDescent="0.4">
      <c r="A19" s="55" t="s">
        <v>11</v>
      </c>
      <c r="B19" s="47">
        <v>23</v>
      </c>
      <c r="C19" s="39">
        <f>IF(B$17=0,0,B19/B$17)</f>
        <v>0.46938775510204084</v>
      </c>
      <c r="E19" s="63" t="s">
        <v>96</v>
      </c>
      <c r="F19" s="60" t="s">
        <v>50</v>
      </c>
      <c r="G19" s="47">
        <v>1</v>
      </c>
      <c r="H19" s="137">
        <f>IF(B$27=0,0,G19/B$27)</f>
        <v>2.0408163265306121E-2</v>
      </c>
      <c r="I19" s="98">
        <v>1</v>
      </c>
      <c r="K19" s="38">
        <v>17</v>
      </c>
      <c r="L19" s="103">
        <v>-469.90000000000003</v>
      </c>
      <c r="N19" s="119" t="s">
        <v>195</v>
      </c>
      <c r="O19" s="129">
        <f>IF(P19=0,0,Q19/P19)</f>
        <v>-72.3</v>
      </c>
      <c r="P19" s="123">
        <v>1</v>
      </c>
      <c r="Q19" s="111">
        <v>-72.3</v>
      </c>
    </row>
    <row r="20" spans="1:17" x14ac:dyDescent="0.4">
      <c r="A20" s="55" t="s">
        <v>13</v>
      </c>
      <c r="B20" s="47">
        <v>53</v>
      </c>
      <c r="C20" s="39">
        <f>IF(B$3=0,0,B20/B$3)</f>
        <v>0.21285140562248997</v>
      </c>
      <c r="E20" s="63" t="s">
        <v>75</v>
      </c>
      <c r="F20" s="60" t="s">
        <v>29</v>
      </c>
      <c r="G20" s="47">
        <v>0</v>
      </c>
      <c r="H20" s="137">
        <f>IF(B$27=0,0,G20/B$27)</f>
        <v>0</v>
      </c>
      <c r="I20" s="98">
        <v>5</v>
      </c>
      <c r="K20" s="38">
        <v>18</v>
      </c>
      <c r="L20" s="103">
        <v>-536.20000000000005</v>
      </c>
      <c r="N20" s="119" t="s">
        <v>180</v>
      </c>
      <c r="O20" s="129">
        <f>IF(P20=0,0,Q20/P20)</f>
        <v>-80.185714285714283</v>
      </c>
      <c r="P20" s="123">
        <v>7</v>
      </c>
      <c r="Q20" s="111">
        <v>-561.29999999999995</v>
      </c>
    </row>
    <row r="21" spans="1:17" x14ac:dyDescent="0.4">
      <c r="A21" s="55" t="s">
        <v>5</v>
      </c>
      <c r="B21" s="51">
        <f>IF(B$17=0,0,C21/B$17)</f>
        <v>8689.7959183673465</v>
      </c>
      <c r="C21" s="41">
        <v>425800</v>
      </c>
      <c r="E21" s="63" t="s">
        <v>76</v>
      </c>
      <c r="F21" s="60" t="s">
        <v>30</v>
      </c>
      <c r="G21" s="47">
        <v>0</v>
      </c>
      <c r="H21" s="137">
        <f>IF(B$27=0,0,G21/B$27)</f>
        <v>0</v>
      </c>
      <c r="I21" s="98">
        <v>3</v>
      </c>
      <c r="K21" s="38">
        <v>19</v>
      </c>
      <c r="L21" s="103">
        <v>-535.1</v>
      </c>
      <c r="N21" s="119" t="s">
        <v>179</v>
      </c>
      <c r="O21" s="129">
        <f>IF(P21=0,0,Q21/P21)</f>
        <v>-86.820000000000007</v>
      </c>
      <c r="P21" s="123">
        <v>5</v>
      </c>
      <c r="Q21" s="111">
        <v>-434.1</v>
      </c>
    </row>
    <row r="22" spans="1:17" x14ac:dyDescent="0.4">
      <c r="A22" s="57" t="s">
        <v>14</v>
      </c>
      <c r="B22" s="52">
        <f>IF(B$20=0,0,C22/B$20)</f>
        <v>-9890.566037735849</v>
      </c>
      <c r="C22" s="45">
        <v>-524200</v>
      </c>
      <c r="E22" s="63" t="s">
        <v>77</v>
      </c>
      <c r="F22" s="60" t="s">
        <v>31</v>
      </c>
      <c r="G22" s="47">
        <v>0</v>
      </c>
      <c r="H22" s="137">
        <f>IF(B$27=0,0,G22/B$27)</f>
        <v>0</v>
      </c>
      <c r="I22" s="98">
        <v>6</v>
      </c>
      <c r="K22" s="38">
        <v>20</v>
      </c>
      <c r="L22" s="103">
        <v>-567.4</v>
      </c>
    </row>
    <row r="23" spans="1:17" x14ac:dyDescent="0.4">
      <c r="A23" s="94" t="s">
        <v>146</v>
      </c>
      <c r="B23" s="155">
        <v>7</v>
      </c>
      <c r="C23" s="156"/>
      <c r="E23" s="63" t="s">
        <v>78</v>
      </c>
      <c r="F23" s="60" t="s">
        <v>32</v>
      </c>
      <c r="G23" s="47">
        <v>0</v>
      </c>
      <c r="H23" s="137">
        <f>IF(B$27=0,0,G23/B$27)</f>
        <v>0</v>
      </c>
      <c r="I23" s="98">
        <v>1</v>
      </c>
      <c r="K23" s="38">
        <v>21</v>
      </c>
      <c r="L23" s="103">
        <v>-630.9</v>
      </c>
    </row>
    <row r="24" spans="1:17" x14ac:dyDescent="0.4">
      <c r="A24" s="58" t="s">
        <v>157</v>
      </c>
      <c r="B24" s="153">
        <v>96900</v>
      </c>
      <c r="C24" s="154"/>
      <c r="E24" s="63" t="s">
        <v>79</v>
      </c>
      <c r="F24" s="60" t="s">
        <v>33</v>
      </c>
      <c r="G24" s="47">
        <v>0</v>
      </c>
      <c r="H24" s="137">
        <f>IF(B$27=0,0,G24/B$27)</f>
        <v>0</v>
      </c>
      <c r="I24" s="98">
        <v>4</v>
      </c>
      <c r="K24" s="38">
        <v>22</v>
      </c>
      <c r="L24" s="103">
        <v>-627.4</v>
      </c>
    </row>
    <row r="25" spans="1:17" x14ac:dyDescent="0.4">
      <c r="A25" s="57" t="s">
        <v>147</v>
      </c>
      <c r="B25" s="65">
        <v>1</v>
      </c>
      <c r="C25" s="42">
        <f>IF(B$3=0,0,B25/B$3)</f>
        <v>4.0160642570281121E-3</v>
      </c>
      <c r="E25" s="63" t="s">
        <v>81</v>
      </c>
      <c r="F25" s="60" t="s">
        <v>35</v>
      </c>
      <c r="G25" s="47">
        <v>0</v>
      </c>
      <c r="H25" s="137">
        <f>IF(B$27=0,0,G25/B$27)</f>
        <v>0</v>
      </c>
      <c r="I25" s="98">
        <v>6</v>
      </c>
      <c r="K25" s="38">
        <v>23</v>
      </c>
      <c r="L25" s="103">
        <v>-668.1</v>
      </c>
    </row>
    <row r="26" spans="1:17" x14ac:dyDescent="0.4">
      <c r="A26" s="54" t="s">
        <v>124</v>
      </c>
      <c r="B26" s="145">
        <v>249</v>
      </c>
      <c r="C26" s="146"/>
      <c r="E26" s="63" t="s">
        <v>82</v>
      </c>
      <c r="F26" s="60" t="s">
        <v>36</v>
      </c>
      <c r="G26" s="47">
        <v>0</v>
      </c>
      <c r="H26" s="137">
        <f>IF(B$27=0,0,G26/B$27)</f>
        <v>0</v>
      </c>
      <c r="I26" s="98">
        <v>1</v>
      </c>
      <c r="K26" s="38">
        <v>24</v>
      </c>
      <c r="L26" s="103">
        <v>-735.1</v>
      </c>
    </row>
    <row r="27" spans="1:17" x14ac:dyDescent="0.4">
      <c r="A27" s="57" t="s">
        <v>125</v>
      </c>
      <c r="B27" s="159">
        <v>49</v>
      </c>
      <c r="C27" s="160"/>
      <c r="E27" s="63" t="s">
        <v>83</v>
      </c>
      <c r="F27" s="60" t="s">
        <v>37</v>
      </c>
      <c r="G27" s="47">
        <v>0</v>
      </c>
      <c r="H27" s="137">
        <f>IF(B$27=0,0,G27/B$27)</f>
        <v>0</v>
      </c>
      <c r="I27" s="98">
        <v>1</v>
      </c>
      <c r="K27" s="38">
        <v>25</v>
      </c>
      <c r="L27" s="103">
        <v>-815</v>
      </c>
    </row>
    <row r="28" spans="1:17" x14ac:dyDescent="0.4">
      <c r="E28" s="63" t="s">
        <v>85</v>
      </c>
      <c r="F28" s="60" t="s">
        <v>39</v>
      </c>
      <c r="G28" s="47">
        <v>0</v>
      </c>
      <c r="H28" s="137">
        <f>IF(B$27=0,0,G28/B$27)</f>
        <v>0</v>
      </c>
      <c r="I28" s="98">
        <v>1</v>
      </c>
      <c r="K28" s="38">
        <v>26</v>
      </c>
      <c r="L28" s="103">
        <v>-781.6</v>
      </c>
    </row>
    <row r="29" spans="1:17" x14ac:dyDescent="0.4">
      <c r="E29" s="63" t="s">
        <v>87</v>
      </c>
      <c r="F29" s="60" t="s">
        <v>41</v>
      </c>
      <c r="G29" s="47">
        <v>0</v>
      </c>
      <c r="H29" s="137">
        <f>IF(B$27=0,0,G29/B$27)</f>
        <v>0</v>
      </c>
      <c r="I29" s="98">
        <v>3</v>
      </c>
      <c r="K29" s="38">
        <v>27</v>
      </c>
      <c r="L29" s="103">
        <v>-816.4</v>
      </c>
    </row>
    <row r="30" spans="1:17" x14ac:dyDescent="0.4">
      <c r="E30" s="63" t="s">
        <v>88</v>
      </c>
      <c r="F30" s="60" t="s">
        <v>42</v>
      </c>
      <c r="G30" s="47">
        <v>0</v>
      </c>
      <c r="H30" s="137">
        <f>IF(B$27=0,0,G30/B$27)</f>
        <v>0</v>
      </c>
      <c r="I30" s="98">
        <v>3</v>
      </c>
      <c r="K30" s="38">
        <v>28</v>
      </c>
      <c r="L30" s="103">
        <v>-874.1</v>
      </c>
    </row>
    <row r="31" spans="1:17" x14ac:dyDescent="0.4">
      <c r="E31" s="63" t="s">
        <v>93</v>
      </c>
      <c r="F31" s="60" t="s">
        <v>47</v>
      </c>
      <c r="G31" s="47">
        <v>0</v>
      </c>
      <c r="H31" s="137">
        <f>IF(B$27=0,0,G31/B$27)</f>
        <v>0</v>
      </c>
      <c r="I31" s="98">
        <v>3</v>
      </c>
      <c r="K31" s="38">
        <v>29</v>
      </c>
      <c r="L31" s="103">
        <v>-929</v>
      </c>
    </row>
    <row r="32" spans="1:17" x14ac:dyDescent="0.4">
      <c r="E32" s="63" t="s">
        <v>94</v>
      </c>
      <c r="F32" s="60" t="s">
        <v>48</v>
      </c>
      <c r="G32" s="47">
        <v>0</v>
      </c>
      <c r="H32" s="137">
        <f>IF(B$27=0,0,G32/B$27)</f>
        <v>0</v>
      </c>
      <c r="I32" s="98">
        <v>7</v>
      </c>
      <c r="K32" s="38">
        <v>30</v>
      </c>
      <c r="L32" s="103">
        <v>-847.1</v>
      </c>
    </row>
    <row r="33" spans="5:9" x14ac:dyDescent="0.4">
      <c r="E33" s="63" t="s">
        <v>95</v>
      </c>
      <c r="F33" s="60" t="s">
        <v>49</v>
      </c>
      <c r="G33" s="47">
        <v>0</v>
      </c>
      <c r="H33" s="137">
        <f>IF(B$27=0,0,G33/B$27)</f>
        <v>0</v>
      </c>
      <c r="I33" s="98">
        <v>5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6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32B5F-354A-413D-A201-2FD93BB6408B}">
  <sheetPr codeName="Sheet13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3" t="s">
        <v>179</v>
      </c>
      <c r="C1" s="144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5">
        <v>39</v>
      </c>
      <c r="C2" s="146"/>
      <c r="E2" s="62" t="s">
        <v>68</v>
      </c>
      <c r="F2" s="59" t="s">
        <v>23</v>
      </c>
      <c r="G2" s="46">
        <v>57</v>
      </c>
      <c r="H2" s="136">
        <f>IF(B$27=0,0,G2/B$27)</f>
        <v>0.70370370370370372</v>
      </c>
      <c r="I2" s="97">
        <v>9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-505.12820512820514</v>
      </c>
      <c r="P2" s="122">
        <v>39</v>
      </c>
      <c r="Q2" s="106">
        <v>-19700</v>
      </c>
    </row>
    <row r="3" spans="1:17" x14ac:dyDescent="0.4">
      <c r="A3" s="55" t="s">
        <v>8</v>
      </c>
      <c r="B3" s="147">
        <v>327</v>
      </c>
      <c r="C3" s="148"/>
      <c r="E3" s="63" t="s">
        <v>66</v>
      </c>
      <c r="F3" s="60" t="s">
        <v>21</v>
      </c>
      <c r="G3" s="47">
        <v>44</v>
      </c>
      <c r="H3" s="137">
        <f>IF(B$27=0,0,G3/B$27)</f>
        <v>0.54320987654320985</v>
      </c>
      <c r="I3" s="98">
        <v>5</v>
      </c>
      <c r="K3" s="38">
        <v>1</v>
      </c>
      <c r="L3" s="103">
        <v>-51.2</v>
      </c>
      <c r="N3" s="119" t="s">
        <v>137</v>
      </c>
      <c r="O3" s="126">
        <f t="shared" si="0"/>
        <v>676.92307692307691</v>
      </c>
      <c r="P3" s="123">
        <v>39</v>
      </c>
      <c r="Q3" s="107">
        <v>26400</v>
      </c>
    </row>
    <row r="4" spans="1:17" x14ac:dyDescent="0.4">
      <c r="A4" s="55" t="s">
        <v>6</v>
      </c>
      <c r="B4" s="149">
        <v>-71.3</v>
      </c>
      <c r="C4" s="150"/>
      <c r="E4" s="63" t="s">
        <v>74</v>
      </c>
      <c r="F4" s="60" t="s">
        <v>28</v>
      </c>
      <c r="G4" s="47">
        <v>39</v>
      </c>
      <c r="H4" s="137">
        <f>IF(B$27=0,0,G4/B$27)</f>
        <v>0.48148148148148145</v>
      </c>
      <c r="I4" s="98">
        <v>9</v>
      </c>
      <c r="K4" s="38">
        <v>2</v>
      </c>
      <c r="L4" s="103">
        <v>-93.300000000000011</v>
      </c>
      <c r="N4" s="119" t="s">
        <v>138</v>
      </c>
      <c r="O4" s="126">
        <f t="shared" si="0"/>
        <v>1162.1621621621621</v>
      </c>
      <c r="P4" s="123">
        <v>37</v>
      </c>
      <c r="Q4" s="107">
        <v>43000</v>
      </c>
    </row>
    <row r="5" spans="1:17" x14ac:dyDescent="0.4">
      <c r="A5" s="55" t="s">
        <v>7</v>
      </c>
      <c r="B5" s="151">
        <f>IF(B$2=0,0,B$4/B$2)</f>
        <v>-1.8282051282051281</v>
      </c>
      <c r="C5" s="152"/>
      <c r="E5" s="63" t="s">
        <v>189</v>
      </c>
      <c r="F5" s="60" t="s">
        <v>190</v>
      </c>
      <c r="G5" s="47">
        <v>25</v>
      </c>
      <c r="H5" s="137">
        <f>IF(B$27=0,0,G5/B$27)</f>
        <v>0.30864197530864196</v>
      </c>
      <c r="I5" s="98">
        <v>11</v>
      </c>
      <c r="K5" s="38">
        <v>3</v>
      </c>
      <c r="L5" s="103">
        <v>-60.100000000000009</v>
      </c>
      <c r="N5" s="119" t="s">
        <v>139</v>
      </c>
      <c r="O5" s="126">
        <f t="shared" si="0"/>
        <v>-324.24242424242425</v>
      </c>
      <c r="P5" s="123">
        <v>33</v>
      </c>
      <c r="Q5" s="107">
        <v>-10700</v>
      </c>
    </row>
    <row r="6" spans="1:17" x14ac:dyDescent="0.4">
      <c r="A6" s="55" t="s">
        <v>1</v>
      </c>
      <c r="B6" s="157">
        <f>IF(B$2=0,0,(B$7*1+B$8*2+B$9*3)/B$2)</f>
        <v>2.1025641025641026</v>
      </c>
      <c r="C6" s="158"/>
      <c r="E6" s="63" t="s">
        <v>69</v>
      </c>
      <c r="F6" s="60" t="s">
        <v>24</v>
      </c>
      <c r="G6" s="47">
        <v>20</v>
      </c>
      <c r="H6" s="137">
        <f>IF(B$27=0,0,G6/B$27)</f>
        <v>0.24691358024691357</v>
      </c>
      <c r="I6" s="98">
        <v>9</v>
      </c>
      <c r="K6" s="38">
        <v>4</v>
      </c>
      <c r="L6" s="103">
        <v>-11.300000000000011</v>
      </c>
      <c r="N6" s="119" t="s">
        <v>140</v>
      </c>
      <c r="O6" s="126">
        <f t="shared" si="0"/>
        <v>-970</v>
      </c>
      <c r="P6" s="123">
        <v>30</v>
      </c>
      <c r="Q6" s="107">
        <v>-29100</v>
      </c>
    </row>
    <row r="7" spans="1:17" x14ac:dyDescent="0.4">
      <c r="A7" s="55" t="s">
        <v>2</v>
      </c>
      <c r="B7" s="47">
        <v>10</v>
      </c>
      <c r="C7" s="39">
        <f>IF(B$2=0,0,B7/B$2)</f>
        <v>0.25641025641025639</v>
      </c>
      <c r="E7" s="63" t="s">
        <v>70</v>
      </c>
      <c r="F7" s="60" t="s">
        <v>12</v>
      </c>
      <c r="G7" s="47">
        <v>20</v>
      </c>
      <c r="H7" s="137">
        <f>IF(B$27=0,0,G7/B$27)</f>
        <v>0.24691358024691357</v>
      </c>
      <c r="I7" s="98">
        <v>7</v>
      </c>
      <c r="K7" s="38">
        <v>5</v>
      </c>
      <c r="L7" s="103">
        <v>-36.100000000000009</v>
      </c>
      <c r="N7" s="120" t="s">
        <v>141</v>
      </c>
      <c r="O7" s="127">
        <f t="shared" si="0"/>
        <v>242.85714285714286</v>
      </c>
      <c r="P7" s="124">
        <v>28</v>
      </c>
      <c r="Q7" s="108">
        <v>6800</v>
      </c>
    </row>
    <row r="8" spans="1:17" x14ac:dyDescent="0.4">
      <c r="A8" s="55" t="s">
        <v>3</v>
      </c>
      <c r="B8" s="47">
        <v>15</v>
      </c>
      <c r="C8" s="39">
        <f>IF(B$2=0,0,B8/B$2)</f>
        <v>0.38461538461538464</v>
      </c>
      <c r="E8" s="63" t="s">
        <v>71</v>
      </c>
      <c r="F8" s="60" t="s">
        <v>25</v>
      </c>
      <c r="G8" s="47">
        <v>18</v>
      </c>
      <c r="H8" s="137">
        <f>IF(B$27=0,0,G8/B$27)</f>
        <v>0.22222222222222221</v>
      </c>
      <c r="I8" s="98">
        <v>3</v>
      </c>
      <c r="K8" s="38">
        <v>6</v>
      </c>
      <c r="L8" s="103">
        <v>9.0999999999999943</v>
      </c>
      <c r="N8" s="43"/>
      <c r="O8" s="131"/>
      <c r="P8" s="115"/>
      <c r="Q8" s="113"/>
    </row>
    <row r="9" spans="1:17" x14ac:dyDescent="0.4">
      <c r="A9" s="56" t="s">
        <v>4</v>
      </c>
      <c r="B9" s="48">
        <v>14</v>
      </c>
      <c r="C9" s="40">
        <f t="shared" ref="C9" si="1">IF(B$2=0,0,B9/B$2)</f>
        <v>0.35897435897435898</v>
      </c>
      <c r="E9" s="63" t="s">
        <v>67</v>
      </c>
      <c r="F9" s="60" t="s">
        <v>22</v>
      </c>
      <c r="G9" s="47">
        <v>13</v>
      </c>
      <c r="H9" s="137">
        <f>IF(B$27=0,0,G9/B$27)</f>
        <v>0.16049382716049382</v>
      </c>
      <c r="I9" s="98">
        <v>2</v>
      </c>
      <c r="K9" s="38">
        <v>7</v>
      </c>
      <c r="L9" s="103">
        <v>-51.300000000000004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1</v>
      </c>
      <c r="C10" s="40">
        <f>IF(B$2=0,0,B10/B$2)</f>
        <v>2.564102564102564E-2</v>
      </c>
      <c r="E10" s="63" t="s">
        <v>72</v>
      </c>
      <c r="F10" s="60" t="s">
        <v>26</v>
      </c>
      <c r="G10" s="47">
        <v>11</v>
      </c>
      <c r="H10" s="137">
        <f>IF(B$27=0,0,G10/B$27)</f>
        <v>0.13580246913580246</v>
      </c>
      <c r="I10" s="98">
        <v>3</v>
      </c>
      <c r="K10" s="38">
        <v>8</v>
      </c>
      <c r="L10" s="103">
        <v>-1.7000000000000028</v>
      </c>
      <c r="N10" s="118" t="s">
        <v>172</v>
      </c>
      <c r="O10" s="128">
        <f>IF(P10=0,0,Q10/P10)</f>
        <v>9.3999999999999986</v>
      </c>
      <c r="P10" s="122">
        <v>8</v>
      </c>
      <c r="Q10" s="110">
        <v>75.199999999999989</v>
      </c>
    </row>
    <row r="11" spans="1:17" x14ac:dyDescent="0.4">
      <c r="A11" s="56" t="s">
        <v>144</v>
      </c>
      <c r="B11" s="48">
        <v>5</v>
      </c>
      <c r="C11" s="40">
        <f>IF(B$2=0,0,B11/B$2)</f>
        <v>0.12820512820512819</v>
      </c>
      <c r="E11" s="63" t="s">
        <v>92</v>
      </c>
      <c r="F11" s="60" t="s">
        <v>46</v>
      </c>
      <c r="G11" s="47">
        <v>11</v>
      </c>
      <c r="H11" s="137">
        <f>IF(B$27=0,0,G11/B$27)</f>
        <v>0.13580246913580246</v>
      </c>
      <c r="I11" s="98">
        <v>6</v>
      </c>
      <c r="K11" s="38">
        <v>9</v>
      </c>
      <c r="L11" s="103">
        <v>-5.8000000000000025</v>
      </c>
      <c r="N11" s="119" t="s">
        <v>173</v>
      </c>
      <c r="O11" s="129">
        <f>IF(P11=0,0,Q11/P11)</f>
        <v>-8.8812499999999979</v>
      </c>
      <c r="P11" s="123">
        <v>16</v>
      </c>
      <c r="Q11" s="111">
        <v>-142.09999999999997</v>
      </c>
    </row>
    <row r="12" spans="1:17" x14ac:dyDescent="0.4">
      <c r="A12" s="57" t="s">
        <v>165</v>
      </c>
      <c r="B12" s="49">
        <v>4</v>
      </c>
      <c r="C12" s="42">
        <f>IF(B$2=0,0,B12/B$2)</f>
        <v>0.10256410256410256</v>
      </c>
      <c r="E12" s="63" t="s">
        <v>89</v>
      </c>
      <c r="F12" s="60" t="s">
        <v>43</v>
      </c>
      <c r="G12" s="47">
        <v>7</v>
      </c>
      <c r="H12" s="137">
        <f>IF(B$27=0,0,G12/B$27)</f>
        <v>8.6419753086419748E-2</v>
      </c>
      <c r="I12" s="98">
        <v>3</v>
      </c>
      <c r="K12" s="38">
        <v>10</v>
      </c>
      <c r="L12" s="103">
        <v>-56.500000000000007</v>
      </c>
      <c r="N12" s="120" t="s">
        <v>174</v>
      </c>
      <c r="O12" s="130">
        <f>IF(P12=0,0,Q12/P12)</f>
        <v>-0.29333333333333367</v>
      </c>
      <c r="P12" s="124">
        <v>15</v>
      </c>
      <c r="Q12" s="112">
        <v>-4.4000000000000048</v>
      </c>
    </row>
    <row r="13" spans="1:17" x14ac:dyDescent="0.4">
      <c r="A13" s="58" t="s">
        <v>126</v>
      </c>
      <c r="B13" s="50">
        <v>82</v>
      </c>
      <c r="C13" s="44">
        <f>IF(B$26=0,0,B13/B$26)</f>
        <v>0.25867507886435331</v>
      </c>
      <c r="E13" s="63" t="s">
        <v>73</v>
      </c>
      <c r="F13" s="60" t="s">
        <v>27</v>
      </c>
      <c r="G13" s="47">
        <v>6</v>
      </c>
      <c r="H13" s="137">
        <f>IF(B$27=0,0,G13/B$27)</f>
        <v>7.407407407407407E-2</v>
      </c>
      <c r="I13" s="98">
        <v>3</v>
      </c>
      <c r="K13" s="38">
        <v>11</v>
      </c>
      <c r="L13" s="103">
        <v>-27.600000000000009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55</v>
      </c>
      <c r="C14" s="39">
        <f>IF(B$26=0,0,B14/B$26)</f>
        <v>0.17350157728706625</v>
      </c>
      <c r="E14" s="63" t="s">
        <v>86</v>
      </c>
      <c r="F14" s="60" t="s">
        <v>40</v>
      </c>
      <c r="G14" s="47">
        <v>4</v>
      </c>
      <c r="H14" s="137">
        <f>IF(B$27=0,0,G14/B$27)</f>
        <v>4.9382716049382713E-2</v>
      </c>
      <c r="I14" s="98">
        <v>5</v>
      </c>
      <c r="K14" s="38">
        <v>12</v>
      </c>
      <c r="L14" s="103">
        <v>-42.900000000000006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47</v>
      </c>
      <c r="C15" s="37">
        <f>IF(B$13=0,0,B15/B$13)</f>
        <v>0.57317073170731703</v>
      </c>
      <c r="E15" s="63" t="s">
        <v>80</v>
      </c>
      <c r="F15" s="60" t="s">
        <v>34</v>
      </c>
      <c r="G15" s="47">
        <v>3</v>
      </c>
      <c r="H15" s="137">
        <f>IF(B$27=0,0,G15/B$27)</f>
        <v>3.7037037037037035E-2</v>
      </c>
      <c r="I15" s="98">
        <v>2</v>
      </c>
      <c r="K15" s="38">
        <v>13</v>
      </c>
      <c r="L15" s="103">
        <v>-58.7</v>
      </c>
      <c r="N15" s="118" t="s">
        <v>133</v>
      </c>
      <c r="O15" s="128">
        <f>IF(P15=0,0,Q15/P15)</f>
        <v>86.820000000000007</v>
      </c>
      <c r="P15" s="122">
        <v>5</v>
      </c>
      <c r="Q15" s="110">
        <v>434.1</v>
      </c>
    </row>
    <row r="16" spans="1:17" x14ac:dyDescent="0.4">
      <c r="A16" s="54" t="s">
        <v>129</v>
      </c>
      <c r="B16" s="46">
        <v>17</v>
      </c>
      <c r="C16" s="37">
        <f>IF(B$14=0,0,B16/B$14)</f>
        <v>0.30909090909090908</v>
      </c>
      <c r="E16" s="63" t="s">
        <v>77</v>
      </c>
      <c r="F16" s="60" t="s">
        <v>31</v>
      </c>
      <c r="G16" s="47">
        <v>2</v>
      </c>
      <c r="H16" s="137">
        <f>IF(B$27=0,0,G16/B$27)</f>
        <v>2.4691358024691357E-2</v>
      </c>
      <c r="I16" s="98">
        <v>2</v>
      </c>
      <c r="K16" s="38">
        <v>14</v>
      </c>
      <c r="L16" s="103">
        <v>-29.400000000000002</v>
      </c>
      <c r="N16" s="119" t="s">
        <v>195</v>
      </c>
      <c r="O16" s="129">
        <f>IF(P16=0,0,Q16/P16)</f>
        <v>25.400000000000002</v>
      </c>
      <c r="P16" s="123">
        <v>2</v>
      </c>
      <c r="Q16" s="111">
        <v>50.800000000000004</v>
      </c>
    </row>
    <row r="17" spans="1:17" x14ac:dyDescent="0.4">
      <c r="A17" s="54" t="s">
        <v>10</v>
      </c>
      <c r="B17" s="46">
        <f>B19+B18</f>
        <v>81</v>
      </c>
      <c r="C17" s="37">
        <f>IF(B$3=0,0,B17/B$3)</f>
        <v>0.24770642201834864</v>
      </c>
      <c r="E17" s="63" t="s">
        <v>95</v>
      </c>
      <c r="F17" s="60" t="s">
        <v>49</v>
      </c>
      <c r="G17" s="47">
        <v>2</v>
      </c>
      <c r="H17" s="137">
        <f>IF(B$27=0,0,G17/B$27)</f>
        <v>2.4691358024691357E-2</v>
      </c>
      <c r="I17" s="98">
        <v>1</v>
      </c>
      <c r="K17" s="38">
        <v>15</v>
      </c>
      <c r="L17" s="103">
        <v>-26.3</v>
      </c>
      <c r="N17" s="119" t="s">
        <v>181</v>
      </c>
      <c r="O17" s="129">
        <f>IF(P17=0,0,Q17/P17)</f>
        <v>14.875</v>
      </c>
      <c r="P17" s="123">
        <v>12</v>
      </c>
      <c r="Q17" s="111">
        <v>178.5</v>
      </c>
    </row>
    <row r="18" spans="1:17" x14ac:dyDescent="0.4">
      <c r="A18" s="55" t="s">
        <v>12</v>
      </c>
      <c r="B18" s="47">
        <v>28</v>
      </c>
      <c r="C18" s="39">
        <f>IF(B$17=0,0,B18/B$17)</f>
        <v>0.34567901234567899</v>
      </c>
      <c r="E18" s="63" t="s">
        <v>188</v>
      </c>
      <c r="F18" s="60" t="s">
        <v>191</v>
      </c>
      <c r="G18" s="47">
        <v>2</v>
      </c>
      <c r="H18" s="137">
        <f>IF(B$27=0,0,G18/B$27)</f>
        <v>2.4691358024691357E-2</v>
      </c>
      <c r="I18" s="98">
        <v>2</v>
      </c>
      <c r="K18" s="38">
        <v>16</v>
      </c>
      <c r="L18" s="103">
        <v>-50.3</v>
      </c>
      <c r="N18" s="119" t="s">
        <v>180</v>
      </c>
      <c r="O18" s="129">
        <f>IF(P18=0,0,Q18/P18)</f>
        <v>-3.9363636363636374</v>
      </c>
      <c r="P18" s="123">
        <v>11</v>
      </c>
      <c r="Q18" s="111">
        <v>-43.300000000000011</v>
      </c>
    </row>
    <row r="19" spans="1:17" x14ac:dyDescent="0.4">
      <c r="A19" s="55" t="s">
        <v>11</v>
      </c>
      <c r="B19" s="47">
        <v>53</v>
      </c>
      <c r="C19" s="39">
        <f>IF(B$17=0,0,B19/B$17)</f>
        <v>0.65432098765432101</v>
      </c>
      <c r="E19" s="63" t="s">
        <v>84</v>
      </c>
      <c r="F19" s="60" t="s">
        <v>38</v>
      </c>
      <c r="G19" s="47">
        <v>1</v>
      </c>
      <c r="H19" s="137">
        <f>IF(B$27=0,0,G19/B$27)</f>
        <v>1.2345679012345678E-2</v>
      </c>
      <c r="I19" s="98">
        <v>8</v>
      </c>
      <c r="K19" s="38">
        <v>17</v>
      </c>
      <c r="L19" s="103">
        <v>-74.3</v>
      </c>
      <c r="N19" s="119" t="s">
        <v>132</v>
      </c>
      <c r="O19" s="129">
        <f>IF(P19=0,0,Q19/P19)</f>
        <v>-10.050000000000008</v>
      </c>
      <c r="P19" s="123">
        <v>20</v>
      </c>
      <c r="Q19" s="111">
        <v>-201.00000000000017</v>
      </c>
    </row>
    <row r="20" spans="1:17" x14ac:dyDescent="0.4">
      <c r="A20" s="55" t="s">
        <v>13</v>
      </c>
      <c r="B20" s="47">
        <v>51</v>
      </c>
      <c r="C20" s="39">
        <f>IF(B$3=0,0,B20/B$3)</f>
        <v>0.15596330275229359</v>
      </c>
      <c r="E20" s="63" t="s">
        <v>75</v>
      </c>
      <c r="F20" s="60" t="s">
        <v>29</v>
      </c>
      <c r="G20" s="47">
        <v>0</v>
      </c>
      <c r="H20" s="137">
        <f>IF(B$27=0,0,G20/B$27)</f>
        <v>0</v>
      </c>
      <c r="I20" s="98">
        <v>5</v>
      </c>
      <c r="K20" s="38">
        <v>18</v>
      </c>
      <c r="L20" s="103">
        <v>-76.099999999999994</v>
      </c>
      <c r="N20" s="119" t="s">
        <v>185</v>
      </c>
      <c r="O20" s="129">
        <f>IF(P20=0,0,Q20/P20)</f>
        <v>-12.149999999999999</v>
      </c>
      <c r="P20" s="123">
        <v>2</v>
      </c>
      <c r="Q20" s="111">
        <v>-24.299999999999997</v>
      </c>
    </row>
    <row r="21" spans="1:17" x14ac:dyDescent="0.4">
      <c r="A21" s="55" t="s">
        <v>5</v>
      </c>
      <c r="B21" s="51">
        <f>IF(B$17=0,0,C21/B$17)</f>
        <v>8769.1358024691363</v>
      </c>
      <c r="C21" s="41">
        <v>710300</v>
      </c>
      <c r="E21" s="63" t="s">
        <v>76</v>
      </c>
      <c r="F21" s="60" t="s">
        <v>30</v>
      </c>
      <c r="G21" s="47">
        <v>0</v>
      </c>
      <c r="H21" s="137">
        <f>IF(B$27=0,0,G21/B$27)</f>
        <v>0</v>
      </c>
      <c r="I21" s="98">
        <v>3</v>
      </c>
      <c r="K21" s="38">
        <v>19</v>
      </c>
      <c r="L21" s="103">
        <v>0.60000000000000853</v>
      </c>
      <c r="N21" s="119" t="s">
        <v>131</v>
      </c>
      <c r="O21" s="129">
        <f>IF(P21=0,0,Q21/P21)</f>
        <v>-21.029166666666665</v>
      </c>
      <c r="P21" s="123">
        <v>24</v>
      </c>
      <c r="Q21" s="111">
        <v>-504.69999999999993</v>
      </c>
    </row>
    <row r="22" spans="1:17" x14ac:dyDescent="0.4">
      <c r="A22" s="57" t="s">
        <v>14</v>
      </c>
      <c r="B22" s="52">
        <f>IF(B$20=0,0,C22/B$20)</f>
        <v>-7225.4901960784309</v>
      </c>
      <c r="C22" s="45">
        <v>-368500</v>
      </c>
      <c r="E22" s="63" t="s">
        <v>78</v>
      </c>
      <c r="F22" s="60" t="s">
        <v>32</v>
      </c>
      <c r="G22" s="47">
        <v>0</v>
      </c>
      <c r="H22" s="137">
        <f>IF(B$27=0,0,G22/B$27)</f>
        <v>0</v>
      </c>
      <c r="I22" s="98">
        <v>1</v>
      </c>
      <c r="K22" s="38">
        <v>20</v>
      </c>
      <c r="L22" s="103">
        <v>-3.5999999999999917</v>
      </c>
      <c r="N22" s="119" t="s">
        <v>209</v>
      </c>
      <c r="O22" s="129">
        <f>IF(P22=0,0,Q22/P22)</f>
        <v>-51.999999999999993</v>
      </c>
      <c r="P22" s="123">
        <v>2</v>
      </c>
      <c r="Q22" s="111">
        <v>-103.99999999999999</v>
      </c>
    </row>
    <row r="23" spans="1:17" x14ac:dyDescent="0.4">
      <c r="A23" s="94" t="s">
        <v>146</v>
      </c>
      <c r="B23" s="155">
        <v>4</v>
      </c>
      <c r="C23" s="156"/>
      <c r="E23" s="63" t="s">
        <v>79</v>
      </c>
      <c r="F23" s="60" t="s">
        <v>33</v>
      </c>
      <c r="G23" s="47">
        <v>0</v>
      </c>
      <c r="H23" s="137">
        <f>IF(B$27=0,0,G23/B$27)</f>
        <v>0</v>
      </c>
      <c r="I23" s="98">
        <v>4</v>
      </c>
      <c r="K23" s="38">
        <v>21</v>
      </c>
      <c r="L23" s="103">
        <v>-3.0999999999999917</v>
      </c>
    </row>
    <row r="24" spans="1:17" x14ac:dyDescent="0.4">
      <c r="A24" s="58" t="s">
        <v>157</v>
      </c>
      <c r="B24" s="153">
        <v>91700</v>
      </c>
      <c r="C24" s="154"/>
      <c r="E24" s="63" t="s">
        <v>81</v>
      </c>
      <c r="F24" s="60" t="s">
        <v>35</v>
      </c>
      <c r="G24" s="47">
        <v>0</v>
      </c>
      <c r="H24" s="137">
        <f>IF(B$27=0,0,G24/B$27)</f>
        <v>0</v>
      </c>
      <c r="I24" s="98">
        <v>6</v>
      </c>
      <c r="K24" s="38">
        <v>22</v>
      </c>
      <c r="L24" s="103">
        <v>-17.099999999999991</v>
      </c>
    </row>
    <row r="25" spans="1:17" x14ac:dyDescent="0.4">
      <c r="A25" s="57" t="s">
        <v>147</v>
      </c>
      <c r="B25" s="65">
        <v>1</v>
      </c>
      <c r="C25" s="42">
        <f>IF(B$3=0,0,B25/B$3)</f>
        <v>3.0581039755351682E-3</v>
      </c>
      <c r="E25" s="63" t="s">
        <v>82</v>
      </c>
      <c r="F25" s="60" t="s">
        <v>36</v>
      </c>
      <c r="G25" s="47">
        <v>0</v>
      </c>
      <c r="H25" s="137">
        <f>IF(B$27=0,0,G25/B$27)</f>
        <v>0</v>
      </c>
      <c r="I25" s="98">
        <v>1</v>
      </c>
      <c r="K25" s="38">
        <v>23</v>
      </c>
      <c r="L25" s="103">
        <v>-55.699999999999989</v>
      </c>
    </row>
    <row r="26" spans="1:17" x14ac:dyDescent="0.4">
      <c r="A26" s="54" t="s">
        <v>124</v>
      </c>
      <c r="B26" s="145">
        <v>317</v>
      </c>
      <c r="C26" s="146"/>
      <c r="E26" s="63" t="s">
        <v>83</v>
      </c>
      <c r="F26" s="60" t="s">
        <v>37</v>
      </c>
      <c r="G26" s="47">
        <v>0</v>
      </c>
      <c r="H26" s="137">
        <f>IF(B$27=0,0,G26/B$27)</f>
        <v>0</v>
      </c>
      <c r="I26" s="98">
        <v>1</v>
      </c>
      <c r="K26" s="38">
        <v>24</v>
      </c>
      <c r="L26" s="103">
        <v>-59.499999999999986</v>
      </c>
    </row>
    <row r="27" spans="1:17" x14ac:dyDescent="0.4">
      <c r="A27" s="57" t="s">
        <v>125</v>
      </c>
      <c r="B27" s="159">
        <v>81</v>
      </c>
      <c r="C27" s="160"/>
      <c r="E27" s="63" t="s">
        <v>85</v>
      </c>
      <c r="F27" s="60" t="s">
        <v>39</v>
      </c>
      <c r="G27" s="47">
        <v>0</v>
      </c>
      <c r="H27" s="137">
        <f>IF(B$27=0,0,G27/B$27)</f>
        <v>0</v>
      </c>
      <c r="I27" s="98">
        <v>1</v>
      </c>
      <c r="K27" s="38">
        <v>25</v>
      </c>
      <c r="L27" s="103">
        <v>-39.999999999999986</v>
      </c>
    </row>
    <row r="28" spans="1:17" x14ac:dyDescent="0.4">
      <c r="E28" s="63" t="s">
        <v>87</v>
      </c>
      <c r="F28" s="60" t="s">
        <v>41</v>
      </c>
      <c r="G28" s="47">
        <v>0</v>
      </c>
      <c r="H28" s="137">
        <f>IF(B$27=0,0,G28/B$27)</f>
        <v>0</v>
      </c>
      <c r="I28" s="98">
        <v>3</v>
      </c>
      <c r="K28" s="38">
        <v>26</v>
      </c>
      <c r="L28" s="103">
        <v>-71.099999999999994</v>
      </c>
    </row>
    <row r="29" spans="1:17" x14ac:dyDescent="0.4">
      <c r="E29" s="63" t="s">
        <v>88</v>
      </c>
      <c r="F29" s="60" t="s">
        <v>42</v>
      </c>
      <c r="G29" s="47">
        <v>0</v>
      </c>
      <c r="H29" s="137">
        <f>IF(B$27=0,0,G29/B$27)</f>
        <v>0</v>
      </c>
      <c r="I29" s="98">
        <v>3</v>
      </c>
      <c r="K29" s="38">
        <v>27</v>
      </c>
      <c r="L29" s="103">
        <v>-66.199999999999989</v>
      </c>
    </row>
    <row r="30" spans="1:17" x14ac:dyDescent="0.4">
      <c r="E30" s="63" t="s">
        <v>90</v>
      </c>
      <c r="F30" s="60" t="s">
        <v>44</v>
      </c>
      <c r="G30" s="47">
        <v>0</v>
      </c>
      <c r="H30" s="137">
        <f>IF(B$27=0,0,G30/B$27)</f>
        <v>0</v>
      </c>
      <c r="I30" s="98">
        <v>4</v>
      </c>
      <c r="K30" s="38">
        <v>28</v>
      </c>
      <c r="L30" s="103">
        <v>-116.49999999999999</v>
      </c>
    </row>
    <row r="31" spans="1:17" x14ac:dyDescent="0.4">
      <c r="E31" s="63" t="s">
        <v>91</v>
      </c>
      <c r="F31" s="60" t="s">
        <v>45</v>
      </c>
      <c r="G31" s="47">
        <v>0</v>
      </c>
      <c r="H31" s="137">
        <f>IF(B$27=0,0,G31/B$27)</f>
        <v>0</v>
      </c>
      <c r="I31" s="98">
        <v>4</v>
      </c>
      <c r="K31" s="38">
        <v>29</v>
      </c>
      <c r="L31" s="103">
        <v>-121.79999999999998</v>
      </c>
    </row>
    <row r="32" spans="1:17" x14ac:dyDescent="0.4">
      <c r="E32" s="63" t="s">
        <v>93</v>
      </c>
      <c r="F32" s="60" t="s">
        <v>47</v>
      </c>
      <c r="G32" s="47">
        <v>0</v>
      </c>
      <c r="H32" s="137">
        <f>IF(B$27=0,0,G32/B$27)</f>
        <v>0</v>
      </c>
      <c r="I32" s="98">
        <v>3</v>
      </c>
      <c r="K32" s="38">
        <v>30</v>
      </c>
      <c r="L32" s="103">
        <v>-156.19999999999999</v>
      </c>
    </row>
    <row r="33" spans="5:12" x14ac:dyDescent="0.4">
      <c r="E33" s="63" t="s">
        <v>94</v>
      </c>
      <c r="F33" s="60" t="s">
        <v>48</v>
      </c>
      <c r="G33" s="47">
        <v>0</v>
      </c>
      <c r="H33" s="137">
        <f>IF(B$27=0,0,G33/B$27)</f>
        <v>0</v>
      </c>
      <c r="I33" s="98">
        <v>7</v>
      </c>
      <c r="K33" s="38">
        <v>31</v>
      </c>
      <c r="L33" s="103">
        <v>-91.899999999999991</v>
      </c>
    </row>
    <row r="34" spans="5:12" x14ac:dyDescent="0.4">
      <c r="E34" s="63" t="s">
        <v>96</v>
      </c>
      <c r="F34" s="60" t="s">
        <v>50</v>
      </c>
      <c r="G34" s="47">
        <v>0</v>
      </c>
      <c r="H34" s="137">
        <f>IF(B$27=0,0,G34/B$27)</f>
        <v>0</v>
      </c>
      <c r="I34" s="98">
        <v>5</v>
      </c>
      <c r="K34" s="38">
        <v>32</v>
      </c>
      <c r="L34" s="103">
        <v>-119</v>
      </c>
    </row>
    <row r="35" spans="5:12" x14ac:dyDescent="0.4">
      <c r="E35" s="63" t="s">
        <v>97</v>
      </c>
      <c r="F35" s="60" t="s">
        <v>51</v>
      </c>
      <c r="G35" s="47">
        <v>0</v>
      </c>
      <c r="H35" s="137">
        <f>IF(B$27=0,0,G35/B$27)</f>
        <v>0</v>
      </c>
      <c r="I35" s="98">
        <v>1</v>
      </c>
      <c r="K35" s="38">
        <v>33</v>
      </c>
      <c r="L35" s="103">
        <v>-108.9</v>
      </c>
    </row>
    <row r="36" spans="5:12" x14ac:dyDescent="0.4">
      <c r="E36" s="63" t="s">
        <v>98</v>
      </c>
      <c r="F36" s="60" t="s">
        <v>52</v>
      </c>
      <c r="G36" s="47">
        <v>0</v>
      </c>
      <c r="H36" s="137">
        <f>IF(B$27=0,0,G36/B$27)</f>
        <v>0</v>
      </c>
      <c r="I36" s="98">
        <v>3</v>
      </c>
      <c r="K36" s="38">
        <v>34</v>
      </c>
      <c r="L36" s="103">
        <v>-56.7</v>
      </c>
    </row>
    <row r="37" spans="5:12" x14ac:dyDescent="0.4">
      <c r="E37" s="63" t="s">
        <v>99</v>
      </c>
      <c r="F37" s="60" t="s">
        <v>53</v>
      </c>
      <c r="G37" s="47">
        <v>0</v>
      </c>
      <c r="H37" s="137">
        <f>IF(B$27=0,0,G37/B$27)</f>
        <v>0</v>
      </c>
      <c r="I37" s="98">
        <v>1</v>
      </c>
      <c r="K37" s="38">
        <v>35</v>
      </c>
      <c r="L37" s="103">
        <v>-88.4</v>
      </c>
    </row>
    <row r="38" spans="5:12" x14ac:dyDescent="0.4">
      <c r="E38" s="63" t="s">
        <v>100</v>
      </c>
      <c r="F38" s="60" t="s">
        <v>54</v>
      </c>
      <c r="G38" s="47">
        <v>0</v>
      </c>
      <c r="H38" s="137">
        <f>IF(B$27=0,0,G38/B$27)</f>
        <v>0</v>
      </c>
      <c r="I38" s="98">
        <v>1</v>
      </c>
      <c r="K38" s="38">
        <v>36</v>
      </c>
      <c r="L38" s="103">
        <v>-130.69999999999999</v>
      </c>
    </row>
    <row r="39" spans="5:12" x14ac:dyDescent="0.4">
      <c r="E39" s="63" t="s">
        <v>101</v>
      </c>
      <c r="F39" s="60" t="s">
        <v>55</v>
      </c>
      <c r="G39" s="47">
        <v>0</v>
      </c>
      <c r="H39" s="137">
        <f>IF(B$27=0,0,G39/B$27)</f>
        <v>0</v>
      </c>
      <c r="I39" s="98">
        <v>1</v>
      </c>
      <c r="K39" s="38">
        <v>37</v>
      </c>
      <c r="L39" s="103">
        <v>-64.099999999999994</v>
      </c>
    </row>
    <row r="40" spans="5:12" x14ac:dyDescent="0.4">
      <c r="E40" s="63" t="s">
        <v>102</v>
      </c>
      <c r="F40" s="60" t="s">
        <v>56</v>
      </c>
      <c r="G40" s="47">
        <v>0</v>
      </c>
      <c r="H40" s="137">
        <f>IF(B$27=0,0,G40/B$27)</f>
        <v>0</v>
      </c>
      <c r="I40" s="98">
        <v>1</v>
      </c>
      <c r="K40" s="38">
        <v>38</v>
      </c>
      <c r="L40" s="103">
        <v>-76.599999999999994</v>
      </c>
    </row>
    <row r="41" spans="5:12" x14ac:dyDescent="0.4">
      <c r="E41" s="63" t="s">
        <v>103</v>
      </c>
      <c r="F41" s="60" t="s">
        <v>57</v>
      </c>
      <c r="G41" s="47">
        <v>0</v>
      </c>
      <c r="H41" s="137">
        <f>IF(B$27=0,0,G41/B$27)</f>
        <v>0</v>
      </c>
      <c r="I41" s="98">
        <v>1</v>
      </c>
      <c r="K41" s="38">
        <v>39</v>
      </c>
      <c r="L41" s="103">
        <v>-71.3</v>
      </c>
    </row>
    <row r="42" spans="5:12" x14ac:dyDescent="0.4">
      <c r="E42" s="63" t="s">
        <v>104</v>
      </c>
      <c r="F42" s="60" t="s">
        <v>58</v>
      </c>
      <c r="G42" s="47">
        <v>0</v>
      </c>
      <c r="H42" s="137">
        <f>IF(B$27=0,0,G42/B$27)</f>
        <v>0</v>
      </c>
      <c r="I42" s="98">
        <v>1</v>
      </c>
    </row>
    <row r="43" spans="5:12" x14ac:dyDescent="0.4">
      <c r="E43" s="63" t="s">
        <v>105</v>
      </c>
      <c r="F43" s="60" t="s">
        <v>59</v>
      </c>
      <c r="G43" s="47">
        <v>0</v>
      </c>
      <c r="H43" s="137">
        <f>IF(B$27=0,0,G43/B$27)</f>
        <v>0</v>
      </c>
      <c r="I43" s="98">
        <v>1</v>
      </c>
    </row>
    <row r="44" spans="5:12" x14ac:dyDescent="0.4">
      <c r="E44" s="63" t="s">
        <v>106</v>
      </c>
      <c r="F44" s="60" t="s">
        <v>60</v>
      </c>
      <c r="G44" s="47">
        <v>0</v>
      </c>
      <c r="H44" s="137">
        <f>IF(B$27=0,0,G44/B$27)</f>
        <v>0</v>
      </c>
      <c r="I44" s="98">
        <v>1</v>
      </c>
    </row>
    <row r="45" spans="5:12" x14ac:dyDescent="0.4">
      <c r="E45" s="63" t="s">
        <v>107</v>
      </c>
      <c r="F45" s="60" t="s">
        <v>61</v>
      </c>
      <c r="G45" s="47">
        <v>0</v>
      </c>
      <c r="H45" s="137">
        <f>IF(B$27=0,0,G45/B$27)</f>
        <v>0</v>
      </c>
      <c r="I45" s="98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7">
        <f>IF(B$27=0,0,G46/B$27)</f>
        <v>0</v>
      </c>
      <c r="I46" s="98">
        <v>1</v>
      </c>
    </row>
    <row r="47" spans="5:12" x14ac:dyDescent="0.4">
      <c r="E47" s="63" t="s">
        <v>109</v>
      </c>
      <c r="F47" s="60" t="s">
        <v>116</v>
      </c>
      <c r="G47" s="47">
        <v>0</v>
      </c>
      <c r="H47" s="137">
        <f>IF(B$27=0,0,G47/B$27)</f>
        <v>0</v>
      </c>
      <c r="I47" s="98">
        <v>1</v>
      </c>
    </row>
    <row r="48" spans="5:12" x14ac:dyDescent="0.4">
      <c r="E48" s="63" t="s">
        <v>110</v>
      </c>
      <c r="F48" s="60" t="s">
        <v>117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111</v>
      </c>
      <c r="F49" s="60" t="s">
        <v>62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112</v>
      </c>
      <c r="F50" s="60" t="s">
        <v>63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113</v>
      </c>
      <c r="F51" s="60" t="s">
        <v>64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114</v>
      </c>
      <c r="F52" s="61" t="s">
        <v>65</v>
      </c>
      <c r="G52" s="49">
        <v>0</v>
      </c>
      <c r="H52" s="138">
        <f>IF(B$27=0,0,G52/B$27)</f>
        <v>0</v>
      </c>
      <c r="I52" s="99">
        <v>1</v>
      </c>
    </row>
  </sheetData>
  <sortState ref="N15:Q22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CDE1-642D-4CE1-BB83-B4AA12FD971D}">
  <sheetPr codeName="Sheet15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3" t="s">
        <v>180</v>
      </c>
      <c r="C1" s="144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5">
        <v>35</v>
      </c>
      <c r="C2" s="146"/>
      <c r="E2" s="62" t="s">
        <v>68</v>
      </c>
      <c r="F2" s="59" t="s">
        <v>23</v>
      </c>
      <c r="G2" s="46">
        <v>76</v>
      </c>
      <c r="H2" s="136">
        <f>IF(B$27=0,0,G2/B$27)</f>
        <v>0.73076923076923073</v>
      </c>
      <c r="I2" s="97">
        <v>7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1657.1428571428571</v>
      </c>
      <c r="P2" s="122">
        <v>35</v>
      </c>
      <c r="Q2" s="106">
        <v>58000</v>
      </c>
    </row>
    <row r="3" spans="1:17" x14ac:dyDescent="0.4">
      <c r="A3" s="55" t="s">
        <v>8</v>
      </c>
      <c r="B3" s="147">
        <v>297</v>
      </c>
      <c r="C3" s="148"/>
      <c r="E3" s="63" t="s">
        <v>74</v>
      </c>
      <c r="F3" s="60" t="s">
        <v>28</v>
      </c>
      <c r="G3" s="47">
        <v>67</v>
      </c>
      <c r="H3" s="137">
        <f>IF(B$27=0,0,G3/B$27)</f>
        <v>0.64423076923076927</v>
      </c>
      <c r="I3" s="98">
        <v>4</v>
      </c>
      <c r="K3" s="38">
        <v>1</v>
      </c>
      <c r="L3" s="103">
        <v>11.1</v>
      </c>
      <c r="N3" s="119" t="s">
        <v>137</v>
      </c>
      <c r="O3" s="126">
        <f t="shared" si="0"/>
        <v>145.71428571428572</v>
      </c>
      <c r="P3" s="123">
        <v>35</v>
      </c>
      <c r="Q3" s="107">
        <v>5100</v>
      </c>
    </row>
    <row r="4" spans="1:17" x14ac:dyDescent="0.4">
      <c r="A4" s="55" t="s">
        <v>6</v>
      </c>
      <c r="B4" s="149">
        <v>-8.2999999999999972</v>
      </c>
      <c r="C4" s="150"/>
      <c r="E4" s="63" t="s">
        <v>66</v>
      </c>
      <c r="F4" s="60" t="s">
        <v>21</v>
      </c>
      <c r="G4" s="47">
        <v>37</v>
      </c>
      <c r="H4" s="137">
        <f>IF(B$27=0,0,G4/B$27)</f>
        <v>0.35576923076923078</v>
      </c>
      <c r="I4" s="98">
        <v>11</v>
      </c>
      <c r="K4" s="38">
        <v>2</v>
      </c>
      <c r="L4" s="103">
        <v>-7.7000000000000011</v>
      </c>
      <c r="N4" s="119" t="s">
        <v>138</v>
      </c>
      <c r="O4" s="126">
        <f t="shared" si="0"/>
        <v>700</v>
      </c>
      <c r="P4" s="123">
        <v>30</v>
      </c>
      <c r="Q4" s="107">
        <v>21000</v>
      </c>
    </row>
    <row r="5" spans="1:17" x14ac:dyDescent="0.4">
      <c r="A5" s="55" t="s">
        <v>7</v>
      </c>
      <c r="B5" s="151">
        <f>IF(B$2=0,0,B$4/B$2)</f>
        <v>-0.23714285714285707</v>
      </c>
      <c r="C5" s="152"/>
      <c r="E5" s="63" t="s">
        <v>189</v>
      </c>
      <c r="F5" s="60" t="s">
        <v>190</v>
      </c>
      <c r="G5" s="47">
        <v>37</v>
      </c>
      <c r="H5" s="137">
        <f>IF(B$27=0,0,G5/B$27)</f>
        <v>0.35576923076923078</v>
      </c>
      <c r="I5" s="98">
        <v>7</v>
      </c>
      <c r="K5" s="38">
        <v>3</v>
      </c>
      <c r="L5" s="103">
        <v>1.7999999999999989</v>
      </c>
      <c r="N5" s="119" t="s">
        <v>139</v>
      </c>
      <c r="O5" s="126">
        <f t="shared" si="0"/>
        <v>396.42857142857144</v>
      </c>
      <c r="P5" s="123">
        <v>28</v>
      </c>
      <c r="Q5" s="107">
        <v>11100</v>
      </c>
    </row>
    <row r="6" spans="1:17" x14ac:dyDescent="0.4">
      <c r="A6" s="55" t="s">
        <v>1</v>
      </c>
      <c r="B6" s="157">
        <f>IF(B$2=0,0,(B$7*1+B$8*2+B$9*3)/B$2)</f>
        <v>2.1142857142857143</v>
      </c>
      <c r="C6" s="158"/>
      <c r="E6" s="63" t="s">
        <v>70</v>
      </c>
      <c r="F6" s="60" t="s">
        <v>12</v>
      </c>
      <c r="G6" s="47">
        <v>29</v>
      </c>
      <c r="H6" s="137">
        <f>IF(B$27=0,0,G6/B$27)</f>
        <v>0.27884615384615385</v>
      </c>
      <c r="I6" s="98">
        <v>6</v>
      </c>
      <c r="K6" s="38">
        <v>4</v>
      </c>
      <c r="L6" s="103">
        <v>34.9</v>
      </c>
      <c r="N6" s="119" t="s">
        <v>140</v>
      </c>
      <c r="O6" s="126">
        <f t="shared" si="0"/>
        <v>-1233.3333333333333</v>
      </c>
      <c r="P6" s="123">
        <v>27</v>
      </c>
      <c r="Q6" s="107">
        <v>-33300</v>
      </c>
    </row>
    <row r="7" spans="1:17" x14ac:dyDescent="0.4">
      <c r="A7" s="55" t="s">
        <v>2</v>
      </c>
      <c r="B7" s="47">
        <v>10</v>
      </c>
      <c r="C7" s="39">
        <f>IF(B$2=0,0,B7/B$2)</f>
        <v>0.2857142857142857</v>
      </c>
      <c r="E7" s="63" t="s">
        <v>69</v>
      </c>
      <c r="F7" s="60" t="s">
        <v>24</v>
      </c>
      <c r="G7" s="47">
        <v>19</v>
      </c>
      <c r="H7" s="137">
        <f>IF(B$27=0,0,G7/B$27)</f>
        <v>0.18269230769230768</v>
      </c>
      <c r="I7" s="98">
        <v>10</v>
      </c>
      <c r="K7" s="38">
        <v>5</v>
      </c>
      <c r="L7" s="103">
        <v>29.4</v>
      </c>
      <c r="N7" s="120" t="s">
        <v>141</v>
      </c>
      <c r="O7" s="127">
        <f t="shared" si="0"/>
        <v>-1845.8333333333333</v>
      </c>
      <c r="P7" s="124">
        <v>24</v>
      </c>
      <c r="Q7" s="108">
        <v>-44300</v>
      </c>
    </row>
    <row r="8" spans="1:17" x14ac:dyDescent="0.4">
      <c r="A8" s="55" t="s">
        <v>3</v>
      </c>
      <c r="B8" s="47">
        <v>11</v>
      </c>
      <c r="C8" s="39">
        <f>IF(B$2=0,0,B8/B$2)</f>
        <v>0.31428571428571428</v>
      </c>
      <c r="E8" s="63" t="s">
        <v>71</v>
      </c>
      <c r="F8" s="60" t="s">
        <v>25</v>
      </c>
      <c r="G8" s="47">
        <v>14</v>
      </c>
      <c r="H8" s="137">
        <f>IF(B$27=0,0,G8/B$27)</f>
        <v>0.13461538461538461</v>
      </c>
      <c r="I8" s="98">
        <v>10</v>
      </c>
      <c r="K8" s="38">
        <v>6</v>
      </c>
      <c r="L8" s="103">
        <v>4.2999999999999972</v>
      </c>
      <c r="N8" s="43"/>
      <c r="O8" s="131"/>
      <c r="P8" s="115"/>
      <c r="Q8" s="113"/>
    </row>
    <row r="9" spans="1:17" x14ac:dyDescent="0.4">
      <c r="A9" s="56" t="s">
        <v>4</v>
      </c>
      <c r="B9" s="48">
        <v>14</v>
      </c>
      <c r="C9" s="40">
        <f t="shared" ref="C9" si="1">IF(B$2=0,0,B9/B$2)</f>
        <v>0.4</v>
      </c>
      <c r="E9" s="63" t="s">
        <v>67</v>
      </c>
      <c r="F9" s="60" t="s">
        <v>22</v>
      </c>
      <c r="G9" s="47">
        <v>9</v>
      </c>
      <c r="H9" s="137">
        <f>IF(B$27=0,0,G9/B$27)</f>
        <v>8.6538461538461536E-2</v>
      </c>
      <c r="I9" s="98">
        <v>7</v>
      </c>
      <c r="K9" s="38">
        <v>7</v>
      </c>
      <c r="L9" s="103">
        <v>7.7999999999999972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2</v>
      </c>
      <c r="C10" s="40">
        <f>IF(B$2=0,0,B10/B$2)</f>
        <v>5.7142857142857141E-2</v>
      </c>
      <c r="E10" s="63" t="s">
        <v>92</v>
      </c>
      <c r="F10" s="60" t="s">
        <v>46</v>
      </c>
      <c r="G10" s="47">
        <v>9</v>
      </c>
      <c r="H10" s="137">
        <f>IF(B$27=0,0,G10/B$27)</f>
        <v>8.6538461538461536E-2</v>
      </c>
      <c r="I10" s="98">
        <v>11</v>
      </c>
      <c r="K10" s="38">
        <v>8</v>
      </c>
      <c r="L10" s="103">
        <v>-29.5</v>
      </c>
      <c r="N10" s="118" t="s">
        <v>172</v>
      </c>
      <c r="O10" s="128">
        <f>IF(P10=0,0,Q10/P10)</f>
        <v>-13.050000000000002</v>
      </c>
      <c r="P10" s="122">
        <v>12</v>
      </c>
      <c r="Q10" s="110">
        <v>-156.60000000000002</v>
      </c>
    </row>
    <row r="11" spans="1:17" x14ac:dyDescent="0.4">
      <c r="A11" s="56" t="s">
        <v>144</v>
      </c>
      <c r="B11" s="48">
        <v>5</v>
      </c>
      <c r="C11" s="40">
        <f>IF(B$2=0,0,B11/B$2)</f>
        <v>0.14285714285714285</v>
      </c>
      <c r="E11" s="63" t="s">
        <v>72</v>
      </c>
      <c r="F11" s="60" t="s">
        <v>26</v>
      </c>
      <c r="G11" s="47">
        <v>8</v>
      </c>
      <c r="H11" s="137">
        <f>IF(B$27=0,0,G11/B$27)</f>
        <v>7.6923076923076927E-2</v>
      </c>
      <c r="I11" s="98">
        <v>8</v>
      </c>
      <c r="K11" s="38">
        <v>9</v>
      </c>
      <c r="L11" s="103">
        <v>-56.5</v>
      </c>
      <c r="N11" s="119" t="s">
        <v>173</v>
      </c>
      <c r="O11" s="129">
        <f>IF(P11=0,0,Q11/P11)</f>
        <v>16.169999999999998</v>
      </c>
      <c r="P11" s="123">
        <v>10</v>
      </c>
      <c r="Q11" s="111">
        <v>161.69999999999999</v>
      </c>
    </row>
    <row r="12" spans="1:17" x14ac:dyDescent="0.4">
      <c r="A12" s="57" t="s">
        <v>165</v>
      </c>
      <c r="B12" s="49">
        <v>2</v>
      </c>
      <c r="C12" s="42">
        <f>IF(B$2=0,0,B12/B$2)</f>
        <v>5.7142857142857141E-2</v>
      </c>
      <c r="E12" s="63" t="s">
        <v>86</v>
      </c>
      <c r="F12" s="60" t="s">
        <v>40</v>
      </c>
      <c r="G12" s="47">
        <v>7</v>
      </c>
      <c r="H12" s="137">
        <f>IF(B$27=0,0,G12/B$27)</f>
        <v>6.7307692307692304E-2</v>
      </c>
      <c r="I12" s="98">
        <v>2</v>
      </c>
      <c r="K12" s="38">
        <v>10</v>
      </c>
      <c r="L12" s="103">
        <v>24.200000000000003</v>
      </c>
      <c r="N12" s="120" t="s">
        <v>174</v>
      </c>
      <c r="O12" s="130">
        <f>IF(P12=0,0,Q12/P12)</f>
        <v>-1.0307692307692307</v>
      </c>
      <c r="P12" s="124">
        <v>13</v>
      </c>
      <c r="Q12" s="112">
        <v>-13.399999999999999</v>
      </c>
    </row>
    <row r="13" spans="1:17" x14ac:dyDescent="0.4">
      <c r="A13" s="58" t="s">
        <v>126</v>
      </c>
      <c r="B13" s="50">
        <v>68</v>
      </c>
      <c r="C13" s="44">
        <f>IF(B$26=0,0,B13/B$26)</f>
        <v>0.22895622895622897</v>
      </c>
      <c r="E13" s="63" t="s">
        <v>84</v>
      </c>
      <c r="F13" s="60" t="s">
        <v>38</v>
      </c>
      <c r="G13" s="47">
        <v>5</v>
      </c>
      <c r="H13" s="137">
        <f>IF(B$27=0,0,G13/B$27)</f>
        <v>4.807692307692308E-2</v>
      </c>
      <c r="I13" s="98">
        <v>2</v>
      </c>
      <c r="K13" s="38">
        <v>11</v>
      </c>
      <c r="L13" s="103">
        <v>74.2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94</v>
      </c>
      <c r="C14" s="39">
        <f>IF(B$26=0,0,B14/B$26)</f>
        <v>0.3164983164983165</v>
      </c>
      <c r="E14" s="63" t="s">
        <v>73</v>
      </c>
      <c r="F14" s="60" t="s">
        <v>27</v>
      </c>
      <c r="G14" s="47">
        <v>4</v>
      </c>
      <c r="H14" s="137">
        <f>IF(B$27=0,0,G14/B$27)</f>
        <v>3.8461538461538464E-2</v>
      </c>
      <c r="I14" s="98">
        <v>8</v>
      </c>
      <c r="K14" s="38">
        <v>12</v>
      </c>
      <c r="L14" s="103">
        <v>46.1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38</v>
      </c>
      <c r="C15" s="37">
        <f>IF(B$13=0,0,B15/B$13)</f>
        <v>0.55882352941176472</v>
      </c>
      <c r="E15" s="63" t="s">
        <v>89</v>
      </c>
      <c r="F15" s="60" t="s">
        <v>43</v>
      </c>
      <c r="G15" s="47">
        <v>4</v>
      </c>
      <c r="H15" s="137">
        <f>IF(B$27=0,0,G15/B$27)</f>
        <v>3.8461538461538464E-2</v>
      </c>
      <c r="I15" s="98">
        <v>9</v>
      </c>
      <c r="K15" s="38">
        <v>13</v>
      </c>
      <c r="L15" s="103">
        <v>-3</v>
      </c>
      <c r="N15" s="118" t="s">
        <v>133</v>
      </c>
      <c r="O15" s="128">
        <f>IF(P15=0,0,Q15/P15)</f>
        <v>80.185714285714283</v>
      </c>
      <c r="P15" s="122">
        <v>7</v>
      </c>
      <c r="Q15" s="110">
        <v>561.29999999999995</v>
      </c>
    </row>
    <row r="16" spans="1:17" x14ac:dyDescent="0.4">
      <c r="A16" s="54" t="s">
        <v>129</v>
      </c>
      <c r="B16" s="46">
        <v>40</v>
      </c>
      <c r="C16" s="37">
        <f>IF(B$14=0,0,B16/B$14)</f>
        <v>0.42553191489361702</v>
      </c>
      <c r="E16" s="63" t="s">
        <v>80</v>
      </c>
      <c r="F16" s="60" t="s">
        <v>34</v>
      </c>
      <c r="G16" s="47">
        <v>2</v>
      </c>
      <c r="H16" s="137">
        <f>IF(B$27=0,0,G16/B$27)</f>
        <v>1.9230769230769232E-2</v>
      </c>
      <c r="I16" s="98">
        <v>4</v>
      </c>
      <c r="K16" s="38">
        <v>14</v>
      </c>
      <c r="L16" s="103">
        <v>-12.3</v>
      </c>
      <c r="N16" s="119" t="s">
        <v>209</v>
      </c>
      <c r="O16" s="129">
        <f>IF(P16=0,0,Q16/P16)</f>
        <v>16.449999999999996</v>
      </c>
      <c r="P16" s="123">
        <v>4</v>
      </c>
      <c r="Q16" s="111">
        <v>65.799999999999983</v>
      </c>
    </row>
    <row r="17" spans="1:17" x14ac:dyDescent="0.4">
      <c r="A17" s="54" t="s">
        <v>10</v>
      </c>
      <c r="B17" s="46">
        <f>B19+B18</f>
        <v>104</v>
      </c>
      <c r="C17" s="37">
        <f>IF(B$3=0,0,B17/B$3)</f>
        <v>0.35016835016835018</v>
      </c>
      <c r="E17" s="63" t="s">
        <v>81</v>
      </c>
      <c r="F17" s="60" t="s">
        <v>35</v>
      </c>
      <c r="G17" s="47">
        <v>2</v>
      </c>
      <c r="H17" s="137">
        <f>IF(B$27=0,0,G17/B$27)</f>
        <v>1.9230769230769232E-2</v>
      </c>
      <c r="I17" s="98">
        <v>1</v>
      </c>
      <c r="K17" s="38">
        <v>15</v>
      </c>
      <c r="L17" s="103">
        <v>-80.3</v>
      </c>
      <c r="N17" s="119" t="s">
        <v>185</v>
      </c>
      <c r="O17" s="129">
        <f>IF(P17=0,0,Q17/P17)</f>
        <v>13.33333333333333</v>
      </c>
      <c r="P17" s="123">
        <v>3</v>
      </c>
      <c r="Q17" s="111">
        <v>39.999999999999993</v>
      </c>
    </row>
    <row r="18" spans="1:17" x14ac:dyDescent="0.4">
      <c r="A18" s="55" t="s">
        <v>12</v>
      </c>
      <c r="B18" s="47">
        <v>46</v>
      </c>
      <c r="C18" s="39">
        <f>IF(B$17=0,0,B18/B$17)</f>
        <v>0.44230769230769229</v>
      </c>
      <c r="E18" s="63" t="s">
        <v>94</v>
      </c>
      <c r="F18" s="60" t="s">
        <v>48</v>
      </c>
      <c r="G18" s="47">
        <v>2</v>
      </c>
      <c r="H18" s="137">
        <f>IF(B$27=0,0,G18/B$27)</f>
        <v>1.9230769230769232E-2</v>
      </c>
      <c r="I18" s="98">
        <v>3</v>
      </c>
      <c r="K18" s="38">
        <v>16</v>
      </c>
      <c r="L18" s="103">
        <v>-87.6</v>
      </c>
      <c r="N18" s="119" t="s">
        <v>181</v>
      </c>
      <c r="O18" s="129">
        <f>IF(P18=0,0,Q18/P18)</f>
        <v>11.574999999999999</v>
      </c>
      <c r="P18" s="123">
        <v>8</v>
      </c>
      <c r="Q18" s="111">
        <v>92.6</v>
      </c>
    </row>
    <row r="19" spans="1:17" x14ac:dyDescent="0.4">
      <c r="A19" s="55" t="s">
        <v>11</v>
      </c>
      <c r="B19" s="47">
        <v>58</v>
      </c>
      <c r="C19" s="39">
        <f>IF(B$17=0,0,B19/B$17)</f>
        <v>0.55769230769230771</v>
      </c>
      <c r="E19" s="63" t="s">
        <v>75</v>
      </c>
      <c r="F19" s="60" t="s">
        <v>29</v>
      </c>
      <c r="G19" s="47">
        <v>0</v>
      </c>
      <c r="H19" s="137">
        <f>IF(B$27=0,0,G19/B$27)</f>
        <v>0</v>
      </c>
      <c r="I19" s="98">
        <v>5</v>
      </c>
      <c r="K19" s="38">
        <v>17</v>
      </c>
      <c r="L19" s="103">
        <v>-55.099999999999994</v>
      </c>
      <c r="N19" s="119" t="s">
        <v>179</v>
      </c>
      <c r="O19" s="129">
        <f>IF(P19=0,0,Q19/P19)</f>
        <v>3.9363636363636347</v>
      </c>
      <c r="P19" s="123">
        <v>11</v>
      </c>
      <c r="Q19" s="111">
        <v>43.299999999999983</v>
      </c>
    </row>
    <row r="20" spans="1:17" x14ac:dyDescent="0.4">
      <c r="A20" s="55" t="s">
        <v>13</v>
      </c>
      <c r="B20" s="47">
        <v>44</v>
      </c>
      <c r="C20" s="39">
        <f>IF(B$3=0,0,B20/B$3)</f>
        <v>0.14814814814814814</v>
      </c>
      <c r="E20" s="63" t="s">
        <v>76</v>
      </c>
      <c r="F20" s="60" t="s">
        <v>30</v>
      </c>
      <c r="G20" s="47">
        <v>0</v>
      </c>
      <c r="H20" s="137">
        <f>IF(B$27=0,0,G20/B$27)</f>
        <v>0</v>
      </c>
      <c r="I20" s="98">
        <v>3</v>
      </c>
      <c r="K20" s="38">
        <v>18</v>
      </c>
      <c r="L20" s="103">
        <v>-28.199999999999996</v>
      </c>
      <c r="N20" s="119" t="s">
        <v>132</v>
      </c>
      <c r="O20" s="129">
        <f>IF(P20=0,0,Q20/P20)</f>
        <v>-8.7249999999999996</v>
      </c>
      <c r="P20" s="123">
        <v>20</v>
      </c>
      <c r="Q20" s="111">
        <v>-174.5</v>
      </c>
    </row>
    <row r="21" spans="1:17" x14ac:dyDescent="0.4">
      <c r="A21" s="55" t="s">
        <v>5</v>
      </c>
      <c r="B21" s="51">
        <f>IF(B$17=0,0,C21/B$17)</f>
        <v>7118.2692307692305</v>
      </c>
      <c r="C21" s="41">
        <v>740300</v>
      </c>
      <c r="E21" s="63" t="s">
        <v>77</v>
      </c>
      <c r="F21" s="60" t="s">
        <v>31</v>
      </c>
      <c r="G21" s="47">
        <v>0</v>
      </c>
      <c r="H21" s="137">
        <f>IF(B$27=0,0,G21/B$27)</f>
        <v>0</v>
      </c>
      <c r="I21" s="98">
        <v>6</v>
      </c>
      <c r="K21" s="38">
        <v>19</v>
      </c>
      <c r="L21" s="103">
        <v>29.200000000000003</v>
      </c>
      <c r="N21" s="119" t="s">
        <v>131</v>
      </c>
      <c r="O21" s="129">
        <f>IF(P21=0,0,Q21/P21)</f>
        <v>-38.435294117647068</v>
      </c>
      <c r="P21" s="123">
        <v>17</v>
      </c>
      <c r="Q21" s="111">
        <v>-653.4000000000002</v>
      </c>
    </row>
    <row r="22" spans="1:17" x14ac:dyDescent="0.4">
      <c r="A22" s="57" t="s">
        <v>14</v>
      </c>
      <c r="B22" s="52">
        <f>IF(B$20=0,0,C22/B$20)</f>
        <v>-8481.818181818182</v>
      </c>
      <c r="C22" s="45">
        <v>-373200</v>
      </c>
      <c r="E22" s="63" t="s">
        <v>78</v>
      </c>
      <c r="F22" s="60" t="s">
        <v>32</v>
      </c>
      <c r="G22" s="47">
        <v>0</v>
      </c>
      <c r="H22" s="137">
        <f>IF(B$27=0,0,G22/B$27)</f>
        <v>0</v>
      </c>
      <c r="I22" s="98">
        <v>1</v>
      </c>
      <c r="K22" s="38">
        <v>20</v>
      </c>
      <c r="L22" s="103">
        <v>43</v>
      </c>
    </row>
    <row r="23" spans="1:17" x14ac:dyDescent="0.4">
      <c r="A23" s="94" t="s">
        <v>146</v>
      </c>
      <c r="B23" s="155">
        <v>7</v>
      </c>
      <c r="C23" s="156"/>
      <c r="E23" s="63" t="s">
        <v>79</v>
      </c>
      <c r="F23" s="60" t="s">
        <v>33</v>
      </c>
      <c r="G23" s="47">
        <v>0</v>
      </c>
      <c r="H23" s="137">
        <f>IF(B$27=0,0,G23/B$27)</f>
        <v>0</v>
      </c>
      <c r="I23" s="98">
        <v>4</v>
      </c>
      <c r="K23" s="38">
        <v>21</v>
      </c>
      <c r="L23" s="103">
        <v>89.9</v>
      </c>
    </row>
    <row r="24" spans="1:17" x14ac:dyDescent="0.4">
      <c r="A24" s="58" t="s">
        <v>157</v>
      </c>
      <c r="B24" s="153">
        <v>97500</v>
      </c>
      <c r="C24" s="154"/>
      <c r="E24" s="63" t="s">
        <v>82</v>
      </c>
      <c r="F24" s="60" t="s">
        <v>36</v>
      </c>
      <c r="G24" s="47">
        <v>0</v>
      </c>
      <c r="H24" s="137">
        <f>IF(B$27=0,0,G24/B$27)</f>
        <v>0</v>
      </c>
      <c r="I24" s="98">
        <v>1</v>
      </c>
      <c r="K24" s="38">
        <v>22</v>
      </c>
      <c r="L24" s="103">
        <v>54.7</v>
      </c>
    </row>
    <row r="25" spans="1:17" x14ac:dyDescent="0.4">
      <c r="A25" s="57" t="s">
        <v>147</v>
      </c>
      <c r="B25" s="65">
        <v>1</v>
      </c>
      <c r="C25" s="42">
        <f>IF(B$3=0,0,B25/B$3)</f>
        <v>3.3670033670033669E-3</v>
      </c>
      <c r="E25" s="63" t="s">
        <v>83</v>
      </c>
      <c r="F25" s="60" t="s">
        <v>37</v>
      </c>
      <c r="G25" s="47">
        <v>0</v>
      </c>
      <c r="H25" s="137">
        <f>IF(B$27=0,0,G25/B$27)</f>
        <v>0</v>
      </c>
      <c r="I25" s="98">
        <v>1</v>
      </c>
      <c r="K25" s="38">
        <v>23</v>
      </c>
      <c r="L25" s="103">
        <v>-5.3999999999999986</v>
      </c>
    </row>
    <row r="26" spans="1:17" x14ac:dyDescent="0.4">
      <c r="A26" s="54" t="s">
        <v>124</v>
      </c>
      <c r="B26" s="145">
        <v>297</v>
      </c>
      <c r="C26" s="146"/>
      <c r="E26" s="63" t="s">
        <v>85</v>
      </c>
      <c r="F26" s="60" t="s">
        <v>39</v>
      </c>
      <c r="G26" s="47">
        <v>0</v>
      </c>
      <c r="H26" s="137">
        <f>IF(B$27=0,0,G26/B$27)</f>
        <v>0</v>
      </c>
      <c r="I26" s="98">
        <v>1</v>
      </c>
      <c r="K26" s="38">
        <v>24</v>
      </c>
      <c r="L26" s="103">
        <v>68.900000000000006</v>
      </c>
    </row>
    <row r="27" spans="1:17" x14ac:dyDescent="0.4">
      <c r="A27" s="57" t="s">
        <v>125</v>
      </c>
      <c r="B27" s="159">
        <v>104</v>
      </c>
      <c r="C27" s="160"/>
      <c r="E27" s="63" t="s">
        <v>87</v>
      </c>
      <c r="F27" s="60" t="s">
        <v>41</v>
      </c>
      <c r="G27" s="47">
        <v>0</v>
      </c>
      <c r="H27" s="137">
        <f>IF(B$27=0,0,G27/B$27)</f>
        <v>0</v>
      </c>
      <c r="I27" s="98">
        <v>3</v>
      </c>
      <c r="K27" s="38">
        <v>25</v>
      </c>
      <c r="L27" s="103">
        <v>30.400000000000006</v>
      </c>
    </row>
    <row r="28" spans="1:17" x14ac:dyDescent="0.4">
      <c r="E28" s="63" t="s">
        <v>88</v>
      </c>
      <c r="F28" s="60" t="s">
        <v>42</v>
      </c>
      <c r="G28" s="47">
        <v>0</v>
      </c>
      <c r="H28" s="137">
        <f>IF(B$27=0,0,G28/B$27)</f>
        <v>0</v>
      </c>
      <c r="I28" s="98">
        <v>3</v>
      </c>
      <c r="K28" s="38">
        <v>26</v>
      </c>
      <c r="L28" s="103">
        <v>32.900000000000006</v>
      </c>
    </row>
    <row r="29" spans="1:17" x14ac:dyDescent="0.4">
      <c r="E29" s="63" t="s">
        <v>90</v>
      </c>
      <c r="F29" s="60" t="s">
        <v>44</v>
      </c>
      <c r="G29" s="47">
        <v>0</v>
      </c>
      <c r="H29" s="137">
        <f>IF(B$27=0,0,G29/B$27)</f>
        <v>0</v>
      </c>
      <c r="I29" s="98">
        <v>4</v>
      </c>
      <c r="K29" s="38">
        <v>27</v>
      </c>
      <c r="L29" s="103">
        <v>40.400000000000006</v>
      </c>
    </row>
    <row r="30" spans="1:17" x14ac:dyDescent="0.4">
      <c r="E30" s="63" t="s">
        <v>91</v>
      </c>
      <c r="F30" s="60" t="s">
        <v>45</v>
      </c>
      <c r="G30" s="47">
        <v>0</v>
      </c>
      <c r="H30" s="137">
        <f>IF(B$27=0,0,G30/B$27)</f>
        <v>0</v>
      </c>
      <c r="I30" s="98">
        <v>4</v>
      </c>
      <c r="K30" s="38">
        <v>28</v>
      </c>
      <c r="L30" s="103">
        <v>8.3000000000000043</v>
      </c>
    </row>
    <row r="31" spans="1:17" x14ac:dyDescent="0.4">
      <c r="E31" s="63" t="s">
        <v>93</v>
      </c>
      <c r="F31" s="60" t="s">
        <v>47</v>
      </c>
      <c r="G31" s="47">
        <v>0</v>
      </c>
      <c r="H31" s="137">
        <f>IF(B$27=0,0,G31/B$27)</f>
        <v>0</v>
      </c>
      <c r="I31" s="98">
        <v>3</v>
      </c>
      <c r="K31" s="38">
        <v>29</v>
      </c>
      <c r="L31" s="103">
        <v>90.800000000000011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5</v>
      </c>
      <c r="K32" s="38">
        <v>30</v>
      </c>
      <c r="L32" s="103">
        <v>63.300000000000011</v>
      </c>
    </row>
    <row r="33" spans="5:12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5</v>
      </c>
      <c r="K33" s="38">
        <v>31</v>
      </c>
      <c r="L33" s="103">
        <v>114.4</v>
      </c>
    </row>
    <row r="34" spans="5:12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  <c r="K34" s="38">
        <v>32</v>
      </c>
      <c r="L34" s="103">
        <v>76.900000000000006</v>
      </c>
    </row>
    <row r="35" spans="5:12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3</v>
      </c>
      <c r="K35" s="38">
        <v>33</v>
      </c>
      <c r="L35" s="103">
        <v>42.500000000000007</v>
      </c>
    </row>
    <row r="36" spans="5:12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  <c r="K36" s="38">
        <v>34</v>
      </c>
      <c r="L36" s="103">
        <v>9.8000000000000043</v>
      </c>
    </row>
    <row r="37" spans="5:12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  <c r="K37" s="38">
        <v>35</v>
      </c>
      <c r="L37" s="103">
        <v>-8.2999999999999972</v>
      </c>
    </row>
    <row r="38" spans="5:12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12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12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12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12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12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12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12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12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12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12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6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4710E-EFAC-4761-8653-F93A2364DF1B}">
  <sheetPr codeName="Sheet17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3" t="s">
        <v>181</v>
      </c>
      <c r="C1" s="144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5">
        <v>31</v>
      </c>
      <c r="C2" s="146"/>
      <c r="E2" s="62" t="s">
        <v>68</v>
      </c>
      <c r="F2" s="59" t="s">
        <v>23</v>
      </c>
      <c r="G2" s="46">
        <v>61</v>
      </c>
      <c r="H2" s="136">
        <f>IF(B$27=0,0,G2/B$27)</f>
        <v>0.74390243902439024</v>
      </c>
      <c r="I2" s="97">
        <v>5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-2980.6451612903224</v>
      </c>
      <c r="P2" s="122">
        <v>31</v>
      </c>
      <c r="Q2" s="106">
        <v>-92400</v>
      </c>
    </row>
    <row r="3" spans="1:17" x14ac:dyDescent="0.4">
      <c r="A3" s="55" t="s">
        <v>8</v>
      </c>
      <c r="B3" s="147">
        <v>274</v>
      </c>
      <c r="C3" s="148"/>
      <c r="E3" s="63" t="s">
        <v>74</v>
      </c>
      <c r="F3" s="60" t="s">
        <v>28</v>
      </c>
      <c r="G3" s="47">
        <v>42</v>
      </c>
      <c r="H3" s="137">
        <f>IF(B$27=0,0,G3/B$27)</f>
        <v>0.51219512195121952</v>
      </c>
      <c r="I3" s="98">
        <v>8</v>
      </c>
      <c r="K3" s="38">
        <v>1</v>
      </c>
      <c r="L3" s="103">
        <v>-82.6</v>
      </c>
      <c r="N3" s="119" t="s">
        <v>137</v>
      </c>
      <c r="O3" s="126">
        <f t="shared" si="0"/>
        <v>1854.8387096774193</v>
      </c>
      <c r="P3" s="123">
        <v>31</v>
      </c>
      <c r="Q3" s="107">
        <v>57500</v>
      </c>
    </row>
    <row r="4" spans="1:17" x14ac:dyDescent="0.4">
      <c r="A4" s="55" t="s">
        <v>6</v>
      </c>
      <c r="B4" s="149">
        <v>-226.29999999999998</v>
      </c>
      <c r="C4" s="150"/>
      <c r="E4" s="63" t="s">
        <v>66</v>
      </c>
      <c r="F4" s="60" t="s">
        <v>21</v>
      </c>
      <c r="G4" s="47">
        <v>38</v>
      </c>
      <c r="H4" s="137">
        <f>IF(B$27=0,0,G4/B$27)</f>
        <v>0.46341463414634149</v>
      </c>
      <c r="I4" s="98">
        <v>8</v>
      </c>
      <c r="K4" s="38">
        <v>2</v>
      </c>
      <c r="L4" s="103">
        <v>-122.3</v>
      </c>
      <c r="N4" s="119" t="s">
        <v>138</v>
      </c>
      <c r="O4" s="126">
        <f t="shared" si="0"/>
        <v>-1900</v>
      </c>
      <c r="P4" s="123">
        <v>29</v>
      </c>
      <c r="Q4" s="107">
        <v>-55100</v>
      </c>
    </row>
    <row r="5" spans="1:17" x14ac:dyDescent="0.4">
      <c r="A5" s="55" t="s">
        <v>7</v>
      </c>
      <c r="B5" s="151">
        <f>IF(B$2=0,0,B$4/B$2)</f>
        <v>-7.3</v>
      </c>
      <c r="C5" s="152"/>
      <c r="E5" s="63" t="s">
        <v>70</v>
      </c>
      <c r="F5" s="60" t="s">
        <v>12</v>
      </c>
      <c r="G5" s="47">
        <v>34</v>
      </c>
      <c r="H5" s="137">
        <f>IF(B$27=0,0,G5/B$27)</f>
        <v>0.41463414634146339</v>
      </c>
      <c r="I5" s="98">
        <v>3</v>
      </c>
      <c r="K5" s="38">
        <v>3</v>
      </c>
      <c r="L5" s="103">
        <v>-149</v>
      </c>
      <c r="N5" s="119" t="s">
        <v>139</v>
      </c>
      <c r="O5" s="126">
        <f t="shared" si="0"/>
        <v>-4244.4444444444443</v>
      </c>
      <c r="P5" s="123">
        <v>27</v>
      </c>
      <c r="Q5" s="107">
        <v>-114600</v>
      </c>
    </row>
    <row r="6" spans="1:17" x14ac:dyDescent="0.4">
      <c r="A6" s="55" t="s">
        <v>1</v>
      </c>
      <c r="B6" s="157">
        <f>IF(B$2=0,0,(B$7*1+B$8*2+B$9*3)/B$2)</f>
        <v>2.096774193548387</v>
      </c>
      <c r="C6" s="158"/>
      <c r="E6" s="63" t="s">
        <v>189</v>
      </c>
      <c r="F6" s="60" t="s">
        <v>190</v>
      </c>
      <c r="G6" s="47">
        <v>29</v>
      </c>
      <c r="H6" s="137">
        <f>IF(B$27=0,0,G6/B$27)</f>
        <v>0.35365853658536583</v>
      </c>
      <c r="I6" s="98">
        <v>8</v>
      </c>
      <c r="K6" s="38">
        <v>4</v>
      </c>
      <c r="L6" s="103">
        <v>-150.6</v>
      </c>
      <c r="N6" s="119" t="s">
        <v>140</v>
      </c>
      <c r="O6" s="126">
        <f t="shared" si="0"/>
        <v>1175</v>
      </c>
      <c r="P6" s="123">
        <v>24</v>
      </c>
      <c r="Q6" s="107">
        <v>28200</v>
      </c>
    </row>
    <row r="7" spans="1:17" x14ac:dyDescent="0.4">
      <c r="A7" s="55" t="s">
        <v>2</v>
      </c>
      <c r="B7" s="47">
        <v>8</v>
      </c>
      <c r="C7" s="39">
        <f>IF(B$2=0,0,B7/B$2)</f>
        <v>0.25806451612903225</v>
      </c>
      <c r="E7" s="63" t="s">
        <v>69</v>
      </c>
      <c r="F7" s="60" t="s">
        <v>24</v>
      </c>
      <c r="G7" s="47">
        <v>21</v>
      </c>
      <c r="H7" s="137">
        <f>IF(B$27=0,0,G7/B$27)</f>
        <v>0.25609756097560976</v>
      </c>
      <c r="I7" s="98">
        <v>8</v>
      </c>
      <c r="K7" s="38">
        <v>5</v>
      </c>
      <c r="L7" s="103">
        <v>-184.89999999999998</v>
      </c>
      <c r="N7" s="120" t="s">
        <v>141</v>
      </c>
      <c r="O7" s="127">
        <f t="shared" si="0"/>
        <v>439.13043478260869</v>
      </c>
      <c r="P7" s="124">
        <v>23</v>
      </c>
      <c r="Q7" s="108">
        <v>10100</v>
      </c>
    </row>
    <row r="8" spans="1:17" x14ac:dyDescent="0.4">
      <c r="A8" s="55" t="s">
        <v>3</v>
      </c>
      <c r="B8" s="47">
        <v>12</v>
      </c>
      <c r="C8" s="39">
        <f>IF(B$2=0,0,B8/B$2)</f>
        <v>0.38709677419354838</v>
      </c>
      <c r="E8" s="63" t="s">
        <v>92</v>
      </c>
      <c r="F8" s="60" t="s">
        <v>46</v>
      </c>
      <c r="G8" s="47">
        <v>11</v>
      </c>
      <c r="H8" s="137">
        <f>IF(B$27=0,0,G8/B$27)</f>
        <v>0.13414634146341464</v>
      </c>
      <c r="I8" s="98">
        <v>7</v>
      </c>
      <c r="K8" s="38">
        <v>6</v>
      </c>
      <c r="L8" s="103">
        <v>-187.59999999999997</v>
      </c>
      <c r="N8" s="43"/>
      <c r="O8" s="131"/>
      <c r="P8" s="115"/>
      <c r="Q8" s="113"/>
    </row>
    <row r="9" spans="1:17" x14ac:dyDescent="0.4">
      <c r="A9" s="56" t="s">
        <v>4</v>
      </c>
      <c r="B9" s="48">
        <v>11</v>
      </c>
      <c r="C9" s="40">
        <f t="shared" ref="C9" si="1">IF(B$2=0,0,B9/B$2)</f>
        <v>0.35483870967741937</v>
      </c>
      <c r="E9" s="63" t="s">
        <v>72</v>
      </c>
      <c r="F9" s="60" t="s">
        <v>26</v>
      </c>
      <c r="G9" s="47">
        <v>10</v>
      </c>
      <c r="H9" s="137">
        <f>IF(B$27=0,0,G9/B$27)</f>
        <v>0.12195121951219512</v>
      </c>
      <c r="I9" s="98">
        <v>4</v>
      </c>
      <c r="K9" s="38">
        <v>7</v>
      </c>
      <c r="L9" s="103">
        <v>-216.09999999999997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4</v>
      </c>
      <c r="C10" s="40">
        <f>IF(B$2=0,0,B10/B$2)</f>
        <v>0.12903225806451613</v>
      </c>
      <c r="E10" s="63" t="s">
        <v>71</v>
      </c>
      <c r="F10" s="60" t="s">
        <v>25</v>
      </c>
      <c r="G10" s="47">
        <v>8</v>
      </c>
      <c r="H10" s="137">
        <f>IF(B$27=0,0,G10/B$27)</f>
        <v>9.7560975609756101E-2</v>
      </c>
      <c r="I10" s="98">
        <v>11</v>
      </c>
      <c r="K10" s="38">
        <v>8</v>
      </c>
      <c r="L10" s="103">
        <v>-219.59999999999997</v>
      </c>
      <c r="N10" s="118" t="s">
        <v>172</v>
      </c>
      <c r="O10" s="128">
        <f>IF(P10=0,0,Q10/P10)</f>
        <v>-13.285714285714286</v>
      </c>
      <c r="P10" s="122">
        <v>7</v>
      </c>
      <c r="Q10" s="110">
        <v>-93</v>
      </c>
    </row>
    <row r="11" spans="1:17" x14ac:dyDescent="0.4">
      <c r="A11" s="56" t="s">
        <v>144</v>
      </c>
      <c r="B11" s="48">
        <v>2</v>
      </c>
      <c r="C11" s="40">
        <f>IF(B$2=0,0,B11/B$2)</f>
        <v>6.4516129032258063E-2</v>
      </c>
      <c r="E11" s="63" t="s">
        <v>73</v>
      </c>
      <c r="F11" s="60" t="s">
        <v>27</v>
      </c>
      <c r="G11" s="47">
        <v>5</v>
      </c>
      <c r="H11" s="137">
        <f>IF(B$27=0,0,G11/B$27)</f>
        <v>6.097560975609756E-2</v>
      </c>
      <c r="I11" s="98">
        <v>4</v>
      </c>
      <c r="K11" s="38">
        <v>9</v>
      </c>
      <c r="L11" s="103">
        <v>-260.59999999999997</v>
      </c>
      <c r="N11" s="119" t="s">
        <v>173</v>
      </c>
      <c r="O11" s="129">
        <f>IF(P11=0,0,Q11/P11)</f>
        <v>-7.2749999999999986</v>
      </c>
      <c r="P11" s="123">
        <v>16</v>
      </c>
      <c r="Q11" s="111">
        <v>-116.39999999999998</v>
      </c>
    </row>
    <row r="12" spans="1:17" x14ac:dyDescent="0.4">
      <c r="A12" s="57" t="s">
        <v>165</v>
      </c>
      <c r="B12" s="49">
        <v>1</v>
      </c>
      <c r="C12" s="42">
        <f>IF(B$2=0,0,B12/B$2)</f>
        <v>3.2258064516129031E-2</v>
      </c>
      <c r="E12" s="63" t="s">
        <v>67</v>
      </c>
      <c r="F12" s="60" t="s">
        <v>22</v>
      </c>
      <c r="G12" s="47">
        <v>4</v>
      </c>
      <c r="H12" s="137">
        <f>IF(B$27=0,0,G12/B$27)</f>
        <v>4.878048780487805E-2</v>
      </c>
      <c r="I12" s="98">
        <v>9</v>
      </c>
      <c r="K12" s="38">
        <v>10</v>
      </c>
      <c r="L12" s="103">
        <v>-318.39999999999998</v>
      </c>
      <c r="N12" s="120" t="s">
        <v>174</v>
      </c>
      <c r="O12" s="130">
        <f>IF(P12=0,0,Q12/P12)</f>
        <v>-2.1124999999999989</v>
      </c>
      <c r="P12" s="124">
        <v>8</v>
      </c>
      <c r="Q12" s="112">
        <v>-16.899999999999991</v>
      </c>
    </row>
    <row r="13" spans="1:17" x14ac:dyDescent="0.4">
      <c r="A13" s="58" t="s">
        <v>126</v>
      </c>
      <c r="B13" s="50">
        <v>66</v>
      </c>
      <c r="C13" s="44">
        <f>IF(B$26=0,0,B13/B$26)</f>
        <v>0.25</v>
      </c>
      <c r="E13" s="63" t="s">
        <v>89</v>
      </c>
      <c r="F13" s="60" t="s">
        <v>43</v>
      </c>
      <c r="G13" s="47">
        <v>4</v>
      </c>
      <c r="H13" s="137">
        <f>IF(B$27=0,0,G13/B$27)</f>
        <v>4.878048780487805E-2</v>
      </c>
      <c r="I13" s="98">
        <v>7</v>
      </c>
      <c r="K13" s="38">
        <v>11</v>
      </c>
      <c r="L13" s="103">
        <v>-325.39999999999998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63</v>
      </c>
      <c r="C14" s="39">
        <f>IF(B$26=0,0,B14/B$26)</f>
        <v>0.23863636363636365</v>
      </c>
      <c r="E14" s="63" t="s">
        <v>86</v>
      </c>
      <c r="F14" s="60" t="s">
        <v>40</v>
      </c>
      <c r="G14" s="47">
        <v>2</v>
      </c>
      <c r="H14" s="137">
        <f>IF(B$27=0,0,G14/B$27)</f>
        <v>2.4390243902439025E-2</v>
      </c>
      <c r="I14" s="98">
        <v>8</v>
      </c>
      <c r="K14" s="38">
        <v>12</v>
      </c>
      <c r="L14" s="103">
        <v>-289.59999999999997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40</v>
      </c>
      <c r="C15" s="37">
        <f>IF(B$13=0,0,B15/B$13)</f>
        <v>0.60606060606060608</v>
      </c>
      <c r="E15" s="63" t="s">
        <v>75</v>
      </c>
      <c r="F15" s="60" t="s">
        <v>29</v>
      </c>
      <c r="G15" s="47">
        <v>1</v>
      </c>
      <c r="H15" s="137">
        <f>IF(B$27=0,0,G15/B$27)</f>
        <v>1.2195121951219513E-2</v>
      </c>
      <c r="I15" s="98">
        <v>1</v>
      </c>
      <c r="K15" s="38">
        <v>13</v>
      </c>
      <c r="L15" s="103">
        <v>-302.59999999999997</v>
      </c>
      <c r="N15" s="118" t="s">
        <v>133</v>
      </c>
      <c r="O15" s="128">
        <f>IF(P15=0,0,Q15/P15)</f>
        <v>28.26</v>
      </c>
      <c r="P15" s="122">
        <v>5</v>
      </c>
      <c r="Q15" s="110">
        <v>141.30000000000001</v>
      </c>
    </row>
    <row r="16" spans="1:17" x14ac:dyDescent="0.4">
      <c r="A16" s="54" t="s">
        <v>129</v>
      </c>
      <c r="B16" s="46">
        <v>20</v>
      </c>
      <c r="C16" s="37">
        <f>IF(B$14=0,0,B16/B$14)</f>
        <v>0.31746031746031744</v>
      </c>
      <c r="E16" s="63" t="s">
        <v>80</v>
      </c>
      <c r="F16" s="60" t="s">
        <v>34</v>
      </c>
      <c r="G16" s="47">
        <v>1</v>
      </c>
      <c r="H16" s="137">
        <f>IF(B$27=0,0,G16/B$27)</f>
        <v>1.2195121951219513E-2</v>
      </c>
      <c r="I16" s="98">
        <v>7</v>
      </c>
      <c r="K16" s="38">
        <v>14</v>
      </c>
      <c r="L16" s="103">
        <v>-269.99999999999994</v>
      </c>
      <c r="N16" s="119" t="s">
        <v>132</v>
      </c>
      <c r="O16" s="129">
        <f>IF(P16=0,0,Q16/P16)</f>
        <v>2.0842105263157902</v>
      </c>
      <c r="P16" s="123">
        <v>19</v>
      </c>
      <c r="Q16" s="111">
        <v>39.600000000000016</v>
      </c>
    </row>
    <row r="17" spans="1:17" x14ac:dyDescent="0.4">
      <c r="A17" s="54" t="s">
        <v>10</v>
      </c>
      <c r="B17" s="46">
        <f>B19+B18</f>
        <v>84</v>
      </c>
      <c r="C17" s="37">
        <f>IF(B$3=0,0,B17/B$3)</f>
        <v>0.30656934306569344</v>
      </c>
      <c r="E17" s="63" t="s">
        <v>81</v>
      </c>
      <c r="F17" s="60" t="s">
        <v>35</v>
      </c>
      <c r="G17" s="47">
        <v>1</v>
      </c>
      <c r="H17" s="137">
        <f>IF(B$27=0,0,G17/B$27)</f>
        <v>1.2195121951219513E-2</v>
      </c>
      <c r="I17" s="98">
        <v>3</v>
      </c>
      <c r="K17" s="38">
        <v>15</v>
      </c>
      <c r="L17" s="103">
        <v>-264.59999999999997</v>
      </c>
      <c r="N17" s="119" t="s">
        <v>180</v>
      </c>
      <c r="O17" s="129">
        <f>IF(P17=0,0,Q17/P17)</f>
        <v>-11.574999999999999</v>
      </c>
      <c r="P17" s="123">
        <v>8</v>
      </c>
      <c r="Q17" s="111">
        <v>-92.6</v>
      </c>
    </row>
    <row r="18" spans="1:17" x14ac:dyDescent="0.4">
      <c r="A18" s="55" t="s">
        <v>12</v>
      </c>
      <c r="B18" s="47">
        <v>43</v>
      </c>
      <c r="C18" s="39">
        <f>IF(B$17=0,0,B18/B$17)</f>
        <v>0.51190476190476186</v>
      </c>
      <c r="E18" s="63" t="s">
        <v>94</v>
      </c>
      <c r="F18" s="60" t="s">
        <v>48</v>
      </c>
      <c r="G18" s="47">
        <v>1</v>
      </c>
      <c r="H18" s="137">
        <f>IF(B$27=0,0,G18/B$27)</f>
        <v>1.2195121951219513E-2</v>
      </c>
      <c r="I18" s="98">
        <v>6</v>
      </c>
      <c r="K18" s="38">
        <v>16</v>
      </c>
      <c r="L18" s="103">
        <v>-292.79999999999995</v>
      </c>
      <c r="N18" s="119" t="s">
        <v>179</v>
      </c>
      <c r="O18" s="129">
        <f>IF(P18=0,0,Q18/P18)</f>
        <v>-14.874999999999998</v>
      </c>
      <c r="P18" s="123">
        <v>12</v>
      </c>
      <c r="Q18" s="111">
        <v>-178.49999999999997</v>
      </c>
    </row>
    <row r="19" spans="1:17" x14ac:dyDescent="0.4">
      <c r="A19" s="55" t="s">
        <v>11</v>
      </c>
      <c r="B19" s="47">
        <v>41</v>
      </c>
      <c r="C19" s="39">
        <f>IF(B$17=0,0,B19/B$17)</f>
        <v>0.48809523809523808</v>
      </c>
      <c r="E19" s="63" t="s">
        <v>188</v>
      </c>
      <c r="F19" s="60" t="s">
        <v>191</v>
      </c>
      <c r="G19" s="47">
        <v>1</v>
      </c>
      <c r="H19" s="137">
        <f>IF(B$27=0,0,G19/B$27)</f>
        <v>1.2195121951219513E-2</v>
      </c>
      <c r="I19" s="98">
        <v>5</v>
      </c>
      <c r="K19" s="38">
        <v>17</v>
      </c>
      <c r="L19" s="103">
        <v>-248.89999999999995</v>
      </c>
      <c r="N19" s="119" t="s">
        <v>185</v>
      </c>
      <c r="O19" s="129">
        <f>IF(P19=0,0,Q19/P19)</f>
        <v>-17.950000000000003</v>
      </c>
      <c r="P19" s="123">
        <v>2</v>
      </c>
      <c r="Q19" s="111">
        <v>-35.900000000000006</v>
      </c>
    </row>
    <row r="20" spans="1:17" x14ac:dyDescent="0.4">
      <c r="A20" s="55" t="s">
        <v>13</v>
      </c>
      <c r="B20" s="47">
        <v>52</v>
      </c>
      <c r="C20" s="39">
        <f>IF(B$3=0,0,B20/B$3)</f>
        <v>0.18978102189781021</v>
      </c>
      <c r="E20" s="63" t="s">
        <v>76</v>
      </c>
      <c r="F20" s="60" t="s">
        <v>30</v>
      </c>
      <c r="G20" s="47">
        <v>0</v>
      </c>
      <c r="H20" s="137">
        <f>IF(B$27=0,0,G20/B$27)</f>
        <v>0</v>
      </c>
      <c r="I20" s="98">
        <v>3</v>
      </c>
      <c r="K20" s="38">
        <v>18</v>
      </c>
      <c r="L20" s="103">
        <v>-218.99999999999994</v>
      </c>
      <c r="N20" s="119" t="s">
        <v>131</v>
      </c>
      <c r="O20" s="129">
        <f>IF(P20=0,0,Q20/P20)</f>
        <v>-33.157142857142851</v>
      </c>
      <c r="P20" s="123">
        <v>14</v>
      </c>
      <c r="Q20" s="111">
        <v>-464.19999999999993</v>
      </c>
    </row>
    <row r="21" spans="1:17" x14ac:dyDescent="0.4">
      <c r="A21" s="55" t="s">
        <v>5</v>
      </c>
      <c r="B21" s="51">
        <f>IF(B$17=0,0,C21/B$17)</f>
        <v>6801.1904761904761</v>
      </c>
      <c r="C21" s="41">
        <v>571300</v>
      </c>
      <c r="E21" s="63" t="s">
        <v>77</v>
      </c>
      <c r="F21" s="60" t="s">
        <v>31</v>
      </c>
      <c r="G21" s="47">
        <v>0</v>
      </c>
      <c r="H21" s="137">
        <f>IF(B$27=0,0,G21/B$27)</f>
        <v>0</v>
      </c>
      <c r="I21" s="98">
        <v>6</v>
      </c>
      <c r="K21" s="38">
        <v>19</v>
      </c>
      <c r="L21" s="103">
        <v>-188.59999999999994</v>
      </c>
      <c r="N21" s="119" t="s">
        <v>209</v>
      </c>
      <c r="O21" s="129">
        <f>IF(P21=0,0,Q21/P21)</f>
        <v>-43.1</v>
      </c>
      <c r="P21" s="123">
        <v>1</v>
      </c>
      <c r="Q21" s="111">
        <v>-43.1</v>
      </c>
    </row>
    <row r="22" spans="1:17" x14ac:dyDescent="0.4">
      <c r="A22" s="57" t="s">
        <v>14</v>
      </c>
      <c r="B22" s="52">
        <f>IF(B$20=0,0,C22/B$20)</f>
        <v>-8353.8461538461543</v>
      </c>
      <c r="C22" s="45">
        <v>-434400</v>
      </c>
      <c r="E22" s="63" t="s">
        <v>78</v>
      </c>
      <c r="F22" s="60" t="s">
        <v>32</v>
      </c>
      <c r="G22" s="47">
        <v>0</v>
      </c>
      <c r="H22" s="137">
        <f>IF(B$27=0,0,G22/B$27)</f>
        <v>0</v>
      </c>
      <c r="I22" s="98">
        <v>1</v>
      </c>
      <c r="K22" s="38">
        <v>20</v>
      </c>
      <c r="L22" s="103">
        <v>-182.79999999999993</v>
      </c>
      <c r="N22" s="119" t="s">
        <v>194</v>
      </c>
      <c r="O22" s="129">
        <f>IF(P22=0,0,Q22/P22)</f>
        <v>-45.5</v>
      </c>
      <c r="P22" s="123">
        <v>1</v>
      </c>
      <c r="Q22" s="111">
        <v>-45.5</v>
      </c>
    </row>
    <row r="23" spans="1:17" x14ac:dyDescent="0.4">
      <c r="A23" s="94" t="s">
        <v>146</v>
      </c>
      <c r="B23" s="155">
        <v>6</v>
      </c>
      <c r="C23" s="156"/>
      <c r="E23" s="63" t="s">
        <v>79</v>
      </c>
      <c r="F23" s="60" t="s">
        <v>33</v>
      </c>
      <c r="G23" s="47">
        <v>0</v>
      </c>
      <c r="H23" s="137">
        <f>IF(B$27=0,0,G23/B$27)</f>
        <v>0</v>
      </c>
      <c r="I23" s="98">
        <v>4</v>
      </c>
      <c r="K23" s="38">
        <v>21</v>
      </c>
      <c r="L23" s="103">
        <v>-203.79999999999993</v>
      </c>
    </row>
    <row r="24" spans="1:17" x14ac:dyDescent="0.4">
      <c r="A24" s="58" t="s">
        <v>157</v>
      </c>
      <c r="B24" s="153">
        <v>85900</v>
      </c>
      <c r="C24" s="154"/>
      <c r="E24" s="63" t="s">
        <v>82</v>
      </c>
      <c r="F24" s="60" t="s">
        <v>36</v>
      </c>
      <c r="G24" s="47">
        <v>0</v>
      </c>
      <c r="H24" s="137">
        <f>IF(B$27=0,0,G24/B$27)</f>
        <v>0</v>
      </c>
      <c r="I24" s="98">
        <v>1</v>
      </c>
      <c r="K24" s="38">
        <v>22</v>
      </c>
      <c r="L24" s="103">
        <v>-262.49999999999994</v>
      </c>
    </row>
    <row r="25" spans="1:17" x14ac:dyDescent="0.4">
      <c r="A25" s="57" t="s">
        <v>147</v>
      </c>
      <c r="B25" s="65">
        <v>1</v>
      </c>
      <c r="C25" s="42">
        <f>IF(B$3=0,0,B25/B$3)</f>
        <v>3.6496350364963502E-3</v>
      </c>
      <c r="E25" s="63" t="s">
        <v>83</v>
      </c>
      <c r="F25" s="60" t="s">
        <v>37</v>
      </c>
      <c r="G25" s="47">
        <v>0</v>
      </c>
      <c r="H25" s="137">
        <f>IF(B$27=0,0,G25/B$27)</f>
        <v>0</v>
      </c>
      <c r="I25" s="98">
        <v>1</v>
      </c>
      <c r="K25" s="38">
        <v>23</v>
      </c>
      <c r="L25" s="103">
        <v>-259.09999999999997</v>
      </c>
    </row>
    <row r="26" spans="1:17" x14ac:dyDescent="0.4">
      <c r="A26" s="54" t="s">
        <v>124</v>
      </c>
      <c r="B26" s="145">
        <v>264</v>
      </c>
      <c r="C26" s="146"/>
      <c r="E26" s="63" t="s">
        <v>84</v>
      </c>
      <c r="F26" s="60" t="s">
        <v>38</v>
      </c>
      <c r="G26" s="47">
        <v>0</v>
      </c>
      <c r="H26" s="137">
        <f>IF(B$27=0,0,G26/B$27)</f>
        <v>0</v>
      </c>
      <c r="I26" s="98">
        <v>9</v>
      </c>
      <c r="K26" s="38">
        <v>24</v>
      </c>
      <c r="L26" s="103">
        <v>-287.89999999999998</v>
      </c>
    </row>
    <row r="27" spans="1:17" x14ac:dyDescent="0.4">
      <c r="A27" s="57" t="s">
        <v>125</v>
      </c>
      <c r="B27" s="159">
        <v>82</v>
      </c>
      <c r="C27" s="160"/>
      <c r="E27" s="63" t="s">
        <v>85</v>
      </c>
      <c r="F27" s="60" t="s">
        <v>39</v>
      </c>
      <c r="G27" s="47">
        <v>0</v>
      </c>
      <c r="H27" s="137">
        <f>IF(B$27=0,0,G27/B$27)</f>
        <v>0</v>
      </c>
      <c r="I27" s="98">
        <v>1</v>
      </c>
      <c r="K27" s="38">
        <v>25</v>
      </c>
      <c r="L27" s="103">
        <v>-344.29999999999995</v>
      </c>
    </row>
    <row r="28" spans="1:17" x14ac:dyDescent="0.4">
      <c r="E28" s="63" t="s">
        <v>87</v>
      </c>
      <c r="F28" s="60" t="s">
        <v>41</v>
      </c>
      <c r="G28" s="47">
        <v>0</v>
      </c>
      <c r="H28" s="137">
        <f>IF(B$27=0,0,G28/B$27)</f>
        <v>0</v>
      </c>
      <c r="I28" s="98">
        <v>3</v>
      </c>
      <c r="K28" s="38">
        <v>26</v>
      </c>
      <c r="L28" s="103">
        <v>-285.09999999999997</v>
      </c>
    </row>
    <row r="29" spans="1:17" x14ac:dyDescent="0.4">
      <c r="E29" s="63" t="s">
        <v>88</v>
      </c>
      <c r="F29" s="60" t="s">
        <v>42</v>
      </c>
      <c r="G29" s="47">
        <v>0</v>
      </c>
      <c r="H29" s="137">
        <f>IF(B$27=0,0,G29/B$27)</f>
        <v>0</v>
      </c>
      <c r="I29" s="98">
        <v>3</v>
      </c>
      <c r="K29" s="38">
        <v>27</v>
      </c>
      <c r="L29" s="103">
        <v>-257.39999999999998</v>
      </c>
    </row>
    <row r="30" spans="1:17" x14ac:dyDescent="0.4">
      <c r="E30" s="63" t="s">
        <v>90</v>
      </c>
      <c r="F30" s="60" t="s">
        <v>44</v>
      </c>
      <c r="G30" s="47">
        <v>0</v>
      </c>
      <c r="H30" s="137">
        <f>IF(B$27=0,0,G30/B$27)</f>
        <v>0</v>
      </c>
      <c r="I30" s="98">
        <v>4</v>
      </c>
      <c r="K30" s="38">
        <v>28</v>
      </c>
      <c r="L30" s="103">
        <v>-248.2</v>
      </c>
    </row>
    <row r="31" spans="1:17" x14ac:dyDescent="0.4">
      <c r="E31" s="63" t="s">
        <v>91</v>
      </c>
      <c r="F31" s="60" t="s">
        <v>45</v>
      </c>
      <c r="G31" s="47">
        <v>0</v>
      </c>
      <c r="H31" s="137">
        <f>IF(B$27=0,0,G31/B$27)</f>
        <v>0</v>
      </c>
      <c r="I31" s="98">
        <v>4</v>
      </c>
      <c r="K31" s="38">
        <v>29</v>
      </c>
      <c r="L31" s="103">
        <v>-177.29999999999998</v>
      </c>
    </row>
    <row r="32" spans="1:17" x14ac:dyDescent="0.4">
      <c r="E32" s="63" t="s">
        <v>93</v>
      </c>
      <c r="F32" s="60" t="s">
        <v>47</v>
      </c>
      <c r="G32" s="47">
        <v>0</v>
      </c>
      <c r="H32" s="137">
        <f>IF(B$27=0,0,G32/B$27)</f>
        <v>0</v>
      </c>
      <c r="I32" s="98">
        <v>3</v>
      </c>
      <c r="K32" s="38">
        <v>30</v>
      </c>
      <c r="L32" s="103">
        <v>-202.79999999999998</v>
      </c>
    </row>
    <row r="33" spans="5:12" x14ac:dyDescent="0.4">
      <c r="E33" s="63" t="s">
        <v>95</v>
      </c>
      <c r="F33" s="60" t="s">
        <v>49</v>
      </c>
      <c r="G33" s="47">
        <v>0</v>
      </c>
      <c r="H33" s="137">
        <f>IF(B$27=0,0,G33/B$27)</f>
        <v>0</v>
      </c>
      <c r="I33" s="98">
        <v>5</v>
      </c>
      <c r="K33" s="38">
        <v>31</v>
      </c>
      <c r="L33" s="103">
        <v>-226.29999999999998</v>
      </c>
    </row>
    <row r="34" spans="5:12" x14ac:dyDescent="0.4">
      <c r="E34" s="63" t="s">
        <v>96</v>
      </c>
      <c r="F34" s="60" t="s">
        <v>50</v>
      </c>
      <c r="G34" s="47">
        <v>0</v>
      </c>
      <c r="H34" s="137">
        <f>IF(B$27=0,0,G34/B$27)</f>
        <v>0</v>
      </c>
      <c r="I34" s="98">
        <v>5</v>
      </c>
    </row>
    <row r="35" spans="5:12" x14ac:dyDescent="0.4">
      <c r="E35" s="63" t="s">
        <v>97</v>
      </c>
      <c r="F35" s="60" t="s">
        <v>51</v>
      </c>
      <c r="G35" s="47">
        <v>0</v>
      </c>
      <c r="H35" s="137">
        <f>IF(B$27=0,0,G35/B$27)</f>
        <v>0</v>
      </c>
      <c r="I35" s="98">
        <v>1</v>
      </c>
    </row>
    <row r="36" spans="5:12" x14ac:dyDescent="0.4">
      <c r="E36" s="63" t="s">
        <v>98</v>
      </c>
      <c r="F36" s="60" t="s">
        <v>52</v>
      </c>
      <c r="G36" s="47">
        <v>0</v>
      </c>
      <c r="H36" s="137">
        <f>IF(B$27=0,0,G36/B$27)</f>
        <v>0</v>
      </c>
      <c r="I36" s="98">
        <v>3</v>
      </c>
    </row>
    <row r="37" spans="5:12" x14ac:dyDescent="0.4">
      <c r="E37" s="63" t="s">
        <v>99</v>
      </c>
      <c r="F37" s="60" t="s">
        <v>53</v>
      </c>
      <c r="G37" s="47">
        <v>0</v>
      </c>
      <c r="H37" s="137">
        <f>IF(B$27=0,0,G37/B$27)</f>
        <v>0</v>
      </c>
      <c r="I37" s="98">
        <v>1</v>
      </c>
    </row>
    <row r="38" spans="5:12" x14ac:dyDescent="0.4">
      <c r="E38" s="63" t="s">
        <v>100</v>
      </c>
      <c r="F38" s="60" t="s">
        <v>54</v>
      </c>
      <c r="G38" s="47">
        <v>0</v>
      </c>
      <c r="H38" s="137">
        <f>IF(B$27=0,0,G38/B$27)</f>
        <v>0</v>
      </c>
      <c r="I38" s="98">
        <v>1</v>
      </c>
    </row>
    <row r="39" spans="5:12" x14ac:dyDescent="0.4">
      <c r="E39" s="63" t="s">
        <v>101</v>
      </c>
      <c r="F39" s="60" t="s">
        <v>55</v>
      </c>
      <c r="G39" s="47">
        <v>0</v>
      </c>
      <c r="H39" s="137">
        <f>IF(B$27=0,0,G39/B$27)</f>
        <v>0</v>
      </c>
      <c r="I39" s="98">
        <v>1</v>
      </c>
    </row>
    <row r="40" spans="5:12" x14ac:dyDescent="0.4">
      <c r="E40" s="63" t="s">
        <v>102</v>
      </c>
      <c r="F40" s="60" t="s">
        <v>56</v>
      </c>
      <c r="G40" s="47">
        <v>0</v>
      </c>
      <c r="H40" s="137">
        <f>IF(B$27=0,0,G40/B$27)</f>
        <v>0</v>
      </c>
      <c r="I40" s="98">
        <v>1</v>
      </c>
    </row>
    <row r="41" spans="5:12" x14ac:dyDescent="0.4">
      <c r="E41" s="63" t="s">
        <v>103</v>
      </c>
      <c r="F41" s="60" t="s">
        <v>57</v>
      </c>
      <c r="G41" s="47">
        <v>0</v>
      </c>
      <c r="H41" s="137">
        <f>IF(B$27=0,0,G41/B$27)</f>
        <v>0</v>
      </c>
      <c r="I41" s="98">
        <v>1</v>
      </c>
    </row>
    <row r="42" spans="5:12" x14ac:dyDescent="0.4">
      <c r="E42" s="63" t="s">
        <v>104</v>
      </c>
      <c r="F42" s="60" t="s">
        <v>58</v>
      </c>
      <c r="G42" s="47">
        <v>0</v>
      </c>
      <c r="H42" s="137">
        <f>IF(B$27=0,0,G42/B$27)</f>
        <v>0</v>
      </c>
      <c r="I42" s="98">
        <v>1</v>
      </c>
    </row>
    <row r="43" spans="5:12" x14ac:dyDescent="0.4">
      <c r="E43" s="63" t="s">
        <v>105</v>
      </c>
      <c r="F43" s="60" t="s">
        <v>59</v>
      </c>
      <c r="G43" s="47">
        <v>0</v>
      </c>
      <c r="H43" s="137">
        <f>IF(B$27=0,0,G43/B$27)</f>
        <v>0</v>
      </c>
      <c r="I43" s="98">
        <v>1</v>
      </c>
    </row>
    <row r="44" spans="5:12" x14ac:dyDescent="0.4">
      <c r="E44" s="63" t="s">
        <v>106</v>
      </c>
      <c r="F44" s="60" t="s">
        <v>60</v>
      </c>
      <c r="G44" s="47">
        <v>0</v>
      </c>
      <c r="H44" s="137">
        <f>IF(B$27=0,0,G44/B$27)</f>
        <v>0</v>
      </c>
      <c r="I44" s="98">
        <v>1</v>
      </c>
    </row>
    <row r="45" spans="5:12" x14ac:dyDescent="0.4">
      <c r="E45" s="63" t="s">
        <v>107</v>
      </c>
      <c r="F45" s="60" t="s">
        <v>61</v>
      </c>
      <c r="G45" s="47">
        <v>0</v>
      </c>
      <c r="H45" s="137">
        <f>IF(B$27=0,0,G45/B$27)</f>
        <v>0</v>
      </c>
      <c r="I45" s="98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7">
        <f>IF(B$27=0,0,G46/B$27)</f>
        <v>0</v>
      </c>
      <c r="I46" s="98">
        <v>1</v>
      </c>
    </row>
    <row r="47" spans="5:12" x14ac:dyDescent="0.4">
      <c r="E47" s="63" t="s">
        <v>109</v>
      </c>
      <c r="F47" s="60" t="s">
        <v>116</v>
      </c>
      <c r="G47" s="47">
        <v>0</v>
      </c>
      <c r="H47" s="137">
        <f>IF(B$27=0,0,G47/B$27)</f>
        <v>0</v>
      </c>
      <c r="I47" s="98">
        <v>1</v>
      </c>
    </row>
    <row r="48" spans="5:12" x14ac:dyDescent="0.4">
      <c r="E48" s="63" t="s">
        <v>110</v>
      </c>
      <c r="F48" s="60" t="s">
        <v>117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111</v>
      </c>
      <c r="F49" s="60" t="s">
        <v>62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112</v>
      </c>
      <c r="F50" s="60" t="s">
        <v>63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113</v>
      </c>
      <c r="F51" s="60" t="s">
        <v>64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114</v>
      </c>
      <c r="F52" s="61" t="s">
        <v>65</v>
      </c>
      <c r="G52" s="49">
        <v>0</v>
      </c>
      <c r="H52" s="138">
        <f>IF(B$27=0,0,G52/B$27)</f>
        <v>0</v>
      </c>
      <c r="I52" s="99">
        <v>1</v>
      </c>
    </row>
  </sheetData>
  <sortState ref="N15:Q22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A5A89-5730-4986-AD47-E6B82D845738}">
  <sheetPr codeName="Sheet19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3" t="s">
        <v>185</v>
      </c>
      <c r="C1" s="144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5">
        <v>19</v>
      </c>
      <c r="C2" s="146"/>
      <c r="E2" s="62" t="s">
        <v>74</v>
      </c>
      <c r="F2" s="59" t="s">
        <v>28</v>
      </c>
      <c r="G2" s="46">
        <v>24</v>
      </c>
      <c r="H2" s="136">
        <f>IF(B$27=0,0,G2/B$27)</f>
        <v>0.68571428571428572</v>
      </c>
      <c r="I2" s="97">
        <v>2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-5500</v>
      </c>
      <c r="P2" s="122">
        <v>19</v>
      </c>
      <c r="Q2" s="106">
        <v>-104500</v>
      </c>
    </row>
    <row r="3" spans="1:17" x14ac:dyDescent="0.4">
      <c r="A3" s="55" t="s">
        <v>8</v>
      </c>
      <c r="B3" s="147">
        <v>149</v>
      </c>
      <c r="C3" s="148"/>
      <c r="E3" s="63" t="s">
        <v>68</v>
      </c>
      <c r="F3" s="60" t="s">
        <v>23</v>
      </c>
      <c r="G3" s="47">
        <v>23</v>
      </c>
      <c r="H3" s="137">
        <f>IF(B$27=0,0,G3/B$27)</f>
        <v>0.65714285714285714</v>
      </c>
      <c r="I3" s="98">
        <v>10</v>
      </c>
      <c r="K3" s="38">
        <v>1</v>
      </c>
      <c r="L3" s="103">
        <v>-1.9</v>
      </c>
      <c r="N3" s="119" t="s">
        <v>137</v>
      </c>
      <c r="O3" s="126">
        <f t="shared" si="0"/>
        <v>-1455.5555555555557</v>
      </c>
      <c r="P3" s="123">
        <v>18</v>
      </c>
      <c r="Q3" s="107">
        <v>-26200</v>
      </c>
    </row>
    <row r="4" spans="1:17" x14ac:dyDescent="0.4">
      <c r="A4" s="55" t="s">
        <v>6</v>
      </c>
      <c r="B4" s="149">
        <v>-215.50000000000003</v>
      </c>
      <c r="C4" s="150"/>
      <c r="E4" s="63" t="s">
        <v>66</v>
      </c>
      <c r="F4" s="60" t="s">
        <v>21</v>
      </c>
      <c r="G4" s="47">
        <v>15</v>
      </c>
      <c r="H4" s="137">
        <f>IF(B$27=0,0,G4/B$27)</f>
        <v>0.42857142857142855</v>
      </c>
      <c r="I4" s="98">
        <v>9</v>
      </c>
      <c r="K4" s="38">
        <v>2</v>
      </c>
      <c r="L4" s="103">
        <v>30</v>
      </c>
      <c r="N4" s="119" t="s">
        <v>138</v>
      </c>
      <c r="O4" s="126">
        <f t="shared" si="0"/>
        <v>-731.25</v>
      </c>
      <c r="P4" s="123">
        <v>16</v>
      </c>
      <c r="Q4" s="107">
        <v>-11700</v>
      </c>
    </row>
    <row r="5" spans="1:17" x14ac:dyDescent="0.4">
      <c r="A5" s="55" t="s">
        <v>7</v>
      </c>
      <c r="B5" s="151">
        <f>IF(B$2=0,0,B$4/B$2)</f>
        <v>-11.342105263157896</v>
      </c>
      <c r="C5" s="152"/>
      <c r="E5" s="63" t="s">
        <v>189</v>
      </c>
      <c r="F5" s="60" t="s">
        <v>190</v>
      </c>
      <c r="G5" s="47">
        <v>11</v>
      </c>
      <c r="H5" s="137">
        <f>IF(B$27=0,0,G5/B$27)</f>
        <v>0.31428571428571428</v>
      </c>
      <c r="I5" s="98">
        <v>10</v>
      </c>
      <c r="K5" s="38">
        <v>3</v>
      </c>
      <c r="L5" s="103">
        <v>52.3</v>
      </c>
      <c r="N5" s="119" t="s">
        <v>139</v>
      </c>
      <c r="O5" s="126">
        <f t="shared" si="0"/>
        <v>-852.94117647058829</v>
      </c>
      <c r="P5" s="123">
        <v>17</v>
      </c>
      <c r="Q5" s="107">
        <v>-14500</v>
      </c>
    </row>
    <row r="6" spans="1:17" x14ac:dyDescent="0.4">
      <c r="A6" s="55" t="s">
        <v>1</v>
      </c>
      <c r="B6" s="157">
        <f>IF(B$2=0,0,(B$7*1+B$8*2+B$9*3)/B$2)</f>
        <v>2.1052631578947367</v>
      </c>
      <c r="C6" s="158"/>
      <c r="E6" s="63" t="s">
        <v>69</v>
      </c>
      <c r="F6" s="60" t="s">
        <v>24</v>
      </c>
      <c r="G6" s="47">
        <v>9</v>
      </c>
      <c r="H6" s="137">
        <f>IF(B$27=0,0,G6/B$27)</f>
        <v>0.25714285714285712</v>
      </c>
      <c r="I6" s="98">
        <v>7</v>
      </c>
      <c r="K6" s="38">
        <v>4</v>
      </c>
      <c r="L6" s="103">
        <v>12.299999999999997</v>
      </c>
      <c r="N6" s="119" t="s">
        <v>140</v>
      </c>
      <c r="O6" s="126">
        <f t="shared" si="0"/>
        <v>1213.3333333333333</v>
      </c>
      <c r="P6" s="123">
        <v>15</v>
      </c>
      <c r="Q6" s="107">
        <v>18200</v>
      </c>
    </row>
    <row r="7" spans="1:17" x14ac:dyDescent="0.4">
      <c r="A7" s="55" t="s">
        <v>2</v>
      </c>
      <c r="B7" s="47">
        <v>6</v>
      </c>
      <c r="C7" s="39">
        <f>IF(B$2=0,0,B7/B$2)</f>
        <v>0.31578947368421051</v>
      </c>
      <c r="E7" s="63" t="s">
        <v>70</v>
      </c>
      <c r="F7" s="60" t="s">
        <v>12</v>
      </c>
      <c r="G7" s="47">
        <v>6</v>
      </c>
      <c r="H7" s="137">
        <f>IF(B$27=0,0,G7/B$27)</f>
        <v>0.17142857142857143</v>
      </c>
      <c r="I7" s="98">
        <v>10</v>
      </c>
      <c r="K7" s="38">
        <v>5</v>
      </c>
      <c r="L7" s="103">
        <v>62.3</v>
      </c>
      <c r="N7" s="120" t="s">
        <v>141</v>
      </c>
      <c r="O7" s="127">
        <f t="shared" si="0"/>
        <v>1457.1428571428571</v>
      </c>
      <c r="P7" s="124">
        <v>14</v>
      </c>
      <c r="Q7" s="108">
        <v>20400</v>
      </c>
    </row>
    <row r="8" spans="1:17" x14ac:dyDescent="0.4">
      <c r="A8" s="55" t="s">
        <v>3</v>
      </c>
      <c r="B8" s="47">
        <v>5</v>
      </c>
      <c r="C8" s="39">
        <f>IF(B$2=0,0,B8/B$2)</f>
        <v>0.26315789473684209</v>
      </c>
      <c r="E8" s="63" t="s">
        <v>71</v>
      </c>
      <c r="F8" s="60" t="s">
        <v>25</v>
      </c>
      <c r="G8" s="47">
        <v>5</v>
      </c>
      <c r="H8" s="137">
        <f>IF(B$27=0,0,G8/B$27)</f>
        <v>0.14285714285714285</v>
      </c>
      <c r="I8" s="98">
        <v>9</v>
      </c>
      <c r="K8" s="38">
        <v>6</v>
      </c>
      <c r="L8" s="103">
        <v>57.699999999999996</v>
      </c>
      <c r="N8" s="43"/>
      <c r="O8" s="131"/>
      <c r="P8" s="115"/>
      <c r="Q8" s="113"/>
    </row>
    <row r="9" spans="1:17" x14ac:dyDescent="0.4">
      <c r="A9" s="56" t="s">
        <v>4</v>
      </c>
      <c r="B9" s="48">
        <v>8</v>
      </c>
      <c r="C9" s="40">
        <f t="shared" ref="C9" si="1">IF(B$2=0,0,B9/B$2)</f>
        <v>0.42105263157894735</v>
      </c>
      <c r="E9" s="63" t="s">
        <v>67</v>
      </c>
      <c r="F9" s="60" t="s">
        <v>22</v>
      </c>
      <c r="G9" s="47">
        <v>4</v>
      </c>
      <c r="H9" s="137">
        <f>IF(B$27=0,0,G9/B$27)</f>
        <v>0.11428571428571428</v>
      </c>
      <c r="I9" s="98">
        <v>5</v>
      </c>
      <c r="K9" s="38">
        <v>7</v>
      </c>
      <c r="L9" s="103">
        <v>26.199999999999996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4</v>
      </c>
      <c r="C10" s="40">
        <f>IF(B$2=0,0,B10/B$2)</f>
        <v>0.21052631578947367</v>
      </c>
      <c r="E10" s="63" t="s">
        <v>92</v>
      </c>
      <c r="F10" s="60" t="s">
        <v>46</v>
      </c>
      <c r="G10" s="47">
        <v>4</v>
      </c>
      <c r="H10" s="137">
        <f>IF(B$27=0,0,G10/B$27)</f>
        <v>0.11428571428571428</v>
      </c>
      <c r="I10" s="98">
        <v>8</v>
      </c>
      <c r="K10" s="38">
        <v>8</v>
      </c>
      <c r="L10" s="103">
        <v>-7.8000000000000043</v>
      </c>
      <c r="N10" s="118" t="s">
        <v>172</v>
      </c>
      <c r="O10" s="128">
        <f>IF(P10=0,0,Q10/P10)</f>
        <v>-8.2666666666666675</v>
      </c>
      <c r="P10" s="122">
        <v>3</v>
      </c>
      <c r="Q10" s="110">
        <v>-24.800000000000004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86</v>
      </c>
      <c r="F11" s="60" t="s">
        <v>40</v>
      </c>
      <c r="G11" s="47">
        <v>2</v>
      </c>
      <c r="H11" s="137">
        <f>IF(B$27=0,0,G11/B$27)</f>
        <v>5.7142857142857141E-2</v>
      </c>
      <c r="I11" s="98">
        <v>3</v>
      </c>
      <c r="K11" s="38">
        <v>9</v>
      </c>
      <c r="L11" s="103">
        <v>-64.800000000000011</v>
      </c>
      <c r="N11" s="119" t="s">
        <v>173</v>
      </c>
      <c r="O11" s="129">
        <f>IF(P11=0,0,Q11/P11)</f>
        <v>-17.7</v>
      </c>
      <c r="P11" s="123">
        <v>7</v>
      </c>
      <c r="Q11" s="111">
        <v>-123.9</v>
      </c>
    </row>
    <row r="12" spans="1:17" x14ac:dyDescent="0.4">
      <c r="A12" s="57" t="s">
        <v>165</v>
      </c>
      <c r="B12" s="49">
        <v>2</v>
      </c>
      <c r="C12" s="42">
        <f>IF(B$2=0,0,B12/B$2)</f>
        <v>0.10526315789473684</v>
      </c>
      <c r="E12" s="63" t="s">
        <v>94</v>
      </c>
      <c r="F12" s="60" t="s">
        <v>48</v>
      </c>
      <c r="G12" s="47">
        <v>2</v>
      </c>
      <c r="H12" s="137">
        <f>IF(B$27=0,0,G12/B$27)</f>
        <v>5.7142857142857141E-2</v>
      </c>
      <c r="I12" s="98">
        <v>1</v>
      </c>
      <c r="K12" s="38">
        <v>10</v>
      </c>
      <c r="L12" s="103">
        <v>-106.30000000000001</v>
      </c>
      <c r="N12" s="120" t="s">
        <v>174</v>
      </c>
      <c r="O12" s="130">
        <f>IF(P12=0,0,Q12/P12)</f>
        <v>-7.4222222222222207</v>
      </c>
      <c r="P12" s="124">
        <v>9</v>
      </c>
      <c r="Q12" s="112">
        <v>-66.799999999999983</v>
      </c>
    </row>
    <row r="13" spans="1:17" x14ac:dyDescent="0.4">
      <c r="A13" s="58" t="s">
        <v>126</v>
      </c>
      <c r="B13" s="50">
        <v>27</v>
      </c>
      <c r="C13" s="44">
        <f>IF(B$26=0,0,B13/B$26)</f>
        <v>0.18120805369127516</v>
      </c>
      <c r="E13" s="63" t="s">
        <v>72</v>
      </c>
      <c r="F13" s="60" t="s">
        <v>26</v>
      </c>
      <c r="G13" s="47">
        <v>1</v>
      </c>
      <c r="H13" s="137">
        <f>IF(B$27=0,0,G13/B$27)</f>
        <v>2.8571428571428571E-2</v>
      </c>
      <c r="I13" s="98">
        <v>9</v>
      </c>
      <c r="K13" s="38">
        <v>11</v>
      </c>
      <c r="L13" s="103">
        <v>-161.4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38</v>
      </c>
      <c r="C14" s="39">
        <f>IF(B$26=0,0,B14/B$26)</f>
        <v>0.25503355704697989</v>
      </c>
      <c r="E14" s="63" t="s">
        <v>73</v>
      </c>
      <c r="F14" s="60" t="s">
        <v>27</v>
      </c>
      <c r="G14" s="47">
        <v>1</v>
      </c>
      <c r="H14" s="137">
        <f>IF(B$27=0,0,G14/B$27)</f>
        <v>2.8571428571428571E-2</v>
      </c>
      <c r="I14" s="98">
        <v>9</v>
      </c>
      <c r="K14" s="38">
        <v>12</v>
      </c>
      <c r="L14" s="103">
        <v>-130.6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14</v>
      </c>
      <c r="C15" s="37">
        <f>IF(B$13=0,0,B15/B$13)</f>
        <v>0.51851851851851849</v>
      </c>
      <c r="E15" s="63" t="s">
        <v>77</v>
      </c>
      <c r="F15" s="60" t="s">
        <v>31</v>
      </c>
      <c r="G15" s="47">
        <v>1</v>
      </c>
      <c r="H15" s="137">
        <f>IF(B$27=0,0,G15/B$27)</f>
        <v>2.8571428571428571E-2</v>
      </c>
      <c r="I15" s="98">
        <v>1</v>
      </c>
      <c r="K15" s="38">
        <v>13</v>
      </c>
      <c r="L15" s="103">
        <v>-185.8</v>
      </c>
      <c r="N15" s="118" t="s">
        <v>195</v>
      </c>
      <c r="O15" s="128">
        <f>IF(P15=0,0,Q15/P15)</f>
        <v>60.800000000000004</v>
      </c>
      <c r="P15" s="122">
        <v>2</v>
      </c>
      <c r="Q15" s="110">
        <v>121.60000000000001</v>
      </c>
    </row>
    <row r="16" spans="1:17" x14ac:dyDescent="0.4">
      <c r="A16" s="54" t="s">
        <v>129</v>
      </c>
      <c r="B16" s="46">
        <v>14</v>
      </c>
      <c r="C16" s="37">
        <f>IF(B$14=0,0,B16/B$14)</f>
        <v>0.36842105263157893</v>
      </c>
      <c r="E16" s="63" t="s">
        <v>84</v>
      </c>
      <c r="F16" s="60" t="s">
        <v>38</v>
      </c>
      <c r="G16" s="47">
        <v>1</v>
      </c>
      <c r="H16" s="137">
        <f>IF(B$27=0,0,G16/B$27)</f>
        <v>2.8571428571428571E-2</v>
      </c>
      <c r="I16" s="98">
        <v>6</v>
      </c>
      <c r="K16" s="38">
        <v>14</v>
      </c>
      <c r="L16" s="103">
        <v>-187.3</v>
      </c>
      <c r="N16" s="119" t="s">
        <v>181</v>
      </c>
      <c r="O16" s="129">
        <f>IF(P16=0,0,Q16/P16)</f>
        <v>17.95</v>
      </c>
      <c r="P16" s="123">
        <v>2</v>
      </c>
      <c r="Q16" s="111">
        <v>35.9</v>
      </c>
    </row>
    <row r="17" spans="1:17" x14ac:dyDescent="0.4">
      <c r="A17" s="54" t="s">
        <v>10</v>
      </c>
      <c r="B17" s="46">
        <f>B19+B18</f>
        <v>35</v>
      </c>
      <c r="C17" s="37">
        <f>IF(B$3=0,0,B17/B$3)</f>
        <v>0.2348993288590604</v>
      </c>
      <c r="E17" s="63" t="s">
        <v>88</v>
      </c>
      <c r="F17" s="60" t="s">
        <v>42</v>
      </c>
      <c r="G17" s="47">
        <v>1</v>
      </c>
      <c r="H17" s="137">
        <f>IF(B$27=0,0,G17/B$27)</f>
        <v>2.8571428571428571E-2</v>
      </c>
      <c r="I17" s="98">
        <v>1</v>
      </c>
      <c r="K17" s="38">
        <v>15</v>
      </c>
      <c r="L17" s="103">
        <v>-156.20000000000002</v>
      </c>
      <c r="N17" s="119" t="s">
        <v>179</v>
      </c>
      <c r="O17" s="129">
        <f>IF(P17=0,0,Q17/P17)</f>
        <v>12.149999999999999</v>
      </c>
      <c r="P17" s="123">
        <v>2</v>
      </c>
      <c r="Q17" s="111">
        <v>24.299999999999997</v>
      </c>
    </row>
    <row r="18" spans="1:17" x14ac:dyDescent="0.4">
      <c r="A18" s="55" t="s">
        <v>12</v>
      </c>
      <c r="B18" s="47">
        <v>14</v>
      </c>
      <c r="C18" s="39">
        <f>IF(B$17=0,0,B18/B$17)</f>
        <v>0.4</v>
      </c>
      <c r="E18" s="63" t="s">
        <v>75</v>
      </c>
      <c r="F18" s="60" t="s">
        <v>29</v>
      </c>
      <c r="G18" s="47">
        <v>0</v>
      </c>
      <c r="H18" s="137">
        <f>IF(B$27=0,0,G18/B$27)</f>
        <v>0</v>
      </c>
      <c r="I18" s="98">
        <v>5</v>
      </c>
      <c r="K18" s="38">
        <v>16</v>
      </c>
      <c r="L18" s="103">
        <v>-123.90000000000002</v>
      </c>
      <c r="N18" s="119" t="s">
        <v>132</v>
      </c>
      <c r="O18" s="129">
        <f>IF(P18=0,0,Q18/P18)</f>
        <v>-8.7571428571428562</v>
      </c>
      <c r="P18" s="123">
        <v>14</v>
      </c>
      <c r="Q18" s="111">
        <v>-122.59999999999998</v>
      </c>
    </row>
    <row r="19" spans="1:17" x14ac:dyDescent="0.4">
      <c r="A19" s="55" t="s">
        <v>11</v>
      </c>
      <c r="B19" s="47">
        <v>21</v>
      </c>
      <c r="C19" s="39">
        <f>IF(B$17=0,0,B19/B$17)</f>
        <v>0.6</v>
      </c>
      <c r="E19" s="63" t="s">
        <v>76</v>
      </c>
      <c r="F19" s="60" t="s">
        <v>30</v>
      </c>
      <c r="G19" s="47">
        <v>0</v>
      </c>
      <c r="H19" s="137">
        <f>IF(B$27=0,0,G19/B$27)</f>
        <v>0</v>
      </c>
      <c r="I19" s="98">
        <v>3</v>
      </c>
      <c r="K19" s="38">
        <v>17</v>
      </c>
      <c r="L19" s="103">
        <v>-131.00000000000003</v>
      </c>
      <c r="N19" s="119" t="s">
        <v>180</v>
      </c>
      <c r="O19" s="129">
        <f>IF(P19=0,0,Q19/P19)</f>
        <v>-13.333333333333337</v>
      </c>
      <c r="P19" s="123">
        <v>3</v>
      </c>
      <c r="Q19" s="111">
        <v>-40.000000000000014</v>
      </c>
    </row>
    <row r="20" spans="1:17" x14ac:dyDescent="0.4">
      <c r="A20" s="55" t="s">
        <v>13</v>
      </c>
      <c r="B20" s="47">
        <v>29</v>
      </c>
      <c r="C20" s="39">
        <f>IF(B$3=0,0,B20/B$3)</f>
        <v>0.19463087248322147</v>
      </c>
      <c r="E20" s="63" t="s">
        <v>78</v>
      </c>
      <c r="F20" s="60" t="s">
        <v>32</v>
      </c>
      <c r="G20" s="47">
        <v>0</v>
      </c>
      <c r="H20" s="137">
        <f>IF(B$27=0,0,G20/B$27)</f>
        <v>0</v>
      </c>
      <c r="I20" s="98">
        <v>1</v>
      </c>
      <c r="K20" s="38">
        <v>18</v>
      </c>
      <c r="L20" s="103">
        <v>-138.90000000000003</v>
      </c>
      <c r="N20" s="119" t="s">
        <v>131</v>
      </c>
      <c r="O20" s="129">
        <f>IF(P20=0,0,Q20/P20)</f>
        <v>-40.066666666666677</v>
      </c>
      <c r="P20" s="123">
        <v>9</v>
      </c>
      <c r="Q20" s="111">
        <v>-360.60000000000008</v>
      </c>
    </row>
    <row r="21" spans="1:17" x14ac:dyDescent="0.4">
      <c r="A21" s="55" t="s">
        <v>5</v>
      </c>
      <c r="B21" s="51">
        <f>IF(B$17=0,0,C21/B$17)</f>
        <v>7431.4285714285716</v>
      </c>
      <c r="C21" s="41">
        <v>260100</v>
      </c>
      <c r="E21" s="63" t="s">
        <v>79</v>
      </c>
      <c r="F21" s="60" t="s">
        <v>33</v>
      </c>
      <c r="G21" s="47">
        <v>0</v>
      </c>
      <c r="H21" s="137">
        <f>IF(B$27=0,0,G21/B$27)</f>
        <v>0</v>
      </c>
      <c r="I21" s="98">
        <v>4</v>
      </c>
      <c r="K21" s="38">
        <v>19</v>
      </c>
      <c r="L21" s="103">
        <v>-215.50000000000003</v>
      </c>
      <c r="N21" s="119" t="s">
        <v>194</v>
      </c>
      <c r="O21" s="129">
        <f>IF(P21=0,0,Q21/P21)</f>
        <v>-45.699999999999996</v>
      </c>
      <c r="P21" s="123">
        <v>3</v>
      </c>
      <c r="Q21" s="111">
        <v>-137.1</v>
      </c>
    </row>
    <row r="22" spans="1:17" x14ac:dyDescent="0.4">
      <c r="A22" s="57" t="s">
        <v>14</v>
      </c>
      <c r="B22" s="52">
        <f>IF(B$20=0,0,C22/B$20)</f>
        <v>-7093.1034482758623</v>
      </c>
      <c r="C22" s="45">
        <v>-205700</v>
      </c>
      <c r="E22" s="63" t="s">
        <v>80</v>
      </c>
      <c r="F22" s="60" t="s">
        <v>34</v>
      </c>
      <c r="G22" s="47">
        <v>0</v>
      </c>
      <c r="H22" s="137">
        <f>IF(B$27=0,0,G22/B$27)</f>
        <v>0</v>
      </c>
      <c r="I22" s="98">
        <v>9</v>
      </c>
      <c r="N22" s="119" t="s">
        <v>133</v>
      </c>
      <c r="O22" s="129">
        <f>IF(P22=0,0,Q22/P22)</f>
        <v>-56</v>
      </c>
      <c r="P22" s="123">
        <v>3</v>
      </c>
      <c r="Q22" s="111">
        <v>-168</v>
      </c>
    </row>
    <row r="23" spans="1:17" x14ac:dyDescent="0.4">
      <c r="A23" s="94" t="s">
        <v>146</v>
      </c>
      <c r="B23" s="155">
        <v>7</v>
      </c>
      <c r="C23" s="156"/>
      <c r="E23" s="63" t="s">
        <v>81</v>
      </c>
      <c r="F23" s="60" t="s">
        <v>35</v>
      </c>
      <c r="G23" s="47">
        <v>0</v>
      </c>
      <c r="H23" s="137">
        <f>IF(B$27=0,0,G23/B$27)</f>
        <v>0</v>
      </c>
      <c r="I23" s="98">
        <v>6</v>
      </c>
    </row>
    <row r="24" spans="1:17" x14ac:dyDescent="0.4">
      <c r="A24" s="58" t="s">
        <v>157</v>
      </c>
      <c r="B24" s="153">
        <v>65000</v>
      </c>
      <c r="C24" s="154"/>
      <c r="E24" s="63" t="s">
        <v>82</v>
      </c>
      <c r="F24" s="60" t="s">
        <v>36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1</v>
      </c>
      <c r="C25" s="42">
        <f>IF(B$3=0,0,B25/B$3)</f>
        <v>6.7114093959731542E-3</v>
      </c>
      <c r="E25" s="63" t="s">
        <v>83</v>
      </c>
      <c r="F25" s="60" t="s">
        <v>37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5">
        <v>149</v>
      </c>
      <c r="C26" s="146"/>
      <c r="E26" s="63" t="s">
        <v>85</v>
      </c>
      <c r="F26" s="60" t="s">
        <v>39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59">
        <v>35</v>
      </c>
      <c r="C27" s="160"/>
      <c r="E27" s="63" t="s">
        <v>87</v>
      </c>
      <c r="F27" s="60" t="s">
        <v>41</v>
      </c>
      <c r="G27" s="47">
        <v>0</v>
      </c>
      <c r="H27" s="137">
        <f>IF(B$27=0,0,G27/B$27)</f>
        <v>0</v>
      </c>
      <c r="I27" s="98">
        <v>3</v>
      </c>
    </row>
    <row r="28" spans="1:17" x14ac:dyDescent="0.4">
      <c r="E28" s="63" t="s">
        <v>89</v>
      </c>
      <c r="F28" s="60" t="s">
        <v>43</v>
      </c>
      <c r="G28" s="47">
        <v>0</v>
      </c>
      <c r="H28" s="137">
        <f>IF(B$27=0,0,G28/B$27)</f>
        <v>0</v>
      </c>
      <c r="I28" s="98">
        <v>10</v>
      </c>
    </row>
    <row r="29" spans="1:17" x14ac:dyDescent="0.4">
      <c r="E29" s="63" t="s">
        <v>90</v>
      </c>
      <c r="F29" s="60" t="s">
        <v>44</v>
      </c>
      <c r="G29" s="47">
        <v>0</v>
      </c>
      <c r="H29" s="137">
        <f>IF(B$27=0,0,G29/B$27)</f>
        <v>0</v>
      </c>
      <c r="I29" s="98">
        <v>4</v>
      </c>
    </row>
    <row r="30" spans="1:17" x14ac:dyDescent="0.4">
      <c r="E30" s="63" t="s">
        <v>91</v>
      </c>
      <c r="F30" s="60" t="s">
        <v>45</v>
      </c>
      <c r="G30" s="47">
        <v>0</v>
      </c>
      <c r="H30" s="137">
        <f>IF(B$27=0,0,G30/B$27)</f>
        <v>0</v>
      </c>
      <c r="I30" s="98">
        <v>4</v>
      </c>
    </row>
    <row r="31" spans="1:17" x14ac:dyDescent="0.4">
      <c r="E31" s="63" t="s">
        <v>93</v>
      </c>
      <c r="F31" s="60" t="s">
        <v>47</v>
      </c>
      <c r="G31" s="47">
        <v>0</v>
      </c>
      <c r="H31" s="137">
        <f>IF(B$27=0,0,G31/B$27)</f>
        <v>0</v>
      </c>
      <c r="I31" s="98">
        <v>3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5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5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6</v>
      </c>
    </row>
  </sheetData>
  <sortState ref="N15:Q22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C39D7-A7DD-4C64-85D1-2E3E19637412}">
  <sheetPr codeName="Sheet21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3" t="s">
        <v>194</v>
      </c>
      <c r="C1" s="144"/>
      <c r="E1" s="133" t="s">
        <v>175</v>
      </c>
      <c r="F1" s="142" t="s">
        <v>118</v>
      </c>
      <c r="G1" s="141" t="s">
        <v>119</v>
      </c>
      <c r="H1" s="134" t="s">
        <v>120</v>
      </c>
      <c r="I1" s="142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5">
        <v>3</v>
      </c>
      <c r="C2" s="146"/>
      <c r="E2" s="62" t="s">
        <v>66</v>
      </c>
      <c r="F2" s="59" t="s">
        <v>21</v>
      </c>
      <c r="G2" s="46">
        <v>3</v>
      </c>
      <c r="H2" s="136">
        <f>IF(B$27=0,0,G2/B$27)</f>
        <v>0.6</v>
      </c>
      <c r="I2" s="97">
        <v>4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3000</v>
      </c>
      <c r="P2" s="122">
        <v>3</v>
      </c>
      <c r="Q2" s="106">
        <v>9000</v>
      </c>
    </row>
    <row r="3" spans="1:17" x14ac:dyDescent="0.4">
      <c r="A3" s="55" t="s">
        <v>8</v>
      </c>
      <c r="B3" s="147">
        <v>19</v>
      </c>
      <c r="C3" s="148"/>
      <c r="E3" s="63" t="s">
        <v>68</v>
      </c>
      <c r="F3" s="60" t="s">
        <v>23</v>
      </c>
      <c r="G3" s="47">
        <v>3</v>
      </c>
      <c r="H3" s="137">
        <f>IF(B$27=0,0,G3/B$27)</f>
        <v>0.6</v>
      </c>
      <c r="I3" s="98">
        <v>11</v>
      </c>
      <c r="K3" s="38">
        <v>1</v>
      </c>
      <c r="L3" s="103">
        <v>-14.6</v>
      </c>
      <c r="N3" s="119" t="s">
        <v>137</v>
      </c>
      <c r="O3" s="126">
        <f t="shared" si="0"/>
        <v>2233.3333333333335</v>
      </c>
      <c r="P3" s="123">
        <v>3</v>
      </c>
      <c r="Q3" s="107">
        <v>6700</v>
      </c>
    </row>
    <row r="4" spans="1:17" x14ac:dyDescent="0.4">
      <c r="A4" s="55" t="s">
        <v>6</v>
      </c>
      <c r="B4" s="149">
        <v>61</v>
      </c>
      <c r="C4" s="150"/>
      <c r="E4" s="63" t="s">
        <v>74</v>
      </c>
      <c r="F4" s="60" t="s">
        <v>28</v>
      </c>
      <c r="G4" s="47">
        <v>3</v>
      </c>
      <c r="H4" s="137">
        <f>IF(B$27=0,0,G4/B$27)</f>
        <v>0.6</v>
      </c>
      <c r="I4" s="98">
        <v>5</v>
      </c>
      <c r="K4" s="38">
        <v>2</v>
      </c>
      <c r="L4" s="103">
        <v>22.5</v>
      </c>
      <c r="N4" s="119" t="s">
        <v>138</v>
      </c>
      <c r="O4" s="126">
        <f t="shared" si="0"/>
        <v>-1000</v>
      </c>
      <c r="P4" s="123">
        <v>3</v>
      </c>
      <c r="Q4" s="107">
        <v>-3000</v>
      </c>
    </row>
    <row r="5" spans="1:17" x14ac:dyDescent="0.4">
      <c r="A5" s="55" t="s">
        <v>7</v>
      </c>
      <c r="B5" s="151">
        <f>IF(B$2=0,0,B$4/B$2)</f>
        <v>20.333333333333332</v>
      </c>
      <c r="C5" s="152"/>
      <c r="E5" s="63" t="s">
        <v>69</v>
      </c>
      <c r="F5" s="60" t="s">
        <v>24</v>
      </c>
      <c r="G5" s="47">
        <v>2</v>
      </c>
      <c r="H5" s="137">
        <f>IF(B$27=0,0,G5/B$27)</f>
        <v>0.4</v>
      </c>
      <c r="I5" s="98">
        <v>2</v>
      </c>
      <c r="K5" s="38">
        <v>3</v>
      </c>
      <c r="L5" s="103">
        <v>61</v>
      </c>
      <c r="N5" s="119" t="s">
        <v>139</v>
      </c>
      <c r="O5" s="126">
        <f t="shared" si="0"/>
        <v>6233.333333333333</v>
      </c>
      <c r="P5" s="123">
        <v>3</v>
      </c>
      <c r="Q5" s="107">
        <v>18700</v>
      </c>
    </row>
    <row r="6" spans="1:17" x14ac:dyDescent="0.4">
      <c r="A6" s="55" t="s">
        <v>1</v>
      </c>
      <c r="B6" s="157">
        <f>IF(B$2=0,0,(B$7*1+B$8*2+B$9*3)/B$2)</f>
        <v>1.3333333333333333</v>
      </c>
      <c r="C6" s="158"/>
      <c r="E6" s="63" t="s">
        <v>92</v>
      </c>
      <c r="F6" s="60" t="s">
        <v>46</v>
      </c>
      <c r="G6" s="47">
        <v>2</v>
      </c>
      <c r="H6" s="137">
        <f>IF(B$27=0,0,G6/B$27)</f>
        <v>0.4</v>
      </c>
      <c r="I6" s="98">
        <v>1</v>
      </c>
      <c r="N6" s="119" t="s">
        <v>140</v>
      </c>
      <c r="O6" s="126">
        <f t="shared" si="0"/>
        <v>100</v>
      </c>
      <c r="P6" s="123">
        <v>3</v>
      </c>
      <c r="Q6" s="107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189</v>
      </c>
      <c r="F7" s="60" t="s">
        <v>190</v>
      </c>
      <c r="G7" s="47">
        <v>2</v>
      </c>
      <c r="H7" s="137">
        <f>IF(B$27=0,0,G7/B$27)</f>
        <v>0.4</v>
      </c>
      <c r="I7" s="98">
        <v>4</v>
      </c>
      <c r="N7" s="120" t="s">
        <v>141</v>
      </c>
      <c r="O7" s="127">
        <f t="shared" si="0"/>
        <v>-3566.6666666666665</v>
      </c>
      <c r="P7" s="124">
        <v>3</v>
      </c>
      <c r="Q7" s="108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70</v>
      </c>
      <c r="F8" s="60" t="s">
        <v>12</v>
      </c>
      <c r="G8" s="47">
        <v>1</v>
      </c>
      <c r="H8" s="137">
        <f>IF(B$27=0,0,G8/B$27)</f>
        <v>0.2</v>
      </c>
      <c r="I8" s="98">
        <v>9</v>
      </c>
      <c r="N8" s="43"/>
      <c r="O8" s="131"/>
      <c r="P8" s="115"/>
      <c r="Q8" s="113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71</v>
      </c>
      <c r="F9" s="60" t="s">
        <v>25</v>
      </c>
      <c r="G9" s="47">
        <v>1</v>
      </c>
      <c r="H9" s="137">
        <f>IF(B$27=0,0,G9/B$27)</f>
        <v>0.2</v>
      </c>
      <c r="I9" s="98">
        <v>5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27</v>
      </c>
      <c r="G10" s="47">
        <v>1</v>
      </c>
      <c r="H10" s="137">
        <f>IF(B$27=0,0,G10/B$27)</f>
        <v>0.2</v>
      </c>
      <c r="I10" s="98">
        <v>1</v>
      </c>
      <c r="N10" s="118" t="s">
        <v>172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89</v>
      </c>
      <c r="F11" s="60" t="s">
        <v>43</v>
      </c>
      <c r="G11" s="47">
        <v>1</v>
      </c>
      <c r="H11" s="137">
        <f>IF(B$27=0,0,G11/B$27)</f>
        <v>0.2</v>
      </c>
      <c r="I11" s="98">
        <v>1</v>
      </c>
      <c r="N11" s="119" t="s">
        <v>173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7">
        <f>IF(B$27=0,0,G12/B$27)</f>
        <v>0</v>
      </c>
      <c r="I12" s="98">
        <v>10</v>
      </c>
      <c r="N12" s="120" t="s">
        <v>174</v>
      </c>
      <c r="O12" s="130">
        <f>IF(P12=0,0,Q12/P12)</f>
        <v>20.333333333333332</v>
      </c>
      <c r="P12" s="124">
        <v>3</v>
      </c>
      <c r="Q12" s="112">
        <v>61</v>
      </c>
    </row>
    <row r="13" spans="1:17" x14ac:dyDescent="0.4">
      <c r="A13" s="58" t="s">
        <v>126</v>
      </c>
      <c r="B13" s="50">
        <v>5</v>
      </c>
      <c r="C13" s="44">
        <f>IF(B$26=0,0,B13/B$26)</f>
        <v>0.26315789473684209</v>
      </c>
      <c r="E13" s="63" t="s">
        <v>72</v>
      </c>
      <c r="F13" s="60" t="s">
        <v>26</v>
      </c>
      <c r="G13" s="47">
        <v>0</v>
      </c>
      <c r="H13" s="137">
        <f>IF(B$27=0,0,G13/B$27)</f>
        <v>0</v>
      </c>
      <c r="I13" s="98">
        <v>10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4</v>
      </c>
      <c r="C14" s="39">
        <f>IF(B$26=0,0,B14/B$26)</f>
        <v>0.21052631578947367</v>
      </c>
      <c r="E14" s="63" t="s">
        <v>75</v>
      </c>
      <c r="F14" s="60" t="s">
        <v>29</v>
      </c>
      <c r="G14" s="47">
        <v>0</v>
      </c>
      <c r="H14" s="137">
        <f>IF(B$27=0,0,G14/B$27)</f>
        <v>0</v>
      </c>
      <c r="I14" s="98">
        <v>5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3</v>
      </c>
      <c r="C15" s="37">
        <f>IF(B$13=0,0,B15/B$13)</f>
        <v>0.6</v>
      </c>
      <c r="E15" s="63" t="s">
        <v>76</v>
      </c>
      <c r="F15" s="60" t="s">
        <v>30</v>
      </c>
      <c r="G15" s="47">
        <v>0</v>
      </c>
      <c r="H15" s="137">
        <f>IF(B$27=0,0,G15/B$27)</f>
        <v>0</v>
      </c>
      <c r="I15" s="98">
        <v>3</v>
      </c>
      <c r="N15" s="118" t="s">
        <v>195</v>
      </c>
      <c r="O15" s="128">
        <f>IF(P15=0,0,Q15/P15)</f>
        <v>69.599999999999994</v>
      </c>
      <c r="P15" s="122">
        <v>1</v>
      </c>
      <c r="Q15" s="110">
        <v>69.599999999999994</v>
      </c>
    </row>
    <row r="16" spans="1:17" x14ac:dyDescent="0.4">
      <c r="A16" s="54" t="s">
        <v>129</v>
      </c>
      <c r="B16" s="46">
        <v>2</v>
      </c>
      <c r="C16" s="37">
        <f>IF(B$14=0,0,B16/B$14)</f>
        <v>0.5</v>
      </c>
      <c r="E16" s="63" t="s">
        <v>77</v>
      </c>
      <c r="F16" s="60" t="s">
        <v>31</v>
      </c>
      <c r="G16" s="47">
        <v>0</v>
      </c>
      <c r="H16" s="137">
        <f>IF(B$27=0,0,G16/B$27)</f>
        <v>0</v>
      </c>
      <c r="I16" s="98">
        <v>6</v>
      </c>
      <c r="N16" s="119" t="s">
        <v>185</v>
      </c>
      <c r="O16" s="129">
        <f>IF(P16=0,0,Q16/P16)</f>
        <v>45.699999999999996</v>
      </c>
      <c r="P16" s="123">
        <v>3</v>
      </c>
      <c r="Q16" s="111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78</v>
      </c>
      <c r="F17" s="60" t="s">
        <v>32</v>
      </c>
      <c r="G17" s="47">
        <v>0</v>
      </c>
      <c r="H17" s="137">
        <f>IF(B$27=0,0,G17/B$27)</f>
        <v>0</v>
      </c>
      <c r="I17" s="98">
        <v>1</v>
      </c>
      <c r="N17" s="119" t="s">
        <v>181</v>
      </c>
      <c r="O17" s="129">
        <f>IF(P17=0,0,Q17/P17)</f>
        <v>45.5</v>
      </c>
      <c r="P17" s="123">
        <v>1</v>
      </c>
      <c r="Q17" s="111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79</v>
      </c>
      <c r="F18" s="60" t="s">
        <v>33</v>
      </c>
      <c r="G18" s="47">
        <v>0</v>
      </c>
      <c r="H18" s="137">
        <f>IF(B$27=0,0,G18/B$27)</f>
        <v>0</v>
      </c>
      <c r="I18" s="98">
        <v>4</v>
      </c>
      <c r="N18" s="119" t="s">
        <v>131</v>
      </c>
      <c r="O18" s="129">
        <f>IF(P18=0,0,Q18/P18)</f>
        <v>-69.2</v>
      </c>
      <c r="P18" s="123">
        <v>1</v>
      </c>
      <c r="Q18" s="111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80</v>
      </c>
      <c r="F19" s="60" t="s">
        <v>34</v>
      </c>
      <c r="G19" s="47">
        <v>0</v>
      </c>
      <c r="H19" s="137">
        <f>IF(B$27=0,0,G19/B$27)</f>
        <v>0</v>
      </c>
      <c r="I19" s="98">
        <v>9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81</v>
      </c>
      <c r="F20" s="60" t="s">
        <v>35</v>
      </c>
      <c r="G20" s="47">
        <v>0</v>
      </c>
      <c r="H20" s="137">
        <f>IF(B$27=0,0,G20/B$27)</f>
        <v>0</v>
      </c>
      <c r="I20" s="98">
        <v>6</v>
      </c>
    </row>
    <row r="21" spans="1:17" x14ac:dyDescent="0.4">
      <c r="A21" s="55" t="s">
        <v>5</v>
      </c>
      <c r="B21" s="51">
        <f>IF(B$17=0,0,C21/B$17)</f>
        <v>7860</v>
      </c>
      <c r="C21" s="41">
        <v>39300</v>
      </c>
      <c r="E21" s="63" t="s">
        <v>82</v>
      </c>
      <c r="F21" s="60" t="s">
        <v>36</v>
      </c>
      <c r="G21" s="47">
        <v>0</v>
      </c>
      <c r="H21" s="137">
        <f>IF(B$27=0,0,G21/B$27)</f>
        <v>0</v>
      </c>
      <c r="I21" s="98">
        <v>1</v>
      </c>
    </row>
    <row r="22" spans="1:17" x14ac:dyDescent="0.4">
      <c r="A22" s="57" t="s">
        <v>14</v>
      </c>
      <c r="B22" s="52">
        <f>IF(B$20=0,0,C22/B$20)</f>
        <v>-5150</v>
      </c>
      <c r="C22" s="45">
        <v>-10300</v>
      </c>
      <c r="E22" s="63" t="s">
        <v>83</v>
      </c>
      <c r="F22" s="60" t="s">
        <v>37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55">
        <v>3</v>
      </c>
      <c r="C23" s="156"/>
      <c r="E23" s="63" t="s">
        <v>84</v>
      </c>
      <c r="F23" s="60" t="s">
        <v>38</v>
      </c>
      <c r="G23" s="47">
        <v>0</v>
      </c>
      <c r="H23" s="137">
        <f>IF(B$27=0,0,G23/B$27)</f>
        <v>0</v>
      </c>
      <c r="I23" s="98">
        <v>9</v>
      </c>
    </row>
    <row r="24" spans="1:17" x14ac:dyDescent="0.4">
      <c r="A24" s="58" t="s">
        <v>157</v>
      </c>
      <c r="B24" s="153">
        <v>53500</v>
      </c>
      <c r="C24" s="154"/>
      <c r="E24" s="63" t="s">
        <v>85</v>
      </c>
      <c r="F24" s="60" t="s">
        <v>39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86</v>
      </c>
      <c r="F25" s="60" t="s">
        <v>40</v>
      </c>
      <c r="G25" s="47">
        <v>0</v>
      </c>
      <c r="H25" s="137">
        <f>IF(B$27=0,0,G25/B$27)</f>
        <v>0</v>
      </c>
      <c r="I25" s="98">
        <v>10</v>
      </c>
    </row>
    <row r="26" spans="1:17" x14ac:dyDescent="0.4">
      <c r="A26" s="54" t="s">
        <v>124</v>
      </c>
      <c r="B26" s="145">
        <v>19</v>
      </c>
      <c r="C26" s="146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3</v>
      </c>
    </row>
    <row r="27" spans="1:17" x14ac:dyDescent="0.4">
      <c r="A27" s="57" t="s">
        <v>125</v>
      </c>
      <c r="B27" s="159">
        <v>5</v>
      </c>
      <c r="C27" s="160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4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4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7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5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5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6</v>
      </c>
    </row>
  </sheetData>
  <sortState ref="N15:Q18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446A9-94C8-44BA-9697-8D2A48E03B0D}">
  <sheetPr codeName="Sheet23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3" t="s">
        <v>195</v>
      </c>
      <c r="C1" s="144"/>
      <c r="E1" s="133" t="s">
        <v>175</v>
      </c>
      <c r="F1" s="142" t="s">
        <v>118</v>
      </c>
      <c r="G1" s="141" t="s">
        <v>119</v>
      </c>
      <c r="H1" s="134" t="s">
        <v>120</v>
      </c>
      <c r="I1" s="142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5">
        <v>7</v>
      </c>
      <c r="C2" s="146"/>
      <c r="E2" s="62" t="s">
        <v>68</v>
      </c>
      <c r="F2" s="59" t="s">
        <v>23</v>
      </c>
      <c r="G2" s="46">
        <v>10</v>
      </c>
      <c r="H2" s="136">
        <f>IF(B$27=0,0,G2/B$27)</f>
        <v>0.83333333333333337</v>
      </c>
      <c r="I2" s="97">
        <v>2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-3742.8571428571427</v>
      </c>
      <c r="P2" s="122">
        <v>7</v>
      </c>
      <c r="Q2" s="106">
        <v>-26200</v>
      </c>
    </row>
    <row r="3" spans="1:17" x14ac:dyDescent="0.4">
      <c r="A3" s="55" t="s">
        <v>8</v>
      </c>
      <c r="B3" s="147">
        <v>57</v>
      </c>
      <c r="C3" s="148"/>
      <c r="E3" s="63" t="s">
        <v>74</v>
      </c>
      <c r="F3" s="60" t="s">
        <v>28</v>
      </c>
      <c r="G3" s="47">
        <v>10</v>
      </c>
      <c r="H3" s="137">
        <f>IF(B$27=0,0,G3/B$27)</f>
        <v>0.83333333333333337</v>
      </c>
      <c r="I3" s="98">
        <v>1</v>
      </c>
      <c r="K3" s="38">
        <v>1</v>
      </c>
      <c r="L3" s="103">
        <v>-43.7</v>
      </c>
      <c r="N3" s="119" t="s">
        <v>137</v>
      </c>
      <c r="O3" s="126">
        <f t="shared" si="0"/>
        <v>-4085.7142857142858</v>
      </c>
      <c r="P3" s="123">
        <v>7</v>
      </c>
      <c r="Q3" s="107">
        <v>-28600</v>
      </c>
    </row>
    <row r="4" spans="1:17" x14ac:dyDescent="0.4">
      <c r="A4" s="55" t="s">
        <v>6</v>
      </c>
      <c r="B4" s="149">
        <v>-218.2</v>
      </c>
      <c r="C4" s="150"/>
      <c r="E4" s="63" t="s">
        <v>66</v>
      </c>
      <c r="F4" s="60" t="s">
        <v>21</v>
      </c>
      <c r="G4" s="47">
        <v>5</v>
      </c>
      <c r="H4" s="137">
        <f>IF(B$27=0,0,G4/B$27)</f>
        <v>0.41666666666666669</v>
      </c>
      <c r="I4" s="98">
        <v>10</v>
      </c>
      <c r="K4" s="38">
        <v>2</v>
      </c>
      <c r="L4" s="103">
        <v>-76.2</v>
      </c>
      <c r="N4" s="119" t="s">
        <v>138</v>
      </c>
      <c r="O4" s="126">
        <f t="shared" si="0"/>
        <v>128.57142857142858</v>
      </c>
      <c r="P4" s="123">
        <v>7</v>
      </c>
      <c r="Q4" s="107">
        <v>900</v>
      </c>
    </row>
    <row r="5" spans="1:17" x14ac:dyDescent="0.4">
      <c r="A5" s="55" t="s">
        <v>7</v>
      </c>
      <c r="B5" s="151">
        <f>IF(B$2=0,0,B$4/B$2)</f>
        <v>-31.171428571428571</v>
      </c>
      <c r="C5" s="152"/>
      <c r="E5" s="63" t="s">
        <v>189</v>
      </c>
      <c r="F5" s="60" t="s">
        <v>190</v>
      </c>
      <c r="G5" s="47">
        <v>4</v>
      </c>
      <c r="H5" s="137">
        <f>IF(B$27=0,0,G5/B$27)</f>
        <v>0.33333333333333331</v>
      </c>
      <c r="I5" s="98">
        <v>9</v>
      </c>
      <c r="K5" s="38">
        <v>3</v>
      </c>
      <c r="L5" s="103">
        <v>-78.400000000000006</v>
      </c>
      <c r="N5" s="119" t="s">
        <v>139</v>
      </c>
      <c r="O5" s="126">
        <f t="shared" si="0"/>
        <v>-7000</v>
      </c>
      <c r="P5" s="123">
        <v>6</v>
      </c>
      <c r="Q5" s="107">
        <v>-42000</v>
      </c>
    </row>
    <row r="6" spans="1:17" x14ac:dyDescent="0.4">
      <c r="A6" s="55" t="s">
        <v>1</v>
      </c>
      <c r="B6" s="157">
        <f>IF(B$2=0,0,(B$7*1+B$8*2+B$9*3)/B$2)</f>
        <v>2.5714285714285716</v>
      </c>
      <c r="C6" s="158"/>
      <c r="E6" s="63" t="s">
        <v>92</v>
      </c>
      <c r="F6" s="60" t="s">
        <v>46</v>
      </c>
      <c r="G6" s="47">
        <v>3</v>
      </c>
      <c r="H6" s="137">
        <f>IF(B$27=0,0,G6/B$27)</f>
        <v>0.25</v>
      </c>
      <c r="I6" s="98">
        <v>2</v>
      </c>
      <c r="K6" s="38">
        <v>4</v>
      </c>
      <c r="L6" s="103">
        <v>-49.800000000000004</v>
      </c>
      <c r="N6" s="119" t="s">
        <v>140</v>
      </c>
      <c r="O6" s="126">
        <f t="shared" si="0"/>
        <v>-2950</v>
      </c>
      <c r="P6" s="123">
        <v>6</v>
      </c>
      <c r="Q6" s="107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12</v>
      </c>
      <c r="G7" s="47">
        <v>2</v>
      </c>
      <c r="H7" s="137">
        <f>IF(B$27=0,0,G7/B$27)</f>
        <v>0.16666666666666666</v>
      </c>
      <c r="I7" s="98">
        <v>11</v>
      </c>
      <c r="K7" s="38">
        <v>5</v>
      </c>
      <c r="L7" s="103">
        <v>-121</v>
      </c>
      <c r="N7" s="120" t="s">
        <v>141</v>
      </c>
      <c r="O7" s="127">
        <f t="shared" si="0"/>
        <v>-4100</v>
      </c>
      <c r="P7" s="124">
        <v>6</v>
      </c>
      <c r="Q7" s="108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71</v>
      </c>
      <c r="F8" s="60" t="s">
        <v>25</v>
      </c>
      <c r="G8" s="47">
        <v>2</v>
      </c>
      <c r="H8" s="137">
        <f>IF(B$27=0,0,G8/B$27)</f>
        <v>0.16666666666666666</v>
      </c>
      <c r="I8" s="98">
        <v>8</v>
      </c>
      <c r="K8" s="38">
        <v>6</v>
      </c>
      <c r="L8" s="103">
        <v>-167</v>
      </c>
      <c r="N8" s="43"/>
      <c r="O8" s="131"/>
      <c r="P8" s="115"/>
      <c r="Q8" s="113"/>
    </row>
    <row r="9" spans="1:17" x14ac:dyDescent="0.4">
      <c r="A9" s="56" t="s">
        <v>4</v>
      </c>
      <c r="B9" s="48">
        <v>5</v>
      </c>
      <c r="C9" s="40">
        <f t="shared" ref="C9" si="1">IF(B$2=0,0,B9/B$2)</f>
        <v>0.7142857142857143</v>
      </c>
      <c r="E9" s="63" t="s">
        <v>72</v>
      </c>
      <c r="F9" s="60" t="s">
        <v>26</v>
      </c>
      <c r="G9" s="47">
        <v>1</v>
      </c>
      <c r="H9" s="137">
        <f>IF(B$27=0,0,G9/B$27)</f>
        <v>8.3333333333333329E-2</v>
      </c>
      <c r="I9" s="98">
        <v>7</v>
      </c>
      <c r="K9" s="38">
        <v>7</v>
      </c>
      <c r="L9" s="103">
        <v>-218.2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84</v>
      </c>
      <c r="F10" s="60" t="s">
        <v>38</v>
      </c>
      <c r="G10" s="47">
        <v>1</v>
      </c>
      <c r="H10" s="137">
        <f>IF(B$27=0,0,G10/B$27)</f>
        <v>8.3333333333333329E-2</v>
      </c>
      <c r="I10" s="98">
        <v>1</v>
      </c>
      <c r="N10" s="118" t="s">
        <v>172</v>
      </c>
      <c r="O10" s="128">
        <f>IF(P10=0,0,Q10/P10)</f>
        <v>-43.233333333333327</v>
      </c>
      <c r="P10" s="122">
        <v>3</v>
      </c>
      <c r="Q10" s="110">
        <v>-129.69999999999999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86</v>
      </c>
      <c r="F11" s="60" t="s">
        <v>40</v>
      </c>
      <c r="G11" s="47">
        <v>1</v>
      </c>
      <c r="H11" s="137">
        <f>IF(B$27=0,0,G11/B$27)</f>
        <v>8.3333333333333329E-2</v>
      </c>
      <c r="I11" s="98">
        <v>1</v>
      </c>
      <c r="N11" s="119" t="s">
        <v>173</v>
      </c>
      <c r="O11" s="129">
        <f>IF(P11=0,0,Q11/P11)</f>
        <v>-39.033333333333339</v>
      </c>
      <c r="P11" s="123">
        <v>3</v>
      </c>
      <c r="Q11" s="111">
        <v>-117.10000000000001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7">
        <f>IF(B$27=0,0,G12/B$27)</f>
        <v>0</v>
      </c>
      <c r="I12" s="98">
        <v>10</v>
      </c>
      <c r="N12" s="120" t="s">
        <v>174</v>
      </c>
      <c r="O12" s="130">
        <f>IF(P12=0,0,Q12/P12)</f>
        <v>28.6</v>
      </c>
      <c r="P12" s="124">
        <v>1</v>
      </c>
      <c r="Q12" s="112">
        <v>28.6</v>
      </c>
    </row>
    <row r="13" spans="1:17" x14ac:dyDescent="0.4">
      <c r="A13" s="58" t="s">
        <v>126</v>
      </c>
      <c r="B13" s="50">
        <v>7</v>
      </c>
      <c r="C13" s="44">
        <f>IF(B$26=0,0,B13/B$26)</f>
        <v>0.12280701754385964</v>
      </c>
      <c r="E13" s="63" t="s">
        <v>69</v>
      </c>
      <c r="F13" s="60" t="s">
        <v>24</v>
      </c>
      <c r="G13" s="47">
        <v>0</v>
      </c>
      <c r="H13" s="137">
        <f>IF(B$27=0,0,G13/B$27)</f>
        <v>0</v>
      </c>
      <c r="I13" s="98">
        <v>11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13</v>
      </c>
      <c r="C14" s="39">
        <f>IF(B$26=0,0,B14/B$26)</f>
        <v>0.22807017543859648</v>
      </c>
      <c r="E14" s="63" t="s">
        <v>73</v>
      </c>
      <c r="F14" s="60" t="s">
        <v>27</v>
      </c>
      <c r="G14" s="47">
        <v>0</v>
      </c>
      <c r="H14" s="137">
        <f>IF(B$27=0,0,G14/B$27)</f>
        <v>0</v>
      </c>
      <c r="I14" s="98">
        <v>10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5</v>
      </c>
      <c r="C15" s="37">
        <f>IF(B$13=0,0,B15/B$13)</f>
        <v>0.7142857142857143</v>
      </c>
      <c r="E15" s="63" t="s">
        <v>75</v>
      </c>
      <c r="F15" s="60" t="s">
        <v>29</v>
      </c>
      <c r="G15" s="47">
        <v>0</v>
      </c>
      <c r="H15" s="137">
        <f>IF(B$27=0,0,G15/B$27)</f>
        <v>0</v>
      </c>
      <c r="I15" s="98">
        <v>5</v>
      </c>
      <c r="N15" s="118" t="s">
        <v>133</v>
      </c>
      <c r="O15" s="128">
        <f>IF(P15=0,0,Q15/P15)</f>
        <v>72.3</v>
      </c>
      <c r="P15" s="122">
        <v>1</v>
      </c>
      <c r="Q15" s="110">
        <v>72.3</v>
      </c>
    </row>
    <row r="16" spans="1:17" x14ac:dyDescent="0.4">
      <c r="A16" s="54" t="s">
        <v>129</v>
      </c>
      <c r="B16" s="46">
        <v>5</v>
      </c>
      <c r="C16" s="37">
        <f>IF(B$14=0,0,B16/B$14)</f>
        <v>0.38461538461538464</v>
      </c>
      <c r="E16" s="63" t="s">
        <v>76</v>
      </c>
      <c r="F16" s="60" t="s">
        <v>30</v>
      </c>
      <c r="G16" s="47">
        <v>0</v>
      </c>
      <c r="H16" s="137">
        <f>IF(B$27=0,0,G16/B$27)</f>
        <v>0</v>
      </c>
      <c r="I16" s="98">
        <v>3</v>
      </c>
      <c r="N16" s="119" t="s">
        <v>179</v>
      </c>
      <c r="O16" s="129">
        <f>IF(P16=0,0,Q16/P16)</f>
        <v>-25.400000000000002</v>
      </c>
      <c r="P16" s="123">
        <v>2</v>
      </c>
      <c r="Q16" s="111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77</v>
      </c>
      <c r="F17" s="60" t="s">
        <v>31</v>
      </c>
      <c r="G17" s="47">
        <v>0</v>
      </c>
      <c r="H17" s="137">
        <f>IF(B$27=0,0,G17/B$27)</f>
        <v>0</v>
      </c>
      <c r="I17" s="98">
        <v>6</v>
      </c>
      <c r="N17" s="119" t="s">
        <v>131</v>
      </c>
      <c r="O17" s="129">
        <f>IF(P17=0,0,Q17/P17)</f>
        <v>-56.8</v>
      </c>
      <c r="P17" s="123">
        <v>4</v>
      </c>
      <c r="Q17" s="111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78</v>
      </c>
      <c r="F18" s="60" t="s">
        <v>32</v>
      </c>
      <c r="G18" s="47">
        <v>0</v>
      </c>
      <c r="H18" s="137">
        <f>IF(B$27=0,0,G18/B$27)</f>
        <v>0</v>
      </c>
      <c r="I18" s="98">
        <v>1</v>
      </c>
      <c r="N18" s="119" t="s">
        <v>185</v>
      </c>
      <c r="O18" s="129">
        <f>IF(P18=0,0,Q18/P18)</f>
        <v>-60.800000000000004</v>
      </c>
      <c r="P18" s="123">
        <v>2</v>
      </c>
      <c r="Q18" s="111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79</v>
      </c>
      <c r="F19" s="60" t="s">
        <v>33</v>
      </c>
      <c r="G19" s="47">
        <v>0</v>
      </c>
      <c r="H19" s="137">
        <f>IF(B$27=0,0,G19/B$27)</f>
        <v>0</v>
      </c>
      <c r="I19" s="98">
        <v>4</v>
      </c>
      <c r="N19" s="119" t="s">
        <v>132</v>
      </c>
      <c r="O19" s="129">
        <f>IF(P19=0,0,Q19/P19)</f>
        <v>-64.424999999999997</v>
      </c>
      <c r="P19" s="123">
        <v>4</v>
      </c>
      <c r="Q19" s="111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80</v>
      </c>
      <c r="F20" s="60" t="s">
        <v>34</v>
      </c>
      <c r="G20" s="47">
        <v>0</v>
      </c>
      <c r="H20" s="137">
        <f>IF(B$27=0,0,G20/B$27)</f>
        <v>0</v>
      </c>
      <c r="I20" s="98">
        <v>9</v>
      </c>
      <c r="N20" s="119" t="s">
        <v>194</v>
      </c>
      <c r="O20" s="129">
        <f>IF(P20=0,0,Q20/P20)</f>
        <v>-69.599999999999994</v>
      </c>
      <c r="P20" s="123">
        <v>1</v>
      </c>
      <c r="Q20" s="111">
        <v>-69.599999999999994</v>
      </c>
    </row>
    <row r="21" spans="1:17" x14ac:dyDescent="0.4">
      <c r="A21" s="55" t="s">
        <v>5</v>
      </c>
      <c r="B21" s="51">
        <f>IF(B$17=0,0,C21/B$17)</f>
        <v>6500</v>
      </c>
      <c r="C21" s="41">
        <v>78000</v>
      </c>
      <c r="E21" s="63" t="s">
        <v>81</v>
      </c>
      <c r="F21" s="60" t="s">
        <v>35</v>
      </c>
      <c r="G21" s="47">
        <v>0</v>
      </c>
      <c r="H21" s="137">
        <f>IF(B$27=0,0,G21/B$27)</f>
        <v>0</v>
      </c>
      <c r="I21" s="98">
        <v>6</v>
      </c>
    </row>
    <row r="22" spans="1:17" x14ac:dyDescent="0.4">
      <c r="A22" s="57" t="s">
        <v>14</v>
      </c>
      <c r="B22" s="52">
        <f>IF(B$20=0,0,C22/B$20)</f>
        <v>-8762.5</v>
      </c>
      <c r="C22" s="45">
        <v>-140200</v>
      </c>
      <c r="E22" s="63" t="s">
        <v>82</v>
      </c>
      <c r="F22" s="60" t="s">
        <v>36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55">
        <v>5</v>
      </c>
      <c r="C23" s="156"/>
      <c r="E23" s="63" t="s">
        <v>83</v>
      </c>
      <c r="F23" s="60" t="s">
        <v>37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53">
        <v>43600</v>
      </c>
      <c r="C24" s="154"/>
      <c r="E24" s="63" t="s">
        <v>85</v>
      </c>
      <c r="F24" s="60" t="s">
        <v>39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87</v>
      </c>
      <c r="F25" s="60" t="s">
        <v>41</v>
      </c>
      <c r="G25" s="47">
        <v>0</v>
      </c>
      <c r="H25" s="137">
        <f>IF(B$27=0,0,G25/B$27)</f>
        <v>0</v>
      </c>
      <c r="I25" s="98">
        <v>3</v>
      </c>
    </row>
    <row r="26" spans="1:17" x14ac:dyDescent="0.4">
      <c r="A26" s="54" t="s">
        <v>124</v>
      </c>
      <c r="B26" s="145">
        <v>57</v>
      </c>
      <c r="C26" s="146"/>
      <c r="E26" s="63" t="s">
        <v>88</v>
      </c>
      <c r="F26" s="60" t="s">
        <v>42</v>
      </c>
      <c r="G26" s="47">
        <v>0</v>
      </c>
      <c r="H26" s="137">
        <f>IF(B$27=0,0,G26/B$27)</f>
        <v>0</v>
      </c>
      <c r="I26" s="98">
        <v>3</v>
      </c>
    </row>
    <row r="27" spans="1:17" x14ac:dyDescent="0.4">
      <c r="A27" s="57" t="s">
        <v>125</v>
      </c>
      <c r="B27" s="159">
        <v>12</v>
      </c>
      <c r="C27" s="160"/>
      <c r="E27" s="63" t="s">
        <v>89</v>
      </c>
      <c r="F27" s="60" t="s">
        <v>43</v>
      </c>
      <c r="G27" s="47">
        <v>0</v>
      </c>
      <c r="H27" s="137">
        <f>IF(B$27=0,0,G27/B$27)</f>
        <v>0</v>
      </c>
      <c r="I27" s="98">
        <v>10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4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4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7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5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5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6</v>
      </c>
    </row>
  </sheetData>
  <sortState ref="N15:Q20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A8E5B-8878-46D6-92D1-E507DB5C8BED}">
  <sheetPr codeName="Sheet25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3" t="s">
        <v>209</v>
      </c>
      <c r="C1" s="144"/>
      <c r="E1" s="133" t="s">
        <v>175</v>
      </c>
      <c r="F1" s="142" t="s">
        <v>118</v>
      </c>
      <c r="G1" s="141" t="s">
        <v>119</v>
      </c>
      <c r="H1" s="134" t="s">
        <v>120</v>
      </c>
      <c r="I1" s="142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5">
        <v>4</v>
      </c>
      <c r="C2" s="146"/>
      <c r="E2" s="62" t="s">
        <v>68</v>
      </c>
      <c r="F2" s="59" t="s">
        <v>23</v>
      </c>
      <c r="G2" s="46">
        <v>7</v>
      </c>
      <c r="H2" s="136">
        <f>IF(B$27=0,0,G2/B$27)</f>
        <v>0.77777777777777779</v>
      </c>
      <c r="I2" s="97">
        <v>3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-6025</v>
      </c>
      <c r="P2" s="122">
        <v>4</v>
      </c>
      <c r="Q2" s="106">
        <v>-24100</v>
      </c>
    </row>
    <row r="3" spans="1:17" x14ac:dyDescent="0.4">
      <c r="A3" s="55" t="s">
        <v>8</v>
      </c>
      <c r="B3" s="147">
        <v>36</v>
      </c>
      <c r="C3" s="148"/>
      <c r="E3" s="63" t="s">
        <v>66</v>
      </c>
      <c r="F3" s="60" t="s">
        <v>21</v>
      </c>
      <c r="G3" s="47">
        <v>6</v>
      </c>
      <c r="H3" s="137">
        <f>IF(B$27=0,0,G3/B$27)</f>
        <v>0.66666666666666663</v>
      </c>
      <c r="I3" s="98">
        <v>1</v>
      </c>
      <c r="K3" s="38">
        <v>1</v>
      </c>
      <c r="L3" s="103">
        <v>-12.5</v>
      </c>
      <c r="N3" s="119" t="s">
        <v>137</v>
      </c>
      <c r="O3" s="126">
        <f t="shared" si="0"/>
        <v>3450</v>
      </c>
      <c r="P3" s="123">
        <v>4</v>
      </c>
      <c r="Q3" s="107">
        <v>13800</v>
      </c>
    </row>
    <row r="4" spans="1:17" x14ac:dyDescent="0.4">
      <c r="A4" s="55" t="s">
        <v>6</v>
      </c>
      <c r="B4" s="149">
        <v>19.399999999999995</v>
      </c>
      <c r="C4" s="150"/>
      <c r="E4" s="63" t="s">
        <v>74</v>
      </c>
      <c r="F4" s="60" t="s">
        <v>28</v>
      </c>
      <c r="G4" s="47">
        <v>6</v>
      </c>
      <c r="H4" s="137">
        <f>IF(B$27=0,0,G4/B$27)</f>
        <v>0.66666666666666663</v>
      </c>
      <c r="I4" s="98">
        <v>3</v>
      </c>
      <c r="K4" s="38">
        <v>2</v>
      </c>
      <c r="L4" s="103">
        <v>-28.1</v>
      </c>
      <c r="N4" s="119" t="s">
        <v>138</v>
      </c>
      <c r="O4" s="126">
        <f t="shared" si="0"/>
        <v>-3650</v>
      </c>
      <c r="P4" s="123">
        <v>4</v>
      </c>
      <c r="Q4" s="107">
        <v>-14600</v>
      </c>
    </row>
    <row r="5" spans="1:17" x14ac:dyDescent="0.4">
      <c r="A5" s="55" t="s">
        <v>7</v>
      </c>
      <c r="B5" s="151">
        <f>IF(B$2=0,0,B$4/B$2)</f>
        <v>4.8499999999999988</v>
      </c>
      <c r="C5" s="152"/>
      <c r="E5" s="63" t="s">
        <v>69</v>
      </c>
      <c r="F5" s="60" t="s">
        <v>24</v>
      </c>
      <c r="G5" s="47">
        <v>5</v>
      </c>
      <c r="H5" s="137">
        <f>IF(B$27=0,0,G5/B$27)</f>
        <v>0.55555555555555558</v>
      </c>
      <c r="I5" s="98">
        <v>1</v>
      </c>
      <c r="K5" s="38">
        <v>3</v>
      </c>
      <c r="L5" s="103">
        <v>-20.400000000000002</v>
      </c>
      <c r="N5" s="119" t="s">
        <v>139</v>
      </c>
      <c r="O5" s="126">
        <f t="shared" si="0"/>
        <v>-1250</v>
      </c>
      <c r="P5" s="123">
        <v>4</v>
      </c>
      <c r="Q5" s="107">
        <v>-5000</v>
      </c>
    </row>
    <row r="6" spans="1:17" x14ac:dyDescent="0.4">
      <c r="A6" s="55" t="s">
        <v>1</v>
      </c>
      <c r="B6" s="157">
        <f>IF(B$2=0,0,(B$7*1+B$8*2+B$9*3)/B$2)</f>
        <v>1.75</v>
      </c>
      <c r="C6" s="158"/>
      <c r="E6" s="63" t="s">
        <v>70</v>
      </c>
      <c r="F6" s="60" t="s">
        <v>12</v>
      </c>
      <c r="G6" s="47">
        <v>5</v>
      </c>
      <c r="H6" s="137">
        <f>IF(B$27=0,0,G6/B$27)</f>
        <v>0.55555555555555558</v>
      </c>
      <c r="I6" s="98">
        <v>1</v>
      </c>
      <c r="K6" s="38">
        <v>4</v>
      </c>
      <c r="L6" s="103">
        <v>19.399999999999995</v>
      </c>
      <c r="N6" s="119" t="s">
        <v>140</v>
      </c>
      <c r="O6" s="126">
        <f t="shared" si="0"/>
        <v>11266.666666666666</v>
      </c>
      <c r="P6" s="123">
        <v>3</v>
      </c>
      <c r="Q6" s="107">
        <v>33800</v>
      </c>
    </row>
    <row r="7" spans="1:17" x14ac:dyDescent="0.4">
      <c r="A7" s="55" t="s">
        <v>2</v>
      </c>
      <c r="B7" s="47">
        <v>1</v>
      </c>
      <c r="C7" s="39">
        <f>IF(B$2=0,0,B7/B$2)</f>
        <v>0.25</v>
      </c>
      <c r="E7" s="63" t="s">
        <v>189</v>
      </c>
      <c r="F7" s="60" t="s">
        <v>190</v>
      </c>
      <c r="G7" s="47">
        <v>5</v>
      </c>
      <c r="H7" s="137">
        <f>IF(B$27=0,0,G7/B$27)</f>
        <v>0.55555555555555558</v>
      </c>
      <c r="I7" s="98">
        <v>1</v>
      </c>
      <c r="N7" s="120" t="s">
        <v>141</v>
      </c>
      <c r="O7" s="127">
        <f t="shared" si="0"/>
        <v>-1500</v>
      </c>
      <c r="P7" s="124">
        <v>3</v>
      </c>
      <c r="Q7" s="108">
        <v>-4500</v>
      </c>
    </row>
    <row r="8" spans="1:17" x14ac:dyDescent="0.4">
      <c r="A8" s="55" t="s">
        <v>3</v>
      </c>
      <c r="B8" s="47">
        <v>3</v>
      </c>
      <c r="C8" s="39">
        <f>IF(B$2=0,0,B8/B$2)</f>
        <v>0.75</v>
      </c>
      <c r="E8" s="63" t="s">
        <v>71</v>
      </c>
      <c r="F8" s="60" t="s">
        <v>25</v>
      </c>
      <c r="G8" s="47">
        <v>3</v>
      </c>
      <c r="H8" s="137">
        <f>IF(B$27=0,0,G8/B$27)</f>
        <v>0.33333333333333331</v>
      </c>
      <c r="I8" s="98">
        <v>1</v>
      </c>
      <c r="N8" s="43"/>
      <c r="O8" s="131"/>
      <c r="P8" s="115"/>
      <c r="Q8" s="113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92</v>
      </c>
      <c r="F9" s="60" t="s">
        <v>46</v>
      </c>
      <c r="G9" s="47">
        <v>2</v>
      </c>
      <c r="H9" s="137">
        <f>IF(B$27=0,0,G9/B$27)</f>
        <v>0.22222222222222221</v>
      </c>
      <c r="I9" s="98">
        <v>3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67</v>
      </c>
      <c r="F10" s="60" t="s">
        <v>22</v>
      </c>
      <c r="G10" s="47">
        <v>1</v>
      </c>
      <c r="H10" s="137">
        <f>IF(B$27=0,0,G10/B$27)</f>
        <v>0.1111111111111111</v>
      </c>
      <c r="I10" s="98">
        <v>6</v>
      </c>
      <c r="N10" s="118" t="s">
        <v>172</v>
      </c>
      <c r="O10" s="128">
        <f>IF(P10=0,0,Q10/P10)</f>
        <v>-15.6</v>
      </c>
      <c r="P10" s="122">
        <v>1</v>
      </c>
      <c r="Q10" s="110">
        <v>-15.6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80</v>
      </c>
      <c r="F11" s="60" t="s">
        <v>34</v>
      </c>
      <c r="G11" s="47">
        <v>1</v>
      </c>
      <c r="H11" s="137">
        <f>IF(B$27=0,0,G11/B$27)</f>
        <v>0.1111111111111111</v>
      </c>
      <c r="I11" s="98">
        <v>1</v>
      </c>
      <c r="N11" s="119" t="s">
        <v>173</v>
      </c>
      <c r="O11" s="129">
        <f>IF(P11=0,0,Q11/P11)</f>
        <v>7.7</v>
      </c>
      <c r="P11" s="123">
        <v>1</v>
      </c>
      <c r="Q11" s="111">
        <v>7.7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89</v>
      </c>
      <c r="F12" s="60" t="s">
        <v>43</v>
      </c>
      <c r="G12" s="47">
        <v>1</v>
      </c>
      <c r="H12" s="137">
        <f>IF(B$27=0,0,G12/B$27)</f>
        <v>0.1111111111111111</v>
      </c>
      <c r="I12" s="98">
        <v>2</v>
      </c>
      <c r="N12" s="120" t="s">
        <v>174</v>
      </c>
      <c r="O12" s="130">
        <f>IF(P12=0,0,Q12/P12)</f>
        <v>13.649999999999999</v>
      </c>
      <c r="P12" s="124">
        <v>2</v>
      </c>
      <c r="Q12" s="112">
        <v>27.299999999999997</v>
      </c>
    </row>
    <row r="13" spans="1:17" x14ac:dyDescent="0.4">
      <c r="A13" s="58" t="s">
        <v>126</v>
      </c>
      <c r="B13" s="50">
        <v>11</v>
      </c>
      <c r="C13" s="44">
        <f>IF(B$26=0,0,B13/B$26)</f>
        <v>0.30555555555555558</v>
      </c>
      <c r="E13" s="63" t="s">
        <v>72</v>
      </c>
      <c r="F13" s="60" t="s">
        <v>26</v>
      </c>
      <c r="G13" s="47">
        <v>0</v>
      </c>
      <c r="H13" s="137">
        <f>IF(B$27=0,0,G13/B$27)</f>
        <v>0</v>
      </c>
      <c r="I13" s="98">
        <v>10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10</v>
      </c>
      <c r="C14" s="39">
        <f>IF(B$26=0,0,B14/B$26)</f>
        <v>0.27777777777777779</v>
      </c>
      <c r="E14" s="63" t="s">
        <v>73</v>
      </c>
      <c r="F14" s="60" t="s">
        <v>27</v>
      </c>
      <c r="G14" s="47">
        <v>0</v>
      </c>
      <c r="H14" s="137">
        <f>IF(B$27=0,0,G14/B$27)</f>
        <v>0</v>
      </c>
      <c r="I14" s="98">
        <v>10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6</v>
      </c>
      <c r="C15" s="37">
        <f>IF(B$13=0,0,B15/B$13)</f>
        <v>0.54545454545454541</v>
      </c>
      <c r="E15" s="63" t="s">
        <v>75</v>
      </c>
      <c r="F15" s="60" t="s">
        <v>29</v>
      </c>
      <c r="G15" s="47">
        <v>0</v>
      </c>
      <c r="H15" s="137">
        <f>IF(B$27=0,0,G15/B$27)</f>
        <v>0</v>
      </c>
      <c r="I15" s="98">
        <v>5</v>
      </c>
      <c r="N15" s="118" t="s">
        <v>179</v>
      </c>
      <c r="O15" s="128">
        <f>IF(P15=0,0,Q15/P15)</f>
        <v>52</v>
      </c>
      <c r="P15" s="122">
        <v>2</v>
      </c>
      <c r="Q15" s="110">
        <v>104</v>
      </c>
    </row>
    <row r="16" spans="1:17" x14ac:dyDescent="0.4">
      <c r="A16" s="54" t="s">
        <v>129</v>
      </c>
      <c r="B16" s="46">
        <v>3</v>
      </c>
      <c r="C16" s="37">
        <f>IF(B$14=0,0,B16/B$14)</f>
        <v>0.3</v>
      </c>
      <c r="E16" s="63" t="s">
        <v>76</v>
      </c>
      <c r="F16" s="60" t="s">
        <v>30</v>
      </c>
      <c r="G16" s="47">
        <v>0</v>
      </c>
      <c r="H16" s="137">
        <f>IF(B$27=0,0,G16/B$27)</f>
        <v>0</v>
      </c>
      <c r="I16" s="98">
        <v>3</v>
      </c>
      <c r="N16" s="119" t="s">
        <v>181</v>
      </c>
      <c r="O16" s="129">
        <f>IF(P16=0,0,Q16/P16)</f>
        <v>43.1</v>
      </c>
      <c r="P16" s="123">
        <v>1</v>
      </c>
      <c r="Q16" s="111">
        <v>43.1</v>
      </c>
    </row>
    <row r="17" spans="1:17" x14ac:dyDescent="0.4">
      <c r="A17" s="54" t="s">
        <v>10</v>
      </c>
      <c r="B17" s="46">
        <f>B19+B18</f>
        <v>9</v>
      </c>
      <c r="C17" s="37">
        <f>IF(B$3=0,0,B17/B$3)</f>
        <v>0.25</v>
      </c>
      <c r="E17" s="63" t="s">
        <v>77</v>
      </c>
      <c r="F17" s="60" t="s">
        <v>31</v>
      </c>
      <c r="G17" s="47">
        <v>0</v>
      </c>
      <c r="H17" s="137">
        <f>IF(B$27=0,0,G17/B$27)</f>
        <v>0</v>
      </c>
      <c r="I17" s="98">
        <v>6</v>
      </c>
      <c r="N17" s="119" t="s">
        <v>180</v>
      </c>
      <c r="O17" s="129">
        <f>IF(P17=0,0,Q17/P17)</f>
        <v>-16.450000000000006</v>
      </c>
      <c r="P17" s="123">
        <v>4</v>
      </c>
      <c r="Q17" s="111">
        <v>-65.800000000000026</v>
      </c>
    </row>
    <row r="18" spans="1:17" x14ac:dyDescent="0.4">
      <c r="A18" s="55" t="s">
        <v>12</v>
      </c>
      <c r="B18" s="47">
        <v>6</v>
      </c>
      <c r="C18" s="39">
        <f>IF(B$17=0,0,B18/B$17)</f>
        <v>0.66666666666666663</v>
      </c>
      <c r="E18" s="63" t="s">
        <v>78</v>
      </c>
      <c r="F18" s="60" t="s">
        <v>32</v>
      </c>
      <c r="G18" s="47">
        <v>0</v>
      </c>
      <c r="H18" s="137">
        <f>IF(B$27=0,0,G18/B$27)</f>
        <v>0</v>
      </c>
      <c r="I18" s="98">
        <v>1</v>
      </c>
      <c r="N18" s="119" t="s">
        <v>131</v>
      </c>
      <c r="O18" s="129">
        <f>IF(P18=0,0,Q18/P18)</f>
        <v>-23.1</v>
      </c>
      <c r="P18" s="123">
        <v>1</v>
      </c>
      <c r="Q18" s="111">
        <v>-23.1</v>
      </c>
    </row>
    <row r="19" spans="1:17" x14ac:dyDescent="0.4">
      <c r="A19" s="55" t="s">
        <v>11</v>
      </c>
      <c r="B19" s="47">
        <v>3</v>
      </c>
      <c r="C19" s="39">
        <f>IF(B$17=0,0,B19/B$17)</f>
        <v>0.33333333333333331</v>
      </c>
      <c r="E19" s="63" t="s">
        <v>79</v>
      </c>
      <c r="F19" s="60" t="s">
        <v>33</v>
      </c>
      <c r="G19" s="47">
        <v>0</v>
      </c>
      <c r="H19" s="137">
        <f>IF(B$27=0,0,G19/B$27)</f>
        <v>0</v>
      </c>
      <c r="I19" s="98">
        <v>4</v>
      </c>
    </row>
    <row r="20" spans="1:17" x14ac:dyDescent="0.4">
      <c r="A20" s="55" t="s">
        <v>13</v>
      </c>
      <c r="B20" s="47">
        <v>6</v>
      </c>
      <c r="C20" s="39">
        <f>IF(B$3=0,0,B20/B$3)</f>
        <v>0.16666666666666666</v>
      </c>
      <c r="E20" s="63" t="s">
        <v>81</v>
      </c>
      <c r="F20" s="60" t="s">
        <v>35</v>
      </c>
      <c r="G20" s="47">
        <v>0</v>
      </c>
      <c r="H20" s="137">
        <f>IF(B$27=0,0,G20/B$27)</f>
        <v>0</v>
      </c>
      <c r="I20" s="98">
        <v>6</v>
      </c>
    </row>
    <row r="21" spans="1:17" x14ac:dyDescent="0.4">
      <c r="A21" s="55" t="s">
        <v>5</v>
      </c>
      <c r="B21" s="51">
        <f>IF(B$17=0,0,C21/B$17)</f>
        <v>9555.5555555555547</v>
      </c>
      <c r="C21" s="41">
        <v>86000</v>
      </c>
      <c r="E21" s="63" t="s">
        <v>82</v>
      </c>
      <c r="F21" s="60" t="s">
        <v>36</v>
      </c>
      <c r="G21" s="47">
        <v>0</v>
      </c>
      <c r="H21" s="137">
        <f>IF(B$27=0,0,G21/B$27)</f>
        <v>0</v>
      </c>
      <c r="I21" s="98">
        <v>1</v>
      </c>
    </row>
    <row r="22" spans="1:17" x14ac:dyDescent="0.4">
      <c r="A22" s="57" t="s">
        <v>14</v>
      </c>
      <c r="B22" s="52">
        <f>IF(B$20=0,0,C22/B$20)</f>
        <v>-5866.666666666667</v>
      </c>
      <c r="C22" s="45">
        <v>-35200</v>
      </c>
      <c r="E22" s="63" t="s">
        <v>83</v>
      </c>
      <c r="F22" s="60" t="s">
        <v>37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55">
        <v>4</v>
      </c>
      <c r="C23" s="156"/>
      <c r="E23" s="63" t="s">
        <v>84</v>
      </c>
      <c r="F23" s="60" t="s">
        <v>38</v>
      </c>
      <c r="G23" s="47">
        <v>0</v>
      </c>
      <c r="H23" s="137">
        <f>IF(B$27=0,0,G23/B$27)</f>
        <v>0</v>
      </c>
      <c r="I23" s="98">
        <v>9</v>
      </c>
    </row>
    <row r="24" spans="1:17" x14ac:dyDescent="0.4">
      <c r="A24" s="58" t="s">
        <v>157</v>
      </c>
      <c r="B24" s="153">
        <v>54800</v>
      </c>
      <c r="C24" s="154"/>
      <c r="E24" s="63" t="s">
        <v>85</v>
      </c>
      <c r="F24" s="60" t="s">
        <v>39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86</v>
      </c>
      <c r="F25" s="60" t="s">
        <v>40</v>
      </c>
      <c r="G25" s="47">
        <v>0</v>
      </c>
      <c r="H25" s="137">
        <f>IF(B$27=0,0,G25/B$27)</f>
        <v>0</v>
      </c>
      <c r="I25" s="98">
        <v>10</v>
      </c>
    </row>
    <row r="26" spans="1:17" x14ac:dyDescent="0.4">
      <c r="A26" s="54" t="s">
        <v>124</v>
      </c>
      <c r="B26" s="145">
        <v>36</v>
      </c>
      <c r="C26" s="146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3</v>
      </c>
    </row>
    <row r="27" spans="1:17" x14ac:dyDescent="0.4">
      <c r="A27" s="57" t="s">
        <v>125</v>
      </c>
      <c r="B27" s="159">
        <v>9</v>
      </c>
      <c r="C27" s="160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4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4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7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5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5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6</v>
      </c>
    </row>
  </sheetData>
  <sortState ref="N15:Q18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88704-EE67-4B67-96CC-02B6671D4FAF}">
  <sheetPr codeName="Sheet26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209</v>
      </c>
      <c r="B1" s="70" t="s">
        <v>209</v>
      </c>
      <c r="C1" s="70" t="s">
        <v>209</v>
      </c>
      <c r="D1" s="71" t="s">
        <v>209</v>
      </c>
      <c r="E1" s="70" t="s">
        <v>209</v>
      </c>
      <c r="F1" s="70" t="s">
        <v>209</v>
      </c>
      <c r="G1" s="70" t="s">
        <v>209</v>
      </c>
      <c r="H1" s="70" t="s">
        <v>209</v>
      </c>
      <c r="I1" s="70" t="s">
        <v>209</v>
      </c>
      <c r="J1" s="70" t="s">
        <v>209</v>
      </c>
      <c r="K1" s="70" t="s">
        <v>209</v>
      </c>
      <c r="L1" s="70" t="s">
        <v>209</v>
      </c>
      <c r="M1" s="70" t="s">
        <v>209</v>
      </c>
      <c r="N1" s="70" t="s">
        <v>209</v>
      </c>
      <c r="O1" s="70" t="s">
        <v>209</v>
      </c>
      <c r="P1" s="70" t="s">
        <v>209</v>
      </c>
      <c r="Q1" s="70" t="s">
        <v>209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0.18181818181818182</v>
      </c>
      <c r="G4" s="67">
        <v>0.18181818181818182</v>
      </c>
      <c r="H4" s="68">
        <v>12000</v>
      </c>
      <c r="I4" s="68">
        <v>-3250</v>
      </c>
      <c r="J4" s="67">
        <v>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0.17647058823529413</v>
      </c>
      <c r="G5" s="67">
        <v>0.17647058823529413</v>
      </c>
      <c r="H5" s="68">
        <v>10566.666666666666</v>
      </c>
      <c r="I5" s="68">
        <v>-6166.666666666667</v>
      </c>
      <c r="J5" s="67">
        <v>0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0.17857142857142858</v>
      </c>
      <c r="G6" s="67">
        <v>0.17857142857142858</v>
      </c>
      <c r="H6" s="68">
        <v>12340</v>
      </c>
      <c r="I6" s="68">
        <v>-5880</v>
      </c>
      <c r="J6" s="67">
        <v>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0.25</v>
      </c>
      <c r="G7" s="67">
        <v>0.16666666666666666</v>
      </c>
      <c r="H7" s="68">
        <v>9555.5555555555547</v>
      </c>
      <c r="I7" s="68">
        <v>-5866.666666666667</v>
      </c>
      <c r="J7" s="67">
        <v>0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D69A0-1ECE-4F21-9420-1E12B95B2F67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195</v>
      </c>
      <c r="B1" s="70" t="s">
        <v>195</v>
      </c>
      <c r="C1" s="70" t="s">
        <v>195</v>
      </c>
      <c r="D1" s="71" t="s">
        <v>195</v>
      </c>
      <c r="E1" s="70" t="s">
        <v>195</v>
      </c>
      <c r="F1" s="70" t="s">
        <v>195</v>
      </c>
      <c r="G1" s="70" t="s">
        <v>195</v>
      </c>
      <c r="H1" s="70" t="s">
        <v>195</v>
      </c>
      <c r="I1" s="70" t="s">
        <v>195</v>
      </c>
      <c r="J1" s="70" t="s">
        <v>195</v>
      </c>
      <c r="K1" s="70" t="s">
        <v>195</v>
      </c>
      <c r="L1" s="70" t="s">
        <v>195</v>
      </c>
      <c r="M1" s="70" t="s">
        <v>195</v>
      </c>
      <c r="N1" s="70" t="s">
        <v>195</v>
      </c>
      <c r="O1" s="70" t="s">
        <v>195</v>
      </c>
      <c r="P1" s="70" t="s">
        <v>195</v>
      </c>
      <c r="Q1" s="70" t="s">
        <v>195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0.22222222222222221</v>
      </c>
      <c r="G4" s="67">
        <v>0.33333333333333331</v>
      </c>
      <c r="H4" s="68">
        <v>3650</v>
      </c>
      <c r="I4" s="68">
        <v>-8566.6666666666661</v>
      </c>
      <c r="J4" s="67">
        <v>0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0.2</v>
      </c>
      <c r="G5" s="67">
        <v>0.33333333333333331</v>
      </c>
      <c r="H5" s="68">
        <v>3366.6666666666665</v>
      </c>
      <c r="I5" s="68">
        <v>-6940</v>
      </c>
      <c r="J5" s="67">
        <v>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0.25</v>
      </c>
      <c r="G6" s="67">
        <v>0.25</v>
      </c>
      <c r="H6" s="68">
        <v>5014.2857142857147</v>
      </c>
      <c r="I6" s="68">
        <v>-7200</v>
      </c>
      <c r="J6" s="67">
        <v>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0.27027027027027029</v>
      </c>
      <c r="G7" s="67">
        <v>0.21621621621621623</v>
      </c>
      <c r="H7" s="68">
        <v>6070</v>
      </c>
      <c r="I7" s="68">
        <v>-6700</v>
      </c>
      <c r="J7" s="67">
        <v>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0.23809523809523808</v>
      </c>
      <c r="G8" s="67">
        <v>0.26190476190476192</v>
      </c>
      <c r="H8" s="68">
        <v>6070</v>
      </c>
      <c r="I8" s="68">
        <v>-8300</v>
      </c>
      <c r="J8" s="67">
        <v>0.2</v>
      </c>
      <c r="K8" s="67">
        <v>0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0.22916666666666666</v>
      </c>
      <c r="G9" s="67">
        <v>0.29166666666666669</v>
      </c>
      <c r="H9" s="68">
        <v>6972.727272727273</v>
      </c>
      <c r="I9" s="68">
        <v>-8585.7142857142862</v>
      </c>
      <c r="J9" s="67">
        <v>0.16666666666666666</v>
      </c>
      <c r="K9" s="67">
        <v>0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0.21052631578947367</v>
      </c>
      <c r="G10" s="67">
        <v>0.2807017543859649</v>
      </c>
      <c r="H10" s="68">
        <v>6500</v>
      </c>
      <c r="I10" s="68">
        <v>-8762.5</v>
      </c>
      <c r="J10" s="67">
        <v>0.14285714285714285</v>
      </c>
      <c r="K10" s="67">
        <v>0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8FB16-E529-4879-BA18-DA75739B0CE1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194</v>
      </c>
      <c r="B1" s="70" t="s">
        <v>194</v>
      </c>
      <c r="C1" s="70" t="s">
        <v>194</v>
      </c>
      <c r="D1" s="71" t="s">
        <v>194</v>
      </c>
      <c r="E1" s="70" t="s">
        <v>194</v>
      </c>
      <c r="F1" s="70" t="s">
        <v>194</v>
      </c>
      <c r="G1" s="70" t="s">
        <v>194</v>
      </c>
      <c r="H1" s="70" t="s">
        <v>194</v>
      </c>
      <c r="I1" s="70" t="s">
        <v>194</v>
      </c>
      <c r="J1" s="70" t="s">
        <v>194</v>
      </c>
      <c r="K1" s="70" t="s">
        <v>194</v>
      </c>
      <c r="L1" s="70" t="s">
        <v>194</v>
      </c>
      <c r="M1" s="70" t="s">
        <v>194</v>
      </c>
      <c r="N1" s="70" t="s">
        <v>194</v>
      </c>
      <c r="O1" s="70" t="s">
        <v>194</v>
      </c>
      <c r="P1" s="70" t="s">
        <v>194</v>
      </c>
      <c r="Q1" s="70" t="s">
        <v>194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0.2857142857142857</v>
      </c>
      <c r="H4" s="68">
        <v>0</v>
      </c>
      <c r="I4" s="68">
        <v>-5150</v>
      </c>
      <c r="J4" s="67">
        <v>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0.23076923076923078</v>
      </c>
      <c r="G5" s="67">
        <v>0.15384615384615385</v>
      </c>
      <c r="H5" s="68">
        <v>6433.333333333333</v>
      </c>
      <c r="I5" s="68">
        <v>-5150</v>
      </c>
      <c r="J5" s="67">
        <v>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0.26315789473684209</v>
      </c>
      <c r="G6" s="67">
        <v>0.10526315789473684</v>
      </c>
      <c r="H6" s="68">
        <v>7860</v>
      </c>
      <c r="I6" s="68">
        <v>-5150</v>
      </c>
      <c r="J6" s="67">
        <v>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3C19E-204C-4C7D-9D42-B3E715C42EAF}">
  <sheetPr codeName="Sheet20"/>
  <dimension ref="A1:Q2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0.2857142857142857</v>
      </c>
      <c r="G4" s="67">
        <v>0.14285714285714285</v>
      </c>
      <c r="H4" s="68">
        <v>7050</v>
      </c>
      <c r="I4" s="68">
        <v>-3900</v>
      </c>
      <c r="J4" s="67">
        <v>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0.29411764705882354</v>
      </c>
      <c r="G5" s="67">
        <v>0.17647058823529413</v>
      </c>
      <c r="H5" s="68">
        <v>8800</v>
      </c>
      <c r="I5" s="68">
        <v>-2933.3333333333335</v>
      </c>
      <c r="J5" s="67">
        <v>0</v>
      </c>
      <c r="K5" s="67">
        <v>0</v>
      </c>
      <c r="L5" s="67">
        <v>0.5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52.3</v>
      </c>
      <c r="C6" s="66">
        <v>17.433333333333334</v>
      </c>
      <c r="D6" s="71">
        <v>1.3333333333333333</v>
      </c>
      <c r="E6" s="67">
        <v>0.66666666666666663</v>
      </c>
      <c r="F6" s="67">
        <v>0.23076923076923078</v>
      </c>
      <c r="G6" s="67">
        <v>0.15384615384615385</v>
      </c>
      <c r="H6" s="68">
        <v>11333.333333333334</v>
      </c>
      <c r="I6" s="68">
        <v>-3175</v>
      </c>
      <c r="J6" s="67">
        <v>0</v>
      </c>
      <c r="K6" s="67">
        <v>0</v>
      </c>
      <c r="L6" s="67">
        <v>0.33333333333333331</v>
      </c>
      <c r="M6" s="67">
        <v>0.15384615384615385</v>
      </c>
      <c r="N6" s="67">
        <v>0.19230769230769232</v>
      </c>
      <c r="O6" s="67">
        <v>0.75</v>
      </c>
      <c r="P6" s="67">
        <v>0.2</v>
      </c>
      <c r="Q6" s="67">
        <v>0.5</v>
      </c>
    </row>
    <row r="7" spans="1:17" x14ac:dyDescent="0.4">
      <c r="A7" s="69">
        <v>4</v>
      </c>
      <c r="B7" s="66">
        <v>12.299999999999997</v>
      </c>
      <c r="C7" s="66">
        <v>3.0749999999999993</v>
      </c>
      <c r="D7" s="71">
        <v>1.75</v>
      </c>
      <c r="E7" s="67">
        <v>0.5</v>
      </c>
      <c r="F7" s="67">
        <v>0.24242424242424243</v>
      </c>
      <c r="G7" s="67">
        <v>0.18181818181818182</v>
      </c>
      <c r="H7" s="68">
        <v>8975</v>
      </c>
      <c r="I7" s="68">
        <v>-6116.666666666667</v>
      </c>
      <c r="J7" s="67">
        <v>0</v>
      </c>
      <c r="K7" s="67">
        <v>0</v>
      </c>
      <c r="L7" s="67">
        <v>0.25</v>
      </c>
      <c r="M7" s="67">
        <v>0.18181818181818182</v>
      </c>
      <c r="N7" s="67">
        <v>0.24242424242424243</v>
      </c>
      <c r="O7" s="67">
        <v>0.66666666666666663</v>
      </c>
      <c r="P7" s="67">
        <v>0.25</v>
      </c>
      <c r="Q7" s="67">
        <v>0.5</v>
      </c>
    </row>
    <row r="8" spans="1:17" x14ac:dyDescent="0.4">
      <c r="A8" s="69">
        <v>5</v>
      </c>
      <c r="B8" s="66">
        <v>62.3</v>
      </c>
      <c r="C8" s="66">
        <v>12.459999999999999</v>
      </c>
      <c r="D8" s="71">
        <v>1.6</v>
      </c>
      <c r="E8" s="67">
        <v>0.6</v>
      </c>
      <c r="F8" s="67">
        <v>0.30952380952380953</v>
      </c>
      <c r="G8" s="67">
        <v>0.14285714285714285</v>
      </c>
      <c r="H8" s="68">
        <v>8353.8461538461543</v>
      </c>
      <c r="I8" s="68">
        <v>-6116.666666666667</v>
      </c>
      <c r="J8" s="67">
        <v>0</v>
      </c>
      <c r="K8" s="67">
        <v>0</v>
      </c>
      <c r="L8" s="67">
        <v>0.2</v>
      </c>
      <c r="M8" s="67">
        <v>0.23809523809523808</v>
      </c>
      <c r="N8" s="67">
        <v>0.26190476190476192</v>
      </c>
      <c r="O8" s="67">
        <v>0.8</v>
      </c>
      <c r="P8" s="67">
        <v>0.27272727272727271</v>
      </c>
      <c r="Q8" s="67">
        <v>0.38461538461538464</v>
      </c>
    </row>
    <row r="9" spans="1:17" x14ac:dyDescent="0.4">
      <c r="A9" s="69">
        <v>6</v>
      </c>
      <c r="B9" s="66">
        <v>57.699999999999996</v>
      </c>
      <c r="C9" s="66">
        <v>9.6166666666666654</v>
      </c>
      <c r="D9" s="71">
        <v>1.6666666666666667</v>
      </c>
      <c r="E9" s="67">
        <v>0.5</v>
      </c>
      <c r="F9" s="67">
        <v>0.29166666666666669</v>
      </c>
      <c r="G9" s="67">
        <v>0.14583333333333334</v>
      </c>
      <c r="H9" s="68">
        <v>7850</v>
      </c>
      <c r="I9" s="68">
        <v>-5800</v>
      </c>
      <c r="J9" s="67">
        <v>0</v>
      </c>
      <c r="K9" s="67">
        <v>0</v>
      </c>
      <c r="L9" s="67">
        <v>0.16666666666666666</v>
      </c>
      <c r="M9" s="67">
        <v>0.25</v>
      </c>
      <c r="N9" s="67">
        <v>0.27083333333333331</v>
      </c>
      <c r="O9" s="67">
        <v>0.75</v>
      </c>
      <c r="P9" s="67">
        <v>0.23076923076923078</v>
      </c>
      <c r="Q9" s="67">
        <v>0.35714285714285715</v>
      </c>
    </row>
    <row r="10" spans="1:17" x14ac:dyDescent="0.4">
      <c r="A10" s="69">
        <v>7</v>
      </c>
      <c r="B10" s="66">
        <v>26.199999999999996</v>
      </c>
      <c r="C10" s="66">
        <v>3.7428571428571424</v>
      </c>
      <c r="D10" s="71">
        <v>1.8571428571428572</v>
      </c>
      <c r="E10" s="67">
        <v>0.42857142857142855</v>
      </c>
      <c r="F10" s="67">
        <v>0.27777777777777779</v>
      </c>
      <c r="G10" s="67">
        <v>0.18518518518518517</v>
      </c>
      <c r="H10" s="68">
        <v>7586.666666666667</v>
      </c>
      <c r="I10" s="68">
        <v>-5250</v>
      </c>
      <c r="J10" s="67">
        <v>0</v>
      </c>
      <c r="K10" s="67">
        <v>0</v>
      </c>
      <c r="L10" s="67">
        <v>0.14285714285714285</v>
      </c>
      <c r="M10" s="67">
        <v>0.25925925925925924</v>
      </c>
      <c r="N10" s="67">
        <v>0.25925925925925924</v>
      </c>
      <c r="O10" s="67">
        <v>0.6428571428571429</v>
      </c>
      <c r="P10" s="67">
        <v>0.2857142857142857</v>
      </c>
      <c r="Q10" s="67">
        <v>0.33333333333333331</v>
      </c>
    </row>
    <row r="11" spans="1:17" x14ac:dyDescent="0.4">
      <c r="A11" s="69">
        <v>8</v>
      </c>
      <c r="B11" s="66">
        <v>-7.8000000000000043</v>
      </c>
      <c r="C11" s="66">
        <v>-0.97500000000000053</v>
      </c>
      <c r="D11" s="71">
        <v>2</v>
      </c>
      <c r="E11" s="67">
        <v>0.375</v>
      </c>
      <c r="F11" s="67">
        <v>0.25396825396825395</v>
      </c>
      <c r="G11" s="67">
        <v>0.17460317460317459</v>
      </c>
      <c r="H11" s="68">
        <v>7362.5</v>
      </c>
      <c r="I11" s="68">
        <v>-5863.636363636364</v>
      </c>
      <c r="J11" s="67">
        <v>0</v>
      </c>
      <c r="K11" s="67">
        <v>0</v>
      </c>
      <c r="L11" s="67">
        <v>0.125</v>
      </c>
      <c r="M11" s="67">
        <v>0.23809523809523808</v>
      </c>
      <c r="N11" s="67">
        <v>0.25396825396825395</v>
      </c>
      <c r="O11" s="67">
        <v>0.6</v>
      </c>
      <c r="P11" s="67">
        <v>0.3125</v>
      </c>
      <c r="Q11" s="67">
        <v>0.375</v>
      </c>
    </row>
    <row r="12" spans="1:17" x14ac:dyDescent="0.4">
      <c r="A12" s="69">
        <v>9</v>
      </c>
      <c r="B12" s="66">
        <v>-64.800000000000011</v>
      </c>
      <c r="C12" s="66">
        <v>-7.2000000000000011</v>
      </c>
      <c r="D12" s="71">
        <v>2.1111111111111112</v>
      </c>
      <c r="E12" s="67">
        <v>0.33333333333333331</v>
      </c>
      <c r="F12" s="67">
        <v>0.2318840579710145</v>
      </c>
      <c r="G12" s="67">
        <v>0.17391304347826086</v>
      </c>
      <c r="H12" s="68">
        <v>7362.5</v>
      </c>
      <c r="I12" s="68">
        <v>-6041.666666666667</v>
      </c>
      <c r="J12" s="67">
        <v>0.1111111111111111</v>
      </c>
      <c r="K12" s="67">
        <v>0</v>
      </c>
      <c r="L12" s="67">
        <v>0.1111111111111111</v>
      </c>
      <c r="M12" s="67">
        <v>0.2318840579710145</v>
      </c>
      <c r="N12" s="67">
        <v>0.24637681159420291</v>
      </c>
      <c r="O12" s="67">
        <v>0.5625</v>
      </c>
      <c r="P12" s="67">
        <v>0.29411764705882354</v>
      </c>
      <c r="Q12" s="67">
        <v>0.375</v>
      </c>
    </row>
    <row r="13" spans="1:17" x14ac:dyDescent="0.4">
      <c r="A13" s="69">
        <v>10</v>
      </c>
      <c r="B13" s="66">
        <v>-106.30000000000001</v>
      </c>
      <c r="C13" s="66">
        <v>-10.63</v>
      </c>
      <c r="D13" s="71">
        <v>2.2000000000000002</v>
      </c>
      <c r="E13" s="67">
        <v>0.3</v>
      </c>
      <c r="F13" s="67">
        <v>0.23076923076923078</v>
      </c>
      <c r="G13" s="67">
        <v>0.16666666666666666</v>
      </c>
      <c r="H13" s="68">
        <v>6711.1111111111113</v>
      </c>
      <c r="I13" s="68">
        <v>-6169.2307692307695</v>
      </c>
      <c r="J13" s="67">
        <v>0.1</v>
      </c>
      <c r="K13" s="67">
        <v>0</v>
      </c>
      <c r="L13" s="67">
        <v>0.1</v>
      </c>
      <c r="M13" s="67">
        <v>0.20512820512820512</v>
      </c>
      <c r="N13" s="67">
        <v>0.25641025641025639</v>
      </c>
      <c r="O13" s="67">
        <v>0.5625</v>
      </c>
      <c r="P13" s="67">
        <v>0.3</v>
      </c>
      <c r="Q13" s="67">
        <v>0.33333333333333331</v>
      </c>
    </row>
    <row r="14" spans="1:17" x14ac:dyDescent="0.4">
      <c r="A14" s="69">
        <v>11</v>
      </c>
      <c r="B14" s="66">
        <v>-161.4</v>
      </c>
      <c r="C14" s="66">
        <v>-14.672727272727274</v>
      </c>
      <c r="D14" s="71">
        <v>2.2727272727272729</v>
      </c>
      <c r="E14" s="67">
        <v>0.27272727272727271</v>
      </c>
      <c r="F14" s="67">
        <v>0.22222222222222221</v>
      </c>
      <c r="G14" s="67">
        <v>0.18518518518518517</v>
      </c>
      <c r="H14" s="68">
        <v>6711.1111111111113</v>
      </c>
      <c r="I14" s="68">
        <v>-6720</v>
      </c>
      <c r="J14" s="67">
        <v>0.18181818181818182</v>
      </c>
      <c r="K14" s="67">
        <v>0</v>
      </c>
      <c r="L14" s="67">
        <v>9.0909090909090912E-2</v>
      </c>
      <c r="M14" s="67">
        <v>0.19753086419753085</v>
      </c>
      <c r="N14" s="67">
        <v>0.24691358024691357</v>
      </c>
      <c r="O14" s="67">
        <v>0.5625</v>
      </c>
      <c r="P14" s="67">
        <v>0.3</v>
      </c>
      <c r="Q14" s="67">
        <v>0.33333333333333331</v>
      </c>
    </row>
    <row r="15" spans="1:17" x14ac:dyDescent="0.4">
      <c r="A15" s="69">
        <v>12</v>
      </c>
      <c r="B15" s="66">
        <v>-130.6</v>
      </c>
      <c r="C15" s="66">
        <v>-10.883333333333333</v>
      </c>
      <c r="D15" s="71">
        <v>2.1666666666666665</v>
      </c>
      <c r="E15" s="67">
        <v>0.33333333333333331</v>
      </c>
      <c r="F15" s="67">
        <v>0.23333333333333334</v>
      </c>
      <c r="G15" s="67">
        <v>0.2</v>
      </c>
      <c r="H15" s="68">
        <v>7314.2857142857147</v>
      </c>
      <c r="I15" s="68">
        <v>-6961.1111111111113</v>
      </c>
      <c r="J15" s="67">
        <v>0.16666666666666666</v>
      </c>
      <c r="K15" s="67">
        <v>0</v>
      </c>
      <c r="L15" s="67">
        <v>0.16666666666666666</v>
      </c>
      <c r="M15" s="67">
        <v>0.21111111111111111</v>
      </c>
      <c r="N15" s="67">
        <v>0.24444444444444444</v>
      </c>
      <c r="O15" s="67">
        <v>0.52631578947368418</v>
      </c>
      <c r="P15" s="67">
        <v>0.31818181818181818</v>
      </c>
      <c r="Q15" s="67">
        <v>0.38095238095238093</v>
      </c>
    </row>
    <row r="16" spans="1:17" x14ac:dyDescent="0.4">
      <c r="A16" s="69">
        <v>13</v>
      </c>
      <c r="B16" s="66">
        <v>-185.8</v>
      </c>
      <c r="C16" s="66">
        <v>-14.292307692307693</v>
      </c>
      <c r="D16" s="71">
        <v>2.2307692307692308</v>
      </c>
      <c r="E16" s="67">
        <v>0.30769230769230771</v>
      </c>
      <c r="F16" s="67">
        <v>0.21875</v>
      </c>
      <c r="G16" s="67">
        <v>0.19791666666666666</v>
      </c>
      <c r="H16" s="68">
        <v>7314.2857142857147</v>
      </c>
      <c r="I16" s="68">
        <v>-7226.3157894736842</v>
      </c>
      <c r="J16" s="67">
        <v>0.23076923076923078</v>
      </c>
      <c r="K16" s="67">
        <v>0</v>
      </c>
      <c r="L16" s="67">
        <v>0.15384615384615385</v>
      </c>
      <c r="M16" s="67">
        <v>0.19791666666666666</v>
      </c>
      <c r="N16" s="67">
        <v>0.23958333333333334</v>
      </c>
      <c r="O16" s="67">
        <v>0.52631578947368418</v>
      </c>
      <c r="P16" s="67">
        <v>0.30434782608695654</v>
      </c>
      <c r="Q16" s="67">
        <v>0.38095238095238093</v>
      </c>
    </row>
    <row r="17" spans="1:17" x14ac:dyDescent="0.4">
      <c r="A17" s="69">
        <v>14</v>
      </c>
      <c r="B17" s="66">
        <v>-187.3</v>
      </c>
      <c r="C17" s="66">
        <v>-13.37857142857143</v>
      </c>
      <c r="D17" s="71">
        <v>2.2142857142857144</v>
      </c>
      <c r="E17" s="67">
        <v>0.2857142857142857</v>
      </c>
      <c r="F17" s="67">
        <v>0.22330097087378642</v>
      </c>
      <c r="G17" s="67">
        <v>0.1941747572815534</v>
      </c>
      <c r="H17" s="68">
        <v>6991.304347826087</v>
      </c>
      <c r="I17" s="68">
        <v>-7250</v>
      </c>
      <c r="J17" s="67">
        <v>0.21428571428571427</v>
      </c>
      <c r="K17" s="67">
        <v>0</v>
      </c>
      <c r="L17" s="67">
        <v>0.14285714285714285</v>
      </c>
      <c r="M17" s="67">
        <v>0.18446601941747573</v>
      </c>
      <c r="N17" s="67">
        <v>0.25242718446601942</v>
      </c>
      <c r="O17" s="67">
        <v>0.52631578947368418</v>
      </c>
      <c r="P17" s="67">
        <v>0.34615384615384615</v>
      </c>
      <c r="Q17" s="67">
        <v>0.43478260869565216</v>
      </c>
    </row>
    <row r="18" spans="1:17" x14ac:dyDescent="0.4">
      <c r="A18" s="69">
        <v>15</v>
      </c>
      <c r="B18" s="66">
        <v>-156.20000000000002</v>
      </c>
      <c r="C18" s="66">
        <v>-10.413333333333334</v>
      </c>
      <c r="D18" s="71">
        <v>2.1333333333333333</v>
      </c>
      <c r="E18" s="67">
        <v>0.33333333333333331</v>
      </c>
      <c r="F18" s="67">
        <v>0.24107142857142858</v>
      </c>
      <c r="G18" s="67">
        <v>0.17857142857142858</v>
      </c>
      <c r="H18" s="68">
        <v>6766.666666666667</v>
      </c>
      <c r="I18" s="68">
        <v>-7250</v>
      </c>
      <c r="J18" s="67">
        <v>0.2</v>
      </c>
      <c r="K18" s="67">
        <v>0</v>
      </c>
      <c r="L18" s="67">
        <v>0.13333333333333333</v>
      </c>
      <c r="M18" s="67">
        <v>0.1875</v>
      </c>
      <c r="N18" s="67">
        <v>0.25</v>
      </c>
      <c r="O18" s="67">
        <v>0.5714285714285714</v>
      </c>
      <c r="P18" s="67">
        <v>0.35714285714285715</v>
      </c>
      <c r="Q18" s="67">
        <v>0.40740740740740738</v>
      </c>
    </row>
    <row r="19" spans="1:17" x14ac:dyDescent="0.4">
      <c r="A19" s="69">
        <v>16</v>
      </c>
      <c r="B19" s="66">
        <v>-123.90000000000002</v>
      </c>
      <c r="C19" s="66">
        <v>-7.7437500000000012</v>
      </c>
      <c r="D19" s="71">
        <v>2.0625</v>
      </c>
      <c r="E19" s="67">
        <v>0.375</v>
      </c>
      <c r="F19" s="67">
        <v>0.24590163934426229</v>
      </c>
      <c r="G19" s="67">
        <v>0.1721311475409836</v>
      </c>
      <c r="H19" s="68">
        <v>6950</v>
      </c>
      <c r="I19" s="68">
        <v>-7090.4761904761908</v>
      </c>
      <c r="J19" s="67">
        <v>0.1875</v>
      </c>
      <c r="K19" s="67">
        <v>0</v>
      </c>
      <c r="L19" s="67">
        <v>0.125</v>
      </c>
      <c r="M19" s="67">
        <v>0.18032786885245902</v>
      </c>
      <c r="N19" s="67">
        <v>0.28688524590163933</v>
      </c>
      <c r="O19" s="67">
        <v>0.54545454545454541</v>
      </c>
      <c r="P19" s="67">
        <v>0.37142857142857144</v>
      </c>
      <c r="Q19" s="67">
        <v>0.4</v>
      </c>
    </row>
    <row r="20" spans="1:17" x14ac:dyDescent="0.4">
      <c r="A20" s="69">
        <v>17</v>
      </c>
      <c r="B20" s="66">
        <v>-131.00000000000003</v>
      </c>
      <c r="C20" s="66">
        <v>-7.7058823529411784</v>
      </c>
      <c r="D20" s="71">
        <v>2.0588235294117645</v>
      </c>
      <c r="E20" s="67">
        <v>0.35294117647058826</v>
      </c>
      <c r="F20" s="67">
        <v>0.24806201550387597</v>
      </c>
      <c r="G20" s="67">
        <v>0.17829457364341086</v>
      </c>
      <c r="H20" s="68">
        <v>7006.25</v>
      </c>
      <c r="I20" s="68">
        <v>-7343.478260869565</v>
      </c>
      <c r="J20" s="67">
        <v>0.17647058823529413</v>
      </c>
      <c r="K20" s="67">
        <v>0</v>
      </c>
      <c r="L20" s="67">
        <v>0.11764705882352941</v>
      </c>
      <c r="M20" s="67">
        <v>0.18604651162790697</v>
      </c>
      <c r="N20" s="67">
        <v>0.27131782945736432</v>
      </c>
      <c r="O20" s="67">
        <v>0.54166666666666663</v>
      </c>
      <c r="P20" s="67">
        <v>0.37142857142857144</v>
      </c>
      <c r="Q20" s="67">
        <v>0.375</v>
      </c>
    </row>
    <row r="21" spans="1:17" x14ac:dyDescent="0.4">
      <c r="A21" s="69">
        <v>18</v>
      </c>
      <c r="B21" s="66">
        <v>-138.90000000000003</v>
      </c>
      <c r="C21" s="66">
        <v>-7.7166666666666686</v>
      </c>
      <c r="D21" s="71">
        <v>2.0555555555555554</v>
      </c>
      <c r="E21" s="67">
        <v>0.33333333333333331</v>
      </c>
      <c r="F21" s="67">
        <v>0.24285714285714285</v>
      </c>
      <c r="G21" s="67">
        <v>0.2</v>
      </c>
      <c r="H21" s="68">
        <v>7535.2941176470586</v>
      </c>
      <c r="I21" s="68">
        <v>-6917.8571428571431</v>
      </c>
      <c r="J21" s="67">
        <v>0.16666666666666666</v>
      </c>
      <c r="K21" s="67">
        <v>0</v>
      </c>
      <c r="L21" s="67">
        <v>0.1111111111111111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-215.50000000000003</v>
      </c>
      <c r="C22" s="66">
        <v>-11.342105263157896</v>
      </c>
      <c r="D22" s="71">
        <v>2.1052631578947367</v>
      </c>
      <c r="E22" s="67">
        <v>0.31578947368421051</v>
      </c>
      <c r="F22" s="67">
        <v>0.2348993288590604</v>
      </c>
      <c r="G22" s="67">
        <v>0.19463087248322147</v>
      </c>
      <c r="H22" s="68">
        <v>7431.4285714285716</v>
      </c>
      <c r="I22" s="68">
        <v>-7093.1034482758623</v>
      </c>
      <c r="J22" s="67">
        <v>0.21052631578947367</v>
      </c>
      <c r="K22" s="67">
        <v>0</v>
      </c>
      <c r="L22" s="67">
        <v>0.10526315789473684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F728E-5122-4DCA-96F7-00EA83EC1B2B}">
  <sheetPr codeName="Sheet18"/>
  <dimension ref="A1:Q3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181</v>
      </c>
      <c r="B1" s="70" t="s">
        <v>181</v>
      </c>
      <c r="C1" s="70" t="s">
        <v>181</v>
      </c>
      <c r="D1" s="71" t="s">
        <v>181</v>
      </c>
      <c r="E1" s="70" t="s">
        <v>181</v>
      </c>
      <c r="F1" s="70" t="s">
        <v>181</v>
      </c>
      <c r="G1" s="70" t="s">
        <v>181</v>
      </c>
      <c r="H1" s="70" t="s">
        <v>181</v>
      </c>
      <c r="I1" s="70" t="s">
        <v>181</v>
      </c>
      <c r="J1" s="70" t="s">
        <v>181</v>
      </c>
      <c r="K1" s="70" t="s">
        <v>181</v>
      </c>
      <c r="L1" s="70" t="s">
        <v>181</v>
      </c>
      <c r="M1" s="70" t="s">
        <v>181</v>
      </c>
      <c r="N1" s="70" t="s">
        <v>181</v>
      </c>
      <c r="O1" s="70" t="s">
        <v>181</v>
      </c>
      <c r="P1" s="70" t="s">
        <v>181</v>
      </c>
      <c r="Q1" s="70" t="s">
        <v>181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0.14285714285714285</v>
      </c>
      <c r="G4" s="67">
        <v>0.2857142857142857</v>
      </c>
      <c r="H4" s="68">
        <v>4000</v>
      </c>
      <c r="I4" s="68">
        <v>-20800</v>
      </c>
      <c r="J4" s="67">
        <v>1</v>
      </c>
      <c r="K4" s="67">
        <v>0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0.26315789473684209</v>
      </c>
      <c r="G5" s="67">
        <v>0.26315789473684209</v>
      </c>
      <c r="H5" s="68">
        <v>4220</v>
      </c>
      <c r="I5" s="68">
        <v>-14080</v>
      </c>
      <c r="J5" s="67">
        <v>0.5</v>
      </c>
      <c r="K5" s="67">
        <v>0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0.18518518518518517</v>
      </c>
      <c r="G6" s="67">
        <v>0.25925925925925924</v>
      </c>
      <c r="H6" s="68">
        <v>4220</v>
      </c>
      <c r="I6" s="68">
        <v>-12600</v>
      </c>
      <c r="J6" s="67">
        <v>0.33333333333333331</v>
      </c>
      <c r="K6" s="67">
        <v>0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0.23076923076923078</v>
      </c>
      <c r="G7" s="67">
        <v>0.23076923076923078</v>
      </c>
      <c r="H7" s="68">
        <v>3633.3333333333335</v>
      </c>
      <c r="I7" s="68">
        <v>-11011.111111111111</v>
      </c>
      <c r="J7" s="67">
        <v>0.25</v>
      </c>
      <c r="K7" s="67">
        <v>0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0.19148936170212766</v>
      </c>
      <c r="G8" s="67">
        <v>0.23404255319148937</v>
      </c>
      <c r="H8" s="68">
        <v>3633.3333333333335</v>
      </c>
      <c r="I8" s="68">
        <v>-9836.363636363636</v>
      </c>
      <c r="J8" s="67">
        <v>0.2</v>
      </c>
      <c r="K8" s="67">
        <v>0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0.18518518518518517</v>
      </c>
      <c r="G9" s="67">
        <v>0.22222222222222221</v>
      </c>
      <c r="H9" s="68">
        <v>3850</v>
      </c>
      <c r="I9" s="68">
        <v>-9183.3333333333339</v>
      </c>
      <c r="J9" s="67">
        <v>0.16666666666666666</v>
      </c>
      <c r="K9" s="67">
        <v>0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0.203125</v>
      </c>
      <c r="G10" s="67">
        <v>0.203125</v>
      </c>
      <c r="H10" s="68">
        <v>4323.0769230769229</v>
      </c>
      <c r="I10" s="68">
        <v>-9069.2307692307695</v>
      </c>
      <c r="J10" s="67">
        <v>0.14285714285714285</v>
      </c>
      <c r="K10" s="67">
        <v>0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0.24324324324324326</v>
      </c>
      <c r="G11" s="67">
        <v>0.1891891891891892</v>
      </c>
      <c r="H11" s="68">
        <v>4200</v>
      </c>
      <c r="I11" s="68">
        <v>-9250</v>
      </c>
      <c r="J11" s="67">
        <v>0.125</v>
      </c>
      <c r="K11" s="67">
        <v>0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0.23809523809523808</v>
      </c>
      <c r="G12" s="67">
        <v>0.21428571428571427</v>
      </c>
      <c r="H12" s="68">
        <v>4085</v>
      </c>
      <c r="I12" s="68">
        <v>-8144.4444444444443</v>
      </c>
      <c r="J12" s="67">
        <v>0.1111111111111111</v>
      </c>
      <c r="K12" s="67">
        <v>0</v>
      </c>
      <c r="L12" s="67">
        <v>0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0.25773195876288657</v>
      </c>
      <c r="G13" s="67">
        <v>0.23711340206185566</v>
      </c>
      <c r="H13" s="68">
        <v>4756</v>
      </c>
      <c r="I13" s="68">
        <v>-9313.04347826087</v>
      </c>
      <c r="J13" s="67">
        <v>0.2</v>
      </c>
      <c r="K13" s="67">
        <v>0</v>
      </c>
      <c r="L13" s="67">
        <v>0</v>
      </c>
      <c r="M13" s="67">
        <v>0.16091954022988506</v>
      </c>
      <c r="N13" s="67">
        <v>0.28735632183908044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0.27184466019417475</v>
      </c>
      <c r="G14" s="67">
        <v>0.24271844660194175</v>
      </c>
      <c r="H14" s="68">
        <v>4528.5714285714284</v>
      </c>
      <c r="I14" s="68">
        <v>-9204</v>
      </c>
      <c r="J14" s="67">
        <v>0.18181818181818182</v>
      </c>
      <c r="K14" s="67">
        <v>0</v>
      </c>
      <c r="L14" s="67">
        <v>0</v>
      </c>
      <c r="M14" s="67">
        <v>0.15053763440860216</v>
      </c>
      <c r="N14" s="67">
        <v>0.27956989247311825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0.2831858407079646</v>
      </c>
      <c r="G15" s="67">
        <v>0.24778761061946902</v>
      </c>
      <c r="H15" s="68">
        <v>5150</v>
      </c>
      <c r="I15" s="68">
        <v>-8521.4285714285706</v>
      </c>
      <c r="J15" s="67">
        <v>0.16666666666666666</v>
      </c>
      <c r="K15" s="67">
        <v>0</v>
      </c>
      <c r="L15" s="67">
        <v>0</v>
      </c>
      <c r="M15" s="67">
        <v>0.17475728155339806</v>
      </c>
      <c r="N15" s="67">
        <v>0.25242718446601942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0.27350427350427353</v>
      </c>
      <c r="G16" s="67">
        <v>0.23931623931623933</v>
      </c>
      <c r="H16" s="68">
        <v>5150</v>
      </c>
      <c r="I16" s="68">
        <v>-8521.4285714285706</v>
      </c>
      <c r="J16" s="67">
        <v>0.15384615384615385</v>
      </c>
      <c r="K16" s="67">
        <v>0</v>
      </c>
      <c r="L16" s="67">
        <v>0</v>
      </c>
      <c r="M16" s="67">
        <v>0.18691588785046728</v>
      </c>
      <c r="N16" s="67">
        <v>0.25233644859813081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0.27777777777777779</v>
      </c>
      <c r="G17" s="67">
        <v>0.23809523809523808</v>
      </c>
      <c r="H17" s="68">
        <v>5451.4285714285716</v>
      </c>
      <c r="I17" s="68">
        <v>-8170</v>
      </c>
      <c r="J17" s="67">
        <v>0.14285714285714285</v>
      </c>
      <c r="K17" s="67">
        <v>0</v>
      </c>
      <c r="L17" s="67">
        <v>7.1428571428571425E-2</v>
      </c>
      <c r="M17" s="67">
        <v>0.19827586206896552</v>
      </c>
      <c r="N17" s="67">
        <v>0.25862068965517243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0.28358208955223879</v>
      </c>
      <c r="G18" s="67">
        <v>0.2462686567164179</v>
      </c>
      <c r="H18" s="68">
        <v>5676.3157894736842</v>
      </c>
      <c r="I18" s="68">
        <v>-7996.969696969697</v>
      </c>
      <c r="J18" s="67">
        <v>0.13333333333333333</v>
      </c>
      <c r="K18" s="67">
        <v>0</v>
      </c>
      <c r="L18" s="67">
        <v>6.6666666666666666E-2</v>
      </c>
      <c r="M18" s="67">
        <v>0.20967741935483872</v>
      </c>
      <c r="N18" s="67">
        <v>0.25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0.2857142857142857</v>
      </c>
      <c r="G19" s="67">
        <v>0.24285714285714285</v>
      </c>
      <c r="H19" s="68">
        <v>5682.5</v>
      </c>
      <c r="I19" s="68">
        <v>-8114.7058823529414</v>
      </c>
      <c r="J19" s="67">
        <v>0.125</v>
      </c>
      <c r="K19" s="67">
        <v>0</v>
      </c>
      <c r="L19" s="67">
        <v>6.25E-2</v>
      </c>
      <c r="M19" s="67">
        <v>0.2</v>
      </c>
      <c r="N19" s="67">
        <v>0.24615384615384617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0.28387096774193549</v>
      </c>
      <c r="G20" s="67">
        <v>0.23870967741935484</v>
      </c>
      <c r="H20" s="68">
        <v>6311.363636363636</v>
      </c>
      <c r="I20" s="68">
        <v>-8067.5675675675675</v>
      </c>
      <c r="J20" s="67">
        <v>0.11764705882352941</v>
      </c>
      <c r="K20" s="67">
        <v>5.8823529411764705E-2</v>
      </c>
      <c r="L20" s="67">
        <v>5.8823529411764705E-2</v>
      </c>
      <c r="M20" s="67">
        <v>0.2</v>
      </c>
      <c r="N20" s="67">
        <v>0.2413793103448276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0.29518072289156627</v>
      </c>
      <c r="G21" s="67">
        <v>0.2289156626506024</v>
      </c>
      <c r="H21" s="68">
        <v>6236.7346938775509</v>
      </c>
      <c r="I21" s="68">
        <v>-7992.105263157895</v>
      </c>
      <c r="J21" s="67">
        <v>0.1111111111111111</v>
      </c>
      <c r="K21" s="67">
        <v>5.5555555555555552E-2</v>
      </c>
      <c r="L21" s="67">
        <v>5.5555555555555552E-2</v>
      </c>
      <c r="M21" s="67">
        <v>0.20512820512820512</v>
      </c>
      <c r="N21" s="67">
        <v>0.24358974358974358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0.29142857142857143</v>
      </c>
      <c r="G22" s="67">
        <v>0.21714285714285714</v>
      </c>
      <c r="H22" s="68">
        <v>6084.3137254901958</v>
      </c>
      <c r="I22" s="68">
        <v>-7992.105263157895</v>
      </c>
      <c r="J22" s="67">
        <v>0.10526315789473684</v>
      </c>
      <c r="K22" s="67">
        <v>5.2631578947368418E-2</v>
      </c>
      <c r="L22" s="67">
        <v>5.2631578947368418E-2</v>
      </c>
      <c r="M22" s="67">
        <v>0.21212121212121213</v>
      </c>
      <c r="N22" s="67">
        <v>0.24242424242424243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0.29411764705882354</v>
      </c>
      <c r="G23" s="67">
        <v>0.21390374331550802</v>
      </c>
      <c r="H23" s="68">
        <v>6392.727272727273</v>
      </c>
      <c r="I23" s="68">
        <v>-7957.5</v>
      </c>
      <c r="J23" s="67">
        <v>0.1</v>
      </c>
      <c r="K23" s="67">
        <v>0.05</v>
      </c>
      <c r="L23" s="67">
        <v>0.05</v>
      </c>
      <c r="M23" s="67">
        <v>0.22033898305084745</v>
      </c>
      <c r="N23" s="67">
        <v>0.24293785310734464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0.28865979381443296</v>
      </c>
      <c r="G24" s="67">
        <v>0.21134020618556701</v>
      </c>
      <c r="H24" s="68">
        <v>6416.0714285714284</v>
      </c>
      <c r="I24" s="68">
        <v>-7951.2195121951218</v>
      </c>
      <c r="J24" s="67">
        <v>9.5238095238095233E-2</v>
      </c>
      <c r="K24" s="67">
        <v>4.7619047619047616E-2</v>
      </c>
      <c r="L24" s="67">
        <v>4.7619047619047616E-2</v>
      </c>
      <c r="M24" s="67">
        <v>0.22282608695652173</v>
      </c>
      <c r="N24" s="67">
        <v>0.23369565217391305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0.28499999999999998</v>
      </c>
      <c r="G25" s="67">
        <v>0.215</v>
      </c>
      <c r="H25" s="68">
        <v>6438.5964912280706</v>
      </c>
      <c r="I25" s="68">
        <v>-8441.8604651162786</v>
      </c>
      <c r="J25" s="67">
        <v>0.13636363636363635</v>
      </c>
      <c r="K25" s="67">
        <v>4.5454545454545456E-2</v>
      </c>
      <c r="L25" s="67">
        <v>4.5454545454545456E-2</v>
      </c>
      <c r="M25" s="67">
        <v>0.22631578947368422</v>
      </c>
      <c r="N25" s="67">
        <v>0.23684210526315788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0.28640776699029125</v>
      </c>
      <c r="G26" s="67">
        <v>0.21359223300970873</v>
      </c>
      <c r="H26" s="68">
        <v>6422.0338983050851</v>
      </c>
      <c r="I26" s="68">
        <v>-8295.454545454546</v>
      </c>
      <c r="J26" s="67">
        <v>0.13043478260869565</v>
      </c>
      <c r="K26" s="67">
        <v>4.3478260869565216E-2</v>
      </c>
      <c r="L26" s="67">
        <v>4.3478260869565216E-2</v>
      </c>
      <c r="M26" s="67">
        <v>0.21938775510204081</v>
      </c>
      <c r="N26" s="67">
        <v>0.25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0.28837209302325584</v>
      </c>
      <c r="G27" s="67">
        <v>0.21860465116279071</v>
      </c>
      <c r="H27" s="68">
        <v>6398.3870967741932</v>
      </c>
      <c r="I27" s="68">
        <v>-8182.9787234042551</v>
      </c>
      <c r="J27" s="67">
        <v>0.125</v>
      </c>
      <c r="K27" s="67">
        <v>4.1666666666666664E-2</v>
      </c>
      <c r="L27" s="67">
        <v>4.1666666666666664E-2</v>
      </c>
      <c r="M27" s="67">
        <v>0.22926829268292684</v>
      </c>
      <c r="N27" s="67">
        <v>0.23902439024390243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0.28378378378378377</v>
      </c>
      <c r="G28" s="67">
        <v>0.22072072072072071</v>
      </c>
      <c r="H28" s="68">
        <v>6344.4444444444443</v>
      </c>
      <c r="I28" s="68">
        <v>-8295.9183673469379</v>
      </c>
      <c r="J28" s="67">
        <v>0.16</v>
      </c>
      <c r="K28" s="67">
        <v>0.04</v>
      </c>
      <c r="L28" s="67">
        <v>0.04</v>
      </c>
      <c r="M28" s="67">
        <v>0.22641509433962265</v>
      </c>
      <c r="N28" s="67">
        <v>0.24056603773584906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0.29310344827586204</v>
      </c>
      <c r="G29" s="67">
        <v>0.21120689655172414</v>
      </c>
      <c r="H29" s="68">
        <v>6410.2941176470586</v>
      </c>
      <c r="I29" s="68">
        <v>-8295.9183673469379</v>
      </c>
      <c r="J29" s="67">
        <v>0.15384615384615385</v>
      </c>
      <c r="K29" s="67">
        <v>7.6923076923076927E-2</v>
      </c>
      <c r="L29" s="67">
        <v>3.8461538461538464E-2</v>
      </c>
      <c r="M29" s="67">
        <v>0.23423423423423423</v>
      </c>
      <c r="N29" s="67">
        <v>0.23423423423423423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0.29875518672199169</v>
      </c>
      <c r="G30" s="67">
        <v>0.2074688796680498</v>
      </c>
      <c r="H30" s="68">
        <v>6411.1111111111113</v>
      </c>
      <c r="I30" s="68">
        <v>-8208</v>
      </c>
      <c r="J30" s="67">
        <v>0.14814814814814814</v>
      </c>
      <c r="K30" s="67">
        <v>7.407407407407407E-2</v>
      </c>
      <c r="L30" s="67">
        <v>3.7037037037037035E-2</v>
      </c>
      <c r="M30" s="67">
        <v>0.24242424242424243</v>
      </c>
      <c r="N30" s="67">
        <v>0.22943722943722944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0.30399999999999999</v>
      </c>
      <c r="G31" s="67">
        <v>0.2</v>
      </c>
      <c r="H31" s="68">
        <v>6494.7368421052633</v>
      </c>
      <c r="I31" s="68">
        <v>-8208</v>
      </c>
      <c r="J31" s="67">
        <v>0.14285714285714285</v>
      </c>
      <c r="K31" s="67">
        <v>7.1428571428571425E-2</v>
      </c>
      <c r="L31" s="67">
        <v>3.5714285714285712E-2</v>
      </c>
      <c r="M31" s="67">
        <v>0.25</v>
      </c>
      <c r="N31" s="67">
        <v>0.23333333333333334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0.31395348837209303</v>
      </c>
      <c r="G32" s="67">
        <v>0.19379844961240311</v>
      </c>
      <c r="H32" s="68">
        <v>6746.9135802469136</v>
      </c>
      <c r="I32" s="68">
        <v>-8208</v>
      </c>
      <c r="J32" s="67">
        <v>0.13793103448275862</v>
      </c>
      <c r="K32" s="67">
        <v>6.8965517241379309E-2</v>
      </c>
      <c r="L32" s="67">
        <v>3.4482758620689655E-2</v>
      </c>
      <c r="M32" s="67">
        <v>0.25</v>
      </c>
      <c r="N32" s="67">
        <v>0.23387096774193547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0.30566037735849055</v>
      </c>
      <c r="G33" s="67">
        <v>0.18867924528301888</v>
      </c>
      <c r="H33" s="68">
        <v>6746.9135802469136</v>
      </c>
      <c r="I33" s="68">
        <v>-8208</v>
      </c>
      <c r="J33" s="67">
        <v>0.13333333333333333</v>
      </c>
      <c r="K33" s="67">
        <v>6.6666666666666666E-2</v>
      </c>
      <c r="L33" s="67">
        <v>3.3333333333333333E-2</v>
      </c>
      <c r="M33" s="67">
        <v>0.24313725490196078</v>
      </c>
      <c r="N33" s="67">
        <v>0.23921568627450981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0.30656934306569344</v>
      </c>
      <c r="G34" s="67">
        <v>0.18978102189781021</v>
      </c>
      <c r="H34" s="68">
        <v>6801.1904761904761</v>
      </c>
      <c r="I34" s="68">
        <v>-8353.8461538461543</v>
      </c>
      <c r="J34" s="67">
        <v>0.12903225806451613</v>
      </c>
      <c r="K34" s="67">
        <v>6.4516129032258063E-2</v>
      </c>
      <c r="L34" s="67">
        <v>3.2258064516129031E-2</v>
      </c>
      <c r="M34" s="67">
        <v>0.25</v>
      </c>
      <c r="N34" s="67">
        <v>0.23863636363636365</v>
      </c>
      <c r="O34" s="67">
        <v>0.60606060606060608</v>
      </c>
      <c r="P34" s="67">
        <v>0.31746031746031744</v>
      </c>
      <c r="Q34" s="67">
        <v>0.51190476190476186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CF2DD-BEC9-4D2C-92F4-A4BD39A14347}">
  <sheetPr codeName="Sheet16"/>
  <dimension ref="A1:Q3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0.14285714285714285</v>
      </c>
      <c r="G4" s="67">
        <v>0.14285714285714285</v>
      </c>
      <c r="H4" s="68">
        <v>8000</v>
      </c>
      <c r="I4" s="68">
        <v>-3900</v>
      </c>
      <c r="J4" s="67">
        <v>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0.125</v>
      </c>
      <c r="G5" s="67">
        <v>0.125</v>
      </c>
      <c r="H5" s="68">
        <v>5050</v>
      </c>
      <c r="I5" s="68">
        <v>-6750</v>
      </c>
      <c r="J5" s="67">
        <v>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0.25</v>
      </c>
      <c r="G6" s="67">
        <v>0.1</v>
      </c>
      <c r="H6" s="68">
        <v>3520</v>
      </c>
      <c r="I6" s="68">
        <v>-6750</v>
      </c>
      <c r="J6" s="67">
        <v>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0.2857142857142857</v>
      </c>
      <c r="G7" s="67">
        <v>0.10714285714285714</v>
      </c>
      <c r="H7" s="68">
        <v>4662.5</v>
      </c>
      <c r="I7" s="68">
        <v>-8366.6666666666661</v>
      </c>
      <c r="J7" s="67">
        <v>0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0.27500000000000002</v>
      </c>
      <c r="G8" s="67">
        <v>0.125</v>
      </c>
      <c r="H8" s="68">
        <v>5318.181818181818</v>
      </c>
      <c r="I8" s="68">
        <v>-7400</v>
      </c>
      <c r="J8" s="67">
        <v>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0.2978723404255319</v>
      </c>
      <c r="G9" s="67">
        <v>0.1702127659574468</v>
      </c>
      <c r="H9" s="68">
        <v>5121.4285714285716</v>
      </c>
      <c r="I9" s="68">
        <v>-6487.5</v>
      </c>
      <c r="J9" s="67">
        <v>0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0.30909090909090908</v>
      </c>
      <c r="G10" s="67">
        <v>0.16363636363636364</v>
      </c>
      <c r="H10" s="68">
        <v>5858.8235294117649</v>
      </c>
      <c r="I10" s="68">
        <v>-7100</v>
      </c>
      <c r="J10" s="67">
        <v>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0.27868852459016391</v>
      </c>
      <c r="G11" s="67">
        <v>0.16393442622950818</v>
      </c>
      <c r="H11" s="68">
        <v>5858.8235294117649</v>
      </c>
      <c r="I11" s="68">
        <v>-7190</v>
      </c>
      <c r="J11" s="67">
        <v>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0.29577464788732394</v>
      </c>
      <c r="G12" s="67">
        <v>0.18309859154929578</v>
      </c>
      <c r="H12" s="68">
        <v>6409.5238095238092</v>
      </c>
      <c r="I12" s="68">
        <v>-7530.7692307692305</v>
      </c>
      <c r="J12" s="67">
        <v>0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0.35064935064935066</v>
      </c>
      <c r="G13" s="67">
        <v>0.16883116883116883</v>
      </c>
      <c r="H13" s="68">
        <v>6788.8888888888887</v>
      </c>
      <c r="I13" s="68">
        <v>-7530.7692307692305</v>
      </c>
      <c r="J13" s="67">
        <v>0</v>
      </c>
      <c r="K13" s="67">
        <v>0.1</v>
      </c>
      <c r="L13" s="67">
        <v>0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0.3707865168539326</v>
      </c>
      <c r="G14" s="67">
        <v>0.14606741573033707</v>
      </c>
      <c r="H14" s="68">
        <v>6690.909090909091</v>
      </c>
      <c r="I14" s="68">
        <v>-7530.7692307692305</v>
      </c>
      <c r="J14" s="67">
        <v>0</v>
      </c>
      <c r="K14" s="67">
        <v>9.0909090909090912E-2</v>
      </c>
      <c r="L14" s="67">
        <v>0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0.375</v>
      </c>
      <c r="G15" s="67">
        <v>0.15625</v>
      </c>
      <c r="H15" s="68">
        <v>6500</v>
      </c>
      <c r="I15" s="68">
        <v>-7213.333333333333</v>
      </c>
      <c r="J15" s="67">
        <v>0</v>
      </c>
      <c r="K15" s="67">
        <v>8.3333333333333329E-2</v>
      </c>
      <c r="L15" s="67">
        <v>0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0.3619047619047619</v>
      </c>
      <c r="G16" s="67">
        <v>0.16190476190476191</v>
      </c>
      <c r="H16" s="68">
        <v>6339.4736842105267</v>
      </c>
      <c r="I16" s="68">
        <v>-7376.4705882352937</v>
      </c>
      <c r="J16" s="67">
        <v>0</v>
      </c>
      <c r="K16" s="67">
        <v>7.6923076923076927E-2</v>
      </c>
      <c r="L16" s="67">
        <v>0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0.35135135135135137</v>
      </c>
      <c r="G17" s="67">
        <v>0.15315315315315314</v>
      </c>
      <c r="H17" s="68">
        <v>6382.0512820512822</v>
      </c>
      <c r="I17" s="68">
        <v>-7376.4705882352937</v>
      </c>
      <c r="J17" s="67">
        <v>0</v>
      </c>
      <c r="K17" s="67">
        <v>7.1428571428571425E-2</v>
      </c>
      <c r="L17" s="67">
        <v>0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0.32773109243697479</v>
      </c>
      <c r="G18" s="67">
        <v>0.15966386554621848</v>
      </c>
      <c r="H18" s="68">
        <v>6382.0512820512822</v>
      </c>
      <c r="I18" s="68">
        <v>-8494.7368421052633</v>
      </c>
      <c r="J18" s="67">
        <v>6.6666666666666666E-2</v>
      </c>
      <c r="K18" s="67">
        <v>6.6666666666666666E-2</v>
      </c>
      <c r="L18" s="67">
        <v>0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0.32258064516129031</v>
      </c>
      <c r="G19" s="67">
        <v>0.15322580645161291</v>
      </c>
      <c r="H19" s="68">
        <v>6422.5</v>
      </c>
      <c r="I19" s="68">
        <v>-8494.7368421052633</v>
      </c>
      <c r="J19" s="67">
        <v>6.25E-2</v>
      </c>
      <c r="K19" s="67">
        <v>6.25E-2</v>
      </c>
      <c r="L19" s="67">
        <v>0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0.32575757575757575</v>
      </c>
      <c r="G20" s="67">
        <v>0.14393939393939395</v>
      </c>
      <c r="H20" s="68">
        <v>6330.2325581395353</v>
      </c>
      <c r="I20" s="68">
        <v>-8494.7368421052633</v>
      </c>
      <c r="J20" s="67">
        <v>5.8823529411764705E-2</v>
      </c>
      <c r="K20" s="67">
        <v>5.8823529411764705E-2</v>
      </c>
      <c r="L20" s="67">
        <v>0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0.33571428571428569</v>
      </c>
      <c r="G21" s="67">
        <v>0.1357142857142857</v>
      </c>
      <c r="H21" s="68">
        <v>6131.9148936170213</v>
      </c>
      <c r="I21" s="68">
        <v>-8494.7368421052633</v>
      </c>
      <c r="J21" s="67">
        <v>5.5555555555555552E-2</v>
      </c>
      <c r="K21" s="67">
        <v>5.5555555555555552E-2</v>
      </c>
      <c r="L21" s="67">
        <v>0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0.34693877551020408</v>
      </c>
      <c r="G22" s="67">
        <v>0.1360544217687075</v>
      </c>
      <c r="H22" s="68">
        <v>6884.3137254901958</v>
      </c>
      <c r="I22" s="68">
        <v>-8670</v>
      </c>
      <c r="J22" s="67">
        <v>5.2631578947368418E-2</v>
      </c>
      <c r="K22" s="67">
        <v>0.10526315789473684</v>
      </c>
      <c r="L22" s="67">
        <v>5.2631578947368418E-2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0.35802469135802467</v>
      </c>
      <c r="G23" s="67">
        <v>0.13580246913580246</v>
      </c>
      <c r="H23" s="68">
        <v>6710.3448275862065</v>
      </c>
      <c r="I23" s="68">
        <v>-8440.9090909090901</v>
      </c>
      <c r="J23" s="67">
        <v>0.05</v>
      </c>
      <c r="K23" s="67">
        <v>0.1</v>
      </c>
      <c r="L23" s="67">
        <v>0.05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0.35260115606936415</v>
      </c>
      <c r="G24" s="67">
        <v>0.13294797687861271</v>
      </c>
      <c r="H24" s="68">
        <v>6804.9180327868853</v>
      </c>
      <c r="I24" s="68">
        <v>-8160.869565217391</v>
      </c>
      <c r="J24" s="67">
        <v>4.7619047619047616E-2</v>
      </c>
      <c r="K24" s="67">
        <v>9.5238095238095233E-2</v>
      </c>
      <c r="L24" s="67">
        <v>4.7619047619047616E-2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0.34615384615384615</v>
      </c>
      <c r="G25" s="67">
        <v>0.13736263736263737</v>
      </c>
      <c r="H25" s="68">
        <v>6749.2063492063489</v>
      </c>
      <c r="I25" s="68">
        <v>-8384</v>
      </c>
      <c r="J25" s="67">
        <v>4.5454545454545456E-2</v>
      </c>
      <c r="K25" s="67">
        <v>9.0909090909090912E-2</v>
      </c>
      <c r="L25" s="67">
        <v>4.5454545454545456E-2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0.33333333333333331</v>
      </c>
      <c r="G26" s="67">
        <v>0.14285714285714285</v>
      </c>
      <c r="H26" s="68">
        <v>6749.2063492063489</v>
      </c>
      <c r="I26" s="68">
        <v>-8785.1851851851843</v>
      </c>
      <c r="J26" s="67">
        <v>8.6956521739130432E-2</v>
      </c>
      <c r="K26" s="67">
        <v>8.6956521739130432E-2</v>
      </c>
      <c r="L26" s="67">
        <v>4.3478260869565216E-2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0.34358974358974359</v>
      </c>
      <c r="G27" s="67">
        <v>0.13846153846153847</v>
      </c>
      <c r="H27" s="68">
        <v>7256.7164179104475</v>
      </c>
      <c r="I27" s="68">
        <v>-8785.1851851851843</v>
      </c>
      <c r="J27" s="67">
        <v>8.3333333333333329E-2</v>
      </c>
      <c r="K27" s="67">
        <v>0.125</v>
      </c>
      <c r="L27" s="67">
        <v>4.1666666666666664E-2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0.3446601941747573</v>
      </c>
      <c r="G28" s="67">
        <v>0.14563106796116504</v>
      </c>
      <c r="H28" s="68">
        <v>7145.070422535211</v>
      </c>
      <c r="I28" s="68">
        <v>-8900</v>
      </c>
      <c r="J28" s="67">
        <v>0.08</v>
      </c>
      <c r="K28" s="67">
        <v>0.12</v>
      </c>
      <c r="L28" s="67">
        <v>0.04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0.34579439252336447</v>
      </c>
      <c r="G29" s="67">
        <v>0.14018691588785046</v>
      </c>
      <c r="H29" s="68">
        <v>6987.8378378378375</v>
      </c>
      <c r="I29" s="68">
        <v>-8900</v>
      </c>
      <c r="J29" s="67">
        <v>7.6923076923076927E-2</v>
      </c>
      <c r="K29" s="67">
        <v>0.11538461538461539</v>
      </c>
      <c r="L29" s="67">
        <v>3.8461538461538464E-2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0.34080717488789236</v>
      </c>
      <c r="G30" s="67">
        <v>0.13452914798206278</v>
      </c>
      <c r="H30" s="68">
        <v>7038.1578947368425</v>
      </c>
      <c r="I30" s="68">
        <v>-8900</v>
      </c>
      <c r="J30" s="67">
        <v>7.407407407407407E-2</v>
      </c>
      <c r="K30" s="67">
        <v>0.1111111111111111</v>
      </c>
      <c r="L30" s="67">
        <v>3.7037037037037035E-2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0.34334763948497854</v>
      </c>
      <c r="G31" s="67">
        <v>0.14592274678111589</v>
      </c>
      <c r="H31" s="68">
        <v>6993.75</v>
      </c>
      <c r="I31" s="68">
        <v>-8932.3529411764703</v>
      </c>
      <c r="J31" s="67">
        <v>7.1428571428571425E-2</v>
      </c>
      <c r="K31" s="67">
        <v>0.10714285714285714</v>
      </c>
      <c r="L31" s="67">
        <v>3.5714285714285712E-2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0.35390946502057613</v>
      </c>
      <c r="G32" s="67">
        <v>0.1440329218106996</v>
      </c>
      <c r="H32" s="68">
        <v>7065.1162790697672</v>
      </c>
      <c r="I32" s="68">
        <v>-8751.4285714285706</v>
      </c>
      <c r="J32" s="67">
        <v>6.8965517241379309E-2</v>
      </c>
      <c r="K32" s="67">
        <v>0.13793103448275862</v>
      </c>
      <c r="L32" s="67">
        <v>6.8965517241379309E-2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0.34901960784313724</v>
      </c>
      <c r="G33" s="67">
        <v>0.14509803921568629</v>
      </c>
      <c r="H33" s="68">
        <v>7180.8988764044943</v>
      </c>
      <c r="I33" s="68">
        <v>-8851.3513513513517</v>
      </c>
      <c r="J33" s="67">
        <v>6.6666666666666666E-2</v>
      </c>
      <c r="K33" s="67">
        <v>0.13333333333333333</v>
      </c>
      <c r="L33" s="67">
        <v>6.6666666666666666E-2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0.35114503816793891</v>
      </c>
      <c r="G34" s="67">
        <v>0.14503816793893129</v>
      </c>
      <c r="H34" s="68">
        <v>7370.652173913043</v>
      </c>
      <c r="I34" s="68">
        <v>-8686.8421052631584</v>
      </c>
      <c r="J34" s="67">
        <v>6.4516129032258063E-2</v>
      </c>
      <c r="K34" s="67">
        <v>0.16129032258064516</v>
      </c>
      <c r="L34" s="67">
        <v>6.4516129032258063E-2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0.35164835164835168</v>
      </c>
      <c r="G35" s="67">
        <v>0.14285714285714285</v>
      </c>
      <c r="H35" s="68">
        <v>7340.625</v>
      </c>
      <c r="I35" s="68">
        <v>-8612.8205128205136</v>
      </c>
      <c r="J35" s="67">
        <v>6.25E-2</v>
      </c>
      <c r="K35" s="67">
        <v>0.15625</v>
      </c>
      <c r="L35" s="67">
        <v>6.25E-2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0.3475177304964539</v>
      </c>
      <c r="G36" s="67">
        <v>0.14184397163120568</v>
      </c>
      <c r="H36" s="68">
        <v>7260.2040816326535</v>
      </c>
      <c r="I36" s="68">
        <v>-8495</v>
      </c>
      <c r="J36" s="67">
        <v>6.0606060606060608E-2</v>
      </c>
      <c r="K36" s="67">
        <v>0.15151515151515152</v>
      </c>
      <c r="L36" s="67">
        <v>6.0606060606060608E-2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0.34602076124567471</v>
      </c>
      <c r="G37" s="67">
        <v>0.14878892733564014</v>
      </c>
      <c r="H37" s="68">
        <v>7256</v>
      </c>
      <c r="I37" s="68">
        <v>-8306.9767441860458</v>
      </c>
      <c r="J37" s="67">
        <v>5.8823529411764705E-2</v>
      </c>
      <c r="K37" s="67">
        <v>0.14705882352941177</v>
      </c>
      <c r="L37" s="67">
        <v>5.8823529411764705E-2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0.35016835016835018</v>
      </c>
      <c r="G38" s="67">
        <v>0.14814814814814814</v>
      </c>
      <c r="H38" s="68">
        <v>7118.2692307692305</v>
      </c>
      <c r="I38" s="68">
        <v>-8481.818181818182</v>
      </c>
      <c r="J38" s="67">
        <v>5.7142857142857141E-2</v>
      </c>
      <c r="K38" s="67">
        <v>0.14285714285714285</v>
      </c>
      <c r="L38" s="67">
        <v>5.7142857142857141E-2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ADD3D-68F0-4873-8877-F285153FD6E2}">
  <sheetPr codeName="Sheet14"/>
  <dimension ref="A1:Q4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0.14285714285714285</v>
      </c>
      <c r="G4" s="67">
        <v>0.5714285714285714</v>
      </c>
      <c r="H4" s="68">
        <v>2000</v>
      </c>
      <c r="I4" s="68">
        <v>-5800</v>
      </c>
      <c r="J4" s="67">
        <v>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0.125</v>
      </c>
      <c r="G5" s="67">
        <v>0.4375</v>
      </c>
      <c r="H5" s="68">
        <v>2950</v>
      </c>
      <c r="I5" s="68">
        <v>-5014.2857142857147</v>
      </c>
      <c r="J5" s="67">
        <v>0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0.21739130434782608</v>
      </c>
      <c r="G6" s="67">
        <v>0.34782608695652173</v>
      </c>
      <c r="H6" s="68">
        <v>7100</v>
      </c>
      <c r="I6" s="68">
        <v>-5887.5</v>
      </c>
      <c r="J6" s="67">
        <v>0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0.22222222222222221</v>
      </c>
      <c r="G7" s="67">
        <v>0.33333333333333331</v>
      </c>
      <c r="H7" s="68">
        <v>11250</v>
      </c>
      <c r="I7" s="68">
        <v>-5666.666666666667</v>
      </c>
      <c r="J7" s="67">
        <v>0</v>
      </c>
      <c r="K7" s="67">
        <v>0.25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0.24324324324324326</v>
      </c>
      <c r="G8" s="67">
        <v>0.32432432432432434</v>
      </c>
      <c r="H8" s="68">
        <v>9266.6666666666661</v>
      </c>
      <c r="I8" s="68">
        <v>-5333.333333333333</v>
      </c>
      <c r="J8" s="67">
        <v>0</v>
      </c>
      <c r="K8" s="67">
        <v>0.2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0.26530612244897961</v>
      </c>
      <c r="G9" s="67">
        <v>0.26530612244897961</v>
      </c>
      <c r="H9" s="68">
        <v>9392.3076923076915</v>
      </c>
      <c r="I9" s="68">
        <v>-5323.0769230769229</v>
      </c>
      <c r="J9" s="67">
        <v>0</v>
      </c>
      <c r="K9" s="67">
        <v>0.16666666666666666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0.24561403508771928</v>
      </c>
      <c r="G10" s="67">
        <v>0.26315789473684209</v>
      </c>
      <c r="H10" s="68">
        <v>8921.4285714285706</v>
      </c>
      <c r="I10" s="68">
        <v>-6586.666666666667</v>
      </c>
      <c r="J10" s="67">
        <v>0.14285714285714285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0.27536231884057971</v>
      </c>
      <c r="G11" s="67">
        <v>0.21739130434782608</v>
      </c>
      <c r="H11" s="68">
        <v>8084.2105263157891</v>
      </c>
      <c r="I11" s="68">
        <v>-6586.666666666667</v>
      </c>
      <c r="J11" s="67">
        <v>0.125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0.27272727272727271</v>
      </c>
      <c r="G12" s="67">
        <v>0.23376623376623376</v>
      </c>
      <c r="H12" s="68">
        <v>7695.2380952380954</v>
      </c>
      <c r="I12" s="68">
        <v>-6188.8888888888887</v>
      </c>
      <c r="J12" s="67">
        <v>0.1111111111111111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0.25882352941176473</v>
      </c>
      <c r="G13" s="67">
        <v>0.24705882352941178</v>
      </c>
      <c r="H13" s="68">
        <v>7890.909090909091</v>
      </c>
      <c r="I13" s="68">
        <v>-6633.333333333333</v>
      </c>
      <c r="J13" s="67">
        <v>0.1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0.25263157894736843</v>
      </c>
      <c r="G14" s="67">
        <v>0.23157894736842105</v>
      </c>
      <c r="H14" s="68">
        <v>7883.333333333333</v>
      </c>
      <c r="I14" s="68">
        <v>-6450</v>
      </c>
      <c r="J14" s="67">
        <v>9.0909090909090912E-2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0.22857142857142856</v>
      </c>
      <c r="G15" s="67">
        <v>0.20952380952380953</v>
      </c>
      <c r="H15" s="68">
        <v>7883.333333333333</v>
      </c>
      <c r="I15" s="68">
        <v>-6450</v>
      </c>
      <c r="J15" s="67">
        <v>8.3333333333333329E-2</v>
      </c>
      <c r="K15" s="67">
        <v>8.3333333333333329E-2</v>
      </c>
      <c r="L15" s="67">
        <v>8.3333333333333329E-2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0.22033898305084745</v>
      </c>
      <c r="G16" s="67">
        <v>0.20338983050847459</v>
      </c>
      <c r="H16" s="68">
        <v>7880.7692307692305</v>
      </c>
      <c r="I16" s="68">
        <v>-6895.833333333333</v>
      </c>
      <c r="J16" s="67">
        <v>7.6923076923076927E-2</v>
      </c>
      <c r="K16" s="67">
        <v>7.6923076923076927E-2</v>
      </c>
      <c r="L16" s="67">
        <v>7.6923076923076927E-2</v>
      </c>
      <c r="M16" s="67">
        <v>0.24074074074074073</v>
      </c>
      <c r="N16" s="67">
        <v>0.25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0.23387096774193547</v>
      </c>
      <c r="G17" s="67">
        <v>0.19354838709677419</v>
      </c>
      <c r="H17" s="68">
        <v>7686.2068965517237</v>
      </c>
      <c r="I17" s="68">
        <v>-6895.833333333333</v>
      </c>
      <c r="J17" s="67">
        <v>7.1428571428571425E-2</v>
      </c>
      <c r="K17" s="67">
        <v>7.1428571428571425E-2</v>
      </c>
      <c r="L17" s="67">
        <v>0.14285714285714285</v>
      </c>
      <c r="M17" s="67">
        <v>0.24561403508771928</v>
      </c>
      <c r="N17" s="67">
        <v>0.25438596491228072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0.23255813953488372</v>
      </c>
      <c r="G18" s="67">
        <v>0.18604651162790697</v>
      </c>
      <c r="H18" s="68">
        <v>7696.666666666667</v>
      </c>
      <c r="I18" s="68">
        <v>-6895.833333333333</v>
      </c>
      <c r="J18" s="67">
        <v>6.6666666666666666E-2</v>
      </c>
      <c r="K18" s="67">
        <v>6.6666666666666666E-2</v>
      </c>
      <c r="L18" s="67">
        <v>0.13333333333333333</v>
      </c>
      <c r="M18" s="67">
        <v>0.24369747899159663</v>
      </c>
      <c r="N18" s="67">
        <v>0.25210084033613445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0.22627737226277372</v>
      </c>
      <c r="G19" s="67">
        <v>0.18248175182481752</v>
      </c>
      <c r="H19" s="68">
        <v>7706.4516129032254</v>
      </c>
      <c r="I19" s="68">
        <v>-7100</v>
      </c>
      <c r="J19" s="67">
        <v>6.25E-2</v>
      </c>
      <c r="K19" s="67">
        <v>6.25E-2</v>
      </c>
      <c r="L19" s="67">
        <v>0.125</v>
      </c>
      <c r="M19" s="67">
        <v>0.24409448818897639</v>
      </c>
      <c r="N19" s="67">
        <v>0.24409448818897639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0.22068965517241379</v>
      </c>
      <c r="G20" s="67">
        <v>0.1793103448275862</v>
      </c>
      <c r="H20" s="68">
        <v>7715.625</v>
      </c>
      <c r="I20" s="68">
        <v>-7288.4615384615381</v>
      </c>
      <c r="J20" s="67">
        <v>5.8823529411764705E-2</v>
      </c>
      <c r="K20" s="67">
        <v>5.8823529411764705E-2</v>
      </c>
      <c r="L20" s="67">
        <v>0.11764705882352941</v>
      </c>
      <c r="M20" s="67">
        <v>0.24444444444444444</v>
      </c>
      <c r="N20" s="67">
        <v>0.23703703703703705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0.23717948717948717</v>
      </c>
      <c r="G21" s="67">
        <v>0.17948717948717949</v>
      </c>
      <c r="H21" s="68">
        <v>7875.6756756756758</v>
      </c>
      <c r="I21" s="68">
        <v>-7839.2857142857147</v>
      </c>
      <c r="J21" s="67">
        <v>5.5555555555555552E-2</v>
      </c>
      <c r="K21" s="67">
        <v>5.5555555555555552E-2</v>
      </c>
      <c r="L21" s="67">
        <v>0.1111111111111111</v>
      </c>
      <c r="M21" s="67">
        <v>0.27397260273972601</v>
      </c>
      <c r="N21" s="67">
        <v>0.23287671232876711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0.26035502958579881</v>
      </c>
      <c r="G22" s="67">
        <v>0.17751479289940827</v>
      </c>
      <c r="H22" s="68">
        <v>7934.090909090909</v>
      </c>
      <c r="I22" s="68">
        <v>-7616.666666666667</v>
      </c>
      <c r="J22" s="67">
        <v>5.2631578947368418E-2</v>
      </c>
      <c r="K22" s="67">
        <v>0.10526315789473684</v>
      </c>
      <c r="L22" s="67">
        <v>0.10526315789473684</v>
      </c>
      <c r="M22" s="67">
        <v>0.27044025157232704</v>
      </c>
      <c r="N22" s="67">
        <v>0.23270440251572327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0.25698324022346369</v>
      </c>
      <c r="G23" s="67">
        <v>0.17318435754189945</v>
      </c>
      <c r="H23" s="68">
        <v>8008.695652173913</v>
      </c>
      <c r="I23" s="68">
        <v>-7629.0322580645161</v>
      </c>
      <c r="J23" s="67">
        <v>0.05</v>
      </c>
      <c r="K23" s="67">
        <v>0.1</v>
      </c>
      <c r="L23" s="67">
        <v>0.1</v>
      </c>
      <c r="M23" s="67">
        <v>0.26035502958579881</v>
      </c>
      <c r="N23" s="67">
        <v>0.22485207100591717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0.26063829787234044</v>
      </c>
      <c r="G24" s="67">
        <v>0.16489361702127658</v>
      </c>
      <c r="H24" s="68">
        <v>7983.6734693877552</v>
      </c>
      <c r="I24" s="68">
        <v>-7629.0322580645161</v>
      </c>
      <c r="J24" s="67">
        <v>4.7619047619047616E-2</v>
      </c>
      <c r="K24" s="67">
        <v>9.5238095238095233E-2</v>
      </c>
      <c r="L24" s="67">
        <v>9.5238095238095233E-2</v>
      </c>
      <c r="M24" s="67">
        <v>0.25842696629213485</v>
      </c>
      <c r="N24" s="67">
        <v>0.21910112359550563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0.25</v>
      </c>
      <c r="G25" s="67">
        <v>0.15816326530612246</v>
      </c>
      <c r="H25" s="68">
        <v>7983.6734693877552</v>
      </c>
      <c r="I25" s="68">
        <v>-7629.0322580645161</v>
      </c>
      <c r="J25" s="67">
        <v>4.5454545454545456E-2</v>
      </c>
      <c r="K25" s="67">
        <v>9.0909090909090912E-2</v>
      </c>
      <c r="L25" s="67">
        <v>9.0909090909090912E-2</v>
      </c>
      <c r="M25" s="67">
        <v>0.25806451612903225</v>
      </c>
      <c r="N25" s="67">
        <v>0.20967741935483872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0.2413793103448276</v>
      </c>
      <c r="G26" s="67">
        <v>0.1625615763546798</v>
      </c>
      <c r="H26" s="68">
        <v>7983.6734693877552</v>
      </c>
      <c r="I26" s="68">
        <v>-7372.727272727273</v>
      </c>
      <c r="J26" s="67">
        <v>4.3478260869565216E-2</v>
      </c>
      <c r="K26" s="67">
        <v>8.6956521739130432E-2</v>
      </c>
      <c r="L26" s="67">
        <v>8.6956521739130432E-2</v>
      </c>
      <c r="M26" s="67">
        <v>0.25906735751295334</v>
      </c>
      <c r="N26" s="67">
        <v>0.20725388601036268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0.24285714285714285</v>
      </c>
      <c r="G27" s="67">
        <v>0.16666666666666666</v>
      </c>
      <c r="H27" s="68">
        <v>7982.3529411764703</v>
      </c>
      <c r="I27" s="68">
        <v>-7237.1428571428569</v>
      </c>
      <c r="J27" s="67">
        <v>4.1666666666666664E-2</v>
      </c>
      <c r="K27" s="67">
        <v>8.3333333333333329E-2</v>
      </c>
      <c r="L27" s="67">
        <v>8.3333333333333329E-2</v>
      </c>
      <c r="M27" s="67">
        <v>0.25</v>
      </c>
      <c r="N27" s="67">
        <v>0.21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0.24311926605504589</v>
      </c>
      <c r="G28" s="67">
        <v>0.16513761467889909</v>
      </c>
      <c r="H28" s="68">
        <v>8284.9056603773588</v>
      </c>
      <c r="I28" s="68">
        <v>-7536.1111111111113</v>
      </c>
      <c r="J28" s="67">
        <v>0.04</v>
      </c>
      <c r="K28" s="67">
        <v>0.08</v>
      </c>
      <c r="L28" s="67">
        <v>0.08</v>
      </c>
      <c r="M28" s="67">
        <v>0.25</v>
      </c>
      <c r="N28" s="67">
        <v>0.20673076923076922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0.24229074889867841</v>
      </c>
      <c r="G29" s="67">
        <v>0.16299559471365638</v>
      </c>
      <c r="H29" s="68">
        <v>8101.818181818182</v>
      </c>
      <c r="I29" s="68">
        <v>-7472.9729729729734</v>
      </c>
      <c r="J29" s="67">
        <v>3.8461538461538464E-2</v>
      </c>
      <c r="K29" s="67">
        <v>7.6923076923076927E-2</v>
      </c>
      <c r="L29" s="67">
        <v>7.6923076923076927E-2</v>
      </c>
      <c r="M29" s="67">
        <v>0.24884792626728111</v>
      </c>
      <c r="N29" s="67">
        <v>0.19815668202764977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0.24166666666666667</v>
      </c>
      <c r="G30" s="67">
        <v>0.16666666666666666</v>
      </c>
      <c r="H30" s="68">
        <v>8372.4137931034475</v>
      </c>
      <c r="I30" s="68">
        <v>-7187.5</v>
      </c>
      <c r="J30" s="67">
        <v>3.7037037037037035E-2</v>
      </c>
      <c r="K30" s="67">
        <v>7.407407407407407E-2</v>
      </c>
      <c r="L30" s="67">
        <v>7.407407407407407E-2</v>
      </c>
      <c r="M30" s="67">
        <v>0.2565217391304348</v>
      </c>
      <c r="N30" s="67">
        <v>0.19130434782608696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0.23577235772357724</v>
      </c>
      <c r="G31" s="67">
        <v>0.17073170731707318</v>
      </c>
      <c r="H31" s="68">
        <v>8372.4137931034475</v>
      </c>
      <c r="I31" s="68">
        <v>-7321.4285714285716</v>
      </c>
      <c r="J31" s="67">
        <v>3.5714285714285712E-2</v>
      </c>
      <c r="K31" s="67">
        <v>7.1428571428571425E-2</v>
      </c>
      <c r="L31" s="67">
        <v>7.1428571428571425E-2</v>
      </c>
      <c r="M31" s="67">
        <v>0.25423728813559321</v>
      </c>
      <c r="N31" s="67">
        <v>0.1864406779661017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0.23412698412698413</v>
      </c>
      <c r="G32" s="67">
        <v>0.17460317460317459</v>
      </c>
      <c r="H32" s="68">
        <v>8361.016949152543</v>
      </c>
      <c r="I32" s="68">
        <v>-7193.181818181818</v>
      </c>
      <c r="J32" s="67">
        <v>3.4482758620689655E-2</v>
      </c>
      <c r="K32" s="67">
        <v>6.8965517241379309E-2</v>
      </c>
      <c r="L32" s="67">
        <v>6.8965517241379309E-2</v>
      </c>
      <c r="M32" s="67">
        <v>0.24793388429752067</v>
      </c>
      <c r="N32" s="67">
        <v>0.18181818181818182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0.23574144486692014</v>
      </c>
      <c r="G33" s="67">
        <v>0.17110266159695817</v>
      </c>
      <c r="H33" s="68">
        <v>8224.1935483870966</v>
      </c>
      <c r="I33" s="68">
        <v>-7300</v>
      </c>
      <c r="J33" s="67">
        <v>3.3333333333333333E-2</v>
      </c>
      <c r="K33" s="67">
        <v>6.6666666666666666E-2</v>
      </c>
      <c r="L33" s="67">
        <v>6.6666666666666666E-2</v>
      </c>
      <c r="M33" s="67">
        <v>0.24505928853754941</v>
      </c>
      <c r="N33" s="67">
        <v>0.18181818181818182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0.23985239852398524</v>
      </c>
      <c r="G34" s="67">
        <v>0.16974169741697417</v>
      </c>
      <c r="H34" s="68">
        <v>8490.7692307692305</v>
      </c>
      <c r="I34" s="68">
        <v>-7226.086956521739</v>
      </c>
      <c r="J34" s="67">
        <v>3.2258064516129031E-2</v>
      </c>
      <c r="K34" s="67">
        <v>9.6774193548387094E-2</v>
      </c>
      <c r="L34" s="67">
        <v>9.6774193548387094E-2</v>
      </c>
      <c r="M34" s="67">
        <v>0.24904214559386972</v>
      </c>
      <c r="N34" s="67">
        <v>0.18390804597701149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0.23843416370106763</v>
      </c>
      <c r="G35" s="67">
        <v>0.16725978647686832</v>
      </c>
      <c r="H35" s="68">
        <v>8447.7611940298502</v>
      </c>
      <c r="I35" s="68">
        <v>-7195.744680851064</v>
      </c>
      <c r="J35" s="67">
        <v>3.125E-2</v>
      </c>
      <c r="K35" s="67">
        <v>9.375E-2</v>
      </c>
      <c r="L35" s="67">
        <v>9.375E-2</v>
      </c>
      <c r="M35" s="67">
        <v>0.24723247232472326</v>
      </c>
      <c r="N35" s="67">
        <v>0.18819188191881919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0.24305555555555555</v>
      </c>
      <c r="G36" s="67">
        <v>0.16666666666666666</v>
      </c>
      <c r="H36" s="68">
        <v>8422.8571428571431</v>
      </c>
      <c r="I36" s="68">
        <v>-7206.25</v>
      </c>
      <c r="J36" s="67">
        <v>3.0303030303030304E-2</v>
      </c>
      <c r="K36" s="67">
        <v>9.0909090909090912E-2</v>
      </c>
      <c r="L36" s="67">
        <v>9.0909090909090912E-2</v>
      </c>
      <c r="M36" s="67">
        <v>0.25179856115107913</v>
      </c>
      <c r="N36" s="67">
        <v>0.18345323741007194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0.24914675767918087</v>
      </c>
      <c r="G37" s="67">
        <v>0.16382252559726962</v>
      </c>
      <c r="H37" s="68">
        <v>8586.301369863013</v>
      </c>
      <c r="I37" s="68">
        <v>-7206.25</v>
      </c>
      <c r="J37" s="67">
        <v>2.9411764705882353E-2</v>
      </c>
      <c r="K37" s="67">
        <v>0.11764705882352941</v>
      </c>
      <c r="L37" s="67">
        <v>8.8235294117647065E-2</v>
      </c>
      <c r="M37" s="67">
        <v>0.25795053003533569</v>
      </c>
      <c r="N37" s="67">
        <v>0.18021201413427562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0.24749163879598662</v>
      </c>
      <c r="G38" s="67">
        <v>0.16053511705685619</v>
      </c>
      <c r="H38" s="68">
        <v>8487.8378378378384</v>
      </c>
      <c r="I38" s="68">
        <v>-7206.25</v>
      </c>
      <c r="J38" s="67">
        <v>2.8571428571428571E-2</v>
      </c>
      <c r="K38" s="67">
        <v>0.11428571428571428</v>
      </c>
      <c r="L38" s="67">
        <v>8.5714285714285715E-2</v>
      </c>
      <c r="M38" s="67">
        <v>0.25951557093425603</v>
      </c>
      <c r="N38" s="67">
        <v>0.17647058823529413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0.24104234527687296</v>
      </c>
      <c r="G39" s="67">
        <v>0.15960912052117263</v>
      </c>
      <c r="H39" s="68">
        <v>8487.8378378378384</v>
      </c>
      <c r="I39" s="68">
        <v>-7222.4489795918371</v>
      </c>
      <c r="J39" s="67">
        <v>2.7777777777777776E-2</v>
      </c>
      <c r="K39" s="67">
        <v>0.1111111111111111</v>
      </c>
      <c r="L39" s="67">
        <v>8.3333333333333329E-2</v>
      </c>
      <c r="M39" s="67">
        <v>0.25252525252525254</v>
      </c>
      <c r="N39" s="67">
        <v>0.17508417508417509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0.24281150159744408</v>
      </c>
      <c r="G40" s="67">
        <v>0.15654952076677317</v>
      </c>
      <c r="H40" s="68">
        <v>9001.3157894736851</v>
      </c>
      <c r="I40" s="68">
        <v>-7222.4489795918371</v>
      </c>
      <c r="J40" s="67">
        <v>2.7027027027027029E-2</v>
      </c>
      <c r="K40" s="67">
        <v>0.13513513513513514</v>
      </c>
      <c r="L40" s="67">
        <v>0.10810810810810811</v>
      </c>
      <c r="M40" s="67">
        <v>0.25082508250825081</v>
      </c>
      <c r="N40" s="67">
        <v>0.17491749174917492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0.24374999999999999</v>
      </c>
      <c r="G41" s="67">
        <v>0.15937499999999999</v>
      </c>
      <c r="H41" s="68">
        <v>8955.1282051282051</v>
      </c>
      <c r="I41" s="68">
        <v>-7225.4901960784309</v>
      </c>
      <c r="J41" s="67">
        <v>2.6315789473684209E-2</v>
      </c>
      <c r="K41" s="67">
        <v>0.13157894736842105</v>
      </c>
      <c r="L41" s="67">
        <v>0.10526315789473684</v>
      </c>
      <c r="M41" s="67">
        <v>0.25483870967741934</v>
      </c>
      <c r="N41" s="67">
        <v>0.17419354838709677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0.24770642201834864</v>
      </c>
      <c r="G42" s="67">
        <v>0.15596330275229359</v>
      </c>
      <c r="H42" s="68">
        <v>8769.1358024691363</v>
      </c>
      <c r="I42" s="68">
        <v>-7225.4901960784309</v>
      </c>
      <c r="J42" s="67">
        <v>2.564102564102564E-2</v>
      </c>
      <c r="K42" s="67">
        <v>0.12820512820512819</v>
      </c>
      <c r="L42" s="67">
        <v>0.10256410256410256</v>
      </c>
      <c r="M42" s="67">
        <v>0.25867507886435331</v>
      </c>
      <c r="N42" s="67">
        <v>0.17350157728706625</v>
      </c>
      <c r="O42" s="67">
        <v>0.57317073170731703</v>
      </c>
      <c r="P42" s="67">
        <v>0.30909090909090908</v>
      </c>
      <c r="Q42" s="67">
        <v>0.34567901234567899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A7ADB-A957-4C25-83E5-DFA2CA721E28}">
  <sheetPr codeName="Sheet12"/>
  <dimension ref="A1:Q3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133</v>
      </c>
      <c r="B1" s="70" t="s">
        <v>133</v>
      </c>
      <c r="C1" s="70" t="s">
        <v>133</v>
      </c>
      <c r="D1" s="71" t="s">
        <v>133</v>
      </c>
      <c r="E1" s="70" t="s">
        <v>133</v>
      </c>
      <c r="F1" s="70" t="s">
        <v>133</v>
      </c>
      <c r="G1" s="70" t="s">
        <v>133</v>
      </c>
      <c r="H1" s="70" t="s">
        <v>133</v>
      </c>
      <c r="I1" s="70" t="s">
        <v>133</v>
      </c>
      <c r="J1" s="70" t="s">
        <v>133</v>
      </c>
      <c r="K1" s="70" t="s">
        <v>133</v>
      </c>
      <c r="L1" s="70" t="s">
        <v>133</v>
      </c>
      <c r="M1" s="70" t="s">
        <v>133</v>
      </c>
      <c r="N1" s="70" t="s">
        <v>133</v>
      </c>
      <c r="O1" s="70" t="s">
        <v>133</v>
      </c>
      <c r="P1" s="70" t="s">
        <v>133</v>
      </c>
      <c r="Q1" s="70" t="s">
        <v>133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0.16666666666666666</v>
      </c>
      <c r="G4" s="67">
        <v>0.33333333333333331</v>
      </c>
      <c r="H4" s="68">
        <v>2800</v>
      </c>
      <c r="I4" s="68">
        <v>-7850</v>
      </c>
      <c r="J4" s="67">
        <v>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0.375</v>
      </c>
      <c r="G5" s="67">
        <v>0.25</v>
      </c>
      <c r="H5" s="68">
        <v>7983.333333333333</v>
      </c>
      <c r="I5" s="68">
        <v>-9825</v>
      </c>
      <c r="J5" s="67">
        <v>0</v>
      </c>
      <c r="K5" s="67">
        <v>0</v>
      </c>
      <c r="L5" s="67">
        <v>0.5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0.30769230769230771</v>
      </c>
      <c r="G6" s="67">
        <v>0.26923076923076922</v>
      </c>
      <c r="H6" s="68">
        <v>6837.5</v>
      </c>
      <c r="I6" s="68">
        <v>-8471.4285714285706</v>
      </c>
      <c r="J6" s="67">
        <v>0</v>
      </c>
      <c r="K6" s="67">
        <v>0</v>
      </c>
      <c r="L6" s="67">
        <v>0.33333333333333331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0.27272727272727271</v>
      </c>
      <c r="G7" s="67">
        <v>0.24242424242424243</v>
      </c>
      <c r="H7" s="68">
        <v>7411.1111111111113</v>
      </c>
      <c r="I7" s="68">
        <v>-8137.5</v>
      </c>
      <c r="J7" s="67">
        <v>0</v>
      </c>
      <c r="K7" s="67">
        <v>0</v>
      </c>
      <c r="L7" s="67">
        <v>0.25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0.30232558139534882</v>
      </c>
      <c r="G8" s="67">
        <v>0.2558139534883721</v>
      </c>
      <c r="H8" s="68">
        <v>7515.3846153846152</v>
      </c>
      <c r="I8" s="68">
        <v>-8627.2727272727279</v>
      </c>
      <c r="J8" s="67">
        <v>0</v>
      </c>
      <c r="K8" s="67">
        <v>0</v>
      </c>
      <c r="L8" s="67">
        <v>0.2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0.28846153846153844</v>
      </c>
      <c r="G9" s="67">
        <v>0.26923076923076922</v>
      </c>
      <c r="H9" s="68">
        <v>7973.333333333333</v>
      </c>
      <c r="I9" s="68">
        <v>-8350</v>
      </c>
      <c r="J9" s="67">
        <v>0</v>
      </c>
      <c r="K9" s="67">
        <v>0</v>
      </c>
      <c r="L9" s="67">
        <v>0.16666666666666666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0.26785714285714285</v>
      </c>
      <c r="G10" s="67">
        <v>0.2857142857142857</v>
      </c>
      <c r="H10" s="68">
        <v>7973.333333333333</v>
      </c>
      <c r="I10" s="68">
        <v>-9431.25</v>
      </c>
      <c r="J10" s="67">
        <v>0.14285714285714285</v>
      </c>
      <c r="K10" s="67">
        <v>0</v>
      </c>
      <c r="L10" s="67">
        <v>0.14285714285714285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0.2857142857142857</v>
      </c>
      <c r="G11" s="67">
        <v>0.25396825396825395</v>
      </c>
      <c r="H11" s="68">
        <v>7977.7777777777774</v>
      </c>
      <c r="I11" s="68">
        <v>-9431.25</v>
      </c>
      <c r="J11" s="67">
        <v>0.125</v>
      </c>
      <c r="K11" s="67">
        <v>0</v>
      </c>
      <c r="L11" s="67">
        <v>0.125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0.25333333333333335</v>
      </c>
      <c r="G12" s="67">
        <v>0.24</v>
      </c>
      <c r="H12" s="68">
        <v>7710.5263157894733</v>
      </c>
      <c r="I12" s="68">
        <v>-9244.4444444444453</v>
      </c>
      <c r="J12" s="67">
        <v>0.1111111111111111</v>
      </c>
      <c r="K12" s="67">
        <v>0</v>
      </c>
      <c r="L12" s="67">
        <v>0.1111111111111111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-125.5</v>
      </c>
      <c r="C13" s="66">
        <v>-12.55</v>
      </c>
      <c r="D13" s="71">
        <v>2.2000000000000002</v>
      </c>
      <c r="E13" s="67">
        <v>0.2</v>
      </c>
      <c r="F13" s="67">
        <v>0.27380952380952384</v>
      </c>
      <c r="G13" s="67">
        <v>0.23809523809523808</v>
      </c>
      <c r="H13" s="68">
        <v>7630.434782608696</v>
      </c>
      <c r="I13" s="68">
        <v>-8775</v>
      </c>
      <c r="J13" s="67">
        <v>0.1</v>
      </c>
      <c r="K13" s="67">
        <v>0</v>
      </c>
      <c r="L13" s="67">
        <v>0.1</v>
      </c>
      <c r="M13" s="67">
        <v>0.26190476190476192</v>
      </c>
      <c r="N13" s="67">
        <v>9.5238095238095233E-2</v>
      </c>
      <c r="O13" s="67">
        <v>0.54545454545454541</v>
      </c>
      <c r="P13" s="67">
        <v>0.375</v>
      </c>
      <c r="Q13" s="67">
        <v>0.43478260869565216</v>
      </c>
    </row>
    <row r="14" spans="1:17" x14ac:dyDescent="0.4">
      <c r="A14" s="69">
        <v>11</v>
      </c>
      <c r="B14" s="66">
        <v>-229.3</v>
      </c>
      <c r="C14" s="66">
        <v>-20.845454545454547</v>
      </c>
      <c r="D14" s="71">
        <v>2.2727272727272729</v>
      </c>
      <c r="E14" s="67">
        <v>0.18181818181818182</v>
      </c>
      <c r="F14" s="67">
        <v>0.25510204081632654</v>
      </c>
      <c r="G14" s="67">
        <v>0.25510204081632654</v>
      </c>
      <c r="H14" s="68">
        <v>7820</v>
      </c>
      <c r="I14" s="68">
        <v>-9192</v>
      </c>
      <c r="J14" s="67">
        <v>0.18181818181818182</v>
      </c>
      <c r="K14" s="67">
        <v>0</v>
      </c>
      <c r="L14" s="67">
        <v>9.0909090909090912E-2</v>
      </c>
      <c r="M14" s="67">
        <v>0.26530612244897961</v>
      </c>
      <c r="N14" s="67">
        <v>9.1836734693877556E-2</v>
      </c>
      <c r="O14" s="67">
        <v>0.5</v>
      </c>
      <c r="P14" s="67">
        <v>0.44444444444444442</v>
      </c>
      <c r="Q14" s="67">
        <v>0.48</v>
      </c>
    </row>
    <row r="15" spans="1:17" x14ac:dyDescent="0.4">
      <c r="A15" s="69">
        <v>12</v>
      </c>
      <c r="B15" s="66">
        <v>-303.8</v>
      </c>
      <c r="C15" s="66">
        <v>-25.316666666666666</v>
      </c>
      <c r="D15" s="71">
        <v>2.3333333333333335</v>
      </c>
      <c r="E15" s="67">
        <v>0.16666666666666666</v>
      </c>
      <c r="F15" s="67">
        <v>0.22522522522522523</v>
      </c>
      <c r="G15" s="67">
        <v>0.24324324324324326</v>
      </c>
      <c r="H15" s="68">
        <v>7820</v>
      </c>
      <c r="I15" s="68">
        <v>-9325.9259259259252</v>
      </c>
      <c r="J15" s="67">
        <v>0.25</v>
      </c>
      <c r="K15" s="67">
        <v>0</v>
      </c>
      <c r="L15" s="67">
        <v>8.3333333333333329E-2</v>
      </c>
      <c r="M15" s="67">
        <v>0.24324324324324326</v>
      </c>
      <c r="N15" s="67">
        <v>9.0090090090090086E-2</v>
      </c>
      <c r="O15" s="67">
        <v>0.48148148148148145</v>
      </c>
      <c r="P15" s="67">
        <v>0.4</v>
      </c>
      <c r="Q15" s="67">
        <v>0.48</v>
      </c>
    </row>
    <row r="16" spans="1:17" x14ac:dyDescent="0.4">
      <c r="A16" s="69">
        <v>13</v>
      </c>
      <c r="B16" s="66">
        <v>-335.40000000000003</v>
      </c>
      <c r="C16" s="66">
        <v>-25.800000000000004</v>
      </c>
      <c r="D16" s="71">
        <v>2.3846153846153846</v>
      </c>
      <c r="E16" s="67">
        <v>0.15384615384615385</v>
      </c>
      <c r="F16" s="67">
        <v>0.23140495867768596</v>
      </c>
      <c r="G16" s="67">
        <v>0.2231404958677686</v>
      </c>
      <c r="H16" s="68">
        <v>7282.1428571428569</v>
      </c>
      <c r="I16" s="68">
        <v>-9325.9259259259252</v>
      </c>
      <c r="J16" s="67">
        <v>0.23076923076923078</v>
      </c>
      <c r="K16" s="67">
        <v>0</v>
      </c>
      <c r="L16" s="67">
        <v>7.6923076923076927E-2</v>
      </c>
      <c r="M16" s="67">
        <v>0.23966942148760331</v>
      </c>
      <c r="N16" s="67">
        <v>8.2644628099173556E-2</v>
      </c>
      <c r="O16" s="67">
        <v>0.48275862068965519</v>
      </c>
      <c r="P16" s="67">
        <v>0.4</v>
      </c>
      <c r="Q16" s="67">
        <v>0.4642857142857143</v>
      </c>
    </row>
    <row r="17" spans="1:17" x14ac:dyDescent="0.4">
      <c r="A17" s="69">
        <v>14</v>
      </c>
      <c r="B17" s="66">
        <v>-367.00000000000006</v>
      </c>
      <c r="C17" s="66">
        <v>-26.214285714285719</v>
      </c>
      <c r="D17" s="71">
        <v>2.4285714285714284</v>
      </c>
      <c r="E17" s="67">
        <v>0.14285714285714285</v>
      </c>
      <c r="F17" s="67">
        <v>0.23664122137404581</v>
      </c>
      <c r="G17" s="67">
        <v>0.21374045801526717</v>
      </c>
      <c r="H17" s="68">
        <v>7306.4516129032254</v>
      </c>
      <c r="I17" s="68">
        <v>-9564.2857142857138</v>
      </c>
      <c r="J17" s="67">
        <v>0.21428571428571427</v>
      </c>
      <c r="K17" s="67">
        <v>0</v>
      </c>
      <c r="L17" s="67">
        <v>7.1428571428571425E-2</v>
      </c>
      <c r="M17" s="67">
        <v>0.24427480916030533</v>
      </c>
      <c r="N17" s="67">
        <v>9.1603053435114504E-2</v>
      </c>
      <c r="O17" s="67">
        <v>0.5</v>
      </c>
      <c r="P17" s="67">
        <v>0.33333333333333331</v>
      </c>
      <c r="Q17" s="67">
        <v>0.4838709677419355</v>
      </c>
    </row>
    <row r="18" spans="1:17" x14ac:dyDescent="0.4">
      <c r="A18" s="69">
        <v>15</v>
      </c>
      <c r="B18" s="66">
        <v>-392.50000000000006</v>
      </c>
      <c r="C18" s="66">
        <v>-26.166666666666671</v>
      </c>
      <c r="D18" s="71">
        <v>2.4</v>
      </c>
      <c r="E18" s="67">
        <v>0.13333333333333333</v>
      </c>
      <c r="F18" s="67">
        <v>0.22627737226277372</v>
      </c>
      <c r="G18" s="67">
        <v>0.21897810218978103</v>
      </c>
      <c r="H18" s="68">
        <v>7306.4516129032254</v>
      </c>
      <c r="I18" s="68">
        <v>-9236.6666666666661</v>
      </c>
      <c r="J18" s="67">
        <v>0.2</v>
      </c>
      <c r="K18" s="67">
        <v>0</v>
      </c>
      <c r="L18" s="67">
        <v>6.6666666666666666E-2</v>
      </c>
      <c r="M18" s="67">
        <v>0.23357664233576642</v>
      </c>
      <c r="N18" s="67">
        <v>9.4890510948905105E-2</v>
      </c>
      <c r="O18" s="67">
        <v>0.5</v>
      </c>
      <c r="P18" s="67">
        <v>0.30769230769230771</v>
      </c>
      <c r="Q18" s="67">
        <v>0.4838709677419355</v>
      </c>
    </row>
    <row r="19" spans="1:17" x14ac:dyDescent="0.4">
      <c r="A19" s="69">
        <v>16</v>
      </c>
      <c r="B19" s="66">
        <v>-422.40000000000003</v>
      </c>
      <c r="C19" s="66">
        <v>-26.400000000000002</v>
      </c>
      <c r="D19" s="71">
        <v>2.4375</v>
      </c>
      <c r="E19" s="67">
        <v>0.125</v>
      </c>
      <c r="F19" s="67">
        <v>0.22068965517241379</v>
      </c>
      <c r="G19" s="67">
        <v>0.21379310344827587</v>
      </c>
      <c r="H19" s="68">
        <v>7328.125</v>
      </c>
      <c r="I19" s="68">
        <v>-9022.5806451612898</v>
      </c>
      <c r="J19" s="67">
        <v>0.1875</v>
      </c>
      <c r="K19" s="67">
        <v>0</v>
      </c>
      <c r="L19" s="67">
        <v>6.25E-2</v>
      </c>
      <c r="M19" s="67">
        <v>0.22758620689655173</v>
      </c>
      <c r="N19" s="67">
        <v>0.10344827586206896</v>
      </c>
      <c r="O19" s="67">
        <v>0.51515151515151514</v>
      </c>
      <c r="P19" s="67">
        <v>0.26666666666666666</v>
      </c>
      <c r="Q19" s="67">
        <v>0.46875</v>
      </c>
    </row>
    <row r="20" spans="1:17" x14ac:dyDescent="0.4">
      <c r="A20" s="69">
        <v>17</v>
      </c>
      <c r="B20" s="66">
        <v>-469.90000000000003</v>
      </c>
      <c r="C20" s="66">
        <v>-27.641176470588238</v>
      </c>
      <c r="D20" s="71">
        <v>2.4705882352941178</v>
      </c>
      <c r="E20" s="67">
        <v>0.11764705882352941</v>
      </c>
      <c r="F20" s="67">
        <v>0.21019108280254778</v>
      </c>
      <c r="G20" s="67">
        <v>0.21019108280254778</v>
      </c>
      <c r="H20" s="68">
        <v>7348.484848484848</v>
      </c>
      <c r="I20" s="68">
        <v>-9081.818181818182</v>
      </c>
      <c r="J20" s="67">
        <v>0.17647058823529413</v>
      </c>
      <c r="K20" s="67">
        <v>0</v>
      </c>
      <c r="L20" s="67">
        <v>5.8823529411764705E-2</v>
      </c>
      <c r="M20" s="67">
        <v>0.24203821656050956</v>
      </c>
      <c r="N20" s="67">
        <v>0.10191082802547771</v>
      </c>
      <c r="O20" s="67">
        <v>0.47368421052631576</v>
      </c>
      <c r="P20" s="67">
        <v>0.25</v>
      </c>
      <c r="Q20" s="67">
        <v>0.48484848484848486</v>
      </c>
    </row>
    <row r="21" spans="1:17" x14ac:dyDescent="0.4">
      <c r="A21" s="69">
        <v>18</v>
      </c>
      <c r="B21" s="66">
        <v>-536.20000000000005</v>
      </c>
      <c r="C21" s="66">
        <v>-29.788888888888891</v>
      </c>
      <c r="D21" s="71">
        <v>2.5</v>
      </c>
      <c r="E21" s="67">
        <v>0.1111111111111111</v>
      </c>
      <c r="F21" s="67">
        <v>0.20370370370370369</v>
      </c>
      <c r="G21" s="67">
        <v>0.21604938271604937</v>
      </c>
      <c r="H21" s="68">
        <v>7348.484848484848</v>
      </c>
      <c r="I21" s="68">
        <v>-9362.8571428571431</v>
      </c>
      <c r="J21" s="67">
        <v>0.22222222222222221</v>
      </c>
      <c r="K21" s="67">
        <v>0</v>
      </c>
      <c r="L21" s="67">
        <v>5.5555555555555552E-2</v>
      </c>
      <c r="M21" s="67">
        <v>0.24074074074074073</v>
      </c>
      <c r="N21" s="67">
        <v>0.1111111111111111</v>
      </c>
      <c r="O21" s="67">
        <v>0.46153846153846156</v>
      </c>
      <c r="P21" s="67">
        <v>0.22222222222222221</v>
      </c>
      <c r="Q21" s="67">
        <v>0.48484848484848486</v>
      </c>
    </row>
    <row r="22" spans="1:17" x14ac:dyDescent="0.4">
      <c r="A22" s="69">
        <v>19</v>
      </c>
      <c r="B22" s="66">
        <v>-535.1</v>
      </c>
      <c r="C22" s="66">
        <v>-28.163157894736845</v>
      </c>
      <c r="D22" s="71">
        <v>2.4736842105263159</v>
      </c>
      <c r="E22" s="67">
        <v>0.10526315789473684</v>
      </c>
      <c r="F22" s="67">
        <v>0.21176470588235294</v>
      </c>
      <c r="G22" s="67">
        <v>0.21764705882352942</v>
      </c>
      <c r="H22" s="68">
        <v>7127.7777777777774</v>
      </c>
      <c r="I22" s="68">
        <v>-9159.45945945946</v>
      </c>
      <c r="J22" s="67">
        <v>0.21052631578947367</v>
      </c>
      <c r="K22" s="67">
        <v>0</v>
      </c>
      <c r="L22" s="67">
        <v>5.2631578947368418E-2</v>
      </c>
      <c r="M22" s="67">
        <v>0.25294117647058822</v>
      </c>
      <c r="N22" s="67">
        <v>0.10588235294117647</v>
      </c>
      <c r="O22" s="67">
        <v>0.46511627906976744</v>
      </c>
      <c r="P22" s="67">
        <v>0.22222222222222221</v>
      </c>
      <c r="Q22" s="67">
        <v>0.52777777777777779</v>
      </c>
    </row>
    <row r="23" spans="1:17" x14ac:dyDescent="0.4">
      <c r="A23" s="69">
        <v>20</v>
      </c>
      <c r="B23" s="66">
        <v>-567.4</v>
      </c>
      <c r="C23" s="66">
        <v>-28.369999999999997</v>
      </c>
      <c r="D23" s="71">
        <v>2.5</v>
      </c>
      <c r="E23" s="67">
        <v>0.1</v>
      </c>
      <c r="F23" s="67">
        <v>0.20786516853932585</v>
      </c>
      <c r="G23" s="67">
        <v>0.21910112359550563</v>
      </c>
      <c r="H23" s="68">
        <v>7259.4594594594591</v>
      </c>
      <c r="I23" s="68">
        <v>-9100</v>
      </c>
      <c r="J23" s="67">
        <v>0.2</v>
      </c>
      <c r="K23" s="67">
        <v>0</v>
      </c>
      <c r="L23" s="67">
        <v>0.05</v>
      </c>
      <c r="M23" s="67">
        <v>0.24719101123595505</v>
      </c>
      <c r="N23" s="67">
        <v>0.10674157303370786</v>
      </c>
      <c r="O23" s="67">
        <v>0.47727272727272729</v>
      </c>
      <c r="P23" s="67">
        <v>0.21052631578947367</v>
      </c>
      <c r="Q23" s="67">
        <v>0.51351351351351349</v>
      </c>
    </row>
    <row r="24" spans="1:17" x14ac:dyDescent="0.4">
      <c r="A24" s="69">
        <v>21</v>
      </c>
      <c r="B24" s="66">
        <v>-630.9</v>
      </c>
      <c r="C24" s="66">
        <v>-30.042857142857141</v>
      </c>
      <c r="D24" s="71">
        <v>2.5238095238095237</v>
      </c>
      <c r="E24" s="67">
        <v>9.5238095238095233E-2</v>
      </c>
      <c r="F24" s="67">
        <v>0.2032967032967033</v>
      </c>
      <c r="G24" s="67">
        <v>0.22527472527472528</v>
      </c>
      <c r="H24" s="68">
        <v>7259.4594594594591</v>
      </c>
      <c r="I24" s="68">
        <v>-9631.707317073171</v>
      </c>
      <c r="J24" s="67">
        <v>0.23809523809523808</v>
      </c>
      <c r="K24" s="67">
        <v>0</v>
      </c>
      <c r="L24" s="67">
        <v>4.7619047619047616E-2</v>
      </c>
      <c r="M24" s="67">
        <v>0.24175824175824176</v>
      </c>
      <c r="N24" s="67">
        <v>0.10989010989010989</v>
      </c>
      <c r="O24" s="67">
        <v>0.47727272727272729</v>
      </c>
      <c r="P24" s="67">
        <v>0.2</v>
      </c>
      <c r="Q24" s="67">
        <v>0.51351351351351349</v>
      </c>
    </row>
    <row r="25" spans="1:17" x14ac:dyDescent="0.4">
      <c r="A25" s="69">
        <v>22</v>
      </c>
      <c r="B25" s="66">
        <v>-627.4</v>
      </c>
      <c r="C25" s="66">
        <v>-28.518181818181816</v>
      </c>
      <c r="D25" s="71">
        <v>2.5</v>
      </c>
      <c r="E25" s="67">
        <v>9.0909090909090912E-2</v>
      </c>
      <c r="F25" s="67">
        <v>0.20212765957446807</v>
      </c>
      <c r="G25" s="67">
        <v>0.21808510638297873</v>
      </c>
      <c r="H25" s="68">
        <v>7278.9473684210525</v>
      </c>
      <c r="I25" s="68">
        <v>-9631.707317073171</v>
      </c>
      <c r="J25" s="67">
        <v>0.22727272727272727</v>
      </c>
      <c r="K25" s="67">
        <v>0</v>
      </c>
      <c r="L25" s="67">
        <v>4.5454545454545456E-2</v>
      </c>
      <c r="M25" s="67">
        <v>0.25</v>
      </c>
      <c r="N25" s="67">
        <v>0.11170212765957446</v>
      </c>
      <c r="O25" s="67">
        <v>0.46808510638297873</v>
      </c>
      <c r="P25" s="67">
        <v>0.19047619047619047</v>
      </c>
      <c r="Q25" s="67">
        <v>0.52631578947368418</v>
      </c>
    </row>
    <row r="26" spans="1:17" x14ac:dyDescent="0.4">
      <c r="A26" s="69">
        <v>23</v>
      </c>
      <c r="B26" s="66">
        <v>-668.1</v>
      </c>
      <c r="C26" s="66">
        <v>-29.047826086956523</v>
      </c>
      <c r="D26" s="71">
        <v>2.5217391304347827</v>
      </c>
      <c r="E26" s="67">
        <v>8.6956521739130432E-2</v>
      </c>
      <c r="F26" s="67">
        <v>0.2</v>
      </c>
      <c r="G26" s="67">
        <v>0.22051282051282051</v>
      </c>
      <c r="H26" s="68">
        <v>7297.4358974358975</v>
      </c>
      <c r="I26" s="68">
        <v>-9506.9767441860458</v>
      </c>
      <c r="J26" s="67">
        <v>0.21739130434782608</v>
      </c>
      <c r="K26" s="67">
        <v>0</v>
      </c>
      <c r="L26" s="67">
        <v>4.3478260869565216E-2</v>
      </c>
      <c r="M26" s="67">
        <v>0.25128205128205128</v>
      </c>
      <c r="N26" s="67">
        <v>0.11282051282051282</v>
      </c>
      <c r="O26" s="67">
        <v>0.46938775510204084</v>
      </c>
      <c r="P26" s="67">
        <v>0.18181818181818182</v>
      </c>
      <c r="Q26" s="67">
        <v>0.53846153846153844</v>
      </c>
    </row>
    <row r="27" spans="1:17" x14ac:dyDescent="0.4">
      <c r="A27" s="69">
        <v>24</v>
      </c>
      <c r="B27" s="66">
        <v>-735.1</v>
      </c>
      <c r="C27" s="66">
        <v>-30.629166666666666</v>
      </c>
      <c r="D27" s="71">
        <v>2.5416666666666665</v>
      </c>
      <c r="E27" s="67">
        <v>8.3333333333333329E-2</v>
      </c>
      <c r="F27" s="67">
        <v>0.19500000000000001</v>
      </c>
      <c r="G27" s="67">
        <v>0.22</v>
      </c>
      <c r="H27" s="68">
        <v>7297.4358974358975</v>
      </c>
      <c r="I27" s="68">
        <v>-9563.636363636364</v>
      </c>
      <c r="J27" s="67">
        <v>0.25</v>
      </c>
      <c r="K27" s="67">
        <v>0</v>
      </c>
      <c r="L27" s="67">
        <v>4.1666666666666664E-2</v>
      </c>
      <c r="M27" s="67">
        <v>0.245</v>
      </c>
      <c r="N27" s="67">
        <v>0.11</v>
      </c>
      <c r="O27" s="67">
        <v>0.46938775510204084</v>
      </c>
      <c r="P27" s="67">
        <v>0.18181818181818182</v>
      </c>
      <c r="Q27" s="67">
        <v>0.53846153846153844</v>
      </c>
    </row>
    <row r="28" spans="1:17" x14ac:dyDescent="0.4">
      <c r="A28" s="69">
        <v>25</v>
      </c>
      <c r="B28" s="66">
        <v>-815</v>
      </c>
      <c r="C28" s="66">
        <v>-32.6</v>
      </c>
      <c r="D28" s="71">
        <v>2.56</v>
      </c>
      <c r="E28" s="67">
        <v>0.08</v>
      </c>
      <c r="F28" s="67">
        <v>0.19323671497584541</v>
      </c>
      <c r="G28" s="67">
        <v>0.21739130434782608</v>
      </c>
      <c r="H28" s="68">
        <v>7565</v>
      </c>
      <c r="I28" s="68">
        <v>-10417.777777777777</v>
      </c>
      <c r="J28" s="67">
        <v>0.28000000000000003</v>
      </c>
      <c r="K28" s="67">
        <v>0</v>
      </c>
      <c r="L28" s="67">
        <v>0.04</v>
      </c>
      <c r="M28" s="67">
        <v>0.24637681159420291</v>
      </c>
      <c r="N28" s="67">
        <v>0.1111111111111111</v>
      </c>
      <c r="O28" s="67">
        <v>0.47058823529411764</v>
      </c>
      <c r="P28" s="67">
        <v>0.17391304347826086</v>
      </c>
      <c r="Q28" s="67">
        <v>0.52500000000000002</v>
      </c>
    </row>
    <row r="29" spans="1:17" x14ac:dyDescent="0.4">
      <c r="A29" s="69">
        <v>26</v>
      </c>
      <c r="B29" s="66">
        <v>-781.6</v>
      </c>
      <c r="C29" s="66">
        <v>-30.061538461538461</v>
      </c>
      <c r="D29" s="71">
        <v>2.5</v>
      </c>
      <c r="E29" s="67">
        <v>0.11538461538461539</v>
      </c>
      <c r="F29" s="67">
        <v>0.20465116279069767</v>
      </c>
      <c r="G29" s="67">
        <v>0.21860465116279071</v>
      </c>
      <c r="H29" s="68">
        <v>7634.090909090909</v>
      </c>
      <c r="I29" s="68">
        <v>-10434.04255319149</v>
      </c>
      <c r="J29" s="67">
        <v>0.26923076923076922</v>
      </c>
      <c r="K29" s="67">
        <v>0</v>
      </c>
      <c r="L29" s="67">
        <v>3.8461538461538464E-2</v>
      </c>
      <c r="M29" s="67">
        <v>0.2558139534883721</v>
      </c>
      <c r="N29" s="67">
        <v>0.10697674418604651</v>
      </c>
      <c r="O29" s="67">
        <v>0.49090909090909091</v>
      </c>
      <c r="P29" s="67">
        <v>0.17391304347826086</v>
      </c>
      <c r="Q29" s="67">
        <v>0.54545454545454541</v>
      </c>
    </row>
    <row r="30" spans="1:17" x14ac:dyDescent="0.4">
      <c r="A30" s="69">
        <v>27</v>
      </c>
      <c r="B30" s="66">
        <v>-816.4</v>
      </c>
      <c r="C30" s="66">
        <v>-30.237037037037037</v>
      </c>
      <c r="D30" s="71">
        <v>2.5185185185185186</v>
      </c>
      <c r="E30" s="67">
        <v>0.1111111111111111</v>
      </c>
      <c r="F30" s="67">
        <v>0.20361990950226244</v>
      </c>
      <c r="G30" s="67">
        <v>0.22624434389140272</v>
      </c>
      <c r="H30" s="68">
        <v>7642.2222222222226</v>
      </c>
      <c r="I30" s="68">
        <v>-10226</v>
      </c>
      <c r="J30" s="67">
        <v>0.25925925925925924</v>
      </c>
      <c r="K30" s="67">
        <v>0</v>
      </c>
      <c r="L30" s="67">
        <v>3.7037037037037035E-2</v>
      </c>
      <c r="M30" s="67">
        <v>0.25339366515837103</v>
      </c>
      <c r="N30" s="67">
        <v>0.11764705882352941</v>
      </c>
      <c r="O30" s="67">
        <v>0.5</v>
      </c>
      <c r="P30" s="67">
        <v>0.15384615384615385</v>
      </c>
      <c r="Q30" s="67">
        <v>0.55555555555555558</v>
      </c>
    </row>
    <row r="31" spans="1:17" x14ac:dyDescent="0.4">
      <c r="A31" s="69">
        <v>28</v>
      </c>
      <c r="B31" s="66">
        <v>-874.1</v>
      </c>
      <c r="C31" s="66">
        <v>-31.217857142857145</v>
      </c>
      <c r="D31" s="71">
        <v>2.5357142857142856</v>
      </c>
      <c r="E31" s="67">
        <v>0.10714285714285714</v>
      </c>
      <c r="F31" s="67">
        <v>0.19480519480519481</v>
      </c>
      <c r="G31" s="67">
        <v>0.22943722943722944</v>
      </c>
      <c r="H31" s="68">
        <v>7642.2222222222226</v>
      </c>
      <c r="I31" s="68">
        <v>-9890.566037735849</v>
      </c>
      <c r="J31" s="67">
        <v>0.2857142857142857</v>
      </c>
      <c r="K31" s="67">
        <v>0</v>
      </c>
      <c r="L31" s="67">
        <v>3.5714285714285712E-2</v>
      </c>
      <c r="M31" s="67">
        <v>0.25108225108225107</v>
      </c>
      <c r="N31" s="67">
        <v>0.12987012987012986</v>
      </c>
      <c r="O31" s="67">
        <v>0.48275862068965519</v>
      </c>
      <c r="P31" s="67">
        <v>0.13333333333333333</v>
      </c>
      <c r="Q31" s="67">
        <v>0.55555555555555558</v>
      </c>
    </row>
    <row r="32" spans="1:17" x14ac:dyDescent="0.4">
      <c r="A32" s="69">
        <v>29</v>
      </c>
      <c r="B32" s="66">
        <v>-929</v>
      </c>
      <c r="C32" s="66">
        <v>-32.03448275862069</v>
      </c>
      <c r="D32" s="71">
        <v>2.5517241379310347</v>
      </c>
      <c r="E32" s="67">
        <v>0.10344827586206896</v>
      </c>
      <c r="F32" s="67">
        <v>0.1875</v>
      </c>
      <c r="G32" s="67">
        <v>0.22083333333333333</v>
      </c>
      <c r="H32" s="68">
        <v>7642.2222222222226</v>
      </c>
      <c r="I32" s="68">
        <v>-9890.566037735849</v>
      </c>
      <c r="J32" s="67">
        <v>0.27586206896551724</v>
      </c>
      <c r="K32" s="67">
        <v>0</v>
      </c>
      <c r="L32" s="67">
        <v>3.4482758620689655E-2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-847.1</v>
      </c>
      <c r="C33" s="66">
        <v>-28.236666666666668</v>
      </c>
      <c r="D33" s="71">
        <v>2.5</v>
      </c>
      <c r="E33" s="67">
        <v>0.13333333333333333</v>
      </c>
      <c r="F33" s="67">
        <v>0.19678714859437751</v>
      </c>
      <c r="G33" s="67">
        <v>0.21285140562248997</v>
      </c>
      <c r="H33" s="68">
        <v>8689.7959183673465</v>
      </c>
      <c r="I33" s="68">
        <v>-9890.566037735849</v>
      </c>
      <c r="J33" s="67">
        <v>0.26666666666666666</v>
      </c>
      <c r="K33" s="67">
        <v>3.3333333333333333E-2</v>
      </c>
      <c r="L33" s="67">
        <v>6.6666666666666666E-2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8A19D-B321-43AE-9B02-D6AE3C5F9839}">
  <sheetPr codeName="Sheet10"/>
  <dimension ref="A1:Q8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132</v>
      </c>
      <c r="B1" s="70" t="s">
        <v>132</v>
      </c>
      <c r="C1" s="70" t="s">
        <v>132</v>
      </c>
      <c r="D1" s="71" t="s">
        <v>132</v>
      </c>
      <c r="E1" s="70" t="s">
        <v>132</v>
      </c>
      <c r="F1" s="70" t="s">
        <v>132</v>
      </c>
      <c r="G1" s="70" t="s">
        <v>132</v>
      </c>
      <c r="H1" s="70" t="s">
        <v>132</v>
      </c>
      <c r="I1" s="70" t="s">
        <v>132</v>
      </c>
      <c r="J1" s="70" t="s">
        <v>132</v>
      </c>
      <c r="K1" s="70" t="s">
        <v>132</v>
      </c>
      <c r="L1" s="70" t="s">
        <v>132</v>
      </c>
      <c r="M1" s="70" t="s">
        <v>132</v>
      </c>
      <c r="N1" s="70" t="s">
        <v>132</v>
      </c>
      <c r="O1" s="70" t="s">
        <v>132</v>
      </c>
      <c r="P1" s="70" t="s">
        <v>132</v>
      </c>
      <c r="Q1" s="70" t="s">
        <v>132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0.5</v>
      </c>
      <c r="G4" s="67">
        <v>0.16666666666666666</v>
      </c>
      <c r="H4" s="68">
        <v>13233.333333333334</v>
      </c>
      <c r="I4" s="68">
        <v>-8000</v>
      </c>
      <c r="J4" s="67">
        <v>0</v>
      </c>
      <c r="K4" s="67">
        <v>0</v>
      </c>
      <c r="L4" s="67">
        <v>1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0.3125</v>
      </c>
      <c r="G5" s="67">
        <v>0.25</v>
      </c>
      <c r="H5" s="68">
        <v>11860</v>
      </c>
      <c r="I5" s="68">
        <v>-6950</v>
      </c>
      <c r="J5" s="67">
        <v>0</v>
      </c>
      <c r="K5" s="67">
        <v>0</v>
      </c>
      <c r="L5" s="67">
        <v>0.5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0.23076923076923078</v>
      </c>
      <c r="G6" s="67">
        <v>0.26923076923076922</v>
      </c>
      <c r="H6" s="68">
        <v>11483.333333333334</v>
      </c>
      <c r="I6" s="68">
        <v>-7785.7142857142853</v>
      </c>
      <c r="J6" s="67">
        <v>0</v>
      </c>
      <c r="K6" s="67">
        <v>0</v>
      </c>
      <c r="L6" s="67">
        <v>0.33333333333333331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0.34285714285714286</v>
      </c>
      <c r="G7" s="67">
        <v>0.22857142857142856</v>
      </c>
      <c r="H7" s="68">
        <v>9500</v>
      </c>
      <c r="I7" s="68">
        <v>-7300</v>
      </c>
      <c r="J7" s="67">
        <v>0</v>
      </c>
      <c r="K7" s="67">
        <v>0</v>
      </c>
      <c r="L7" s="67">
        <v>0.25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0.28888888888888886</v>
      </c>
      <c r="G8" s="67">
        <v>0.2</v>
      </c>
      <c r="H8" s="68">
        <v>8846.1538461538457</v>
      </c>
      <c r="I8" s="68">
        <v>-6755.5555555555557</v>
      </c>
      <c r="J8" s="67">
        <v>0</v>
      </c>
      <c r="K8" s="67">
        <v>0</v>
      </c>
      <c r="L8" s="67">
        <v>0.2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0.29629629629629628</v>
      </c>
      <c r="G9" s="67">
        <v>0.16666666666666666</v>
      </c>
      <c r="H9" s="68">
        <v>8231.25</v>
      </c>
      <c r="I9" s="68">
        <v>-6755.5555555555557</v>
      </c>
      <c r="J9" s="67">
        <v>0</v>
      </c>
      <c r="K9" s="67">
        <v>0</v>
      </c>
      <c r="L9" s="67">
        <v>0.16666666666666666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0.29508196721311475</v>
      </c>
      <c r="G10" s="67">
        <v>0.16393442622950818</v>
      </c>
      <c r="H10" s="68">
        <v>8138.8888888888887</v>
      </c>
      <c r="I10" s="68">
        <v>-7880</v>
      </c>
      <c r="J10" s="67">
        <v>0</v>
      </c>
      <c r="K10" s="67">
        <v>0</v>
      </c>
      <c r="L10" s="67">
        <v>0.14285714285714285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0.26760563380281688</v>
      </c>
      <c r="G11" s="67">
        <v>0.14084507042253522</v>
      </c>
      <c r="H11" s="68">
        <v>8115.7894736842109</v>
      </c>
      <c r="I11" s="68">
        <v>-7880</v>
      </c>
      <c r="J11" s="67">
        <v>0</v>
      </c>
      <c r="K11" s="67">
        <v>0</v>
      </c>
      <c r="L11" s="67">
        <v>0.125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0.26923076923076922</v>
      </c>
      <c r="G12" s="67">
        <v>0.16666666666666666</v>
      </c>
      <c r="H12" s="68">
        <v>7900</v>
      </c>
      <c r="I12" s="68">
        <v>-7569.2307692307695</v>
      </c>
      <c r="J12" s="67">
        <v>0</v>
      </c>
      <c r="K12" s="67">
        <v>0</v>
      </c>
      <c r="L12" s="67">
        <v>0.1111111111111111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0.27906976744186046</v>
      </c>
      <c r="G13" s="67">
        <v>0.16279069767441862</v>
      </c>
      <c r="H13" s="68">
        <v>7900</v>
      </c>
      <c r="I13" s="68">
        <v>-7578.5714285714284</v>
      </c>
      <c r="J13" s="67">
        <v>0</v>
      </c>
      <c r="K13" s="67">
        <v>0</v>
      </c>
      <c r="L13" s="67">
        <v>0.1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0.29032258064516131</v>
      </c>
      <c r="G14" s="67">
        <v>0.16129032258064516</v>
      </c>
      <c r="H14" s="68">
        <v>7644.4444444444443</v>
      </c>
      <c r="I14" s="68">
        <v>-7606.666666666667</v>
      </c>
      <c r="J14" s="67">
        <v>0</v>
      </c>
      <c r="K14" s="67">
        <v>0</v>
      </c>
      <c r="L14" s="67">
        <v>9.0909090909090912E-2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0.30097087378640774</v>
      </c>
      <c r="G15" s="67">
        <v>0.17475728155339806</v>
      </c>
      <c r="H15" s="68">
        <v>7809.677419354839</v>
      </c>
      <c r="I15" s="68">
        <v>-8222.2222222222226</v>
      </c>
      <c r="J15" s="67">
        <v>0</v>
      </c>
      <c r="K15" s="67">
        <v>0</v>
      </c>
      <c r="L15" s="67">
        <v>8.3333333333333329E-2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-80.900000000000006</v>
      </c>
      <c r="C16" s="66">
        <v>-6.2230769230769232</v>
      </c>
      <c r="D16" s="71">
        <v>2.2307692307692308</v>
      </c>
      <c r="E16" s="67">
        <v>0.23076923076923078</v>
      </c>
      <c r="F16" s="67">
        <v>0.3125</v>
      </c>
      <c r="G16" s="67">
        <v>0.16071428571428573</v>
      </c>
      <c r="H16" s="68">
        <v>7508.5714285714284</v>
      </c>
      <c r="I16" s="68">
        <v>-8222.2222222222226</v>
      </c>
      <c r="J16" s="67">
        <v>0</v>
      </c>
      <c r="K16" s="67">
        <v>0</v>
      </c>
      <c r="L16" s="67">
        <v>7.6923076923076927E-2</v>
      </c>
      <c r="M16" s="67">
        <v>0.3125</v>
      </c>
      <c r="N16" s="67">
        <v>0.22321428571428573</v>
      </c>
      <c r="O16" s="67">
        <v>0.6</v>
      </c>
      <c r="P16" s="67">
        <v>0.28000000000000003</v>
      </c>
      <c r="Q16" s="67">
        <v>0.37142857142857144</v>
      </c>
    </row>
    <row r="17" spans="1:17" x14ac:dyDescent="0.4">
      <c r="A17" s="69">
        <v>14</v>
      </c>
      <c r="B17" s="66">
        <v>-106.30000000000001</v>
      </c>
      <c r="C17" s="66">
        <v>-7.5928571428571434</v>
      </c>
      <c r="D17" s="71">
        <v>2.2857142857142856</v>
      </c>
      <c r="E17" s="67">
        <v>0.21428571428571427</v>
      </c>
      <c r="F17" s="67">
        <v>0.30327868852459017</v>
      </c>
      <c r="G17" s="67">
        <v>0.16393442622950818</v>
      </c>
      <c r="H17" s="68">
        <v>7483.7837837837842</v>
      </c>
      <c r="I17" s="68">
        <v>-8100</v>
      </c>
      <c r="J17" s="67">
        <v>0</v>
      </c>
      <c r="K17" s="67">
        <v>0</v>
      </c>
      <c r="L17" s="67">
        <v>7.1428571428571425E-2</v>
      </c>
      <c r="M17" s="67">
        <v>0.28688524590163933</v>
      </c>
      <c r="N17" s="67">
        <v>0.24590163934426229</v>
      </c>
      <c r="O17" s="67">
        <v>0.6</v>
      </c>
      <c r="P17" s="67">
        <v>0.26666666666666666</v>
      </c>
      <c r="Q17" s="67">
        <v>0.40540540540540543</v>
      </c>
    </row>
    <row r="18" spans="1:17" x14ac:dyDescent="0.4">
      <c r="A18" s="69">
        <v>15</v>
      </c>
      <c r="B18" s="66">
        <v>-50.000000000000014</v>
      </c>
      <c r="C18" s="66">
        <v>-3.3333333333333344</v>
      </c>
      <c r="D18" s="71">
        <v>2.2000000000000002</v>
      </c>
      <c r="E18" s="67">
        <v>0.26666666666666666</v>
      </c>
      <c r="F18" s="67">
        <v>0.32575757575757575</v>
      </c>
      <c r="G18" s="67">
        <v>0.15151515151515152</v>
      </c>
      <c r="H18" s="68">
        <v>7186.0465116279074</v>
      </c>
      <c r="I18" s="68">
        <v>-8100</v>
      </c>
      <c r="J18" s="67">
        <v>0</v>
      </c>
      <c r="K18" s="67">
        <v>0</v>
      </c>
      <c r="L18" s="67">
        <v>6.6666666666666666E-2</v>
      </c>
      <c r="Q18" s="67">
        <v>0.39534883720930231</v>
      </c>
    </row>
    <row r="19" spans="1:17" x14ac:dyDescent="0.4">
      <c r="A19" s="69">
        <v>16</v>
      </c>
      <c r="B19" s="66">
        <v>23.59999999999998</v>
      </c>
      <c r="C19" s="66">
        <v>1.4749999999999988</v>
      </c>
      <c r="D19" s="71">
        <v>2.125</v>
      </c>
      <c r="E19" s="67">
        <v>0.3125</v>
      </c>
      <c r="F19" s="67">
        <v>0.33793103448275863</v>
      </c>
      <c r="G19" s="67">
        <v>0.15862068965517243</v>
      </c>
      <c r="H19" s="68">
        <v>7891.8367346938776</v>
      </c>
      <c r="I19" s="68">
        <v>-8026.086956521739</v>
      </c>
      <c r="J19" s="67">
        <v>0</v>
      </c>
      <c r="K19" s="67">
        <v>6.25E-2</v>
      </c>
      <c r="L19" s="67">
        <v>6.25E-2</v>
      </c>
      <c r="M19" s="67">
        <v>0.36296296296296299</v>
      </c>
      <c r="N19" s="67">
        <v>0.22962962962962963</v>
      </c>
      <c r="O19" s="67">
        <v>0.63265306122448983</v>
      </c>
      <c r="P19" s="67">
        <v>0.29032258064516131</v>
      </c>
      <c r="Q19" s="67">
        <v>0.38775510204081631</v>
      </c>
    </row>
    <row r="20" spans="1:17" x14ac:dyDescent="0.4">
      <c r="A20" s="69">
        <v>17</v>
      </c>
      <c r="B20" s="66">
        <v>17.299999999999979</v>
      </c>
      <c r="C20" s="66">
        <v>1.0176470588235282</v>
      </c>
      <c r="D20" s="71">
        <v>2.1176470588235294</v>
      </c>
      <c r="E20" s="67">
        <v>0.29411764705882354</v>
      </c>
      <c r="F20" s="67">
        <v>0.33116883116883117</v>
      </c>
      <c r="G20" s="67">
        <v>0.16883116883116883</v>
      </c>
      <c r="H20" s="68">
        <v>7778.4313725490192</v>
      </c>
      <c r="I20" s="68">
        <v>-7476.9230769230771</v>
      </c>
      <c r="J20" s="67">
        <v>0</v>
      </c>
      <c r="K20" s="67">
        <v>5.8823529411764705E-2</v>
      </c>
      <c r="L20" s="67">
        <v>5.8823529411764705E-2</v>
      </c>
      <c r="M20" s="67">
        <v>0.34722222222222221</v>
      </c>
      <c r="N20" s="67">
        <v>0.22916666666666666</v>
      </c>
      <c r="O20" s="67">
        <v>0.64</v>
      </c>
      <c r="P20" s="67">
        <v>0.30303030303030304</v>
      </c>
      <c r="Q20" s="67">
        <v>0.39215686274509803</v>
      </c>
    </row>
    <row r="21" spans="1:17" x14ac:dyDescent="0.4">
      <c r="A21" s="69">
        <v>18</v>
      </c>
      <c r="B21" s="66">
        <v>70.199999999999974</v>
      </c>
      <c r="C21" s="66">
        <v>3.8999999999999986</v>
      </c>
      <c r="D21" s="71">
        <v>2.0555555555555554</v>
      </c>
      <c r="E21" s="67">
        <v>0.33333333333333331</v>
      </c>
      <c r="F21" s="67">
        <v>0.33962264150943394</v>
      </c>
      <c r="G21" s="67">
        <v>0.16352201257861634</v>
      </c>
      <c r="H21" s="68">
        <v>8029.6296296296296</v>
      </c>
      <c r="I21" s="68">
        <v>-7476.9230769230771</v>
      </c>
      <c r="J21" s="67">
        <v>0</v>
      </c>
      <c r="K21" s="67">
        <v>0.1111111111111111</v>
      </c>
      <c r="L21" s="67">
        <v>5.5555555555555552E-2</v>
      </c>
      <c r="M21" s="67">
        <v>0.35570469798657717</v>
      </c>
      <c r="N21" s="67">
        <v>0.22147651006711411</v>
      </c>
      <c r="O21" s="67">
        <v>0.660377358490566</v>
      </c>
      <c r="P21" s="67">
        <v>0.30303030303030304</v>
      </c>
      <c r="Q21" s="67">
        <v>0.3888888888888889</v>
      </c>
    </row>
    <row r="22" spans="1:17" x14ac:dyDescent="0.4">
      <c r="A22" s="69">
        <v>19</v>
      </c>
      <c r="B22" s="66">
        <v>92.299999999999983</v>
      </c>
      <c r="C22" s="66">
        <v>4.8578947368421046</v>
      </c>
      <c r="D22" s="71">
        <v>2</v>
      </c>
      <c r="E22" s="67">
        <v>0.36842105263157893</v>
      </c>
      <c r="F22" s="67">
        <v>0.33532934131736525</v>
      </c>
      <c r="G22" s="67">
        <v>0.16167664670658682</v>
      </c>
      <c r="H22" s="68">
        <v>7980.3571428571431</v>
      </c>
      <c r="I22" s="68">
        <v>-7392.5925925925922</v>
      </c>
      <c r="J22" s="67">
        <v>0</v>
      </c>
      <c r="K22" s="67">
        <v>0.10526315789473684</v>
      </c>
      <c r="L22" s="67">
        <v>0.10526315789473684</v>
      </c>
      <c r="M22" s="67">
        <v>0.3503184713375796</v>
      </c>
      <c r="N22" s="67">
        <v>0.21019108280254778</v>
      </c>
      <c r="O22" s="67">
        <v>0.65454545454545454</v>
      </c>
      <c r="P22" s="67">
        <v>0.30303030303030304</v>
      </c>
      <c r="Q22" s="67">
        <v>0.375</v>
      </c>
    </row>
    <row r="23" spans="1:17" x14ac:dyDescent="0.4">
      <c r="A23" s="69">
        <v>20</v>
      </c>
      <c r="B23" s="66">
        <v>114.39999999999998</v>
      </c>
      <c r="C23" s="66">
        <v>5.7199999999999989</v>
      </c>
      <c r="D23" s="71">
        <v>1.95</v>
      </c>
      <c r="E23" s="67">
        <v>0.4</v>
      </c>
      <c r="F23" s="67">
        <v>0.33142857142857141</v>
      </c>
      <c r="G23" s="67">
        <v>0.16</v>
      </c>
      <c r="H23" s="68">
        <v>7934.4827586206893</v>
      </c>
      <c r="I23" s="68">
        <v>-7314.2857142857147</v>
      </c>
      <c r="J23" s="67">
        <v>0</v>
      </c>
      <c r="K23" s="67">
        <v>0.1</v>
      </c>
      <c r="L23" s="67">
        <v>0.15</v>
      </c>
      <c r="M23" s="67">
        <v>0.34545454545454546</v>
      </c>
      <c r="N23" s="67">
        <v>0.2</v>
      </c>
      <c r="O23" s="67">
        <v>0.64912280701754388</v>
      </c>
      <c r="P23" s="67">
        <v>0.30303030303030304</v>
      </c>
      <c r="Q23" s="67">
        <v>0.36206896551724138</v>
      </c>
    </row>
    <row r="24" spans="1:17" x14ac:dyDescent="0.4">
      <c r="A24" s="69">
        <v>21</v>
      </c>
      <c r="B24" s="66">
        <v>140.09999999999997</v>
      </c>
      <c r="C24" s="66">
        <v>6.6714285714285699</v>
      </c>
      <c r="D24" s="71">
        <v>1.9047619047619047</v>
      </c>
      <c r="E24" s="67">
        <v>0.42857142857142855</v>
      </c>
      <c r="F24" s="67">
        <v>0.32258064516129031</v>
      </c>
      <c r="G24" s="67">
        <v>0.15591397849462366</v>
      </c>
      <c r="H24" s="68">
        <v>8103.333333333333</v>
      </c>
      <c r="I24" s="68">
        <v>-7475.8620689655172</v>
      </c>
      <c r="J24" s="67">
        <v>0</v>
      </c>
      <c r="K24" s="67">
        <v>9.5238095238095233E-2</v>
      </c>
      <c r="L24" s="67">
        <v>0.19047619047619047</v>
      </c>
      <c r="M24" s="67">
        <v>0.34090909090909088</v>
      </c>
      <c r="N24" s="67">
        <v>0.19318181818181818</v>
      </c>
      <c r="O24" s="67">
        <v>0.6333333333333333</v>
      </c>
      <c r="P24" s="67">
        <v>0.29411764705882354</v>
      </c>
      <c r="Q24" s="67">
        <v>0.36666666666666664</v>
      </c>
    </row>
    <row r="25" spans="1:17" x14ac:dyDescent="0.4">
      <c r="A25" s="69">
        <v>22</v>
      </c>
      <c r="B25" s="66">
        <v>179.69999999999996</v>
      </c>
      <c r="C25" s="66">
        <v>8.1681818181818162</v>
      </c>
      <c r="D25" s="71">
        <v>1.9090909090909092</v>
      </c>
      <c r="E25" s="67">
        <v>0.40909090909090912</v>
      </c>
      <c r="F25" s="67">
        <v>0.32</v>
      </c>
      <c r="G25" s="67">
        <v>0.14499999999999999</v>
      </c>
      <c r="H25" s="68">
        <v>8793.75</v>
      </c>
      <c r="I25" s="68">
        <v>-7475.8620689655172</v>
      </c>
      <c r="J25" s="67">
        <v>0</v>
      </c>
      <c r="K25" s="67">
        <v>9.0909090909090912E-2</v>
      </c>
      <c r="L25" s="67">
        <v>0.18181818181818182</v>
      </c>
      <c r="M25" s="67">
        <v>0.34210526315789475</v>
      </c>
      <c r="N25" s="67">
        <v>0.2</v>
      </c>
      <c r="O25" s="67">
        <v>0.61538461538461542</v>
      </c>
      <c r="P25" s="67">
        <v>0.28947368421052633</v>
      </c>
      <c r="Q25" s="67">
        <v>0.359375</v>
      </c>
    </row>
    <row r="26" spans="1:17" x14ac:dyDescent="0.4">
      <c r="A26" s="69">
        <v>23</v>
      </c>
      <c r="B26" s="66">
        <v>214.99999999999994</v>
      </c>
      <c r="C26" s="66">
        <v>9.3478260869565197</v>
      </c>
      <c r="D26" s="71">
        <v>1.8695652173913044</v>
      </c>
      <c r="E26" s="67">
        <v>0.43478260869565216</v>
      </c>
      <c r="F26" s="67">
        <v>0.32535885167464113</v>
      </c>
      <c r="G26" s="67">
        <v>0.14832535885167464</v>
      </c>
      <c r="H26" s="68">
        <v>8864.7058823529405</v>
      </c>
      <c r="I26" s="68">
        <v>-7629.0322580645161</v>
      </c>
      <c r="J26" s="67">
        <v>0</v>
      </c>
      <c r="K26" s="67">
        <v>8.6956521739130432E-2</v>
      </c>
      <c r="L26" s="67">
        <v>0.17391304347826086</v>
      </c>
      <c r="M26" s="67">
        <v>0.35175879396984927</v>
      </c>
      <c r="N26" s="67">
        <v>0.19597989949748743</v>
      </c>
      <c r="O26" s="67">
        <v>0.62857142857142856</v>
      </c>
      <c r="P26" s="67">
        <v>0.28205128205128205</v>
      </c>
      <c r="Q26" s="67">
        <v>0.33823529411764708</v>
      </c>
    </row>
    <row r="27" spans="1:17" x14ac:dyDescent="0.4">
      <c r="A27" s="69">
        <v>24</v>
      </c>
      <c r="B27" s="66">
        <v>221.09999999999994</v>
      </c>
      <c r="C27" s="66">
        <v>9.2124999999999968</v>
      </c>
      <c r="D27" s="71">
        <v>1.875</v>
      </c>
      <c r="E27" s="67">
        <v>0.41666666666666669</v>
      </c>
      <c r="F27" s="67">
        <v>0.33023255813953489</v>
      </c>
      <c r="G27" s="67">
        <v>0.14883720930232558</v>
      </c>
      <c r="H27" s="68">
        <v>9104.2253521126768</v>
      </c>
      <c r="I27" s="68">
        <v>-7765.625</v>
      </c>
      <c r="J27" s="67">
        <v>0</v>
      </c>
      <c r="K27" s="67">
        <v>8.3333333333333329E-2</v>
      </c>
      <c r="L27" s="67">
        <v>0.16666666666666666</v>
      </c>
      <c r="M27" s="67">
        <v>0.35121951219512193</v>
      </c>
      <c r="N27" s="67">
        <v>0.1951219512195122</v>
      </c>
      <c r="O27" s="67">
        <v>0.63888888888888884</v>
      </c>
      <c r="P27" s="67">
        <v>0.3</v>
      </c>
      <c r="Q27" s="67">
        <v>0.3380281690140845</v>
      </c>
    </row>
    <row r="28" spans="1:17" x14ac:dyDescent="0.4">
      <c r="A28" s="69">
        <v>25</v>
      </c>
      <c r="B28" s="66">
        <v>215.99999999999994</v>
      </c>
      <c r="C28" s="66">
        <v>8.639999999999997</v>
      </c>
      <c r="D28" s="71">
        <v>1.88</v>
      </c>
      <c r="E28" s="67">
        <v>0.4</v>
      </c>
      <c r="F28" s="67">
        <v>0.32444444444444442</v>
      </c>
      <c r="G28" s="67">
        <v>0.14222222222222222</v>
      </c>
      <c r="H28" s="68">
        <v>9036.9863013698632</v>
      </c>
      <c r="I28" s="68">
        <v>-7765.625</v>
      </c>
      <c r="J28" s="67">
        <v>0</v>
      </c>
      <c r="K28" s="67">
        <v>0.08</v>
      </c>
      <c r="L28" s="67">
        <v>0.16</v>
      </c>
      <c r="M28" s="67">
        <v>0.33953488372093021</v>
      </c>
      <c r="N28" s="67">
        <v>0.19534883720930232</v>
      </c>
      <c r="O28" s="67">
        <v>0.64383561643835618</v>
      </c>
      <c r="P28" s="67">
        <v>0.30952380952380953</v>
      </c>
      <c r="Q28" s="67">
        <v>0.35616438356164382</v>
      </c>
    </row>
    <row r="29" spans="1:17" x14ac:dyDescent="0.4">
      <c r="A29" s="69">
        <v>26</v>
      </c>
      <c r="B29" s="66">
        <v>221.19999999999993</v>
      </c>
      <c r="C29" s="66">
        <v>8.5076923076923059</v>
      </c>
      <c r="D29" s="71">
        <v>1.8846153846153846</v>
      </c>
      <c r="E29" s="67">
        <v>0.38461538461538464</v>
      </c>
      <c r="F29" s="67">
        <v>0.32051282051282054</v>
      </c>
      <c r="G29" s="67">
        <v>0.14102564102564102</v>
      </c>
      <c r="H29" s="68">
        <v>8984</v>
      </c>
      <c r="I29" s="68">
        <v>-7648.484848484848</v>
      </c>
      <c r="J29" s="67">
        <v>0</v>
      </c>
      <c r="K29" s="67">
        <v>7.6923076923076927E-2</v>
      </c>
      <c r="L29" s="67">
        <v>0.15384615384615385</v>
      </c>
      <c r="M29" s="67">
        <v>0.3392857142857143</v>
      </c>
      <c r="N29" s="67">
        <v>0.19196428571428573</v>
      </c>
      <c r="O29" s="67">
        <v>0.63157894736842102</v>
      </c>
      <c r="P29" s="67">
        <v>0.30232558139534882</v>
      </c>
      <c r="Q29" s="67">
        <v>0.37333333333333335</v>
      </c>
    </row>
    <row r="30" spans="1:17" x14ac:dyDescent="0.4">
      <c r="A30" s="69">
        <v>27</v>
      </c>
      <c r="B30" s="66">
        <v>213.29999999999993</v>
      </c>
      <c r="C30" s="66">
        <v>7.8999999999999977</v>
      </c>
      <c r="D30" s="71">
        <v>1.8888888888888888</v>
      </c>
      <c r="E30" s="67">
        <v>0.37037037037037035</v>
      </c>
      <c r="F30" s="67">
        <v>0.32067510548523209</v>
      </c>
      <c r="G30" s="67">
        <v>0.13924050632911392</v>
      </c>
      <c r="H30" s="68">
        <v>8900</v>
      </c>
      <c r="I30" s="68">
        <v>-7648.484848484848</v>
      </c>
      <c r="J30" s="67">
        <v>0</v>
      </c>
      <c r="K30" s="67">
        <v>7.407407407407407E-2</v>
      </c>
      <c r="L30" s="67">
        <v>0.14814814814814814</v>
      </c>
      <c r="M30" s="67">
        <v>0.33480176211453744</v>
      </c>
      <c r="N30" s="67">
        <v>0.1894273127753304</v>
      </c>
      <c r="O30" s="67">
        <v>0.63157894736842102</v>
      </c>
      <c r="P30" s="67">
        <v>0.30232558139534882</v>
      </c>
      <c r="Q30" s="67">
        <v>0.36842105263157893</v>
      </c>
    </row>
    <row r="31" spans="1:17" x14ac:dyDescent="0.4">
      <c r="A31" s="69">
        <v>28</v>
      </c>
      <c r="B31" s="66">
        <v>212.29999999999993</v>
      </c>
      <c r="C31" s="66">
        <v>7.5821428571428546</v>
      </c>
      <c r="D31" s="71">
        <v>1.8928571428571428</v>
      </c>
      <c r="E31" s="67">
        <v>0.35714285714285715</v>
      </c>
      <c r="F31" s="67">
        <v>0.31707317073170732</v>
      </c>
      <c r="G31" s="67">
        <v>0.13821138211382114</v>
      </c>
      <c r="H31" s="68">
        <v>8935.8974358974356</v>
      </c>
      <c r="I31" s="68">
        <v>-7776.4705882352937</v>
      </c>
      <c r="J31" s="67">
        <v>0</v>
      </c>
      <c r="K31" s="67">
        <v>7.1428571428571425E-2</v>
      </c>
      <c r="L31" s="67">
        <v>0.14285714285714285</v>
      </c>
      <c r="M31" s="67">
        <v>0.32203389830508472</v>
      </c>
      <c r="N31" s="67">
        <v>0.1864406779661017</v>
      </c>
      <c r="O31" s="67">
        <v>0.63157894736842102</v>
      </c>
      <c r="P31" s="67">
        <v>0.29545454545454547</v>
      </c>
      <c r="Q31" s="67">
        <v>0.35897435897435898</v>
      </c>
    </row>
    <row r="32" spans="1:17" x14ac:dyDescent="0.4">
      <c r="A32" s="69">
        <v>29</v>
      </c>
      <c r="B32" s="66">
        <v>166.99999999999994</v>
      </c>
      <c r="C32" s="66">
        <v>5.7586206896551708</v>
      </c>
      <c r="D32" s="71">
        <v>1.9310344827586208</v>
      </c>
      <c r="E32" s="67">
        <v>0.34482758620689657</v>
      </c>
      <c r="F32" s="67">
        <v>0.3110236220472441</v>
      </c>
      <c r="G32" s="67">
        <v>0.14960629921259844</v>
      </c>
      <c r="H32" s="68">
        <v>8888.6075949367096</v>
      </c>
      <c r="I32" s="68">
        <v>-7563.1578947368425</v>
      </c>
      <c r="J32" s="67">
        <v>0</v>
      </c>
      <c r="K32" s="67">
        <v>6.8965517241379309E-2</v>
      </c>
      <c r="L32" s="67">
        <v>0.13793103448275862</v>
      </c>
      <c r="M32" s="67">
        <v>0.31967213114754101</v>
      </c>
      <c r="N32" s="67">
        <v>0.18852459016393441</v>
      </c>
      <c r="O32" s="67">
        <v>0.62820512820512819</v>
      </c>
      <c r="P32" s="67">
        <v>0.28260869565217389</v>
      </c>
      <c r="Q32" s="67">
        <v>0.35443037974683544</v>
      </c>
    </row>
    <row r="33" spans="1:17" x14ac:dyDescent="0.4">
      <c r="A33" s="69">
        <v>30</v>
      </c>
      <c r="B33" s="66">
        <v>158.09999999999994</v>
      </c>
      <c r="C33" s="66">
        <v>5.2699999999999978</v>
      </c>
      <c r="D33" s="71">
        <v>1.9333333333333333</v>
      </c>
      <c r="E33" s="67">
        <v>0.33333333333333331</v>
      </c>
      <c r="F33" s="67">
        <v>0.31034482758620691</v>
      </c>
      <c r="G33" s="67">
        <v>0.14942528735632185</v>
      </c>
      <c r="H33" s="68">
        <v>8737.0370370370365</v>
      </c>
      <c r="I33" s="68">
        <v>-7502.5641025641025</v>
      </c>
      <c r="J33" s="67">
        <v>0</v>
      </c>
      <c r="K33" s="67">
        <v>6.6666666666666666E-2</v>
      </c>
      <c r="L33" s="67">
        <v>0.13333333333333333</v>
      </c>
      <c r="M33" s="67">
        <v>0.31872509960159362</v>
      </c>
      <c r="N33" s="67">
        <v>0.18725099601593626</v>
      </c>
      <c r="O33" s="67">
        <v>0.625</v>
      </c>
      <c r="P33" s="67">
        <v>0.27659574468085107</v>
      </c>
      <c r="Q33" s="67">
        <v>0.35802469135802467</v>
      </c>
    </row>
    <row r="34" spans="1:17" x14ac:dyDescent="0.4">
      <c r="A34" s="69">
        <v>31</v>
      </c>
      <c r="B34" s="66">
        <v>154.59999999999994</v>
      </c>
      <c r="C34" s="66">
        <v>4.9870967741935468</v>
      </c>
      <c r="D34" s="71">
        <v>1.935483870967742</v>
      </c>
      <c r="E34" s="67">
        <v>0.32258064516129031</v>
      </c>
      <c r="F34" s="67">
        <v>0.30627306273062732</v>
      </c>
      <c r="G34" s="67">
        <v>0.15129151291512916</v>
      </c>
      <c r="H34" s="68">
        <v>8839.7590361445782</v>
      </c>
      <c r="I34" s="68">
        <v>-7478.0487804878048</v>
      </c>
      <c r="J34" s="67">
        <v>0</v>
      </c>
      <c r="K34" s="67">
        <v>6.4516129032258063E-2</v>
      </c>
      <c r="L34" s="67">
        <v>0.12903225806451613</v>
      </c>
      <c r="M34" s="67">
        <v>0.31034482758620691</v>
      </c>
      <c r="N34" s="67">
        <v>0.19540229885057472</v>
      </c>
      <c r="O34" s="67">
        <v>0.62962962962962965</v>
      </c>
      <c r="P34" s="67">
        <v>0.27450980392156865</v>
      </c>
      <c r="Q34" s="67">
        <v>0.36144578313253012</v>
      </c>
    </row>
    <row r="35" spans="1:17" x14ac:dyDescent="0.4">
      <c r="A35" s="69">
        <v>32</v>
      </c>
      <c r="B35" s="66">
        <v>162.59999999999994</v>
      </c>
      <c r="C35" s="66">
        <v>5.081249999999998</v>
      </c>
      <c r="D35" s="71">
        <v>1.9375</v>
      </c>
      <c r="E35" s="67">
        <v>0.3125</v>
      </c>
      <c r="F35" s="67">
        <v>0.30434782608695654</v>
      </c>
      <c r="G35" s="67">
        <v>0.14855072463768115</v>
      </c>
      <c r="H35" s="68">
        <v>8877.3809523809523</v>
      </c>
      <c r="I35" s="68">
        <v>-7478.0487804878048</v>
      </c>
      <c r="J35" s="67">
        <v>0</v>
      </c>
      <c r="K35" s="67">
        <v>6.25E-2</v>
      </c>
      <c r="L35" s="67">
        <v>0.125</v>
      </c>
      <c r="M35" s="67">
        <v>0.31203007518796994</v>
      </c>
      <c r="N35" s="67">
        <v>0.19548872180451127</v>
      </c>
      <c r="O35" s="67">
        <v>0.62650602409638556</v>
      </c>
      <c r="P35" s="67">
        <v>0.26923076923076922</v>
      </c>
      <c r="Q35" s="67">
        <v>0.35714285714285715</v>
      </c>
    </row>
    <row r="36" spans="1:17" x14ac:dyDescent="0.4">
      <c r="A36" s="69">
        <v>33</v>
      </c>
      <c r="B36" s="66">
        <v>217.09999999999994</v>
      </c>
      <c r="C36" s="66">
        <v>6.5787878787878773</v>
      </c>
      <c r="D36" s="71">
        <v>1.9090909090909092</v>
      </c>
      <c r="E36" s="67">
        <v>0.33333333333333331</v>
      </c>
      <c r="F36" s="67">
        <v>0.30851063829787234</v>
      </c>
      <c r="G36" s="67">
        <v>0.1453900709219858</v>
      </c>
      <c r="H36" s="68">
        <v>8967.8160919540223</v>
      </c>
      <c r="I36" s="68">
        <v>-7478.0487804878048</v>
      </c>
      <c r="J36" s="67">
        <v>0</v>
      </c>
      <c r="K36" s="67">
        <v>6.0606060606060608E-2</v>
      </c>
      <c r="L36" s="67">
        <v>0.12121212121212122</v>
      </c>
      <c r="M36" s="67">
        <v>0.3125</v>
      </c>
      <c r="N36" s="67">
        <v>0.20220588235294118</v>
      </c>
      <c r="O36" s="67">
        <v>0.63529411764705879</v>
      </c>
      <c r="P36" s="67">
        <v>0.27272727272727271</v>
      </c>
      <c r="Q36" s="67">
        <v>0.36781609195402298</v>
      </c>
    </row>
    <row r="37" spans="1:17" x14ac:dyDescent="0.4">
      <c r="A37" s="69">
        <v>34</v>
      </c>
      <c r="B37" s="66">
        <v>206.49999999999994</v>
      </c>
      <c r="C37" s="66">
        <v>6.0735294117647038</v>
      </c>
      <c r="D37" s="71">
        <v>1.911764705882353</v>
      </c>
      <c r="E37" s="67">
        <v>0.3235294117647059</v>
      </c>
      <c r="F37" s="67">
        <v>0.30240549828178692</v>
      </c>
      <c r="G37" s="67">
        <v>0.15120274914089346</v>
      </c>
      <c r="H37" s="68">
        <v>9002.2727272727279</v>
      </c>
      <c r="I37" s="68">
        <v>-7065.909090909091</v>
      </c>
      <c r="J37" s="67">
        <v>0</v>
      </c>
      <c r="K37" s="67">
        <v>5.8823529411764705E-2</v>
      </c>
      <c r="L37" s="67">
        <v>0.11764705882352941</v>
      </c>
      <c r="M37" s="67">
        <v>0.302491103202847</v>
      </c>
      <c r="N37" s="67">
        <v>0.20284697508896798</v>
      </c>
      <c r="O37" s="67">
        <v>0.63529411764705879</v>
      </c>
      <c r="P37" s="67">
        <v>0.26315789473684209</v>
      </c>
      <c r="Q37" s="67">
        <v>0.36363636363636365</v>
      </c>
    </row>
    <row r="38" spans="1:17" x14ac:dyDescent="0.4">
      <c r="A38" s="69">
        <v>35</v>
      </c>
      <c r="B38" s="66">
        <v>211.09999999999994</v>
      </c>
      <c r="C38" s="66">
        <v>6.0314285714285694</v>
      </c>
      <c r="D38" s="71">
        <v>1.9142857142857144</v>
      </c>
      <c r="E38" s="67">
        <v>0.31428571428571428</v>
      </c>
      <c r="F38" s="67">
        <v>0.30434782608695654</v>
      </c>
      <c r="G38" s="67">
        <v>0.15719063545150502</v>
      </c>
      <c r="H38" s="68">
        <v>9014.2857142857138</v>
      </c>
      <c r="I38" s="68">
        <v>-7072.3404255319147</v>
      </c>
      <c r="J38" s="67">
        <v>0</v>
      </c>
      <c r="K38" s="67">
        <v>5.7142857142857141E-2</v>
      </c>
      <c r="L38" s="67">
        <v>0.11428571428571428</v>
      </c>
      <c r="M38" s="67">
        <v>0.30103806228373703</v>
      </c>
      <c r="N38" s="67">
        <v>0.20415224913494809</v>
      </c>
      <c r="O38" s="67">
        <v>0.64367816091954022</v>
      </c>
      <c r="P38" s="67">
        <v>0.2711864406779661</v>
      </c>
      <c r="Q38" s="67">
        <v>0.37362637362637363</v>
      </c>
    </row>
    <row r="39" spans="1:17" x14ac:dyDescent="0.4">
      <c r="A39" s="69">
        <v>36</v>
      </c>
      <c r="B39" s="66">
        <v>208.59999999999994</v>
      </c>
      <c r="C39" s="66">
        <v>5.7944444444444425</v>
      </c>
      <c r="D39" s="71">
        <v>1.9166666666666667</v>
      </c>
      <c r="E39" s="67">
        <v>0.30555555555555558</v>
      </c>
      <c r="F39" s="67">
        <v>0.29581993569131831</v>
      </c>
      <c r="G39" s="67">
        <v>0.16077170418006431</v>
      </c>
      <c r="H39" s="68">
        <v>9046.7391304347821</v>
      </c>
      <c r="I39" s="68">
        <v>-6758</v>
      </c>
      <c r="J39" s="67">
        <v>0</v>
      </c>
      <c r="K39" s="67">
        <v>5.5555555555555552E-2</v>
      </c>
      <c r="L39" s="67">
        <v>0.1111111111111111</v>
      </c>
      <c r="M39" s="67">
        <v>0.29568106312292358</v>
      </c>
      <c r="N39" s="67">
        <v>0.20265780730897009</v>
      </c>
      <c r="O39" s="67">
        <v>0.6404494382022472</v>
      </c>
      <c r="P39" s="67">
        <v>0.26229508196721313</v>
      </c>
      <c r="Q39" s="67">
        <v>0.38043478260869568</v>
      </c>
    </row>
    <row r="40" spans="1:17" x14ac:dyDescent="0.4">
      <c r="A40" s="69">
        <v>37</v>
      </c>
      <c r="B40" s="66">
        <v>152.59999999999994</v>
      </c>
      <c r="C40" s="66">
        <v>4.1243243243243226</v>
      </c>
      <c r="D40" s="71">
        <v>1.9459459459459461</v>
      </c>
      <c r="E40" s="67">
        <v>0.29729729729729731</v>
      </c>
      <c r="F40" s="67">
        <v>0.29206349206349208</v>
      </c>
      <c r="G40" s="67">
        <v>0.16507936507936508</v>
      </c>
      <c r="H40" s="68">
        <v>9046.7391304347821</v>
      </c>
      <c r="I40" s="68">
        <v>-6959.6153846153848</v>
      </c>
      <c r="J40" s="67">
        <v>2.7027027027027029E-2</v>
      </c>
      <c r="K40" s="67">
        <v>5.4054054054054057E-2</v>
      </c>
      <c r="L40" s="67">
        <v>0.10810810810810811</v>
      </c>
      <c r="M40" s="67">
        <v>0.29180327868852457</v>
      </c>
      <c r="N40" s="67">
        <v>0.2</v>
      </c>
      <c r="O40" s="67">
        <v>0.6404494382022472</v>
      </c>
      <c r="P40" s="67">
        <v>0.26229508196721313</v>
      </c>
      <c r="Q40" s="67">
        <v>0.38043478260869568</v>
      </c>
    </row>
    <row r="41" spans="1:17" x14ac:dyDescent="0.4">
      <c r="A41" s="69">
        <v>38</v>
      </c>
      <c r="B41" s="66">
        <v>164.99999999999994</v>
      </c>
      <c r="C41" s="66">
        <v>4.3421052631578929</v>
      </c>
      <c r="D41" s="71">
        <v>1.9473684210526316</v>
      </c>
      <c r="E41" s="67">
        <v>0.28947368421052633</v>
      </c>
      <c r="F41" s="67">
        <v>0.29629629629629628</v>
      </c>
      <c r="G41" s="67">
        <v>0.16049382716049382</v>
      </c>
      <c r="H41" s="68">
        <v>8866.6666666666661</v>
      </c>
      <c r="I41" s="68">
        <v>-6959.6153846153848</v>
      </c>
      <c r="J41" s="67">
        <v>2.6315789473684209E-2</v>
      </c>
      <c r="K41" s="67">
        <v>5.2631578947368418E-2</v>
      </c>
      <c r="L41" s="67">
        <v>0.10526315789473684</v>
      </c>
      <c r="M41" s="67">
        <v>0.28662420382165604</v>
      </c>
      <c r="N41" s="67">
        <v>0.19426751592356689</v>
      </c>
      <c r="O41" s="67">
        <v>0.64444444444444449</v>
      </c>
      <c r="P41" s="67">
        <v>0.26229508196721313</v>
      </c>
      <c r="Q41" s="67">
        <v>0.39583333333333331</v>
      </c>
    </row>
    <row r="42" spans="1:17" x14ac:dyDescent="0.4">
      <c r="A42" s="69">
        <v>39</v>
      </c>
      <c r="B42" s="66">
        <v>104.69999999999995</v>
      </c>
      <c r="C42" s="66">
        <v>2.6846153846153831</v>
      </c>
      <c r="D42" s="71">
        <v>1.9743589743589745</v>
      </c>
      <c r="E42" s="67">
        <v>0.28205128205128205</v>
      </c>
      <c r="F42" s="67">
        <v>0.29090909090909089</v>
      </c>
      <c r="G42" s="67">
        <v>0.16060606060606061</v>
      </c>
      <c r="H42" s="68">
        <v>8866.6666666666661</v>
      </c>
      <c r="I42" s="68">
        <v>-6979.2452830188677</v>
      </c>
      <c r="J42" s="67">
        <v>5.128205128205128E-2</v>
      </c>
      <c r="K42" s="67">
        <v>5.128205128205128E-2</v>
      </c>
      <c r="L42" s="67">
        <v>0.10256410256410256</v>
      </c>
      <c r="M42" s="67">
        <v>0.28749999999999998</v>
      </c>
      <c r="N42" s="67">
        <v>0.19062499999999999</v>
      </c>
      <c r="O42" s="67">
        <v>0.63043478260869568</v>
      </c>
      <c r="P42" s="67">
        <v>0.26229508196721313</v>
      </c>
      <c r="Q42" s="67">
        <v>0.39583333333333331</v>
      </c>
    </row>
    <row r="43" spans="1:17" x14ac:dyDescent="0.4">
      <c r="A43" s="69">
        <v>40</v>
      </c>
      <c r="B43" s="66">
        <v>103.19999999999995</v>
      </c>
      <c r="C43" s="66">
        <v>2.5799999999999987</v>
      </c>
      <c r="D43" s="71">
        <v>1.9750000000000001</v>
      </c>
      <c r="E43" s="67">
        <v>0.27500000000000002</v>
      </c>
      <c r="F43" s="67">
        <v>0.29203539823008851</v>
      </c>
      <c r="G43" s="67">
        <v>0.16224188790560473</v>
      </c>
      <c r="H43" s="68">
        <v>8810.1010101010106</v>
      </c>
      <c r="I43" s="68">
        <v>-6980</v>
      </c>
      <c r="J43" s="67">
        <v>0.05</v>
      </c>
      <c r="K43" s="67">
        <v>0.05</v>
      </c>
      <c r="L43" s="67">
        <v>0.1</v>
      </c>
      <c r="M43" s="67">
        <v>0.29483282674772038</v>
      </c>
      <c r="N43" s="67">
        <v>0.19148936170212766</v>
      </c>
      <c r="O43" s="67">
        <v>0.62886597938144329</v>
      </c>
      <c r="P43" s="67">
        <v>0.25396825396825395</v>
      </c>
      <c r="Q43" s="67">
        <v>0.40404040404040403</v>
      </c>
    </row>
    <row r="44" spans="1:17" x14ac:dyDescent="0.4">
      <c r="A44" s="69">
        <v>41</v>
      </c>
      <c r="B44" s="66">
        <v>150.59999999999994</v>
      </c>
      <c r="C44" s="66">
        <v>3.6731707317073155</v>
      </c>
      <c r="D44" s="71">
        <v>1.9512195121951219</v>
      </c>
      <c r="E44" s="67">
        <v>0.29268292682926828</v>
      </c>
      <c r="F44" s="67">
        <v>0.30113636363636365</v>
      </c>
      <c r="G44" s="67">
        <v>0.15909090909090909</v>
      </c>
      <c r="H44" s="68">
        <v>8772.6415094339627</v>
      </c>
      <c r="I44" s="68">
        <v>-7176.7857142857147</v>
      </c>
      <c r="J44" s="67">
        <v>4.878048780487805E-2</v>
      </c>
      <c r="K44" s="67">
        <v>4.878048780487805E-2</v>
      </c>
      <c r="L44" s="67">
        <v>9.7560975609756101E-2</v>
      </c>
      <c r="M44" s="67">
        <v>0.30116959064327486</v>
      </c>
      <c r="N44" s="67">
        <v>0.19005847953216373</v>
      </c>
      <c r="O44" s="67">
        <v>0.64077669902912626</v>
      </c>
      <c r="P44" s="67">
        <v>0.24615384615384617</v>
      </c>
      <c r="Q44" s="67">
        <v>0.39622641509433965</v>
      </c>
    </row>
    <row r="45" spans="1:17" x14ac:dyDescent="0.4">
      <c r="A45" s="69">
        <v>42</v>
      </c>
      <c r="B45" s="66">
        <v>224.19999999999993</v>
      </c>
      <c r="C45" s="66">
        <v>5.3380952380952369</v>
      </c>
      <c r="D45" s="71">
        <v>1.9285714285714286</v>
      </c>
      <c r="E45" s="67">
        <v>0.30952380952380953</v>
      </c>
      <c r="F45" s="67">
        <v>0.3081232492997199</v>
      </c>
      <c r="G45" s="67">
        <v>0.15966386554621848</v>
      </c>
      <c r="H45" s="68">
        <v>8977.2727272727279</v>
      </c>
      <c r="I45" s="68">
        <v>-7191.2280701754389</v>
      </c>
      <c r="J45" s="67">
        <v>4.7619047619047616E-2</v>
      </c>
      <c r="K45" s="67">
        <v>7.1428571428571425E-2</v>
      </c>
      <c r="L45" s="67">
        <v>9.5238095238095233E-2</v>
      </c>
      <c r="M45" s="67">
        <v>0.30547550432276654</v>
      </c>
      <c r="N45" s="67">
        <v>0.18731988472622479</v>
      </c>
      <c r="O45" s="67">
        <v>0.65094339622641506</v>
      </c>
      <c r="P45" s="67">
        <v>0.24615384615384617</v>
      </c>
      <c r="Q45" s="67">
        <v>0.4</v>
      </c>
    </row>
    <row r="46" spans="1:17" x14ac:dyDescent="0.4">
      <c r="A46" s="69">
        <v>43</v>
      </c>
      <c r="B46" s="66">
        <v>190.59999999999994</v>
      </c>
      <c r="C46" s="66">
        <v>4.4325581395348825</v>
      </c>
      <c r="D46" s="71">
        <v>1.9534883720930232</v>
      </c>
      <c r="E46" s="67">
        <v>0.30232558139534882</v>
      </c>
      <c r="F46" s="67">
        <v>0.30410958904109592</v>
      </c>
      <c r="G46" s="67">
        <v>0.15890410958904111</v>
      </c>
      <c r="H46" s="68">
        <v>8925.2252252252256</v>
      </c>
      <c r="I46" s="68">
        <v>-7101.7241379310344</v>
      </c>
      <c r="J46" s="67">
        <v>4.6511627906976744E-2</v>
      </c>
      <c r="K46" s="67">
        <v>6.9767441860465115E-2</v>
      </c>
      <c r="L46" s="67">
        <v>9.3023255813953487E-2</v>
      </c>
      <c r="M46" s="67">
        <v>0.30985915492957744</v>
      </c>
      <c r="N46" s="67">
        <v>0.18309859154929578</v>
      </c>
      <c r="O46" s="67">
        <v>0.63636363636363635</v>
      </c>
      <c r="P46" s="67">
        <v>0.24615384615384617</v>
      </c>
      <c r="Q46" s="67">
        <v>0.3963963963963964</v>
      </c>
    </row>
    <row r="47" spans="1:17" x14ac:dyDescent="0.4">
      <c r="A47" s="69">
        <v>44</v>
      </c>
      <c r="B47" s="66">
        <v>205.69999999999993</v>
      </c>
      <c r="C47" s="66">
        <v>4.674999999999998</v>
      </c>
      <c r="D47" s="71">
        <v>1.9545454545454546</v>
      </c>
      <c r="E47" s="67">
        <v>0.29545454545454547</v>
      </c>
      <c r="F47" s="67">
        <v>0.30997304582210244</v>
      </c>
      <c r="G47" s="67">
        <v>0.15902964959568733</v>
      </c>
      <c r="H47" s="68">
        <v>8841.7391304347821</v>
      </c>
      <c r="I47" s="68">
        <v>-7184.7457627118647</v>
      </c>
      <c r="J47" s="67">
        <v>4.5454545454545456E-2</v>
      </c>
      <c r="K47" s="67">
        <v>6.8181818181818177E-2</v>
      </c>
      <c r="L47" s="67">
        <v>9.0909090909090912E-2</v>
      </c>
      <c r="M47" s="67">
        <v>0.31024930747922436</v>
      </c>
      <c r="N47" s="67">
        <v>0.18282548476454294</v>
      </c>
      <c r="O47" s="67">
        <v>0.6428571428571429</v>
      </c>
      <c r="P47" s="67">
        <v>0.25757575757575757</v>
      </c>
      <c r="Q47" s="67">
        <v>0.40869565217391307</v>
      </c>
    </row>
    <row r="48" spans="1:17" x14ac:dyDescent="0.4">
      <c r="A48" s="69">
        <v>45</v>
      </c>
      <c r="B48" s="66">
        <v>144.79999999999993</v>
      </c>
      <c r="C48" s="66">
        <v>3.2177777777777763</v>
      </c>
      <c r="D48" s="71">
        <v>1.9777777777777779</v>
      </c>
      <c r="E48" s="67">
        <v>0.28888888888888886</v>
      </c>
      <c r="F48" s="67">
        <v>0.30687830687830686</v>
      </c>
      <c r="G48" s="67">
        <v>0.15873015873015872</v>
      </c>
      <c r="H48" s="68">
        <v>8868.9655172413786</v>
      </c>
      <c r="I48" s="68">
        <v>-7113.333333333333</v>
      </c>
      <c r="J48" s="67">
        <v>6.6666666666666666E-2</v>
      </c>
      <c r="K48" s="67">
        <v>6.6666666666666666E-2</v>
      </c>
      <c r="L48" s="67">
        <v>8.8888888888888892E-2</v>
      </c>
      <c r="M48" s="67">
        <v>0.30434782608695654</v>
      </c>
      <c r="N48" s="67">
        <v>0.1875</v>
      </c>
      <c r="O48" s="67">
        <v>0.6428571428571429</v>
      </c>
      <c r="P48" s="67">
        <v>0.2608695652173913</v>
      </c>
      <c r="Q48" s="67">
        <v>0.40517241379310343</v>
      </c>
    </row>
    <row r="49" spans="1:17" x14ac:dyDescent="0.4">
      <c r="A49" s="69">
        <v>46</v>
      </c>
      <c r="B49" s="66">
        <v>87.099999999999923</v>
      </c>
      <c r="C49" s="66">
        <v>1.8934782608695635</v>
      </c>
      <c r="D49" s="71">
        <v>2</v>
      </c>
      <c r="E49" s="67">
        <v>0.28260869565217389</v>
      </c>
      <c r="F49" s="67">
        <v>0.30025445292620867</v>
      </c>
      <c r="G49" s="67">
        <v>0.15776081424936386</v>
      </c>
      <c r="H49" s="68">
        <v>8853.3898305084749</v>
      </c>
      <c r="I49" s="68">
        <v>-7075.8064516129034</v>
      </c>
      <c r="J49" s="67">
        <v>8.6956521739130432E-2</v>
      </c>
      <c r="K49" s="67">
        <v>6.5217391304347824E-2</v>
      </c>
      <c r="L49" s="67">
        <v>8.6956521739130432E-2</v>
      </c>
      <c r="M49" s="67">
        <v>0.29503916449086159</v>
      </c>
      <c r="N49" s="67">
        <v>0.18276762402088773</v>
      </c>
      <c r="O49" s="67">
        <v>0.64601769911504425</v>
      </c>
      <c r="P49" s="67">
        <v>0.25714285714285712</v>
      </c>
      <c r="Q49" s="67">
        <v>0.39830508474576271</v>
      </c>
    </row>
    <row r="50" spans="1:17" x14ac:dyDescent="0.4">
      <c r="A50" s="69">
        <v>47</v>
      </c>
      <c r="B50" s="66">
        <v>31.599999999999923</v>
      </c>
      <c r="C50" s="66">
        <v>0.67234042553191331</v>
      </c>
      <c r="D50" s="71">
        <v>2.021276595744681</v>
      </c>
      <c r="E50" s="67">
        <v>0.27659574468085107</v>
      </c>
      <c r="F50" s="67">
        <v>0.29749999999999999</v>
      </c>
      <c r="G50" s="67">
        <v>0.16250000000000001</v>
      </c>
      <c r="H50" s="68">
        <v>8879.8319327731097</v>
      </c>
      <c r="I50" s="68">
        <v>-7395.3846153846152</v>
      </c>
      <c r="J50" s="67">
        <v>0.10638297872340426</v>
      </c>
      <c r="K50" s="67">
        <v>6.3829787234042548E-2</v>
      </c>
      <c r="L50" s="67">
        <v>8.5106382978723402E-2</v>
      </c>
      <c r="M50" s="67">
        <v>0.29487179487179488</v>
      </c>
      <c r="N50" s="67">
        <v>0.17948717948717949</v>
      </c>
      <c r="O50" s="67">
        <v>0.64347826086956517</v>
      </c>
      <c r="P50" s="67">
        <v>0.25714285714285712</v>
      </c>
      <c r="Q50" s="67">
        <v>0.3949579831932773</v>
      </c>
    </row>
    <row r="51" spans="1:17" x14ac:dyDescent="0.4">
      <c r="A51" s="69">
        <v>48</v>
      </c>
      <c r="B51" s="66">
        <v>-28.300000000000075</v>
      </c>
      <c r="C51" s="66">
        <v>-0.5895833333333349</v>
      </c>
      <c r="D51" s="71">
        <v>2.0416666666666665</v>
      </c>
      <c r="E51" s="67">
        <v>0.27083333333333331</v>
      </c>
      <c r="F51" s="67">
        <v>0.29411764705882354</v>
      </c>
      <c r="G51" s="67">
        <v>0.1642156862745098</v>
      </c>
      <c r="H51" s="68">
        <v>8827.5</v>
      </c>
      <c r="I51" s="68">
        <v>-7468.6567164179105</v>
      </c>
      <c r="J51" s="67">
        <v>0.125</v>
      </c>
      <c r="K51" s="67">
        <v>6.25E-2</v>
      </c>
      <c r="L51" s="67">
        <v>8.3333333333333329E-2</v>
      </c>
      <c r="M51" s="67">
        <v>0.29145728643216079</v>
      </c>
      <c r="N51" s="67">
        <v>0.18341708542713567</v>
      </c>
      <c r="O51" s="67">
        <v>0.64655172413793105</v>
      </c>
      <c r="P51" s="67">
        <v>0.24657534246575341</v>
      </c>
      <c r="Q51" s="67">
        <v>0.39166666666666666</v>
      </c>
    </row>
    <row r="52" spans="1:17" x14ac:dyDescent="0.4">
      <c r="A52" s="69">
        <v>49</v>
      </c>
      <c r="B52" s="66">
        <v>26.199999999999925</v>
      </c>
      <c r="C52" s="66">
        <v>0.53469387755101883</v>
      </c>
      <c r="D52" s="71">
        <v>2.0204081632653059</v>
      </c>
      <c r="E52" s="67">
        <v>0.2857142857142857</v>
      </c>
      <c r="F52" s="67">
        <v>0.29611650485436891</v>
      </c>
      <c r="G52" s="67">
        <v>0.16262135922330098</v>
      </c>
      <c r="H52" s="68">
        <v>8961.4754098360663</v>
      </c>
      <c r="I52" s="68">
        <v>-7468.6567164179105</v>
      </c>
      <c r="J52" s="67">
        <v>0.12244897959183673</v>
      </c>
      <c r="K52" s="67">
        <v>8.1632653061224483E-2</v>
      </c>
      <c r="L52" s="67">
        <v>8.1632653061224483E-2</v>
      </c>
      <c r="M52" s="67">
        <v>0.29104477611940299</v>
      </c>
      <c r="N52" s="67">
        <v>0.18159203980099503</v>
      </c>
      <c r="O52" s="67">
        <v>0.6495726495726496</v>
      </c>
      <c r="P52" s="67">
        <v>0.24657534246575341</v>
      </c>
      <c r="Q52" s="67">
        <v>0.38524590163934425</v>
      </c>
    </row>
    <row r="53" spans="1:17" x14ac:dyDescent="0.4">
      <c r="A53" s="69">
        <v>50</v>
      </c>
      <c r="B53" s="66">
        <v>-29.200000000000074</v>
      </c>
      <c r="C53" s="66">
        <v>-0.58400000000000152</v>
      </c>
      <c r="D53" s="71">
        <v>2.04</v>
      </c>
      <c r="E53" s="67">
        <v>0.28000000000000003</v>
      </c>
      <c r="F53" s="67">
        <v>0.291866028708134</v>
      </c>
      <c r="G53" s="67">
        <v>0.16507177033492823</v>
      </c>
      <c r="H53" s="68">
        <v>8961.4754098360663</v>
      </c>
      <c r="I53" s="68">
        <v>-7600</v>
      </c>
      <c r="J53" s="67">
        <v>0.14000000000000001</v>
      </c>
      <c r="K53" s="67">
        <v>0.08</v>
      </c>
      <c r="L53" s="67">
        <v>0.08</v>
      </c>
      <c r="M53" s="67">
        <v>0.28676470588235292</v>
      </c>
      <c r="N53" s="67">
        <v>0.18137254901960784</v>
      </c>
      <c r="O53" s="67">
        <v>0.6495726495726496</v>
      </c>
      <c r="P53" s="67">
        <v>0.24324324324324326</v>
      </c>
      <c r="Q53" s="67">
        <v>0.38524590163934425</v>
      </c>
    </row>
    <row r="54" spans="1:17" x14ac:dyDescent="0.4">
      <c r="A54" s="69">
        <v>51</v>
      </c>
      <c r="B54" s="66">
        <v>-25.100000000000072</v>
      </c>
      <c r="C54" s="66">
        <v>-0.49215686274509945</v>
      </c>
      <c r="D54" s="71">
        <v>2.0392156862745097</v>
      </c>
      <c r="E54" s="67">
        <v>0.27450980392156865</v>
      </c>
      <c r="F54" s="67">
        <v>0.29039812646370022</v>
      </c>
      <c r="G54" s="67">
        <v>0.16627634660421545</v>
      </c>
      <c r="H54" s="68">
        <v>9026.6129032258068</v>
      </c>
      <c r="I54" s="68">
        <v>-7530.9859154929582</v>
      </c>
      <c r="J54" s="67">
        <v>0.13725490196078433</v>
      </c>
      <c r="K54" s="67">
        <v>7.8431372549019607E-2</v>
      </c>
      <c r="L54" s="67">
        <v>7.8431372549019607E-2</v>
      </c>
      <c r="M54" s="67">
        <v>0.29256594724220625</v>
      </c>
      <c r="N54" s="67">
        <v>0.17745803357314149</v>
      </c>
      <c r="O54" s="67">
        <v>0.63934426229508201</v>
      </c>
      <c r="P54" s="67">
        <v>0.24324324324324326</v>
      </c>
      <c r="Q54" s="67">
        <v>0.38709677419354838</v>
      </c>
    </row>
    <row r="55" spans="1:17" x14ac:dyDescent="0.4">
      <c r="A55" s="69">
        <v>52</v>
      </c>
      <c r="B55" s="66">
        <v>-53.700000000000074</v>
      </c>
      <c r="C55" s="66">
        <v>-1.0326923076923091</v>
      </c>
      <c r="D55" s="71">
        <v>2.0576923076923075</v>
      </c>
      <c r="E55" s="67">
        <v>0.26923076923076922</v>
      </c>
      <c r="F55" s="67">
        <v>0.28538812785388129</v>
      </c>
      <c r="G55" s="67">
        <v>0.16438356164383561</v>
      </c>
      <c r="H55" s="68">
        <v>8971.2000000000007</v>
      </c>
      <c r="I55" s="68">
        <v>-7466.666666666667</v>
      </c>
      <c r="J55" s="67">
        <v>0.13461538461538461</v>
      </c>
      <c r="K55" s="67">
        <v>7.6923076923076927E-2</v>
      </c>
      <c r="L55" s="67">
        <v>7.6923076923076927E-2</v>
      </c>
      <c r="M55" s="67">
        <v>0.28504672897196259</v>
      </c>
      <c r="N55" s="67">
        <v>0.17757009345794392</v>
      </c>
      <c r="O55" s="67">
        <v>0.63934426229508201</v>
      </c>
      <c r="P55" s="67">
        <v>0.23684210526315788</v>
      </c>
      <c r="Q55" s="67">
        <v>0.39200000000000002</v>
      </c>
    </row>
    <row r="56" spans="1:17" x14ac:dyDescent="0.4">
      <c r="A56" s="69">
        <v>53</v>
      </c>
      <c r="B56" s="66">
        <v>-80.000000000000071</v>
      </c>
      <c r="C56" s="66">
        <v>-1.5094339622641524</v>
      </c>
      <c r="D56" s="71">
        <v>2.0754716981132075</v>
      </c>
      <c r="E56" s="67">
        <v>0.26415094339622641</v>
      </c>
      <c r="F56" s="67">
        <v>0.28187919463087246</v>
      </c>
      <c r="G56" s="67">
        <v>0.17002237136465326</v>
      </c>
      <c r="H56" s="68">
        <v>8995.2380952380954</v>
      </c>
      <c r="I56" s="68">
        <v>-7260.5263157894733</v>
      </c>
      <c r="J56" s="67">
        <v>0.13207547169811321</v>
      </c>
      <c r="K56" s="67">
        <v>7.5471698113207544E-2</v>
      </c>
      <c r="L56" s="67">
        <v>7.5471698113207544E-2</v>
      </c>
      <c r="M56" s="67">
        <v>0.28146453089244849</v>
      </c>
      <c r="N56" s="67">
        <v>0.17620137299771166</v>
      </c>
      <c r="O56" s="67">
        <v>0.63414634146341464</v>
      </c>
      <c r="P56" s="67">
        <v>0.24675324675324675</v>
      </c>
      <c r="Q56" s="67">
        <v>0.3888888888888889</v>
      </c>
    </row>
    <row r="57" spans="1:17" x14ac:dyDescent="0.4">
      <c r="A57" s="69">
        <v>54</v>
      </c>
      <c r="B57" s="66">
        <v>-119.50000000000007</v>
      </c>
      <c r="C57" s="66">
        <v>-2.2129629629629641</v>
      </c>
      <c r="D57" s="71">
        <v>2.0925925925925926</v>
      </c>
      <c r="E57" s="67">
        <v>0.25925925925925924</v>
      </c>
      <c r="F57" s="67">
        <v>0.28104575163398693</v>
      </c>
      <c r="G57" s="67">
        <v>0.16993464052287582</v>
      </c>
      <c r="H57" s="68">
        <v>8922.4806201550382</v>
      </c>
      <c r="I57" s="68">
        <v>-7275.6410256410254</v>
      </c>
      <c r="J57" s="67">
        <v>0.12962962962962962</v>
      </c>
      <c r="K57" s="67">
        <v>7.407407407407407E-2</v>
      </c>
      <c r="L57" s="67">
        <v>7.407407407407407E-2</v>
      </c>
      <c r="M57" s="67">
        <v>0.27839643652561247</v>
      </c>
      <c r="N57" s="67">
        <v>0.17817371937639198</v>
      </c>
      <c r="O57" s="67">
        <v>0.624</v>
      </c>
      <c r="P57" s="67">
        <v>0.26250000000000001</v>
      </c>
      <c r="Q57" s="67">
        <v>0.39534883720930231</v>
      </c>
    </row>
    <row r="58" spans="1:17" x14ac:dyDescent="0.4">
      <c r="A58" s="69">
        <v>55</v>
      </c>
      <c r="B58" s="66">
        <v>-115.40000000000008</v>
      </c>
      <c r="C58" s="66">
        <v>-2.0981818181818195</v>
      </c>
      <c r="D58" s="71">
        <v>2.0909090909090908</v>
      </c>
      <c r="E58" s="67">
        <v>0.25454545454545452</v>
      </c>
      <c r="F58" s="67">
        <v>0.27896995708154504</v>
      </c>
      <c r="G58" s="67">
        <v>0.16952789699570817</v>
      </c>
      <c r="H58" s="68">
        <v>8976.9230769230762</v>
      </c>
      <c r="I58" s="68">
        <v>-7232.9113924050635</v>
      </c>
      <c r="J58" s="67">
        <v>0.12727272727272726</v>
      </c>
      <c r="K58" s="67">
        <v>7.2727272727272724E-2</v>
      </c>
      <c r="L58" s="67">
        <v>7.2727272727272724E-2</v>
      </c>
      <c r="M58" s="67">
        <v>0.27412280701754388</v>
      </c>
      <c r="N58" s="67">
        <v>0.17982456140350878</v>
      </c>
      <c r="O58" s="67">
        <v>0.624</v>
      </c>
      <c r="P58" s="67">
        <v>0.26829268292682928</v>
      </c>
      <c r="Q58" s="67">
        <v>0.4</v>
      </c>
    </row>
    <row r="59" spans="1:17" x14ac:dyDescent="0.4">
      <c r="A59" s="69">
        <v>56</v>
      </c>
      <c r="B59" s="66">
        <v>-36.400000000000077</v>
      </c>
      <c r="C59" s="66">
        <v>-0.65000000000000135</v>
      </c>
      <c r="D59" s="71">
        <v>2.0714285714285716</v>
      </c>
      <c r="E59" s="67">
        <v>0.26785714285714285</v>
      </c>
      <c r="F59" s="67">
        <v>0.28752642706131076</v>
      </c>
      <c r="G59" s="67">
        <v>0.16701902748414377</v>
      </c>
      <c r="H59" s="68">
        <v>9038.9705882352937</v>
      </c>
      <c r="I59" s="68">
        <v>-7232.9113924050635</v>
      </c>
      <c r="J59" s="67">
        <v>0.125</v>
      </c>
      <c r="K59" s="67">
        <v>8.9285714285714288E-2</v>
      </c>
      <c r="L59" s="67">
        <v>7.1428571428571425E-2</v>
      </c>
      <c r="M59" s="67">
        <v>0.27861771058315332</v>
      </c>
      <c r="N59" s="67">
        <v>0.183585313174946</v>
      </c>
      <c r="O59" s="67">
        <v>0.63565891472868219</v>
      </c>
      <c r="P59" s="67">
        <v>0.28235294117647058</v>
      </c>
      <c r="Q59" s="67">
        <v>0.40441176470588236</v>
      </c>
    </row>
    <row r="60" spans="1:17" x14ac:dyDescent="0.4">
      <c r="A60" s="69">
        <v>57</v>
      </c>
      <c r="B60" s="66">
        <v>-70.400000000000077</v>
      </c>
      <c r="C60" s="66">
        <v>-1.235087719298247</v>
      </c>
      <c r="D60" s="71">
        <v>2.0701754385964914</v>
      </c>
      <c r="E60" s="67">
        <v>0.26315789473684209</v>
      </c>
      <c r="F60" s="67">
        <v>0.28661087866108786</v>
      </c>
      <c r="G60" s="67">
        <v>0.16736401673640167</v>
      </c>
      <c r="H60" s="68">
        <v>9060.5839416058388</v>
      </c>
      <c r="I60" s="68">
        <v>-7292.5</v>
      </c>
      <c r="J60" s="67">
        <v>0.12280701754385964</v>
      </c>
      <c r="K60" s="67">
        <v>8.771929824561403E-2</v>
      </c>
      <c r="L60" s="67">
        <v>7.0175438596491224E-2</v>
      </c>
      <c r="M60" s="67">
        <v>0.27777777777777779</v>
      </c>
      <c r="N60" s="67">
        <v>0.18162393162393162</v>
      </c>
      <c r="O60" s="67">
        <v>0.63076923076923075</v>
      </c>
      <c r="P60" s="67">
        <v>0.28235294117647058</v>
      </c>
      <c r="Q60" s="67">
        <v>0.40875912408759124</v>
      </c>
    </row>
    <row r="61" spans="1:17" x14ac:dyDescent="0.4">
      <c r="A61" s="69">
        <v>58</v>
      </c>
      <c r="B61" s="66">
        <v>-83.400000000000077</v>
      </c>
      <c r="C61" s="66">
        <v>-1.4379310344827601</v>
      </c>
      <c r="D61" s="71">
        <v>2.0689655172413794</v>
      </c>
      <c r="E61" s="67">
        <v>0.25862068965517243</v>
      </c>
      <c r="F61" s="67">
        <v>0.28659793814432988</v>
      </c>
      <c r="G61" s="67">
        <v>0.1670103092783505</v>
      </c>
      <c r="H61" s="68">
        <v>9045.3237410071943</v>
      </c>
      <c r="I61" s="68">
        <v>-7424.691358024691</v>
      </c>
      <c r="J61" s="67">
        <v>0.1206896551724138</v>
      </c>
      <c r="K61" s="67">
        <v>8.6206896551724144E-2</v>
      </c>
      <c r="L61" s="67">
        <v>6.8965517241379309E-2</v>
      </c>
      <c r="M61" s="67">
        <v>0.27789473684210525</v>
      </c>
      <c r="N61" s="67">
        <v>0.18526315789473685</v>
      </c>
      <c r="O61" s="67">
        <v>0.62878787878787878</v>
      </c>
      <c r="P61" s="67">
        <v>0.28409090909090912</v>
      </c>
      <c r="Q61" s="67">
        <v>0.41007194244604317</v>
      </c>
    </row>
    <row r="62" spans="1:17" x14ac:dyDescent="0.4">
      <c r="A62" s="69">
        <v>59</v>
      </c>
      <c r="B62" s="66">
        <v>-86.500000000000071</v>
      </c>
      <c r="C62" s="66">
        <v>-1.4661016949152554</v>
      </c>
      <c r="D62" s="71">
        <v>2.0677966101694913</v>
      </c>
      <c r="E62" s="67">
        <v>0.25423728813559321</v>
      </c>
      <c r="F62" s="67">
        <v>0.28397565922920892</v>
      </c>
      <c r="G62" s="67">
        <v>0.1643002028397566</v>
      </c>
      <c r="H62" s="68">
        <v>9066.4285714285706</v>
      </c>
      <c r="I62" s="68">
        <v>-7424.691358024691</v>
      </c>
      <c r="J62" s="67">
        <v>0.11864406779661017</v>
      </c>
      <c r="K62" s="67">
        <v>8.4745762711864403E-2</v>
      </c>
      <c r="L62" s="67">
        <v>6.7796610169491525E-2</v>
      </c>
      <c r="M62" s="67">
        <v>0.27536231884057971</v>
      </c>
      <c r="N62" s="67">
        <v>0.18426501035196688</v>
      </c>
      <c r="O62" s="67">
        <v>0.63157894736842102</v>
      </c>
      <c r="P62" s="67">
        <v>0.2808988764044944</v>
      </c>
      <c r="Q62" s="67">
        <v>0.40714285714285714</v>
      </c>
    </row>
    <row r="63" spans="1:17" x14ac:dyDescent="0.4">
      <c r="A63" s="69">
        <v>60</v>
      </c>
      <c r="B63" s="66">
        <v>-81.100000000000065</v>
      </c>
      <c r="C63" s="66">
        <v>-1.3516666666666677</v>
      </c>
      <c r="D63" s="71">
        <v>2.0666666666666669</v>
      </c>
      <c r="E63" s="67">
        <v>0.25</v>
      </c>
      <c r="F63" s="67">
        <v>0.28657314629258518</v>
      </c>
      <c r="G63" s="67">
        <v>0.16232464929859719</v>
      </c>
      <c r="H63" s="68">
        <v>8982.5174825174818</v>
      </c>
      <c r="I63" s="68">
        <v>-7424.691358024691</v>
      </c>
      <c r="J63" s="67">
        <v>0.11666666666666667</v>
      </c>
      <c r="K63" s="67">
        <v>8.3333333333333329E-2</v>
      </c>
      <c r="L63" s="67">
        <v>6.6666666666666666E-2</v>
      </c>
      <c r="M63" s="67">
        <v>0.2822085889570552</v>
      </c>
      <c r="N63" s="67">
        <v>0.18404907975460122</v>
      </c>
      <c r="O63" s="67">
        <v>0.63043478260869568</v>
      </c>
      <c r="P63" s="67">
        <v>0.27777777777777779</v>
      </c>
      <c r="Q63" s="67">
        <v>0.39860139860139859</v>
      </c>
    </row>
    <row r="64" spans="1:17" x14ac:dyDescent="0.4">
      <c r="A64" s="69">
        <v>61</v>
      </c>
      <c r="B64" s="66">
        <v>-142.30000000000007</v>
      </c>
      <c r="C64" s="66">
        <v>-2.3327868852459028</v>
      </c>
      <c r="D64" s="71">
        <v>2.081967213114754</v>
      </c>
      <c r="E64" s="67">
        <v>0.24590163934426229</v>
      </c>
      <c r="F64" s="67">
        <v>0.28373015873015872</v>
      </c>
      <c r="G64" s="67">
        <v>0.16666666666666666</v>
      </c>
      <c r="H64" s="68">
        <v>8982.5174825174818</v>
      </c>
      <c r="I64" s="68">
        <v>-7411.9047619047615</v>
      </c>
      <c r="J64" s="67">
        <v>0.13114754098360656</v>
      </c>
      <c r="K64" s="67">
        <v>8.1967213114754092E-2</v>
      </c>
      <c r="L64" s="67">
        <v>6.5573770491803282E-2</v>
      </c>
      <c r="M64" s="67">
        <v>0.2793522267206478</v>
      </c>
      <c r="N64" s="67">
        <v>0.18825910931174089</v>
      </c>
      <c r="O64" s="67">
        <v>0.63043478260869568</v>
      </c>
      <c r="P64" s="67">
        <v>0.26881720430107525</v>
      </c>
      <c r="Q64" s="67">
        <v>0.39860139860139859</v>
      </c>
    </row>
    <row r="65" spans="1:17" x14ac:dyDescent="0.4">
      <c r="A65" s="69">
        <v>62</v>
      </c>
      <c r="B65" s="66">
        <v>-114.00000000000007</v>
      </c>
      <c r="C65" s="66">
        <v>-1.8387096774193561</v>
      </c>
      <c r="D65" s="71">
        <v>2.064516129032258</v>
      </c>
      <c r="E65" s="67">
        <v>0.25806451612903225</v>
      </c>
      <c r="F65" s="67">
        <v>0.28431372549019607</v>
      </c>
      <c r="G65" s="67">
        <v>0.16862745098039217</v>
      </c>
      <c r="H65" s="68">
        <v>8982.7586206896558</v>
      </c>
      <c r="I65" s="68">
        <v>-7300</v>
      </c>
      <c r="J65" s="67">
        <v>0.12903225806451613</v>
      </c>
      <c r="K65" s="67">
        <v>8.0645161290322578E-2</v>
      </c>
      <c r="L65" s="67">
        <v>6.4516129032258063E-2</v>
      </c>
      <c r="M65" s="67">
        <v>0.27800000000000002</v>
      </c>
      <c r="N65" s="67">
        <v>0.192</v>
      </c>
      <c r="O65" s="67">
        <v>0.62589928057553956</v>
      </c>
      <c r="P65" s="67">
        <v>0.28125</v>
      </c>
      <c r="Q65" s="67">
        <v>0.4</v>
      </c>
    </row>
    <row r="66" spans="1:17" x14ac:dyDescent="0.4">
      <c r="A66" s="69">
        <v>63</v>
      </c>
      <c r="B66" s="66">
        <v>-121.60000000000007</v>
      </c>
      <c r="C66" s="66">
        <v>-1.9301587301587313</v>
      </c>
      <c r="D66" s="71">
        <v>2.0634920634920637</v>
      </c>
      <c r="E66" s="67">
        <v>0.25396825396825395</v>
      </c>
      <c r="F66" s="67">
        <v>0.2832369942196532</v>
      </c>
      <c r="G66" s="67">
        <v>0.17148362235067438</v>
      </c>
      <c r="H66" s="68">
        <v>8977.5510204081638</v>
      </c>
      <c r="I66" s="68">
        <v>-7253.9325842696626</v>
      </c>
      <c r="J66" s="67">
        <v>0.12698412698412698</v>
      </c>
      <c r="K66" s="67">
        <v>7.9365079365079361E-2</v>
      </c>
      <c r="L66" s="67">
        <v>6.3492063492063489E-2</v>
      </c>
      <c r="M66" s="67">
        <v>0.27504911591355602</v>
      </c>
      <c r="N66" s="67">
        <v>0.20039292730844793</v>
      </c>
      <c r="O66" s="67">
        <v>0.62857142857142856</v>
      </c>
      <c r="P66" s="67">
        <v>0.27450980392156865</v>
      </c>
      <c r="Q66" s="67">
        <v>0.40136054421768708</v>
      </c>
    </row>
    <row r="67" spans="1:17" x14ac:dyDescent="0.4">
      <c r="A67" s="69">
        <v>64</v>
      </c>
      <c r="B67" s="66">
        <v>-168.60000000000008</v>
      </c>
      <c r="C67" s="66">
        <v>-2.6343750000000012</v>
      </c>
      <c r="D67" s="71">
        <v>2.078125</v>
      </c>
      <c r="E67" s="67">
        <v>0.25</v>
      </c>
      <c r="F67" s="67">
        <v>0.28409090909090912</v>
      </c>
      <c r="G67" s="67">
        <v>0.17424242424242425</v>
      </c>
      <c r="H67" s="68">
        <v>8906</v>
      </c>
      <c r="I67" s="68">
        <v>-7291.304347826087</v>
      </c>
      <c r="J67" s="67">
        <v>0.125</v>
      </c>
      <c r="K67" s="67">
        <v>7.8125E-2</v>
      </c>
      <c r="L67" s="67">
        <v>6.25E-2</v>
      </c>
      <c r="M67" s="67">
        <v>0.27992277992277992</v>
      </c>
      <c r="N67" s="67">
        <v>0.20270270270270271</v>
      </c>
      <c r="O67" s="67">
        <v>0.62068965517241381</v>
      </c>
      <c r="P67" s="67">
        <v>0.27619047619047621</v>
      </c>
      <c r="Q67" s="67">
        <v>0.40666666666666668</v>
      </c>
    </row>
    <row r="68" spans="1:17" x14ac:dyDescent="0.4">
      <c r="A68" s="69">
        <v>65</v>
      </c>
      <c r="B68" s="66">
        <v>-165.70000000000007</v>
      </c>
      <c r="C68" s="66">
        <v>-2.5492307692307703</v>
      </c>
      <c r="D68" s="71">
        <v>2.0769230769230771</v>
      </c>
      <c r="E68" s="67">
        <v>0.24615384615384617</v>
      </c>
      <c r="F68" s="67">
        <v>0.28810408921933084</v>
      </c>
      <c r="G68" s="67">
        <v>0.17657992565055763</v>
      </c>
      <c r="H68" s="68">
        <v>8820.645161290322</v>
      </c>
      <c r="I68" s="68">
        <v>-7351.5789473684208</v>
      </c>
      <c r="J68" s="67">
        <v>0.12307692307692308</v>
      </c>
      <c r="K68" s="67">
        <v>7.6923076923076927E-2</v>
      </c>
      <c r="L68" s="67">
        <v>6.1538461538461542E-2</v>
      </c>
      <c r="M68" s="67">
        <v>0.28219696969696972</v>
      </c>
      <c r="N68" s="67">
        <v>0.20265151515151514</v>
      </c>
      <c r="O68" s="67">
        <v>0.63087248322147649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-135.40000000000006</v>
      </c>
      <c r="C69" s="66">
        <v>-2.0515151515151526</v>
      </c>
      <c r="D69" s="71">
        <v>2.0606060606060606</v>
      </c>
      <c r="E69" s="67">
        <v>0.25757575757575757</v>
      </c>
      <c r="F69" s="67">
        <v>0.28909090909090907</v>
      </c>
      <c r="G69" s="67">
        <v>0.17454545454545456</v>
      </c>
      <c r="H69" s="68">
        <v>8795.59748427673</v>
      </c>
      <c r="I69" s="68">
        <v>-7290.625</v>
      </c>
      <c r="J69" s="67">
        <v>0.12121212121212122</v>
      </c>
      <c r="K69" s="67">
        <v>7.575757575757576E-2</v>
      </c>
      <c r="L69" s="67">
        <v>7.575757575757576E-2</v>
      </c>
      <c r="M69" s="67">
        <v>0.28333333333333333</v>
      </c>
      <c r="N69" s="67">
        <v>0.20185185185185187</v>
      </c>
      <c r="O69" s="67">
        <v>0.63398692810457513</v>
      </c>
      <c r="P69" s="67">
        <v>0.28440366972477066</v>
      </c>
      <c r="Q69" s="67">
        <v>0.38993710691823902</v>
      </c>
    </row>
    <row r="70" spans="1:17" x14ac:dyDescent="0.4">
      <c r="A70" s="69">
        <v>67</v>
      </c>
      <c r="B70" s="66">
        <v>-140.90000000000006</v>
      </c>
      <c r="C70" s="66">
        <v>-2.1029850746268668</v>
      </c>
      <c r="D70" s="71">
        <v>2.0597014925373136</v>
      </c>
      <c r="E70" s="67">
        <v>0.2537313432835821</v>
      </c>
      <c r="F70" s="67">
        <v>0.28776978417266186</v>
      </c>
      <c r="G70" s="67">
        <v>0.17446043165467626</v>
      </c>
      <c r="H70" s="68">
        <v>8790.625</v>
      </c>
      <c r="I70" s="68">
        <v>-7275.2577319587626</v>
      </c>
      <c r="J70" s="67">
        <v>0.11940298507462686</v>
      </c>
      <c r="K70" s="67">
        <v>7.4626865671641784E-2</v>
      </c>
      <c r="L70" s="67">
        <v>7.4626865671641784E-2</v>
      </c>
      <c r="M70" s="67">
        <v>0.28021978021978022</v>
      </c>
      <c r="N70" s="67">
        <v>0.20146520146520147</v>
      </c>
      <c r="O70" s="67">
        <v>0.63398692810457513</v>
      </c>
      <c r="P70" s="67">
        <v>0.2818181818181818</v>
      </c>
      <c r="Q70" s="67">
        <v>0.39374999999999999</v>
      </c>
    </row>
    <row r="71" spans="1:17" x14ac:dyDescent="0.4">
      <c r="A71" s="69">
        <v>68</v>
      </c>
      <c r="B71" s="66">
        <v>-173.80000000000007</v>
      </c>
      <c r="C71" s="66">
        <v>-2.5558823529411776</v>
      </c>
      <c r="D71" s="71">
        <v>2.0735294117647061</v>
      </c>
      <c r="E71" s="67">
        <v>0.25</v>
      </c>
      <c r="F71" s="67">
        <v>0.28774422735346361</v>
      </c>
      <c r="G71" s="67">
        <v>0.17406749555950266</v>
      </c>
      <c r="H71" s="68">
        <v>8745.6790123456794</v>
      </c>
      <c r="I71" s="68">
        <v>-7266.3265306122448</v>
      </c>
      <c r="J71" s="67">
        <v>0.11764705882352941</v>
      </c>
      <c r="K71" s="67">
        <v>7.3529411764705885E-2</v>
      </c>
      <c r="L71" s="67">
        <v>7.3529411764705885E-2</v>
      </c>
      <c r="M71" s="67">
        <v>0.28390596745027125</v>
      </c>
      <c r="N71" s="67">
        <v>0.2007233273056058</v>
      </c>
      <c r="O71" s="67">
        <v>0.63057324840764328</v>
      </c>
      <c r="P71" s="67">
        <v>0.27927927927927926</v>
      </c>
      <c r="Q71" s="67">
        <v>0.39506172839506171</v>
      </c>
    </row>
    <row r="72" spans="1:17" x14ac:dyDescent="0.4">
      <c r="A72" s="69">
        <v>69</v>
      </c>
      <c r="B72" s="66">
        <v>-128.70000000000007</v>
      </c>
      <c r="C72" s="66">
        <v>-1.8652173913043488</v>
      </c>
      <c r="D72" s="71">
        <v>2.0579710144927534</v>
      </c>
      <c r="E72" s="67">
        <v>0.2608695652173913</v>
      </c>
      <c r="F72" s="67">
        <v>0.29122807017543861</v>
      </c>
      <c r="G72" s="67">
        <v>0.1736842105263158</v>
      </c>
      <c r="H72" s="68">
        <v>8716.2650602409631</v>
      </c>
      <c r="I72" s="68">
        <v>-7273.7373737373737</v>
      </c>
      <c r="J72" s="67">
        <v>0.11594202898550725</v>
      </c>
      <c r="K72" s="67">
        <v>7.2463768115942032E-2</v>
      </c>
      <c r="L72" s="67">
        <v>7.2463768115942032E-2</v>
      </c>
      <c r="M72" s="67">
        <v>0.28749999999999998</v>
      </c>
      <c r="N72" s="67">
        <v>0.2</v>
      </c>
      <c r="O72" s="67">
        <v>0.63354037267080743</v>
      </c>
      <c r="P72" s="67">
        <v>0.2767857142857143</v>
      </c>
      <c r="Q72" s="67">
        <v>0.39156626506024095</v>
      </c>
    </row>
    <row r="73" spans="1:17" x14ac:dyDescent="0.4">
      <c r="A73" s="69">
        <v>70</v>
      </c>
      <c r="B73" s="66">
        <v>-83.300000000000068</v>
      </c>
      <c r="C73" s="66">
        <v>-1.1900000000000011</v>
      </c>
      <c r="D73" s="71">
        <v>2.0428571428571427</v>
      </c>
      <c r="E73" s="67">
        <v>0.27142857142857141</v>
      </c>
      <c r="F73" s="67">
        <v>0.29432013769363169</v>
      </c>
      <c r="G73" s="67">
        <v>0.1703958691910499</v>
      </c>
      <c r="H73" s="68">
        <v>8658.479532163743</v>
      </c>
      <c r="I73" s="68">
        <v>-7273.7373737373737</v>
      </c>
      <c r="J73" s="67">
        <v>0.11428571428571428</v>
      </c>
      <c r="K73" s="67">
        <v>7.1428571428571425E-2</v>
      </c>
      <c r="L73" s="67">
        <v>7.1428571428571425E-2</v>
      </c>
      <c r="M73" s="67">
        <v>0.28721541155866898</v>
      </c>
      <c r="N73" s="67">
        <v>0.19789842381786341</v>
      </c>
      <c r="O73" s="67">
        <v>0.6402439024390244</v>
      </c>
      <c r="P73" s="67">
        <v>0.2831858407079646</v>
      </c>
      <c r="Q73" s="67">
        <v>0.391812865497076</v>
      </c>
    </row>
    <row r="74" spans="1:17" x14ac:dyDescent="0.4">
      <c r="A74" s="69">
        <v>71</v>
      </c>
      <c r="B74" s="66">
        <v>-142.00000000000006</v>
      </c>
      <c r="C74" s="66">
        <v>-2.0000000000000009</v>
      </c>
      <c r="D74" s="71">
        <v>2.056338028169014</v>
      </c>
      <c r="E74" s="67">
        <v>0.26760563380281688</v>
      </c>
      <c r="F74" s="67">
        <v>0.2927241962774958</v>
      </c>
      <c r="G74" s="67">
        <v>0.17258883248730963</v>
      </c>
      <c r="H74" s="68">
        <v>8636.9942196531792</v>
      </c>
      <c r="I74" s="68">
        <v>-7451.9607843137255</v>
      </c>
      <c r="J74" s="67">
        <v>0.12676056338028169</v>
      </c>
      <c r="K74" s="67">
        <v>7.0422535211267609E-2</v>
      </c>
      <c r="L74" s="67">
        <v>7.0422535211267609E-2</v>
      </c>
      <c r="M74" s="67">
        <v>0.28399311531841653</v>
      </c>
      <c r="N74" s="67">
        <v>0.19793459552495696</v>
      </c>
      <c r="O74" s="67">
        <v>0.64242424242424245</v>
      </c>
      <c r="P74" s="67">
        <v>0.28695652173913044</v>
      </c>
      <c r="Q74" s="67">
        <v>0.38728323699421963</v>
      </c>
    </row>
    <row r="75" spans="1:17" x14ac:dyDescent="0.4">
      <c r="A75" s="69">
        <v>72</v>
      </c>
      <c r="B75" s="66">
        <v>-135.30000000000007</v>
      </c>
      <c r="C75" s="66">
        <v>-1.8791666666666675</v>
      </c>
      <c r="D75" s="71">
        <v>2.0555555555555554</v>
      </c>
      <c r="E75" s="67">
        <v>0.2638888888888889</v>
      </c>
      <c r="F75" s="67">
        <v>0.29166666666666669</v>
      </c>
      <c r="G75" s="67">
        <v>0.17166666666666666</v>
      </c>
      <c r="H75" s="68">
        <v>8663.4285714285706</v>
      </c>
      <c r="I75" s="68">
        <v>-7454.3689320388348</v>
      </c>
      <c r="J75" s="67">
        <v>0.125</v>
      </c>
      <c r="K75" s="67">
        <v>6.9444444444444448E-2</v>
      </c>
      <c r="L75" s="67">
        <v>6.9444444444444448E-2</v>
      </c>
      <c r="M75" s="67">
        <v>0.28135593220338984</v>
      </c>
      <c r="N75" s="67">
        <v>0.19661016949152543</v>
      </c>
      <c r="O75" s="67">
        <v>0.64457831325301207</v>
      </c>
      <c r="P75" s="67">
        <v>0.28448275862068967</v>
      </c>
      <c r="Q75" s="67">
        <v>0.38857142857142857</v>
      </c>
    </row>
    <row r="76" spans="1:17" x14ac:dyDescent="0.4">
      <c r="A76" s="69">
        <v>73</v>
      </c>
      <c r="B76" s="66">
        <v>-129.20000000000007</v>
      </c>
      <c r="C76" s="66">
        <v>-1.7698630136986311</v>
      </c>
      <c r="D76" s="71">
        <v>2.0547945205479454</v>
      </c>
      <c r="E76" s="67">
        <v>0.26027397260273971</v>
      </c>
      <c r="F76" s="67">
        <v>0.29159802306425042</v>
      </c>
      <c r="G76" s="67">
        <v>0.16968698517298189</v>
      </c>
      <c r="H76" s="68">
        <v>8669.4915254237294</v>
      </c>
      <c r="I76" s="68">
        <v>-7454.3689320388348</v>
      </c>
      <c r="J76" s="67">
        <v>0.12328767123287671</v>
      </c>
      <c r="K76" s="67">
        <v>6.8493150684931503E-2</v>
      </c>
      <c r="L76" s="67">
        <v>6.8493150684931503E-2</v>
      </c>
      <c r="M76" s="67">
        <v>0.28140703517587939</v>
      </c>
      <c r="N76" s="67">
        <v>0.19597989949748743</v>
      </c>
      <c r="O76" s="67">
        <v>0.64880952380952384</v>
      </c>
      <c r="P76" s="67">
        <v>0.28205128205128205</v>
      </c>
      <c r="Q76" s="67">
        <v>0.38983050847457629</v>
      </c>
    </row>
    <row r="77" spans="1:17" x14ac:dyDescent="0.4">
      <c r="A77" s="69">
        <v>74</v>
      </c>
      <c r="B77" s="66">
        <v>-182.00000000000006</v>
      </c>
      <c r="C77" s="66">
        <v>-2.4594594594594601</v>
      </c>
      <c r="D77" s="71">
        <v>2.0675675675675675</v>
      </c>
      <c r="E77" s="67">
        <v>0.25675675675675674</v>
      </c>
      <c r="F77" s="67">
        <v>0.28780487804878047</v>
      </c>
      <c r="G77" s="67">
        <v>0.16910569105691056</v>
      </c>
      <c r="H77" s="68">
        <v>8669.4915254237294</v>
      </c>
      <c r="I77" s="68">
        <v>-7432.6923076923076</v>
      </c>
      <c r="J77" s="67">
        <v>0.12162162162162163</v>
      </c>
      <c r="K77" s="67">
        <v>6.7567567567567571E-2</v>
      </c>
      <c r="L77" s="67">
        <v>6.7567567567567571E-2</v>
      </c>
      <c r="M77" s="67">
        <v>0.28264462809917357</v>
      </c>
      <c r="N77" s="67">
        <v>0.19504132231404958</v>
      </c>
      <c r="O77" s="67">
        <v>0.63742690058479534</v>
      </c>
      <c r="P77" s="67">
        <v>0.27966101694915252</v>
      </c>
      <c r="Q77" s="67">
        <v>0.38983050847457629</v>
      </c>
    </row>
    <row r="78" spans="1:17" x14ac:dyDescent="0.4">
      <c r="A78" s="69">
        <v>75</v>
      </c>
      <c r="B78" s="66">
        <v>-99.70000000000006</v>
      </c>
      <c r="C78" s="66">
        <v>-1.3293333333333341</v>
      </c>
      <c r="D78" s="71">
        <v>2.0533333333333332</v>
      </c>
      <c r="E78" s="67">
        <v>0.26666666666666666</v>
      </c>
      <c r="F78" s="67">
        <v>0.29260450160771706</v>
      </c>
      <c r="G78" s="67">
        <v>0.17041800643086816</v>
      </c>
      <c r="H78" s="68">
        <v>8804.9450549450557</v>
      </c>
      <c r="I78" s="68">
        <v>-7383.9622641509432</v>
      </c>
      <c r="J78" s="67">
        <v>0.12</v>
      </c>
      <c r="K78" s="67">
        <v>0.08</v>
      </c>
      <c r="L78" s="67">
        <v>6.6666666666666666E-2</v>
      </c>
      <c r="M78" s="67">
        <v>0.28758169934640521</v>
      </c>
      <c r="N78" s="67">
        <v>0.19281045751633988</v>
      </c>
      <c r="O78" s="67">
        <v>0.64772727272727271</v>
      </c>
      <c r="P78" s="67">
        <v>0.27966101694915252</v>
      </c>
      <c r="Q78" s="67">
        <v>0.39560439560439559</v>
      </c>
    </row>
    <row r="79" spans="1:17" x14ac:dyDescent="0.4">
      <c r="A79" s="69">
        <v>76</v>
      </c>
      <c r="B79" s="66">
        <v>-77.300000000000068</v>
      </c>
      <c r="C79" s="66">
        <v>-1.0171052631578956</v>
      </c>
      <c r="D79" s="71">
        <v>2.0394736842105261</v>
      </c>
      <c r="E79" s="67">
        <v>0.27631578947368424</v>
      </c>
      <c r="F79" s="67">
        <v>0.29318541996830427</v>
      </c>
      <c r="G79" s="67">
        <v>0.17274167987321712</v>
      </c>
      <c r="H79" s="68">
        <v>8856.7567567567567</v>
      </c>
      <c r="I79" s="68">
        <v>-7408.2568807339449</v>
      </c>
      <c r="J79" s="67">
        <v>0.11842105263157894</v>
      </c>
      <c r="K79" s="67">
        <v>7.8947368421052627E-2</v>
      </c>
      <c r="L79" s="67">
        <v>7.8947368421052627E-2</v>
      </c>
      <c r="M79" s="67">
        <v>0.28824476650563607</v>
      </c>
      <c r="N79" s="67">
        <v>0.19645732689210951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-82.600000000000065</v>
      </c>
      <c r="C80" s="66">
        <v>-1.0727272727272736</v>
      </c>
      <c r="D80" s="71">
        <v>2.0389610389610389</v>
      </c>
      <c r="E80" s="67">
        <v>0.27272727272727271</v>
      </c>
      <c r="F80" s="67">
        <v>0.29218749999999999</v>
      </c>
      <c r="G80" s="67">
        <v>0.17499999999999999</v>
      </c>
      <c r="H80" s="68">
        <v>8997.3262032085568</v>
      </c>
      <c r="I80" s="68">
        <v>-7440.1785714285716</v>
      </c>
      <c r="J80" s="67">
        <v>0.11688311688311688</v>
      </c>
      <c r="K80" s="67">
        <v>7.792207792207792E-2</v>
      </c>
      <c r="L80" s="67">
        <v>7.792207792207792E-2</v>
      </c>
      <c r="M80" s="67">
        <v>0.28888888888888886</v>
      </c>
      <c r="N80" s="67">
        <v>0.19682539682539682</v>
      </c>
      <c r="O80" s="67">
        <v>0.6428571428571429</v>
      </c>
      <c r="P80" s="67">
        <v>0.28225806451612906</v>
      </c>
      <c r="Q80" s="67">
        <v>0.40106951871657753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19023-D9A5-4CC0-B460-C582C1B623FC}">
  <sheetPr codeName="Sheet8"/>
  <dimension ref="A1:Q7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131</v>
      </c>
      <c r="B1" s="70" t="s">
        <v>131</v>
      </c>
      <c r="C1" s="70" t="s">
        <v>131</v>
      </c>
      <c r="D1" s="71" t="s">
        <v>131</v>
      </c>
      <c r="E1" s="70" t="s">
        <v>131</v>
      </c>
      <c r="F1" s="70" t="s">
        <v>131</v>
      </c>
      <c r="G1" s="70" t="s">
        <v>131</v>
      </c>
      <c r="H1" s="70" t="s">
        <v>131</v>
      </c>
      <c r="I1" s="70" t="s">
        <v>131</v>
      </c>
      <c r="J1" s="70" t="s">
        <v>131</v>
      </c>
      <c r="K1" s="70" t="s">
        <v>131</v>
      </c>
      <c r="L1" s="70" t="s">
        <v>131</v>
      </c>
      <c r="M1" s="70" t="s">
        <v>131</v>
      </c>
      <c r="N1" s="70" t="s">
        <v>131</v>
      </c>
      <c r="O1" s="70" t="s">
        <v>131</v>
      </c>
      <c r="P1" s="70" t="s">
        <v>131</v>
      </c>
      <c r="Q1" s="70" t="s">
        <v>131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0.33333333333333331</v>
      </c>
      <c r="G4" s="67">
        <v>0.16666666666666666</v>
      </c>
      <c r="H4" s="68">
        <v>10000</v>
      </c>
      <c r="I4" s="68">
        <v>-24000</v>
      </c>
      <c r="J4" s="67">
        <v>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0.3125</v>
      </c>
      <c r="G5" s="67">
        <v>0.1875</v>
      </c>
      <c r="H5" s="68">
        <v>10780</v>
      </c>
      <c r="I5" s="68">
        <v>-13733.333333333334</v>
      </c>
      <c r="J5" s="67">
        <v>0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0.38461538461538464</v>
      </c>
      <c r="G6" s="67">
        <v>0.15384615384615385</v>
      </c>
      <c r="H6" s="68">
        <v>9910</v>
      </c>
      <c r="I6" s="68">
        <v>-11025</v>
      </c>
      <c r="J6" s="67">
        <v>0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0.42424242424242425</v>
      </c>
      <c r="G7" s="67">
        <v>0.15151515151515152</v>
      </c>
      <c r="H7" s="68">
        <v>8442.8571428571431</v>
      </c>
      <c r="I7" s="68">
        <v>-9220</v>
      </c>
      <c r="J7" s="67">
        <v>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0.47499999999999998</v>
      </c>
      <c r="G8" s="67">
        <v>0.125</v>
      </c>
      <c r="H8" s="68">
        <v>9663.1578947368416</v>
      </c>
      <c r="I8" s="68">
        <v>-9220</v>
      </c>
      <c r="J8" s="67">
        <v>0</v>
      </c>
      <c r="K8" s="67">
        <v>0.2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0.44</v>
      </c>
      <c r="G9" s="67">
        <v>0.14000000000000001</v>
      </c>
      <c r="H9" s="68">
        <v>9700</v>
      </c>
      <c r="I9" s="68">
        <v>-9014.2857142857138</v>
      </c>
      <c r="J9" s="67">
        <v>0</v>
      </c>
      <c r="K9" s="67">
        <v>0.16666666666666666</v>
      </c>
      <c r="L9" s="67">
        <v>0.33333333333333331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0.44067796610169491</v>
      </c>
      <c r="G10" s="67">
        <v>0.15254237288135594</v>
      </c>
      <c r="H10" s="68">
        <v>8938.461538461539</v>
      </c>
      <c r="I10" s="68">
        <v>-7733.333333333333</v>
      </c>
      <c r="J10" s="67">
        <v>0</v>
      </c>
      <c r="K10" s="67">
        <v>0.14285714285714285</v>
      </c>
      <c r="L10" s="67">
        <v>0.42857142857142855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0.43478260869565216</v>
      </c>
      <c r="G11" s="67">
        <v>0.15942028985507245</v>
      </c>
      <c r="H11" s="68">
        <v>8296.6666666666661</v>
      </c>
      <c r="I11" s="68">
        <v>-7409.090909090909</v>
      </c>
      <c r="J11" s="67">
        <v>0</v>
      </c>
      <c r="K11" s="67">
        <v>0.125</v>
      </c>
      <c r="L11" s="67">
        <v>0.5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0.42105263157894735</v>
      </c>
      <c r="G12" s="67">
        <v>0.15789473684210525</v>
      </c>
      <c r="H12" s="68">
        <v>8140.625</v>
      </c>
      <c r="I12" s="68">
        <v>-7458.333333333333</v>
      </c>
      <c r="J12" s="67">
        <v>0</v>
      </c>
      <c r="K12" s="67">
        <v>0.1111111111111111</v>
      </c>
      <c r="L12" s="67">
        <v>0.44444444444444442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0.40476190476190477</v>
      </c>
      <c r="G13" s="67">
        <v>0.17857142857142858</v>
      </c>
      <c r="H13" s="68">
        <v>8229.4117647058829</v>
      </c>
      <c r="I13" s="68">
        <v>-7546.666666666667</v>
      </c>
      <c r="J13" s="67">
        <v>0</v>
      </c>
      <c r="K13" s="67">
        <v>0.1</v>
      </c>
      <c r="L13" s="67">
        <v>0.4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0.44565217391304346</v>
      </c>
      <c r="G14" s="67">
        <v>0.16304347826086957</v>
      </c>
      <c r="H14" s="68">
        <v>8234.1463414634145</v>
      </c>
      <c r="I14" s="68">
        <v>-7546.666666666667</v>
      </c>
      <c r="J14" s="67">
        <v>0</v>
      </c>
      <c r="K14" s="67">
        <v>0.18181818181818182</v>
      </c>
      <c r="L14" s="67">
        <v>0.36363636363636365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0.45</v>
      </c>
      <c r="G15" s="67">
        <v>0.15</v>
      </c>
      <c r="H15" s="68">
        <v>7868.8888888888887</v>
      </c>
      <c r="I15" s="68">
        <v>-7546.666666666667</v>
      </c>
      <c r="J15" s="67">
        <v>0</v>
      </c>
      <c r="K15" s="67">
        <v>0.16666666666666666</v>
      </c>
      <c r="L15" s="67">
        <v>0.33333333333333331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0.44444444444444442</v>
      </c>
      <c r="G16" s="67">
        <v>0.1388888888888889</v>
      </c>
      <c r="H16" s="68">
        <v>7870.833333333333</v>
      </c>
      <c r="I16" s="68">
        <v>-7546.666666666667</v>
      </c>
      <c r="J16" s="67">
        <v>0</v>
      </c>
      <c r="K16" s="67">
        <v>0.15384615384615385</v>
      </c>
      <c r="L16" s="67">
        <v>0.30769230769230771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0.46086956521739131</v>
      </c>
      <c r="G17" s="67">
        <v>0.1391304347826087</v>
      </c>
      <c r="H17" s="68">
        <v>7815.0943396226412</v>
      </c>
      <c r="I17" s="68">
        <v>-7237.5</v>
      </c>
      <c r="J17" s="67">
        <v>0</v>
      </c>
      <c r="K17" s="67">
        <v>0.14285714285714285</v>
      </c>
      <c r="L17" s="67">
        <v>0.2857142857142857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0.46280991735537191</v>
      </c>
      <c r="G18" s="67">
        <v>0.1487603305785124</v>
      </c>
      <c r="H18" s="68">
        <v>7700</v>
      </c>
      <c r="I18" s="68">
        <v>-6988.8888888888887</v>
      </c>
      <c r="J18" s="67">
        <v>0</v>
      </c>
      <c r="K18" s="67">
        <v>0.13333333333333333</v>
      </c>
      <c r="L18" s="67">
        <v>0.26666666666666666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0.45238095238095238</v>
      </c>
      <c r="G19" s="67">
        <v>0.16666666666666666</v>
      </c>
      <c r="H19" s="68">
        <v>7705.2631578947367</v>
      </c>
      <c r="I19" s="68">
        <v>-7761.9047619047615</v>
      </c>
      <c r="J19" s="67">
        <v>6.25E-2</v>
      </c>
      <c r="K19" s="67">
        <v>0.125</v>
      </c>
      <c r="L19" s="67">
        <v>0.25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0.44029850746268656</v>
      </c>
      <c r="G20" s="67">
        <v>0.17164179104477612</v>
      </c>
      <c r="H20" s="68">
        <v>7735.593220338983</v>
      </c>
      <c r="I20" s="68">
        <v>-7665.217391304348</v>
      </c>
      <c r="J20" s="67">
        <v>5.8823529411764705E-2</v>
      </c>
      <c r="K20" s="67">
        <v>0.11764705882352941</v>
      </c>
      <c r="L20" s="67">
        <v>0.23529411764705882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0.42957746478873238</v>
      </c>
      <c r="G21" s="67">
        <v>0.176056338028169</v>
      </c>
      <c r="H21" s="68">
        <v>7763.9344262295081</v>
      </c>
      <c r="I21" s="68">
        <v>-7584</v>
      </c>
      <c r="J21" s="67">
        <v>5.5555555555555552E-2</v>
      </c>
      <c r="K21" s="67">
        <v>0.1111111111111111</v>
      </c>
      <c r="L21" s="67">
        <v>0.22222222222222221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0.42483660130718953</v>
      </c>
      <c r="G22" s="67">
        <v>0.18954248366013071</v>
      </c>
      <c r="H22" s="68">
        <v>7787.6923076923076</v>
      </c>
      <c r="I22" s="68">
        <v>-7658.6206896551721</v>
      </c>
      <c r="J22" s="67">
        <v>5.2631578947368418E-2</v>
      </c>
      <c r="K22" s="67">
        <v>0.10526315789473684</v>
      </c>
      <c r="L22" s="67">
        <v>0.21052631578947367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0.42514970059880242</v>
      </c>
      <c r="G23" s="67">
        <v>0.17365269461077845</v>
      </c>
      <c r="H23" s="68">
        <v>8195.7746478873232</v>
      </c>
      <c r="I23" s="68">
        <v>-7658.6206896551721</v>
      </c>
      <c r="J23" s="67">
        <v>0.05</v>
      </c>
      <c r="K23" s="67">
        <v>0.15</v>
      </c>
      <c r="L23" s="67">
        <v>0.2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0.42045454545454547</v>
      </c>
      <c r="G24" s="67">
        <v>0.18181818181818182</v>
      </c>
      <c r="H24" s="68">
        <v>8291.8918918918916</v>
      </c>
      <c r="I24" s="68">
        <v>-7815.625</v>
      </c>
      <c r="J24" s="67">
        <v>4.7619047619047616E-2</v>
      </c>
      <c r="K24" s="67">
        <v>0.14285714285714285</v>
      </c>
      <c r="L24" s="67">
        <v>0.19047619047619047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0.42307692307692307</v>
      </c>
      <c r="G25" s="67">
        <v>0.18131868131868131</v>
      </c>
      <c r="H25" s="68">
        <v>8696.1038961038957</v>
      </c>
      <c r="I25" s="68">
        <v>-7930.30303030303</v>
      </c>
      <c r="J25" s="67">
        <v>4.5454545454545456E-2</v>
      </c>
      <c r="K25" s="67">
        <v>0.18181818181818182</v>
      </c>
      <c r="L25" s="67">
        <v>0.22727272727272727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0.421875</v>
      </c>
      <c r="G26" s="67">
        <v>0.17708333333333334</v>
      </c>
      <c r="H26" s="68">
        <v>8733.3333333333339</v>
      </c>
      <c r="I26" s="68">
        <v>-7744.1176470588234</v>
      </c>
      <c r="J26" s="67">
        <v>4.3478260869565216E-2</v>
      </c>
      <c r="K26" s="67">
        <v>0.17391304347826086</v>
      </c>
      <c r="L26" s="67">
        <v>0.21739130434782608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0.41791044776119401</v>
      </c>
      <c r="G27" s="67">
        <v>0.17910447761194029</v>
      </c>
      <c r="H27" s="68">
        <v>8773.8095238095229</v>
      </c>
      <c r="I27" s="68">
        <v>-7397.2222222222226</v>
      </c>
      <c r="J27" s="67">
        <v>4.1666666666666664E-2</v>
      </c>
      <c r="K27" s="67">
        <v>0.16666666666666666</v>
      </c>
      <c r="L27" s="67">
        <v>0.20833333333333334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0.42156862745098039</v>
      </c>
      <c r="G28" s="67">
        <v>0.17647058823529413</v>
      </c>
      <c r="H28" s="68">
        <v>9058.1395348837214</v>
      </c>
      <c r="I28" s="68">
        <v>-7397.2222222222226</v>
      </c>
      <c r="J28" s="67">
        <v>0.04</v>
      </c>
      <c r="K28" s="67">
        <v>0.2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0.41314553990610331</v>
      </c>
      <c r="G29" s="67">
        <v>0.17370892018779344</v>
      </c>
      <c r="H29" s="68">
        <v>9032.954545454546</v>
      </c>
      <c r="I29" s="68">
        <v>-7683.7837837837842</v>
      </c>
      <c r="J29" s="67">
        <v>3.8461538461538464E-2</v>
      </c>
      <c r="K29" s="67">
        <v>0.19230769230769232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0.40090090090090091</v>
      </c>
      <c r="G30" s="67">
        <v>0.17117117117117117</v>
      </c>
      <c r="H30" s="68">
        <v>9133.7078651685388</v>
      </c>
      <c r="I30" s="68">
        <v>-7692.105263157895</v>
      </c>
      <c r="J30" s="67">
        <v>3.7037037037037035E-2</v>
      </c>
      <c r="K30" s="67">
        <v>0.18518518518518517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0.41304347826086957</v>
      </c>
      <c r="G31" s="67">
        <v>0.16956521739130434</v>
      </c>
      <c r="H31" s="68">
        <v>9030.5263157894733</v>
      </c>
      <c r="I31" s="68">
        <v>-7628.2051282051279</v>
      </c>
      <c r="J31" s="67">
        <v>3.5714285714285712E-2</v>
      </c>
      <c r="K31" s="67">
        <v>0.17857142857142858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0.4219409282700422</v>
      </c>
      <c r="G32" s="67">
        <v>0.16455696202531644</v>
      </c>
      <c r="H32" s="68">
        <v>8832</v>
      </c>
      <c r="I32" s="68">
        <v>-7628.2051282051279</v>
      </c>
      <c r="J32" s="67">
        <v>3.4482758620689655E-2</v>
      </c>
      <c r="K32" s="67">
        <v>0.17241379310344829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0.41700404858299595</v>
      </c>
      <c r="G33" s="67">
        <v>0.15789473684210525</v>
      </c>
      <c r="H33" s="68">
        <v>8827.1844660194183</v>
      </c>
      <c r="I33" s="68">
        <v>-7628.2051282051279</v>
      </c>
      <c r="J33" s="67">
        <v>3.3333333333333333E-2</v>
      </c>
      <c r="K33" s="67">
        <v>0.16666666666666666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0.42063492063492064</v>
      </c>
      <c r="G34" s="67">
        <v>0.15476190476190477</v>
      </c>
      <c r="H34" s="68">
        <v>8970.7547169811314</v>
      </c>
      <c r="I34" s="68">
        <v>-7628.2051282051279</v>
      </c>
      <c r="J34" s="67">
        <v>3.2258064516129031E-2</v>
      </c>
      <c r="K34" s="67">
        <v>0.19354838709677419</v>
      </c>
      <c r="L34" s="67">
        <v>0.16129032258064516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0.41860465116279072</v>
      </c>
      <c r="G35" s="67">
        <v>0.15503875968992248</v>
      </c>
      <c r="H35" s="68">
        <v>9000.9259259259252</v>
      </c>
      <c r="I35" s="68">
        <v>-7837.5</v>
      </c>
      <c r="J35" s="67">
        <v>3.125E-2</v>
      </c>
      <c r="K35" s="67">
        <v>0.1875</v>
      </c>
      <c r="L35" s="67">
        <v>0.15625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0.42696629213483145</v>
      </c>
      <c r="G36" s="67">
        <v>0.15355805243445692</v>
      </c>
      <c r="H36" s="68">
        <v>8933.3333333333339</v>
      </c>
      <c r="I36" s="68">
        <v>-7939.0243902439024</v>
      </c>
      <c r="J36" s="67">
        <v>3.0303030303030304E-2</v>
      </c>
      <c r="K36" s="67">
        <v>0.18181818181818182</v>
      </c>
      <c r="L36" s="67">
        <v>0.15151515151515152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0.42909090909090908</v>
      </c>
      <c r="G37" s="67">
        <v>0.15272727272727274</v>
      </c>
      <c r="H37" s="68">
        <v>8800.8474576271183</v>
      </c>
      <c r="I37" s="68">
        <v>-7797.6190476190477</v>
      </c>
      <c r="J37" s="67">
        <v>2.9411764705882353E-2</v>
      </c>
      <c r="K37" s="67">
        <v>0.17647058823529413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0.42553191489361702</v>
      </c>
      <c r="G38" s="67">
        <v>0.14893617021276595</v>
      </c>
      <c r="H38" s="68">
        <v>8807.5</v>
      </c>
      <c r="I38" s="68">
        <v>-7797.6190476190477</v>
      </c>
      <c r="J38" s="67">
        <v>2.8571428571428571E-2</v>
      </c>
      <c r="K38" s="67">
        <v>0.17142857142857143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0.43006993006993005</v>
      </c>
      <c r="G39" s="67">
        <v>0.14685314685314685</v>
      </c>
      <c r="H39" s="68">
        <v>8982.9268292682918</v>
      </c>
      <c r="I39" s="68">
        <v>-7797.6190476190477</v>
      </c>
      <c r="J39" s="67">
        <v>2.7777777777777776E-2</v>
      </c>
      <c r="K39" s="67">
        <v>0.19444444444444445</v>
      </c>
      <c r="L39" s="67">
        <v>0.16666666666666666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0.42711864406779659</v>
      </c>
      <c r="G40" s="67">
        <v>0.14915254237288136</v>
      </c>
      <c r="H40" s="68">
        <v>9000.7936507936502</v>
      </c>
      <c r="I40" s="68">
        <v>-7561.363636363636</v>
      </c>
      <c r="J40" s="67">
        <v>2.7027027027027029E-2</v>
      </c>
      <c r="K40" s="67">
        <v>0.1891891891891892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0.42857142857142855</v>
      </c>
      <c r="G41" s="67">
        <v>0.1461794019933555</v>
      </c>
      <c r="H41" s="68">
        <v>9160.4651162790706</v>
      </c>
      <c r="I41" s="68">
        <v>-7561.363636363636</v>
      </c>
      <c r="J41" s="67">
        <v>2.6315789473684209E-2</v>
      </c>
      <c r="K41" s="67">
        <v>0.21052631578947367</v>
      </c>
      <c r="L41" s="67">
        <v>0.18421052631578946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0.42718446601941745</v>
      </c>
      <c r="G42" s="67">
        <v>0.14563106796116504</v>
      </c>
      <c r="H42" s="68">
        <v>9225</v>
      </c>
      <c r="I42" s="68">
        <v>-7571.1111111111113</v>
      </c>
      <c r="J42" s="67">
        <v>2.564102564102564E-2</v>
      </c>
      <c r="K42" s="67">
        <v>0.23076923076923078</v>
      </c>
      <c r="L42" s="67">
        <v>0.17948717948717949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0.42236024844720499</v>
      </c>
      <c r="G43" s="67">
        <v>0.15217391304347827</v>
      </c>
      <c r="H43" s="68">
        <v>9195.5882352941171</v>
      </c>
      <c r="I43" s="68">
        <v>-7897.9591836734689</v>
      </c>
      <c r="J43" s="67">
        <v>2.5000000000000001E-2</v>
      </c>
      <c r="K43" s="67">
        <v>0.22500000000000001</v>
      </c>
      <c r="L43" s="67">
        <v>0.17499999999999999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0.42073170731707316</v>
      </c>
      <c r="G44" s="67">
        <v>0.14939024390243902</v>
      </c>
      <c r="H44" s="68">
        <v>9236.2318840579719</v>
      </c>
      <c r="I44" s="68">
        <v>-7897.9591836734689</v>
      </c>
      <c r="J44" s="67">
        <v>2.4390243902439025E-2</v>
      </c>
      <c r="K44" s="67">
        <v>0.21951219512195122</v>
      </c>
      <c r="L44" s="67">
        <v>0.17073170731707318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0.42215568862275449</v>
      </c>
      <c r="G45" s="67">
        <v>0.1497005988023952</v>
      </c>
      <c r="H45" s="68">
        <v>9200</v>
      </c>
      <c r="I45" s="68">
        <v>-7844</v>
      </c>
      <c r="J45" s="67">
        <v>2.3809523809523808E-2</v>
      </c>
      <c r="K45" s="67">
        <v>0.21428571428571427</v>
      </c>
      <c r="L45" s="67">
        <v>0.19047619047619047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0.41935483870967744</v>
      </c>
      <c r="G46" s="67">
        <v>0.1466275659824047</v>
      </c>
      <c r="H46" s="68">
        <v>9323.0769230769238</v>
      </c>
      <c r="I46" s="68">
        <v>-7844</v>
      </c>
      <c r="J46" s="67">
        <v>2.3255813953488372E-2</v>
      </c>
      <c r="K46" s="67">
        <v>0.20930232558139536</v>
      </c>
      <c r="L46" s="67">
        <v>0.18604651162790697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0.42241379310344829</v>
      </c>
      <c r="G47" s="67">
        <v>0.14655172413793102</v>
      </c>
      <c r="H47" s="68">
        <v>9407.4829931972781</v>
      </c>
      <c r="I47" s="68">
        <v>-7925.4901960784309</v>
      </c>
      <c r="J47" s="67">
        <v>2.2727272727272728E-2</v>
      </c>
      <c r="K47" s="67">
        <v>0.22727272727272727</v>
      </c>
      <c r="L47" s="67">
        <v>0.18181818181818182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0.42134831460674155</v>
      </c>
      <c r="G48" s="67">
        <v>0.14606741573033707</v>
      </c>
      <c r="H48" s="68">
        <v>9310.6666666666661</v>
      </c>
      <c r="I48" s="68">
        <v>-7823.0769230769229</v>
      </c>
      <c r="J48" s="67">
        <v>2.2222222222222223E-2</v>
      </c>
      <c r="K48" s="67">
        <v>0.22222222222222221</v>
      </c>
      <c r="L48" s="67">
        <v>0.17777777777777778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0.41944444444444445</v>
      </c>
      <c r="G49" s="67">
        <v>0.14722222222222223</v>
      </c>
      <c r="H49" s="68">
        <v>9407.9470198675499</v>
      </c>
      <c r="I49" s="68">
        <v>-8015.0943396226412</v>
      </c>
      <c r="J49" s="67">
        <v>2.1739130434782608E-2</v>
      </c>
      <c r="K49" s="67">
        <v>0.21739130434782608</v>
      </c>
      <c r="L49" s="67">
        <v>0.17391304347826086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0.42349726775956287</v>
      </c>
      <c r="G50" s="67">
        <v>0.1448087431693989</v>
      </c>
      <c r="H50" s="68">
        <v>9387.0967741935492</v>
      </c>
      <c r="I50" s="68">
        <v>-8015.0943396226412</v>
      </c>
      <c r="J50" s="67">
        <v>2.1276595744680851E-2</v>
      </c>
      <c r="K50" s="67">
        <v>0.23404255319148937</v>
      </c>
      <c r="L50" s="67">
        <v>0.19148936170212766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0.42021276595744683</v>
      </c>
      <c r="G51" s="67">
        <v>0.14627659574468085</v>
      </c>
      <c r="H51" s="68">
        <v>9332.9113924050635</v>
      </c>
      <c r="I51" s="68">
        <v>-8087.272727272727</v>
      </c>
      <c r="J51" s="67">
        <v>2.0833333333333332E-2</v>
      </c>
      <c r="K51" s="67">
        <v>0.22916666666666666</v>
      </c>
      <c r="L51" s="67">
        <v>0.1875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0.42297650130548303</v>
      </c>
      <c r="G52" s="67">
        <v>0.14360313315926893</v>
      </c>
      <c r="H52" s="68">
        <v>9259.2592592592591</v>
      </c>
      <c r="I52" s="68">
        <v>-8087.272727272727</v>
      </c>
      <c r="J52" s="67">
        <v>2.0408163265306121E-2</v>
      </c>
      <c r="K52" s="67">
        <v>0.22448979591836735</v>
      </c>
      <c r="L52" s="67">
        <v>0.20408163265306123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0.41624365482233505</v>
      </c>
      <c r="G53" s="67">
        <v>0.14467005076142131</v>
      </c>
      <c r="H53" s="68">
        <v>9251.2195121951227</v>
      </c>
      <c r="I53" s="68">
        <v>-7889.4736842105267</v>
      </c>
      <c r="J53" s="67">
        <v>0.02</v>
      </c>
      <c r="K53" s="67">
        <v>0.22</v>
      </c>
      <c r="L53" s="67">
        <v>0.2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0.41687344913151364</v>
      </c>
      <c r="G54" s="67">
        <v>0.14392059553349876</v>
      </c>
      <c r="H54" s="68">
        <v>9112.5</v>
      </c>
      <c r="I54" s="68">
        <v>-7960.3448275862065</v>
      </c>
      <c r="J54" s="67">
        <v>1.9607843137254902E-2</v>
      </c>
      <c r="K54" s="67">
        <v>0.21568627450980393</v>
      </c>
      <c r="L54" s="67">
        <v>0.19607843137254902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0.41445783132530123</v>
      </c>
      <c r="G55" s="67">
        <v>0.14216867469879518</v>
      </c>
      <c r="H55" s="68">
        <v>9091.2790697674427</v>
      </c>
      <c r="I55" s="68">
        <v>-7961.0169491525421</v>
      </c>
      <c r="J55" s="67">
        <v>1.9230769230769232E-2</v>
      </c>
      <c r="K55" s="67">
        <v>0.21153846153846154</v>
      </c>
      <c r="L55" s="67">
        <v>0.19230769230769232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0.41706161137440756</v>
      </c>
      <c r="G56" s="67">
        <v>0.13981042654028436</v>
      </c>
      <c r="H56" s="68">
        <v>9131.818181818182</v>
      </c>
      <c r="I56" s="68">
        <v>-7961.0169491525421</v>
      </c>
      <c r="J56" s="67">
        <v>1.8867924528301886E-2</v>
      </c>
      <c r="K56" s="67">
        <v>0.22641509433962265</v>
      </c>
      <c r="L56" s="67">
        <v>0.18867924528301888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0.41025641025641024</v>
      </c>
      <c r="G57" s="67">
        <v>0.14219114219114218</v>
      </c>
      <c r="H57" s="68">
        <v>9131.818181818182</v>
      </c>
      <c r="I57" s="68">
        <v>-7873.7704918032787</v>
      </c>
      <c r="J57" s="67">
        <v>3.7037037037037035E-2</v>
      </c>
      <c r="K57" s="67">
        <v>0.22222222222222221</v>
      </c>
      <c r="L57" s="67">
        <v>0.18518518518518517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0.41474654377880182</v>
      </c>
      <c r="G58" s="67">
        <v>0.14055299539170507</v>
      </c>
      <c r="H58" s="68">
        <v>9417.7777777777774</v>
      </c>
      <c r="I58" s="68">
        <v>-7873.7704918032787</v>
      </c>
      <c r="J58" s="67">
        <v>3.6363636363636362E-2</v>
      </c>
      <c r="K58" s="67">
        <v>0.23636363636363636</v>
      </c>
      <c r="L58" s="67">
        <v>0.18181818181818182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0.41723356009070295</v>
      </c>
      <c r="G59" s="67">
        <v>0.14058956916099774</v>
      </c>
      <c r="H59" s="68">
        <v>9617.391304347826</v>
      </c>
      <c r="I59" s="68">
        <v>-7875.8064516129034</v>
      </c>
      <c r="J59" s="67">
        <v>3.5714285714285712E-2</v>
      </c>
      <c r="K59" s="67">
        <v>0.25</v>
      </c>
      <c r="L59" s="67">
        <v>0.19642857142857142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0.41425389755011138</v>
      </c>
      <c r="G60" s="67">
        <v>0.14031180400890869</v>
      </c>
      <c r="H60" s="68">
        <v>9576.8817204301067</v>
      </c>
      <c r="I60" s="68">
        <v>-7877.7777777777774</v>
      </c>
      <c r="J60" s="67">
        <v>3.5087719298245612E-2</v>
      </c>
      <c r="K60" s="67">
        <v>0.24561403508771928</v>
      </c>
      <c r="L60" s="67">
        <v>0.19298245614035087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0.41318681318681316</v>
      </c>
      <c r="G61" s="67">
        <v>0.14065934065934066</v>
      </c>
      <c r="H61" s="68">
        <v>9556.9148936170204</v>
      </c>
      <c r="I61" s="68">
        <v>-7785.9375</v>
      </c>
      <c r="J61" s="67">
        <v>3.4482758620689655E-2</v>
      </c>
      <c r="K61" s="67">
        <v>0.2413793103448276</v>
      </c>
      <c r="L61" s="67">
        <v>0.20689655172413793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0.41304347826086957</v>
      </c>
      <c r="G62" s="67">
        <v>0.1391304347826087</v>
      </c>
      <c r="H62" s="68">
        <v>9561.5789473684217</v>
      </c>
      <c r="I62" s="68">
        <v>-7785.9375</v>
      </c>
      <c r="J62" s="67">
        <v>3.3898305084745763E-2</v>
      </c>
      <c r="K62" s="67">
        <v>0.23728813559322035</v>
      </c>
      <c r="L62" s="67">
        <v>0.20338983050847459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0.41188959660297242</v>
      </c>
      <c r="G63" s="67">
        <v>0.13800424628450106</v>
      </c>
      <c r="H63" s="68">
        <v>9523.1958762886607</v>
      </c>
      <c r="I63" s="68">
        <v>-7740</v>
      </c>
      <c r="J63" s="67">
        <v>3.3333333333333333E-2</v>
      </c>
      <c r="K63" s="67">
        <v>0.23333333333333334</v>
      </c>
      <c r="L63" s="67">
        <v>0.21666666666666667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0.41249999999999998</v>
      </c>
      <c r="G64" s="67">
        <v>0.13541666666666666</v>
      </c>
      <c r="H64" s="68">
        <v>9479.2929292929293</v>
      </c>
      <c r="I64" s="68">
        <v>-7740</v>
      </c>
      <c r="J64" s="67">
        <v>3.2786885245901641E-2</v>
      </c>
      <c r="K64" s="67">
        <v>0.22950819672131148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0.41308793456032722</v>
      </c>
      <c r="G65" s="67">
        <v>0.13701431492842536</v>
      </c>
      <c r="H65" s="68">
        <v>9495.5445544554459</v>
      </c>
      <c r="I65" s="68">
        <v>-7634.3283582089553</v>
      </c>
      <c r="J65" s="67">
        <v>3.2258064516129031E-2</v>
      </c>
      <c r="K65" s="67">
        <v>0.22580645161290322</v>
      </c>
      <c r="L65" s="67">
        <v>0.24193548387096775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0.4088176352705411</v>
      </c>
      <c r="G66" s="67">
        <v>0.13827655310621242</v>
      </c>
      <c r="H66" s="68">
        <v>9479.4117647058829</v>
      </c>
      <c r="I66" s="68">
        <v>-7488.405797101449</v>
      </c>
      <c r="J66" s="67">
        <v>3.1746031746031744E-2</v>
      </c>
      <c r="K66" s="67">
        <v>0.22222222222222221</v>
      </c>
      <c r="L66" s="67">
        <v>0.23809523809523808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0.40471512770137524</v>
      </c>
      <c r="G67" s="67">
        <v>0.13948919449901767</v>
      </c>
      <c r="H67" s="68">
        <v>9418.9320388349515</v>
      </c>
      <c r="I67" s="68">
        <v>-7467.6056338028166</v>
      </c>
      <c r="J67" s="67">
        <v>3.125E-2</v>
      </c>
      <c r="K67" s="67">
        <v>0.21875</v>
      </c>
      <c r="L67" s="67">
        <v>0.234375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0.40115163147792704</v>
      </c>
      <c r="G68" s="67">
        <v>0.14011516314779271</v>
      </c>
      <c r="H68" s="68">
        <v>9417.7033492822975</v>
      </c>
      <c r="I68" s="68">
        <v>-7619.178082191781</v>
      </c>
      <c r="J68" s="67">
        <v>3.0769230769230771E-2</v>
      </c>
      <c r="K68" s="67">
        <v>0.2153846153846154</v>
      </c>
      <c r="L68" s="67">
        <v>0.23076923076923078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0.40227703984819735</v>
      </c>
      <c r="G69" s="67">
        <v>0.14231499051233396</v>
      </c>
      <c r="H69" s="68">
        <v>9373.5849056603765</v>
      </c>
      <c r="I69" s="68">
        <v>-8162.666666666667</v>
      </c>
      <c r="J69" s="67">
        <v>4.5454545454545456E-2</v>
      </c>
      <c r="K69" s="67">
        <v>0.21212121212121213</v>
      </c>
      <c r="L69" s="67">
        <v>0.22727272727272727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0.40262172284644193</v>
      </c>
      <c r="G70" s="67">
        <v>0.1404494382022472</v>
      </c>
      <c r="H70" s="68">
        <v>9379.0697674418607</v>
      </c>
      <c r="I70" s="68">
        <v>-8162.666666666667</v>
      </c>
      <c r="J70" s="67">
        <v>4.4776119402985072E-2</v>
      </c>
      <c r="K70" s="67">
        <v>0.20895522388059701</v>
      </c>
      <c r="L70" s="67">
        <v>0.22388059701492538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0.39926062846580407</v>
      </c>
      <c r="G71" s="67">
        <v>0.14417744916820702</v>
      </c>
      <c r="H71" s="68">
        <v>9372.6851851851843</v>
      </c>
      <c r="I71" s="68">
        <v>-8152.5641025641025</v>
      </c>
      <c r="J71" s="67">
        <v>4.4117647058823532E-2</v>
      </c>
      <c r="K71" s="67">
        <v>0.20588235294117646</v>
      </c>
      <c r="L71" s="67">
        <v>0.22058823529411764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0.39745916515426499</v>
      </c>
      <c r="G72" s="67">
        <v>0.14700544464609799</v>
      </c>
      <c r="H72" s="68">
        <v>9390.4109589041091</v>
      </c>
      <c r="I72" s="68">
        <v>-8043.2098765432102</v>
      </c>
      <c r="J72" s="67">
        <v>4.3478260869565216E-2</v>
      </c>
      <c r="K72" s="67">
        <v>0.20289855072463769</v>
      </c>
      <c r="L72" s="67">
        <v>0.21739130434782608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0.39784946236559138</v>
      </c>
      <c r="G73" s="67">
        <v>0.14516129032258066</v>
      </c>
      <c r="H73" s="68">
        <v>9341.8918918918916</v>
      </c>
      <c r="I73" s="68">
        <v>-8043.2098765432102</v>
      </c>
      <c r="J73" s="67">
        <v>4.2857142857142858E-2</v>
      </c>
      <c r="K73" s="67">
        <v>0.2</v>
      </c>
      <c r="L73" s="67">
        <v>0.22857142857142856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0.3985890652557319</v>
      </c>
      <c r="G74" s="67">
        <v>0.14638447971781304</v>
      </c>
      <c r="H74" s="68">
        <v>9378.7610619469033</v>
      </c>
      <c r="I74" s="68">
        <v>-7969.8795180722891</v>
      </c>
      <c r="J74" s="67">
        <v>4.2253521126760563E-2</v>
      </c>
      <c r="K74" s="67">
        <v>0.19718309859154928</v>
      </c>
      <c r="L74" s="67">
        <v>0.22535211267605634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0.39721254355400698</v>
      </c>
      <c r="G75" s="67">
        <v>0.1480836236933798</v>
      </c>
      <c r="H75" s="68">
        <v>9339.0350877192977</v>
      </c>
      <c r="I75" s="68">
        <v>-8017.6470588235297</v>
      </c>
      <c r="J75" s="67">
        <v>5.5555555555555552E-2</v>
      </c>
      <c r="K75" s="67">
        <v>0.19444444444444445</v>
      </c>
      <c r="L75" s="67">
        <v>0.22222222222222221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0.39451114922813035</v>
      </c>
      <c r="G76" s="67">
        <v>0.14579759862778729</v>
      </c>
      <c r="H76" s="68">
        <v>9301.7391304347821</v>
      </c>
      <c r="I76" s="68">
        <v>-8017.6470588235297</v>
      </c>
      <c r="J76" s="67">
        <v>5.4794520547945202E-2</v>
      </c>
      <c r="K76" s="67">
        <v>0.19178082191780821</v>
      </c>
      <c r="L76" s="67">
        <v>0.21917808219178081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02400-51DD-4E86-BAFC-3DA15BCEAE5B}">
  <sheetPr codeName="Sheet6"/>
  <dimension ref="A1:Q10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149</v>
      </c>
      <c r="B1" s="70" t="s">
        <v>149</v>
      </c>
      <c r="C1" s="70" t="s">
        <v>149</v>
      </c>
      <c r="D1" s="71" t="s">
        <v>149</v>
      </c>
      <c r="E1" s="70" t="s">
        <v>149</v>
      </c>
      <c r="F1" s="70" t="s">
        <v>149</v>
      </c>
      <c r="G1" s="70" t="s">
        <v>149</v>
      </c>
      <c r="H1" s="70" t="s">
        <v>149</v>
      </c>
      <c r="I1" s="70" t="s">
        <v>149</v>
      </c>
      <c r="J1" s="70" t="s">
        <v>149</v>
      </c>
      <c r="K1" s="70" t="s">
        <v>149</v>
      </c>
      <c r="L1" s="70" t="s">
        <v>149</v>
      </c>
      <c r="M1" s="70" t="s">
        <v>149</v>
      </c>
      <c r="N1" s="70" t="s">
        <v>149</v>
      </c>
      <c r="O1" s="70" t="s">
        <v>149</v>
      </c>
      <c r="P1" s="70" t="s">
        <v>149</v>
      </c>
      <c r="Q1" s="70" t="s">
        <v>149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0.22222222222222221</v>
      </c>
      <c r="H4" s="68">
        <v>10416.666666666666</v>
      </c>
      <c r="I4" s="68">
        <v>-11925</v>
      </c>
      <c r="J4" s="67">
        <v>0</v>
      </c>
      <c r="K4" s="67">
        <v>0</v>
      </c>
      <c r="L4" s="67">
        <v>0.33333333333333331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0.22916666666666666</v>
      </c>
      <c r="H5" s="68">
        <v>10068.75</v>
      </c>
      <c r="I5" s="68">
        <v>-9845.454545454546</v>
      </c>
      <c r="J5" s="67">
        <v>0</v>
      </c>
      <c r="K5" s="67">
        <v>0</v>
      </c>
      <c r="L5" s="67">
        <v>0.33333333333333331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0.30769230769230771</v>
      </c>
      <c r="G6" s="67">
        <v>0.23076923076923078</v>
      </c>
      <c r="H6" s="68">
        <v>9279.1666666666661</v>
      </c>
      <c r="I6" s="68">
        <v>-8772.2222222222226</v>
      </c>
      <c r="J6" s="67">
        <v>0</v>
      </c>
      <c r="K6" s="67">
        <v>0</v>
      </c>
      <c r="L6" s="67">
        <v>0.22222222222222221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0.30303030303030304</v>
      </c>
      <c r="G7" s="67">
        <v>0.24242424242424243</v>
      </c>
      <c r="H7" s="68">
        <v>8393.3333333333339</v>
      </c>
      <c r="I7" s="68">
        <v>-7791.666666666667</v>
      </c>
      <c r="J7" s="67">
        <v>0</v>
      </c>
      <c r="K7" s="67">
        <v>0</v>
      </c>
      <c r="L7" s="67">
        <v>0.16666666666666666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0.30158730158730157</v>
      </c>
      <c r="G8" s="67">
        <v>0.23015873015873015</v>
      </c>
      <c r="H8" s="68">
        <v>7971.0526315789475</v>
      </c>
      <c r="I8" s="68">
        <v>-7324.1379310344828</v>
      </c>
      <c r="J8" s="67">
        <v>0</v>
      </c>
      <c r="K8" s="67">
        <v>0</v>
      </c>
      <c r="L8" s="67">
        <v>0.13333333333333333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0.30612244897959184</v>
      </c>
      <c r="G9" s="67">
        <v>0.21768707482993196</v>
      </c>
      <c r="H9" s="68">
        <v>8540</v>
      </c>
      <c r="I9" s="68">
        <v>-8118.75</v>
      </c>
      <c r="J9" s="67">
        <v>5.5555555555555552E-2</v>
      </c>
      <c r="K9" s="67">
        <v>5.5555555555555552E-2</v>
      </c>
      <c r="L9" s="67">
        <v>0.16666666666666666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0.29943502824858759</v>
      </c>
      <c r="G10" s="67">
        <v>0.21468926553672316</v>
      </c>
      <c r="H10" s="68">
        <v>8416.9811320754725</v>
      </c>
      <c r="I10" s="68">
        <v>-8131.5789473684208</v>
      </c>
      <c r="J10" s="67">
        <v>4.7619047619047616E-2</v>
      </c>
      <c r="K10" s="67">
        <v>4.7619047619047616E-2</v>
      </c>
      <c r="L10" s="67">
        <v>0.19047619047619047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0.30392156862745096</v>
      </c>
      <c r="G11" s="67">
        <v>0.2107843137254902</v>
      </c>
      <c r="H11" s="68">
        <v>8124.1935483870966</v>
      </c>
      <c r="I11" s="68">
        <v>-7848.8372093023254</v>
      </c>
      <c r="J11" s="67">
        <v>4.1666666666666664E-2</v>
      </c>
      <c r="K11" s="67">
        <v>4.1666666666666664E-2</v>
      </c>
      <c r="L11" s="67">
        <v>0.20833333333333334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0.30666666666666664</v>
      </c>
      <c r="G12" s="67">
        <v>0.20444444444444446</v>
      </c>
      <c r="H12" s="68">
        <v>8147.826086956522</v>
      </c>
      <c r="I12" s="68">
        <v>-8073.913043478261</v>
      </c>
      <c r="J12" s="67">
        <v>3.7037037037037035E-2</v>
      </c>
      <c r="K12" s="67">
        <v>3.7037037037037035E-2</v>
      </c>
      <c r="L12" s="67">
        <v>0.18518518518518517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0.30801687763713081</v>
      </c>
      <c r="G13" s="67">
        <v>0.20675105485232068</v>
      </c>
      <c r="H13" s="68">
        <v>8242.465753424658</v>
      </c>
      <c r="I13" s="68">
        <v>-8353.0612244897966</v>
      </c>
      <c r="J13" s="67">
        <v>6.6666666666666666E-2</v>
      </c>
      <c r="K13" s="67">
        <v>6.6666666666666666E-2</v>
      </c>
      <c r="L13" s="67">
        <v>0.2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0.30337078651685395</v>
      </c>
      <c r="G14" s="67">
        <v>0.20224719101123595</v>
      </c>
      <c r="H14" s="68">
        <v>7923.4567901234568</v>
      </c>
      <c r="I14" s="68">
        <v>-8040.7407407407409</v>
      </c>
      <c r="J14" s="67">
        <v>6.0606060606060608E-2</v>
      </c>
      <c r="K14" s="67">
        <v>6.0606060606060608E-2</v>
      </c>
      <c r="L14" s="67">
        <v>0.21212121212121213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0.30555555555555558</v>
      </c>
      <c r="G15" s="67">
        <v>0.2013888888888889</v>
      </c>
      <c r="H15" s="68">
        <v>7830.681818181818</v>
      </c>
      <c r="I15" s="68">
        <v>-7962.0689655172409</v>
      </c>
      <c r="J15" s="67">
        <v>5.5555555555555552E-2</v>
      </c>
      <c r="K15" s="67">
        <v>5.5555555555555552E-2</v>
      </c>
      <c r="L15" s="67">
        <v>0.19444444444444445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0.30769230769230771</v>
      </c>
      <c r="G16" s="67">
        <v>0.20192307692307693</v>
      </c>
      <c r="H16" s="68">
        <v>7831.25</v>
      </c>
      <c r="I16" s="68">
        <v>-8012.6984126984125</v>
      </c>
      <c r="J16" s="67">
        <v>5.128205128205128E-2</v>
      </c>
      <c r="K16" s="67">
        <v>5.128205128205128E-2</v>
      </c>
      <c r="L16" s="67">
        <v>0.17948717948717949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0.30747126436781608</v>
      </c>
      <c r="G17" s="67">
        <v>0.19827586206896552</v>
      </c>
      <c r="H17" s="68">
        <v>7745.7943925233649</v>
      </c>
      <c r="I17" s="68">
        <v>-7981.159420289855</v>
      </c>
      <c r="J17" s="67">
        <v>4.7619047619047616E-2</v>
      </c>
      <c r="K17" s="67">
        <v>4.7619047619047616E-2</v>
      </c>
      <c r="L17" s="67">
        <v>0.16666666666666666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0.30913978494623656</v>
      </c>
      <c r="G18" s="67">
        <v>0.19623655913978494</v>
      </c>
      <c r="H18" s="68">
        <v>7733.913043478261</v>
      </c>
      <c r="I18" s="68">
        <v>-8193.1506849315065</v>
      </c>
      <c r="J18" s="67">
        <v>6.6666666666666666E-2</v>
      </c>
      <c r="K18" s="67">
        <v>6.6666666666666666E-2</v>
      </c>
      <c r="L18" s="67">
        <v>0.15555555555555556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0.30637254901960786</v>
      </c>
      <c r="G19" s="67">
        <v>0.18872549019607843</v>
      </c>
      <c r="H19" s="68">
        <v>7460.8</v>
      </c>
      <c r="I19" s="68">
        <v>-8110.3896103896104</v>
      </c>
      <c r="J19" s="67">
        <v>6.25E-2</v>
      </c>
      <c r="K19" s="67">
        <v>6.25E-2</v>
      </c>
      <c r="L19" s="67">
        <v>0.14583333333333334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0.30324074074074076</v>
      </c>
      <c r="G20" s="67">
        <v>0.18981481481481483</v>
      </c>
      <c r="H20" s="68">
        <v>7306.1068702290077</v>
      </c>
      <c r="I20" s="68">
        <v>-7880.4878048780483</v>
      </c>
      <c r="J20" s="67">
        <v>5.8823529411764705E-2</v>
      </c>
      <c r="K20" s="67">
        <v>5.8823529411764705E-2</v>
      </c>
      <c r="L20" s="67">
        <v>0.13725490196078433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0.30463576158940397</v>
      </c>
      <c r="G21" s="67">
        <v>0.19205298013245034</v>
      </c>
      <c r="H21" s="68">
        <v>7194.927536231884</v>
      </c>
      <c r="I21" s="68">
        <v>-7713.7931034482763</v>
      </c>
      <c r="J21" s="67">
        <v>5.5555555555555552E-2</v>
      </c>
      <c r="K21" s="67">
        <v>5.5555555555555552E-2</v>
      </c>
      <c r="L21" s="67">
        <v>0.12962962962962962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0.30398322851153042</v>
      </c>
      <c r="G22" s="67">
        <v>0.19077568134171907</v>
      </c>
      <c r="H22" s="68">
        <v>7286.2068965517237</v>
      </c>
      <c r="I22" s="68">
        <v>-7813.1868131868132</v>
      </c>
      <c r="J22" s="67">
        <v>5.2631578947368418E-2</v>
      </c>
      <c r="K22" s="67">
        <v>5.2631578947368418E-2</v>
      </c>
      <c r="L22" s="67">
        <v>0.12280701754385964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0.3057199211045365</v>
      </c>
      <c r="G23" s="67">
        <v>0.19132149901380671</v>
      </c>
      <c r="H23" s="68">
        <v>7353.5483870967746</v>
      </c>
      <c r="I23" s="68">
        <v>-7809.2783505154639</v>
      </c>
      <c r="J23" s="67">
        <v>0.05</v>
      </c>
      <c r="K23" s="67">
        <v>0.05</v>
      </c>
      <c r="L23" s="67">
        <v>0.13333333333333333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3.5527136788005009E-15</v>
      </c>
      <c r="C24" s="66">
        <v>5.6392280615880964E-17</v>
      </c>
      <c r="D24" s="71">
        <v>2</v>
      </c>
      <c r="E24" s="67">
        <v>0.33333333333333331</v>
      </c>
      <c r="F24" s="67">
        <v>0.30711610486891383</v>
      </c>
      <c r="G24" s="67">
        <v>0.18726591760299627</v>
      </c>
      <c r="H24" s="68">
        <v>7399.3902439024387</v>
      </c>
      <c r="I24" s="68">
        <v>-7705</v>
      </c>
      <c r="J24" s="67">
        <v>4.7619047619047616E-2</v>
      </c>
      <c r="K24" s="67">
        <v>4.7619047619047616E-2</v>
      </c>
      <c r="L24" s="67">
        <v>0.12698412698412698</v>
      </c>
      <c r="M24" s="67">
        <v>0.26029962546816482</v>
      </c>
      <c r="N24" s="67">
        <v>0.21535580524344569</v>
      </c>
      <c r="O24" s="67">
        <v>0.5539568345323741</v>
      </c>
      <c r="P24" s="67">
        <v>0.4</v>
      </c>
      <c r="Q24" s="67">
        <v>0.38414634146341464</v>
      </c>
    </row>
    <row r="25" spans="1:17" x14ac:dyDescent="0.4">
      <c r="A25" s="69">
        <v>22</v>
      </c>
      <c r="B25" s="66">
        <v>3.5527136788005009E-15</v>
      </c>
      <c r="C25" s="66">
        <v>5.3828995133340925E-17</v>
      </c>
      <c r="D25" s="71">
        <v>2</v>
      </c>
      <c r="E25" s="67">
        <v>0.33333333333333331</v>
      </c>
      <c r="F25" s="67">
        <v>0.3067375886524823</v>
      </c>
      <c r="G25" s="67">
        <v>0.18439716312056736</v>
      </c>
      <c r="H25" s="68">
        <v>7298.2658959537575</v>
      </c>
      <c r="I25" s="68">
        <v>-7679.8076923076924</v>
      </c>
      <c r="J25" s="67">
        <v>4.5454545454545456E-2</v>
      </c>
      <c r="K25" s="67">
        <v>4.5454545454545456E-2</v>
      </c>
      <c r="L25" s="67">
        <v>0.12121212121212122</v>
      </c>
      <c r="M25" s="67">
        <v>0.25354609929078015</v>
      </c>
      <c r="N25" s="67">
        <v>0.22340425531914893</v>
      </c>
      <c r="O25" s="67">
        <v>0.55244755244755239</v>
      </c>
      <c r="P25" s="67">
        <v>0.3968253968253968</v>
      </c>
      <c r="Q25" s="67">
        <v>0.39306358381502893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0.30471380471380471</v>
      </c>
      <c r="G26" s="67">
        <v>0.18181818181818182</v>
      </c>
      <c r="H26" s="68">
        <v>7186.7403314917128</v>
      </c>
      <c r="I26" s="68">
        <v>-7553.7037037037035</v>
      </c>
      <c r="J26" s="67">
        <v>4.3478260869565216E-2</v>
      </c>
      <c r="K26" s="67">
        <v>4.3478260869565216E-2</v>
      </c>
      <c r="L26" s="67">
        <v>0.11594202898550725</v>
      </c>
      <c r="Q26" s="67">
        <v>0.39779005524861877</v>
      </c>
    </row>
    <row r="27" spans="1:17" x14ac:dyDescent="0.4">
      <c r="A27" s="69">
        <v>24</v>
      </c>
      <c r="B27" s="66">
        <v>0</v>
      </c>
      <c r="C27" s="66">
        <v>0</v>
      </c>
      <c r="D27" s="71">
        <v>2</v>
      </c>
      <c r="E27" s="67">
        <v>0.33333333333333331</v>
      </c>
      <c r="F27" s="67">
        <v>0.30647709320695105</v>
      </c>
      <c r="G27" s="67">
        <v>0.18641390205371247</v>
      </c>
      <c r="H27" s="68">
        <v>7378.3505154639179</v>
      </c>
      <c r="I27" s="68">
        <v>-7877.9661016949149</v>
      </c>
      <c r="J27" s="67">
        <v>5.5555555555555552E-2</v>
      </c>
      <c r="K27" s="67">
        <v>5.5555555555555552E-2</v>
      </c>
      <c r="L27" s="67">
        <v>0.1111111111111111</v>
      </c>
      <c r="M27" s="67">
        <v>0.27197346600331673</v>
      </c>
      <c r="N27" s="67">
        <v>0.23714759535655058</v>
      </c>
      <c r="O27" s="67">
        <v>0.55487804878048785</v>
      </c>
      <c r="P27" s="67">
        <v>0.38461538461538464</v>
      </c>
      <c r="Q27" s="67">
        <v>0.38659793814432991</v>
      </c>
    </row>
    <row r="28" spans="1:17" x14ac:dyDescent="0.4">
      <c r="A28" s="69">
        <v>25</v>
      </c>
      <c r="B28" s="66">
        <v>1.7763568394002505E-15</v>
      </c>
      <c r="C28" s="66">
        <v>2.3684757858670008E-17</v>
      </c>
      <c r="D28" s="71">
        <v>2</v>
      </c>
      <c r="E28" s="67">
        <v>0.33333333333333331</v>
      </c>
      <c r="F28" s="67">
        <v>0.30733944954128439</v>
      </c>
      <c r="G28" s="67">
        <v>0.18807339449541285</v>
      </c>
      <c r="H28" s="68">
        <v>7321.3930348258709</v>
      </c>
      <c r="I28" s="68">
        <v>-7857.7235772357726</v>
      </c>
      <c r="J28" s="67">
        <v>5.3333333333333337E-2</v>
      </c>
      <c r="K28" s="67">
        <v>5.3333333333333337E-2</v>
      </c>
      <c r="L28" s="67">
        <v>0.10666666666666667</v>
      </c>
      <c r="M28" s="67">
        <v>0.27564102564102566</v>
      </c>
      <c r="N28" s="67">
        <v>0.23717948717948717</v>
      </c>
      <c r="O28" s="67">
        <v>0.55232558139534882</v>
      </c>
      <c r="P28" s="67">
        <v>0.39189189189189189</v>
      </c>
      <c r="Q28" s="67">
        <v>0.38308457711442784</v>
      </c>
    </row>
    <row r="29" spans="1:17" x14ac:dyDescent="0.4">
      <c r="A29" s="69">
        <v>26</v>
      </c>
      <c r="B29" s="66">
        <v>-2.6645352591003757E-15</v>
      </c>
      <c r="C29" s="66">
        <v>-3.4160708450004819E-17</v>
      </c>
      <c r="D29" s="71">
        <v>2</v>
      </c>
      <c r="E29" s="67">
        <v>0.33333333333333331</v>
      </c>
      <c r="F29" s="67">
        <v>0.30837004405286345</v>
      </c>
      <c r="G29" s="67">
        <v>0.1894273127753304</v>
      </c>
      <c r="H29" s="68">
        <v>7265.2380952380954</v>
      </c>
      <c r="I29" s="68">
        <v>-7767.4418604651164</v>
      </c>
      <c r="J29" s="67">
        <v>5.128205128205128E-2</v>
      </c>
      <c r="K29" s="67">
        <v>5.128205128205128E-2</v>
      </c>
      <c r="L29" s="67">
        <v>0.10256410256410256</v>
      </c>
      <c r="M29" s="67">
        <v>0.27342549923195086</v>
      </c>
      <c r="N29" s="67">
        <v>0.23655913978494625</v>
      </c>
      <c r="O29" s="67">
        <v>0.56741573033707871</v>
      </c>
      <c r="P29" s="67">
        <v>0.39610389610389612</v>
      </c>
      <c r="Q29" s="67">
        <v>0.38095238095238093</v>
      </c>
    </row>
    <row r="30" spans="1:17" x14ac:dyDescent="0.4">
      <c r="A30" s="69">
        <v>27</v>
      </c>
      <c r="B30" s="66">
        <v>0</v>
      </c>
      <c r="C30" s="66">
        <v>0</v>
      </c>
      <c r="D30" s="71">
        <v>2</v>
      </c>
      <c r="E30" s="67">
        <v>0.33333333333333331</v>
      </c>
      <c r="F30" s="67">
        <v>0.30758226037195996</v>
      </c>
      <c r="G30" s="67">
        <v>0.18884120171673821</v>
      </c>
      <c r="H30" s="68">
        <v>7205.1162790697672</v>
      </c>
      <c r="I30" s="68">
        <v>-7688.636363636364</v>
      </c>
      <c r="J30" s="67">
        <v>4.9382716049382713E-2</v>
      </c>
      <c r="K30" s="67">
        <v>4.9382716049382713E-2</v>
      </c>
      <c r="L30" s="67">
        <v>9.8765432098765427E-2</v>
      </c>
      <c r="M30" s="67">
        <v>0.27204783258594917</v>
      </c>
      <c r="N30" s="67">
        <v>0.23617339312406577</v>
      </c>
      <c r="O30" s="67">
        <v>0.5714285714285714</v>
      </c>
      <c r="P30" s="67">
        <v>0.39240506329113922</v>
      </c>
      <c r="Q30" s="67">
        <v>0.38139534883720932</v>
      </c>
    </row>
    <row r="31" spans="1:17" x14ac:dyDescent="0.4">
      <c r="A31" s="69">
        <v>28</v>
      </c>
      <c r="B31" s="66">
        <v>3.5527136788005009E-15</v>
      </c>
      <c r="C31" s="66">
        <v>4.2294210461910723E-17</v>
      </c>
      <c r="D31" s="71">
        <v>2</v>
      </c>
      <c r="E31" s="67">
        <v>0.33333333333333331</v>
      </c>
      <c r="F31" s="67">
        <v>0.30822873082287311</v>
      </c>
      <c r="G31" s="67">
        <v>0.18828451882845187</v>
      </c>
      <c r="H31" s="68">
        <v>7167.873303167421</v>
      </c>
      <c r="I31" s="68">
        <v>-7651.1111111111113</v>
      </c>
      <c r="J31" s="67">
        <v>4.7619047619047616E-2</v>
      </c>
      <c r="K31" s="67">
        <v>4.7619047619047616E-2</v>
      </c>
      <c r="L31" s="67">
        <v>0.10714285714285714</v>
      </c>
      <c r="M31" s="67">
        <v>0.27074235807860264</v>
      </c>
      <c r="N31" s="67">
        <v>0.23871906841339155</v>
      </c>
      <c r="O31" s="67">
        <v>0.56989247311827962</v>
      </c>
      <c r="P31" s="67">
        <v>0.40243902439024393</v>
      </c>
      <c r="Q31" s="67">
        <v>0.38461538461538464</v>
      </c>
    </row>
    <row r="32" spans="1:17" x14ac:dyDescent="0.4">
      <c r="A32" s="69">
        <v>29</v>
      </c>
      <c r="B32" s="66">
        <v>0</v>
      </c>
      <c r="C32" s="66">
        <v>0</v>
      </c>
      <c r="D32" s="71">
        <v>2</v>
      </c>
      <c r="E32" s="67">
        <v>0.33333333333333331</v>
      </c>
      <c r="F32" s="67">
        <v>0.30884353741496601</v>
      </c>
      <c r="G32" s="67">
        <v>0.19047619047619047</v>
      </c>
      <c r="H32" s="68">
        <v>7118.5022026431716</v>
      </c>
      <c r="I32" s="68">
        <v>-7576.4285714285716</v>
      </c>
      <c r="J32" s="67">
        <v>4.5977011494252873E-2</v>
      </c>
      <c r="K32" s="67">
        <v>4.5977011494252873E-2</v>
      </c>
      <c r="L32" s="67">
        <v>0.10344827586206896</v>
      </c>
      <c r="M32" s="67">
        <v>0.26808510638297872</v>
      </c>
      <c r="N32" s="67">
        <v>0.23829787234042554</v>
      </c>
      <c r="O32" s="67">
        <v>0.56613756613756616</v>
      </c>
      <c r="P32" s="67">
        <v>0.4107142857142857</v>
      </c>
      <c r="Q32" s="67">
        <v>0.3788546255506608</v>
      </c>
    </row>
    <row r="33" spans="1:17" x14ac:dyDescent="0.4">
      <c r="A33" s="69">
        <v>30</v>
      </c>
      <c r="B33" s="66">
        <v>-1.3322676295501878E-15</v>
      </c>
      <c r="C33" s="66">
        <v>-1.4802973661668754E-17</v>
      </c>
      <c r="D33" s="71">
        <v>2</v>
      </c>
      <c r="E33" s="67">
        <v>0.33333333333333331</v>
      </c>
      <c r="F33" s="67">
        <v>0.30933333333333335</v>
      </c>
      <c r="G33" s="67">
        <v>0.19066666666666668</v>
      </c>
      <c r="H33" s="68">
        <v>7193.1034482758623</v>
      </c>
      <c r="I33" s="68">
        <v>-7677.6223776223778</v>
      </c>
      <c r="J33" s="67">
        <v>5.5555555555555552E-2</v>
      </c>
      <c r="K33" s="67">
        <v>5.5555555555555552E-2</v>
      </c>
      <c r="L33" s="67">
        <v>0.1</v>
      </c>
      <c r="M33" s="67">
        <v>0.26944444444444443</v>
      </c>
      <c r="N33" s="67">
        <v>0.2388888888888889</v>
      </c>
      <c r="O33" s="67">
        <v>0.57216494845360821</v>
      </c>
      <c r="P33" s="67">
        <v>0.40697674418604651</v>
      </c>
      <c r="Q33" s="67">
        <v>0.37931034482758619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0.30620155038759689</v>
      </c>
      <c r="G34" s="67">
        <v>0.18992248062015504</v>
      </c>
      <c r="H34" s="68">
        <v>7203.7974683544307</v>
      </c>
      <c r="I34" s="68">
        <v>-7676.1904761904761</v>
      </c>
      <c r="J34" s="67">
        <v>5.3763440860215055E-2</v>
      </c>
      <c r="K34" s="67">
        <v>5.3763440860215055E-2</v>
      </c>
      <c r="L34" s="67">
        <v>0.10752688172043011</v>
      </c>
      <c r="M34" s="67">
        <v>0.27016129032258063</v>
      </c>
      <c r="N34" s="67">
        <v>0.23521505376344087</v>
      </c>
      <c r="O34" s="67">
        <v>0.57213930348258701</v>
      </c>
      <c r="P34" s="67">
        <v>0.4</v>
      </c>
      <c r="Q34" s="67">
        <v>0.37552742616033757</v>
      </c>
    </row>
    <row r="35" spans="1:17" x14ac:dyDescent="0.4">
      <c r="A35" s="69">
        <v>32</v>
      </c>
      <c r="B35" s="66">
        <v>0</v>
      </c>
      <c r="C35" s="66">
        <v>0</v>
      </c>
      <c r="D35" s="71">
        <v>2</v>
      </c>
      <c r="E35" s="67">
        <v>0.33333333333333331</v>
      </c>
      <c r="F35" s="67">
        <v>0.3032581453634085</v>
      </c>
      <c r="G35" s="67">
        <v>0.18922305764411027</v>
      </c>
      <c r="H35" s="68">
        <v>7214.0495867768595</v>
      </c>
      <c r="I35" s="68">
        <v>-7674.8344370860923</v>
      </c>
      <c r="J35" s="67">
        <v>5.2083333333333336E-2</v>
      </c>
      <c r="K35" s="67">
        <v>5.2083333333333336E-2</v>
      </c>
      <c r="L35" s="67">
        <v>0.11458333333333333</v>
      </c>
      <c r="M35" s="67">
        <v>0.27083333333333331</v>
      </c>
      <c r="N35" s="67">
        <v>0.23177083333333334</v>
      </c>
      <c r="O35" s="67">
        <v>0.57211538461538458</v>
      </c>
      <c r="P35" s="67">
        <v>0.39325842696629215</v>
      </c>
      <c r="Q35" s="67">
        <v>0.37190082644628097</v>
      </c>
    </row>
    <row r="36" spans="1:17" x14ac:dyDescent="0.4">
      <c r="A36" s="69">
        <v>33</v>
      </c>
      <c r="B36" s="66">
        <v>6.6613381477509392E-16</v>
      </c>
      <c r="C36" s="66">
        <v>6.7286243916676156E-18</v>
      </c>
      <c r="D36" s="71">
        <v>2</v>
      </c>
      <c r="E36" s="67">
        <v>0.33333333333333331</v>
      </c>
      <c r="F36" s="67">
        <v>0.30445246690734057</v>
      </c>
      <c r="G36" s="67">
        <v>0.19013237063778579</v>
      </c>
      <c r="H36" s="68">
        <v>7307.905138339921</v>
      </c>
      <c r="I36" s="68">
        <v>-7806.3291139240509</v>
      </c>
      <c r="J36" s="67">
        <v>5.0505050505050504E-2</v>
      </c>
      <c r="K36" s="67">
        <v>5.0505050505050504E-2</v>
      </c>
      <c r="L36" s="67">
        <v>0.12121212121212122</v>
      </c>
      <c r="M36" s="67">
        <v>0.27840199750312111</v>
      </c>
      <c r="N36" s="67">
        <v>0.22971285892634208</v>
      </c>
      <c r="O36" s="67">
        <v>0.56502242152466364</v>
      </c>
      <c r="P36" s="67">
        <v>0.39130434782608697</v>
      </c>
      <c r="Q36" s="67">
        <v>0.3715415019762846</v>
      </c>
    </row>
    <row r="37" spans="1:17" x14ac:dyDescent="0.4">
      <c r="A37" s="69">
        <v>34</v>
      </c>
      <c r="B37" s="66">
        <v>1.4210854715202004E-14</v>
      </c>
      <c r="C37" s="66">
        <v>1.3932210505100003E-16</v>
      </c>
      <c r="D37" s="71">
        <v>2</v>
      </c>
      <c r="E37" s="67">
        <v>0.33333333333333331</v>
      </c>
      <c r="F37" s="67">
        <v>0.30355097365406641</v>
      </c>
      <c r="G37" s="67">
        <v>0.18671248568155785</v>
      </c>
      <c r="H37" s="68">
        <v>7627.1698113207549</v>
      </c>
      <c r="I37" s="68">
        <v>-7900</v>
      </c>
      <c r="J37" s="67">
        <v>5.8823529411764705E-2</v>
      </c>
      <c r="K37" s="67">
        <v>5.8823529411764705E-2</v>
      </c>
      <c r="L37" s="67">
        <v>0.11764705882352941</v>
      </c>
      <c r="M37" s="67">
        <v>0.27995255041518385</v>
      </c>
      <c r="N37" s="67">
        <v>0.23013048635824437</v>
      </c>
      <c r="O37" s="67">
        <v>0.55932203389830504</v>
      </c>
      <c r="P37" s="67">
        <v>0.39175257731958762</v>
      </c>
      <c r="Q37" s="67">
        <v>0.38113207547169814</v>
      </c>
    </row>
    <row r="38" spans="1:17" x14ac:dyDescent="0.4">
      <c r="A38" s="69">
        <v>35</v>
      </c>
      <c r="B38" s="66">
        <v>1.6875389974302379E-14</v>
      </c>
      <c r="C38" s="66">
        <v>1.6071799975526075E-16</v>
      </c>
      <c r="D38" s="71">
        <v>2</v>
      </c>
      <c r="E38" s="67">
        <v>0.33333333333333331</v>
      </c>
      <c r="F38" s="67">
        <v>0.30263157894736842</v>
      </c>
      <c r="G38" s="67">
        <v>0.18530701754385964</v>
      </c>
      <c r="H38" s="68">
        <v>7622.826086956522</v>
      </c>
      <c r="I38" s="68">
        <v>-7895.8579881656806</v>
      </c>
      <c r="J38" s="67">
        <v>6.6666666666666666E-2</v>
      </c>
      <c r="K38" s="67">
        <v>6.6666666666666666E-2</v>
      </c>
      <c r="L38" s="67">
        <v>0.11428571428571428</v>
      </c>
      <c r="M38" s="67">
        <v>0.2743764172335601</v>
      </c>
      <c r="N38" s="67">
        <v>0.22789115646258504</v>
      </c>
      <c r="O38" s="67">
        <v>0.56198347107438018</v>
      </c>
      <c r="P38" s="67">
        <v>0.39800995024875624</v>
      </c>
      <c r="Q38" s="67">
        <v>0.38043478260869568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0.30254777070063693</v>
      </c>
      <c r="G39" s="67">
        <v>0.18365180467091294</v>
      </c>
      <c r="H39" s="68">
        <v>7612.6315789473683</v>
      </c>
      <c r="I39" s="68">
        <v>-7808.6705202312141</v>
      </c>
      <c r="J39" s="67">
        <v>6.4814814814814811E-2</v>
      </c>
      <c r="K39" s="67">
        <v>6.4814814814814811E-2</v>
      </c>
      <c r="L39" s="67">
        <v>0.1111111111111111</v>
      </c>
      <c r="M39" s="67">
        <v>0.27302631578947367</v>
      </c>
      <c r="N39" s="67">
        <v>0.22149122807017543</v>
      </c>
      <c r="O39" s="67">
        <v>0.56224899598393574</v>
      </c>
      <c r="P39" s="67">
        <v>0.40099009900990101</v>
      </c>
      <c r="Q39" s="67">
        <v>0.38596491228070173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0.30237358101135192</v>
      </c>
      <c r="G40" s="67">
        <v>0.18472652218782248</v>
      </c>
      <c r="H40" s="68">
        <v>7663.139931740614</v>
      </c>
      <c r="I40" s="68">
        <v>-7880.4469273743016</v>
      </c>
      <c r="J40" s="67">
        <v>6.3063063063063057E-2</v>
      </c>
      <c r="K40" s="67">
        <v>6.3063063063063057E-2</v>
      </c>
      <c r="L40" s="67">
        <v>0.10810810810810811</v>
      </c>
      <c r="M40" s="67">
        <v>0.27689030883919064</v>
      </c>
      <c r="N40" s="67">
        <v>0.21831735889243875</v>
      </c>
      <c r="O40" s="67">
        <v>0.56538461538461537</v>
      </c>
      <c r="P40" s="67">
        <v>0.4</v>
      </c>
      <c r="Q40" s="67">
        <v>0.38225255972696248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0.30293819655521781</v>
      </c>
      <c r="G41" s="67">
        <v>0.18439716312056736</v>
      </c>
      <c r="H41" s="68">
        <v>7842.4749163879596</v>
      </c>
      <c r="I41" s="68">
        <v>-7924.1758241758243</v>
      </c>
      <c r="J41" s="67">
        <v>7.0175438596491224E-2</v>
      </c>
      <c r="K41" s="67">
        <v>7.0175438596491224E-2</v>
      </c>
      <c r="L41" s="67">
        <v>0.11403508771929824</v>
      </c>
      <c r="M41" s="67">
        <v>0.27586206896551724</v>
      </c>
      <c r="N41" s="67">
        <v>0.21943573667711599</v>
      </c>
      <c r="O41" s="67">
        <v>0.56818181818181823</v>
      </c>
      <c r="P41" s="67">
        <v>0.40476190476190477</v>
      </c>
      <c r="Q41" s="67">
        <v>0.38461538461538464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0.30285152409046212</v>
      </c>
      <c r="G42" s="67">
        <v>0.18092428711897737</v>
      </c>
      <c r="H42" s="68">
        <v>7852.5974025974028</v>
      </c>
      <c r="I42" s="68">
        <v>-7933.695652173913</v>
      </c>
      <c r="J42" s="67">
        <v>6.8376068376068383E-2</v>
      </c>
      <c r="K42" s="67">
        <v>6.8376068376068383E-2</v>
      </c>
      <c r="L42" s="67">
        <v>0.1111111111111111</v>
      </c>
      <c r="M42" s="67">
        <v>0.27659574468085107</v>
      </c>
      <c r="N42" s="67">
        <v>0.21884498480243161</v>
      </c>
      <c r="O42" s="67">
        <v>0.5714285714285714</v>
      </c>
      <c r="P42" s="67">
        <v>0.40277777777777779</v>
      </c>
      <c r="Q42" s="67">
        <v>0.39610389610389612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0.30172413793103448</v>
      </c>
      <c r="G43" s="67">
        <v>0.18007662835249041</v>
      </c>
      <c r="H43" s="68">
        <v>7826.3492063492067</v>
      </c>
      <c r="I43" s="68">
        <v>-7842.5531914893618</v>
      </c>
      <c r="J43" s="67">
        <v>6.6666666666666666E-2</v>
      </c>
      <c r="K43" s="67">
        <v>6.6666666666666666E-2</v>
      </c>
      <c r="L43" s="67">
        <v>0.10833333333333334</v>
      </c>
      <c r="M43" s="67">
        <v>0.27317554240631164</v>
      </c>
      <c r="N43" s="67">
        <v>0.22090729783037474</v>
      </c>
      <c r="O43" s="67">
        <v>0.56678700361010825</v>
      </c>
      <c r="P43" s="67">
        <v>0.40625</v>
      </c>
      <c r="Q43" s="67">
        <v>0.3968253968253968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0.30199430199430199</v>
      </c>
      <c r="G44" s="67">
        <v>0.18043684710351376</v>
      </c>
      <c r="H44" s="68">
        <v>7892.767295597484</v>
      </c>
      <c r="I44" s="68">
        <v>-7868.4210526315792</v>
      </c>
      <c r="J44" s="67">
        <v>7.3170731707317069E-2</v>
      </c>
      <c r="K44" s="67">
        <v>7.3170731707317069E-2</v>
      </c>
      <c r="L44" s="67">
        <v>0.10569105691056911</v>
      </c>
      <c r="M44" s="67">
        <v>0.27077223851417398</v>
      </c>
      <c r="N44" s="67">
        <v>0.21994134897360704</v>
      </c>
      <c r="O44" s="67">
        <v>0.56678700361010825</v>
      </c>
      <c r="P44" s="67">
        <v>0.40888888888888891</v>
      </c>
      <c r="Q44" s="67">
        <v>0.39622641509433965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0.30092592592592593</v>
      </c>
      <c r="G45" s="67">
        <v>0.18055555555555555</v>
      </c>
      <c r="H45" s="68">
        <v>7936</v>
      </c>
      <c r="I45" s="68">
        <v>-7946.1538461538457</v>
      </c>
      <c r="J45" s="67">
        <v>7.1428571428571425E-2</v>
      </c>
      <c r="K45" s="67">
        <v>7.1428571428571425E-2</v>
      </c>
      <c r="L45" s="67">
        <v>0.1111111111111111</v>
      </c>
      <c r="M45" s="67">
        <v>0.26761904761904765</v>
      </c>
      <c r="N45" s="67">
        <v>0.22</v>
      </c>
      <c r="O45" s="67">
        <v>0.5658362989323843</v>
      </c>
      <c r="P45" s="67">
        <v>0.40259740259740262</v>
      </c>
      <c r="Q45" s="67">
        <v>0.39384615384615385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0.29990966576332428</v>
      </c>
      <c r="G46" s="67">
        <v>0.17795844625112917</v>
      </c>
      <c r="H46" s="68">
        <v>7968.674698795181</v>
      </c>
      <c r="I46" s="68">
        <v>-7922.3350253807102</v>
      </c>
      <c r="J46" s="67">
        <v>6.9767441860465115E-2</v>
      </c>
      <c r="K46" s="67">
        <v>6.9767441860465115E-2</v>
      </c>
      <c r="L46" s="67">
        <v>0.10852713178294573</v>
      </c>
      <c r="M46" s="67">
        <v>0.26926648096564532</v>
      </c>
      <c r="N46" s="67">
        <v>0.21727019498607242</v>
      </c>
      <c r="O46" s="67">
        <v>0.56551724137931036</v>
      </c>
      <c r="P46" s="67">
        <v>0.40170940170940173</v>
      </c>
      <c r="Q46" s="67">
        <v>0.4006024096385542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0.29973474801061006</v>
      </c>
      <c r="G47" s="67">
        <v>0.1786030061892131</v>
      </c>
      <c r="H47" s="68">
        <v>7952.212389380531</v>
      </c>
      <c r="I47" s="68">
        <v>-7865.8415841584156</v>
      </c>
      <c r="J47" s="67">
        <v>6.8181818181818177E-2</v>
      </c>
      <c r="K47" s="67">
        <v>6.8181818181818177E-2</v>
      </c>
      <c r="L47" s="67">
        <v>0.10606060606060606</v>
      </c>
      <c r="M47" s="67">
        <v>0.2706630336058129</v>
      </c>
      <c r="N47" s="67">
        <v>0.21616712079927339</v>
      </c>
      <c r="O47" s="67">
        <v>0.56375838926174493</v>
      </c>
      <c r="P47" s="67">
        <v>0.40336134453781514</v>
      </c>
      <c r="Q47" s="67">
        <v>0.39823008849557523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0.30034722222222221</v>
      </c>
      <c r="G48" s="67">
        <v>0.1779513888888889</v>
      </c>
      <c r="H48" s="68">
        <v>7880.3468208092481</v>
      </c>
      <c r="I48" s="68">
        <v>-7809.2682926829266</v>
      </c>
      <c r="J48" s="67">
        <v>6.6666666666666666E-2</v>
      </c>
      <c r="K48" s="67">
        <v>6.6666666666666666E-2</v>
      </c>
      <c r="L48" s="67">
        <v>0.1037037037037037</v>
      </c>
      <c r="M48" s="67">
        <v>0.27094474153297682</v>
      </c>
      <c r="N48" s="67">
        <v>0.21479500891265596</v>
      </c>
      <c r="O48" s="67">
        <v>0.5625</v>
      </c>
      <c r="P48" s="67">
        <v>0.40248962655601661</v>
      </c>
      <c r="Q48" s="67">
        <v>0.40173410404624277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0.30033840947546531</v>
      </c>
      <c r="G49" s="67">
        <v>0.17766497461928935</v>
      </c>
      <c r="H49" s="68">
        <v>7925.6338028169012</v>
      </c>
      <c r="I49" s="68">
        <v>-7813.8095238095239</v>
      </c>
      <c r="J49" s="67">
        <v>6.5217391304347824E-2</v>
      </c>
      <c r="K49" s="67">
        <v>6.5217391304347824E-2</v>
      </c>
      <c r="L49" s="67">
        <v>0.10144927536231885</v>
      </c>
      <c r="M49" s="67">
        <v>0.2673611111111111</v>
      </c>
      <c r="N49" s="67">
        <v>0.22222222222222221</v>
      </c>
      <c r="O49" s="67">
        <v>0.56493506493506496</v>
      </c>
      <c r="P49" s="67">
        <v>0.40234375</v>
      </c>
      <c r="Q49" s="67">
        <v>0.40281690140845072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0.30083333333333334</v>
      </c>
      <c r="G50" s="67">
        <v>0.17749999999999999</v>
      </c>
      <c r="H50" s="68">
        <v>7928.8088642659277</v>
      </c>
      <c r="I50" s="68">
        <v>-7803.7558685446011</v>
      </c>
      <c r="J50" s="67">
        <v>7.0921985815602842E-2</v>
      </c>
      <c r="K50" s="67">
        <v>7.0921985815602842E-2</v>
      </c>
      <c r="L50" s="67">
        <v>9.9290780141843976E-2</v>
      </c>
      <c r="M50" s="67">
        <v>0.26752136752136751</v>
      </c>
      <c r="N50" s="67">
        <v>0.22136752136752136</v>
      </c>
      <c r="O50" s="67">
        <v>0.5718849840255591</v>
      </c>
      <c r="P50" s="67">
        <v>0.40154440154440152</v>
      </c>
      <c r="Q50" s="67">
        <v>0.40443213296398894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0.30041152263374488</v>
      </c>
      <c r="G51" s="67">
        <v>0.17777777777777778</v>
      </c>
      <c r="H51" s="68">
        <v>7989.0410958904113</v>
      </c>
      <c r="I51" s="68">
        <v>-7869.9074074074078</v>
      </c>
      <c r="J51" s="67">
        <v>7.6388888888888895E-2</v>
      </c>
      <c r="K51" s="67">
        <v>7.6388888888888895E-2</v>
      </c>
      <c r="L51" s="67">
        <v>9.7222222222222224E-2</v>
      </c>
      <c r="M51" s="67">
        <v>0.26751054852320677</v>
      </c>
      <c r="N51" s="67">
        <v>0.22278481012658227</v>
      </c>
      <c r="O51" s="67">
        <v>0.57413249211356465</v>
      </c>
      <c r="P51" s="67">
        <v>0.39772727272727271</v>
      </c>
      <c r="Q51" s="67">
        <v>0.40273972602739727</v>
      </c>
    </row>
    <row r="52" spans="1:17" x14ac:dyDescent="0.4">
      <c r="A52" s="69">
        <v>49</v>
      </c>
      <c r="B52" s="66">
        <v>1.4210854715202004E-14</v>
      </c>
      <c r="C52" s="66">
        <v>9.667248105579594E-17</v>
      </c>
      <c r="D52" s="71">
        <v>2</v>
      </c>
      <c r="E52" s="67">
        <v>0.33333333333333331</v>
      </c>
      <c r="F52" s="67">
        <v>0.30089213300892131</v>
      </c>
      <c r="G52" s="67">
        <v>0.17842660178426603</v>
      </c>
      <c r="H52" s="68">
        <v>8053.0997304582206</v>
      </c>
      <c r="I52" s="68">
        <v>-7930.909090909091</v>
      </c>
      <c r="J52" s="67">
        <v>7.4829931972789115E-2</v>
      </c>
      <c r="K52" s="67">
        <v>7.4829931972789115E-2</v>
      </c>
      <c r="L52" s="67">
        <v>9.5238095238095233E-2</v>
      </c>
      <c r="M52" s="67">
        <v>0.26683291770573564</v>
      </c>
      <c r="N52" s="67">
        <v>0.22360764754779716</v>
      </c>
      <c r="O52" s="67">
        <v>0.57943925233644855</v>
      </c>
      <c r="P52" s="67">
        <v>0.39776951672862454</v>
      </c>
      <c r="Q52" s="67">
        <v>0.40161725067385445</v>
      </c>
    </row>
    <row r="53" spans="1:17" x14ac:dyDescent="0.4">
      <c r="A53" s="69">
        <v>50</v>
      </c>
      <c r="B53" s="66">
        <v>7.1054273576010019E-15</v>
      </c>
      <c r="C53" s="66">
        <v>4.7369515717340015E-17</v>
      </c>
      <c r="D53" s="71">
        <v>2</v>
      </c>
      <c r="E53" s="67">
        <v>0.33333333333333331</v>
      </c>
      <c r="F53" s="67">
        <v>0.30079365079365078</v>
      </c>
      <c r="G53" s="67">
        <v>0.17936507936507937</v>
      </c>
      <c r="H53" s="68">
        <v>8040.369393139842</v>
      </c>
      <c r="I53" s="68">
        <v>-7880.9734513274334</v>
      </c>
      <c r="J53" s="67">
        <v>7.3333333333333334E-2</v>
      </c>
      <c r="K53" s="67">
        <v>7.3333333333333334E-2</v>
      </c>
      <c r="L53" s="67">
        <v>9.3333333333333338E-2</v>
      </c>
      <c r="M53" s="67">
        <v>0.26422764227642276</v>
      </c>
      <c r="N53" s="67">
        <v>0.22276422764227644</v>
      </c>
      <c r="O53" s="67">
        <v>0.58153846153846156</v>
      </c>
      <c r="P53" s="67">
        <v>0.39416058394160586</v>
      </c>
      <c r="Q53" s="67">
        <v>0.39841688654353563</v>
      </c>
    </row>
    <row r="54" spans="1:17" x14ac:dyDescent="0.4">
      <c r="A54" s="69">
        <v>51</v>
      </c>
      <c r="B54" s="66">
        <v>1.0658141036401503E-14</v>
      </c>
      <c r="C54" s="66">
        <v>6.9661052525500017E-17</v>
      </c>
      <c r="D54" s="71">
        <v>2</v>
      </c>
      <c r="E54" s="67">
        <v>0.33333333333333331</v>
      </c>
      <c r="F54" s="67">
        <v>0.30140186915887851</v>
      </c>
      <c r="G54" s="67">
        <v>0.17990654205607476</v>
      </c>
      <c r="H54" s="68">
        <v>8019.3798449612405</v>
      </c>
      <c r="I54" s="68">
        <v>-7823.3766233766237</v>
      </c>
      <c r="J54" s="67">
        <v>7.1895424836601302E-2</v>
      </c>
      <c r="K54" s="67">
        <v>7.1895424836601302E-2</v>
      </c>
      <c r="L54" s="67">
        <v>9.8039215686274508E-2</v>
      </c>
      <c r="M54" s="67">
        <v>0.26395534290271133</v>
      </c>
      <c r="N54" s="67">
        <v>0.22248803827751196</v>
      </c>
      <c r="O54" s="67">
        <v>0.58912386706948638</v>
      </c>
      <c r="P54" s="67">
        <v>0.3942652329749104</v>
      </c>
      <c r="Q54" s="67">
        <v>0.3979328165374677</v>
      </c>
    </row>
    <row r="55" spans="1:17" x14ac:dyDescent="0.4">
      <c r="A55" s="69">
        <v>52</v>
      </c>
      <c r="B55" s="66">
        <v>1.4210854715202004E-14</v>
      </c>
      <c r="C55" s="66">
        <v>9.1095222533346175E-17</v>
      </c>
      <c r="D55" s="71">
        <v>2</v>
      </c>
      <c r="E55" s="67">
        <v>0.33333333333333331</v>
      </c>
      <c r="F55" s="67">
        <v>0.29924242424242425</v>
      </c>
      <c r="G55" s="67">
        <v>0.1787878787878788</v>
      </c>
      <c r="H55" s="68">
        <v>8002.5316455696202</v>
      </c>
      <c r="I55" s="68">
        <v>-7765.6779661016953</v>
      </c>
      <c r="J55" s="67">
        <v>7.0512820512820512E-2</v>
      </c>
      <c r="K55" s="67">
        <v>7.0512820512820512E-2</v>
      </c>
      <c r="L55" s="67">
        <v>9.6153846153846159E-2</v>
      </c>
      <c r="M55" s="67">
        <v>0.26356589147286824</v>
      </c>
      <c r="N55" s="67">
        <v>0.22248062015503875</v>
      </c>
      <c r="O55" s="67">
        <v>0.58235294117647063</v>
      </c>
      <c r="P55" s="67">
        <v>0.39372822299651566</v>
      </c>
      <c r="Q55" s="67">
        <v>0.39746835443037976</v>
      </c>
    </row>
    <row r="56" spans="1:17" x14ac:dyDescent="0.4">
      <c r="A56" s="69">
        <v>53</v>
      </c>
      <c r="B56" s="66">
        <v>1.0658141036401503E-14</v>
      </c>
      <c r="C56" s="66">
        <v>6.70323335622736E-17</v>
      </c>
      <c r="D56" s="71">
        <v>2</v>
      </c>
      <c r="E56" s="67">
        <v>0.33333333333333331</v>
      </c>
      <c r="F56" s="67">
        <v>0.29977628635346754</v>
      </c>
      <c r="G56" s="67">
        <v>0.17897091722595079</v>
      </c>
      <c r="H56" s="68">
        <v>7981.3432835820895</v>
      </c>
      <c r="I56" s="68">
        <v>-7720.833333333333</v>
      </c>
      <c r="J56" s="67">
        <v>6.9182389937106917E-2</v>
      </c>
      <c r="K56" s="67">
        <v>6.9182389937106917E-2</v>
      </c>
      <c r="L56" s="67">
        <v>9.4339622641509441E-2</v>
      </c>
      <c r="M56" s="67">
        <v>0.2601067887109077</v>
      </c>
      <c r="N56" s="67">
        <v>0.22273073989321129</v>
      </c>
      <c r="O56" s="67">
        <v>0.58357771260997071</v>
      </c>
      <c r="P56" s="67">
        <v>0.39726027397260272</v>
      </c>
      <c r="Q56" s="67">
        <v>0.39800995024875624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0.29933481152993346</v>
      </c>
      <c r="G57" s="67">
        <v>0.17886178861788618</v>
      </c>
      <c r="H57" s="68">
        <v>8040.7407407407409</v>
      </c>
      <c r="I57" s="68">
        <v>-7756.1983471074382</v>
      </c>
      <c r="J57" s="67">
        <v>7.407407407407407E-2</v>
      </c>
      <c r="K57" s="67">
        <v>7.407407407407407E-2</v>
      </c>
      <c r="L57" s="67">
        <v>9.2592592592592587E-2</v>
      </c>
      <c r="M57" s="67">
        <v>0.26077097505668934</v>
      </c>
      <c r="N57" s="67">
        <v>0.22222222222222221</v>
      </c>
      <c r="O57" s="67">
        <v>0.58260869565217388</v>
      </c>
      <c r="P57" s="67">
        <v>0.39795918367346939</v>
      </c>
      <c r="Q57" s="67">
        <v>0.39753086419753086</v>
      </c>
    </row>
    <row r="58" spans="1:17" x14ac:dyDescent="0.4">
      <c r="A58" s="69">
        <v>55</v>
      </c>
      <c r="B58" s="66">
        <v>1.4210854715202004E-14</v>
      </c>
      <c r="C58" s="66">
        <v>8.6126392213345477E-17</v>
      </c>
      <c r="D58" s="71">
        <v>2</v>
      </c>
      <c r="E58" s="67">
        <v>0.33333333333333331</v>
      </c>
      <c r="F58" s="67">
        <v>0.3</v>
      </c>
      <c r="G58" s="67">
        <v>0.17826086956521739</v>
      </c>
      <c r="H58" s="68">
        <v>7998.7922705314013</v>
      </c>
      <c r="I58" s="68">
        <v>-7721.1382113821137</v>
      </c>
      <c r="J58" s="67">
        <v>7.2727272727272724E-2</v>
      </c>
      <c r="K58" s="67">
        <v>7.2727272727272724E-2</v>
      </c>
      <c r="L58" s="67">
        <v>9.696969696969697E-2</v>
      </c>
      <c r="M58" s="67">
        <v>0.26</v>
      </c>
      <c r="N58" s="67">
        <v>0.22296296296296297</v>
      </c>
      <c r="O58" s="67">
        <v>0.58404558404558404</v>
      </c>
      <c r="P58" s="67">
        <v>0.39534883720930231</v>
      </c>
      <c r="Q58" s="67">
        <v>0.40096618357487923</v>
      </c>
    </row>
    <row r="59" spans="1:17" x14ac:dyDescent="0.4">
      <c r="A59" s="69">
        <v>56</v>
      </c>
      <c r="B59" s="66">
        <v>1.0658141036401503E-14</v>
      </c>
      <c r="C59" s="66">
        <v>6.3441315692866085E-17</v>
      </c>
      <c r="D59" s="71">
        <v>2</v>
      </c>
      <c r="E59" s="67">
        <v>0.33333333333333331</v>
      </c>
      <c r="F59" s="67">
        <v>0.29899856938483549</v>
      </c>
      <c r="G59" s="67">
        <v>0.17668097281831188</v>
      </c>
      <c r="H59" s="68">
        <v>8055.2631578947367</v>
      </c>
      <c r="I59" s="68">
        <v>-7722.2672064777325</v>
      </c>
      <c r="J59" s="67">
        <v>7.7380952380952384E-2</v>
      </c>
      <c r="K59" s="67">
        <v>7.7380952380952384E-2</v>
      </c>
      <c r="L59" s="67">
        <v>9.5238095238095233E-2</v>
      </c>
      <c r="M59" s="67">
        <v>0.26096491228070173</v>
      </c>
      <c r="N59" s="67">
        <v>0.22222222222222221</v>
      </c>
      <c r="O59" s="67">
        <v>0.58263305322128855</v>
      </c>
      <c r="P59" s="67">
        <v>0.39144736842105265</v>
      </c>
      <c r="Q59" s="67">
        <v>0.40430622009569378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0.29746835443037972</v>
      </c>
      <c r="G60" s="67">
        <v>0.17651195499296765</v>
      </c>
      <c r="H60" s="68">
        <v>8120.80378250591</v>
      </c>
      <c r="I60" s="68">
        <v>-7846.2151394422308</v>
      </c>
      <c r="J60" s="67">
        <v>8.1871345029239762E-2</v>
      </c>
      <c r="K60" s="67">
        <v>8.1871345029239762E-2</v>
      </c>
      <c r="L60" s="67">
        <v>9.3567251461988299E-2</v>
      </c>
      <c r="M60" s="67">
        <v>0.2614942528735632</v>
      </c>
      <c r="N60" s="67">
        <v>0.22198275862068967</v>
      </c>
      <c r="O60" s="67">
        <v>0.58241758241758246</v>
      </c>
      <c r="P60" s="67">
        <v>0.38834951456310679</v>
      </c>
      <c r="Q60" s="67">
        <v>0.40189125295508277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0.2974465148378192</v>
      </c>
      <c r="G61" s="67">
        <v>0.17667356797791581</v>
      </c>
      <c r="H61" s="68">
        <v>8094.1995359628772</v>
      </c>
      <c r="I61" s="68">
        <v>-7793.359375</v>
      </c>
      <c r="J61" s="67">
        <v>8.0459770114942528E-2</v>
      </c>
      <c r="K61" s="67">
        <v>8.0459770114942528E-2</v>
      </c>
      <c r="L61" s="67">
        <v>9.7701149425287362E-2</v>
      </c>
      <c r="M61" s="67">
        <v>0.26356589147286824</v>
      </c>
      <c r="N61" s="67">
        <v>0.22128259337561662</v>
      </c>
      <c r="O61" s="67">
        <v>0.58288770053475936</v>
      </c>
      <c r="P61" s="67">
        <v>0.38216560509554143</v>
      </c>
      <c r="Q61" s="67">
        <v>0.40139211136890951</v>
      </c>
    </row>
    <row r="62" spans="1:17" x14ac:dyDescent="0.4">
      <c r="A62" s="69">
        <v>59</v>
      </c>
      <c r="B62" s="66">
        <v>1.4210854715202004E-14</v>
      </c>
      <c r="C62" s="66">
        <v>8.0287314775152563E-17</v>
      </c>
      <c r="D62" s="71">
        <v>2</v>
      </c>
      <c r="E62" s="67">
        <v>0.33333333333333331</v>
      </c>
      <c r="F62" s="67">
        <v>0.29905913978494625</v>
      </c>
      <c r="G62" s="67">
        <v>0.17741935483870969</v>
      </c>
      <c r="H62" s="68">
        <v>8133.0337078651683</v>
      </c>
      <c r="I62" s="68">
        <v>-7842.424242424242</v>
      </c>
      <c r="J62" s="67">
        <v>7.909604519774012E-2</v>
      </c>
      <c r="K62" s="67">
        <v>7.909604519774012E-2</v>
      </c>
      <c r="L62" s="67">
        <v>9.6045197740112997E-2</v>
      </c>
      <c r="M62" s="67">
        <v>0.26611796982167352</v>
      </c>
      <c r="N62" s="67">
        <v>0.21810699588477367</v>
      </c>
      <c r="O62" s="67">
        <v>0.58762886597938147</v>
      </c>
      <c r="P62" s="67">
        <v>0.38050314465408808</v>
      </c>
      <c r="Q62" s="67">
        <v>0.4</v>
      </c>
    </row>
    <row r="63" spans="1:17" x14ac:dyDescent="0.4">
      <c r="A63" s="69">
        <v>60</v>
      </c>
      <c r="B63" s="66">
        <v>1.1546319456101628E-14</v>
      </c>
      <c r="C63" s="66">
        <v>6.4146219200564594E-17</v>
      </c>
      <c r="D63" s="71">
        <v>2</v>
      </c>
      <c r="E63" s="67">
        <v>0.33333333333333331</v>
      </c>
      <c r="F63" s="67">
        <v>0.29940119760479039</v>
      </c>
      <c r="G63" s="67">
        <v>0.17764471057884232</v>
      </c>
      <c r="H63" s="68">
        <v>8188.4444444444443</v>
      </c>
      <c r="I63" s="68">
        <v>-7889.1385767790262</v>
      </c>
      <c r="J63" s="67">
        <v>8.3333333333333329E-2</v>
      </c>
      <c r="K63" s="67">
        <v>8.3333333333333329E-2</v>
      </c>
      <c r="L63" s="67">
        <v>9.4444444444444442E-2</v>
      </c>
      <c r="M63" s="67">
        <v>0.26680244399185338</v>
      </c>
      <c r="N63" s="67">
        <v>0.21724372029871011</v>
      </c>
      <c r="O63" s="67">
        <v>0.59033078880407119</v>
      </c>
      <c r="P63" s="67">
        <v>0.37812499999999999</v>
      </c>
      <c r="Q63" s="67">
        <v>0.4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0.29927963326784546</v>
      </c>
      <c r="G64" s="67">
        <v>0.17681728880157171</v>
      </c>
      <c r="H64" s="68">
        <v>8134.3544857768056</v>
      </c>
      <c r="I64" s="68">
        <v>-7850.3703703703704</v>
      </c>
      <c r="J64" s="67">
        <v>8.1967213114754092E-2</v>
      </c>
      <c r="K64" s="67">
        <v>8.1967213114754092E-2</v>
      </c>
      <c r="L64" s="67">
        <v>9.2896174863387984E-2</v>
      </c>
      <c r="M64" s="67">
        <v>0.26920507682030725</v>
      </c>
      <c r="N64" s="67">
        <v>0.21442885771543085</v>
      </c>
      <c r="O64" s="67">
        <v>0.5856079404466501</v>
      </c>
      <c r="P64" s="67">
        <v>0.38006230529595014</v>
      </c>
      <c r="Q64" s="67">
        <v>0.40262582056892782</v>
      </c>
    </row>
    <row r="65" spans="1:17" x14ac:dyDescent="0.4">
      <c r="A65" s="69">
        <v>62</v>
      </c>
      <c r="B65" s="66">
        <v>1.4210854715202004E-14</v>
      </c>
      <c r="C65" s="66">
        <v>7.6402444705387123E-17</v>
      </c>
      <c r="D65" s="71">
        <v>2</v>
      </c>
      <c r="E65" s="67">
        <v>0.33333333333333331</v>
      </c>
      <c r="F65" s="67">
        <v>0.29980657640232106</v>
      </c>
      <c r="G65" s="67">
        <v>0.1773049645390071</v>
      </c>
      <c r="H65" s="68">
        <v>8108.1720430107525</v>
      </c>
      <c r="I65" s="68">
        <v>-7834.181818181818</v>
      </c>
      <c r="J65" s="67">
        <v>8.0645161290322578E-2</v>
      </c>
      <c r="K65" s="67">
        <v>8.0645161290322578E-2</v>
      </c>
      <c r="L65" s="67">
        <v>9.1397849462365593E-2</v>
      </c>
      <c r="M65" s="67">
        <v>0.26824457593688361</v>
      </c>
      <c r="N65" s="67">
        <v>0.21564760026298488</v>
      </c>
      <c r="O65" s="67">
        <v>0.58823529411764708</v>
      </c>
      <c r="P65" s="67">
        <v>0.38109756097560976</v>
      </c>
      <c r="Q65" s="67">
        <v>0.40215053763440861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0.30019120458891013</v>
      </c>
      <c r="G66" s="67">
        <v>0.17718291905672404</v>
      </c>
      <c r="H66" s="68">
        <v>8111.2526539278133</v>
      </c>
      <c r="I66" s="68">
        <v>-7864.7482014388488</v>
      </c>
      <c r="J66" s="67">
        <v>7.9365079365079361E-2</v>
      </c>
      <c r="K66" s="67">
        <v>7.9365079365079361E-2</v>
      </c>
      <c r="L66" s="67">
        <v>8.9947089947089942E-2</v>
      </c>
      <c r="M66" s="67">
        <v>0.26770630279402208</v>
      </c>
      <c r="N66" s="67">
        <v>0.21442495126705652</v>
      </c>
      <c r="O66" s="67">
        <v>0.58980582524271841</v>
      </c>
      <c r="P66" s="67">
        <v>0.38484848484848483</v>
      </c>
      <c r="Q66" s="67">
        <v>0.40339702760084928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0.30056710775047257</v>
      </c>
      <c r="G67" s="67">
        <v>0.17769376181474481</v>
      </c>
      <c r="H67" s="68">
        <v>8097.0649895178194</v>
      </c>
      <c r="I67" s="68">
        <v>-7846.0992907801419</v>
      </c>
      <c r="J67" s="67">
        <v>7.8125E-2</v>
      </c>
      <c r="K67" s="67">
        <v>7.8125E-2</v>
      </c>
      <c r="L67" s="67">
        <v>9.375E-2</v>
      </c>
      <c r="M67" s="67">
        <v>0.26589595375722541</v>
      </c>
      <c r="N67" s="67">
        <v>0.21258831085420682</v>
      </c>
      <c r="O67" s="67">
        <v>0.58937198067632846</v>
      </c>
      <c r="P67" s="67">
        <v>0.38368580060422963</v>
      </c>
      <c r="Q67" s="67">
        <v>0.40251572327044027</v>
      </c>
    </row>
    <row r="68" spans="1:17" x14ac:dyDescent="0.4">
      <c r="A68" s="69">
        <v>65</v>
      </c>
      <c r="B68" s="66">
        <v>2.1316282072803006E-14</v>
      </c>
      <c r="C68" s="66">
        <v>1.0931426704001542E-16</v>
      </c>
      <c r="D68" s="71">
        <v>2</v>
      </c>
      <c r="E68" s="67">
        <v>0.33333333333333331</v>
      </c>
      <c r="F68" s="67">
        <v>0.30099502487562191</v>
      </c>
      <c r="G68" s="67">
        <v>0.17661691542288557</v>
      </c>
      <c r="H68" s="68">
        <v>8209.0909090909099</v>
      </c>
      <c r="I68" s="68">
        <v>-7843.3098591549297</v>
      </c>
      <c r="J68" s="67">
        <v>8.2051282051282051E-2</v>
      </c>
      <c r="K68" s="67">
        <v>8.2051282051282051E-2</v>
      </c>
      <c r="L68" s="67">
        <v>9.7435897435897437E-2</v>
      </c>
      <c r="M68" s="67">
        <v>0.26552598225602025</v>
      </c>
      <c r="N68" s="67">
        <v>0.21419518377693283</v>
      </c>
      <c r="O68" s="67">
        <v>0.59188544152744627</v>
      </c>
      <c r="P68" s="67">
        <v>0.38461538461538464</v>
      </c>
      <c r="Q68" s="67">
        <v>0.40702479338842973</v>
      </c>
    </row>
    <row r="69" spans="1:17" x14ac:dyDescent="0.4">
      <c r="A69" s="69">
        <v>66</v>
      </c>
      <c r="B69" s="66">
        <v>1.7763568394002505E-14</v>
      </c>
      <c r="C69" s="66">
        <v>8.9714991888901537E-17</v>
      </c>
      <c r="D69" s="71">
        <v>2</v>
      </c>
      <c r="E69" s="67">
        <v>0.33333333333333331</v>
      </c>
      <c r="F69" s="67">
        <v>0.30066545674531153</v>
      </c>
      <c r="G69" s="67">
        <v>0.17604355716878403</v>
      </c>
      <c r="H69" s="68">
        <v>8204.4265593561377</v>
      </c>
      <c r="I69" s="68">
        <v>-7815.4639175257735</v>
      </c>
      <c r="J69" s="67">
        <v>8.5858585858585856E-2</v>
      </c>
      <c r="K69" s="67">
        <v>8.5858585858585856E-2</v>
      </c>
      <c r="L69" s="67">
        <v>9.5959595959595953E-2</v>
      </c>
      <c r="M69" s="67">
        <v>0.26247689463955637</v>
      </c>
      <c r="N69" s="67">
        <v>0.21503388786198399</v>
      </c>
      <c r="O69" s="67">
        <v>0.5938967136150235</v>
      </c>
      <c r="P69" s="67">
        <v>0.38395415472779371</v>
      </c>
      <c r="Q69" s="67">
        <v>0.40643863179074446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0.30107526881720431</v>
      </c>
      <c r="G70" s="67">
        <v>0.17682198327359619</v>
      </c>
      <c r="H70" s="68">
        <v>8227.1825396825388</v>
      </c>
      <c r="I70" s="68">
        <v>-7891.8918918918916</v>
      </c>
      <c r="J70" s="67">
        <v>8.9552238805970144E-2</v>
      </c>
      <c r="K70" s="67">
        <v>8.9552238805970144E-2</v>
      </c>
      <c r="L70" s="67">
        <v>9.4527363184079602E-2</v>
      </c>
      <c r="M70" s="67">
        <v>0.26216545012165449</v>
      </c>
      <c r="N70" s="67">
        <v>0.21532846715328466</v>
      </c>
      <c r="O70" s="67">
        <v>0.59628770301624134</v>
      </c>
      <c r="P70" s="67">
        <v>0.38700564971751411</v>
      </c>
      <c r="Q70" s="67">
        <v>0.40476190476190477</v>
      </c>
    </row>
    <row r="71" spans="1:17" x14ac:dyDescent="0.4">
      <c r="A71" s="69">
        <v>68</v>
      </c>
      <c r="B71" s="66">
        <v>1.4210854715202004E-14</v>
      </c>
      <c r="C71" s="66">
        <v>6.9661052525500017E-17</v>
      </c>
      <c r="D71" s="71">
        <v>2</v>
      </c>
      <c r="E71" s="67">
        <v>0.33333333333333331</v>
      </c>
      <c r="F71" s="67">
        <v>0.29994141769185706</v>
      </c>
      <c r="G71" s="67">
        <v>0.1757469244288225</v>
      </c>
      <c r="H71" s="68">
        <v>8228.515625</v>
      </c>
      <c r="I71" s="68">
        <v>-7855</v>
      </c>
      <c r="J71" s="67">
        <v>8.8235294117647065E-2</v>
      </c>
      <c r="K71" s="67">
        <v>8.8235294117647065E-2</v>
      </c>
      <c r="L71" s="67">
        <v>9.3137254901960786E-2</v>
      </c>
      <c r="M71" s="67">
        <v>0.26118067978533094</v>
      </c>
      <c r="N71" s="67">
        <v>0.21586165772212285</v>
      </c>
      <c r="O71" s="67">
        <v>0.59817351598173518</v>
      </c>
      <c r="P71" s="67">
        <v>0.38397790055248621</v>
      </c>
      <c r="Q71" s="67">
        <v>0.40625</v>
      </c>
    </row>
    <row r="72" spans="1:17" x14ac:dyDescent="0.4">
      <c r="A72" s="69">
        <v>69</v>
      </c>
      <c r="B72" s="66">
        <v>1.2434497875801753E-14</v>
      </c>
      <c r="C72" s="66">
        <v>6.0070038047351461E-17</v>
      </c>
      <c r="D72" s="71">
        <v>2</v>
      </c>
      <c r="E72" s="67">
        <v>0.33333333333333331</v>
      </c>
      <c r="F72" s="67">
        <v>0.29982668977469673</v>
      </c>
      <c r="G72" s="67">
        <v>0.17562102830733681</v>
      </c>
      <c r="H72" s="68">
        <v>8229.8651252408472</v>
      </c>
      <c r="I72" s="68">
        <v>-7837.8289473684208</v>
      </c>
      <c r="J72" s="67">
        <v>9.1787439613526575E-2</v>
      </c>
      <c r="K72" s="67">
        <v>9.1787439613526575E-2</v>
      </c>
      <c r="L72" s="67">
        <v>9.6618357487922704E-2</v>
      </c>
      <c r="M72" s="67">
        <v>0.26161081716637274</v>
      </c>
      <c r="N72" s="67">
        <v>0.21751910640799529</v>
      </c>
      <c r="O72" s="67">
        <v>0.60224719101123592</v>
      </c>
      <c r="P72" s="67">
        <v>0.3783783783783784</v>
      </c>
      <c r="Q72" s="67">
        <v>0.40655105973025046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0.29948364888123924</v>
      </c>
      <c r="G73" s="67">
        <v>0.17613310384394723</v>
      </c>
      <c r="H73" s="68">
        <v>8293.6781609195405</v>
      </c>
      <c r="I73" s="68">
        <v>-7950.1628664495111</v>
      </c>
      <c r="J73" s="67">
        <v>9.5238095238095233E-2</v>
      </c>
      <c r="K73" s="67">
        <v>9.5238095238095233E-2</v>
      </c>
      <c r="L73" s="67">
        <v>9.5238095238095233E-2</v>
      </c>
      <c r="M73" s="67">
        <v>0.26094570928196148</v>
      </c>
      <c r="N73" s="67">
        <v>0.2183304144775248</v>
      </c>
      <c r="O73" s="67">
        <v>0.60402684563758391</v>
      </c>
      <c r="P73" s="67">
        <v>0.37433155080213903</v>
      </c>
      <c r="Q73" s="67">
        <v>0.4042145593869732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0.29926178307779672</v>
      </c>
      <c r="G74" s="67">
        <v>0.17546848381601363</v>
      </c>
      <c r="H74" s="68">
        <v>8295.4459203036058</v>
      </c>
      <c r="I74" s="68">
        <v>-7976.3754045307442</v>
      </c>
      <c r="J74" s="67">
        <v>9.8591549295774641E-2</v>
      </c>
      <c r="K74" s="67">
        <v>9.8591549295774641E-2</v>
      </c>
      <c r="L74" s="67">
        <v>9.8591549295774641E-2</v>
      </c>
      <c r="M74" s="67">
        <v>0.2605430387059503</v>
      </c>
      <c r="N74" s="67">
        <v>0.21894858463316003</v>
      </c>
      <c r="O74" s="67">
        <v>0.60310421286031046</v>
      </c>
      <c r="P74" s="67">
        <v>0.37730870712401055</v>
      </c>
      <c r="Q74" s="67">
        <v>0.40607210626185958</v>
      </c>
    </row>
    <row r="75" spans="1:17" x14ac:dyDescent="0.4">
      <c r="A75" s="69">
        <v>72</v>
      </c>
      <c r="B75" s="66">
        <v>1.4210854715202004E-14</v>
      </c>
      <c r="C75" s="66">
        <v>6.5790994051861125E-17</v>
      </c>
      <c r="D75" s="71">
        <v>2</v>
      </c>
      <c r="E75" s="67">
        <v>0.33333333333333331</v>
      </c>
      <c r="F75" s="67">
        <v>0.29921700223713649</v>
      </c>
      <c r="G75" s="67">
        <v>0.17505592841163312</v>
      </c>
      <c r="H75" s="68">
        <v>8279.8130841121492</v>
      </c>
      <c r="I75" s="68">
        <v>-7977.3162939297126</v>
      </c>
      <c r="J75" s="67">
        <v>9.7222222222222224E-2</v>
      </c>
      <c r="K75" s="67">
        <v>9.7222222222222224E-2</v>
      </c>
      <c r="L75" s="67">
        <v>9.7222222222222224E-2</v>
      </c>
      <c r="M75" s="67">
        <v>0.26222980659840728</v>
      </c>
      <c r="N75" s="67">
        <v>0.21729237770193402</v>
      </c>
      <c r="O75" s="67">
        <v>0.60086767895878523</v>
      </c>
      <c r="P75" s="67">
        <v>0.37958115183246072</v>
      </c>
      <c r="Q75" s="67">
        <v>0.40747663551401869</v>
      </c>
    </row>
    <row r="76" spans="1:17" x14ac:dyDescent="0.4">
      <c r="A76" s="69">
        <v>73</v>
      </c>
      <c r="B76" s="66">
        <v>7.1054273576010019E-15</v>
      </c>
      <c r="C76" s="66">
        <v>3.2444873779000007E-17</v>
      </c>
      <c r="D76" s="71">
        <v>2</v>
      </c>
      <c r="E76" s="67">
        <v>0.33333333333333331</v>
      </c>
      <c r="F76" s="67">
        <v>0.29867986798679869</v>
      </c>
      <c r="G76" s="67">
        <v>0.17436743674367436</v>
      </c>
      <c r="H76" s="68">
        <v>8267.4033149171264</v>
      </c>
      <c r="I76" s="68">
        <v>-7970.3470031545739</v>
      </c>
      <c r="J76" s="67">
        <v>9.5890410958904104E-2</v>
      </c>
      <c r="K76" s="67">
        <v>9.5890410958904104E-2</v>
      </c>
      <c r="L76" s="67">
        <v>9.5890410958904104E-2</v>
      </c>
      <c r="M76" s="67">
        <v>0.26118568232662193</v>
      </c>
      <c r="N76" s="67">
        <v>0.22147651006711411</v>
      </c>
      <c r="O76" s="67">
        <v>0.59957173447537471</v>
      </c>
      <c r="P76" s="67">
        <v>0.37626262626262624</v>
      </c>
      <c r="Q76" s="67">
        <v>0.40883977900552487</v>
      </c>
    </row>
    <row r="77" spans="1:17" x14ac:dyDescent="0.4">
      <c r="A77" s="69">
        <v>74</v>
      </c>
      <c r="B77" s="66">
        <v>5.3290705182007514E-15</v>
      </c>
      <c r="C77" s="66">
        <v>2.400482215405744E-17</v>
      </c>
      <c r="D77" s="71">
        <v>2</v>
      </c>
      <c r="E77" s="67">
        <v>0.33333333333333331</v>
      </c>
      <c r="F77" s="67">
        <v>0.29961935834692766</v>
      </c>
      <c r="G77" s="67">
        <v>0.17400761283306146</v>
      </c>
      <c r="H77" s="68">
        <v>8250.8166969147005</v>
      </c>
      <c r="I77" s="68">
        <v>-7963.125</v>
      </c>
      <c r="J77" s="67">
        <v>9.45945945945946E-2</v>
      </c>
      <c r="K77" s="67">
        <v>9.45945945945946E-2</v>
      </c>
      <c r="L77" s="67">
        <v>9.90990990990991E-2</v>
      </c>
      <c r="M77" s="67">
        <v>0.26202321724709782</v>
      </c>
      <c r="N77" s="67">
        <v>0.22001105583195135</v>
      </c>
      <c r="O77" s="67">
        <v>0.6033755274261603</v>
      </c>
      <c r="P77" s="67">
        <v>0.37688442211055279</v>
      </c>
      <c r="Q77" s="67">
        <v>0.41016333938294008</v>
      </c>
    </row>
    <row r="78" spans="1:17" x14ac:dyDescent="0.4">
      <c r="A78" s="69">
        <v>75</v>
      </c>
      <c r="B78" s="66">
        <v>4.2188474935755949E-15</v>
      </c>
      <c r="C78" s="66">
        <v>1.8750433304780422E-17</v>
      </c>
      <c r="D78" s="71">
        <v>2</v>
      </c>
      <c r="E78" s="67">
        <v>0.33333333333333331</v>
      </c>
      <c r="F78" s="67">
        <v>0.2986111111111111</v>
      </c>
      <c r="G78" s="67">
        <v>0.17307692307692307</v>
      </c>
      <c r="H78" s="68">
        <v>8217.1735241502683</v>
      </c>
      <c r="I78" s="68">
        <v>-7904.9382716049386</v>
      </c>
      <c r="J78" s="67">
        <v>9.3333333333333338E-2</v>
      </c>
      <c r="K78" s="67">
        <v>9.3333333333333338E-2</v>
      </c>
      <c r="L78" s="67">
        <v>9.7777777777777783E-2</v>
      </c>
      <c r="M78" s="67">
        <v>0.26058631921824105</v>
      </c>
      <c r="N78" s="67">
        <v>0.21932681867535286</v>
      </c>
      <c r="O78" s="67">
        <v>0.6020833333333333</v>
      </c>
      <c r="P78" s="67">
        <v>0.37871287128712872</v>
      </c>
      <c r="Q78" s="67">
        <v>0.41144901610017887</v>
      </c>
    </row>
    <row r="79" spans="1:17" x14ac:dyDescent="0.4">
      <c r="A79" s="69">
        <v>76</v>
      </c>
      <c r="B79" s="66">
        <v>1.7763568394002505E-15</v>
      </c>
      <c r="C79" s="66">
        <v>7.7910387692993437E-18</v>
      </c>
      <c r="D79" s="71">
        <v>2</v>
      </c>
      <c r="E79" s="67">
        <v>0.33333333333333331</v>
      </c>
      <c r="F79" s="67">
        <v>0.29805160610847814</v>
      </c>
      <c r="G79" s="67">
        <v>0.1732490784623486</v>
      </c>
      <c r="H79" s="68">
        <v>8169.2579505300355</v>
      </c>
      <c r="I79" s="68">
        <v>-7864.4376899696044</v>
      </c>
      <c r="J79" s="67">
        <v>9.2105263157894732E-2</v>
      </c>
      <c r="K79" s="67">
        <v>9.2105263157894732E-2</v>
      </c>
      <c r="L79" s="67">
        <v>9.6491228070175433E-2</v>
      </c>
      <c r="M79" s="67">
        <v>0.26056714820759763</v>
      </c>
      <c r="N79" s="67">
        <v>0.21936864633493847</v>
      </c>
      <c r="O79" s="67">
        <v>0.59753593429158114</v>
      </c>
      <c r="P79" s="67">
        <v>0.38292682926829269</v>
      </c>
      <c r="Q79" s="67">
        <v>0.40989399293286222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0.29819121447028424</v>
      </c>
      <c r="G80" s="67">
        <v>0.17260981912144702</v>
      </c>
      <c r="H80" s="68">
        <v>8172.4436741767768</v>
      </c>
      <c r="I80" s="68">
        <v>-7861.377245508982</v>
      </c>
      <c r="J80" s="67">
        <v>9.0909090909090912E-2</v>
      </c>
      <c r="K80" s="67">
        <v>9.0909090909090912E-2</v>
      </c>
      <c r="L80" s="67">
        <v>9.5238095238095233E-2</v>
      </c>
      <c r="M80" s="67">
        <v>0.26141732283464569</v>
      </c>
      <c r="N80" s="67">
        <v>0.21942257217847769</v>
      </c>
      <c r="O80" s="67">
        <v>0.59437751004016059</v>
      </c>
      <c r="P80" s="67">
        <v>0.38755980861244022</v>
      </c>
      <c r="Q80" s="67">
        <v>0.41247833622183711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0.29754601226993865</v>
      </c>
      <c r="G81" s="67">
        <v>0.17229038854805726</v>
      </c>
      <c r="H81" s="68">
        <v>8204.4673539518899</v>
      </c>
      <c r="I81" s="68">
        <v>-7884.8664688427298</v>
      </c>
      <c r="J81" s="67">
        <v>9.4017094017094016E-2</v>
      </c>
      <c r="K81" s="67">
        <v>9.4017094017094016E-2</v>
      </c>
      <c r="L81" s="67">
        <v>9.4017094017094016E-2</v>
      </c>
      <c r="M81" s="67">
        <v>0.26064382139148495</v>
      </c>
      <c r="N81" s="67">
        <v>0.21910695742471442</v>
      </c>
      <c r="O81" s="67">
        <v>0.5916334661354582</v>
      </c>
      <c r="P81" s="67">
        <v>0.38862559241706163</v>
      </c>
      <c r="Q81" s="67">
        <v>0.41237113402061853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0.29792615073343448</v>
      </c>
      <c r="G82" s="67">
        <v>0.1719777440566515</v>
      </c>
      <c r="H82" s="68">
        <v>8225.8064516129034</v>
      </c>
      <c r="I82" s="68">
        <v>-7869.1176470588234</v>
      </c>
      <c r="J82" s="67">
        <v>9.7046413502109699E-2</v>
      </c>
      <c r="K82" s="67">
        <v>9.7046413502109699E-2</v>
      </c>
      <c r="L82" s="67">
        <v>9.2827004219409287E-2</v>
      </c>
      <c r="M82" s="67">
        <v>0.26142783769902411</v>
      </c>
      <c r="N82" s="67">
        <v>0.21828454031843864</v>
      </c>
      <c r="O82" s="67">
        <v>0.59332023575638504</v>
      </c>
      <c r="P82" s="67">
        <v>0.39058823529411762</v>
      </c>
      <c r="Q82" s="67">
        <v>0.4142614601018676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0.29819277108433734</v>
      </c>
      <c r="G83" s="67">
        <v>0.1716867469879518</v>
      </c>
      <c r="H83" s="68">
        <v>8324.9158249158245</v>
      </c>
      <c r="I83" s="68">
        <v>-7893.2748538011692</v>
      </c>
      <c r="J83" s="67">
        <v>0.1</v>
      </c>
      <c r="K83" s="67">
        <v>0.1</v>
      </c>
      <c r="L83" s="67">
        <v>9.166666666666666E-2</v>
      </c>
      <c r="M83" s="67">
        <v>0.26146788990825687</v>
      </c>
      <c r="N83" s="67">
        <v>0.21661569826707441</v>
      </c>
      <c r="O83" s="67">
        <v>0.59454191033138404</v>
      </c>
      <c r="P83" s="67">
        <v>0.39058823529411762</v>
      </c>
      <c r="Q83" s="67">
        <v>0.41582491582491582</v>
      </c>
    </row>
    <row r="84" spans="1:17" x14ac:dyDescent="0.4">
      <c r="A84" s="69">
        <v>81</v>
      </c>
      <c r="B84" s="66">
        <v>0</v>
      </c>
      <c r="C84" s="66">
        <v>0</v>
      </c>
      <c r="D84" s="71">
        <v>2</v>
      </c>
      <c r="E84" s="67">
        <v>0.33333333333333331</v>
      </c>
      <c r="F84" s="67">
        <v>0.29855936413313461</v>
      </c>
      <c r="G84" s="67">
        <v>0.17138599105812222</v>
      </c>
      <c r="H84" s="68">
        <v>8408.3194675540763</v>
      </c>
      <c r="I84" s="68">
        <v>-8039.130434782609</v>
      </c>
      <c r="J84" s="67">
        <v>0.102880658436214</v>
      </c>
      <c r="K84" s="67">
        <v>0.102880658436214</v>
      </c>
      <c r="L84" s="67">
        <v>9.4650205761316872E-2</v>
      </c>
      <c r="M84" s="67">
        <v>0.2622289460413515</v>
      </c>
      <c r="N84" s="67">
        <v>0.21633888048411498</v>
      </c>
      <c r="O84" s="67">
        <v>0.59423076923076923</v>
      </c>
      <c r="P84" s="67">
        <v>0.38927738927738925</v>
      </c>
      <c r="Q84" s="67">
        <v>0.41763727121464228</v>
      </c>
    </row>
    <row r="85" spans="1:17" x14ac:dyDescent="0.4">
      <c r="A85" s="69">
        <v>82</v>
      </c>
      <c r="B85" s="66">
        <v>-3.5527136788005009E-15</v>
      </c>
      <c r="C85" s="66">
        <v>-1.4441925523579274E-17</v>
      </c>
      <c r="D85" s="71">
        <v>2</v>
      </c>
      <c r="E85" s="67">
        <v>0.33333333333333331</v>
      </c>
      <c r="F85" s="67">
        <v>0.29847815414825724</v>
      </c>
      <c r="G85" s="67">
        <v>0.17083946980854198</v>
      </c>
      <c r="H85" s="68">
        <v>8405.2631578947367</v>
      </c>
      <c r="I85" s="68">
        <v>-8054.8850574712642</v>
      </c>
      <c r="J85" s="67">
        <v>0.1016260162601626</v>
      </c>
      <c r="K85" s="67">
        <v>0.1016260162601626</v>
      </c>
      <c r="L85" s="67">
        <v>9.3495934959349589E-2</v>
      </c>
      <c r="M85" s="67">
        <v>0.26307922272047835</v>
      </c>
      <c r="N85" s="67">
        <v>0.21524663677130046</v>
      </c>
      <c r="O85" s="67">
        <v>0.59469696969696972</v>
      </c>
      <c r="P85" s="67">
        <v>0.3888888888888889</v>
      </c>
      <c r="Q85" s="67">
        <v>0.41940789473684209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0.29878345498783454</v>
      </c>
      <c r="G86" s="67">
        <v>0.17128953771289537</v>
      </c>
      <c r="H86" s="68">
        <v>8385.99348534202</v>
      </c>
      <c r="I86" s="68">
        <v>-8028.409090909091</v>
      </c>
      <c r="J86" s="67">
        <v>0.10040160642570281</v>
      </c>
      <c r="K86" s="67">
        <v>0.10040160642570281</v>
      </c>
      <c r="L86" s="67">
        <v>9.6385542168674704E-2</v>
      </c>
      <c r="M86" s="67">
        <v>0.26419753086419751</v>
      </c>
      <c r="N86" s="67">
        <v>0.21629629629629629</v>
      </c>
      <c r="O86" s="67">
        <v>0.5962616822429907</v>
      </c>
      <c r="P86" s="67">
        <v>0.38584474885844749</v>
      </c>
      <c r="Q86" s="67">
        <v>0.41856677524429969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0.29903381642512078</v>
      </c>
      <c r="G87" s="67">
        <v>0.17149758454106281</v>
      </c>
      <c r="H87" s="68">
        <v>8410.6623586429723</v>
      </c>
      <c r="I87" s="68">
        <v>-8020.2816901408451</v>
      </c>
      <c r="J87" s="67">
        <v>0.10317460317460317</v>
      </c>
      <c r="K87" s="67">
        <v>0.10317460317460317</v>
      </c>
      <c r="L87" s="67">
        <v>9.5238095238095233E-2</v>
      </c>
      <c r="M87" s="67">
        <v>0.26372549019607844</v>
      </c>
      <c r="N87" s="67">
        <v>0.21666666666666667</v>
      </c>
      <c r="O87" s="67">
        <v>0.5985130111524164</v>
      </c>
      <c r="P87" s="67">
        <v>0.38461538461538464</v>
      </c>
      <c r="Q87" s="67">
        <v>0.4184168012924071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0.29932950191570884</v>
      </c>
      <c r="G88" s="67">
        <v>0.17145593869731801</v>
      </c>
      <c r="H88" s="68">
        <v>8452.16</v>
      </c>
      <c r="I88" s="68">
        <v>-8089.9441340782123</v>
      </c>
      <c r="J88" s="67">
        <v>0.10588235294117647</v>
      </c>
      <c r="K88" s="67">
        <v>0.10588235294117647</v>
      </c>
      <c r="L88" s="67">
        <v>9.4117647058823528E-2</v>
      </c>
      <c r="M88" s="67">
        <v>0.26433430515063167</v>
      </c>
      <c r="N88" s="67">
        <v>0.21817298347910594</v>
      </c>
      <c r="O88" s="67">
        <v>0.59742647058823528</v>
      </c>
      <c r="P88" s="67">
        <v>0.38307349665924278</v>
      </c>
      <c r="Q88" s="67">
        <v>0.41920000000000002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0.29938708156529936</v>
      </c>
      <c r="G89" s="67">
        <v>0.17161716171617161</v>
      </c>
      <c r="H89" s="68">
        <v>8448.031496062993</v>
      </c>
      <c r="I89" s="68">
        <v>-8081.5934065934061</v>
      </c>
      <c r="J89" s="67">
        <v>0.10465116279069768</v>
      </c>
      <c r="K89" s="67">
        <v>0.10465116279069768</v>
      </c>
      <c r="L89" s="67">
        <v>9.6899224806201556E-2</v>
      </c>
      <c r="M89" s="67">
        <v>0.26351028216164513</v>
      </c>
      <c r="N89" s="67">
        <v>0.2190339550454328</v>
      </c>
      <c r="O89" s="67">
        <v>0.59528130671506352</v>
      </c>
      <c r="P89" s="67">
        <v>0.38427947598253276</v>
      </c>
      <c r="Q89" s="67">
        <v>0.41889763779527561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0.29920523609163158</v>
      </c>
      <c r="G90" s="67">
        <v>0.171575502571295</v>
      </c>
      <c r="H90" s="68">
        <v>8430.78125</v>
      </c>
      <c r="I90" s="68">
        <v>-8035.1498637602181</v>
      </c>
      <c r="J90" s="67">
        <v>0.10344827586206896</v>
      </c>
      <c r="K90" s="67">
        <v>0.10344827586206896</v>
      </c>
      <c r="L90" s="67">
        <v>9.5785440613026823E-2</v>
      </c>
      <c r="M90" s="67">
        <v>0.2626837363679469</v>
      </c>
      <c r="N90" s="67">
        <v>0.22048364153627312</v>
      </c>
      <c r="O90" s="67">
        <v>0.59386281588447654</v>
      </c>
      <c r="P90" s="67">
        <v>0.38494623655913979</v>
      </c>
      <c r="Q90" s="67">
        <v>0.41875000000000001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0.29912159038372632</v>
      </c>
      <c r="G91" s="67">
        <v>0.17059639389736478</v>
      </c>
      <c r="H91" s="68">
        <v>8392.2720247295201</v>
      </c>
      <c r="I91" s="68">
        <v>-8028.9972899729</v>
      </c>
      <c r="J91" s="67">
        <v>0.10227272727272728</v>
      </c>
      <c r="K91" s="67">
        <v>0.10227272727272728</v>
      </c>
      <c r="L91" s="67">
        <v>9.4696969696969696E-2</v>
      </c>
      <c r="M91" s="67">
        <v>0.26347866854195967</v>
      </c>
      <c r="N91" s="67">
        <v>0.21987810595405533</v>
      </c>
      <c r="O91" s="67">
        <v>0.59430604982206403</v>
      </c>
      <c r="P91" s="67">
        <v>0.38379530916844351</v>
      </c>
      <c r="Q91" s="67">
        <v>0.42194744976816073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0.29954337899543376</v>
      </c>
      <c r="G92" s="67">
        <v>0.17123287671232876</v>
      </c>
      <c r="H92" s="68">
        <v>8375.3048780487807</v>
      </c>
      <c r="I92" s="68">
        <v>-8000.2666666666664</v>
      </c>
      <c r="J92" s="67">
        <v>0.10112359550561797</v>
      </c>
      <c r="K92" s="67">
        <v>0.10112359550561797</v>
      </c>
      <c r="L92" s="67">
        <v>9.7378277153558054E-2</v>
      </c>
      <c r="M92" s="67">
        <v>0.26481481481481484</v>
      </c>
      <c r="N92" s="67">
        <v>0.22037037037037038</v>
      </c>
      <c r="O92" s="67">
        <v>0.59440559440559437</v>
      </c>
      <c r="P92" s="67">
        <v>0.38235294117647056</v>
      </c>
      <c r="Q92" s="67">
        <v>0.42073170731707316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0.29995489400090214</v>
      </c>
      <c r="G93" s="67">
        <v>0.17140279657194407</v>
      </c>
      <c r="H93" s="68">
        <v>8375.0375939849619</v>
      </c>
      <c r="I93" s="68">
        <v>-7983.4210526315792</v>
      </c>
      <c r="J93" s="67">
        <v>0.1</v>
      </c>
      <c r="K93" s="67">
        <v>0.1</v>
      </c>
      <c r="L93" s="67">
        <v>0.1</v>
      </c>
      <c r="M93" s="67">
        <v>0.26611796982167352</v>
      </c>
      <c r="N93" s="67">
        <v>0.22359396433470508</v>
      </c>
      <c r="O93" s="67">
        <v>0.59450171821305842</v>
      </c>
      <c r="P93" s="67">
        <v>0.3783231083844581</v>
      </c>
      <c r="Q93" s="67">
        <v>0.42105263157894735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0.30084557187360927</v>
      </c>
      <c r="G94" s="67">
        <v>0.17311971517578995</v>
      </c>
      <c r="H94" s="68">
        <v>8344.6745562130181</v>
      </c>
      <c r="I94" s="68">
        <v>-7977.3778920308487</v>
      </c>
      <c r="J94" s="67">
        <v>9.8901098901098897E-2</v>
      </c>
      <c r="K94" s="67">
        <v>9.8901098901098897E-2</v>
      </c>
      <c r="L94" s="67">
        <v>9.8901098901098897E-2</v>
      </c>
      <c r="M94" s="67">
        <v>0.26657645466847091</v>
      </c>
      <c r="N94" s="67">
        <v>0.2228236355435273</v>
      </c>
      <c r="O94" s="67">
        <v>0.59729272419627755</v>
      </c>
      <c r="P94" s="67">
        <v>0.37651821862348178</v>
      </c>
      <c r="Q94" s="67">
        <v>0.41568047337278108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0.30039525691699603</v>
      </c>
      <c r="G95" s="67">
        <v>0.17347386912604304</v>
      </c>
      <c r="H95" s="68">
        <v>8326.9005847953213</v>
      </c>
      <c r="I95" s="68">
        <v>-7929.6202531645567</v>
      </c>
      <c r="J95" s="67">
        <v>0.10144927536231885</v>
      </c>
      <c r="K95" s="67">
        <v>0.10144927536231885</v>
      </c>
      <c r="L95" s="67">
        <v>0.10144927536231885</v>
      </c>
      <c r="M95" s="67">
        <v>0.26613262127280818</v>
      </c>
      <c r="N95" s="67">
        <v>0.22563417890520696</v>
      </c>
      <c r="O95" s="67">
        <v>0.59364548494983282</v>
      </c>
      <c r="P95" s="67">
        <v>0.37672583826429978</v>
      </c>
      <c r="Q95" s="67">
        <v>0.41374269005847952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0.30004323389537396</v>
      </c>
      <c r="G96" s="67">
        <v>0.17293558149589278</v>
      </c>
      <c r="H96" s="68">
        <v>8337.7521613832851</v>
      </c>
      <c r="I96" s="68">
        <v>-7952.25</v>
      </c>
      <c r="J96" s="67">
        <v>0.1003584229390681</v>
      </c>
      <c r="K96" s="67">
        <v>0.1003584229390681</v>
      </c>
      <c r="L96" s="67">
        <v>0.1039426523297491</v>
      </c>
      <c r="M96" s="67">
        <v>0.26500219010074466</v>
      </c>
      <c r="N96" s="67">
        <v>0.22689443714410862</v>
      </c>
      <c r="O96" s="67">
        <v>0.59338842975206607</v>
      </c>
      <c r="P96" s="67">
        <v>0.38030888030888033</v>
      </c>
      <c r="Q96" s="67">
        <v>0.41498559077809799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0.3003003003003003</v>
      </c>
      <c r="G97" s="67">
        <v>0.1728871728871729</v>
      </c>
      <c r="H97" s="68">
        <v>8384.7142857142862</v>
      </c>
      <c r="I97" s="68">
        <v>-8046.4019851116627</v>
      </c>
      <c r="J97" s="67">
        <v>0.10283687943262411</v>
      </c>
      <c r="K97" s="67">
        <v>0.10283687943262411</v>
      </c>
      <c r="L97" s="67">
        <v>0.10638297872340426</v>
      </c>
      <c r="M97" s="67">
        <v>0.26466753585397651</v>
      </c>
      <c r="N97" s="67">
        <v>0.2264232942199044</v>
      </c>
      <c r="O97" s="67">
        <v>0.59277504105090317</v>
      </c>
      <c r="P97" s="67">
        <v>0.3800383877159309</v>
      </c>
      <c r="Q97" s="67">
        <v>0.4157142857142857</v>
      </c>
    </row>
    <row r="98" spans="1:17" x14ac:dyDescent="0.4">
      <c r="A98" s="69">
        <v>95</v>
      </c>
      <c r="B98" s="66">
        <v>0</v>
      </c>
      <c r="C98" s="66">
        <v>0</v>
      </c>
      <c r="D98" s="71">
        <v>2</v>
      </c>
      <c r="E98" s="67">
        <v>0.33333333333333331</v>
      </c>
      <c r="F98" s="67">
        <v>0.30059523809523808</v>
      </c>
      <c r="G98" s="67">
        <v>0.17261904761904762</v>
      </c>
      <c r="H98" s="68">
        <v>8378.0763790664787</v>
      </c>
      <c r="I98" s="68">
        <v>-8038.6699507389167</v>
      </c>
      <c r="J98" s="67">
        <v>0.10175438596491228</v>
      </c>
      <c r="K98" s="67">
        <v>0.10175438596491228</v>
      </c>
      <c r="L98" s="67">
        <v>0.10526315789473684</v>
      </c>
      <c r="M98" s="67">
        <v>0.26614987080103358</v>
      </c>
      <c r="N98" s="67">
        <v>0.22609819121447028</v>
      </c>
      <c r="O98" s="67">
        <v>0.59223300970873782</v>
      </c>
      <c r="P98" s="67">
        <v>0.37904761904761902</v>
      </c>
      <c r="Q98" s="67">
        <v>0.41725601131541723</v>
      </c>
    </row>
    <row r="99" spans="1:17" x14ac:dyDescent="0.4">
      <c r="A99" s="69">
        <v>96</v>
      </c>
      <c r="B99" s="66">
        <v>1.7763568394002505E-15</v>
      </c>
      <c r="C99" s="66">
        <v>6.1679056923619804E-18</v>
      </c>
      <c r="D99" s="71">
        <v>2</v>
      </c>
      <c r="E99" s="67">
        <v>0.33333333333333331</v>
      </c>
      <c r="F99" s="67">
        <v>0.30088495575221241</v>
      </c>
      <c r="G99" s="67">
        <v>0.17361989043404974</v>
      </c>
      <c r="H99" s="68">
        <v>8371.2885154061623</v>
      </c>
      <c r="I99" s="68">
        <v>-8047.0873786407765</v>
      </c>
      <c r="J99" s="67">
        <v>0.10069444444444445</v>
      </c>
      <c r="K99" s="67">
        <v>0.10069444444444445</v>
      </c>
      <c r="L99" s="67">
        <v>0.10416666666666667</v>
      </c>
      <c r="M99" s="67">
        <v>0.26717883055911223</v>
      </c>
      <c r="N99" s="67">
        <v>0.22492530943235167</v>
      </c>
      <c r="O99" s="67">
        <v>0.59105431309904155</v>
      </c>
      <c r="P99" s="67">
        <v>0.3776091081593928</v>
      </c>
      <c r="Q99" s="67">
        <v>0.41456582633053224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0.30116959064327486</v>
      </c>
      <c r="G100" s="67">
        <v>0.17335004177109439</v>
      </c>
      <c r="H100" s="68">
        <v>8364.6324549237179</v>
      </c>
      <c r="I100" s="68">
        <v>-8047.9518072289156</v>
      </c>
      <c r="J100" s="67">
        <v>0.10309278350515463</v>
      </c>
      <c r="K100" s="67">
        <v>0.10309278350515463</v>
      </c>
      <c r="L100" s="67">
        <v>0.10309278350515463</v>
      </c>
      <c r="M100" s="67">
        <v>0.26776649746192893</v>
      </c>
      <c r="N100" s="67">
        <v>0.22461928934010153</v>
      </c>
      <c r="O100" s="67">
        <v>0.59241706161137442</v>
      </c>
      <c r="P100" s="67">
        <v>0.37664783427495291</v>
      </c>
      <c r="Q100" s="67">
        <v>0.41608876560332869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0.30160692212608159</v>
      </c>
      <c r="G101" s="67">
        <v>0.1734651833539349</v>
      </c>
      <c r="H101" s="68">
        <v>8365.0273224043722</v>
      </c>
      <c r="I101" s="68">
        <v>-8005.9382422802846</v>
      </c>
      <c r="J101" s="67">
        <v>0.10204081632653061</v>
      </c>
      <c r="K101" s="67">
        <v>0.10204081632653061</v>
      </c>
      <c r="L101" s="67">
        <v>0.10204081632653061</v>
      </c>
      <c r="M101" s="67">
        <v>0.26658322903629539</v>
      </c>
      <c r="N101" s="67">
        <v>0.22319566124322068</v>
      </c>
      <c r="O101" s="67">
        <v>0.59311424100156496</v>
      </c>
      <c r="P101" s="67">
        <v>0.3775700934579439</v>
      </c>
      <c r="Q101" s="67">
        <v>0.41666666666666669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0.30199430199430199</v>
      </c>
      <c r="G102" s="67">
        <v>0.1737891737891738</v>
      </c>
      <c r="H102" s="68">
        <v>8362.5336927223725</v>
      </c>
      <c r="I102" s="68">
        <v>-8023.6533957845431</v>
      </c>
      <c r="J102" s="67">
        <v>0.10437710437710437</v>
      </c>
      <c r="K102" s="67">
        <v>0.10437710437710437</v>
      </c>
      <c r="L102" s="67">
        <v>0.10101010101010101</v>
      </c>
      <c r="M102" s="67">
        <v>0.26658426040379068</v>
      </c>
      <c r="N102" s="67">
        <v>0.22249690976514216</v>
      </c>
      <c r="O102" s="67">
        <v>0.59505409582689339</v>
      </c>
      <c r="P102" s="67">
        <v>0.37962962962962965</v>
      </c>
      <c r="Q102" s="67">
        <v>0.4164420485175202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0.30193236714975846</v>
      </c>
      <c r="G103" s="67">
        <v>0.17310789049919484</v>
      </c>
      <c r="H103" s="68">
        <v>8345.8666666666668</v>
      </c>
      <c r="I103" s="68">
        <v>-8003.7209302325582</v>
      </c>
      <c r="J103" s="67">
        <v>0.10333333333333333</v>
      </c>
      <c r="K103" s="67">
        <v>0.10333333333333333</v>
      </c>
      <c r="L103" s="67">
        <v>0.1</v>
      </c>
      <c r="M103" s="67">
        <v>0.26731866340668298</v>
      </c>
      <c r="N103" s="67">
        <v>0.22127139364303178</v>
      </c>
      <c r="O103" s="67">
        <v>0.59603658536585369</v>
      </c>
      <c r="P103" s="67">
        <v>0.37753222836095762</v>
      </c>
      <c r="Q103" s="67">
        <v>0.41866666666666669</v>
      </c>
    </row>
    <row r="104" spans="1:17" x14ac:dyDescent="0.4">
      <c r="A104" s="69">
        <v>101</v>
      </c>
      <c r="B104" s="66">
        <v>0</v>
      </c>
      <c r="C104" s="66">
        <v>0</v>
      </c>
      <c r="D104" s="71">
        <v>2</v>
      </c>
      <c r="E104" s="67">
        <v>0.33333333333333331</v>
      </c>
      <c r="F104" s="67">
        <v>0.30219560878243512</v>
      </c>
      <c r="G104" s="67">
        <v>0.17285429141716566</v>
      </c>
      <c r="H104" s="68">
        <v>8334.610303830912</v>
      </c>
      <c r="I104" s="68">
        <v>-7988.4526558891457</v>
      </c>
      <c r="J104" s="67">
        <v>0.10231023102310231</v>
      </c>
      <c r="K104" s="67">
        <v>0.10231023102310231</v>
      </c>
      <c r="L104" s="67">
        <v>0.10231023102310231</v>
      </c>
      <c r="M104" s="67">
        <v>0.26787878787878788</v>
      </c>
      <c r="N104" s="67">
        <v>0.22222222222222221</v>
      </c>
      <c r="O104" s="67">
        <v>0.59728506787330315</v>
      </c>
      <c r="P104" s="67">
        <v>0.37636363636363634</v>
      </c>
      <c r="Q104" s="67">
        <v>0.42007926023778069</v>
      </c>
    </row>
    <row r="105" spans="1:17" x14ac:dyDescent="0.4">
      <c r="A105" s="69">
        <v>102</v>
      </c>
      <c r="B105" s="66">
        <v>3.5527136788005009E-15</v>
      </c>
      <c r="C105" s="66">
        <v>1.161017542091667E-17</v>
      </c>
      <c r="D105" s="71">
        <v>2</v>
      </c>
      <c r="E105" s="67">
        <v>0.33333333333333331</v>
      </c>
      <c r="F105" s="67">
        <v>0.30213270142180093</v>
      </c>
      <c r="G105" s="67">
        <v>0.17180094786729858</v>
      </c>
      <c r="H105" s="68">
        <v>8349.0196078431381</v>
      </c>
      <c r="I105" s="68">
        <v>-7974.7126436781609</v>
      </c>
      <c r="J105" s="67">
        <v>0.10130718954248366</v>
      </c>
      <c r="K105" s="67">
        <v>0.10130718954248366</v>
      </c>
      <c r="L105" s="67">
        <v>0.10130718954248366</v>
      </c>
      <c r="M105" s="67">
        <v>0.26858513189448441</v>
      </c>
      <c r="N105" s="67">
        <v>0.2214228617106315</v>
      </c>
      <c r="O105" s="67">
        <v>0.59672619047619047</v>
      </c>
      <c r="P105" s="67">
        <v>0.37906137184115524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0.30281690140845069</v>
      </c>
      <c r="G106" s="67">
        <v>0.17097026604068857</v>
      </c>
      <c r="H106" s="68">
        <v>8339.2764857881139</v>
      </c>
      <c r="I106" s="68">
        <v>-7986.7276887871858</v>
      </c>
      <c r="J106" s="67">
        <v>0.10032362459546926</v>
      </c>
      <c r="K106" s="67">
        <v>0.10032362459546926</v>
      </c>
      <c r="L106" s="67">
        <v>0.10032362459546926</v>
      </c>
      <c r="M106" s="67">
        <v>0.26840855106888362</v>
      </c>
      <c r="N106" s="67">
        <v>0.221298495645289</v>
      </c>
      <c r="O106" s="67">
        <v>0.5943952802359882</v>
      </c>
      <c r="P106" s="67">
        <v>0.37924865831842575</v>
      </c>
      <c r="Q106" s="67">
        <v>0.4263565891472868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0.30306558013193635</v>
      </c>
      <c r="G107" s="67">
        <v>0.17112922002328287</v>
      </c>
      <c r="H107" s="68">
        <v>8364.0204865556971</v>
      </c>
      <c r="I107" s="68">
        <v>-7981.6326530612241</v>
      </c>
      <c r="J107" s="67">
        <v>0.10256410256410256</v>
      </c>
      <c r="K107" s="67">
        <v>0.10256410256410256</v>
      </c>
      <c r="L107" s="67">
        <v>9.9358974358974353E-2</v>
      </c>
      <c r="M107" s="67">
        <v>0.26815861798193952</v>
      </c>
      <c r="N107" s="67">
        <v>0.22182960345504515</v>
      </c>
      <c r="O107" s="67">
        <v>0.59736456808199123</v>
      </c>
      <c r="P107" s="67">
        <v>0.37876106194690268</v>
      </c>
      <c r="Q107" s="67">
        <v>0.42637644046094753</v>
      </c>
    </row>
    <row r="108" spans="1:17" x14ac:dyDescent="0.4">
      <c r="A108" s="69">
        <v>105</v>
      </c>
      <c r="B108" s="66">
        <v>0</v>
      </c>
      <c r="C108" s="66">
        <v>0</v>
      </c>
      <c r="D108" s="71">
        <v>2</v>
      </c>
      <c r="E108" s="67">
        <v>0.33333333333333331</v>
      </c>
      <c r="F108" s="67">
        <v>0.30299539170506912</v>
      </c>
      <c r="G108" s="67">
        <v>0.17127496159754224</v>
      </c>
      <c r="H108" s="68">
        <v>8369.0747782002527</v>
      </c>
      <c r="I108" s="68">
        <v>-8001.5695067264578</v>
      </c>
      <c r="J108" s="67">
        <v>0.10158730158730159</v>
      </c>
      <c r="K108" s="67">
        <v>0.10158730158730159</v>
      </c>
      <c r="L108" s="67">
        <v>0.10158730158730159</v>
      </c>
      <c r="M108" s="67">
        <v>0.26884226884226886</v>
      </c>
      <c r="N108" s="67">
        <v>0.22261072261072262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0.30254656024325349</v>
      </c>
      <c r="G109" s="67">
        <v>0.17103762827822122</v>
      </c>
      <c r="H109" s="68">
        <v>8458.5427135678383</v>
      </c>
      <c r="I109" s="68">
        <v>-8014.4444444444443</v>
      </c>
      <c r="J109" s="67">
        <v>0.10377358490566038</v>
      </c>
      <c r="K109" s="67">
        <v>0.10377358490566038</v>
      </c>
      <c r="L109" s="67">
        <v>0.10377358490566038</v>
      </c>
      <c r="M109" s="67">
        <v>0.2691272587466359</v>
      </c>
      <c r="N109" s="67">
        <v>0.22145328719723184</v>
      </c>
      <c r="O109" s="67">
        <v>0.59857142857142853</v>
      </c>
      <c r="P109" s="67">
        <v>0.3767361111111111</v>
      </c>
      <c r="Q109" s="67">
        <v>0.42587939698492461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</vt:vector>
  </HeadingPairs>
  <TitlesOfParts>
    <vt:vector size="4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dcterms:created xsi:type="dcterms:W3CDTF">2018-11-18T09:24:12Z</dcterms:created>
  <dcterms:modified xsi:type="dcterms:W3CDTF">2019-04-29T01:15:01Z</dcterms:modified>
</cp:coreProperties>
</file>