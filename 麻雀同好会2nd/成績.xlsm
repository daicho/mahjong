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5401DEF-BB52-4E5B-8611-C1840602C66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2" i="4977" l="1"/>
  <c r="O18" i="4995"/>
  <c r="O21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7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8" i="4985" l="1"/>
  <c r="O15" i="4981"/>
  <c r="O19" i="4989"/>
  <c r="O20" i="4989"/>
  <c r="O17" i="4977" l="1"/>
  <c r="O17" i="4993"/>
  <c r="O16" i="4993" l="1"/>
  <c r="O15" i="4993"/>
  <c r="O16" i="4983"/>
  <c r="O19" i="4981"/>
  <c r="O17" i="4991" l="1"/>
  <c r="O22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1" i="4989"/>
  <c r="O22" i="4989"/>
  <c r="O15" i="4977"/>
  <c r="O18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8" i="4987"/>
  <c r="O16" i="4987"/>
  <c r="O20" i="4979"/>
  <c r="O16" i="4985" l="1"/>
  <c r="O17" i="4983"/>
  <c r="O19" i="4987"/>
  <c r="O17" i="4987"/>
  <c r="O15" i="4985" l="1"/>
  <c r="O15" i="4983"/>
  <c r="O20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20" i="4983"/>
  <c r="O19" i="4979"/>
  <c r="O18" i="4975"/>
  <c r="H3" i="4989" l="1"/>
  <c r="H4" i="4989"/>
  <c r="H40" i="4989"/>
  <c r="H13" i="4989"/>
  <c r="H2" i="4989"/>
  <c r="H7" i="4989"/>
  <c r="H26" i="4989"/>
  <c r="H32" i="4989"/>
  <c r="H48" i="4989"/>
  <c r="C17" i="4989"/>
  <c r="H10" i="4989"/>
  <c r="H44" i="4989"/>
  <c r="H8" i="4989"/>
  <c r="H6" i="4989"/>
  <c r="H14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6" i="4989"/>
  <c r="H29" i="4989"/>
  <c r="H12" i="4989"/>
  <c r="H34" i="4989"/>
  <c r="H38" i="4989"/>
  <c r="H42" i="4989"/>
  <c r="H46" i="4989"/>
  <c r="H50" i="4989"/>
  <c r="H15" i="4989"/>
  <c r="H20" i="4989"/>
  <c r="C19" i="4989"/>
  <c r="H11" i="4989"/>
  <c r="H31" i="4989"/>
  <c r="H35" i="4989"/>
  <c r="H39" i="4989"/>
  <c r="H43" i="4989"/>
  <c r="H47" i="4989"/>
  <c r="O16" i="4981" l="1"/>
  <c r="O20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9" i="4977"/>
  <c r="O17" i="4975"/>
  <c r="O20" i="4985"/>
  <c r="O17" i="4979"/>
  <c r="O18" i="4979"/>
  <c r="O19" i="4983"/>
  <c r="O19" i="4985"/>
  <c r="O21" i="4985"/>
  <c r="C27" i="4985"/>
  <c r="B24" i="4985"/>
  <c r="C20" i="4985"/>
  <c r="B17" i="4985"/>
  <c r="H5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3" i="4977"/>
  <c r="O21" i="4975"/>
  <c r="O19" i="4975"/>
  <c r="H4" i="4987" l="1"/>
  <c r="H10" i="4987"/>
  <c r="H2" i="4987"/>
  <c r="H3" i="4987"/>
  <c r="H19" i="4985"/>
  <c r="H22" i="4985"/>
  <c r="H7" i="4985"/>
  <c r="H10" i="4985"/>
  <c r="H2" i="4985"/>
  <c r="H8" i="4985"/>
  <c r="H4" i="4985"/>
  <c r="H16" i="4985"/>
  <c r="H2" i="4983"/>
  <c r="H4" i="4983"/>
  <c r="H3" i="4983"/>
  <c r="H10" i="4983"/>
  <c r="H28" i="4987"/>
  <c r="H37" i="4987"/>
  <c r="H8" i="4987"/>
  <c r="H21" i="4987"/>
  <c r="C17" i="4987"/>
  <c r="H14" i="4987"/>
  <c r="H41" i="4987"/>
  <c r="H18" i="4987"/>
  <c r="C18" i="4987"/>
  <c r="B23" i="4987"/>
  <c r="H30" i="4987"/>
  <c r="H45" i="4987"/>
  <c r="H19" i="4987"/>
  <c r="H11" i="4987"/>
  <c r="H5" i="4987"/>
  <c r="H12" i="4987"/>
  <c r="H7" i="4987"/>
  <c r="H15" i="4987"/>
  <c r="H20" i="4987"/>
  <c r="H22" i="4987"/>
  <c r="C19" i="4987"/>
  <c r="H33" i="4987"/>
  <c r="H49" i="4987"/>
  <c r="H23" i="4987"/>
  <c r="H25" i="4987"/>
  <c r="H27" i="4987"/>
  <c r="H29" i="4987"/>
  <c r="H17" i="4987"/>
  <c r="H34" i="4987"/>
  <c r="H38" i="4987"/>
  <c r="H42" i="4987"/>
  <c r="H46" i="4987"/>
  <c r="H50" i="4987"/>
  <c r="H31" i="4987"/>
  <c r="H35" i="4987"/>
  <c r="H39" i="4987"/>
  <c r="H43" i="4987"/>
  <c r="H47" i="4987"/>
  <c r="H51" i="4987"/>
  <c r="H16" i="4987"/>
  <c r="H24" i="4987"/>
  <c r="H26" i="4987"/>
  <c r="H13" i="4987"/>
  <c r="H9" i="4987"/>
  <c r="H32" i="4987"/>
  <c r="H36" i="4987"/>
  <c r="H40" i="4987"/>
  <c r="H44" i="4987"/>
  <c r="H48" i="4987"/>
  <c r="H3" i="4985"/>
  <c r="H21" i="4985"/>
  <c r="H23" i="4985"/>
  <c r="C19" i="4985"/>
  <c r="C17" i="4983"/>
  <c r="C17" i="4985"/>
  <c r="H12" i="4985"/>
  <c r="H9" i="4985"/>
  <c r="H6" i="4985"/>
  <c r="H15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4" i="4985"/>
  <c r="H11" i="4985"/>
  <c r="H32" i="4985"/>
  <c r="H36" i="4985"/>
  <c r="H40" i="4985"/>
  <c r="H44" i="4985"/>
  <c r="H48" i="4985"/>
  <c r="H6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7" i="4983"/>
  <c r="H36" i="4983"/>
  <c r="H40" i="4983"/>
  <c r="H44" i="4983"/>
  <c r="H48" i="4983"/>
  <c r="H18" i="4983"/>
  <c r="H9" i="4983"/>
  <c r="H7" i="4983"/>
  <c r="H13" i="4983"/>
  <c r="H21" i="4983"/>
  <c r="H24" i="4983"/>
  <c r="H19" i="4983"/>
  <c r="H27" i="4983"/>
  <c r="H12" i="4983"/>
  <c r="H11" i="4983"/>
  <c r="H33" i="4983"/>
  <c r="H37" i="4983"/>
  <c r="H41" i="4983"/>
  <c r="H45" i="4983"/>
  <c r="H49" i="4983"/>
  <c r="O17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2" i="4977"/>
  <c r="H6" i="4977"/>
  <c r="H17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3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2" i="4979"/>
  <c r="H27" i="4979"/>
  <c r="H20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1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0" i="4977"/>
  <c r="H50" i="4977"/>
  <c r="H23" i="4977"/>
  <c r="H38" i="4977"/>
  <c r="H9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8" i="4977"/>
  <c r="H27" i="4977"/>
  <c r="H39" i="4977"/>
  <c r="H43" i="4977"/>
  <c r="H47" i="4977"/>
  <c r="H51" i="4977"/>
  <c r="H25" i="4977"/>
  <c r="H36" i="4977"/>
  <c r="H40" i="4977"/>
  <c r="H44" i="4977"/>
  <c r="H48" i="4977"/>
  <c r="H16" i="4977"/>
  <c r="H22" i="4977"/>
  <c r="H15" i="4977"/>
  <c r="H32" i="4977"/>
  <c r="H11" i="4977"/>
  <c r="H8" i="4977"/>
  <c r="H26" i="4977"/>
  <c r="H37" i="4977"/>
  <c r="H41" i="4977"/>
  <c r="H45" i="4977"/>
  <c r="H49" i="4977"/>
  <c r="H2" i="4975"/>
  <c r="H3" i="4975"/>
  <c r="C17" i="4975"/>
  <c r="H14" i="4975"/>
  <c r="H10" i="4975"/>
  <c r="H6" i="4975"/>
  <c r="H13" i="4975"/>
  <c r="H23" i="4975"/>
  <c r="C18" i="4975"/>
  <c r="H8" i="4975"/>
  <c r="H19" i="4975"/>
  <c r="H24" i="4975"/>
  <c r="H7" i="4975"/>
  <c r="H21" i="4975"/>
  <c r="H32" i="4975"/>
  <c r="H16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7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<sst xmlns="http://schemas.openxmlformats.org/spreadsheetml/2006/main" count="2678" uniqueCount="210">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</sst>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全体!$K$2:$K$299</c:f>
              <c:numCache>
                <c:formatCode>General</c:formatCode>
                <c:ptCount val="2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</c:numCache>
            </c:numRef>
          </c:xVal>
          <c:yVal>
            <c:numRef>
              <c:f>全体!$L$2:$L$299</c:f>
              <c:numCache>
                <c:formatCode>\+0.0;\-0.0;\±0</c:formatCode>
                <c:ptCount val="29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-16.835016835016834</c:v>
                </c:pt>
                <c:pt idx="1">
                  <c:v>-13.605442176870747</c:v>
                </c:pt>
                <c:pt idx="2">
                  <c:v>18.518518518518519</c:v>
                </c:pt>
                <c:pt idx="3">
                  <c:v>12.048192771084338</c:v>
                </c:pt>
                <c:pt idx="4">
                  <c:v>-21.92982456140351</c:v>
                </c:pt>
                <c:pt idx="5">
                  <c:v>28.169014084507044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だいち!$L$2:$L$71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2978.2608695652175</c:v>
                </c:pt>
                <c:pt idx="1">
                  <c:v>2933.8235294117649</c:v>
                </c:pt>
                <c:pt idx="2">
                  <c:v>3368.75</c:v>
                </c:pt>
                <c:pt idx="3">
                  <c:v>3887.719298245614</c:v>
                </c:pt>
                <c:pt idx="4">
                  <c:v>554.9019607843137</c:v>
                </c:pt>
                <c:pt idx="5">
                  <c:v>1634.0425531914893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りくと!$L$2:$L$73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1329.5774647887324</c:v>
                </c:pt>
                <c:pt idx="1">
                  <c:v>-1664.2857142857142</c:v>
                </c:pt>
                <c:pt idx="2">
                  <c:v>-2049.2537313432836</c:v>
                </c:pt>
                <c:pt idx="3">
                  <c:v>673.77049180327867</c:v>
                </c:pt>
                <c:pt idx="4">
                  <c:v>783.92857142857144</c:v>
                </c:pt>
                <c:pt idx="5">
                  <c:v>443.39622641509436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ただ!$L$2:$L$29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-3385.1851851851852</c:v>
                </c:pt>
                <c:pt idx="1">
                  <c:v>-4581.4814814814818</c:v>
                </c:pt>
                <c:pt idx="2">
                  <c:v>-3591.6666666666665</c:v>
                </c:pt>
                <c:pt idx="3">
                  <c:v>-7028.5714285714284</c:v>
                </c:pt>
                <c:pt idx="4">
                  <c:v>-3700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-505.12820512820514</c:v>
                </c:pt>
                <c:pt idx="1">
                  <c:v>676.92307692307691</c:v>
                </c:pt>
                <c:pt idx="2">
                  <c:v>1058.3333333333333</c:v>
                </c:pt>
                <c:pt idx="3">
                  <c:v>-324.24242424242425</c:v>
                </c:pt>
                <c:pt idx="4">
                  <c:v>-970</c:v>
                </c:pt>
                <c:pt idx="5">
                  <c:v>242.85714285714286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1830.3030303030303</c:v>
                </c:pt>
                <c:pt idx="1">
                  <c:v>109.09090909090909</c:v>
                </c:pt>
                <c:pt idx="2">
                  <c:v>1140.7407407407406</c:v>
                </c:pt>
                <c:pt idx="3">
                  <c:v>292.30769230769232</c:v>
                </c:pt>
                <c:pt idx="4">
                  <c:v>-816</c:v>
                </c:pt>
                <c:pt idx="5">
                  <c:v>-1527.2727272727273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ぱぱ!$L$2:$L$29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-4237.0370370370374</c:v>
                </c:pt>
                <c:pt idx="1">
                  <c:v>1240.7407407407406</c:v>
                </c:pt>
                <c:pt idx="2">
                  <c:v>-1883.3333333333333</c:v>
                </c:pt>
                <c:pt idx="3">
                  <c:v>-3526.086956521739</c:v>
                </c:pt>
                <c:pt idx="4">
                  <c:v>1523.8095238095239</c:v>
                </c:pt>
                <c:pt idx="5">
                  <c:v>-865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-5794.1176470588234</c:v>
                </c:pt>
                <c:pt idx="1">
                  <c:v>-1168.75</c:v>
                </c:pt>
                <c:pt idx="2">
                  <c:v>421.42857142857144</c:v>
                </c:pt>
                <c:pt idx="3">
                  <c:v>26.666666666666668</c:v>
                </c:pt>
                <c:pt idx="4">
                  <c:v>-414.28571428571428</c:v>
                </c:pt>
                <c:pt idx="5">
                  <c:v>2130.7692307692309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58730158730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37891737891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7.77327935222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9.50819672131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4377104377104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4377104377104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3329263329263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937321937321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6599690880989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847866419294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654520917678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4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43581.02138888889</v>
      </c>
      <c r="C24" s="30" t="s">
        <v>130</v>
      </c>
      <c r="D24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0.66960258689753627</v>
      </c>
      <c r="G2" s="155"/>
      <c r="H2" s="154">
        <v>0.71446566826850744</v>
      </c>
      <c r="I2" s="155"/>
      <c r="J2" s="154">
        <v>0.59023512437930292</v>
      </c>
      <c r="K2" s="155"/>
      <c r="L2" s="154">
        <v>0.60357525228340569</v>
      </c>
      <c r="M2" s="155"/>
      <c r="N2" s="154">
        <v>0.46324411994825571</v>
      </c>
      <c r="O2" s="155"/>
      <c r="P2" s="154">
        <v>0.76618041999536646</v>
      </c>
      <c r="Q2" s="155"/>
      <c r="R2" s="154">
        <v>-0.13763432292596928</v>
      </c>
      <c r="S2" s="155"/>
      <c r="T2" s="154">
        <v>0.35840298128523401</v>
      </c>
      <c r="U2" s="155"/>
      <c r="V2" s="154">
        <v>0.68401875677428647</v>
      </c>
      <c r="W2" s="155"/>
      <c r="X2" s="154">
        <v>0.97438068489642871</v>
      </c>
      <c r="Y2" s="155"/>
      <c r="Z2" s="154">
        <v>-0.1345382040730532</v>
      </c>
      <c r="AA2" s="155"/>
      <c r="AB2" s="154">
        <v>0.5112810312340399</v>
      </c>
      <c r="AC2" s="155"/>
      <c r="AD2" s="154">
        <v>0.41288213609115521</v>
      </c>
      <c r="AE2" s="155"/>
      <c r="AF2" s="154">
        <v>-0.10862774742745598</v>
      </c>
      <c r="AG2" s="155"/>
      <c r="AH2" s="154">
        <v>0.69207984793890254</v>
      </c>
      <c r="AI2" s="155"/>
    </row>
    <row r="3" spans="1:35" x14ac:dyDescent="0.4">
      <c r="A3" s="74">
        <v>1</v>
      </c>
      <c r="B3" s="75" t="s">
        <v>127</v>
      </c>
      <c r="C3" s="76">
        <v>1572.3000000000006</v>
      </c>
      <c r="D3" s="77" t="s">
        <v>127</v>
      </c>
      <c r="E3" s="96">
        <v>22.786956521739139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0.39745916515426499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0.20289855072463769</v>
      </c>
      <c r="X3" s="77" t="s">
        <v>127</v>
      </c>
      <c r="Y3" s="80">
        <v>0.33030852994555354</v>
      </c>
      <c r="Z3" s="77" t="s">
        <v>172</v>
      </c>
      <c r="AA3" s="80">
        <v>0.31914893617021278</v>
      </c>
      <c r="AB3" s="77" t="s">
        <v>186</v>
      </c>
      <c r="AC3" s="80">
        <v>0.7142857142857143</v>
      </c>
      <c r="AD3" s="77" t="s">
        <v>127</v>
      </c>
      <c r="AE3" s="80">
        <v>0.53731343283582089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185</v>
      </c>
      <c r="E4" s="97">
        <v>20.333333333333332</v>
      </c>
      <c r="F4" s="85" t="s">
        <v>127</v>
      </c>
      <c r="G4" s="86">
        <v>1.5507246376811594</v>
      </c>
      <c r="H4" s="85" t="s">
        <v>127</v>
      </c>
      <c r="I4" s="87">
        <v>0.59420289855072461</v>
      </c>
      <c r="J4" s="85" t="s">
        <v>202</v>
      </c>
      <c r="K4" s="87">
        <v>0</v>
      </c>
      <c r="L4" s="85" t="s">
        <v>172</v>
      </c>
      <c r="M4" s="88">
        <v>0.3475177304964539</v>
      </c>
      <c r="N4" s="85" t="s">
        <v>172</v>
      </c>
      <c r="O4" s="88">
        <v>0.14184397163120568</v>
      </c>
      <c r="P4" s="85" t="s">
        <v>127</v>
      </c>
      <c r="Q4" s="89">
        <v>9390.4109589041091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0.15151515151515152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0.64417177914110424</v>
      </c>
      <c r="AD4" s="85" t="s">
        <v>185</v>
      </c>
      <c r="AE4" s="88">
        <v>0.5</v>
      </c>
      <c r="AF4" s="85" t="s">
        <v>173</v>
      </c>
      <c r="AG4" s="88">
        <v>0.51388888888888884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42.500000000000007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0.14492753623188406</v>
      </c>
      <c r="L5" s="85" t="s">
        <v>145</v>
      </c>
      <c r="M5" s="88">
        <v>0.30158730158730157</v>
      </c>
      <c r="N5" s="85" t="s">
        <v>127</v>
      </c>
      <c r="O5" s="88">
        <v>0.14700544464609799</v>
      </c>
      <c r="P5" s="85" t="s">
        <v>171</v>
      </c>
      <c r="Q5" s="89">
        <v>8769.1358024691363</v>
      </c>
      <c r="R5" s="85" t="s">
        <v>177</v>
      </c>
      <c r="S5" s="89">
        <v>-7029.6296296296296</v>
      </c>
      <c r="T5" s="85" t="s">
        <v>171</v>
      </c>
      <c r="U5" s="87">
        <v>2.564102564102564E-2</v>
      </c>
      <c r="V5" s="85" t="s">
        <v>171</v>
      </c>
      <c r="W5" s="87">
        <v>0.12820512820512819</v>
      </c>
      <c r="X5" s="85" t="s">
        <v>128</v>
      </c>
      <c r="Y5" s="88">
        <v>0.27580372250423013</v>
      </c>
      <c r="Z5" s="85" t="s">
        <v>177</v>
      </c>
      <c r="AA5" s="88">
        <v>0.27480916030534353</v>
      </c>
      <c r="AB5" s="85" t="s">
        <v>127</v>
      </c>
      <c r="AC5" s="88">
        <v>0.61538461538461542</v>
      </c>
      <c r="AD5" s="85" t="s">
        <v>172</v>
      </c>
      <c r="AE5" s="88">
        <v>0.41111111111111109</v>
      </c>
      <c r="AF5" s="85" t="s">
        <v>129</v>
      </c>
      <c r="AG5" s="88">
        <v>0.51219512195121952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1.2878787878787881</v>
      </c>
      <c r="F6" s="85" t="s">
        <v>145</v>
      </c>
      <c r="G6" s="86">
        <v>2</v>
      </c>
      <c r="H6" s="85" t="s">
        <v>172</v>
      </c>
      <c r="I6" s="87">
        <v>0.30303030303030304</v>
      </c>
      <c r="J6" s="85" t="s">
        <v>128</v>
      </c>
      <c r="K6" s="87">
        <v>0.30985915492957744</v>
      </c>
      <c r="L6" s="85" t="s">
        <v>173</v>
      </c>
      <c r="M6" s="88">
        <v>0.29875518672199169</v>
      </c>
      <c r="N6" s="85" t="s">
        <v>171</v>
      </c>
      <c r="O6" s="88">
        <v>0.15596330275229359</v>
      </c>
      <c r="P6" s="85" t="s">
        <v>128</v>
      </c>
      <c r="Q6" s="89">
        <v>8745.0292397660814</v>
      </c>
      <c r="R6" s="85" t="s">
        <v>171</v>
      </c>
      <c r="S6" s="89">
        <v>-7225.4901960784309</v>
      </c>
      <c r="T6" s="85" t="s">
        <v>127</v>
      </c>
      <c r="U6" s="87">
        <v>4.3478260869565216E-2</v>
      </c>
      <c r="V6" s="85" t="s">
        <v>145</v>
      </c>
      <c r="W6" s="87">
        <v>0.10437710437710437</v>
      </c>
      <c r="X6" s="85" t="s">
        <v>145</v>
      </c>
      <c r="Y6" s="88">
        <v>0.26332926332926332</v>
      </c>
      <c r="Z6" s="85" t="s">
        <v>127</v>
      </c>
      <c r="AA6" s="88">
        <v>0.24319419237749546</v>
      </c>
      <c r="AB6" s="85" t="s">
        <v>185</v>
      </c>
      <c r="AC6" s="88">
        <v>0.6</v>
      </c>
      <c r="AD6" s="85" t="s">
        <v>177</v>
      </c>
      <c r="AE6" s="88">
        <v>0.3888888888888889</v>
      </c>
      <c r="AF6" s="85" t="s">
        <v>186</v>
      </c>
      <c r="AG6" s="88">
        <v>0.5</v>
      </c>
      <c r="AH6" s="85" t="s">
        <v>128</v>
      </c>
      <c r="AI6" s="92">
        <v>94000</v>
      </c>
    </row>
    <row r="7" spans="1:35" x14ac:dyDescent="0.4">
      <c r="A7" s="82">
        <v>5</v>
      </c>
      <c r="B7" s="83" t="s">
        <v>145</v>
      </c>
      <c r="C7" s="84">
        <v>0</v>
      </c>
      <c r="D7" s="85" t="s">
        <v>145</v>
      </c>
      <c r="E7" s="97">
        <v>0</v>
      </c>
      <c r="F7" s="85" t="s">
        <v>128</v>
      </c>
      <c r="G7" s="86">
        <v>2.0422535211267605</v>
      </c>
      <c r="H7" s="85" t="s">
        <v>177</v>
      </c>
      <c r="I7" s="87">
        <v>0.29411764705882354</v>
      </c>
      <c r="J7" s="85" t="s">
        <v>145</v>
      </c>
      <c r="K7" s="87">
        <v>0.33333333333333331</v>
      </c>
      <c r="L7" s="85" t="s">
        <v>128</v>
      </c>
      <c r="M7" s="88">
        <v>0.28934010152284262</v>
      </c>
      <c r="N7" s="85" t="s">
        <v>202</v>
      </c>
      <c r="O7" s="88">
        <v>0.16666666666666666</v>
      </c>
      <c r="P7" s="85" t="s">
        <v>145</v>
      </c>
      <c r="Q7" s="89">
        <v>8347.7732793522264</v>
      </c>
      <c r="R7" s="85" t="s">
        <v>128</v>
      </c>
      <c r="S7" s="89">
        <v>-7454.3689320388348</v>
      </c>
      <c r="T7" s="85" t="s">
        <v>172</v>
      </c>
      <c r="U7" s="87">
        <v>6.0606060606060608E-2</v>
      </c>
      <c r="V7" s="85" t="s">
        <v>173</v>
      </c>
      <c r="W7" s="87">
        <v>7.407407407407407E-2</v>
      </c>
      <c r="X7" s="85" t="s">
        <v>185</v>
      </c>
      <c r="Y7" s="88">
        <v>0.26315789473684209</v>
      </c>
      <c r="Z7" s="85" t="s">
        <v>186</v>
      </c>
      <c r="AA7" s="88">
        <v>0.22807017543859648</v>
      </c>
      <c r="AB7" s="85" t="s">
        <v>145</v>
      </c>
      <c r="AC7" s="88">
        <v>0.59659969088098919</v>
      </c>
      <c r="AD7" s="85" t="s">
        <v>186</v>
      </c>
      <c r="AE7" s="88">
        <v>0.38461538461538464</v>
      </c>
      <c r="AF7" s="85" t="s">
        <v>172</v>
      </c>
      <c r="AG7" s="88">
        <v>0.41836734693877553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171</v>
      </c>
      <c r="C8" s="84">
        <v>-71.3</v>
      </c>
      <c r="D8" s="85" t="s">
        <v>128</v>
      </c>
      <c r="E8" s="97">
        <v>-1.5619718309859161</v>
      </c>
      <c r="F8" s="85" t="s">
        <v>172</v>
      </c>
      <c r="G8" s="86">
        <v>2.0909090909090908</v>
      </c>
      <c r="H8" s="85" t="s">
        <v>128</v>
      </c>
      <c r="I8" s="87">
        <v>0.26760563380281688</v>
      </c>
      <c r="J8" s="85" t="s">
        <v>171</v>
      </c>
      <c r="K8" s="87">
        <v>0.35897435897435898</v>
      </c>
      <c r="L8" s="85" t="s">
        <v>185</v>
      </c>
      <c r="M8" s="88">
        <v>0.26315789473684209</v>
      </c>
      <c r="N8" s="85" t="s">
        <v>145</v>
      </c>
      <c r="O8" s="88">
        <v>0.1737891737891738</v>
      </c>
      <c r="P8" s="85" t="s">
        <v>185</v>
      </c>
      <c r="Q8" s="89">
        <v>7860</v>
      </c>
      <c r="R8" s="85" t="s">
        <v>145</v>
      </c>
      <c r="S8" s="89">
        <v>-8029.5081967213118</v>
      </c>
      <c r="T8" s="85" t="s">
        <v>145</v>
      </c>
      <c r="U8" s="87">
        <v>0.10437710437710437</v>
      </c>
      <c r="V8" s="85" t="s">
        <v>128</v>
      </c>
      <c r="W8" s="87">
        <v>7.0422535211267609E-2</v>
      </c>
      <c r="X8" s="85" t="s">
        <v>171</v>
      </c>
      <c r="Y8" s="88">
        <v>0.25076452599388377</v>
      </c>
      <c r="Z8" s="85" t="s">
        <v>173</v>
      </c>
      <c r="AA8" s="88">
        <v>0.21991701244813278</v>
      </c>
      <c r="AB8" s="85" t="s">
        <v>173</v>
      </c>
      <c r="AC8" s="88">
        <v>0.5892857142857143</v>
      </c>
      <c r="AD8" s="85" t="s">
        <v>145</v>
      </c>
      <c r="AE8" s="88">
        <v>0.3784786641929499</v>
      </c>
      <c r="AF8" s="85" t="s">
        <v>145</v>
      </c>
      <c r="AG8" s="88">
        <v>0.41565452091767879</v>
      </c>
      <c r="AH8" s="85" t="s">
        <v>173</v>
      </c>
      <c r="AI8" s="92">
        <v>74200</v>
      </c>
    </row>
    <row r="9" spans="1:35" x14ac:dyDescent="0.4">
      <c r="A9" s="82">
        <v>7</v>
      </c>
      <c r="B9" s="83" t="s">
        <v>128</v>
      </c>
      <c r="C9" s="84">
        <v>-110.90000000000005</v>
      </c>
      <c r="D9" s="85" t="s">
        <v>171</v>
      </c>
      <c r="E9" s="97">
        <v>-1.8282051282051281</v>
      </c>
      <c r="F9" s="85" t="s">
        <v>171</v>
      </c>
      <c r="G9" s="86">
        <v>2.1025641025641026</v>
      </c>
      <c r="H9" s="85" t="s">
        <v>173</v>
      </c>
      <c r="I9" s="87">
        <v>0.25925925925925924</v>
      </c>
      <c r="J9" s="85" t="s">
        <v>173</v>
      </c>
      <c r="K9" s="87">
        <v>0.37037037037037035</v>
      </c>
      <c r="L9" s="85" t="s">
        <v>177</v>
      </c>
      <c r="M9" s="88">
        <v>0.25190839694656486</v>
      </c>
      <c r="N9" s="85" t="s">
        <v>128</v>
      </c>
      <c r="O9" s="88">
        <v>0.17428087986463622</v>
      </c>
      <c r="P9" s="85" t="s">
        <v>129</v>
      </c>
      <c r="Q9" s="89">
        <v>7680.4878048780483</v>
      </c>
      <c r="R9" s="85" t="s">
        <v>127</v>
      </c>
      <c r="S9" s="89">
        <v>-8043.2098765432102</v>
      </c>
      <c r="T9" s="85" t="s">
        <v>128</v>
      </c>
      <c r="U9" s="87">
        <v>0.12676056338028169</v>
      </c>
      <c r="V9" s="85" t="s">
        <v>129</v>
      </c>
      <c r="W9" s="87">
        <v>0</v>
      </c>
      <c r="X9" s="85" t="s">
        <v>129</v>
      </c>
      <c r="Y9" s="88">
        <v>0.24324324324324326</v>
      </c>
      <c r="Z9" s="85" t="s">
        <v>145</v>
      </c>
      <c r="AA9" s="88">
        <v>0.21937321937321938</v>
      </c>
      <c r="AB9" s="85" t="s">
        <v>172</v>
      </c>
      <c r="AC9" s="88">
        <v>0.578125</v>
      </c>
      <c r="AD9" s="85" t="s">
        <v>173</v>
      </c>
      <c r="AE9" s="88">
        <v>0.33962264150943394</v>
      </c>
      <c r="AF9" s="85" t="s">
        <v>127</v>
      </c>
      <c r="AG9" s="88">
        <v>0.40182648401826482</v>
      </c>
      <c r="AH9" s="85" t="s">
        <v>177</v>
      </c>
      <c r="AI9" s="92">
        <v>65000</v>
      </c>
    </row>
    <row r="10" spans="1:35" x14ac:dyDescent="0.4">
      <c r="A10" s="82">
        <v>8</v>
      </c>
      <c r="B10" s="83" t="s">
        <v>177</v>
      </c>
      <c r="C10" s="84">
        <v>-161.19999999999999</v>
      </c>
      <c r="D10" s="85" t="s">
        <v>177</v>
      </c>
      <c r="E10" s="97">
        <v>-9.4823529411764707</v>
      </c>
      <c r="F10" s="85" t="s">
        <v>173</v>
      </c>
      <c r="G10" s="86">
        <v>2.1111111111111112</v>
      </c>
      <c r="H10" s="85" t="s">
        <v>171</v>
      </c>
      <c r="I10" s="87">
        <v>0.25641025641025639</v>
      </c>
      <c r="J10" s="85" t="s">
        <v>172</v>
      </c>
      <c r="K10" s="87">
        <v>0.39393939393939392</v>
      </c>
      <c r="L10" s="85" t="s">
        <v>202</v>
      </c>
      <c r="M10" s="88">
        <v>0.25</v>
      </c>
      <c r="N10" s="85" t="s">
        <v>177</v>
      </c>
      <c r="O10" s="88">
        <v>0.20610687022900764</v>
      </c>
      <c r="P10" s="85" t="s">
        <v>172</v>
      </c>
      <c r="Q10" s="89">
        <v>7260.2040816326535</v>
      </c>
      <c r="R10" s="85" t="s">
        <v>173</v>
      </c>
      <c r="S10" s="89">
        <v>-8208</v>
      </c>
      <c r="T10" s="85" t="s">
        <v>186</v>
      </c>
      <c r="U10" s="87">
        <v>0.14285714285714285</v>
      </c>
      <c r="V10" s="85" t="s">
        <v>177</v>
      </c>
      <c r="W10" s="87">
        <v>0</v>
      </c>
      <c r="X10" s="85" t="s">
        <v>173</v>
      </c>
      <c r="Y10" s="88">
        <v>0.23236514522821577</v>
      </c>
      <c r="Z10" s="85" t="s">
        <v>185</v>
      </c>
      <c r="AA10" s="88">
        <v>0.21052631578947367</v>
      </c>
      <c r="AB10" s="85" t="s">
        <v>171</v>
      </c>
      <c r="AC10" s="88">
        <v>0.57317073170731703</v>
      </c>
      <c r="AD10" s="85" t="s">
        <v>171</v>
      </c>
      <c r="AE10" s="88">
        <v>0.30909090909090908</v>
      </c>
      <c r="AF10" s="85" t="s">
        <v>177</v>
      </c>
      <c r="AG10" s="88">
        <v>0.39393939393939392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186</v>
      </c>
      <c r="C11" s="84">
        <v>-218.2</v>
      </c>
      <c r="D11" s="85" t="s">
        <v>173</v>
      </c>
      <c r="E11" s="97">
        <v>-9.5333333333333332</v>
      </c>
      <c r="F11" s="85" t="s">
        <v>177</v>
      </c>
      <c r="G11" s="86">
        <v>2.1176470588235294</v>
      </c>
      <c r="H11" s="85" t="s">
        <v>202</v>
      </c>
      <c r="I11" s="87">
        <v>0.25</v>
      </c>
      <c r="J11" s="85" t="s">
        <v>177</v>
      </c>
      <c r="K11" s="87">
        <v>0.41176470588235292</v>
      </c>
      <c r="L11" s="85" t="s">
        <v>171</v>
      </c>
      <c r="M11" s="88">
        <v>0.24770642201834864</v>
      </c>
      <c r="N11" s="85" t="s">
        <v>173</v>
      </c>
      <c r="O11" s="88">
        <v>0.2074688796680498</v>
      </c>
      <c r="P11" s="85" t="s">
        <v>177</v>
      </c>
      <c r="Q11" s="89">
        <v>7036.363636363636</v>
      </c>
      <c r="R11" s="85" t="s">
        <v>172</v>
      </c>
      <c r="S11" s="89">
        <v>-8495</v>
      </c>
      <c r="T11" s="85" t="s">
        <v>173</v>
      </c>
      <c r="U11" s="87">
        <v>0.14814814814814814</v>
      </c>
      <c r="V11" s="85" t="s">
        <v>185</v>
      </c>
      <c r="W11" s="87">
        <v>0</v>
      </c>
      <c r="X11" s="85" t="s">
        <v>172</v>
      </c>
      <c r="Y11" s="88">
        <v>0.22695035460992907</v>
      </c>
      <c r="Z11" s="85" t="s">
        <v>128</v>
      </c>
      <c r="AA11" s="88">
        <v>0.19289340101522842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128</v>
      </c>
      <c r="AG11" s="88">
        <v>0.391812865497076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173</v>
      </c>
      <c r="C12" s="84">
        <v>-257.39999999999998</v>
      </c>
      <c r="D12" s="85" t="s">
        <v>186</v>
      </c>
      <c r="E12" s="97">
        <v>-31.171428571428571</v>
      </c>
      <c r="F12" s="85" t="s">
        <v>129</v>
      </c>
      <c r="G12" s="86">
        <v>2.5555555555555554</v>
      </c>
      <c r="H12" s="85" t="s">
        <v>186</v>
      </c>
      <c r="I12" s="87">
        <v>0.14285714285714285</v>
      </c>
      <c r="J12" s="85" t="s">
        <v>129</v>
      </c>
      <c r="K12" s="87">
        <v>0.66666666666666663</v>
      </c>
      <c r="L12" s="85" t="s">
        <v>186</v>
      </c>
      <c r="M12" s="88">
        <v>0.21052631578947367</v>
      </c>
      <c r="N12" s="85" t="s">
        <v>129</v>
      </c>
      <c r="O12" s="88">
        <v>0.22972972972972974</v>
      </c>
      <c r="P12" s="85" t="s">
        <v>186</v>
      </c>
      <c r="Q12" s="89">
        <v>6500</v>
      </c>
      <c r="R12" s="85" t="s">
        <v>186</v>
      </c>
      <c r="S12" s="89">
        <v>-8762.5</v>
      </c>
      <c r="T12" s="85" t="s">
        <v>177</v>
      </c>
      <c r="U12" s="87">
        <v>0.17647058823529413</v>
      </c>
      <c r="V12" s="85" t="s">
        <v>186</v>
      </c>
      <c r="W12" s="87">
        <v>0</v>
      </c>
      <c r="X12" s="85" t="s">
        <v>177</v>
      </c>
      <c r="Y12" s="88">
        <v>0.17557251908396945</v>
      </c>
      <c r="Z12" s="85" t="s">
        <v>171</v>
      </c>
      <c r="AA12" s="88">
        <v>0.16819571865443425</v>
      </c>
      <c r="AB12" s="85" t="s">
        <v>177</v>
      </c>
      <c r="AC12" s="88">
        <v>0.52173913043478259</v>
      </c>
      <c r="AD12" s="85" t="s">
        <v>128</v>
      </c>
      <c r="AE12" s="88">
        <v>0.2807017543859649</v>
      </c>
      <c r="AF12" s="85" t="s">
        <v>171</v>
      </c>
      <c r="AG12" s="88">
        <v>0.34567901234567899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-876.19999999999993</v>
      </c>
      <c r="D13" s="85" t="s">
        <v>129</v>
      </c>
      <c r="E13" s="97">
        <v>-32.451851851851849</v>
      </c>
      <c r="F13" s="85" t="s">
        <v>186</v>
      </c>
      <c r="G13" s="86">
        <v>2.5714285714285716</v>
      </c>
      <c r="H13" s="85" t="s">
        <v>129</v>
      </c>
      <c r="I13" s="87">
        <v>0.1111111111111111</v>
      </c>
      <c r="J13" s="85" t="s">
        <v>186</v>
      </c>
      <c r="K13" s="87">
        <v>0.7142857142857143</v>
      </c>
      <c r="L13" s="85" t="s">
        <v>129</v>
      </c>
      <c r="M13" s="88">
        <v>0.18468468468468469</v>
      </c>
      <c r="N13" s="85" t="s">
        <v>186</v>
      </c>
      <c r="O13" s="88">
        <v>0.2807017543859649</v>
      </c>
      <c r="P13" s="85" t="s">
        <v>173</v>
      </c>
      <c r="Q13" s="89">
        <v>6411.1111111111113</v>
      </c>
      <c r="R13" s="85" t="s">
        <v>129</v>
      </c>
      <c r="S13" s="89">
        <v>-10100</v>
      </c>
      <c r="T13" s="85" t="s">
        <v>129</v>
      </c>
      <c r="U13" s="87">
        <v>0.29629629629629628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0.13513513513513514</v>
      </c>
      <c r="AB13" s="85" t="s">
        <v>129</v>
      </c>
      <c r="AC13" s="88">
        <v>0.48148148148148145</v>
      </c>
      <c r="AD13" s="85" t="s">
        <v>129</v>
      </c>
      <c r="AE13" s="88">
        <v>0.13333333333333333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2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297</v>
      </c>
      <c r="C2" s="147"/>
      <c r="E2" s="62" t="s">
        <v>67</v>
      </c>
      <c r="F2" s="59" t="s">
        <v>23</v>
      </c>
      <c r="G2" s="46">
        <v>541</v>
      </c>
      <c r="H2" s="132">
        <f>IF(B$17=0,0,G2/B$17)</f>
        <v>0.73009446693657221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-16.835016835016834</v>
      </c>
      <c r="P2" s="118">
        <v>297</v>
      </c>
      <c r="Q2" s="102">
        <v>-5000</v>
      </c>
    </row>
    <row r="3" spans="1:17" x14ac:dyDescent="0.4">
      <c r="A3" s="55" t="s">
        <v>8</v>
      </c>
      <c r="B3" s="148">
        <v>2457</v>
      </c>
      <c r="C3" s="149"/>
      <c r="E3" s="63" t="s">
        <v>73</v>
      </c>
      <c r="F3" s="60" t="s">
        <v>28</v>
      </c>
      <c r="G3" s="47">
        <v>391</v>
      </c>
      <c r="H3" s="133">
        <f>IF(B$17=0,0,G3/B$17)</f>
        <v>0.52766531713900133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-13.605442176870747</v>
      </c>
      <c r="P3" s="119">
        <v>294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368</v>
      </c>
      <c r="H4" s="133">
        <f>IF(B$17=0,0,G4/B$17)</f>
        <v>0.49662618083670718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18.518518518518519</v>
      </c>
      <c r="P4" s="119">
        <v>270</v>
      </c>
      <c r="Q4" s="103">
        <v>5000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280</v>
      </c>
      <c r="H5" s="133">
        <f>IF(B$17=0,0,G5/B$17)</f>
        <v>0.37786774628879893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12.048192771084338</v>
      </c>
      <c r="P5" s="119">
        <v>249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211</v>
      </c>
      <c r="H6" s="133">
        <f>IF(B$17=0,0,G6/B$17)</f>
        <v>0.28475033738191635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-21.92982456140351</v>
      </c>
      <c r="P6" s="119">
        <v>228</v>
      </c>
      <c r="Q6" s="103">
        <v>-5000</v>
      </c>
    </row>
    <row r="7" spans="1:17" x14ac:dyDescent="0.4">
      <c r="A7" s="55" t="s">
        <v>2</v>
      </c>
      <c r="B7" s="47">
        <v>99</v>
      </c>
      <c r="C7" s="39">
        <f>IF(B$2=0,0,B7/B$2)</f>
        <v>0.33333333333333331</v>
      </c>
      <c r="E7" s="63" t="s">
        <v>68</v>
      </c>
      <c r="F7" s="60" t="s">
        <v>24</v>
      </c>
      <c r="G7" s="47">
        <v>210</v>
      </c>
      <c r="H7" s="133">
        <f>IF(B$17=0,0,G7/B$17)</f>
        <v>0.2834008097165992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28.169014084507044</v>
      </c>
      <c r="P7" s="120">
        <v>213</v>
      </c>
      <c r="Q7" s="104">
        <v>6000</v>
      </c>
    </row>
    <row r="8" spans="1:17" x14ac:dyDescent="0.4">
      <c r="A8" s="55" t="s">
        <v>3</v>
      </c>
      <c r="B8" s="47">
        <v>99</v>
      </c>
      <c r="C8" s="39">
        <f>IF(B$2=0,0,B8/B$2)</f>
        <v>0.33333333333333331</v>
      </c>
      <c r="E8" s="63" t="s">
        <v>70</v>
      </c>
      <c r="F8" s="60" t="s">
        <v>25</v>
      </c>
      <c r="G8" s="47">
        <v>135</v>
      </c>
      <c r="H8" s="133">
        <f>IF(B$17=0,0,G8/B$17)</f>
        <v>0.18218623481781376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99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101</v>
      </c>
      <c r="H9" s="133">
        <f>IF(B$17=0,0,G9/B$17)</f>
        <v>0.13630229419703105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31</v>
      </c>
      <c r="C10" s="40">
        <f>IF(B$2=0,0,B10/B$2)</f>
        <v>0.10437710437710437</v>
      </c>
      <c r="E10" s="63" t="s">
        <v>66</v>
      </c>
      <c r="F10" s="60" t="s">
        <v>22</v>
      </c>
      <c r="G10" s="47">
        <v>92</v>
      </c>
      <c r="H10" s="133">
        <f>IF(B$17=0,0,G10/B$17)</f>
        <v>0.12415654520917679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-3.1111111111111116</v>
      </c>
      <c r="P10" s="118">
        <v>99</v>
      </c>
      <c r="Q10" s="106">
        <v>-308.00000000000006</v>
      </c>
    </row>
    <row r="11" spans="1:17" x14ac:dyDescent="0.4">
      <c r="A11" s="56" t="s">
        <v>140</v>
      </c>
      <c r="B11" s="48">
        <v>31</v>
      </c>
      <c r="C11" s="40">
        <f>IF(B$2=0,0,B11/B$2)</f>
        <v>0.10437710437710437</v>
      </c>
      <c r="E11" s="63" t="s">
        <v>71</v>
      </c>
      <c r="F11" s="60" t="s">
        <v>26</v>
      </c>
      <c r="G11" s="47">
        <v>77</v>
      </c>
      <c r="H11" s="133">
        <f>IF(B$17=0,0,G11/B$17)</f>
        <v>0.1039136302294197</v>
      </c>
      <c r="I11" s="94">
        <v>4</v>
      </c>
      <c r="K11" s="38">
        <v>9</v>
      </c>
      <c r="L11" s="99">
        <v>-3.5527136788005009E-15</v>
      </c>
      <c r="N11" s="115" t="s">
        <v>165</v>
      </c>
      <c r="O11" s="125">
        <f>IF(P11=0,0,Q11/P11)</f>
        <v>-4.2555555555555564</v>
      </c>
      <c r="P11" s="119">
        <v>99</v>
      </c>
      <c r="Q11" s="107">
        <v>-421.30000000000007</v>
      </c>
    </row>
    <row r="12" spans="1:17" x14ac:dyDescent="0.4">
      <c r="A12" s="57" t="s">
        <v>160</v>
      </c>
      <c r="B12" s="49">
        <v>30</v>
      </c>
      <c r="C12" s="42">
        <f>IF(B$2=0,0,B12/B$2)</f>
        <v>0.10101010101010101</v>
      </c>
      <c r="E12" s="63" t="s">
        <v>87</v>
      </c>
      <c r="F12" s="60" t="s">
        <v>42</v>
      </c>
      <c r="G12" s="47">
        <v>47</v>
      </c>
      <c r="H12" s="133">
        <f>IF(B$17=0,0,G12/B$17)</f>
        <v>6.3427800269905535E-2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7.3666666666666663</v>
      </c>
      <c r="P12" s="120">
        <v>99</v>
      </c>
      <c r="Q12" s="108">
        <v>729.3</v>
      </c>
    </row>
    <row r="13" spans="1:17" x14ac:dyDescent="0.4">
      <c r="A13" s="58" t="s">
        <v>122</v>
      </c>
      <c r="B13" s="50">
        <v>647</v>
      </c>
      <c r="C13" s="44">
        <f>IF(B$3=0,0,B13/B$3)</f>
        <v>0.26332926332926332</v>
      </c>
      <c r="E13" s="63" t="s">
        <v>72</v>
      </c>
      <c r="F13" s="60" t="s">
        <v>27</v>
      </c>
      <c r="G13" s="47">
        <v>38</v>
      </c>
      <c r="H13" s="133">
        <f>IF(B$17=0,0,G13/B$17)</f>
        <v>5.128205128205128E-2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539</v>
      </c>
      <c r="C14" s="39">
        <f>IF(B$3=0,0,B14/B$3)</f>
        <v>0.21937321937321938</v>
      </c>
      <c r="E14" s="63" t="s">
        <v>84</v>
      </c>
      <c r="F14" s="60" t="s">
        <v>39</v>
      </c>
      <c r="G14" s="47">
        <v>34</v>
      </c>
      <c r="H14" s="133">
        <f>IF(B$17=0,0,G14/B$17)</f>
        <v>4.5883940620782729E-2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386</v>
      </c>
      <c r="C15" s="37">
        <f>IF(B$13=0,0,B15/B$13)</f>
        <v>0.59659969088098919</v>
      </c>
      <c r="E15" s="63" t="s">
        <v>82</v>
      </c>
      <c r="F15" s="60" t="s">
        <v>37</v>
      </c>
      <c r="G15" s="47">
        <v>20</v>
      </c>
      <c r="H15" s="133">
        <f>IF(B$17=0,0,G15/B$17)</f>
        <v>2.6990553306342781E-2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48.677777777777784</v>
      </c>
      <c r="P15" s="118">
        <v>54</v>
      </c>
      <c r="Q15" s="106">
        <v>2628.6000000000004</v>
      </c>
    </row>
    <row r="16" spans="1:17" x14ac:dyDescent="0.4">
      <c r="A16" s="54" t="s">
        <v>125</v>
      </c>
      <c r="B16" s="46">
        <v>204</v>
      </c>
      <c r="C16" s="37">
        <f>IF(B$14=0,0,B16/B$14)</f>
        <v>0.3784786641929499</v>
      </c>
      <c r="E16" s="63" t="s">
        <v>79</v>
      </c>
      <c r="F16" s="60" t="s">
        <v>34</v>
      </c>
      <c r="G16" s="47">
        <v>13</v>
      </c>
      <c r="H16" s="133">
        <f>IF(B$17=0,0,G16/B$17)</f>
        <v>1.7543859649122806E-2</v>
      </c>
      <c r="I16" s="94">
        <v>6</v>
      </c>
      <c r="K16" s="38">
        <v>14</v>
      </c>
      <c r="L16" s="99">
        <v>18.79999999999999</v>
      </c>
      <c r="N16" s="115" t="s">
        <v>186</v>
      </c>
      <c r="O16" s="125">
        <f>IF(P16=0,0,Q16/P16)</f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741</v>
      </c>
      <c r="C17" s="37">
        <f>IF(B$3=0,0,B17/B$3)</f>
        <v>0.30158730158730157</v>
      </c>
      <c r="E17" s="63" t="s">
        <v>92</v>
      </c>
      <c r="F17" s="60" t="s">
        <v>47</v>
      </c>
      <c r="G17" s="47">
        <v>13</v>
      </c>
      <c r="H17" s="133">
        <f>IF(B$17=0,0,G17/B$17)</f>
        <v>1.7543859649122806E-2</v>
      </c>
      <c r="I17" s="94">
        <v>4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14.299999999999999</v>
      </c>
      <c r="P17" s="119">
        <v>54</v>
      </c>
      <c r="Q17" s="107">
        <v>772.19999999999993</v>
      </c>
    </row>
    <row r="18" spans="1:17" x14ac:dyDescent="0.4">
      <c r="A18" s="55" t="s">
        <v>12</v>
      </c>
      <c r="B18" s="47">
        <v>308</v>
      </c>
      <c r="C18" s="39">
        <f>IF(B$17=0,0,B18/B$17)</f>
        <v>0.41565452091767879</v>
      </c>
      <c r="E18" s="63" t="s">
        <v>180</v>
      </c>
      <c r="F18" s="60" t="s">
        <v>183</v>
      </c>
      <c r="G18" s="47">
        <v>11</v>
      </c>
      <c r="H18" s="133">
        <f>IF(B$17=0,0,G18/B$17)</f>
        <v>1.4844804318488529E-2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14.223529411764703</v>
      </c>
      <c r="P18" s="119">
        <v>34</v>
      </c>
      <c r="Q18" s="107">
        <v>483.59999999999991</v>
      </c>
    </row>
    <row r="19" spans="1:17" x14ac:dyDescent="0.4">
      <c r="A19" s="55" t="s">
        <v>11</v>
      </c>
      <c r="B19" s="47">
        <v>433</v>
      </c>
      <c r="C19" s="39">
        <f>IF(B$17=0,0,B19/B$17)</f>
        <v>0.58434547908232115</v>
      </c>
      <c r="E19" s="63" t="s">
        <v>76</v>
      </c>
      <c r="F19" s="60" t="s">
        <v>31</v>
      </c>
      <c r="G19" s="47">
        <v>6</v>
      </c>
      <c r="H19" s="133">
        <f>IF(B$17=0,0,G19/B$17)</f>
        <v>8.0971659919028341E-3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2.7423076923076946</v>
      </c>
      <c r="P19" s="119">
        <v>78</v>
      </c>
      <c r="Q19" s="107">
        <v>213.90000000000018</v>
      </c>
    </row>
    <row r="20" spans="1:17" x14ac:dyDescent="0.4">
      <c r="A20" s="55" t="s">
        <v>13</v>
      </c>
      <c r="B20" s="47">
        <v>427</v>
      </c>
      <c r="C20" s="39">
        <f>IF(B$3=0,0,B20/B$3)</f>
        <v>0.1737891737891738</v>
      </c>
      <c r="E20" s="63" t="s">
        <v>80</v>
      </c>
      <c r="F20" s="60" t="s">
        <v>35</v>
      </c>
      <c r="G20" s="47">
        <v>6</v>
      </c>
      <c r="H20" s="133">
        <f>IF(B$17=0,0,G20/B$17)</f>
        <v>8.0971659919028341E-3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2.3429577464788713</v>
      </c>
      <c r="P20" s="119">
        <v>142</v>
      </c>
      <c r="Q20" s="107">
        <v>332.6999999999997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5.3981106612685558E-3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-1.9318181818181834</v>
      </c>
      <c r="P21" s="119">
        <v>66</v>
      </c>
      <c r="Q21" s="107">
        <v>-127.50000000000011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93</v>
      </c>
      <c r="F22" s="60" t="s">
        <v>48</v>
      </c>
      <c r="G22" s="47">
        <v>4</v>
      </c>
      <c r="H22" s="133">
        <f>IF(B$17=0,0,G22/B$17)</f>
        <v>5.3981106612685558E-3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8347.7732793522264</v>
      </c>
      <c r="C23" s="41">
        <v>6185700</v>
      </c>
      <c r="E23" s="63" t="s">
        <v>75</v>
      </c>
      <c r="F23" s="60" t="s">
        <v>30</v>
      </c>
      <c r="G23" s="47">
        <v>2</v>
      </c>
      <c r="H23" s="133">
        <f>IF(B$17=0,0,G23/B$17)</f>
        <v>2.6990553306342779E-3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>IF(P23=0,0,Q23/P23)</f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-8029.5081967213118</v>
      </c>
      <c r="C24" s="45">
        <v>-3428600</v>
      </c>
      <c r="E24" s="63" t="s">
        <v>78</v>
      </c>
      <c r="F24" s="60" t="s">
        <v>33</v>
      </c>
      <c r="G24" s="47">
        <v>2</v>
      </c>
      <c r="H24" s="133">
        <f>IF(B$17=0,0,G24/B$17)</f>
        <v>2.6990553306342779E-3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-34.180434782608657</v>
      </c>
      <c r="P24" s="119">
        <v>138</v>
      </c>
      <c r="Q24" s="107">
        <v>-4716.8999999999951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>IF(B$17=0,0,G25/B$17)</f>
        <v>2.6990553306342779E-3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1.3495276653171389E-3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9</v>
      </c>
      <c r="C27" s="42">
        <f>IF(B$3=0,0,B27/B$3)</f>
        <v>3.663003663003663E-3</v>
      </c>
      <c r="E27" s="63" t="s">
        <v>86</v>
      </c>
      <c r="F27" s="60" t="s">
        <v>41</v>
      </c>
      <c r="G27" s="47">
        <v>1</v>
      </c>
      <c r="H27" s="133">
        <f>IF(B$17=0,0,G27/B$17)</f>
        <v>1.3495276653171389E-3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1.3495276653171389E-3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>IF(B$17=0,0,G29/B$17)</f>
        <v>1.3495276653171389E-3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>IF(B$17=0,0,G30/B$17)</f>
        <v>1.3495276653171389E-3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1.3495276653171389E-3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67</v>
      </c>
      <c r="F2" s="59" t="s">
        <v>23</v>
      </c>
      <c r="G2" s="46">
        <v>166</v>
      </c>
      <c r="H2" s="132">
        <f>IF(B$17=0,0,G2/B$17)</f>
        <v>0.75799086757990863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2978.2608695652175</v>
      </c>
      <c r="P2" s="118">
        <v>69</v>
      </c>
      <c r="Q2" s="102">
        <v>205500</v>
      </c>
    </row>
    <row r="3" spans="1:17" x14ac:dyDescent="0.4">
      <c r="A3" s="55" t="s">
        <v>8</v>
      </c>
      <c r="B3" s="148">
        <v>551</v>
      </c>
      <c r="C3" s="149"/>
      <c r="E3" s="63" t="s">
        <v>73</v>
      </c>
      <c r="F3" s="60" t="s">
        <v>28</v>
      </c>
      <c r="G3" s="47">
        <v>121</v>
      </c>
      <c r="H3" s="133">
        <f>IF(B$17=0,0,G3/B$17)</f>
        <v>0.55251141552511418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2933.8235294117649</v>
      </c>
      <c r="P3" s="119">
        <v>68</v>
      </c>
      <c r="Q3" s="103">
        <v>199500</v>
      </c>
    </row>
    <row r="4" spans="1:17" x14ac:dyDescent="0.4">
      <c r="A4" s="55" t="s">
        <v>6</v>
      </c>
      <c r="B4" s="150">
        <v>1572.3000000000006</v>
      </c>
      <c r="C4" s="151"/>
      <c r="E4" s="63" t="s">
        <v>65</v>
      </c>
      <c r="F4" s="60" t="s">
        <v>21</v>
      </c>
      <c r="G4" s="47">
        <v>104</v>
      </c>
      <c r="H4" s="133">
        <f>IF(B$17=0,0,G4/B$17)</f>
        <v>0.47488584474885842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3368.75</v>
      </c>
      <c r="P4" s="119">
        <v>64</v>
      </c>
      <c r="Q4" s="103">
        <v>215600</v>
      </c>
    </row>
    <row r="5" spans="1:17" x14ac:dyDescent="0.4">
      <c r="A5" s="55" t="s">
        <v>7</v>
      </c>
      <c r="B5" s="152">
        <f>IF(B$2=0,0,B$4/B$2)</f>
        <v>22.786956521739139</v>
      </c>
      <c r="C5" s="153"/>
      <c r="E5" s="63" t="s">
        <v>181</v>
      </c>
      <c r="F5" s="60" t="s">
        <v>182</v>
      </c>
      <c r="G5" s="47">
        <v>91</v>
      </c>
      <c r="H5" s="133">
        <f>IF(B$17=0,0,G5/B$17)</f>
        <v>0.41552511415525112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3887.719298245614</v>
      </c>
      <c r="P5" s="119">
        <v>57</v>
      </c>
      <c r="Q5" s="103">
        <v>221600</v>
      </c>
    </row>
    <row r="6" spans="1:17" x14ac:dyDescent="0.4">
      <c r="A6" s="55" t="s">
        <v>1</v>
      </c>
      <c r="B6" s="142">
        <f>IF(B$2=0,0,(B$7*1+B$8*2+B$9*3)/B$2)</f>
        <v>1.5507246376811594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0.31963470319634701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554.9019607843137</v>
      </c>
      <c r="P6" s="119">
        <v>51</v>
      </c>
      <c r="Q6" s="103">
        <v>28300</v>
      </c>
    </row>
    <row r="7" spans="1:17" x14ac:dyDescent="0.4">
      <c r="A7" s="55" t="s">
        <v>2</v>
      </c>
      <c r="B7" s="47">
        <v>41</v>
      </c>
      <c r="C7" s="39">
        <f>IF(B$2=0,0,B7/B$2)</f>
        <v>0.59420289855072461</v>
      </c>
      <c r="E7" s="63" t="s">
        <v>69</v>
      </c>
      <c r="F7" s="60" t="s">
        <v>12</v>
      </c>
      <c r="G7" s="47">
        <v>51</v>
      </c>
      <c r="H7" s="133">
        <f>IF(B$17=0,0,G7/B$17)</f>
        <v>0.23287671232876711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1634.0425531914893</v>
      </c>
      <c r="P7" s="120">
        <v>47</v>
      </c>
      <c r="Q7" s="104">
        <v>76800</v>
      </c>
    </row>
    <row r="8" spans="1:17" x14ac:dyDescent="0.4">
      <c r="A8" s="55" t="s">
        <v>3</v>
      </c>
      <c r="B8" s="47">
        <v>18</v>
      </c>
      <c r="C8" s="39">
        <f>IF(B$2=0,0,B8/B$2)</f>
        <v>0.2608695652173913</v>
      </c>
      <c r="E8" s="63" t="s">
        <v>90</v>
      </c>
      <c r="F8" s="60" t="s">
        <v>45</v>
      </c>
      <c r="G8" s="47">
        <v>42</v>
      </c>
      <c r="H8" s="133">
        <f>IF(B$17=0,0,G8/B$17)</f>
        <v>0.19178082191780821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0.14492753623188406</v>
      </c>
      <c r="E9" s="63" t="s">
        <v>70</v>
      </c>
      <c r="F9" s="60" t="s">
        <v>25</v>
      </c>
      <c r="G9" s="47">
        <v>41</v>
      </c>
      <c r="H9" s="133">
        <f>IF(B$17=0,0,G9/B$17)</f>
        <v>0.18721461187214611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66</v>
      </c>
      <c r="F10" s="60" t="s">
        <v>22</v>
      </c>
      <c r="G10" s="47">
        <v>31</v>
      </c>
      <c r="H10" s="133">
        <f>IF(B$17=0,0,G10/B$17)</f>
        <v>0.14155251141552511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20.290909090909089</v>
      </c>
      <c r="P10" s="118">
        <v>22</v>
      </c>
      <c r="Q10" s="106">
        <v>446.4</v>
      </c>
    </row>
    <row r="11" spans="1:17" x14ac:dyDescent="0.4">
      <c r="A11" s="56" t="s">
        <v>140</v>
      </c>
      <c r="B11" s="48">
        <v>14</v>
      </c>
      <c r="C11" s="40">
        <f>IF(B$2=0,0,B11/B$2)</f>
        <v>0.20289855072463769</v>
      </c>
      <c r="E11" s="63" t="s">
        <v>87</v>
      </c>
      <c r="F11" s="60" t="s">
        <v>42</v>
      </c>
      <c r="G11" s="47">
        <v>19</v>
      </c>
      <c r="H11" s="133">
        <f>IF(B$17=0,0,G11/B$17)</f>
        <v>8.6757990867579904E-2</v>
      </c>
      <c r="I11" s="94">
        <v>3</v>
      </c>
      <c r="K11" s="38">
        <v>9</v>
      </c>
      <c r="L11" s="99">
        <v>277.90000000000003</v>
      </c>
      <c r="N11" s="115" t="s">
        <v>165</v>
      </c>
      <c r="O11" s="125">
        <f>IF(P11=0,0,Q11/P11)</f>
        <v>19.568421052631578</v>
      </c>
      <c r="P11" s="119">
        <v>19</v>
      </c>
      <c r="Q11" s="107">
        <v>371.79999999999995</v>
      </c>
    </row>
    <row r="12" spans="1:17" x14ac:dyDescent="0.4">
      <c r="A12" s="57" t="s">
        <v>160</v>
      </c>
      <c r="B12" s="49">
        <v>15</v>
      </c>
      <c r="C12" s="42">
        <f>IF(B$2=0,0,B12/B$2)</f>
        <v>0.21739130434782608</v>
      </c>
      <c r="E12" s="63" t="s">
        <v>71</v>
      </c>
      <c r="F12" s="60" t="s">
        <v>26</v>
      </c>
      <c r="G12" s="47">
        <v>18</v>
      </c>
      <c r="H12" s="133">
        <f>IF(B$17=0,0,G12/B$17)</f>
        <v>8.2191780821917804E-2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26.93214285714286</v>
      </c>
      <c r="P12" s="120">
        <v>28</v>
      </c>
      <c r="Q12" s="108">
        <v>754.10000000000014</v>
      </c>
    </row>
    <row r="13" spans="1:17" x14ac:dyDescent="0.4">
      <c r="A13" s="58" t="s">
        <v>122</v>
      </c>
      <c r="B13" s="50">
        <v>182</v>
      </c>
      <c r="C13" s="44">
        <f>IF(B$3=0,0,B13/B$3)</f>
        <v>0.33030852994555354</v>
      </c>
      <c r="E13" s="63" t="s">
        <v>72</v>
      </c>
      <c r="F13" s="60" t="s">
        <v>27</v>
      </c>
      <c r="G13" s="47">
        <v>12</v>
      </c>
      <c r="H13" s="133">
        <f>IF(B$17=0,0,G13/B$17)</f>
        <v>5.4794520547945202E-2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0.24319419237749546</v>
      </c>
      <c r="E14" s="63" t="s">
        <v>84</v>
      </c>
      <c r="F14" s="60" t="s">
        <v>39</v>
      </c>
      <c r="G14" s="47">
        <v>12</v>
      </c>
      <c r="H14" s="133">
        <f>IF(B$17=0,0,G14/B$17)</f>
        <v>5.4794520547945202E-2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0.61538461538461542</v>
      </c>
      <c r="E15" s="63" t="s">
        <v>82</v>
      </c>
      <c r="F15" s="60" t="s">
        <v>37</v>
      </c>
      <c r="G15" s="47">
        <v>6</v>
      </c>
      <c r="H15" s="133">
        <f>IF(B$17=0,0,G15/B$17)</f>
        <v>2.7397260273972601E-2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72</v>
      </c>
      <c r="C16" s="37">
        <f>IF(B$14=0,0,B16/B$14)</f>
        <v>0.53731343283582089</v>
      </c>
      <c r="E16" s="63" t="s">
        <v>180</v>
      </c>
      <c r="F16" s="60" t="s">
        <v>183</v>
      </c>
      <c r="G16" s="47">
        <v>5</v>
      </c>
      <c r="H16" s="133">
        <f>IF(B$17=0,0,G16/B$17)</f>
        <v>2.2831050228310501E-2</v>
      </c>
      <c r="I16" s="94">
        <v>3</v>
      </c>
      <c r="K16" s="38">
        <v>14</v>
      </c>
      <c r="L16" s="99">
        <v>473.50000000000006</v>
      </c>
      <c r="N16" s="115" t="s">
        <v>129</v>
      </c>
      <c r="O16" s="125">
        <f>IF(P16=0,0,Q16/P16)</f>
        <v>60.438888888888897</v>
      </c>
      <c r="P16" s="119">
        <v>18</v>
      </c>
      <c r="Q16" s="107">
        <v>1087.9000000000001</v>
      </c>
    </row>
    <row r="17" spans="1:17" x14ac:dyDescent="0.4">
      <c r="A17" s="54" t="s">
        <v>10</v>
      </c>
      <c r="B17" s="46">
        <f>B19+B18</f>
        <v>219</v>
      </c>
      <c r="C17" s="37">
        <f>IF(B$3=0,0,B17/B$3)</f>
        <v>0.39745916515426499</v>
      </c>
      <c r="E17" s="63" t="s">
        <v>79</v>
      </c>
      <c r="F17" s="60" t="s">
        <v>34</v>
      </c>
      <c r="G17" s="47">
        <v>4</v>
      </c>
      <c r="H17" s="133">
        <f>IF(B$17=0,0,G17/B$17)</f>
        <v>1.8264840182648401E-2</v>
      </c>
      <c r="I17" s="94">
        <v>5</v>
      </c>
      <c r="K17" s="38">
        <v>15</v>
      </c>
      <c r="L17" s="99">
        <v>481.50000000000006</v>
      </c>
      <c r="N17" s="115" t="s">
        <v>186</v>
      </c>
      <c r="O17" s="125">
        <f>IF(P17=0,0,Q17/P17)</f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88</v>
      </c>
      <c r="C18" s="39">
        <f>IF(B$17=0,0,B18/B$17)</f>
        <v>0.40182648401826482</v>
      </c>
      <c r="E18" s="63" t="s">
        <v>92</v>
      </c>
      <c r="F18" s="60" t="s">
        <v>47</v>
      </c>
      <c r="G18" s="47">
        <v>3</v>
      </c>
      <c r="H18" s="133">
        <f>IF(B$17=0,0,G18/B$17)</f>
        <v>1.3698630136986301E-2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40.06666666666667</v>
      </c>
      <c r="P18" s="119">
        <v>9</v>
      </c>
      <c r="Q18" s="107">
        <v>360.6</v>
      </c>
    </row>
    <row r="19" spans="1:17" x14ac:dyDescent="0.4">
      <c r="A19" s="55" t="s">
        <v>11</v>
      </c>
      <c r="B19" s="47">
        <v>131</v>
      </c>
      <c r="C19" s="39">
        <f>IF(B$17=0,0,B19/B$17)</f>
        <v>0.59817351598173518</v>
      </c>
      <c r="E19" s="63" t="s">
        <v>74</v>
      </c>
      <c r="F19" s="60" t="s">
        <v>29</v>
      </c>
      <c r="G19" s="47">
        <v>2</v>
      </c>
      <c r="H19" s="133">
        <f>IF(B$17=0,0,G19/B$17)</f>
        <v>9.1324200913242004E-3</v>
      </c>
      <c r="I19" s="94">
        <v>2</v>
      </c>
      <c r="K19" s="38">
        <v>17</v>
      </c>
      <c r="L19" s="99">
        <v>427.40000000000003</v>
      </c>
      <c r="N19" s="115" t="s">
        <v>173</v>
      </c>
      <c r="O19" s="125">
        <f>IF(P19=0,0,Q19/P19)</f>
        <v>39.490909090909092</v>
      </c>
      <c r="P19" s="119">
        <v>11</v>
      </c>
      <c r="Q19" s="107">
        <v>434.4</v>
      </c>
    </row>
    <row r="20" spans="1:17" x14ac:dyDescent="0.4">
      <c r="A20" s="55" t="s">
        <v>13</v>
      </c>
      <c r="B20" s="47">
        <v>81</v>
      </c>
      <c r="C20" s="39">
        <f>IF(B$3=0,0,B20/B$3)</f>
        <v>0.14700544464609799</v>
      </c>
      <c r="E20" s="63" t="s">
        <v>76</v>
      </c>
      <c r="F20" s="60" t="s">
        <v>31</v>
      </c>
      <c r="G20" s="47">
        <v>1</v>
      </c>
      <c r="H20" s="133">
        <f>IF(B$17=0,0,G20/B$17)</f>
        <v>4.5662100456621002E-3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37.131250000000009</v>
      </c>
      <c r="P20" s="119">
        <v>16</v>
      </c>
      <c r="Q20" s="107">
        <v>594.10000000000014</v>
      </c>
    </row>
    <row r="21" spans="1:17" x14ac:dyDescent="0.4">
      <c r="A21" s="55" t="s">
        <v>193</v>
      </c>
      <c r="B21" s="47">
        <v>7</v>
      </c>
      <c r="C21" s="135">
        <v>2</v>
      </c>
      <c r="E21" s="63" t="s">
        <v>78</v>
      </c>
      <c r="F21" s="60" t="s">
        <v>33</v>
      </c>
      <c r="G21" s="47">
        <v>1</v>
      </c>
      <c r="H21" s="133">
        <f>IF(B$17=0,0,G21/B$17)</f>
        <v>4.5662100456621002E-3</v>
      </c>
      <c r="I21" s="94">
        <v>2</v>
      </c>
      <c r="K21" s="38">
        <v>19</v>
      </c>
      <c r="L21" s="99">
        <v>405.40000000000003</v>
      </c>
      <c r="N21" s="115" t="s">
        <v>128</v>
      </c>
      <c r="O21" s="125">
        <f>IF(P21=0,0,Q21/P21)</f>
        <v>26.216666666666679</v>
      </c>
      <c r="P21" s="119">
        <v>54</v>
      </c>
      <c r="Q21" s="107">
        <v>1415.7000000000007</v>
      </c>
    </row>
    <row r="22" spans="1:17" x14ac:dyDescent="0.4">
      <c r="A22" s="55" t="s">
        <v>194</v>
      </c>
      <c r="B22" s="47">
        <v>27</v>
      </c>
      <c r="C22" s="135">
        <v>2</v>
      </c>
      <c r="E22" s="63" t="s">
        <v>80</v>
      </c>
      <c r="F22" s="60" t="s">
        <v>35</v>
      </c>
      <c r="G22" s="47">
        <v>1</v>
      </c>
      <c r="H22" s="133">
        <f>IF(B$17=0,0,G22/B$17)</f>
        <v>4.5662100456621002E-3</v>
      </c>
      <c r="I22" s="94">
        <v>5</v>
      </c>
      <c r="K22" s="38">
        <v>20</v>
      </c>
      <c r="L22" s="99">
        <v>469.6</v>
      </c>
      <c r="N22" s="115" t="s">
        <v>202</v>
      </c>
      <c r="O22" s="125">
        <f>IF(P22=0,0,Q22/P22)</f>
        <v>23.1</v>
      </c>
      <c r="P22" s="119">
        <v>1</v>
      </c>
      <c r="Q22" s="107">
        <v>23.1</v>
      </c>
    </row>
    <row r="23" spans="1:17" x14ac:dyDescent="0.4">
      <c r="A23" s="55" t="s">
        <v>5</v>
      </c>
      <c r="B23" s="51">
        <f>IF(B$17=0,0,C23/B$17)</f>
        <v>9390.4109589041091</v>
      </c>
      <c r="C23" s="41">
        <v>2056500</v>
      </c>
      <c r="E23" s="63" t="s">
        <v>88</v>
      </c>
      <c r="F23" s="60" t="s">
        <v>43</v>
      </c>
      <c r="G23" s="47">
        <v>1</v>
      </c>
      <c r="H23" s="133">
        <f>IF(B$17=0,0,G23/B$17)</f>
        <v>4.5662100456621002E-3</v>
      </c>
      <c r="I23" s="94">
        <v>1</v>
      </c>
      <c r="K23" s="38">
        <v>21</v>
      </c>
      <c r="L23" s="99">
        <v>468.3</v>
      </c>
      <c r="N23" s="115" t="s">
        <v>171</v>
      </c>
      <c r="O23" s="125">
        <f>IF(P23=0,0,Q23/P23)</f>
        <v>21.029166666666658</v>
      </c>
      <c r="P23" s="119">
        <v>24</v>
      </c>
      <c r="Q23" s="107">
        <v>504.69999999999982</v>
      </c>
    </row>
    <row r="24" spans="1:17" x14ac:dyDescent="0.4">
      <c r="A24" s="57" t="s">
        <v>14</v>
      </c>
      <c r="B24" s="52">
        <f>IF(B$20=0,0,C24/B$20)</f>
        <v>-8043.2098765432102</v>
      </c>
      <c r="C24" s="45">
        <v>-651500</v>
      </c>
      <c r="E24" s="63" t="s">
        <v>91</v>
      </c>
      <c r="F24" s="60" t="s">
        <v>46</v>
      </c>
      <c r="G24" s="47">
        <v>1</v>
      </c>
      <c r="H24" s="133">
        <f>IF(B$17=0,0,G24/B$17)</f>
        <v>4.5662100456621002E-3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4.5662100456621002E-3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4.5662100456621002E-3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4.5662100456621002E-3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7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71</v>
      </c>
      <c r="C2" s="147"/>
      <c r="E2" s="62" t="s">
        <v>67</v>
      </c>
      <c r="F2" s="59" t="s">
        <v>23</v>
      </c>
      <c r="G2" s="46">
        <v>114</v>
      </c>
      <c r="H2" s="132">
        <f>IF(B$17=0,0,G2/B$17)</f>
        <v>0.66666666666666663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1329.5774647887324</v>
      </c>
      <c r="P2" s="118">
        <v>71</v>
      </c>
      <c r="Q2" s="102">
        <v>94400</v>
      </c>
    </row>
    <row r="3" spans="1:17" x14ac:dyDescent="0.4">
      <c r="A3" s="55" t="s">
        <v>8</v>
      </c>
      <c r="B3" s="148">
        <v>591</v>
      </c>
      <c r="C3" s="149"/>
      <c r="E3" s="63" t="s">
        <v>65</v>
      </c>
      <c r="F3" s="60" t="s">
        <v>21</v>
      </c>
      <c r="G3" s="47">
        <v>99</v>
      </c>
      <c r="H3" s="133">
        <f>IF(B$17=0,0,G3/B$17)</f>
        <v>0.57894736842105265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-1664.2857142857142</v>
      </c>
      <c r="P3" s="119">
        <v>70</v>
      </c>
      <c r="Q3" s="103">
        <v>-116500</v>
      </c>
    </row>
    <row r="4" spans="1:17" x14ac:dyDescent="0.4">
      <c r="A4" s="55" t="s">
        <v>6</v>
      </c>
      <c r="B4" s="150">
        <v>-110.90000000000005</v>
      </c>
      <c r="C4" s="151"/>
      <c r="E4" s="63" t="s">
        <v>73</v>
      </c>
      <c r="F4" s="60" t="s">
        <v>28</v>
      </c>
      <c r="G4" s="47">
        <v>76</v>
      </c>
      <c r="H4" s="133">
        <f>IF(B$17=0,0,G4/B$17)</f>
        <v>0.44444444444444442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-2049.2537313432836</v>
      </c>
      <c r="P4" s="119">
        <v>67</v>
      </c>
      <c r="Q4" s="103">
        <v>-137300</v>
      </c>
    </row>
    <row r="5" spans="1:17" x14ac:dyDescent="0.4">
      <c r="A5" s="55" t="s">
        <v>7</v>
      </c>
      <c r="B5" s="152">
        <f>IF(B$2=0,0,B$4/B$2)</f>
        <v>-1.5619718309859161</v>
      </c>
      <c r="C5" s="153"/>
      <c r="E5" s="63" t="s">
        <v>181</v>
      </c>
      <c r="F5" s="60" t="s">
        <v>182</v>
      </c>
      <c r="G5" s="47">
        <v>73</v>
      </c>
      <c r="H5" s="133">
        <f>IF(B$17=0,0,G5/B$17)</f>
        <v>0.42690058479532161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673.77049180327867</v>
      </c>
      <c r="P5" s="119">
        <v>61</v>
      </c>
      <c r="Q5" s="103">
        <v>41100</v>
      </c>
    </row>
    <row r="6" spans="1:17" x14ac:dyDescent="0.4">
      <c r="A6" s="55" t="s">
        <v>1</v>
      </c>
      <c r="B6" s="142">
        <f>IF(B$2=0,0,(B$7*1+B$8*2+B$9*3)/B$2)</f>
        <v>2.0422535211267605</v>
      </c>
      <c r="C6" s="143"/>
      <c r="E6" s="63" t="s">
        <v>68</v>
      </c>
      <c r="F6" s="60" t="s">
        <v>24</v>
      </c>
      <c r="G6" s="47">
        <v>60</v>
      </c>
      <c r="H6" s="133">
        <f>IF(B$17=0,0,G6/B$17)</f>
        <v>0.35087719298245612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783.92857142857144</v>
      </c>
      <c r="P6" s="119">
        <v>56</v>
      </c>
      <c r="Q6" s="103">
        <v>43900</v>
      </c>
    </row>
    <row r="7" spans="1:17" x14ac:dyDescent="0.4">
      <c r="A7" s="55" t="s">
        <v>2</v>
      </c>
      <c r="B7" s="47">
        <v>19</v>
      </c>
      <c r="C7" s="39">
        <f>IF(B$2=0,0,B7/B$2)</f>
        <v>0.26760563380281688</v>
      </c>
      <c r="E7" s="63" t="s">
        <v>69</v>
      </c>
      <c r="F7" s="60" t="s">
        <v>12</v>
      </c>
      <c r="G7" s="47">
        <v>55</v>
      </c>
      <c r="H7" s="133">
        <f>IF(B$17=0,0,G7/B$17)</f>
        <v>0.32163742690058478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443.39622641509436</v>
      </c>
      <c r="P7" s="120">
        <v>53</v>
      </c>
      <c r="Q7" s="104">
        <v>23500</v>
      </c>
    </row>
    <row r="8" spans="1:17" x14ac:dyDescent="0.4">
      <c r="A8" s="55" t="s">
        <v>3</v>
      </c>
      <c r="B8" s="47">
        <v>30</v>
      </c>
      <c r="C8" s="39">
        <f>IF(B$2=0,0,B8/B$2)</f>
        <v>0.42253521126760563</v>
      </c>
      <c r="E8" s="63" t="s">
        <v>70</v>
      </c>
      <c r="F8" s="60" t="s">
        <v>25</v>
      </c>
      <c r="G8" s="47">
        <v>36</v>
      </c>
      <c r="H8" s="133">
        <f>IF(B$17=0,0,G8/B$17)</f>
        <v>0.21052631578947367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22</v>
      </c>
      <c r="C9" s="40">
        <f t="shared" ref="C9" si="1">IF(B$2=0,0,B9/B$2)</f>
        <v>0.30985915492957744</v>
      </c>
      <c r="E9" s="63" t="s">
        <v>66</v>
      </c>
      <c r="F9" s="60" t="s">
        <v>22</v>
      </c>
      <c r="G9" s="47">
        <v>27</v>
      </c>
      <c r="H9" s="133">
        <f>IF(B$17=0,0,G9/B$17)</f>
        <v>0.15789473684210525</v>
      </c>
      <c r="I9" s="94">
        <v>2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0.12676056338028169</v>
      </c>
      <c r="E10" s="63" t="s">
        <v>71</v>
      </c>
      <c r="F10" s="60" t="s">
        <v>26</v>
      </c>
      <c r="G10" s="47">
        <v>22</v>
      </c>
      <c r="H10" s="133">
        <f>IF(B$17=0,0,G10/B$17)</f>
        <v>0.12865497076023391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-2.4969696969696975</v>
      </c>
      <c r="P10" s="118">
        <v>33</v>
      </c>
      <c r="Q10" s="106">
        <v>-82.40000000000002</v>
      </c>
    </row>
    <row r="11" spans="1:17" x14ac:dyDescent="0.4">
      <c r="A11" s="56" t="s">
        <v>140</v>
      </c>
      <c r="B11" s="48">
        <v>5</v>
      </c>
      <c r="C11" s="40">
        <f>IF(B$2=0,0,B11/B$2)</f>
        <v>7.0422535211267609E-2</v>
      </c>
      <c r="E11" s="63" t="s">
        <v>90</v>
      </c>
      <c r="F11" s="60" t="s">
        <v>45</v>
      </c>
      <c r="G11" s="47">
        <v>16</v>
      </c>
      <c r="H11" s="133">
        <f>IF(B$17=0,0,G11/B$17)</f>
        <v>9.3567251461988299E-2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5</v>
      </c>
      <c r="C12" s="42">
        <f>IF(B$2=0,0,B12/B$2)</f>
        <v>7.0422535211267609E-2</v>
      </c>
      <c r="E12" s="63" t="s">
        <v>87</v>
      </c>
      <c r="F12" s="60" t="s">
        <v>42</v>
      </c>
      <c r="G12" s="47">
        <v>10</v>
      </c>
      <c r="H12" s="133">
        <f>IF(B$17=0,0,G12/B$17)</f>
        <v>5.8479532163742687E-2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6.1222222222222227</v>
      </c>
      <c r="P12" s="120">
        <v>18</v>
      </c>
      <c r="Q12" s="108">
        <v>110.2</v>
      </c>
    </row>
    <row r="13" spans="1:17" x14ac:dyDescent="0.4">
      <c r="A13" s="58" t="s">
        <v>122</v>
      </c>
      <c r="B13" s="50">
        <v>163</v>
      </c>
      <c r="C13" s="44">
        <f>IF(B$3=0,0,B13/B$3)</f>
        <v>0.27580372250423013</v>
      </c>
      <c r="E13" s="63" t="s">
        <v>82</v>
      </c>
      <c r="F13" s="60" t="s">
        <v>37</v>
      </c>
      <c r="G13" s="47">
        <v>8</v>
      </c>
      <c r="H13" s="133">
        <f>IF(B$17=0,0,G13/B$17)</f>
        <v>4.6783625730994149E-2</v>
      </c>
      <c r="I13" s="94">
        <v>2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</v>
      </c>
      <c r="C14" s="39">
        <f>IF(B$3=0,0,B14/B$3)</f>
        <v>0.19289340101522842</v>
      </c>
      <c r="E14" s="63" t="s">
        <v>72</v>
      </c>
      <c r="F14" s="60" t="s">
        <v>27</v>
      </c>
      <c r="G14" s="47">
        <v>6</v>
      </c>
      <c r="H14" s="133">
        <f>IF(B$17=0,0,G14/B$17)</f>
        <v>3.5087719298245612E-2</v>
      </c>
      <c r="I14" s="94">
        <v>7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105</v>
      </c>
      <c r="C15" s="37">
        <f>IF(B$13=0,0,B15/B$13)</f>
        <v>0.64417177914110424</v>
      </c>
      <c r="E15" s="63" t="s">
        <v>84</v>
      </c>
      <c r="F15" s="60" t="s">
        <v>39</v>
      </c>
      <c r="G15" s="47">
        <v>5</v>
      </c>
      <c r="H15" s="133">
        <f>IF(B$17=0,0,G15/B$17)</f>
        <v>2.9239766081871343E-2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32</v>
      </c>
      <c r="C16" s="37">
        <f>IF(B$14=0,0,B16/B$14)</f>
        <v>0.2807017543859649</v>
      </c>
      <c r="E16" s="63" t="s">
        <v>92</v>
      </c>
      <c r="F16" s="60" t="s">
        <v>47</v>
      </c>
      <c r="G16" s="47">
        <v>5</v>
      </c>
      <c r="H16" s="133">
        <f>IF(B$17=0,0,G16/B$17)</f>
        <v>2.9239766081871343E-2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171</v>
      </c>
      <c r="C17" s="37">
        <f>IF(B$3=0,0,B17/B$3)</f>
        <v>0.28934010152284262</v>
      </c>
      <c r="E17" s="63" t="s">
        <v>180</v>
      </c>
      <c r="F17" s="60" t="s">
        <v>183</v>
      </c>
      <c r="G17" s="47">
        <v>4</v>
      </c>
      <c r="H17" s="133">
        <f>IF(B$17=0,0,G17/B$17)</f>
        <v>2.3391812865497075E-2</v>
      </c>
      <c r="I17" s="94">
        <v>2</v>
      </c>
      <c r="K17" s="38">
        <v>15</v>
      </c>
      <c r="L17" s="99">
        <v>47.999999999999986</v>
      </c>
      <c r="N17" s="115" t="s">
        <v>171</v>
      </c>
      <c r="O17" s="125">
        <f>IF(P17=0,0,Q17/P17)</f>
        <v>10.050000000000008</v>
      </c>
      <c r="P17" s="119">
        <v>20</v>
      </c>
      <c r="Q17" s="107">
        <v>201.00000000000017</v>
      </c>
    </row>
    <row r="18" spans="1:17" x14ac:dyDescent="0.4">
      <c r="A18" s="55" t="s">
        <v>12</v>
      </c>
      <c r="B18" s="47">
        <v>67</v>
      </c>
      <c r="C18" s="39">
        <f>IF(B$17=0,0,B18/B$17)</f>
        <v>0.391812865497076</v>
      </c>
      <c r="E18" s="63" t="s">
        <v>75</v>
      </c>
      <c r="F18" s="60" t="s">
        <v>30</v>
      </c>
      <c r="G18" s="47">
        <v>2</v>
      </c>
      <c r="H18" s="133">
        <f>IF(B$17=0,0,G18/B$17)</f>
        <v>1.1695906432748537E-2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>IF(P18=0,0,Q18/P18)</f>
        <v>9.4666666666666668</v>
      </c>
      <c r="P18" s="119">
        <v>18</v>
      </c>
      <c r="Q18" s="107">
        <v>170.4</v>
      </c>
    </row>
    <row r="19" spans="1:17" x14ac:dyDescent="0.4">
      <c r="A19" s="55" t="s">
        <v>11</v>
      </c>
      <c r="B19" s="47">
        <v>104</v>
      </c>
      <c r="C19" s="39">
        <f>IF(B$17=0,0,B19/B$17)</f>
        <v>0.60818713450292394</v>
      </c>
      <c r="E19" s="63" t="s">
        <v>76</v>
      </c>
      <c r="F19" s="60" t="s">
        <v>31</v>
      </c>
      <c r="G19" s="47">
        <v>2</v>
      </c>
      <c r="H19" s="133">
        <f>IF(B$17=0,0,G19/B$17)</f>
        <v>1.1695906432748537E-2</v>
      </c>
      <c r="I19" s="94">
        <v>3</v>
      </c>
      <c r="K19" s="38">
        <v>17</v>
      </c>
      <c r="L19" s="99">
        <v>94.6</v>
      </c>
      <c r="N19" s="115" t="s">
        <v>177</v>
      </c>
      <c r="O19" s="125">
        <f>IF(P19=0,0,Q19/P19)</f>
        <v>8.1666666666666661</v>
      </c>
      <c r="P19" s="119">
        <v>12</v>
      </c>
      <c r="Q19" s="107">
        <v>98</v>
      </c>
    </row>
    <row r="20" spans="1:17" x14ac:dyDescent="0.4">
      <c r="A20" s="55" t="s">
        <v>13</v>
      </c>
      <c r="B20" s="47">
        <v>103</v>
      </c>
      <c r="C20" s="39">
        <f>IF(B$3=0,0,B20/B$3)</f>
        <v>0.17428087986463622</v>
      </c>
      <c r="E20" s="63" t="s">
        <v>79</v>
      </c>
      <c r="F20" s="60" t="s">
        <v>34</v>
      </c>
      <c r="G20" s="47">
        <v>2</v>
      </c>
      <c r="H20" s="133">
        <f>IF(B$17=0,0,G20/B$17)</f>
        <v>1.1695906432748537E-2</v>
      </c>
      <c r="I20" s="94">
        <v>7</v>
      </c>
      <c r="K20" s="38">
        <v>18</v>
      </c>
      <c r="L20" s="99">
        <v>116.69999999999999</v>
      </c>
      <c r="N20" s="115" t="s">
        <v>173</v>
      </c>
      <c r="O20" s="125">
        <f>IF(P20=0,0,Q20/P20)</f>
        <v>-4.3500000000000014</v>
      </c>
      <c r="P20" s="119">
        <v>16</v>
      </c>
      <c r="Q20" s="107">
        <v>-69.600000000000023</v>
      </c>
    </row>
    <row r="21" spans="1:17" x14ac:dyDescent="0.4">
      <c r="A21" s="55" t="s">
        <v>193</v>
      </c>
      <c r="B21" s="47">
        <v>5</v>
      </c>
      <c r="C21" s="135">
        <v>1</v>
      </c>
      <c r="E21" s="63" t="s">
        <v>80</v>
      </c>
      <c r="F21" s="60" t="s">
        <v>35</v>
      </c>
      <c r="G21" s="47">
        <v>2</v>
      </c>
      <c r="H21" s="133">
        <f>IF(B$17=0,0,G21/B$17)</f>
        <v>1.1695906432748537E-2</v>
      </c>
      <c r="I21" s="94">
        <v>3</v>
      </c>
      <c r="K21" s="38">
        <v>19</v>
      </c>
      <c r="L21" s="99">
        <v>138.79999999999998</v>
      </c>
      <c r="N21" s="115" t="s">
        <v>127</v>
      </c>
      <c r="O21" s="125">
        <f>IF(P21=0,0,Q21/P21)</f>
        <v>-26.216666666666679</v>
      </c>
      <c r="P21" s="119">
        <v>54</v>
      </c>
      <c r="Q21" s="107">
        <v>-1415.7000000000007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74</v>
      </c>
      <c r="F22" s="60" t="s">
        <v>29</v>
      </c>
      <c r="G22" s="47">
        <v>1</v>
      </c>
      <c r="H22" s="133">
        <f>IF(B$17=0,0,G22/B$17)</f>
        <v>5.8479532163742687E-3</v>
      </c>
      <c r="I22" s="94">
        <v>3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8745.0292397660814</v>
      </c>
      <c r="C23" s="41">
        <v>1495400</v>
      </c>
      <c r="E23" s="63" t="s">
        <v>78</v>
      </c>
      <c r="F23" s="60" t="s">
        <v>33</v>
      </c>
      <c r="G23" s="47">
        <v>1</v>
      </c>
      <c r="H23" s="133">
        <f>IF(B$17=0,0,G23/B$17)</f>
        <v>5.8479532163742687E-3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-7454.3689320388348</v>
      </c>
      <c r="C24" s="45">
        <v>-767800</v>
      </c>
      <c r="E24" s="63" t="s">
        <v>85</v>
      </c>
      <c r="F24" s="60" t="s">
        <v>40</v>
      </c>
      <c r="G24" s="47">
        <v>1</v>
      </c>
      <c r="H24" s="133">
        <f>IF(B$17=0,0,G24/B$17)</f>
        <v>5.8479532163742687E-3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5.8479532163742687E-3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94000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5.8479532163742687E-3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6.7681895093062603E-3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27</v>
      </c>
      <c r="C2" s="147"/>
      <c r="E2" s="62" t="s">
        <v>67</v>
      </c>
      <c r="F2" s="59" t="s">
        <v>23</v>
      </c>
      <c r="G2" s="46">
        <v>36</v>
      </c>
      <c r="H2" s="132">
        <f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-3385.1851851851852</v>
      </c>
      <c r="P2" s="118">
        <v>27</v>
      </c>
      <c r="Q2" s="102">
        <v>-91400</v>
      </c>
    </row>
    <row r="3" spans="1:17" x14ac:dyDescent="0.4">
      <c r="A3" s="55" t="s">
        <v>8</v>
      </c>
      <c r="B3" s="148">
        <v>222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-4581.4814814814818</v>
      </c>
      <c r="P3" s="119">
        <v>27</v>
      </c>
      <c r="Q3" s="103">
        <v>-123700</v>
      </c>
    </row>
    <row r="4" spans="1:17" x14ac:dyDescent="0.4">
      <c r="A4" s="55" t="s">
        <v>6</v>
      </c>
      <c r="B4" s="150">
        <v>-876.19999999999993</v>
      </c>
      <c r="C4" s="151"/>
      <c r="E4" s="63" t="s">
        <v>69</v>
      </c>
      <c r="F4" s="60" t="s">
        <v>12</v>
      </c>
      <c r="G4" s="47">
        <v>17</v>
      </c>
      <c r="H4" s="133">
        <f>IF(B$17=0,0,G4/B$17)</f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-3591.6666666666665</v>
      </c>
      <c r="P4" s="119">
        <v>24</v>
      </c>
      <c r="Q4" s="103">
        <v>-86200</v>
      </c>
    </row>
    <row r="5" spans="1:17" x14ac:dyDescent="0.4">
      <c r="A5" s="55" t="s">
        <v>7</v>
      </c>
      <c r="B5" s="152">
        <f>IF(B$2=0,0,B$4/B$2)</f>
        <v>-32.451851851851849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-7028.5714285714284</v>
      </c>
      <c r="P5" s="119">
        <v>21</v>
      </c>
      <c r="Q5" s="103">
        <v>-147600</v>
      </c>
    </row>
    <row r="6" spans="1:17" x14ac:dyDescent="0.4">
      <c r="A6" s="55" t="s">
        <v>1</v>
      </c>
      <c r="B6" s="142">
        <f>IF(B$2=0,0,(B$7*1+B$8*2+B$9*3)/B$2)</f>
        <v>2.5555555555555554</v>
      </c>
      <c r="C6" s="143"/>
      <c r="E6" s="63" t="s">
        <v>181</v>
      </c>
      <c r="F6" s="60" t="s">
        <v>182</v>
      </c>
      <c r="G6" s="47">
        <v>14</v>
      </c>
      <c r="H6" s="133">
        <f>IF(B$17=0,0,G6/B$17)</f>
        <v>0.34146341463414637</v>
      </c>
      <c r="I6" s="94">
        <v>7</v>
      </c>
      <c r="K6" s="38">
        <v>4</v>
      </c>
      <c r="L6" s="99">
        <v>-31.4</v>
      </c>
      <c r="N6" s="115" t="s">
        <v>136</v>
      </c>
      <c r="O6" s="122">
        <f t="shared" si="0"/>
        <v>-3700</v>
      </c>
      <c r="P6" s="119">
        <v>19</v>
      </c>
      <c r="Q6" s="103">
        <v>-70300</v>
      </c>
    </row>
    <row r="7" spans="1:17" x14ac:dyDescent="0.4">
      <c r="A7" s="55" t="s">
        <v>2</v>
      </c>
      <c r="B7" s="47">
        <v>3</v>
      </c>
      <c r="C7" s="39">
        <f>IF(B$2=0,0,B7/B$2)</f>
        <v>0.1111111111111111</v>
      </c>
      <c r="E7" s="63" t="s">
        <v>73</v>
      </c>
      <c r="F7" s="60" t="s">
        <v>28</v>
      </c>
      <c r="G7" s="47">
        <v>12</v>
      </c>
      <c r="H7" s="133">
        <f>IF(B$17=0,0,G7/B$17)</f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-2116.6666666666665</v>
      </c>
      <c r="P7" s="120">
        <v>18</v>
      </c>
      <c r="Q7" s="104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0.22222222222222221</v>
      </c>
      <c r="E8" s="63" t="s">
        <v>71</v>
      </c>
      <c r="F8" s="60" t="s">
        <v>26</v>
      </c>
      <c r="G8" s="47">
        <v>9</v>
      </c>
      <c r="H8" s="133">
        <f>IF(B$17=0,0,G8/B$17)</f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0.66666666666666663</v>
      </c>
      <c r="E9" s="63" t="s">
        <v>70</v>
      </c>
      <c r="F9" s="60" t="s">
        <v>25</v>
      </c>
      <c r="G9" s="47">
        <v>8</v>
      </c>
      <c r="H9" s="133">
        <f>IF(B$17=0,0,G9/B$17)</f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0.29629629629629628</v>
      </c>
      <c r="E10" s="63" t="s">
        <v>72</v>
      </c>
      <c r="F10" s="60" t="s">
        <v>27</v>
      </c>
      <c r="G10" s="47">
        <v>5</v>
      </c>
      <c r="H10" s="133">
        <f>IF(B$17=0,0,G10/B$17)</f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-32.749999999999993</v>
      </c>
      <c r="P10" s="118">
        <v>10</v>
      </c>
      <c r="Q10" s="106">
        <v>-327.49999999999994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>IF(B$17=0,0,G11/B$17)</f>
        <v>0.12195121951219512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3.7037037037037035E-2</v>
      </c>
      <c r="E12" s="63" t="s">
        <v>66</v>
      </c>
      <c r="F12" s="60" t="s">
        <v>22</v>
      </c>
      <c r="G12" s="47">
        <v>4</v>
      </c>
      <c r="H12" s="133">
        <f>IF(B$17=0,0,G12/B$17)</f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-33.971428571428568</v>
      </c>
      <c r="P12" s="120">
        <v>7</v>
      </c>
      <c r="Q12" s="108">
        <v>-237.79999999999998</v>
      </c>
    </row>
    <row r="13" spans="1:17" x14ac:dyDescent="0.4">
      <c r="A13" s="58" t="s">
        <v>122</v>
      </c>
      <c r="B13" s="50">
        <v>54</v>
      </c>
      <c r="C13" s="44">
        <f>IF(B$3=0,0,B13/B$3)</f>
        <v>0.24324324324324326</v>
      </c>
      <c r="E13" s="63" t="s">
        <v>87</v>
      </c>
      <c r="F13" s="60" t="s">
        <v>42</v>
      </c>
      <c r="G13" s="47">
        <v>2</v>
      </c>
      <c r="H13" s="133">
        <f>IF(B$17=0,0,G13/B$17)</f>
        <v>4.878048780487805E-2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0.13513513513513514</v>
      </c>
      <c r="E14" s="63" t="s">
        <v>79</v>
      </c>
      <c r="F14" s="60" t="s">
        <v>34</v>
      </c>
      <c r="G14" s="47">
        <v>1</v>
      </c>
      <c r="H14" s="133">
        <f>IF(B$17=0,0,G14/B$17)</f>
        <v>2.4390243902439025E-2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0.48148148148148145</v>
      </c>
      <c r="E15" s="63" t="s">
        <v>84</v>
      </c>
      <c r="F15" s="60" t="s">
        <v>39</v>
      </c>
      <c r="G15" s="47">
        <v>1</v>
      </c>
      <c r="H15" s="133">
        <f>IF(B$17=0,0,G15/B$17)</f>
        <v>2.4390243902439025E-2</v>
      </c>
      <c r="I15" s="94">
        <v>9</v>
      </c>
      <c r="K15" s="38">
        <v>13</v>
      </c>
      <c r="L15" s="99">
        <v>-369.1</v>
      </c>
      <c r="N15" s="114" t="s">
        <v>177</v>
      </c>
      <c r="O15" s="124">
        <f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0.13333333333333333</v>
      </c>
      <c r="E16" s="63" t="s">
        <v>89</v>
      </c>
      <c r="F16" s="60" t="s">
        <v>44</v>
      </c>
      <c r="G16" s="47">
        <v>1</v>
      </c>
      <c r="H16" s="133">
        <f>IF(B$17=0,0,G16/B$17)</f>
        <v>2.4390243902439025E-2</v>
      </c>
      <c r="I16" s="94">
        <v>1</v>
      </c>
      <c r="K16" s="38">
        <v>14</v>
      </c>
      <c r="L16" s="99">
        <v>-394.6</v>
      </c>
      <c r="N16" s="115" t="s">
        <v>173</v>
      </c>
      <c r="O16" s="125">
        <f>IF(P16=0,0,Q16/P16)</f>
        <v>-19.3</v>
      </c>
      <c r="P16" s="119">
        <v>4</v>
      </c>
      <c r="Q16" s="107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0.18468468468468469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-424.5</v>
      </c>
      <c r="N17" s="115" t="s">
        <v>128</v>
      </c>
      <c r="O17" s="125">
        <f>IF(P17=0,0,Q17/P17)</f>
        <v>-23.638888888888886</v>
      </c>
      <c r="P17" s="119">
        <v>18</v>
      </c>
      <c r="Q17" s="107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>IF(P18=0,0,Q18/P18)</f>
        <v>-60.438888888888904</v>
      </c>
      <c r="P18" s="119">
        <v>18</v>
      </c>
      <c r="Q18" s="107">
        <v>-1087.9000000000003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51</v>
      </c>
      <c r="C20" s="39">
        <f>IF(B$3=0,0,B20/B$3)</f>
        <v>0.22972972972972974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4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-10100</v>
      </c>
      <c r="C24" s="45">
        <v>-515100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4.5045045045045045E-3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57</v>
      </c>
      <c r="H2" s="132">
        <f>IF(B$17=0,0,G2/B$17)</f>
        <v>0.70370370370370372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-505.12820512820514</v>
      </c>
      <c r="P2" s="118">
        <v>39</v>
      </c>
      <c r="Q2" s="102">
        <v>-19700</v>
      </c>
    </row>
    <row r="3" spans="1:17" x14ac:dyDescent="0.4">
      <c r="A3" s="55" t="s">
        <v>8</v>
      </c>
      <c r="B3" s="148">
        <v>327</v>
      </c>
      <c r="C3" s="149"/>
      <c r="E3" s="63" t="s">
        <v>65</v>
      </c>
      <c r="F3" s="60" t="s">
        <v>21</v>
      </c>
      <c r="G3" s="47">
        <v>44</v>
      </c>
      <c r="H3" s="133">
        <f>IF(B$17=0,0,G3/B$17)</f>
        <v>0.54320987654320985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676.92307692307691</v>
      </c>
      <c r="P3" s="119">
        <v>39</v>
      </c>
      <c r="Q3" s="103">
        <v>26400</v>
      </c>
    </row>
    <row r="4" spans="1:17" x14ac:dyDescent="0.4">
      <c r="A4" s="55" t="s">
        <v>6</v>
      </c>
      <c r="B4" s="150">
        <v>-71.3</v>
      </c>
      <c r="C4" s="151"/>
      <c r="E4" s="63" t="s">
        <v>73</v>
      </c>
      <c r="F4" s="60" t="s">
        <v>28</v>
      </c>
      <c r="G4" s="47">
        <v>39</v>
      </c>
      <c r="H4" s="133">
        <f>IF(B$17=0,0,G4/B$17)</f>
        <v>0.48148148148148145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1058.3333333333333</v>
      </c>
      <c r="P4" s="119">
        <v>36</v>
      </c>
      <c r="Q4" s="103">
        <v>38100</v>
      </c>
    </row>
    <row r="5" spans="1:17" x14ac:dyDescent="0.4">
      <c r="A5" s="55" t="s">
        <v>7</v>
      </c>
      <c r="B5" s="152">
        <f>IF(B$2=0,0,B$4/B$2)</f>
        <v>-1.8282051282051281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0.30864197530864196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-324.24242424242425</v>
      </c>
      <c r="P5" s="119">
        <v>33</v>
      </c>
      <c r="Q5" s="103">
        <v>-10700</v>
      </c>
    </row>
    <row r="6" spans="1:17" x14ac:dyDescent="0.4">
      <c r="A6" s="55" t="s">
        <v>1</v>
      </c>
      <c r="B6" s="142">
        <f>IF(B$2=0,0,(B$7*1+B$8*2+B$9*3)/B$2)</f>
        <v>2.1025641025641026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0.24691358024691357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-970</v>
      </c>
      <c r="P6" s="119">
        <v>30</v>
      </c>
      <c r="Q6" s="103">
        <v>-29100</v>
      </c>
    </row>
    <row r="7" spans="1:17" x14ac:dyDescent="0.4">
      <c r="A7" s="55" t="s">
        <v>2</v>
      </c>
      <c r="B7" s="47">
        <v>10</v>
      </c>
      <c r="C7" s="39">
        <f>IF(B$2=0,0,B7/B$2)</f>
        <v>0.25641025641025639</v>
      </c>
      <c r="E7" s="63" t="s">
        <v>69</v>
      </c>
      <c r="F7" s="60" t="s">
        <v>12</v>
      </c>
      <c r="G7" s="47">
        <v>20</v>
      </c>
      <c r="H7" s="133">
        <f>IF(B$17=0,0,G7/B$17)</f>
        <v>0.24691358024691357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242.85714285714286</v>
      </c>
      <c r="P7" s="120">
        <v>28</v>
      </c>
      <c r="Q7" s="104">
        <v>6800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70</v>
      </c>
      <c r="F8" s="60" t="s">
        <v>25</v>
      </c>
      <c r="G8" s="47">
        <v>18</v>
      </c>
      <c r="H8" s="133">
        <f>IF(B$17=0,0,G8/B$17)</f>
        <v>0.22222222222222221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0.35897435897435898</v>
      </c>
      <c r="E9" s="63" t="s">
        <v>66</v>
      </c>
      <c r="F9" s="60" t="s">
        <v>22</v>
      </c>
      <c r="G9" s="47">
        <v>13</v>
      </c>
      <c r="H9" s="133">
        <f>IF(B$17=0,0,G9/B$17)</f>
        <v>0.16049382716049382</v>
      </c>
      <c r="I9" s="94">
        <v>1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2.564102564102564E-2</v>
      </c>
      <c r="E10" s="63" t="s">
        <v>71</v>
      </c>
      <c r="F10" s="60" t="s">
        <v>26</v>
      </c>
      <c r="G10" s="47">
        <v>11</v>
      </c>
      <c r="H10" s="133">
        <f>IF(B$17=0,0,G10/B$17)</f>
        <v>0.13580246913580246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0.12820512820512819</v>
      </c>
      <c r="E11" s="63" t="s">
        <v>90</v>
      </c>
      <c r="F11" s="60" t="s">
        <v>45</v>
      </c>
      <c r="G11" s="47">
        <v>11</v>
      </c>
      <c r="H11" s="133">
        <f>IF(B$17=0,0,G11/B$17)</f>
        <v>0.13580246913580246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-8.8812499999999979</v>
      </c>
      <c r="P11" s="119">
        <v>16</v>
      </c>
      <c r="Q11" s="107">
        <v>-142.09999999999997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87</v>
      </c>
      <c r="F12" s="60" t="s">
        <v>42</v>
      </c>
      <c r="G12" s="47">
        <v>7</v>
      </c>
      <c r="H12" s="133">
        <f>IF(B$17=0,0,G12/B$17)</f>
        <v>8.6419753086419748E-2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82</v>
      </c>
      <c r="C13" s="44">
        <f>IF(B$3=0,0,B13/B$3)</f>
        <v>0.25076452599388377</v>
      </c>
      <c r="E13" s="63" t="s">
        <v>72</v>
      </c>
      <c r="F13" s="60" t="s">
        <v>27</v>
      </c>
      <c r="G13" s="47">
        <v>6</v>
      </c>
      <c r="H13" s="133">
        <f>IF(B$17=0,0,G13/B$17)</f>
        <v>7.407407407407407E-2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0.16819571865443425</v>
      </c>
      <c r="E14" s="63" t="s">
        <v>84</v>
      </c>
      <c r="F14" s="60" t="s">
        <v>39</v>
      </c>
      <c r="G14" s="47">
        <v>4</v>
      </c>
      <c r="H14" s="133">
        <f>IF(B$17=0,0,G14/B$17)</f>
        <v>4.9382716049382713E-2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0.57317073170731703</v>
      </c>
      <c r="E15" s="63" t="s">
        <v>79</v>
      </c>
      <c r="F15" s="60" t="s">
        <v>34</v>
      </c>
      <c r="G15" s="47">
        <v>3</v>
      </c>
      <c r="H15" s="133">
        <f>IF(B$17=0,0,G15/B$17)</f>
        <v>3.7037037037037035E-2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17</v>
      </c>
      <c r="C16" s="37">
        <f>IF(B$14=0,0,B16/B$14)</f>
        <v>0.30909090909090908</v>
      </c>
      <c r="E16" s="63" t="s">
        <v>76</v>
      </c>
      <c r="F16" s="60" t="s">
        <v>31</v>
      </c>
      <c r="G16" s="47">
        <v>2</v>
      </c>
      <c r="H16" s="133">
        <f>IF(B$17=0,0,G16/B$17)</f>
        <v>2.4691358024691357E-2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0.24770642201834864</v>
      </c>
      <c r="E17" s="63" t="s">
        <v>93</v>
      </c>
      <c r="F17" s="60" t="s">
        <v>48</v>
      </c>
      <c r="G17" s="47">
        <v>2</v>
      </c>
      <c r="H17" s="133">
        <f>IF(B$17=0,0,G17/B$17)</f>
        <v>2.4691358024691357E-2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14.875</v>
      </c>
      <c r="P17" s="119">
        <v>12</v>
      </c>
      <c r="Q17" s="107">
        <v>178.5</v>
      </c>
    </row>
    <row r="18" spans="1:17" x14ac:dyDescent="0.4">
      <c r="A18" s="55" t="s">
        <v>12</v>
      </c>
      <c r="B18" s="47">
        <v>28</v>
      </c>
      <c r="C18" s="39">
        <f>IF(B$17=0,0,B18/B$17)</f>
        <v>0.34567901234567899</v>
      </c>
      <c r="E18" s="63" t="s">
        <v>180</v>
      </c>
      <c r="F18" s="60" t="s">
        <v>183</v>
      </c>
      <c r="G18" s="47">
        <v>2</v>
      </c>
      <c r="H18" s="133">
        <f>IF(B$17=0,0,G18/B$17)</f>
        <v>2.4691358024691357E-2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53</v>
      </c>
      <c r="C19" s="39">
        <f>IF(B$17=0,0,B19/B$17)</f>
        <v>0.65432098765432101</v>
      </c>
      <c r="E19" s="63" t="s">
        <v>82</v>
      </c>
      <c r="F19" s="60" t="s">
        <v>37</v>
      </c>
      <c r="G19" s="47">
        <v>1</v>
      </c>
      <c r="H19" s="133">
        <f>IF(B$17=0,0,G19/B$17)</f>
        <v>1.2345679012345678E-2</v>
      </c>
      <c r="I19" s="94">
        <v>6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0.15596330275229359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-21.029166666666665</v>
      </c>
      <c r="P21" s="119">
        <v>24</v>
      </c>
      <c r="Q21" s="107">
        <v>-504.69999999999993</v>
      </c>
    </row>
    <row r="22" spans="1:17" x14ac:dyDescent="0.4">
      <c r="A22" s="55" t="s">
        <v>194</v>
      </c>
      <c r="B22" s="47">
        <v>20</v>
      </c>
      <c r="C22" s="135">
        <v>8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8769.1358024691363</v>
      </c>
      <c r="C23" s="41">
        <v>710300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3.0581039755351682E-3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topLeftCell="E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33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0.74489795918367352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1830.3030303030303</v>
      </c>
      <c r="P2" s="118">
        <v>33</v>
      </c>
      <c r="Q2" s="102">
        <v>60400</v>
      </c>
    </row>
    <row r="3" spans="1:17" x14ac:dyDescent="0.4">
      <c r="A3" s="55" t="s">
        <v>8</v>
      </c>
      <c r="B3" s="148">
        <v>282</v>
      </c>
      <c r="C3" s="149"/>
      <c r="E3" s="63" t="s">
        <v>73</v>
      </c>
      <c r="F3" s="60" t="s">
        <v>28</v>
      </c>
      <c r="G3" s="47">
        <v>64</v>
      </c>
      <c r="H3" s="133">
        <f>IF(B$17=0,0,G3/B$17)</f>
        <v>0.65306122448979587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109.09090909090909</v>
      </c>
      <c r="P3" s="119">
        <v>33</v>
      </c>
      <c r="Q3" s="103">
        <v>3600</v>
      </c>
    </row>
    <row r="4" spans="1:17" x14ac:dyDescent="0.4">
      <c r="A4" s="55" t="s">
        <v>6</v>
      </c>
      <c r="B4" s="150">
        <v>42.500000000000007</v>
      </c>
      <c r="C4" s="151"/>
      <c r="E4" s="63" t="s">
        <v>65</v>
      </c>
      <c r="F4" s="60" t="s">
        <v>21</v>
      </c>
      <c r="G4" s="47">
        <v>36</v>
      </c>
      <c r="H4" s="133">
        <f>IF(B$17=0,0,G4/B$17)</f>
        <v>0.36734693877551022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1140.7407407407406</v>
      </c>
      <c r="P4" s="119">
        <v>27</v>
      </c>
      <c r="Q4" s="103">
        <v>30800</v>
      </c>
    </row>
    <row r="5" spans="1:17" x14ac:dyDescent="0.4">
      <c r="A5" s="55" t="s">
        <v>7</v>
      </c>
      <c r="B5" s="152">
        <f>IF(B$2=0,0,B$4/B$2)</f>
        <v>1.2878787878787881</v>
      </c>
      <c r="C5" s="153"/>
      <c r="E5" s="63" t="s">
        <v>181</v>
      </c>
      <c r="F5" s="60" t="s">
        <v>182</v>
      </c>
      <c r="G5" s="47">
        <v>36</v>
      </c>
      <c r="H5" s="133">
        <f>IF(B$17=0,0,G5/B$17)</f>
        <v>0.36734693877551022</v>
      </c>
      <c r="I5" s="94">
        <v>6</v>
      </c>
      <c r="K5" s="38">
        <v>3</v>
      </c>
      <c r="L5" s="99">
        <v>1.7999999999999989</v>
      </c>
      <c r="N5" s="115" t="s">
        <v>135</v>
      </c>
      <c r="O5" s="122">
        <f t="shared" si="0"/>
        <v>292.30769230769232</v>
      </c>
      <c r="P5" s="119">
        <v>26</v>
      </c>
      <c r="Q5" s="103">
        <v>7600</v>
      </c>
    </row>
    <row r="6" spans="1:17" x14ac:dyDescent="0.4">
      <c r="A6" s="55" t="s">
        <v>1</v>
      </c>
      <c r="B6" s="142">
        <f>IF(B$2=0,0,(B$7*1+B$8*2+B$9*3)/B$2)</f>
        <v>2.0909090909090908</v>
      </c>
      <c r="C6" s="143"/>
      <c r="E6" s="63" t="s">
        <v>69</v>
      </c>
      <c r="F6" s="60" t="s">
        <v>12</v>
      </c>
      <c r="G6" s="47">
        <v>26</v>
      </c>
      <c r="H6" s="133">
        <f>IF(B$17=0,0,G6/B$17)</f>
        <v>0.26530612244897961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-816</v>
      </c>
      <c r="P6" s="119">
        <v>25</v>
      </c>
      <c r="Q6" s="103">
        <v>-20400</v>
      </c>
    </row>
    <row r="7" spans="1:17" x14ac:dyDescent="0.4">
      <c r="A7" s="55" t="s">
        <v>2</v>
      </c>
      <c r="B7" s="47">
        <v>10</v>
      </c>
      <c r="C7" s="39">
        <f>IF(B$2=0,0,B7/B$2)</f>
        <v>0.30303030303030304</v>
      </c>
      <c r="E7" s="63" t="s">
        <v>68</v>
      </c>
      <c r="F7" s="60" t="s">
        <v>24</v>
      </c>
      <c r="G7" s="47">
        <v>18</v>
      </c>
      <c r="H7" s="133">
        <f>IF(B$17=0,0,G7/B$17)</f>
        <v>0.18367346938775511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-1527.2727272727273</v>
      </c>
      <c r="P7" s="120">
        <v>22</v>
      </c>
      <c r="Q7" s="104">
        <v>-33600</v>
      </c>
    </row>
    <row r="8" spans="1:17" x14ac:dyDescent="0.4">
      <c r="A8" s="55" t="s">
        <v>3</v>
      </c>
      <c r="B8" s="47">
        <v>10</v>
      </c>
      <c r="C8" s="39">
        <f>IF(B$2=0,0,B8/B$2)</f>
        <v>0.30303030303030304</v>
      </c>
      <c r="E8" s="63" t="s">
        <v>70</v>
      </c>
      <c r="F8" s="60" t="s">
        <v>25</v>
      </c>
      <c r="G8" s="47">
        <v>13</v>
      </c>
      <c r="H8" s="133">
        <f>IF(B$17=0,0,G8/B$17)</f>
        <v>0.1326530612244898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0.39393939393939392</v>
      </c>
      <c r="E9" s="63" t="s">
        <v>66</v>
      </c>
      <c r="F9" s="60" t="s">
        <v>22</v>
      </c>
      <c r="G9" s="47">
        <v>8</v>
      </c>
      <c r="H9" s="133">
        <f>IF(B$17=0,0,G9/B$17)</f>
        <v>8.1632653061224483E-2</v>
      </c>
      <c r="I9" s="94">
        <v>8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6.0606060606060608E-2</v>
      </c>
      <c r="E10" s="63" t="s">
        <v>71</v>
      </c>
      <c r="F10" s="60" t="s">
        <v>26</v>
      </c>
      <c r="G10" s="47">
        <v>8</v>
      </c>
      <c r="H10" s="133">
        <f>IF(B$17=0,0,G10/B$17)</f>
        <v>8.1632653061224483E-2</v>
      </c>
      <c r="I10" s="94">
        <v>8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0.15151515151515152</v>
      </c>
      <c r="E11" s="63" t="s">
        <v>90</v>
      </c>
      <c r="F11" s="60" t="s">
        <v>45</v>
      </c>
      <c r="G11" s="47">
        <v>8</v>
      </c>
      <c r="H11" s="133">
        <f>IF(B$17=0,0,G11/B$17)</f>
        <v>8.1632653061224483E-2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19.977777777777774</v>
      </c>
      <c r="P11" s="119">
        <v>9</v>
      </c>
      <c r="Q11" s="107">
        <v>179.79999999999998</v>
      </c>
    </row>
    <row r="12" spans="1:17" x14ac:dyDescent="0.4">
      <c r="A12" s="57" t="s">
        <v>160</v>
      </c>
      <c r="B12" s="49">
        <v>2</v>
      </c>
      <c r="C12" s="42">
        <f>IF(B$2=0,0,B12/B$2)</f>
        <v>6.0606060606060608E-2</v>
      </c>
      <c r="E12" s="63" t="s">
        <v>84</v>
      </c>
      <c r="F12" s="60" t="s">
        <v>39</v>
      </c>
      <c r="G12" s="47">
        <v>7</v>
      </c>
      <c r="H12" s="133">
        <f>IF(B$17=0,0,G12/B$17)</f>
        <v>7.1428571428571425E-2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1.6083333333333336</v>
      </c>
      <c r="P12" s="120">
        <v>12</v>
      </c>
      <c r="Q12" s="108">
        <v>19.300000000000004</v>
      </c>
    </row>
    <row r="13" spans="1:17" x14ac:dyDescent="0.4">
      <c r="A13" s="58" t="s">
        <v>122</v>
      </c>
      <c r="B13" s="50">
        <v>64</v>
      </c>
      <c r="C13" s="44">
        <f>IF(B$3=0,0,B13/B$3)</f>
        <v>0.22695035460992907</v>
      </c>
      <c r="E13" s="63" t="s">
        <v>82</v>
      </c>
      <c r="F13" s="60" t="s">
        <v>37</v>
      </c>
      <c r="G13" s="47">
        <v>4</v>
      </c>
      <c r="H13" s="133">
        <f>IF(B$17=0,0,G13/B$17)</f>
        <v>4.0816326530612242E-2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0.31914893617021278</v>
      </c>
      <c r="E14" s="63" t="s">
        <v>87</v>
      </c>
      <c r="F14" s="60" t="s">
        <v>42</v>
      </c>
      <c r="G14" s="47">
        <v>4</v>
      </c>
      <c r="H14" s="133">
        <f>IF(B$17=0,0,G14/B$17)</f>
        <v>4.0816326530612242E-2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37</v>
      </c>
      <c r="C15" s="37">
        <f>IF(B$13=0,0,B15/B$13)</f>
        <v>0.578125</v>
      </c>
      <c r="E15" s="63" t="s">
        <v>72</v>
      </c>
      <c r="F15" s="60" t="s">
        <v>27</v>
      </c>
      <c r="G15" s="47">
        <v>3</v>
      </c>
      <c r="H15" s="133">
        <f>IF(B$17=0,0,G15/B$17)</f>
        <v>3.0612244897959183E-2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37</v>
      </c>
      <c r="C16" s="37">
        <f>IF(B$14=0,0,B16/B$14)</f>
        <v>0.41111111111111109</v>
      </c>
      <c r="E16" s="63" t="s">
        <v>79</v>
      </c>
      <c r="F16" s="60" t="s">
        <v>34</v>
      </c>
      <c r="G16" s="47">
        <v>2</v>
      </c>
      <c r="H16" s="133">
        <f>IF(B$17=0,0,G16/B$17)</f>
        <v>2.0408163265306121E-2</v>
      </c>
      <c r="I16" s="94">
        <v>4</v>
      </c>
      <c r="K16" s="38">
        <v>14</v>
      </c>
      <c r="L16" s="99">
        <v>-12.3</v>
      </c>
      <c r="N16" s="115" t="s">
        <v>173</v>
      </c>
      <c r="O16" s="125">
        <f>IF(P16=0,0,Q16/P16)</f>
        <v>25.942857142857143</v>
      </c>
      <c r="P16" s="119">
        <v>7</v>
      </c>
      <c r="Q16" s="107">
        <v>181.6</v>
      </c>
    </row>
    <row r="17" spans="1:17" x14ac:dyDescent="0.4">
      <c r="A17" s="54" t="s">
        <v>10</v>
      </c>
      <c r="B17" s="46">
        <f>B19+B18</f>
        <v>98</v>
      </c>
      <c r="C17" s="37">
        <f>IF(B$3=0,0,B17/B$3)</f>
        <v>0.3475177304964539</v>
      </c>
      <c r="E17" s="63" t="s">
        <v>80</v>
      </c>
      <c r="F17" s="60" t="s">
        <v>35</v>
      </c>
      <c r="G17" s="47">
        <v>2</v>
      </c>
      <c r="H17" s="133">
        <f>IF(B$17=0,0,G17/B$17)</f>
        <v>2.0408163265306121E-2</v>
      </c>
      <c r="I17" s="94">
        <v>1</v>
      </c>
      <c r="K17" s="38">
        <v>15</v>
      </c>
      <c r="L17" s="99">
        <v>-80.3</v>
      </c>
      <c r="N17" s="115" t="s">
        <v>202</v>
      </c>
      <c r="O17" s="125">
        <f>IF(P17=0,0,Q17/P17)</f>
        <v>16.449999999999996</v>
      </c>
      <c r="P17" s="119">
        <v>4</v>
      </c>
      <c r="Q17" s="107">
        <v>65.799999999999983</v>
      </c>
    </row>
    <row r="18" spans="1:17" x14ac:dyDescent="0.4">
      <c r="A18" s="55" t="s">
        <v>12</v>
      </c>
      <c r="B18" s="47">
        <v>41</v>
      </c>
      <c r="C18" s="39">
        <f>IF(B$17=0,0,B18/B$17)</f>
        <v>0.41836734693877553</v>
      </c>
      <c r="E18" s="63" t="s">
        <v>92</v>
      </c>
      <c r="F18" s="60" t="s">
        <v>47</v>
      </c>
      <c r="G18" s="47">
        <v>2</v>
      </c>
      <c r="H18" s="133">
        <f>IF(B$17=0,0,G18/B$17)</f>
        <v>2.0408163265306121E-2</v>
      </c>
      <c r="I18" s="94">
        <v>3</v>
      </c>
      <c r="K18" s="38">
        <v>16</v>
      </c>
      <c r="L18" s="99">
        <v>-87.6</v>
      </c>
      <c r="N18" s="115" t="s">
        <v>177</v>
      </c>
      <c r="O18" s="125">
        <f>IF(P18=0,0,Q18/P18)</f>
        <v>13.33333333333333</v>
      </c>
      <c r="P18" s="119">
        <v>3</v>
      </c>
      <c r="Q18" s="107">
        <v>39.999999999999993</v>
      </c>
    </row>
    <row r="19" spans="1:17" x14ac:dyDescent="0.4">
      <c r="A19" s="55" t="s">
        <v>11</v>
      </c>
      <c r="B19" s="47">
        <v>57</v>
      </c>
      <c r="C19" s="39">
        <f>IF(B$17=0,0,B19/B$17)</f>
        <v>0.58163265306122447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40</v>
      </c>
      <c r="C20" s="39">
        <f>IF(B$3=0,0,B20/B$3)</f>
        <v>0.14184397163120568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-9.4666666666666686</v>
      </c>
      <c r="P20" s="119">
        <v>18</v>
      </c>
      <c r="Q20" s="107">
        <v>-170.40000000000003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>IF(P21=0,0,Q21/P21)</f>
        <v>-37.131250000000009</v>
      </c>
      <c r="P21" s="119">
        <v>16</v>
      </c>
      <c r="Q21" s="107">
        <v>-594.10000000000014</v>
      </c>
    </row>
    <row r="22" spans="1:17" x14ac:dyDescent="0.4">
      <c r="A22" s="55" t="s">
        <v>194</v>
      </c>
      <c r="B22" s="47">
        <v>23</v>
      </c>
      <c r="C22" s="135">
        <v>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7260.2040816326535</v>
      </c>
      <c r="C23" s="41">
        <v>711500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-8495</v>
      </c>
      <c r="C24" s="45">
        <v>-339800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3.5460992907801418E-3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topLeftCell="H3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27</v>
      </c>
      <c r="C2" s="147"/>
      <c r="E2" s="62" t="s">
        <v>67</v>
      </c>
      <c r="F2" s="59" t="s">
        <v>23</v>
      </c>
      <c r="G2" s="46">
        <v>52</v>
      </c>
      <c r="H2" s="132">
        <f>IF(B$17=0,0,G2/B$17)</f>
        <v>0.72222222222222221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-4237.0370370370374</v>
      </c>
      <c r="P2" s="118">
        <v>27</v>
      </c>
      <c r="Q2" s="102">
        <v>-114400</v>
      </c>
    </row>
    <row r="3" spans="1:17" x14ac:dyDescent="0.4">
      <c r="A3" s="55" t="s">
        <v>8</v>
      </c>
      <c r="B3" s="148">
        <v>241</v>
      </c>
      <c r="C3" s="149"/>
      <c r="E3" s="63" t="s">
        <v>73</v>
      </c>
      <c r="F3" s="60" t="s">
        <v>28</v>
      </c>
      <c r="G3" s="47">
        <v>36</v>
      </c>
      <c r="H3" s="133">
        <f>IF(B$17=0,0,G3/B$17)</f>
        <v>0.5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1240.7407407407406</v>
      </c>
      <c r="P3" s="119">
        <v>27</v>
      </c>
      <c r="Q3" s="103">
        <v>33500</v>
      </c>
    </row>
    <row r="4" spans="1:17" x14ac:dyDescent="0.4">
      <c r="A4" s="55" t="s">
        <v>6</v>
      </c>
      <c r="B4" s="150">
        <v>-257.39999999999998</v>
      </c>
      <c r="C4" s="151"/>
      <c r="E4" s="63" t="s">
        <v>65</v>
      </c>
      <c r="F4" s="60" t="s">
        <v>21</v>
      </c>
      <c r="G4" s="47">
        <v>33</v>
      </c>
      <c r="H4" s="133">
        <f>IF(B$17=0,0,G4/B$17)</f>
        <v>0.45833333333333331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-1883.3333333333333</v>
      </c>
      <c r="P4" s="119">
        <v>24</v>
      </c>
      <c r="Q4" s="103">
        <v>-45200</v>
      </c>
    </row>
    <row r="5" spans="1:17" x14ac:dyDescent="0.4">
      <c r="A5" s="55" t="s">
        <v>7</v>
      </c>
      <c r="B5" s="152">
        <f>IF(B$2=0,0,B$4/B$2)</f>
        <v>-9.5333333333333332</v>
      </c>
      <c r="C5" s="153"/>
      <c r="E5" s="63" t="s">
        <v>69</v>
      </c>
      <c r="F5" s="60" t="s">
        <v>12</v>
      </c>
      <c r="G5" s="47">
        <v>29</v>
      </c>
      <c r="H5" s="133">
        <f>IF(B$17=0,0,G5/B$17)</f>
        <v>0.40277777777777779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-3526.086956521739</v>
      </c>
      <c r="P5" s="119">
        <v>23</v>
      </c>
      <c r="Q5" s="103">
        <v>-81100</v>
      </c>
    </row>
    <row r="6" spans="1:17" x14ac:dyDescent="0.4">
      <c r="A6" s="55" t="s">
        <v>1</v>
      </c>
      <c r="B6" s="142">
        <f>IF(B$2=0,0,(B$7*1+B$8*2+B$9*3)/B$2)</f>
        <v>2.1111111111111112</v>
      </c>
      <c r="C6" s="143"/>
      <c r="E6" s="63" t="s">
        <v>181</v>
      </c>
      <c r="F6" s="60" t="s">
        <v>182</v>
      </c>
      <c r="G6" s="47">
        <v>19</v>
      </c>
      <c r="H6" s="133">
        <f>IF(B$17=0,0,G6/B$17)</f>
        <v>0.2638888888888889</v>
      </c>
      <c r="I6" s="94">
        <v>11</v>
      </c>
      <c r="K6" s="38">
        <v>4</v>
      </c>
      <c r="L6" s="99">
        <v>-150.6</v>
      </c>
      <c r="N6" s="115" t="s">
        <v>136</v>
      </c>
      <c r="O6" s="122">
        <f t="shared" si="0"/>
        <v>1523.8095238095239</v>
      </c>
      <c r="P6" s="119">
        <v>21</v>
      </c>
      <c r="Q6" s="103">
        <v>32000</v>
      </c>
    </row>
    <row r="7" spans="1:17" x14ac:dyDescent="0.4">
      <c r="A7" s="55" t="s">
        <v>2</v>
      </c>
      <c r="B7" s="47">
        <v>7</v>
      </c>
      <c r="C7" s="39">
        <f>IF(B$2=0,0,B7/B$2)</f>
        <v>0.25925925925925924</v>
      </c>
      <c r="E7" s="63" t="s">
        <v>68</v>
      </c>
      <c r="F7" s="60" t="s">
        <v>24</v>
      </c>
      <c r="G7" s="47">
        <v>16</v>
      </c>
      <c r="H7" s="133">
        <f>IF(B$17=0,0,G7/B$17)</f>
        <v>0.22222222222222221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-865</v>
      </c>
      <c r="P7" s="120">
        <v>20</v>
      </c>
      <c r="Q7" s="104">
        <v>-17300</v>
      </c>
    </row>
    <row r="8" spans="1:17" x14ac:dyDescent="0.4">
      <c r="A8" s="55" t="s">
        <v>3</v>
      </c>
      <c r="B8" s="47">
        <v>10</v>
      </c>
      <c r="C8" s="39">
        <f>IF(B$2=0,0,B8/B$2)</f>
        <v>0.37037037037037035</v>
      </c>
      <c r="E8" s="63" t="s">
        <v>70</v>
      </c>
      <c r="F8" s="60" t="s">
        <v>25</v>
      </c>
      <c r="G8" s="47">
        <v>8</v>
      </c>
      <c r="H8" s="133">
        <f>IF(B$17=0,0,G8/B$17)</f>
        <v>0.1111111111111111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0.37037037037037035</v>
      </c>
      <c r="E9" s="63" t="s">
        <v>90</v>
      </c>
      <c r="F9" s="60" t="s">
        <v>45</v>
      </c>
      <c r="G9" s="47">
        <v>8</v>
      </c>
      <c r="H9" s="133">
        <f>IF(B$17=0,0,G9/B$17)</f>
        <v>0.1111111111111111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0.14814814814814814</v>
      </c>
      <c r="E10" s="63" t="s">
        <v>71</v>
      </c>
      <c r="F10" s="60" t="s">
        <v>26</v>
      </c>
      <c r="G10" s="47">
        <v>7</v>
      </c>
      <c r="H10" s="133">
        <f>IF(B$17=0,0,G10/B$17)</f>
        <v>9.7222222222222224E-2</v>
      </c>
      <c r="I10" s="94">
        <v>5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2</v>
      </c>
      <c r="C11" s="40">
        <f>IF(B$2=0,0,B11/B$2)</f>
        <v>7.407407407407407E-2</v>
      </c>
      <c r="E11" s="63" t="s">
        <v>66</v>
      </c>
      <c r="F11" s="60" t="s">
        <v>22</v>
      </c>
      <c r="G11" s="47">
        <v>4</v>
      </c>
      <c r="H11" s="133">
        <f>IF(B$17=0,0,G11/B$17)</f>
        <v>5.5555555555555552E-2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-8.3733333333333313</v>
      </c>
      <c r="P11" s="119">
        <v>15</v>
      </c>
      <c r="Q11" s="107">
        <v>-125.59999999999998</v>
      </c>
    </row>
    <row r="12" spans="1:17" x14ac:dyDescent="0.4">
      <c r="A12" s="57" t="s">
        <v>160</v>
      </c>
      <c r="B12" s="49">
        <v>1</v>
      </c>
      <c r="C12" s="42">
        <f>IF(B$2=0,0,B12/B$2)</f>
        <v>3.7037037037037035E-2</v>
      </c>
      <c r="E12" s="63" t="s">
        <v>72</v>
      </c>
      <c r="F12" s="60" t="s">
        <v>27</v>
      </c>
      <c r="G12" s="47">
        <v>4</v>
      </c>
      <c r="H12" s="133">
        <f>IF(B$17=0,0,G12/B$17)</f>
        <v>5.5555555555555552E-2</v>
      </c>
      <c r="I12" s="94">
        <v>4</v>
      </c>
      <c r="K12" s="38">
        <v>10</v>
      </c>
      <c r="L12" s="99">
        <v>-318.39999999999998</v>
      </c>
      <c r="N12" s="116" t="s">
        <v>166</v>
      </c>
      <c r="O12" s="126">
        <f>IF(P12=0,0,Q12/P12)</f>
        <v>-7.76</v>
      </c>
      <c r="P12" s="120">
        <v>5</v>
      </c>
      <c r="Q12" s="108">
        <v>-38.799999999999997</v>
      </c>
    </row>
    <row r="13" spans="1:17" x14ac:dyDescent="0.4">
      <c r="A13" s="58" t="s">
        <v>122</v>
      </c>
      <c r="B13" s="50">
        <v>56</v>
      </c>
      <c r="C13" s="44">
        <f>IF(B$3=0,0,B13/B$3)</f>
        <v>0.23236514522821577</v>
      </c>
      <c r="E13" s="63" t="s">
        <v>87</v>
      </c>
      <c r="F13" s="60" t="s">
        <v>42</v>
      </c>
      <c r="G13" s="47">
        <v>3</v>
      </c>
      <c r="H13" s="133">
        <f>IF(B$17=0,0,G13/B$17)</f>
        <v>4.1666666666666664E-2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53</v>
      </c>
      <c r="C14" s="39">
        <f>IF(B$3=0,0,B14/B$3)</f>
        <v>0.21991701244813278</v>
      </c>
      <c r="E14" s="63" t="s">
        <v>84</v>
      </c>
      <c r="F14" s="60" t="s">
        <v>39</v>
      </c>
      <c r="G14" s="47">
        <v>2</v>
      </c>
      <c r="H14" s="133">
        <f>IF(B$17=0,0,G14/B$17)</f>
        <v>2.7777777777777776E-2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33</v>
      </c>
      <c r="C15" s="37">
        <f>IF(B$13=0,0,B15/B$13)</f>
        <v>0.5892857142857143</v>
      </c>
      <c r="E15" s="63" t="s">
        <v>74</v>
      </c>
      <c r="F15" s="60" t="s">
        <v>29</v>
      </c>
      <c r="G15" s="47">
        <v>1</v>
      </c>
      <c r="H15" s="133">
        <f>IF(B$17=0,0,G15/B$17)</f>
        <v>1.3888888888888888E-2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>IF(P15=0,0,Q15/P15)</f>
        <v>19.3</v>
      </c>
      <c r="P15" s="118">
        <v>4</v>
      </c>
      <c r="Q15" s="106">
        <v>77.2</v>
      </c>
    </row>
    <row r="16" spans="1:17" x14ac:dyDescent="0.4">
      <c r="A16" s="54" t="s">
        <v>125</v>
      </c>
      <c r="B16" s="46">
        <v>18</v>
      </c>
      <c r="C16" s="37">
        <f>IF(B$14=0,0,B16/B$14)</f>
        <v>0.33962264150943394</v>
      </c>
      <c r="E16" s="63" t="s">
        <v>80</v>
      </c>
      <c r="F16" s="60" t="s">
        <v>35</v>
      </c>
      <c r="G16" s="47">
        <v>1</v>
      </c>
      <c r="H16" s="133">
        <f>IF(B$17=0,0,G16/B$17)</f>
        <v>1.3888888888888888E-2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4.3500000000000014</v>
      </c>
      <c r="P16" s="119">
        <v>16</v>
      </c>
      <c r="Q16" s="107">
        <v>69.600000000000023</v>
      </c>
    </row>
    <row r="17" spans="1:17" x14ac:dyDescent="0.4">
      <c r="A17" s="54" t="s">
        <v>10</v>
      </c>
      <c r="B17" s="46">
        <f>B19+B18</f>
        <v>72</v>
      </c>
      <c r="C17" s="37">
        <f>IF(B$3=0,0,B17/B$3)</f>
        <v>0.29875518672199169</v>
      </c>
      <c r="E17" s="63" t="s">
        <v>92</v>
      </c>
      <c r="F17" s="60" t="s">
        <v>47</v>
      </c>
      <c r="G17" s="47">
        <v>1</v>
      </c>
      <c r="H17" s="133">
        <f>IF(B$17=0,0,G17/B$17)</f>
        <v>1.3888888888888888E-2</v>
      </c>
      <c r="I17" s="94">
        <v>5</v>
      </c>
      <c r="K17" s="38">
        <v>15</v>
      </c>
      <c r="L17" s="99">
        <v>-264.59999999999997</v>
      </c>
      <c r="N17" s="115" t="s">
        <v>171</v>
      </c>
      <c r="O17" s="125">
        <f>IF(P17=0,0,Q17/P17)</f>
        <v>-14.874999999999998</v>
      </c>
      <c r="P17" s="119">
        <v>12</v>
      </c>
      <c r="Q17" s="107">
        <v>-178.49999999999997</v>
      </c>
    </row>
    <row r="18" spans="1:17" x14ac:dyDescent="0.4">
      <c r="A18" s="55" t="s">
        <v>12</v>
      </c>
      <c r="B18" s="47">
        <v>37</v>
      </c>
      <c r="C18" s="39">
        <f>IF(B$17=0,0,B18/B$17)</f>
        <v>0.51388888888888884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-292.79999999999995</v>
      </c>
      <c r="N18" s="115" t="s">
        <v>177</v>
      </c>
      <c r="O18" s="125">
        <f>IF(P18=0,0,Q18/P18)</f>
        <v>-17.950000000000003</v>
      </c>
      <c r="P18" s="119">
        <v>2</v>
      </c>
      <c r="Q18" s="107">
        <v>-35.900000000000006</v>
      </c>
    </row>
    <row r="19" spans="1:17" x14ac:dyDescent="0.4">
      <c r="A19" s="55" t="s">
        <v>11</v>
      </c>
      <c r="B19" s="47">
        <v>35</v>
      </c>
      <c r="C19" s="39">
        <f>IF(B$17=0,0,B19/B$17)</f>
        <v>0.4861111111111111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-248.89999999999995</v>
      </c>
      <c r="N19" s="115" t="s">
        <v>172</v>
      </c>
      <c r="O19" s="125">
        <f>IF(P19=0,0,Q19/P19)</f>
        <v>-25.942857142857143</v>
      </c>
      <c r="P19" s="119">
        <v>7</v>
      </c>
      <c r="Q19" s="107">
        <v>-181.6</v>
      </c>
    </row>
    <row r="20" spans="1:17" x14ac:dyDescent="0.4">
      <c r="A20" s="55" t="s">
        <v>13</v>
      </c>
      <c r="B20" s="47">
        <v>50</v>
      </c>
      <c r="C20" s="39">
        <f>IF(B$3=0,0,B20/B$3)</f>
        <v>0.2074688796680498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>IF(P20=0,0,Q20/P20)</f>
        <v>-39.490909090909085</v>
      </c>
      <c r="P20" s="119">
        <v>11</v>
      </c>
      <c r="Q20" s="107">
        <v>-434.39999999999992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18</v>
      </c>
      <c r="C22" s="135">
        <v>0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6411.1111111111113</v>
      </c>
      <c r="C23" s="41">
        <v>461600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-8208</v>
      </c>
      <c r="C24" s="45">
        <v>-410400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74200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4.1493775933609959E-3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17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0.72727272727272729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-5794.1176470588234</v>
      </c>
      <c r="P2" s="118">
        <v>17</v>
      </c>
      <c r="Q2" s="102">
        <v>-98500</v>
      </c>
    </row>
    <row r="3" spans="1:17" x14ac:dyDescent="0.4">
      <c r="A3" s="55" t="s">
        <v>8</v>
      </c>
      <c r="B3" s="148">
        <v>131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0.69696969696969702</v>
      </c>
      <c r="I3" s="94">
        <v>9</v>
      </c>
      <c r="K3" s="38">
        <v>1</v>
      </c>
      <c r="L3" s="99">
        <v>-1.9</v>
      </c>
      <c r="N3" s="115" t="s">
        <v>133</v>
      </c>
      <c r="O3" s="122">
        <f t="shared" si="0"/>
        <v>-1168.75</v>
      </c>
      <c r="P3" s="119">
        <v>16</v>
      </c>
      <c r="Q3" s="103">
        <v>-18700</v>
      </c>
    </row>
    <row r="4" spans="1:17" x14ac:dyDescent="0.4">
      <c r="A4" s="55" t="s">
        <v>6</v>
      </c>
      <c r="B4" s="150">
        <v>-161.19999999999999</v>
      </c>
      <c r="C4" s="151"/>
      <c r="E4" s="63" t="s">
        <v>65</v>
      </c>
      <c r="F4" s="60" t="s">
        <v>21</v>
      </c>
      <c r="G4" s="47">
        <v>13</v>
      </c>
      <c r="H4" s="133">
        <f>IF(B$17=0,0,G4/B$17)</f>
        <v>0.39393939393939392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421.42857142857144</v>
      </c>
      <c r="P4" s="119">
        <v>14</v>
      </c>
      <c r="Q4" s="103">
        <v>5900</v>
      </c>
    </row>
    <row r="5" spans="1:17" x14ac:dyDescent="0.4">
      <c r="A5" s="55" t="s">
        <v>7</v>
      </c>
      <c r="B5" s="152">
        <f>IF(B$2=0,0,B$4/B$2)</f>
        <v>-9.4823529411764707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0.33333333333333331</v>
      </c>
      <c r="I5" s="94">
        <v>8</v>
      </c>
      <c r="K5" s="38">
        <v>3</v>
      </c>
      <c r="L5" s="99">
        <v>-10</v>
      </c>
      <c r="N5" s="115" t="s">
        <v>135</v>
      </c>
      <c r="O5" s="122">
        <f t="shared" si="0"/>
        <v>26.666666666666668</v>
      </c>
      <c r="P5" s="119">
        <v>15</v>
      </c>
      <c r="Q5" s="103">
        <v>400</v>
      </c>
    </row>
    <row r="6" spans="1:17" x14ac:dyDescent="0.4">
      <c r="A6" s="55" t="s">
        <v>1</v>
      </c>
      <c r="B6" s="142">
        <f>IF(B$2=0,0,(B$7*1+B$8*2+B$9*3)/B$2)</f>
        <v>2.1176470588235294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0.15151515151515152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-414.28571428571428</v>
      </c>
      <c r="P6" s="119">
        <v>14</v>
      </c>
      <c r="Q6" s="103">
        <v>-5800</v>
      </c>
    </row>
    <row r="7" spans="1:17" x14ac:dyDescent="0.4">
      <c r="A7" s="55" t="s">
        <v>2</v>
      </c>
      <c r="B7" s="47">
        <v>5</v>
      </c>
      <c r="C7" s="39">
        <f>IF(B$2=0,0,B7/B$2)</f>
        <v>0.29411764705882354</v>
      </c>
      <c r="E7" s="63" t="s">
        <v>70</v>
      </c>
      <c r="F7" s="60" t="s">
        <v>25</v>
      </c>
      <c r="G7" s="47">
        <v>5</v>
      </c>
      <c r="H7" s="133">
        <f>IF(B$17=0,0,G7/B$17)</f>
        <v>0.15151515151515152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2130.7692307692309</v>
      </c>
      <c r="P7" s="120">
        <v>13</v>
      </c>
      <c r="Q7" s="104">
        <v>27700</v>
      </c>
    </row>
    <row r="8" spans="1:17" x14ac:dyDescent="0.4">
      <c r="A8" s="55" t="s">
        <v>3</v>
      </c>
      <c r="B8" s="47">
        <v>5</v>
      </c>
      <c r="C8" s="39">
        <f>IF(B$2=0,0,B8/B$2)</f>
        <v>0.29411764705882354</v>
      </c>
      <c r="E8" s="63" t="s">
        <v>66</v>
      </c>
      <c r="F8" s="60" t="s">
        <v>22</v>
      </c>
      <c r="G8" s="47">
        <v>4</v>
      </c>
      <c r="H8" s="133">
        <f>IF(B$17=0,0,G8/B$17)</f>
        <v>0.12121212121212122</v>
      </c>
      <c r="I8" s="94">
        <v>5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68</v>
      </c>
      <c r="F9" s="60" t="s">
        <v>24</v>
      </c>
      <c r="G9" s="47">
        <v>4</v>
      </c>
      <c r="H9" s="133">
        <f>IF(B$17=0,0,G9/B$17)</f>
        <v>0.12121212121212122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0.17647058823529413</v>
      </c>
      <c r="E10" s="63" t="s">
        <v>90</v>
      </c>
      <c r="F10" s="60" t="s">
        <v>45</v>
      </c>
      <c r="G10" s="47">
        <v>4</v>
      </c>
      <c r="H10" s="133">
        <f>IF(B$17=0,0,G10/B$17)</f>
        <v>0.12121212121212122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6.0606060606060608E-2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-24.366666666666664</v>
      </c>
      <c r="P11" s="119">
        <v>6</v>
      </c>
      <c r="Q11" s="107">
        <v>-146.19999999999999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0.11764705882352941</v>
      </c>
      <c r="E12" s="63" t="s">
        <v>92</v>
      </c>
      <c r="F12" s="60" t="s">
        <v>47</v>
      </c>
      <c r="G12" s="47">
        <v>2</v>
      </c>
      <c r="H12" s="133">
        <f>IF(B$17=0,0,G12/B$17)</f>
        <v>6.0606060606060608E-2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23</v>
      </c>
      <c r="C13" s="44">
        <f>IF(B$3=0,0,B13/B$3)</f>
        <v>0.17557251908396945</v>
      </c>
      <c r="E13" s="63" t="s">
        <v>71</v>
      </c>
      <c r="F13" s="60" t="s">
        <v>26</v>
      </c>
      <c r="G13" s="47">
        <v>1</v>
      </c>
      <c r="H13" s="133">
        <f>IF(B$17=0,0,G13/B$17)</f>
        <v>3.0303030303030304E-2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</v>
      </c>
      <c r="C14" s="39">
        <f>IF(B$3=0,0,B14/B$3)</f>
        <v>0.27480916030534353</v>
      </c>
      <c r="E14" s="63" t="s">
        <v>72</v>
      </c>
      <c r="F14" s="60" t="s">
        <v>27</v>
      </c>
      <c r="G14" s="47">
        <v>1</v>
      </c>
      <c r="H14" s="133">
        <f>IF(B$17=0,0,G14/B$17)</f>
        <v>3.0303030303030304E-2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0.52173913043478259</v>
      </c>
      <c r="E15" s="63" t="s">
        <v>76</v>
      </c>
      <c r="F15" s="60" t="s">
        <v>31</v>
      </c>
      <c r="G15" s="47">
        <v>1</v>
      </c>
      <c r="H15" s="133">
        <f>IF(B$17=0,0,G15/B$17)</f>
        <v>3.0303030303030304E-2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0.3888888888888889</v>
      </c>
      <c r="E16" s="63" t="s">
        <v>86</v>
      </c>
      <c r="F16" s="60" t="s">
        <v>41</v>
      </c>
      <c r="G16" s="47">
        <v>1</v>
      </c>
      <c r="H16" s="133">
        <f>IF(B$17=0,0,G16/B$17)</f>
        <v>3.0303030303030304E-2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0.25190839694656486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13</v>
      </c>
      <c r="C18" s="39">
        <f>IF(B$17=0,0,B18/B$17)</f>
        <v>0.39393939393939392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-153.29999999999998</v>
      </c>
      <c r="N18" s="115" t="s">
        <v>128</v>
      </c>
      <c r="O18" s="125">
        <f>IF(P18=0,0,Q18/P18)</f>
        <v>-8.1666666666666661</v>
      </c>
      <c r="P18" s="119">
        <v>12</v>
      </c>
      <c r="Q18" s="107">
        <v>-98</v>
      </c>
    </row>
    <row r="19" spans="1:17" x14ac:dyDescent="0.4">
      <c r="A19" s="55" t="s">
        <v>11</v>
      </c>
      <c r="B19" s="47">
        <v>20</v>
      </c>
      <c r="C19" s="39">
        <f>IF(B$17=0,0,B19/B$17)</f>
        <v>0.60606060606060608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27</v>
      </c>
      <c r="C20" s="39">
        <f>IF(B$3=0,0,B20/B$3)</f>
        <v>0.20610687022900764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129</v>
      </c>
      <c r="O20" s="125">
        <f>IF(P20=0,0,Q20/P20)</f>
        <v>-29.700000000000003</v>
      </c>
      <c r="P20" s="119">
        <v>1</v>
      </c>
      <c r="Q20" s="107">
        <v>-29.700000000000003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8</v>
      </c>
      <c r="N21" s="115" t="s">
        <v>127</v>
      </c>
      <c r="O21" s="125">
        <f>IF(P21=0,0,Q21/P21)</f>
        <v>-40.066666666666677</v>
      </c>
      <c r="P21" s="119">
        <v>9</v>
      </c>
      <c r="Q21" s="107">
        <v>-360.60000000000008</v>
      </c>
    </row>
    <row r="22" spans="1:17" x14ac:dyDescent="0.4">
      <c r="A22" s="55" t="s">
        <v>194</v>
      </c>
      <c r="B22" s="47">
        <v>16</v>
      </c>
      <c r="C22" s="135">
        <v>3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185</v>
      </c>
      <c r="O22" s="125">
        <f>IF(P22=0,0,Q22/P22)</f>
        <v>-45.699999999999996</v>
      </c>
      <c r="P22" s="119">
        <v>3</v>
      </c>
      <c r="Q22" s="107">
        <v>-137.1</v>
      </c>
    </row>
    <row r="23" spans="1:17" x14ac:dyDescent="0.4">
      <c r="A23" s="55" t="s">
        <v>5</v>
      </c>
      <c r="B23" s="51">
        <f>IF(B$17=0,0,C23/B$17)</f>
        <v>7036.363636363636</v>
      </c>
      <c r="C23" s="41">
        <v>232200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-7029.6296296296296</v>
      </c>
      <c r="C24" s="45">
        <v>-189800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7.6335877862595417E-3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>IF(B$17=0,0,G3/B$17)</f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>IF(B$17=0,0,G4/B$17)</f>
        <v>0.41666666666666669</v>
      </c>
      <c r="I4" s="94">
        <v>9</v>
      </c>
      <c r="K4" s="38">
        <v>2</v>
      </c>
      <c r="L4" s="99">
        <v>-76.2</v>
      </c>
      <c r="N4" s="115" t="s">
        <v>134</v>
      </c>
      <c r="O4" s="122">
        <f t="shared" si="0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>IF(B$17=0,0,G5/B$17)</f>
        <v>0.33333333333333331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>IF(B$17=0,0,G6/B$17)</f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>IF(B$17=0,0,G7/B$17)</f>
        <v>0.16666666666666666</v>
      </c>
      <c r="I7" s="94">
        <v>10</v>
      </c>
      <c r="K7" s="38">
        <v>5</v>
      </c>
      <c r="L7" s="99">
        <v>-121</v>
      </c>
      <c r="N7" s="116" t="s">
        <v>137</v>
      </c>
      <c r="O7" s="123">
        <f t="shared" si="0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>IF(B$17=0,0,G8/B$17)</f>
        <v>0.16666666666666666</v>
      </c>
      <c r="I8" s="94">
        <v>8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3">
        <f>IF(B$17=0,0,G9/B$17)</f>
        <v>8.3333333333333329E-2</v>
      </c>
      <c r="I9" s="94">
        <v>6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>IF(B$17=0,0,G10/B$17)</f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127</v>
      </c>
      <c r="O17" s="125">
        <f>IF(P17=0,0,Q17/P17)</f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>IF(P18=0,0,Q18/P18)</f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128</v>
      </c>
      <c r="O19" s="125">
        <f>IF(P19=0,0,Q19/P19)</f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8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1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2019-04-25T15:33:58Z</dcterms:modified>
</cp:coreProperties>
</file>