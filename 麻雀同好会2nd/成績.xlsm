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173EB18-00E3-4DFC-A72F-60A8C0D3CCCF}" xr6:coauthVersionLast="36" xr6:coauthVersionMax="36" xr10:uidLastSave="{00000000-0000-0000-0000-000000000000}"/>
  <bookViews>
    <workbookView minimized="1" xWindow="0" yWindow="0" windowWidth="28800" windowHeight="13050" tabRatio="663" firstSheet="4" activeTab="12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39" r:id="rId6"/>
    <sheet name="だいち" sheetId="5241" r:id="rId7"/>
    <sheet name="りくと" sheetId="5243" r:id="rId8"/>
    <sheet name="ただ" sheetId="5245" r:id="rId9"/>
    <sheet name="れんたろう" sheetId="5247" r:id="rId10"/>
    <sheet name="たかの" sheetId="5249" r:id="rId11"/>
    <sheet name="ぱぱ" sheetId="5251" r:id="rId12"/>
    <sheet name="まっつん" sheetId="5253" r:id="rId13"/>
    <sheet name="あさひ" sheetId="5255" r:id="rId14"/>
    <sheet name="いっしー" sheetId="5257" r:id="rId15"/>
    <sheet name="ほたに" sheetId="5259" r:id="rId16"/>
    <sheet name="かわたつ" sheetId="5261" r:id="rId17"/>
    <sheet name="やがさき" sheetId="5263" r:id="rId18"/>
    <sheet name="やがさき2" sheetId="5264" state="hidden" r:id="rId19"/>
    <sheet name="かわたつ2" sheetId="5262" state="hidden" r:id="rId20"/>
    <sheet name="ほたに2" sheetId="5260" state="hidden" r:id="rId21"/>
    <sheet name="いっしー2" sheetId="5258" state="hidden" r:id="rId22"/>
    <sheet name="あさひ2" sheetId="5256" state="hidden" r:id="rId23"/>
    <sheet name="まっつん2" sheetId="5254" state="hidden" r:id="rId24"/>
    <sheet name="ぱぱ2" sheetId="5252" state="hidden" r:id="rId25"/>
    <sheet name="たかの2" sheetId="5250" state="hidden" r:id="rId26"/>
    <sheet name="れんたろう2" sheetId="5248" state="hidden" r:id="rId27"/>
    <sheet name="ただ2" sheetId="5246" state="hidden" r:id="rId28"/>
    <sheet name="りくと2" sheetId="5244" state="hidden" r:id="rId29"/>
    <sheet name="だいち2" sheetId="5242" state="hidden" r:id="rId30"/>
    <sheet name="全体2" sheetId="524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45" l="1"/>
  <c r="O16" i="5249"/>
  <c r="O15" i="5239"/>
  <c r="O16" i="5263"/>
  <c r="O15" i="5263"/>
  <c r="C27" i="5263"/>
  <c r="B24" i="5263"/>
  <c r="C20" i="5263"/>
  <c r="C18" i="5263"/>
  <c r="B17" i="5263"/>
  <c r="H49" i="5263" s="1"/>
  <c r="C16" i="5263"/>
  <c r="C15" i="5263"/>
  <c r="C14" i="5263"/>
  <c r="C13" i="5263"/>
  <c r="O12" i="5263"/>
  <c r="C12" i="5263"/>
  <c r="O11" i="5263"/>
  <c r="C11" i="5263"/>
  <c r="O10" i="5263"/>
  <c r="C10" i="5263"/>
  <c r="C9" i="5263"/>
  <c r="C8" i="5263"/>
  <c r="O7" i="5263"/>
  <c r="C7" i="5263"/>
  <c r="O6" i="5263"/>
  <c r="H6" i="5263"/>
  <c r="B6" i="5263"/>
  <c r="O5" i="5263"/>
  <c r="H5" i="5263"/>
  <c r="B5" i="5263"/>
  <c r="O4" i="5263"/>
  <c r="O3" i="5263"/>
  <c r="H3" i="5263"/>
  <c r="O2" i="5263"/>
  <c r="O15" i="5261"/>
  <c r="O16" i="5261"/>
  <c r="H48" i="5261"/>
  <c r="H47" i="5261"/>
  <c r="H44" i="5261"/>
  <c r="H42" i="5261"/>
  <c r="H39" i="5261"/>
  <c r="H38" i="5261"/>
  <c r="H34" i="5261"/>
  <c r="H32" i="5261"/>
  <c r="H31" i="5261"/>
  <c r="H27" i="5261"/>
  <c r="C27" i="5261"/>
  <c r="H24" i="5261"/>
  <c r="B24" i="5261"/>
  <c r="B23" i="5261"/>
  <c r="H21" i="5261"/>
  <c r="C20" i="5261"/>
  <c r="C18" i="5261"/>
  <c r="H17" i="5261"/>
  <c r="C17" i="5261"/>
  <c r="B17" i="5261"/>
  <c r="H49" i="5261" s="1"/>
  <c r="H16" i="5261"/>
  <c r="C16" i="5261"/>
  <c r="H15" i="5261"/>
  <c r="C15" i="5261"/>
  <c r="H14" i="5261"/>
  <c r="C14" i="5261"/>
  <c r="H13" i="5261"/>
  <c r="C13" i="5261"/>
  <c r="O12" i="5261"/>
  <c r="H12" i="5261"/>
  <c r="C12" i="5261"/>
  <c r="O11" i="5261"/>
  <c r="H11" i="5261"/>
  <c r="C11" i="5261"/>
  <c r="O10" i="5261"/>
  <c r="H10" i="5261"/>
  <c r="C10" i="5261"/>
  <c r="H9" i="5261"/>
  <c r="C9" i="5261"/>
  <c r="H8" i="5261"/>
  <c r="C8" i="5261"/>
  <c r="O7" i="5261"/>
  <c r="H7" i="5261"/>
  <c r="C7" i="5261"/>
  <c r="O6" i="5261"/>
  <c r="H6" i="5261"/>
  <c r="B6" i="5261"/>
  <c r="O5" i="5261"/>
  <c r="H5" i="5261"/>
  <c r="B5" i="5261"/>
  <c r="O4" i="5261"/>
  <c r="H4" i="5261"/>
  <c r="O3" i="5261"/>
  <c r="H3" i="5261"/>
  <c r="O2" i="5261"/>
  <c r="H2" i="5261"/>
  <c r="O23" i="5247"/>
  <c r="O17" i="5241"/>
  <c r="O25" i="5239"/>
  <c r="H16" i="5263" l="1"/>
  <c r="H12" i="5263"/>
  <c r="H14" i="5263"/>
  <c r="H21" i="5263"/>
  <c r="H32" i="5263"/>
  <c r="H2" i="5263"/>
  <c r="H4" i="5263"/>
  <c r="H9" i="5263"/>
  <c r="H11" i="5263"/>
  <c r="H17" i="5263"/>
  <c r="B23" i="5263"/>
  <c r="H39" i="5263"/>
  <c r="H27" i="5263"/>
  <c r="H34" i="5263"/>
  <c r="H42" i="5263"/>
  <c r="H8" i="5263"/>
  <c r="H10" i="5263"/>
  <c r="H19" i="5263"/>
  <c r="H28" i="5263"/>
  <c r="H36" i="5263"/>
  <c r="H43" i="5263"/>
  <c r="H7" i="5263"/>
  <c r="H13" i="5263"/>
  <c r="H15" i="5263"/>
  <c r="C17" i="5263"/>
  <c r="H24" i="5263"/>
  <c r="H31" i="5263"/>
  <c r="H38" i="5263"/>
  <c r="H47" i="5263"/>
  <c r="H48" i="5263"/>
  <c r="H44" i="5263"/>
  <c r="H50" i="5263"/>
  <c r="C19" i="5263"/>
  <c r="H22" i="5263"/>
  <c r="H25" i="5263"/>
  <c r="H30" i="5263"/>
  <c r="H35" i="5263"/>
  <c r="H40" i="5263"/>
  <c r="H46" i="5263"/>
  <c r="H51" i="5263"/>
  <c r="H18" i="5263"/>
  <c r="H20" i="5263"/>
  <c r="H23" i="5263"/>
  <c r="H26" i="5263"/>
  <c r="H29" i="5263"/>
  <c r="H33" i="5263"/>
  <c r="H37" i="5263"/>
  <c r="H41" i="5263"/>
  <c r="H45" i="5263"/>
  <c r="H19" i="5261"/>
  <c r="H28" i="5261"/>
  <c r="H36" i="5261"/>
  <c r="H43" i="5261"/>
  <c r="H50" i="5261"/>
  <c r="C19" i="5261"/>
  <c r="H22" i="5261"/>
  <c r="H25" i="5261"/>
  <c r="H30" i="5261"/>
  <c r="H35" i="5261"/>
  <c r="H40" i="5261"/>
  <c r="H46" i="5261"/>
  <c r="H51" i="5261"/>
  <c r="H18" i="5261"/>
  <c r="H20" i="5261"/>
  <c r="H23" i="5261"/>
  <c r="H26" i="5261"/>
  <c r="H29" i="5261"/>
  <c r="H33" i="5261"/>
  <c r="H37" i="5261"/>
  <c r="H41" i="5261"/>
  <c r="H45" i="5261"/>
  <c r="O18" i="5249" l="1"/>
  <c r="O18" i="5257"/>
  <c r="O20" i="5259" l="1"/>
  <c r="O18" i="5259"/>
  <c r="O15" i="5253"/>
  <c r="O20" i="5243"/>
  <c r="O24" i="5241" l="1"/>
  <c r="O16" i="5259"/>
  <c r="O21" i="5251"/>
  <c r="O15" i="5259"/>
  <c r="O17" i="5259" l="1"/>
  <c r="O19" i="5259"/>
  <c r="C27" i="5259"/>
  <c r="B24" i="5259"/>
  <c r="C20" i="5259"/>
  <c r="B17" i="5259"/>
  <c r="H49" i="5259" s="1"/>
  <c r="C16" i="5259"/>
  <c r="C15" i="5259"/>
  <c r="C14" i="5259"/>
  <c r="C13" i="5259"/>
  <c r="O12" i="5259"/>
  <c r="C12" i="5259"/>
  <c r="O11" i="5259"/>
  <c r="C11" i="5259"/>
  <c r="O10" i="5259"/>
  <c r="C10" i="5259"/>
  <c r="C9" i="5259"/>
  <c r="C8" i="5259"/>
  <c r="O7" i="5259"/>
  <c r="C7" i="5259"/>
  <c r="O6" i="5259"/>
  <c r="B6" i="5259"/>
  <c r="O5" i="5259"/>
  <c r="B5" i="5259"/>
  <c r="O4" i="5259"/>
  <c r="O3" i="5259"/>
  <c r="O2" i="5259"/>
  <c r="O21" i="5247"/>
  <c r="O19" i="5249"/>
  <c r="O19" i="5239"/>
  <c r="H4" i="5259" l="1"/>
  <c r="H2" i="5259"/>
  <c r="H19" i="5259"/>
  <c r="H28" i="5259"/>
  <c r="H36" i="5259"/>
  <c r="H43" i="5259"/>
  <c r="H13" i="5259"/>
  <c r="H38" i="5259"/>
  <c r="H44" i="5259"/>
  <c r="H8" i="5259"/>
  <c r="C17" i="5259"/>
  <c r="H31" i="5259"/>
  <c r="H17" i="5259"/>
  <c r="H32" i="5259"/>
  <c r="H39" i="5259"/>
  <c r="H47" i="5259"/>
  <c r="H10" i="5259"/>
  <c r="H7" i="5259"/>
  <c r="H15" i="5259"/>
  <c r="H24" i="5259"/>
  <c r="H3" i="5259"/>
  <c r="H6" i="5259"/>
  <c r="H9" i="5259"/>
  <c r="H12" i="5259"/>
  <c r="H21" i="5259"/>
  <c r="H5" i="5259"/>
  <c r="H11" i="5259"/>
  <c r="H14" i="5259"/>
  <c r="H16" i="5259"/>
  <c r="C18" i="5259"/>
  <c r="B23" i="5259"/>
  <c r="H27" i="5259"/>
  <c r="H34" i="5259"/>
  <c r="H42" i="5259"/>
  <c r="H48" i="5259"/>
  <c r="H50" i="5259"/>
  <c r="C19" i="5259"/>
  <c r="H22" i="5259"/>
  <c r="H25" i="5259"/>
  <c r="H30" i="5259"/>
  <c r="H35" i="5259"/>
  <c r="H40" i="5259"/>
  <c r="H46" i="5259"/>
  <c r="H51" i="5259"/>
  <c r="H18" i="5259"/>
  <c r="H20" i="5259"/>
  <c r="H23" i="5259"/>
  <c r="H26" i="5259"/>
  <c r="H29" i="5259"/>
  <c r="H33" i="5259"/>
  <c r="H37" i="5259"/>
  <c r="H41" i="5259"/>
  <c r="H45" i="5259"/>
  <c r="O17" i="5249" l="1"/>
  <c r="O16" i="5245"/>
  <c r="O21" i="5253"/>
  <c r="O20" i="5253"/>
  <c r="O22" i="5241" l="1"/>
  <c r="O16" i="5257"/>
  <c r="O20" i="5257" l="1"/>
  <c r="O15" i="5257"/>
  <c r="O15" i="5247"/>
  <c r="O22" i="5245"/>
  <c r="O17" i="5255" l="1"/>
  <c r="O22" i="5251"/>
  <c r="O15" i="5255"/>
  <c r="O21" i="5257"/>
  <c r="O15" i="5243"/>
  <c r="O18" i="5253"/>
  <c r="O17" i="5239"/>
  <c r="O19" i="5257"/>
  <c r="O17" i="5257"/>
  <c r="C27" i="5257"/>
  <c r="B24" i="5257"/>
  <c r="C20" i="5257"/>
  <c r="B17" i="5257"/>
  <c r="H51" i="5257" s="1"/>
  <c r="C16" i="5257"/>
  <c r="C15" i="5257"/>
  <c r="C14" i="5257"/>
  <c r="C13" i="5257"/>
  <c r="O12" i="5257"/>
  <c r="H12" i="5257"/>
  <c r="C12" i="5257"/>
  <c r="O11" i="5257"/>
  <c r="C11" i="5257"/>
  <c r="O10" i="5257"/>
  <c r="C10" i="5257"/>
  <c r="C9" i="5257"/>
  <c r="C8" i="5257"/>
  <c r="O7" i="5257"/>
  <c r="C7" i="5257"/>
  <c r="O6" i="5257"/>
  <c r="B6" i="5257"/>
  <c r="O5" i="5257"/>
  <c r="B5" i="5257"/>
  <c r="O4" i="5257"/>
  <c r="H4" i="5257"/>
  <c r="O3" i="5257"/>
  <c r="O2" i="5257"/>
  <c r="H2" i="5257"/>
  <c r="O16" i="5255"/>
  <c r="O18" i="5255"/>
  <c r="C27" i="5255"/>
  <c r="B24" i="5255"/>
  <c r="C20" i="5255"/>
  <c r="B17" i="5255"/>
  <c r="H49" i="5255" s="1"/>
  <c r="H16" i="5255"/>
  <c r="C16" i="5255"/>
  <c r="C15" i="5255"/>
  <c r="C14" i="5255"/>
  <c r="C13" i="5255"/>
  <c r="O12" i="5255"/>
  <c r="C12" i="5255"/>
  <c r="O11" i="5255"/>
  <c r="C11" i="5255"/>
  <c r="O10" i="5255"/>
  <c r="C10" i="5255"/>
  <c r="C9" i="5255"/>
  <c r="C8" i="5255"/>
  <c r="O7" i="5255"/>
  <c r="C7" i="5255"/>
  <c r="O6" i="5255"/>
  <c r="B6" i="5255"/>
  <c r="O5" i="5255"/>
  <c r="B5" i="5255"/>
  <c r="O4" i="5255"/>
  <c r="O3" i="5255"/>
  <c r="O2" i="5255"/>
  <c r="O22" i="5253"/>
  <c r="O23" i="5253"/>
  <c r="O15" i="5241"/>
  <c r="O18" i="5241"/>
  <c r="O26" i="5239"/>
  <c r="C19" i="5257" l="1"/>
  <c r="H38" i="5257"/>
  <c r="H14" i="5257"/>
  <c r="H9" i="5257"/>
  <c r="H36" i="5257"/>
  <c r="H3" i="5257"/>
  <c r="H6" i="5257"/>
  <c r="H5" i="5257"/>
  <c r="H8" i="5257"/>
  <c r="H10" i="5257"/>
  <c r="H16" i="5257"/>
  <c r="H11" i="5257"/>
  <c r="C18" i="5257"/>
  <c r="H9" i="5255"/>
  <c r="H4" i="5255"/>
  <c r="H34" i="5255"/>
  <c r="H43" i="5255"/>
  <c r="H44" i="5255"/>
  <c r="H2" i="5255"/>
  <c r="H24" i="5255"/>
  <c r="H8" i="5255"/>
  <c r="H10" i="5255"/>
  <c r="C18" i="5255"/>
  <c r="H5" i="5255"/>
  <c r="H32" i="5255"/>
  <c r="H12" i="5255"/>
  <c r="H14" i="5255"/>
  <c r="H27" i="5255"/>
  <c r="H48" i="5255"/>
  <c r="H21" i="5255"/>
  <c r="H38" i="5255"/>
  <c r="H3" i="5255"/>
  <c r="H6" i="5255"/>
  <c r="H11" i="5255"/>
  <c r="H17" i="5255"/>
  <c r="H28" i="5255"/>
  <c r="H39" i="5255"/>
  <c r="H50" i="5255"/>
  <c r="C19" i="5255"/>
  <c r="H22" i="5255"/>
  <c r="H25" i="5255"/>
  <c r="H30" i="5255"/>
  <c r="H35" i="5255"/>
  <c r="H40" i="5255"/>
  <c r="H46" i="5255"/>
  <c r="H51" i="5255"/>
  <c r="H7" i="5255"/>
  <c r="H13" i="5255"/>
  <c r="H15" i="5255"/>
  <c r="C17" i="5255"/>
  <c r="H19" i="5255"/>
  <c r="B23" i="5255"/>
  <c r="H31" i="5255"/>
  <c r="H36" i="5255"/>
  <c r="H42" i="5255"/>
  <c r="H47" i="5255"/>
  <c r="H28" i="5257"/>
  <c r="H44" i="5257"/>
  <c r="H7" i="5257"/>
  <c r="H13" i="5257"/>
  <c r="H15" i="5257"/>
  <c r="C17" i="5257"/>
  <c r="B23" i="5257"/>
  <c r="H30" i="5257"/>
  <c r="H46" i="5257"/>
  <c r="H25" i="5257"/>
  <c r="H32" i="5257"/>
  <c r="H40" i="5257"/>
  <c r="H48" i="5257"/>
  <c r="H21" i="5257"/>
  <c r="H34" i="5257"/>
  <c r="H42" i="5257"/>
  <c r="H50" i="5257"/>
  <c r="H18" i="5257"/>
  <c r="H20" i="5257"/>
  <c r="H23" i="5257"/>
  <c r="H26" i="5257"/>
  <c r="H29" i="5257"/>
  <c r="H33" i="5257"/>
  <c r="H37" i="5257"/>
  <c r="H41" i="5257"/>
  <c r="H45" i="5257"/>
  <c r="H49" i="5257"/>
  <c r="H17" i="5257"/>
  <c r="H19" i="5257"/>
  <c r="H22" i="5257"/>
  <c r="H24" i="5257"/>
  <c r="H27" i="5257"/>
  <c r="H31" i="5257"/>
  <c r="H35" i="5257"/>
  <c r="H39" i="5257"/>
  <c r="H43" i="5257"/>
  <c r="H47" i="5257"/>
  <c r="H18" i="5255"/>
  <c r="H20" i="5255"/>
  <c r="H23" i="5255"/>
  <c r="H26" i="5255"/>
  <c r="H29" i="5255"/>
  <c r="H33" i="5255"/>
  <c r="H37" i="5255"/>
  <c r="H41" i="5255"/>
  <c r="H45" i="5255"/>
  <c r="O16" i="5253" l="1"/>
  <c r="O20" i="5251"/>
  <c r="O16" i="5251"/>
  <c r="O19" i="5243"/>
  <c r="O20" i="5249" l="1"/>
  <c r="O17" i="5247"/>
  <c r="O17" i="5251"/>
  <c r="O18" i="5251"/>
  <c r="O15" i="5249" l="1"/>
  <c r="O16" i="5247"/>
  <c r="O21" i="5245"/>
  <c r="O18" i="5245"/>
  <c r="O17" i="5253"/>
  <c r="O19" i="5253"/>
  <c r="C27" i="5253"/>
  <c r="B24" i="5253"/>
  <c r="C20" i="5253"/>
  <c r="B17" i="5253"/>
  <c r="H50" i="5253" s="1"/>
  <c r="C16" i="5253"/>
  <c r="C15" i="5253"/>
  <c r="C14" i="5253"/>
  <c r="C13" i="5253"/>
  <c r="O12" i="5253"/>
  <c r="C12" i="5253"/>
  <c r="O11" i="5253"/>
  <c r="C11" i="5253"/>
  <c r="O10" i="5253"/>
  <c r="C10" i="5253"/>
  <c r="C9" i="5253"/>
  <c r="C8" i="5253"/>
  <c r="O7" i="5253"/>
  <c r="C7" i="5253"/>
  <c r="O6" i="5253"/>
  <c r="B6" i="5253"/>
  <c r="O5" i="5253"/>
  <c r="B5" i="5253"/>
  <c r="O4" i="5253"/>
  <c r="O3" i="5253"/>
  <c r="O2" i="5253"/>
  <c r="H4" i="5253"/>
  <c r="O22" i="5247"/>
  <c r="O21" i="5243"/>
  <c r="O23" i="5239"/>
  <c r="H32" i="5253" l="1"/>
  <c r="H38" i="5253"/>
  <c r="H44" i="5253"/>
  <c r="H2" i="5253"/>
  <c r="H3" i="5253"/>
  <c r="H9" i="5253"/>
  <c r="H26" i="5253"/>
  <c r="H19" i="5253"/>
  <c r="H45" i="5253"/>
  <c r="H15" i="5253"/>
  <c r="H21" i="5253"/>
  <c r="H40" i="5253"/>
  <c r="H17" i="5253"/>
  <c r="H34" i="5253"/>
  <c r="H24" i="5253"/>
  <c r="H48" i="5253"/>
  <c r="H10" i="5253"/>
  <c r="C17" i="5253"/>
  <c r="H33" i="5253"/>
  <c r="H11" i="5253"/>
  <c r="H7" i="5253"/>
  <c r="H14" i="5253"/>
  <c r="H20" i="5253"/>
  <c r="H12" i="5253"/>
  <c r="H6" i="5253"/>
  <c r="H25" i="5253"/>
  <c r="H22" i="5253"/>
  <c r="H16" i="5253"/>
  <c r="C18" i="5253"/>
  <c r="B23" i="5253"/>
  <c r="H8" i="5253"/>
  <c r="H36" i="5253"/>
  <c r="H43" i="5253"/>
  <c r="H49" i="5253"/>
  <c r="H51" i="5253"/>
  <c r="C19" i="5253"/>
  <c r="H29" i="5253"/>
  <c r="H30" i="5253"/>
  <c r="H23" i="5253"/>
  <c r="H37" i="5253"/>
  <c r="H41" i="5253"/>
  <c r="H47" i="5253"/>
  <c r="H5" i="5253"/>
  <c r="H27" i="5253"/>
  <c r="H28" i="5253"/>
  <c r="H18" i="5253"/>
  <c r="H31" i="5253"/>
  <c r="H13" i="5253"/>
  <c r="H35" i="5253"/>
  <c r="H39" i="5253"/>
  <c r="H42" i="5253"/>
  <c r="H46" i="5253"/>
  <c r="O19" i="5245" l="1"/>
  <c r="O19" i="5251"/>
  <c r="O15" i="5251"/>
  <c r="C27" i="5251"/>
  <c r="B24" i="5251"/>
  <c r="C20" i="5251"/>
  <c r="B17" i="5251"/>
  <c r="H51" i="5251" s="1"/>
  <c r="C16" i="5251"/>
  <c r="C15" i="5251"/>
  <c r="C14" i="5251"/>
  <c r="C13" i="5251"/>
  <c r="O12" i="5251"/>
  <c r="C12" i="5251"/>
  <c r="O11" i="5251"/>
  <c r="C11" i="5251"/>
  <c r="O10" i="5251"/>
  <c r="C10" i="5251"/>
  <c r="C9" i="5251"/>
  <c r="C8" i="5251"/>
  <c r="O7" i="5251"/>
  <c r="C7" i="5251"/>
  <c r="O6" i="5251"/>
  <c r="B6" i="5251"/>
  <c r="O5" i="5251"/>
  <c r="B5" i="5251"/>
  <c r="O4" i="5251"/>
  <c r="O3" i="5251"/>
  <c r="O2" i="5251"/>
  <c r="O19" i="5241"/>
  <c r="O18" i="5239"/>
  <c r="O21" i="5249"/>
  <c r="O17" i="5243"/>
  <c r="O18" i="5243"/>
  <c r="O20" i="5247"/>
  <c r="O22" i="5249"/>
  <c r="O23" i="5249"/>
  <c r="C27" i="5249"/>
  <c r="B24" i="5249"/>
  <c r="C20" i="5249"/>
  <c r="B17" i="5249"/>
  <c r="H51" i="5249" s="1"/>
  <c r="C16" i="5249"/>
  <c r="C15" i="5249"/>
  <c r="C14" i="5249"/>
  <c r="C13" i="5249"/>
  <c r="O12" i="5249"/>
  <c r="C12" i="5249"/>
  <c r="O11" i="5249"/>
  <c r="C11" i="5249"/>
  <c r="O10" i="5249"/>
  <c r="C10" i="5249"/>
  <c r="C9" i="5249"/>
  <c r="C8" i="5249"/>
  <c r="O7" i="5249"/>
  <c r="C7" i="5249"/>
  <c r="O6" i="5249"/>
  <c r="B6" i="5249"/>
  <c r="O5" i="5249"/>
  <c r="B5" i="5249"/>
  <c r="O4" i="5249"/>
  <c r="O3" i="5249"/>
  <c r="O2" i="5249"/>
  <c r="O19" i="5247"/>
  <c r="O18" i="5247"/>
  <c r="C27" i="5247"/>
  <c r="B24" i="5247"/>
  <c r="C20" i="5247"/>
  <c r="B17" i="5247"/>
  <c r="H5" i="5247" s="1"/>
  <c r="C16" i="5247"/>
  <c r="C15" i="5247"/>
  <c r="C14" i="5247"/>
  <c r="C13" i="5247"/>
  <c r="O12" i="5247"/>
  <c r="C12" i="5247"/>
  <c r="O11" i="5247"/>
  <c r="C11" i="5247"/>
  <c r="O10" i="5247"/>
  <c r="C10" i="5247"/>
  <c r="C9" i="5247"/>
  <c r="C8" i="5247"/>
  <c r="O7" i="5247"/>
  <c r="C7" i="5247"/>
  <c r="O6" i="5247"/>
  <c r="B6" i="5247"/>
  <c r="O5" i="5247"/>
  <c r="B5" i="5247"/>
  <c r="O4" i="5247"/>
  <c r="O3" i="5247"/>
  <c r="O2" i="5247"/>
  <c r="O20" i="5241"/>
  <c r="O23" i="5241"/>
  <c r="O21" i="5239"/>
  <c r="O22" i="5239"/>
  <c r="H7" i="5251" l="1"/>
  <c r="H14" i="5251"/>
  <c r="H48" i="5251"/>
  <c r="H3" i="5251"/>
  <c r="H11" i="5251"/>
  <c r="H25" i="5251"/>
  <c r="H6" i="5251"/>
  <c r="H5" i="5251"/>
  <c r="C18" i="5251"/>
  <c r="C17" i="5251"/>
  <c r="H10" i="5251"/>
  <c r="H13" i="5251"/>
  <c r="H2" i="5251"/>
  <c r="H4" i="5251"/>
  <c r="H8" i="5251"/>
  <c r="H16" i="5251"/>
  <c r="H32" i="5251"/>
  <c r="H36" i="5251"/>
  <c r="H2" i="5249"/>
  <c r="H40" i="5249"/>
  <c r="H11" i="5249"/>
  <c r="H16" i="5249"/>
  <c r="H10" i="5249"/>
  <c r="H4" i="5249"/>
  <c r="C18" i="5249"/>
  <c r="H36" i="5249"/>
  <c r="H40" i="5251"/>
  <c r="B23" i="5251"/>
  <c r="H28" i="5251"/>
  <c r="H44" i="5251"/>
  <c r="H18" i="5251"/>
  <c r="H20" i="5251"/>
  <c r="H23" i="5251"/>
  <c r="H26" i="5251"/>
  <c r="H29" i="5251"/>
  <c r="H33" i="5251"/>
  <c r="H37" i="5251"/>
  <c r="H41" i="5251"/>
  <c r="H45" i="5251"/>
  <c r="H49" i="5251"/>
  <c r="H15" i="5251"/>
  <c r="C19" i="5251"/>
  <c r="H21" i="5251"/>
  <c r="H30" i="5251"/>
  <c r="H34" i="5251"/>
  <c r="H38" i="5251"/>
  <c r="H42" i="5251"/>
  <c r="H46" i="5251"/>
  <c r="H50" i="5251"/>
  <c r="H9" i="5251"/>
  <c r="H12" i="5251"/>
  <c r="H17" i="5251"/>
  <c r="H19" i="5251"/>
  <c r="H22" i="5251"/>
  <c r="H24" i="5251"/>
  <c r="H27" i="5251"/>
  <c r="H31" i="5251"/>
  <c r="H35" i="5251"/>
  <c r="H39" i="5251"/>
  <c r="H43" i="5251"/>
  <c r="H47" i="5251"/>
  <c r="H25" i="5249"/>
  <c r="H14" i="5247"/>
  <c r="H3" i="5247"/>
  <c r="H38" i="5247"/>
  <c r="H4" i="5247"/>
  <c r="H28" i="5249"/>
  <c r="H44" i="5249"/>
  <c r="H8" i="5249"/>
  <c r="H14" i="5249"/>
  <c r="B23" i="5249"/>
  <c r="H5" i="5249"/>
  <c r="C17" i="5249"/>
  <c r="H32" i="5249"/>
  <c r="H48" i="5249"/>
  <c r="H18" i="5249"/>
  <c r="H26" i="5249"/>
  <c r="H45" i="5249"/>
  <c r="H7" i="5249"/>
  <c r="H13" i="5249"/>
  <c r="H15" i="5249"/>
  <c r="C19" i="5249"/>
  <c r="H21" i="5249"/>
  <c r="H30" i="5249"/>
  <c r="H34" i="5249"/>
  <c r="H38" i="5249"/>
  <c r="H42" i="5249"/>
  <c r="H46" i="5249"/>
  <c r="H50" i="5249"/>
  <c r="H20" i="5249"/>
  <c r="H23" i="5249"/>
  <c r="H29" i="5249"/>
  <c r="H33" i="5249"/>
  <c r="H37" i="5249"/>
  <c r="H41" i="5249"/>
  <c r="H49" i="5249"/>
  <c r="H3" i="5249"/>
  <c r="H6" i="5249"/>
  <c r="H9" i="5249"/>
  <c r="H12" i="5249"/>
  <c r="H17" i="5249"/>
  <c r="H19" i="5249"/>
  <c r="H22" i="5249"/>
  <c r="H24" i="5249"/>
  <c r="H27" i="5249"/>
  <c r="H31" i="5249"/>
  <c r="H35" i="5249"/>
  <c r="H39" i="5249"/>
  <c r="H43" i="5249"/>
  <c r="H47" i="5249"/>
  <c r="H11" i="5247"/>
  <c r="H27" i="5247"/>
  <c r="B23" i="5247"/>
  <c r="H42" i="5247"/>
  <c r="H6" i="5247"/>
  <c r="H19" i="5247"/>
  <c r="H46" i="5247"/>
  <c r="H33" i="5247"/>
  <c r="C17" i="5247"/>
  <c r="H2" i="5247"/>
  <c r="H23" i="5247"/>
  <c r="C18" i="5247"/>
  <c r="H24" i="5247"/>
  <c r="H34" i="5247"/>
  <c r="H50" i="5247"/>
  <c r="H29" i="5247"/>
  <c r="H30" i="5247"/>
  <c r="H31" i="5247"/>
  <c r="H32" i="5247"/>
  <c r="H35" i="5247"/>
  <c r="H39" i="5247"/>
  <c r="H43" i="5247"/>
  <c r="H47" i="5247"/>
  <c r="H51" i="5247"/>
  <c r="H8" i="5247"/>
  <c r="H17" i="5247"/>
  <c r="H28" i="5247"/>
  <c r="C19" i="5247"/>
  <c r="H15" i="5247"/>
  <c r="H21" i="5247"/>
  <c r="H36" i="5247"/>
  <c r="H40" i="5247"/>
  <c r="H44" i="5247"/>
  <c r="H48" i="5247"/>
  <c r="H22" i="5247"/>
  <c r="H10" i="5247"/>
  <c r="H7" i="5247"/>
  <c r="H13" i="5247"/>
  <c r="H26" i="5247"/>
  <c r="H18" i="5247"/>
  <c r="H16" i="5247"/>
  <c r="H20" i="5247"/>
  <c r="H12" i="5247"/>
  <c r="H9" i="5247"/>
  <c r="H25" i="5247"/>
  <c r="H37" i="5247"/>
  <c r="H41" i="5247"/>
  <c r="H45" i="5247"/>
  <c r="H49" i="5247"/>
  <c r="O17" i="5245" l="1"/>
  <c r="O20" i="5245"/>
  <c r="C27" i="5245"/>
  <c r="B24" i="5245"/>
  <c r="C20" i="5245"/>
  <c r="B17" i="5245"/>
  <c r="H5" i="5245" s="1"/>
  <c r="C16" i="5245"/>
  <c r="C15" i="5245"/>
  <c r="C14" i="5245"/>
  <c r="C13" i="5245"/>
  <c r="O12" i="5245"/>
  <c r="C12" i="5245"/>
  <c r="O11" i="5245"/>
  <c r="C11" i="5245"/>
  <c r="O10" i="5245"/>
  <c r="C10" i="5245"/>
  <c r="C9" i="5245"/>
  <c r="C8" i="5245"/>
  <c r="O7" i="5245"/>
  <c r="C7" i="5245"/>
  <c r="O6" i="5245"/>
  <c r="B6" i="5245"/>
  <c r="O5" i="5245"/>
  <c r="B5" i="5245"/>
  <c r="O4" i="5245"/>
  <c r="O3" i="5245"/>
  <c r="O2" i="5245"/>
  <c r="O22" i="5243"/>
  <c r="O16" i="5243"/>
  <c r="C27" i="5243"/>
  <c r="B24" i="5243"/>
  <c r="C20" i="5243"/>
  <c r="B17" i="5243"/>
  <c r="H51" i="5243" s="1"/>
  <c r="C16" i="5243"/>
  <c r="C15" i="5243"/>
  <c r="C14" i="5243"/>
  <c r="C13" i="5243"/>
  <c r="O12" i="5243"/>
  <c r="C12" i="5243"/>
  <c r="O11" i="5243"/>
  <c r="C11" i="5243"/>
  <c r="O10" i="5243"/>
  <c r="C10" i="5243"/>
  <c r="C9" i="5243"/>
  <c r="C8" i="5243"/>
  <c r="O7" i="5243"/>
  <c r="C7" i="5243"/>
  <c r="O6" i="5243"/>
  <c r="B6" i="5243"/>
  <c r="O5" i="5243"/>
  <c r="B5" i="5243"/>
  <c r="O4" i="5243"/>
  <c r="O3" i="5243"/>
  <c r="O2" i="5243"/>
  <c r="O24" i="5239"/>
  <c r="O16" i="5241"/>
  <c r="O21" i="5241"/>
  <c r="C27" i="5241"/>
  <c r="B24" i="5241"/>
  <c r="C20" i="5241"/>
  <c r="B17" i="5241"/>
  <c r="H51" i="5241" s="1"/>
  <c r="C16" i="5241"/>
  <c r="C15" i="5241"/>
  <c r="C14" i="5241"/>
  <c r="C13" i="5241"/>
  <c r="O12" i="5241"/>
  <c r="C12" i="5241"/>
  <c r="O11" i="5241"/>
  <c r="C11" i="5241"/>
  <c r="O10" i="5241"/>
  <c r="C10" i="5241"/>
  <c r="C9" i="5241"/>
  <c r="C8" i="5241"/>
  <c r="O7" i="5241"/>
  <c r="C7" i="5241"/>
  <c r="O6" i="5241"/>
  <c r="B6" i="5241"/>
  <c r="O5" i="5241"/>
  <c r="B5" i="5241"/>
  <c r="O4" i="5241"/>
  <c r="O3" i="5241"/>
  <c r="O2" i="5241"/>
  <c r="O16" i="5239"/>
  <c r="O20" i="5239"/>
  <c r="C27" i="5239"/>
  <c r="B24" i="5239"/>
  <c r="C20" i="5239"/>
  <c r="B17" i="5239"/>
  <c r="H50" i="5239" s="1"/>
  <c r="C16" i="5239"/>
  <c r="C15" i="5239"/>
  <c r="C14" i="5239"/>
  <c r="C13" i="5239"/>
  <c r="O12" i="5239"/>
  <c r="C12" i="5239"/>
  <c r="O11" i="5239"/>
  <c r="C11" i="5239"/>
  <c r="O10" i="5239"/>
  <c r="C10" i="5239"/>
  <c r="C9" i="5239"/>
  <c r="C8" i="5239"/>
  <c r="O7" i="5239"/>
  <c r="C7" i="5239"/>
  <c r="O6" i="5239"/>
  <c r="B6" i="5239"/>
  <c r="O5" i="5239"/>
  <c r="B5" i="5239"/>
  <c r="O4" i="5239"/>
  <c r="O3" i="5239"/>
  <c r="O2" i="5239"/>
  <c r="H9" i="5245" l="1"/>
  <c r="H3" i="5245"/>
  <c r="H2" i="5245"/>
  <c r="H7" i="5245"/>
  <c r="H25" i="5241"/>
  <c r="H37" i="5245"/>
  <c r="H47" i="5245"/>
  <c r="H8" i="5245"/>
  <c r="H25" i="5245"/>
  <c r="C17" i="5245"/>
  <c r="H14" i="5245"/>
  <c r="H31" i="5245"/>
  <c r="H39" i="5245"/>
  <c r="H51" i="5245"/>
  <c r="H16" i="5245"/>
  <c r="C18" i="5245"/>
  <c r="B23" i="5245"/>
  <c r="H32" i="5245"/>
  <c r="H43" i="5245"/>
  <c r="H18" i="5245"/>
  <c r="H13" i="5245"/>
  <c r="H4" i="5245"/>
  <c r="H10" i="5245"/>
  <c r="H6" i="5245"/>
  <c r="H24" i="5245"/>
  <c r="H26" i="5245"/>
  <c r="H15" i="5245"/>
  <c r="C19" i="5245"/>
  <c r="H35" i="5245"/>
  <c r="H45" i="5245"/>
  <c r="H20" i="5245"/>
  <c r="H33" i="5245"/>
  <c r="H41" i="5245"/>
  <c r="H49" i="5245"/>
  <c r="H27" i="5245"/>
  <c r="H28" i="5245"/>
  <c r="H30" i="5245"/>
  <c r="H21" i="5245"/>
  <c r="H22" i="5245"/>
  <c r="H34" i="5245"/>
  <c r="H38" i="5245"/>
  <c r="H42" i="5245"/>
  <c r="H46" i="5245"/>
  <c r="H50" i="5245"/>
  <c r="H19" i="5245"/>
  <c r="H17" i="5245"/>
  <c r="H29" i="5245"/>
  <c r="H12" i="5245"/>
  <c r="H11" i="5245"/>
  <c r="H23" i="5245"/>
  <c r="H36" i="5245"/>
  <c r="H40" i="5245"/>
  <c r="H44" i="5245"/>
  <c r="H48" i="5245"/>
  <c r="H14" i="5243"/>
  <c r="C18" i="5243"/>
  <c r="H5" i="5243"/>
  <c r="H12" i="5243"/>
  <c r="H25" i="5243"/>
  <c r="H2" i="5243"/>
  <c r="H36" i="5243"/>
  <c r="H4" i="5243"/>
  <c r="H9" i="5243"/>
  <c r="H8" i="5243"/>
  <c r="H10" i="5243"/>
  <c r="H16" i="5243"/>
  <c r="H40" i="5243"/>
  <c r="B23" i="5243"/>
  <c r="H28" i="5243"/>
  <c r="H44" i="5243"/>
  <c r="H3" i="5243"/>
  <c r="H6" i="5243"/>
  <c r="H11" i="5243"/>
  <c r="C17" i="5243"/>
  <c r="H32" i="5243"/>
  <c r="H48" i="5243"/>
  <c r="H18" i="5243"/>
  <c r="H20" i="5243"/>
  <c r="H23" i="5243"/>
  <c r="H26" i="5243"/>
  <c r="H29" i="5243"/>
  <c r="H33" i="5243"/>
  <c r="H37" i="5243"/>
  <c r="H41" i="5243"/>
  <c r="H45" i="5243"/>
  <c r="H49" i="5243"/>
  <c r="H7" i="5243"/>
  <c r="H13" i="5243"/>
  <c r="H15" i="5243"/>
  <c r="C19" i="5243"/>
  <c r="H21" i="5243"/>
  <c r="H30" i="5243"/>
  <c r="H34" i="5243"/>
  <c r="H38" i="5243"/>
  <c r="H42" i="5243"/>
  <c r="H46" i="5243"/>
  <c r="H50" i="5243"/>
  <c r="H17" i="5243"/>
  <c r="H19" i="5243"/>
  <c r="H22" i="5243"/>
  <c r="H24" i="5243"/>
  <c r="H27" i="5243"/>
  <c r="H31" i="5243"/>
  <c r="H35" i="5243"/>
  <c r="H39" i="5243"/>
  <c r="H43" i="5243"/>
  <c r="H47" i="5243"/>
  <c r="C17" i="5239"/>
  <c r="H3" i="5239"/>
  <c r="H11" i="5239"/>
  <c r="H2" i="5239"/>
  <c r="H4" i="5239"/>
  <c r="C18" i="5241"/>
  <c r="H10" i="5241"/>
  <c r="H36" i="5241"/>
  <c r="H4" i="5241"/>
  <c r="H2" i="5241"/>
  <c r="H11" i="5241"/>
  <c r="H16" i="5241"/>
  <c r="H40" i="5241"/>
  <c r="H8" i="5241"/>
  <c r="H14" i="5241"/>
  <c r="B23" i="5241"/>
  <c r="H28" i="5241"/>
  <c r="H44" i="5241"/>
  <c r="H5" i="5241"/>
  <c r="C17" i="5241"/>
  <c r="H32" i="5241"/>
  <c r="H48" i="5241"/>
  <c r="H45" i="5241"/>
  <c r="H7" i="5241"/>
  <c r="H13" i="5241"/>
  <c r="H15" i="5241"/>
  <c r="C19" i="5241"/>
  <c r="H21" i="5241"/>
  <c r="H30" i="5241"/>
  <c r="H34" i="5241"/>
  <c r="H38" i="5241"/>
  <c r="H42" i="5241"/>
  <c r="H46" i="5241"/>
  <c r="H50" i="5241"/>
  <c r="H18" i="5241"/>
  <c r="H20" i="5241"/>
  <c r="H23" i="5241"/>
  <c r="H26" i="5241"/>
  <c r="H29" i="5241"/>
  <c r="H33" i="5241"/>
  <c r="H37" i="5241"/>
  <c r="H41" i="5241"/>
  <c r="H49" i="5241"/>
  <c r="H3" i="5241"/>
  <c r="H6" i="5241"/>
  <c r="H9" i="5241"/>
  <c r="H12" i="5241"/>
  <c r="H17" i="5241"/>
  <c r="H19" i="5241"/>
  <c r="H22" i="5241"/>
  <c r="H24" i="5241"/>
  <c r="H27" i="5241"/>
  <c r="H31" i="5241"/>
  <c r="H35" i="5241"/>
  <c r="H39" i="5241"/>
  <c r="H43" i="5241"/>
  <c r="H47" i="5241"/>
  <c r="H34" i="5239"/>
  <c r="H35" i="5239"/>
  <c r="H28" i="5239"/>
  <c r="H29" i="5239"/>
  <c r="H17" i="5239"/>
  <c r="H30" i="5239"/>
  <c r="H40" i="5239"/>
  <c r="H43" i="5239"/>
  <c r="H47" i="5239"/>
  <c r="H51" i="5239"/>
  <c r="H8" i="5239"/>
  <c r="H20" i="5239"/>
  <c r="H26" i="5239"/>
  <c r="C19" i="5239"/>
  <c r="H14" i="5239"/>
  <c r="H23" i="5239"/>
  <c r="H37" i="5239"/>
  <c r="H41" i="5239"/>
  <c r="H44" i="5239"/>
  <c r="H48" i="5239"/>
  <c r="H19" i="5239"/>
  <c r="H10" i="5239"/>
  <c r="H6" i="5239"/>
  <c r="H12" i="5239"/>
  <c r="H22" i="5239"/>
  <c r="H18" i="5239"/>
  <c r="H15" i="5239"/>
  <c r="H27" i="5239"/>
  <c r="H13" i="5239"/>
  <c r="H9" i="5239"/>
  <c r="H25" i="5239"/>
  <c r="H38" i="5239"/>
  <c r="H33" i="5239"/>
  <c r="H45" i="5239"/>
  <c r="H49" i="5239"/>
  <c r="H5" i="5239"/>
  <c r="H7" i="5239"/>
  <c r="H21" i="5239"/>
  <c r="H31" i="5239"/>
  <c r="H16" i="5239"/>
  <c r="C18" i="5239"/>
  <c r="B23" i="5239"/>
  <c r="H24" i="5239"/>
  <c r="H32" i="5239"/>
  <c r="H36" i="5239"/>
  <c r="H39" i="5239"/>
  <c r="H42" i="5239"/>
  <c r="H46" i="523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<sst xmlns="http://schemas.openxmlformats.org/spreadsheetml/2006/main" count="3201" uniqueCount="234">
  <si>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</si>
  <si>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</si>
  <si>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</si>
  <si>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</si>
  <si>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</si>
  <si>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</si>
  <si>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</si>
  <si>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</si>
  <si>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</si>
  <si>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</si>
  <si>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</si>
  <si>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</si>
  <si>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</si>
  <si>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</si>
  <si>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</si>
  <si>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</si>
  <si>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</si>
  <si>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</si>
  <si>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</si>
  <si>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</si>
  <si>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</si>
  <si>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</si>
  <si>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</si>
  <si>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</si>
  <si>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</si>
  <si>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</si>
  <si>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</si>
  <si>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</si>
  <si>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</si>
  <si>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</si>
  <si>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</si>
  <si>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</si>
  <si>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</si>
  <si>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</si>
  <si>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</si>
  <si>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</si>
  <si>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</si>
  <si>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</si>
  <si>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</si>
  <si>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</si>
  <si>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</si>
  <si>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</si>
  <si>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</si>
  <si>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</si>
  <si>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</si>
  <si>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</si>
  <si>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</si>
  <si>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</si>
  <si>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</si>
  <si>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</si>
  <si>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</si>
  <si>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</si>
  <si>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</si>
  <si>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</si>
  <si>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</si>
  <si>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</si>
  <si>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</si>
  <si>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</si>
  <si>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</si>
  <si>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</si>
  <si>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</si>
  <si>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</si>
  <si>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</si>
  <si>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</si>
  <si>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</si>
  <si>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</si>
  <si>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</si>
  <si>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</si>
  <si>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</si>
  <si>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</si>
  <si>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</si>
  <si>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</si>
  <si>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</si>
  <si>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</si>
  <si>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</si>
  <si>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</si>
  <si>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</si>
  <si>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</si>
  <si>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</si>
  <si>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</si>
  <si>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</si>
  <si>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</si>
  <si>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</si>
  <si>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</si>
  <si>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</si>
  <si>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</si>
  <si>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</si>
  <si>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</si>
  <si>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</si>
  <si>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</si>
  <si>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</si>
  <si>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</si>
  <si>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</si>
  <si>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</si>
  <si>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</si>
  <si>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</si>
  <si>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</si>
  <si>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</si>
  <si>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</si>
  <si>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</si>
  <si>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</si>
  <si>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</si>
  <si>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</si>
  <si>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</si>
  <si>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</si>
  <si>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</si>
  <si>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</si>
  <si>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</si>
  <si>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</si>
  <si>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</si>
  <si>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</si>
  <si>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</si>
  <si>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</si>
  <si>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</si>
  <si>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</si>
  <si>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</si>
  <si>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</si>
  <si>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</si>
  <si>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</si>
  <si>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</si>
  <si>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</si>
  <si>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</si>
  <si>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</si>
  <si>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</si>
  <si>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</si>
  <si>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</si>
  <si>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</si>
  <si>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</si>
  <si>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</si>
  <si>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</si>
  <si>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</si>
  <si>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</si>
  <si>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</si>
  <si>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</si>
  <si>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</si>
  <si>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</si>
  <si>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</si>
  <si>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</si>
  <si>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</si>
  <si>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</si>
  <si>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</si>
  <si>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</si>
  <si>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</si>
  <si>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</si>
  <si>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</si>
  <si>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</si>
  <si>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</si>
  <si>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</si>
  <si>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</si>
  <si>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</si>
  <si>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</si>
  <si>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</si>
  <si>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</si>
  <si>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</si>
  <si>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</si>
  <si>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</si>
  <si>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</si>
  <si>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</si>
  <si>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</si>
  <si>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</si>
  <si>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</si>
  <si>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</si>
  <si>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</si>
  <si>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</si>
  <si>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</si>
  <si>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</si>
  <si>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</si>
  <si>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</si>
  <si>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</si>
  <si>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</si>
  <si>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</si>
  <si>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</si>
  <si>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</si>
  <si>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</si>
  <si>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</si>
  <si>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</si>
  <si>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</si>
  <si>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</si>
  <si>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</si>
  <si>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</si>
  <si>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</si>
  <si>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</si>
  <si>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</si>
  <si>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</si>
  <si>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</si>
  <si>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</si>
  <si>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</si>
  <si>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</si>
  <si>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</si>
  <si>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</si>
  <si>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</si>
  <si>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</si>
  <si>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</si>
  <si>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</si>
  <si>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</si>
  <si>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</si>
  <si>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</si>
  <si>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</si>
  <si>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</si>
  <si>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</si>
  <si>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</si>
  <si>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</si>
  <si>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</si>
  <si>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</si>
  <si>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</si>
  <si>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</si>
  <si>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</si>
  <si>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</si>
  <si>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</si>
  <si>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</si>
  <si>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</si>
  <si>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</si>
  <si>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</si>
  <si>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</si>
  <si>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</si>
  <si>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</si>
  <si>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</si>
  <si>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</si>
  <si>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</si>
  <si>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</si>
  <si>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</si>
  <si>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</si>
  <si>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</si>
  <si>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</si>
  <si>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</si>
  <si>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</si>
  <si>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</si>
  <si>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</si>
  <si>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</si>
  <si>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</si>
  <si>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</si>
  <si>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</si>
  <si>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</si>
  <si>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役一覧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</si>
</sst>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全体!$K$2:$K$510</c:f>
              <c:numCache>
                <c:formatCode>General</c:formatCode>
                <c:ptCount val="5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</c:numCache>
            </c:numRef>
          </c:xVal>
          <c:yVal>
            <c:numRef>
              <c:f>全体!$L$2:$L$510</c:f>
              <c:numCache>
                <c:formatCode>\+0.0;\-0.0;\±0</c:formatCode>
                <c:ptCount val="50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-63.399999999999991</c:v>
                </c:pt>
                <c:pt idx="503">
                  <c:v>-65.199999999999989</c:v>
                </c:pt>
                <c:pt idx="504">
                  <c:v>1.4210854715202004E-14</c:v>
                </c:pt>
                <c:pt idx="506">
                  <c:v>-20.299999999999986</c:v>
                </c:pt>
                <c:pt idx="507">
                  <c:v>-66.399999999999991</c:v>
                </c:pt>
                <c:pt idx="508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8-4D21-847A-D71312EA5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-15.779092702169626</c:v>
                </c:pt>
                <c:pt idx="1">
                  <c:v>-8.0808080808080813</c:v>
                </c:pt>
                <c:pt idx="2">
                  <c:v>12.738853503184714</c:v>
                </c:pt>
                <c:pt idx="3">
                  <c:v>7.042253521126761</c:v>
                </c:pt>
                <c:pt idx="4">
                  <c:v>-10.498687664041995</c:v>
                </c:pt>
                <c:pt idx="5">
                  <c:v>20.114942528735632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2-41B5-B9C9-1B5C9145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だいち!$L$2:$L$115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6-4AA6-A9E4-D134463F6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1882.3008849557523</c:v>
                </c:pt>
                <c:pt idx="1">
                  <c:v>1505.4545454545455</c:v>
                </c:pt>
                <c:pt idx="2">
                  <c:v>1478.0952380952381</c:v>
                </c:pt>
                <c:pt idx="3">
                  <c:v>2204.2105263157896</c:v>
                </c:pt>
                <c:pt idx="4">
                  <c:v>-3.6144578313253013</c:v>
                </c:pt>
                <c:pt idx="5">
                  <c:v>259.45945945945948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9-4398-A9BB-FF2E60A3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りくと!$L$2:$L$115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5-4553-B46F-D80234A2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285.84070796460179</c:v>
                </c:pt>
                <c:pt idx="1">
                  <c:v>-2498.1651376146788</c:v>
                </c:pt>
                <c:pt idx="2">
                  <c:v>6.6037735849056602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541-BBE0-523AABE7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ただ!$L$2:$L$61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-921.89999999999975</c:v>
                </c:pt>
                <c:pt idx="59">
                  <c:v>-942.1999999999997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9-42C9-9D36-D491E8C53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-2432.2033898305085</c:v>
                </c:pt>
                <c:pt idx="1">
                  <c:v>-1066.6666666666667</c:v>
                </c:pt>
                <c:pt idx="2">
                  <c:v>-847.16981132075466</c:v>
                </c:pt>
                <c:pt idx="3">
                  <c:v>-6021.739130434783</c:v>
                </c:pt>
                <c:pt idx="4">
                  <c:v>-1030</c:v>
                </c:pt>
                <c:pt idx="5">
                  <c:v>-1835.1351351351352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AE-41C6-91C3-B34D6235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B-4605-BA70-4172911E2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-795.6521739130435</c:v>
                </c:pt>
                <c:pt idx="1">
                  <c:v>854.41176470588232</c:v>
                </c:pt>
                <c:pt idx="2">
                  <c:v>1390.7692307692307</c:v>
                </c:pt>
                <c:pt idx="3">
                  <c:v>2243.6363636363635</c:v>
                </c:pt>
                <c:pt idx="4">
                  <c:v>-1202.0408163265306</c:v>
                </c:pt>
                <c:pt idx="5">
                  <c:v>802.22222222222217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F-450C-AA45-2BFEB4CE5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1-45AD-B18E-983804B72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A-4B93-81BD-4766B71A9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47-4C27-B895-C61E9C272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9-42A3-A235-C1A26D94A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9-473A-B2C5-40C996CE3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591.66666666666663</c:v>
                </c:pt>
                <c:pt idx="1">
                  <c:v>147.05882352941177</c:v>
                </c:pt>
                <c:pt idx="2">
                  <c:v>-1521.875</c:v>
                </c:pt>
                <c:pt idx="3">
                  <c:v>2996.7741935483873</c:v>
                </c:pt>
                <c:pt idx="4">
                  <c:v>-562.96296296296293</c:v>
                </c:pt>
                <c:pt idx="5">
                  <c:v>378.26086956521738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2-4F4F-A710-CA3D8547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D-44B3-96D7-2E6B1599F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B-4240-A270-47BE123C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A-4B65-BF17-3A7AE94E4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0-42CB-8B83-CC1F05300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B-4660-905C-55D2B8FC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8F-4652-AEC5-C07979705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9-4CE3-ABD9-482E7954A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0-4844-B899-0F10622F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B-4F17-B2F6-44E42827D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C-47AF-BD37-37881BACD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まっつん2!$B$3:$B$39</c:f>
              <c:numCache>
                <c:formatCode>\+0.0;\-0.0;\±0</c:formatCode>
                <c:ptCount val="3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まっつん2!$C$3:$C$39</c:f>
              <c:numCache>
                <c:formatCode>\+0.0;\-0.0;\±0</c:formatCode>
                <c:ptCount val="37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797412345512205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まっつん2!$D$3:$D$39</c:f>
              <c:numCache>
                <c:formatCode>0.00\ "位"</c:formatCode>
                <c:ptCount val="37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0629921259843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まっつん2!$E$3:$E$39</c:f>
              <c:numCache>
                <c:formatCode>0.0%</c:formatCode>
                <c:ptCount val="3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67716535433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まっつん2!$F$3:$F$39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67716535433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まっつん2!$G$3:$G$39</c:f>
              <c:numCache>
                <c:formatCode>0.0%</c:formatCode>
                <c:ptCount val="37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976509278834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まっつん2!$H$3:$H$39</c:f>
              <c:numCache>
                <c:formatCode>0.0%</c:formatCode>
                <c:ptCount val="37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49213060840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まっつん2!$I$3:$I$39</c:f>
              <c:numCache>
                <c:formatCode>0</c:formatCode>
                <c:ptCount val="37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76.97729052466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まっつん2!$J$3:$J$39</c:f>
              <c:numCache>
                <c:formatCode>0</c:formatCode>
                <c:ptCount val="37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39.3511988716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まっつん2!$K$3:$K$39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204724409448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まっつん2!$L$3:$L$39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204724409448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まっつん2!$M$3:$M$39</c:f>
              <c:numCache>
                <c:formatCode>0.0%</c:formatCode>
                <c:ptCount val="37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841437632135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まっつん2!$N$3:$N$39</c:f>
              <c:numCache>
                <c:formatCode>0.0%</c:formatCode>
                <c:ptCount val="37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24195442800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まっつん2!$O$3:$O$39</c:f>
              <c:numCache>
                <c:formatCode>0.0%</c:formatCode>
                <c:ptCount val="37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17948717948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まっつん2!$P$3:$P$39</c:f>
              <c:numCache>
                <c:formatCode>0.0%</c:formatCode>
                <c:ptCount val="37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9944134078212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まっつん2!$Q$3:$Q$39</c:f>
              <c:numCache>
                <c:formatCode>0.0%</c:formatCode>
                <c:ptCount val="37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527799530148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43605.945185185185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232</v>
      </c>
      <c r="B44" s="31">
        <v>43606.838645833333</v>
      </c>
      <c r="C44" s="30" t="s">
        <v>130</v>
      </c>
      <c r="D44" s="30" t="s">
        <v>233</v>
      </c>
      <c r="E44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508</v>
      </c>
    </row>
    <row r="2" spans="1:2" x14ac:dyDescent="0.4">
      <c r="A2" t="s">
        <v>127</v>
      </c>
      <c r="B2">
        <v>113</v>
      </c>
    </row>
    <row r="3" spans="1:2" x14ac:dyDescent="0.4">
      <c r="A3" t="s">
        <v>128</v>
      </c>
      <c r="B3">
        <v>113</v>
      </c>
    </row>
    <row r="4" spans="1:2" x14ac:dyDescent="0.4">
      <c r="A4" t="s">
        <v>129</v>
      </c>
      <c r="B4">
        <v>59</v>
      </c>
    </row>
    <row r="5" spans="1:2" x14ac:dyDescent="0.4">
      <c r="A5" t="s">
        <v>171</v>
      </c>
      <c r="B5">
        <v>69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36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0.37436343599102107</v>
      </c>
      <c r="G2" s="155"/>
      <c r="H2" s="154">
        <v>5.4677529785345777E-2</v>
      </c>
      <c r="I2" s="155"/>
      <c r="J2" s="154">
        <v>0.56257693333704317</v>
      </c>
      <c r="K2" s="155"/>
      <c r="L2" s="154">
        <v>0.20248301191259582</v>
      </c>
      <c r="M2" s="155"/>
      <c r="N2" s="154">
        <v>0.4745187412431407</v>
      </c>
      <c r="O2" s="155"/>
      <c r="P2" s="154">
        <v>0.44110337337790834</v>
      </c>
      <c r="Q2" s="155"/>
      <c r="R2" s="154">
        <v>-6.1907063226128135E-2</v>
      </c>
      <c r="S2" s="155"/>
      <c r="T2" s="154">
        <v>0.17465942930395903</v>
      </c>
      <c r="U2" s="155"/>
      <c r="V2" s="154">
        <v>0.6904780927857419</v>
      </c>
      <c r="W2" s="155"/>
      <c r="X2" s="154">
        <v>0.89090428830478186</v>
      </c>
      <c r="Y2" s="155"/>
      <c r="Z2" s="154">
        <v>-0.14314692057681086</v>
      </c>
      <c r="AA2" s="155"/>
      <c r="AB2" s="154">
        <v>-0.45666441246803208</v>
      </c>
      <c r="AC2" s="155"/>
      <c r="AD2" s="154">
        <v>1.6129731623506581E-2</v>
      </c>
      <c r="AE2" s="155"/>
      <c r="AF2" s="154">
        <v>-0.44351283796591051</v>
      </c>
      <c r="AG2" s="155"/>
      <c r="AH2" s="154">
        <v>0.69225785621267444</v>
      </c>
      <c r="AI2" s="155"/>
    </row>
    <row r="3" spans="1:35" x14ac:dyDescent="0.4">
      <c r="A3" s="74">
        <v>1</v>
      </c>
      <c r="B3" s="75" t="s">
        <v>127</v>
      </c>
      <c r="C3" s="76">
        <v>1346.8000000000009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0.17699115044247787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106.19999999999999</v>
      </c>
      <c r="D4" s="85" t="s">
        <v>224</v>
      </c>
      <c r="E4" s="97">
        <v>13.3</v>
      </c>
      <c r="F4" s="85" t="s">
        <v>127</v>
      </c>
      <c r="G4" s="86">
        <v>1.7433628318584071</v>
      </c>
      <c r="H4" s="85" t="s">
        <v>127</v>
      </c>
      <c r="I4" s="87">
        <v>0.49557522123893805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9756.707317073171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0.13043478260869565</v>
      </c>
      <c r="X4" s="85" t="s">
        <v>127</v>
      </c>
      <c r="Y4" s="88">
        <v>0.32713347921225383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85.800000000000011</v>
      </c>
      <c r="D5" s="85" t="s">
        <v>127</v>
      </c>
      <c r="E5" s="97">
        <v>11.918584070796468</v>
      </c>
      <c r="F5" s="85" t="s">
        <v>177</v>
      </c>
      <c r="G5" s="86">
        <v>1.9166666666666667</v>
      </c>
      <c r="H5" s="85" t="s">
        <v>177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0.34901531728665208</v>
      </c>
      <c r="N5" s="85" t="s">
        <v>172</v>
      </c>
      <c r="O5" s="88">
        <v>0.13291139240506328</v>
      </c>
      <c r="P5" s="85" t="s">
        <v>128</v>
      </c>
      <c r="Q5" s="89">
        <v>9246.8503937007881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0.11864406779661017</v>
      </c>
      <c r="X5" s="85" t="s">
        <v>128</v>
      </c>
      <c r="Y5" s="88">
        <v>0.29594017094017094</v>
      </c>
      <c r="Z5" s="85" t="s">
        <v>173</v>
      </c>
      <c r="AA5" s="88">
        <v>0.24853801169590642</v>
      </c>
      <c r="AB5" s="85" t="s">
        <v>177</v>
      </c>
      <c r="AC5" s="88">
        <v>0.69117647058823528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2.3833333333333337</v>
      </c>
      <c r="F6" s="85" t="s">
        <v>145</v>
      </c>
      <c r="G6" s="86">
        <v>1.9960629921259843</v>
      </c>
      <c r="H6" s="85" t="s">
        <v>186</v>
      </c>
      <c r="I6" s="87">
        <v>0.41666666666666669</v>
      </c>
      <c r="J6" s="85" t="s">
        <v>127</v>
      </c>
      <c r="K6" s="87">
        <v>0.23893805309734514</v>
      </c>
      <c r="L6" s="85" t="s">
        <v>202</v>
      </c>
      <c r="M6" s="88">
        <v>0.30434782608695654</v>
      </c>
      <c r="N6" s="85" t="s">
        <v>127</v>
      </c>
      <c r="O6" s="88">
        <v>0.15207877461706784</v>
      </c>
      <c r="P6" s="85" t="s">
        <v>127</v>
      </c>
      <c r="Q6" s="89">
        <v>9076.1755485893409</v>
      </c>
      <c r="R6" s="85" t="s">
        <v>173</v>
      </c>
      <c r="S6" s="89">
        <v>-7690.7692307692305</v>
      </c>
      <c r="T6" s="85" t="s">
        <v>225</v>
      </c>
      <c r="U6" s="87">
        <v>0</v>
      </c>
      <c r="V6" s="85" t="s">
        <v>145</v>
      </c>
      <c r="W6" s="87">
        <v>0.11220472440944881</v>
      </c>
      <c r="X6" s="85" t="s">
        <v>171</v>
      </c>
      <c r="Y6" s="88">
        <v>0.27796610169491526</v>
      </c>
      <c r="Z6" s="85" t="s">
        <v>177</v>
      </c>
      <c r="AA6" s="88">
        <v>0.22185430463576158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55.599999999999987</v>
      </c>
      <c r="D7" s="85" t="s">
        <v>171</v>
      </c>
      <c r="E7" s="97">
        <v>1.5391304347826085</v>
      </c>
      <c r="F7" s="85" t="s">
        <v>202</v>
      </c>
      <c r="G7" s="86">
        <v>2</v>
      </c>
      <c r="H7" s="85" t="s">
        <v>145</v>
      </c>
      <c r="I7" s="87">
        <v>0.33267716535433073</v>
      </c>
      <c r="J7" s="85" t="s">
        <v>172</v>
      </c>
      <c r="K7" s="87">
        <v>0.31481481481481483</v>
      </c>
      <c r="L7" s="85" t="s">
        <v>177</v>
      </c>
      <c r="M7" s="88">
        <v>0.30132450331125826</v>
      </c>
      <c r="N7" s="85" t="s">
        <v>171</v>
      </c>
      <c r="O7" s="88">
        <v>0.16271186440677965</v>
      </c>
      <c r="P7" s="85" t="s">
        <v>129</v>
      </c>
      <c r="Q7" s="89">
        <v>9014.4144144144138</v>
      </c>
      <c r="R7" s="85" t="s">
        <v>186</v>
      </c>
      <c r="S7" s="89">
        <v>-7700</v>
      </c>
      <c r="T7" s="85" t="s">
        <v>171</v>
      </c>
      <c r="U7" s="87">
        <v>4.3478260869565216E-2</v>
      </c>
      <c r="V7" s="85" t="s">
        <v>172</v>
      </c>
      <c r="W7" s="87">
        <v>0.1111111111111111</v>
      </c>
      <c r="X7" s="85" t="s">
        <v>145</v>
      </c>
      <c r="Y7" s="88">
        <v>0.27484143763213531</v>
      </c>
      <c r="Z7" s="85" t="s">
        <v>127</v>
      </c>
      <c r="AA7" s="88">
        <v>0.21881838074398249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1.0296296296296295</v>
      </c>
      <c r="F8" s="85" t="s">
        <v>224</v>
      </c>
      <c r="G8" s="86">
        <v>2</v>
      </c>
      <c r="H8" s="85" t="s">
        <v>171</v>
      </c>
      <c r="I8" s="87">
        <v>0.28985507246376813</v>
      </c>
      <c r="J8" s="85" t="s">
        <v>145</v>
      </c>
      <c r="K8" s="87">
        <v>0.33267716535433073</v>
      </c>
      <c r="L8" s="85" t="s">
        <v>173</v>
      </c>
      <c r="M8" s="88">
        <v>0.30116959064327486</v>
      </c>
      <c r="N8" s="85" t="s">
        <v>177</v>
      </c>
      <c r="O8" s="88">
        <v>0.16556291390728478</v>
      </c>
      <c r="P8" s="85" t="s">
        <v>177</v>
      </c>
      <c r="Q8" s="89">
        <v>8735.1648351648346</v>
      </c>
      <c r="R8" s="85" t="s">
        <v>177</v>
      </c>
      <c r="S8" s="89">
        <v>-7782</v>
      </c>
      <c r="T8" s="85" t="s">
        <v>172</v>
      </c>
      <c r="U8" s="87">
        <v>5.5555555555555552E-2</v>
      </c>
      <c r="V8" s="85" t="s">
        <v>128</v>
      </c>
      <c r="W8" s="87">
        <v>8.8495575221238937E-2</v>
      </c>
      <c r="X8" s="85" t="s">
        <v>185</v>
      </c>
      <c r="Y8" s="88">
        <v>0.26315789473684209</v>
      </c>
      <c r="Z8" s="85" t="s">
        <v>185</v>
      </c>
      <c r="AA8" s="88">
        <v>0.21052631578947367</v>
      </c>
      <c r="AB8" s="85" t="s">
        <v>185</v>
      </c>
      <c r="AC8" s="88">
        <v>0.6</v>
      </c>
      <c r="AD8" s="85" t="s">
        <v>171</v>
      </c>
      <c r="AE8" s="88">
        <v>0.4</v>
      </c>
      <c r="AF8" s="85" t="s">
        <v>129</v>
      </c>
      <c r="AG8" s="88">
        <v>0.49549549549549549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1.4210854715202004E-14</v>
      </c>
      <c r="D9" s="85" t="s">
        <v>145</v>
      </c>
      <c r="E9" s="97">
        <v>2.7974123455122054E-17</v>
      </c>
      <c r="F9" s="85" t="s">
        <v>172</v>
      </c>
      <c r="G9" s="86">
        <v>2.0370370370370372</v>
      </c>
      <c r="H9" s="85" t="s">
        <v>173</v>
      </c>
      <c r="I9" s="87">
        <v>0.28205128205128205</v>
      </c>
      <c r="J9" s="85" t="s">
        <v>173</v>
      </c>
      <c r="K9" s="87">
        <v>0.33333333333333331</v>
      </c>
      <c r="L9" s="85" t="s">
        <v>145</v>
      </c>
      <c r="M9" s="88">
        <v>0.29997650927883485</v>
      </c>
      <c r="N9" s="85" t="s">
        <v>145</v>
      </c>
      <c r="O9" s="88">
        <v>0.16654921306084097</v>
      </c>
      <c r="P9" s="85" t="s">
        <v>225</v>
      </c>
      <c r="Q9" s="89">
        <v>8666.6666666666661</v>
      </c>
      <c r="R9" s="85" t="s">
        <v>171</v>
      </c>
      <c r="S9" s="89">
        <v>-7819.791666666667</v>
      </c>
      <c r="T9" s="85" t="s">
        <v>173</v>
      </c>
      <c r="U9" s="87">
        <v>0.10256410256410256</v>
      </c>
      <c r="V9" s="85" t="s">
        <v>177</v>
      </c>
      <c r="W9" s="87">
        <v>8.3333333333333329E-2</v>
      </c>
      <c r="X9" s="85" t="s">
        <v>129</v>
      </c>
      <c r="Y9" s="88">
        <v>0.25720164609053497</v>
      </c>
      <c r="Z9" s="85" t="s">
        <v>145</v>
      </c>
      <c r="AA9" s="88">
        <v>0.21024195442800095</v>
      </c>
      <c r="AB9" s="85" t="s">
        <v>172</v>
      </c>
      <c r="AC9" s="88">
        <v>0.59047619047619049</v>
      </c>
      <c r="AD9" s="85" t="s">
        <v>145</v>
      </c>
      <c r="AE9" s="88">
        <v>0.38994413407821227</v>
      </c>
      <c r="AF9" s="85" t="s">
        <v>145</v>
      </c>
      <c r="AG9" s="88">
        <v>0.43852779953014881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-2.8646017699115052</v>
      </c>
      <c r="F10" s="85" t="s">
        <v>173</v>
      </c>
      <c r="G10" s="86">
        <v>2.0512820512820511</v>
      </c>
      <c r="H10" s="85" t="s">
        <v>172</v>
      </c>
      <c r="I10" s="87">
        <v>0.27777777777777779</v>
      </c>
      <c r="J10" s="85" t="s">
        <v>177</v>
      </c>
      <c r="K10" s="87">
        <v>0.33333333333333331</v>
      </c>
      <c r="L10" s="85" t="s">
        <v>171</v>
      </c>
      <c r="M10" s="88">
        <v>0.27796610169491526</v>
      </c>
      <c r="N10" s="85" t="s">
        <v>128</v>
      </c>
      <c r="O10" s="88">
        <v>0.17094017094017094</v>
      </c>
      <c r="P10" s="85" t="s">
        <v>145</v>
      </c>
      <c r="Q10" s="89">
        <v>8576.9772905246664</v>
      </c>
      <c r="R10" s="85" t="s">
        <v>145</v>
      </c>
      <c r="S10" s="89">
        <v>-8239.3511988716509</v>
      </c>
      <c r="T10" s="85" t="s">
        <v>145</v>
      </c>
      <c r="U10" s="87">
        <v>0.11220472440944881</v>
      </c>
      <c r="V10" s="85" t="s">
        <v>173</v>
      </c>
      <c r="W10" s="87">
        <v>5.128205128205128E-2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145</v>
      </c>
      <c r="AC10" s="88">
        <v>0.5871794871794872</v>
      </c>
      <c r="AD10" s="85" t="s">
        <v>177</v>
      </c>
      <c r="AE10" s="88">
        <v>0.37313432835820898</v>
      </c>
      <c r="AF10" s="85" t="s">
        <v>171</v>
      </c>
      <c r="AG10" s="88">
        <v>0.43292682926829268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171</v>
      </c>
      <c r="G11" s="86">
        <v>2.0579710144927534</v>
      </c>
      <c r="H11" s="85" t="s">
        <v>128</v>
      </c>
      <c r="I11" s="87">
        <v>0.26548672566371684</v>
      </c>
      <c r="J11" s="85" t="s">
        <v>128</v>
      </c>
      <c r="K11" s="87">
        <v>0.34513274336283184</v>
      </c>
      <c r="L11" s="85" t="s">
        <v>128</v>
      </c>
      <c r="M11" s="88">
        <v>0.27136752136752135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-8412.9496402877703</v>
      </c>
      <c r="T11" s="85" t="s">
        <v>127</v>
      </c>
      <c r="U11" s="87">
        <v>0.11504424778761062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171</v>
      </c>
      <c r="AA11" s="88">
        <v>0.1864406779661017</v>
      </c>
      <c r="AB11" s="85" t="s">
        <v>171</v>
      </c>
      <c r="AC11" s="88">
        <v>0.58536585365853655</v>
      </c>
      <c r="AD11" s="85" t="s">
        <v>173</v>
      </c>
      <c r="AE11" s="88">
        <v>0.3411764705882353</v>
      </c>
      <c r="AF11" s="85" t="s">
        <v>128</v>
      </c>
      <c r="AG11" s="88">
        <v>0.42125984251968501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-5.7410256410256411</v>
      </c>
      <c r="F12" s="85" t="s">
        <v>128</v>
      </c>
      <c r="G12" s="86">
        <v>2.0796460176991149</v>
      </c>
      <c r="H12" s="85" t="s">
        <v>129</v>
      </c>
      <c r="I12" s="87">
        <v>0.23728813559322035</v>
      </c>
      <c r="J12" s="85" t="s">
        <v>171</v>
      </c>
      <c r="K12" s="87">
        <v>0.34782608695652173</v>
      </c>
      <c r="L12" s="85" t="s">
        <v>186</v>
      </c>
      <c r="M12" s="88">
        <v>0.26923076923076922</v>
      </c>
      <c r="N12" s="85" t="s">
        <v>173</v>
      </c>
      <c r="O12" s="88">
        <v>0.19005847953216373</v>
      </c>
      <c r="P12" s="85" t="s">
        <v>186</v>
      </c>
      <c r="Q12" s="89">
        <v>7700</v>
      </c>
      <c r="R12" s="85" t="s">
        <v>172</v>
      </c>
      <c r="S12" s="89">
        <v>-9374.6031746031749</v>
      </c>
      <c r="T12" s="85" t="s">
        <v>128</v>
      </c>
      <c r="U12" s="87">
        <v>0.12389380530973451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0.18162393162393162</v>
      </c>
      <c r="AB12" s="85" t="s">
        <v>128</v>
      </c>
      <c r="AC12" s="88">
        <v>0.58483754512635377</v>
      </c>
      <c r="AD12" s="85" t="s">
        <v>128</v>
      </c>
      <c r="AE12" s="88">
        <v>0.29411764705882354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0.49152542372881358</v>
      </c>
      <c r="L13" s="85" t="s">
        <v>185</v>
      </c>
      <c r="M13" s="88">
        <v>0.26315789473684209</v>
      </c>
      <c r="N13" s="85" t="s">
        <v>129</v>
      </c>
      <c r="O13" s="88">
        <v>0.19341563786008231</v>
      </c>
      <c r="P13" s="85" t="s">
        <v>202</v>
      </c>
      <c r="Q13" s="89">
        <v>7438.0952380952385</v>
      </c>
      <c r="R13" s="85" t="s">
        <v>129</v>
      </c>
      <c r="S13" s="89">
        <v>-9602.1276595744675</v>
      </c>
      <c r="T13" s="85" t="s">
        <v>177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0.16049382716049382</v>
      </c>
      <c r="AB13" s="85" t="s">
        <v>127</v>
      </c>
      <c r="AC13" s="88">
        <v>0.57859531772575246</v>
      </c>
      <c r="AD13" s="85" t="s">
        <v>129</v>
      </c>
      <c r="AE13" s="88">
        <v>0.24358974358974358</v>
      </c>
      <c r="AF13" s="85" t="s">
        <v>127</v>
      </c>
      <c r="AG13" s="88">
        <v>0.41692789968652039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-323.7000000000001</v>
      </c>
      <c r="D14" s="85" t="s">
        <v>129</v>
      </c>
      <c r="E14" s="97">
        <v>-15.969491525423724</v>
      </c>
      <c r="F14" s="85" t="s">
        <v>129</v>
      </c>
      <c r="G14" s="86">
        <v>2.2542372881355934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0.22839506172839505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177</v>
      </c>
      <c r="Y14" s="88">
        <v>0.2251655629139073</v>
      </c>
      <c r="Z14" s="85" t="s">
        <v>225</v>
      </c>
      <c r="AA14" s="88">
        <v>0.125</v>
      </c>
      <c r="AB14" s="85" t="s">
        <v>129</v>
      </c>
      <c r="AC14" s="88">
        <v>0.52</v>
      </c>
      <c r="AD14" s="85" t="s">
        <v>224</v>
      </c>
      <c r="AE14" s="88">
        <v>0</v>
      </c>
      <c r="AF14" s="85" t="s">
        <v>177</v>
      </c>
      <c r="AG14" s="88">
        <v>0.40659340659340659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-942.1999999999997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0.20338983050847459</v>
      </c>
      <c r="V15" s="85" t="s">
        <v>225</v>
      </c>
      <c r="W15" s="87">
        <v>0</v>
      </c>
      <c r="X15" s="85" t="s">
        <v>172</v>
      </c>
      <c r="Y15" s="88">
        <v>0.22151898734177214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1DE2-DBF1-4511-A66F-3BC2C483E97C}">
  <sheetPr codeName="Sheet4"/>
  <dimension ref="A1:Q51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508</v>
      </c>
      <c r="C2" s="147"/>
      <c r="E2" s="62" t="s">
        <v>67</v>
      </c>
      <c r="F2" s="59" t="s">
        <v>23</v>
      </c>
      <c r="G2" s="46">
        <v>940</v>
      </c>
      <c r="H2" s="132">
        <f>IF(B$17=0,0,G2/B$17)</f>
        <v>0.73610023492560694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-15.779092702169626</v>
      </c>
      <c r="P2" s="118">
        <v>507</v>
      </c>
      <c r="Q2" s="102">
        <v>-8000</v>
      </c>
    </row>
    <row r="3" spans="1:17" x14ac:dyDescent="0.4">
      <c r="A3" s="55" t="s">
        <v>8</v>
      </c>
      <c r="B3" s="148">
        <v>4257</v>
      </c>
      <c r="C3" s="149"/>
      <c r="E3" s="63" t="s">
        <v>65</v>
      </c>
      <c r="F3" s="60" t="s">
        <v>21</v>
      </c>
      <c r="G3" s="47">
        <v>660</v>
      </c>
      <c r="H3" s="133">
        <f>IF(B$17=0,0,G3/B$17)</f>
        <v>0.51683633516053251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-8.0808080808080813</v>
      </c>
      <c r="P3" s="119">
        <v>495</v>
      </c>
      <c r="Q3" s="103">
        <v>-4000</v>
      </c>
    </row>
    <row r="4" spans="1:17" x14ac:dyDescent="0.4">
      <c r="A4" s="55" t="s">
        <v>6</v>
      </c>
      <c r="B4" s="150">
        <v>1.4210854715202004E-14</v>
      </c>
      <c r="C4" s="151"/>
      <c r="E4" s="63" t="s">
        <v>73</v>
      </c>
      <c r="F4" s="60" t="s">
        <v>28</v>
      </c>
      <c r="G4" s="47">
        <v>655</v>
      </c>
      <c r="H4" s="133">
        <f>IF(B$17=0,0,G4/B$17)</f>
        <v>0.51292090837901327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12.738853503184714</v>
      </c>
      <c r="P4" s="119">
        <v>471</v>
      </c>
      <c r="Q4" s="103">
        <v>6000</v>
      </c>
    </row>
    <row r="5" spans="1:17" x14ac:dyDescent="0.4">
      <c r="A5" s="55" t="s">
        <v>7</v>
      </c>
      <c r="B5" s="152">
        <f>IF(B$2=0,0,B$4/B$2)</f>
        <v>2.7974123455122054E-17</v>
      </c>
      <c r="C5" s="153"/>
      <c r="E5" s="63" t="s">
        <v>181</v>
      </c>
      <c r="F5" s="60" t="s">
        <v>182</v>
      </c>
      <c r="G5" s="47">
        <v>512</v>
      </c>
      <c r="H5" s="133">
        <f>IF(B$17=0,0,G5/B$17)</f>
        <v>0.4009397024275646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7.042253521126761</v>
      </c>
      <c r="P5" s="119">
        <v>426</v>
      </c>
      <c r="Q5" s="103">
        <v>3000</v>
      </c>
    </row>
    <row r="6" spans="1:17" x14ac:dyDescent="0.4">
      <c r="A6" s="55" t="s">
        <v>1</v>
      </c>
      <c r="B6" s="142">
        <f>IF(B$2=0,0,(B$7*1+B$8*2+B$9*3)/B$2)</f>
        <v>1.9960629921259843</v>
      </c>
      <c r="C6" s="143"/>
      <c r="E6" s="63" t="s">
        <v>69</v>
      </c>
      <c r="F6" s="60" t="s">
        <v>12</v>
      </c>
      <c r="G6" s="47">
        <v>401</v>
      </c>
      <c r="H6" s="133">
        <f>IF(B$17=0,0,G6/B$17)</f>
        <v>0.3140172278778387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-10.498687664041995</v>
      </c>
      <c r="P6" s="119">
        <v>381</v>
      </c>
      <c r="Q6" s="103">
        <v>-4000</v>
      </c>
    </row>
    <row r="7" spans="1:17" x14ac:dyDescent="0.4">
      <c r="A7" s="55" t="s">
        <v>2</v>
      </c>
      <c r="B7" s="47">
        <v>169</v>
      </c>
      <c r="C7" s="39">
        <f>IF(B$2=0,0,B7/B$2)</f>
        <v>0.33267716535433073</v>
      </c>
      <c r="E7" s="63" t="s">
        <v>68</v>
      </c>
      <c r="F7" s="60" t="s">
        <v>24</v>
      </c>
      <c r="G7" s="47">
        <v>392</v>
      </c>
      <c r="H7" s="133">
        <f>IF(B$17=0,0,G7/B$17)</f>
        <v>0.30696945967110417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20.114942528735632</v>
      </c>
      <c r="P7" s="120">
        <v>348</v>
      </c>
      <c r="Q7" s="104">
        <v>7000</v>
      </c>
    </row>
    <row r="8" spans="1:17" x14ac:dyDescent="0.4">
      <c r="A8" s="55" t="s">
        <v>3</v>
      </c>
      <c r="B8" s="47">
        <v>169</v>
      </c>
      <c r="C8" s="39">
        <f>IF(B$2=0,0,B8/B$2)</f>
        <v>0.33267716535433073</v>
      </c>
      <c r="E8" s="63" t="s">
        <v>70</v>
      </c>
      <c r="F8" s="60" t="s">
        <v>25</v>
      </c>
      <c r="G8" s="47">
        <v>231</v>
      </c>
      <c r="H8" s="133">
        <f>IF(B$17=0,0,G8/B$17)</f>
        <v>0.18089271730618636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169</v>
      </c>
      <c r="C9" s="40">
        <f t="shared" ref="C9" si="1">IF(B$2=0,0,B9/B$2)</f>
        <v>0.33267716535433073</v>
      </c>
      <c r="E9" s="63" t="s">
        <v>90</v>
      </c>
      <c r="F9" s="60" t="s">
        <v>45</v>
      </c>
      <c r="G9" s="47">
        <v>157</v>
      </c>
      <c r="H9" s="133">
        <f>IF(B$17=0,0,G9/B$17)</f>
        <v>0.12294440093970242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57</v>
      </c>
      <c r="C10" s="40">
        <f>IF(B$2=0,0,B10/B$2)</f>
        <v>0.11220472440944881</v>
      </c>
      <c r="E10" s="63" t="s">
        <v>66</v>
      </c>
      <c r="F10" s="60" t="s">
        <v>22</v>
      </c>
      <c r="G10" s="47">
        <v>153</v>
      </c>
      <c r="H10" s="133">
        <f>IF(B$17=0,0,G10/B$17)</f>
        <v>0.11981205951448708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-1.3899408284023669</v>
      </c>
      <c r="P10" s="118">
        <v>169</v>
      </c>
      <c r="Q10" s="106">
        <v>-234.9</v>
      </c>
    </row>
    <row r="11" spans="1:17" x14ac:dyDescent="0.4">
      <c r="A11" s="56" t="s">
        <v>140</v>
      </c>
      <c r="B11" s="48">
        <v>57</v>
      </c>
      <c r="C11" s="40">
        <f>IF(B$2=0,0,B11/B$2)</f>
        <v>0.11220472440944881</v>
      </c>
      <c r="E11" s="63" t="s">
        <v>71</v>
      </c>
      <c r="F11" s="60" t="s">
        <v>26</v>
      </c>
      <c r="G11" s="47">
        <v>135</v>
      </c>
      <c r="H11" s="133">
        <f>IF(B$17=0,0,G11/B$17)</f>
        <v>0.10571652310101801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-2.0153846153846162</v>
      </c>
      <c r="P11" s="119">
        <v>169</v>
      </c>
      <c r="Q11" s="107">
        <v>-340.60000000000014</v>
      </c>
    </row>
    <row r="12" spans="1:17" x14ac:dyDescent="0.4">
      <c r="A12" s="57" t="s">
        <v>160</v>
      </c>
      <c r="B12" s="49">
        <v>43</v>
      </c>
      <c r="C12" s="42">
        <f>IF(B$2=0,0,B12/B$2)</f>
        <v>8.4645669291338585E-2</v>
      </c>
      <c r="E12" s="63" t="s">
        <v>72</v>
      </c>
      <c r="F12" s="60" t="s">
        <v>27</v>
      </c>
      <c r="G12" s="47">
        <v>83</v>
      </c>
      <c r="H12" s="133">
        <f>IF(B$17=0,0,G12/B$17)</f>
        <v>6.4996084573218482E-2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3.4053254437869831</v>
      </c>
      <c r="P12" s="120">
        <v>169</v>
      </c>
      <c r="Q12" s="108">
        <v>575.50000000000011</v>
      </c>
    </row>
    <row r="13" spans="1:17" x14ac:dyDescent="0.4">
      <c r="A13" s="58" t="s">
        <v>122</v>
      </c>
      <c r="B13" s="50">
        <v>1170</v>
      </c>
      <c r="C13" s="44">
        <f>IF(B$3=0,0,B13/B$3)</f>
        <v>0.27484143763213531</v>
      </c>
      <c r="E13" s="63" t="s">
        <v>87</v>
      </c>
      <c r="F13" s="60" t="s">
        <v>42</v>
      </c>
      <c r="G13" s="47">
        <v>75</v>
      </c>
      <c r="H13" s="133">
        <f>IF(B$17=0,0,G13/B$17)</f>
        <v>5.8731401722787784E-2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895</v>
      </c>
      <c r="C14" s="39">
        <f>IF(B$3=0,0,B14/B$3)</f>
        <v>0.21024195442800095</v>
      </c>
      <c r="E14" s="63" t="s">
        <v>84</v>
      </c>
      <c r="F14" s="60" t="s">
        <v>39</v>
      </c>
      <c r="G14" s="47">
        <v>59</v>
      </c>
      <c r="H14" s="133">
        <f>IF(B$17=0,0,G14/B$17)</f>
        <v>4.6202036021926393E-2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687</v>
      </c>
      <c r="C15" s="37">
        <f>IF(B$13=0,0,B15/B$13)</f>
        <v>0.5871794871794872</v>
      </c>
      <c r="E15" s="63" t="s">
        <v>82</v>
      </c>
      <c r="F15" s="60" t="s">
        <v>37</v>
      </c>
      <c r="G15" s="47">
        <v>37</v>
      </c>
      <c r="H15" s="133">
        <f>IF(B$17=0,0,G15/B$17)</f>
        <v>2.8974158183241974E-2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349</v>
      </c>
      <c r="C16" s="37">
        <f>IF(B$14=0,0,B16/B$14)</f>
        <v>0.38994413407821227</v>
      </c>
      <c r="E16" s="63" t="s">
        <v>79</v>
      </c>
      <c r="F16" s="60" t="s">
        <v>34</v>
      </c>
      <c r="G16" s="47">
        <v>29</v>
      </c>
      <c r="H16" s="133">
        <f>IF(B$17=0,0,G16/B$17)</f>
        <v>2.2709475332811275E-2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23.954237288135609</v>
      </c>
      <c r="P16" s="119">
        <v>118</v>
      </c>
      <c r="Q16" s="107">
        <v>2826.6000000000017</v>
      </c>
    </row>
    <row r="17" spans="1:17" x14ac:dyDescent="0.4">
      <c r="A17" s="54" t="s">
        <v>10</v>
      </c>
      <c r="B17" s="46">
        <f>B19+B18</f>
        <v>1277</v>
      </c>
      <c r="C17" s="37">
        <f>IF(B$3=0,0,B17/B$3)</f>
        <v>0.29997650927883485</v>
      </c>
      <c r="E17" s="63" t="s">
        <v>92</v>
      </c>
      <c r="F17" s="60" t="s">
        <v>47</v>
      </c>
      <c r="G17" s="47">
        <v>22</v>
      </c>
      <c r="H17" s="133">
        <f>IF(B$17=0,0,G17/B$17)</f>
        <v>1.7227877838684416E-2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560</v>
      </c>
      <c r="C18" s="39">
        <f>IF(B$17=0,0,B18/B$17)</f>
        <v>0.43852779953014881</v>
      </c>
      <c r="E18" s="63" t="s">
        <v>80</v>
      </c>
      <c r="F18" s="60" t="s">
        <v>35</v>
      </c>
      <c r="G18" s="47">
        <v>21</v>
      </c>
      <c r="H18" s="133">
        <f>IF(B$17=0,0,G18/B$17)</f>
        <v>1.644479248238058E-2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8.6115384615384585</v>
      </c>
      <c r="P18" s="119">
        <v>78</v>
      </c>
      <c r="Q18" s="107">
        <v>671.69999999999982</v>
      </c>
    </row>
    <row r="19" spans="1:17" x14ac:dyDescent="0.4">
      <c r="A19" s="55" t="s">
        <v>11</v>
      </c>
      <c r="B19" s="47">
        <v>717</v>
      </c>
      <c r="C19" s="39">
        <f>IF(B$17=0,0,B19/B$17)</f>
        <v>0.56147220046985125</v>
      </c>
      <c r="E19" s="63" t="s">
        <v>180</v>
      </c>
      <c r="F19" s="60" t="s">
        <v>183</v>
      </c>
      <c r="G19" s="47">
        <v>17</v>
      </c>
      <c r="H19" s="133">
        <f>IF(B$17=0,0,G19/B$17)</f>
        <v>1.331245105716523E-2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709</v>
      </c>
      <c r="C20" s="39">
        <f>IF(B$3=0,0,B20/B$3)</f>
        <v>0.16654921306084097</v>
      </c>
      <c r="E20" s="63" t="s">
        <v>76</v>
      </c>
      <c r="F20" s="60" t="s">
        <v>31</v>
      </c>
      <c r="G20" s="47">
        <v>9</v>
      </c>
      <c r="H20" s="133">
        <f>IF(B$17=0,0,G20/B$17)</f>
        <v>7.0477682067345343E-3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4.2969026548672575</v>
      </c>
      <c r="P20" s="119">
        <v>226</v>
      </c>
      <c r="Q20" s="107">
        <v>971.10000000000014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8</v>
      </c>
      <c r="H21" s="133">
        <f>IF(B$17=0,0,G21/B$17)</f>
        <v>6.2646828504306969E-3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-1.5444444444444463</v>
      </c>
      <c r="P21" s="119">
        <v>108</v>
      </c>
      <c r="Q21" s="107">
        <v>-166.80000000000021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75</v>
      </c>
      <c r="F22" s="60" t="s">
        <v>30</v>
      </c>
      <c r="G22" s="47">
        <v>5</v>
      </c>
      <c r="H22" s="133">
        <f>IF(B$17=0,0,G22/B$17)</f>
        <v>3.9154267815191858E-3</v>
      </c>
      <c r="I22" s="94">
        <v>4</v>
      </c>
      <c r="K22" s="38">
        <v>20</v>
      </c>
      <c r="L22" s="99">
        <v>0.79999999999999716</v>
      </c>
      <c r="N22" s="115" t="s">
        <v>171</v>
      </c>
      <c r="O22" s="125">
        <f>IF(P22=0,0,Q22/P22)</f>
        <v>-2.3086956521739106</v>
      </c>
      <c r="P22" s="119">
        <v>138</v>
      </c>
      <c r="Q22" s="107">
        <v>-318.59999999999968</v>
      </c>
    </row>
    <row r="23" spans="1:17" x14ac:dyDescent="0.4">
      <c r="A23" s="55" t="s">
        <v>5</v>
      </c>
      <c r="B23" s="51">
        <f>IF(B$17=0,0,C23/B$17)</f>
        <v>8576.9772905246664</v>
      </c>
      <c r="C23" s="41">
        <v>10952800</v>
      </c>
      <c r="E23" s="63" t="s">
        <v>93</v>
      </c>
      <c r="F23" s="60" t="s">
        <v>48</v>
      </c>
      <c r="G23" s="47">
        <v>5</v>
      </c>
      <c r="H23" s="133">
        <f>IF(B$17=0,0,G23/B$17)</f>
        <v>3.9154267815191858E-3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-3.575000000000002</v>
      </c>
      <c r="P23" s="119">
        <v>72</v>
      </c>
      <c r="Q23" s="107">
        <v>-257.40000000000015</v>
      </c>
    </row>
    <row r="24" spans="1:17" x14ac:dyDescent="0.4">
      <c r="A24" s="57" t="s">
        <v>14</v>
      </c>
      <c r="B24" s="52">
        <f>IF(B$20=0,0,C24/B$20)</f>
        <v>-8239.3511988716509</v>
      </c>
      <c r="C24" s="45">
        <v>-5841700</v>
      </c>
      <c r="E24" s="63" t="s">
        <v>88</v>
      </c>
      <c r="F24" s="60" t="s">
        <v>43</v>
      </c>
      <c r="G24" s="47">
        <v>4</v>
      </c>
      <c r="H24" s="133">
        <f>IF(B$17=0,0,G24/B$17)</f>
        <v>3.1323414252153485E-3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-17.877876106194673</v>
      </c>
      <c r="P24" s="119">
        <v>226</v>
      </c>
      <c r="Q24" s="107">
        <v>-4040.399999999996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4</v>
      </c>
      <c r="H25" s="133">
        <f>IF(B$17=0,0,G25/B$17)</f>
        <v>3.1323414252153485E-3</v>
      </c>
      <c r="I25" s="94">
        <v>5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2.3492560689115116E-3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3.0537937514681702E-3</v>
      </c>
      <c r="E27" s="63" t="s">
        <v>85</v>
      </c>
      <c r="F27" s="60" t="s">
        <v>40</v>
      </c>
      <c r="G27" s="47">
        <v>3</v>
      </c>
      <c r="H27" s="133">
        <f>IF(B$17=0,0,G27/B$17)</f>
        <v>2.3492560689115116E-3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2.3492560689115116E-3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1.5661707126076742E-3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1.5661707126076742E-3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7.8308535630383712E-4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7.8308535630383712E-4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7.8308535630383712E-4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-63.399999999999991</v>
      </c>
    </row>
    <row r="505" spans="11:12" x14ac:dyDescent="0.4">
      <c r="K505" s="38">
        <v>503</v>
      </c>
      <c r="L505" s="99">
        <v>-65.199999999999989</v>
      </c>
    </row>
    <row r="506" spans="11:12" x14ac:dyDescent="0.4">
      <c r="K506" s="38">
        <v>504</v>
      </c>
      <c r="L506" s="99">
        <v>1.4210854715202004E-14</v>
      </c>
    </row>
    <row r="508" spans="11:12" x14ac:dyDescent="0.4">
      <c r="K508" s="38">
        <v>506</v>
      </c>
      <c r="L508" s="99">
        <v>-20.299999999999986</v>
      </c>
    </row>
    <row r="509" spans="11:12" x14ac:dyDescent="0.4">
      <c r="K509" s="38">
        <v>507</v>
      </c>
      <c r="L509" s="99">
        <v>-66.399999999999991</v>
      </c>
    </row>
    <row r="510" spans="11:12" x14ac:dyDescent="0.4">
      <c r="K510" s="38">
        <v>508</v>
      </c>
      <c r="L510" s="99">
        <v>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4D86-BF82-4C24-A5DA-C833577461A5}">
  <sheetPr codeName="Sheet7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113</v>
      </c>
      <c r="C2" s="147"/>
      <c r="E2" s="62" t="s">
        <v>65</v>
      </c>
      <c r="F2" s="59" t="s">
        <v>21</v>
      </c>
      <c r="G2" s="46">
        <v>161</v>
      </c>
      <c r="H2" s="132">
        <f>IF(B$17=0,0,G2/B$17)</f>
        <v>0.50470219435736674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1882.3008849557523</v>
      </c>
      <c r="P2" s="118">
        <v>113</v>
      </c>
      <c r="Q2" s="102">
        <v>212700</v>
      </c>
    </row>
    <row r="3" spans="1:17" x14ac:dyDescent="0.4">
      <c r="A3" s="55" t="s">
        <v>8</v>
      </c>
      <c r="B3" s="148">
        <v>914</v>
      </c>
      <c r="C3" s="149"/>
      <c r="E3" s="63" t="s">
        <v>66</v>
      </c>
      <c r="F3" s="60" t="s">
        <v>22</v>
      </c>
      <c r="G3" s="47">
        <v>49</v>
      </c>
      <c r="H3" s="133">
        <f>IF(B$17=0,0,G3/B$17)</f>
        <v>0.15360501567398119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1505.4545454545455</v>
      </c>
      <c r="P3" s="119">
        <v>110</v>
      </c>
      <c r="Q3" s="103">
        <v>165600</v>
      </c>
    </row>
    <row r="4" spans="1:17" x14ac:dyDescent="0.4">
      <c r="A4" s="55" t="s">
        <v>6</v>
      </c>
      <c r="B4" s="150">
        <v>1346.8000000000009</v>
      </c>
      <c r="C4" s="151"/>
      <c r="E4" s="63" t="s">
        <v>67</v>
      </c>
      <c r="F4" s="60" t="s">
        <v>23</v>
      </c>
      <c r="G4" s="47">
        <v>230</v>
      </c>
      <c r="H4" s="133">
        <f>IF(B$17=0,0,G4/B$17)</f>
        <v>0.72100313479623823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1478.0952380952381</v>
      </c>
      <c r="P4" s="119">
        <v>105</v>
      </c>
      <c r="Q4" s="103">
        <v>155200</v>
      </c>
    </row>
    <row r="5" spans="1:17" x14ac:dyDescent="0.4">
      <c r="A5" s="55" t="s">
        <v>7</v>
      </c>
      <c r="B5" s="152">
        <f>IF(B$2=0,0,B$4/B$2)</f>
        <v>11.918584070796468</v>
      </c>
      <c r="C5" s="153"/>
      <c r="E5" s="63" t="s">
        <v>68</v>
      </c>
      <c r="F5" s="60" t="s">
        <v>24</v>
      </c>
      <c r="G5" s="47">
        <v>97</v>
      </c>
      <c r="H5" s="133">
        <f>IF(B$17=0,0,G5/B$17)</f>
        <v>0.30407523510971785</v>
      </c>
      <c r="I5" s="94">
        <v>8</v>
      </c>
      <c r="K5" s="38">
        <v>3</v>
      </c>
      <c r="L5" s="99">
        <v>70.399999999999991</v>
      </c>
      <c r="N5" s="115" t="s">
        <v>135</v>
      </c>
      <c r="O5" s="122">
        <f t="shared" si="0"/>
        <v>2204.2105263157896</v>
      </c>
      <c r="P5" s="119">
        <v>95</v>
      </c>
      <c r="Q5" s="103">
        <v>209400</v>
      </c>
    </row>
    <row r="6" spans="1:17" x14ac:dyDescent="0.4">
      <c r="A6" s="55" t="s">
        <v>1</v>
      </c>
      <c r="B6" s="142">
        <f>IF(B$2=0,0,(B$7*1+B$8*2+B$9*3)/B$2)</f>
        <v>1.7433628318584071</v>
      </c>
      <c r="C6" s="143"/>
      <c r="E6" s="63" t="s">
        <v>69</v>
      </c>
      <c r="F6" s="60" t="s">
        <v>12</v>
      </c>
      <c r="G6" s="47">
        <v>84</v>
      </c>
      <c r="H6" s="133">
        <f>IF(B$17=0,0,G6/B$17)</f>
        <v>0.26332288401253917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-3.6144578313253013</v>
      </c>
      <c r="P6" s="119">
        <v>83</v>
      </c>
      <c r="Q6" s="103">
        <v>-300</v>
      </c>
    </row>
    <row r="7" spans="1:17" x14ac:dyDescent="0.4">
      <c r="A7" s="55" t="s">
        <v>2</v>
      </c>
      <c r="B7" s="47">
        <v>56</v>
      </c>
      <c r="C7" s="39">
        <f>IF(B$2=0,0,B7/B$2)</f>
        <v>0.49557522123893805</v>
      </c>
      <c r="E7" s="63" t="s">
        <v>70</v>
      </c>
      <c r="F7" s="60" t="s">
        <v>25</v>
      </c>
      <c r="G7" s="47">
        <v>59</v>
      </c>
      <c r="H7" s="133">
        <f>IF(B$17=0,0,G7/B$17)</f>
        <v>0.18495297805642633</v>
      </c>
      <c r="I7" s="94">
        <v>6</v>
      </c>
      <c r="K7" s="38">
        <v>5</v>
      </c>
      <c r="L7" s="99">
        <v>201.4</v>
      </c>
      <c r="N7" s="116" t="s">
        <v>137</v>
      </c>
      <c r="O7" s="123">
        <f t="shared" si="0"/>
        <v>259.45945945945948</v>
      </c>
      <c r="P7" s="120">
        <v>74</v>
      </c>
      <c r="Q7" s="104">
        <v>19200</v>
      </c>
    </row>
    <row r="8" spans="1:17" x14ac:dyDescent="0.4">
      <c r="A8" s="55" t="s">
        <v>3</v>
      </c>
      <c r="B8" s="47">
        <v>30</v>
      </c>
      <c r="C8" s="39">
        <f>IF(B$2=0,0,B8/B$2)</f>
        <v>0.26548672566371684</v>
      </c>
      <c r="E8" s="63" t="s">
        <v>71</v>
      </c>
      <c r="F8" s="60" t="s">
        <v>26</v>
      </c>
      <c r="G8" s="47">
        <v>33</v>
      </c>
      <c r="H8" s="133">
        <f>IF(B$17=0,0,G8/B$17)</f>
        <v>0.10344827586206896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0.23893805309734514</v>
      </c>
      <c r="E9" s="63" t="s">
        <v>72</v>
      </c>
      <c r="F9" s="60" t="s">
        <v>27</v>
      </c>
      <c r="G9" s="47">
        <v>22</v>
      </c>
      <c r="H9" s="133">
        <f>IF(B$17=0,0,G9/B$17)</f>
        <v>6.8965517241379309E-2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0.11504424778761062</v>
      </c>
      <c r="E10" s="63" t="s">
        <v>73</v>
      </c>
      <c r="F10" s="60" t="s">
        <v>28</v>
      </c>
      <c r="G10" s="47">
        <v>176</v>
      </c>
      <c r="H10" s="133">
        <f>IF(B$17=0,0,G10/B$17)</f>
        <v>0.55172413793103448</v>
      </c>
      <c r="I10" s="94">
        <v>6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0.17699115044247787</v>
      </c>
      <c r="E11" s="63" t="s">
        <v>74</v>
      </c>
      <c r="F11" s="60" t="s">
        <v>29</v>
      </c>
      <c r="G11" s="47">
        <v>2</v>
      </c>
      <c r="H11" s="133">
        <f>IF(B$17=0,0,G11/B$17)</f>
        <v>6.269592476489028E-3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5.6857142857142859</v>
      </c>
      <c r="P11" s="119">
        <v>35</v>
      </c>
      <c r="Q11" s="107">
        <v>199</v>
      </c>
    </row>
    <row r="12" spans="1:17" x14ac:dyDescent="0.4">
      <c r="A12" s="57" t="s">
        <v>160</v>
      </c>
      <c r="B12" s="49">
        <v>17</v>
      </c>
      <c r="C12" s="42">
        <f>IF(B$2=0,0,B12/B$2)</f>
        <v>0.15044247787610621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299</v>
      </c>
      <c r="C13" s="44">
        <f>IF(B$3=0,0,B13/B$3)</f>
        <v>0.32713347921225383</v>
      </c>
      <c r="E13" s="63" t="s">
        <v>76</v>
      </c>
      <c r="F13" s="60" t="s">
        <v>31</v>
      </c>
      <c r="G13" s="47">
        <v>1</v>
      </c>
      <c r="H13" s="133">
        <f>IF(B$17=0,0,G13/B$17)</f>
        <v>3.134796238244514E-3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200</v>
      </c>
      <c r="C14" s="39">
        <f>IF(B$3=0,0,B14/B$3)</f>
        <v>0.21881838074398249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0.57859531772575246</v>
      </c>
      <c r="E15" s="63" t="s">
        <v>78</v>
      </c>
      <c r="F15" s="60" t="s">
        <v>33</v>
      </c>
      <c r="G15" s="47">
        <v>1</v>
      </c>
      <c r="H15" s="133">
        <f>IF(B$17=0,0,G15/B$17)</f>
        <v>3.134796238244514E-3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 t="shared" ref="O15:O24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102</v>
      </c>
      <c r="C16" s="37">
        <f>IF(B$14=0,0,B16/B$14)</f>
        <v>0.51</v>
      </c>
      <c r="E16" s="63" t="s">
        <v>79</v>
      </c>
      <c r="F16" s="60" t="s">
        <v>34</v>
      </c>
      <c r="G16" s="47">
        <v>6</v>
      </c>
      <c r="H16" s="133">
        <f>IF(B$17=0,0,G16/B$17)</f>
        <v>1.8808777429467086E-2</v>
      </c>
      <c r="I16" s="94">
        <v>8</v>
      </c>
      <c r="K16" s="38">
        <v>14</v>
      </c>
      <c r="L16" s="99">
        <v>473.50000000000006</v>
      </c>
      <c r="N16" s="115" t="s">
        <v>129</v>
      </c>
      <c r="O16" s="125">
        <f t="shared" si="2"/>
        <v>35.458823529411767</v>
      </c>
      <c r="P16" s="119">
        <v>34</v>
      </c>
      <c r="Q16" s="107">
        <v>1205.6000000000001</v>
      </c>
    </row>
    <row r="17" spans="1:17" x14ac:dyDescent="0.4">
      <c r="A17" s="54" t="s">
        <v>10</v>
      </c>
      <c r="B17" s="46">
        <f>B19+B18</f>
        <v>319</v>
      </c>
      <c r="C17" s="37">
        <f>IF(B$3=0,0,B17/B$3)</f>
        <v>0.34901531728665208</v>
      </c>
      <c r="E17" s="63" t="s">
        <v>80</v>
      </c>
      <c r="F17" s="60" t="s">
        <v>35</v>
      </c>
      <c r="G17" s="47">
        <v>4</v>
      </c>
      <c r="H17" s="133">
        <f>IF(B$17=0,0,G17/B$17)</f>
        <v>1.2539184952978056E-2</v>
      </c>
      <c r="I17" s="94">
        <v>5</v>
      </c>
      <c r="K17" s="38">
        <v>15</v>
      </c>
      <c r="L17" s="99">
        <v>481.50000000000006</v>
      </c>
      <c r="N17" s="115" t="s">
        <v>224</v>
      </c>
      <c r="O17" s="125">
        <f t="shared" si="2"/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0.41692789968652039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177</v>
      </c>
      <c r="O18" s="125">
        <f t="shared" si="2"/>
        <v>22.984615384615385</v>
      </c>
      <c r="P18" s="119">
        <v>13</v>
      </c>
      <c r="Q18" s="107">
        <v>298.8</v>
      </c>
    </row>
    <row r="19" spans="1:17" x14ac:dyDescent="0.4">
      <c r="A19" s="55" t="s">
        <v>11</v>
      </c>
      <c r="B19" s="47">
        <v>186</v>
      </c>
      <c r="C19" s="39">
        <f>IF(B$17=0,0,B19/B$17)</f>
        <v>0.58307210031347967</v>
      </c>
      <c r="E19" s="63" t="s">
        <v>82</v>
      </c>
      <c r="F19" s="60" t="s">
        <v>37</v>
      </c>
      <c r="G19" s="47">
        <v>11</v>
      </c>
      <c r="H19" s="133">
        <f>IF(B$17=0,0,G19/B$17)</f>
        <v>3.4482758620689655E-2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 t="shared" si="2"/>
        <v>22.754999999999999</v>
      </c>
      <c r="P19" s="119">
        <v>20</v>
      </c>
      <c r="Q19" s="107">
        <v>455.09999999999997</v>
      </c>
    </row>
    <row r="20" spans="1:17" x14ac:dyDescent="0.4">
      <c r="A20" s="55" t="s">
        <v>13</v>
      </c>
      <c r="B20" s="47">
        <v>139</v>
      </c>
      <c r="C20" s="39">
        <f>IF(B$3=0,0,B20/B$3)</f>
        <v>0.15207877461706784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172</v>
      </c>
      <c r="O20" s="125">
        <f t="shared" si="2"/>
        <v>21.879310344827591</v>
      </c>
      <c r="P20" s="119">
        <v>29</v>
      </c>
      <c r="Q20" s="107">
        <v>634.50000000000011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17</v>
      </c>
      <c r="H21" s="133">
        <f>IF(B$17=0,0,G21/B$17)</f>
        <v>5.329153605015674E-2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 t="shared" si="2"/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469.6</v>
      </c>
      <c r="N22" s="115" t="s">
        <v>186</v>
      </c>
      <c r="O22" s="125">
        <f t="shared" si="2"/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9076.1755485893409</v>
      </c>
      <c r="C23" s="41">
        <v>2895300</v>
      </c>
      <c r="E23" s="63" t="s">
        <v>86</v>
      </c>
      <c r="F23" s="60" t="s">
        <v>41</v>
      </c>
      <c r="G23" s="47">
        <v>1</v>
      </c>
      <c r="H23" s="133">
        <f>IF(B$17=0,0,G23/B$17)</f>
        <v>3.134796238244514E-3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-8412.9496402877703</v>
      </c>
      <c r="C24" s="45">
        <v>-1169400</v>
      </c>
      <c r="E24" s="63" t="s">
        <v>87</v>
      </c>
      <c r="F24" s="60" t="s">
        <v>42</v>
      </c>
      <c r="G24" s="47">
        <v>22</v>
      </c>
      <c r="H24" s="133">
        <f>IF(B$17=0,0,G24/B$17)</f>
        <v>6.8965517241379309E-2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3.134796238244514E-3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1.0940919037199124E-3</v>
      </c>
      <c r="E27" s="63" t="s">
        <v>90</v>
      </c>
      <c r="F27" s="60" t="s">
        <v>45</v>
      </c>
      <c r="G27" s="47">
        <v>50</v>
      </c>
      <c r="H27" s="133">
        <f>IF(B$17=0,0,G27/B$17)</f>
        <v>0.15673981191222572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3.134796238244514E-3</v>
      </c>
      <c r="I28" s="94">
        <v>1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1.2539184952978056E-2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3.134796238244514E-3</v>
      </c>
      <c r="I30" s="94">
        <v>4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3.134796238244514E-3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3.134796238244514E-3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10</v>
      </c>
      <c r="H50" s="133">
        <f>IF(B$17=0,0,G50/B$17)</f>
        <v>3.1347962382445138E-2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135</v>
      </c>
      <c r="H51" s="134">
        <f>IF(B$17=0,0,G51/B$17)</f>
        <v>0.42319749216300939</v>
      </c>
      <c r="I51" s="95">
        <v>3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</sheetData>
  <sortState ref="E2:I11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753F-6E01-489F-A137-F37CDB671430}">
  <sheetPr codeName="Sheet9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113</v>
      </c>
      <c r="C2" s="147"/>
      <c r="E2" s="62" t="s">
        <v>65</v>
      </c>
      <c r="F2" s="59" t="s">
        <v>21</v>
      </c>
      <c r="G2" s="46">
        <v>154</v>
      </c>
      <c r="H2" s="132">
        <f>IF(B$17=0,0,G2/B$17)</f>
        <v>0.60629921259842523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285.84070796460179</v>
      </c>
      <c r="P2" s="118">
        <v>113</v>
      </c>
      <c r="Q2" s="102">
        <v>32300</v>
      </c>
    </row>
    <row r="3" spans="1:17" x14ac:dyDescent="0.4">
      <c r="A3" s="55" t="s">
        <v>8</v>
      </c>
      <c r="B3" s="148">
        <v>936</v>
      </c>
      <c r="C3" s="149"/>
      <c r="E3" s="63" t="s">
        <v>66</v>
      </c>
      <c r="F3" s="60" t="s">
        <v>22</v>
      </c>
      <c r="G3" s="47">
        <v>40</v>
      </c>
      <c r="H3" s="133">
        <f>IF(B$17=0,0,G3/B$17)</f>
        <v>0.15748031496062992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-2498.1651376146788</v>
      </c>
      <c r="P3" s="119">
        <v>109</v>
      </c>
      <c r="Q3" s="103">
        <v>-272300</v>
      </c>
    </row>
    <row r="4" spans="1:17" x14ac:dyDescent="0.4">
      <c r="A4" s="55" t="s">
        <v>6</v>
      </c>
      <c r="B4" s="150">
        <v>-323.7000000000001</v>
      </c>
      <c r="C4" s="151"/>
      <c r="E4" s="63" t="s">
        <v>67</v>
      </c>
      <c r="F4" s="60" t="s">
        <v>23</v>
      </c>
      <c r="G4" s="47">
        <v>192</v>
      </c>
      <c r="H4" s="133">
        <f>IF(B$17=0,0,G4/B$17)</f>
        <v>0.75590551181102361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6.6037735849056602</v>
      </c>
      <c r="P4" s="119">
        <v>106</v>
      </c>
      <c r="Q4" s="103">
        <v>700</v>
      </c>
    </row>
    <row r="5" spans="1:17" x14ac:dyDescent="0.4">
      <c r="A5" s="55" t="s">
        <v>7</v>
      </c>
      <c r="B5" s="152">
        <f>IF(B$2=0,0,B$4/B$2)</f>
        <v>-2.8646017699115052</v>
      </c>
      <c r="C5" s="153"/>
      <c r="E5" s="63" t="s">
        <v>68</v>
      </c>
      <c r="F5" s="60" t="s">
        <v>24</v>
      </c>
      <c r="G5" s="47">
        <v>93</v>
      </c>
      <c r="H5" s="133">
        <f>IF(B$17=0,0,G5/B$17)</f>
        <v>0.36614173228346458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2.0796460176991149</v>
      </c>
      <c r="C6" s="143"/>
      <c r="E6" s="63" t="s">
        <v>69</v>
      </c>
      <c r="F6" s="60" t="s">
        <v>12</v>
      </c>
      <c r="G6" s="47">
        <v>85</v>
      </c>
      <c r="H6" s="133">
        <f>IF(B$17=0,0,G6/B$17)</f>
        <v>0.3346456692913386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30</v>
      </c>
      <c r="C7" s="39">
        <f>IF(B$2=0,0,B7/B$2)</f>
        <v>0.26548672566371684</v>
      </c>
      <c r="E7" s="63" t="s">
        <v>70</v>
      </c>
      <c r="F7" s="60" t="s">
        <v>25</v>
      </c>
      <c r="G7" s="47">
        <v>56</v>
      </c>
      <c r="H7" s="133">
        <f>IF(B$17=0,0,G7/B$17)</f>
        <v>0.22047244094488189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0.38938053097345132</v>
      </c>
      <c r="E8" s="63" t="s">
        <v>71</v>
      </c>
      <c r="F8" s="60" t="s">
        <v>26</v>
      </c>
      <c r="G8" s="47">
        <v>31</v>
      </c>
      <c r="H8" s="133">
        <f>IF(B$17=0,0,G8/B$17)</f>
        <v>0.12204724409448819</v>
      </c>
      <c r="I8" s="94">
        <v>5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0.34513274336283184</v>
      </c>
      <c r="E9" s="63" t="s">
        <v>72</v>
      </c>
      <c r="F9" s="60" t="s">
        <v>27</v>
      </c>
      <c r="G9" s="47">
        <v>14</v>
      </c>
      <c r="H9" s="133">
        <f>IF(B$17=0,0,G9/B$17)</f>
        <v>5.5118110236220472E-2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0.12389380530973451</v>
      </c>
      <c r="E10" s="63" t="s">
        <v>73</v>
      </c>
      <c r="F10" s="60" t="s">
        <v>28</v>
      </c>
      <c r="G10" s="47">
        <v>118</v>
      </c>
      <c r="H10" s="133">
        <f>IF(B$17=0,0,G10/B$17)</f>
        <v>0.46456692913385828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-7.0491525423728829</v>
      </c>
      <c r="P10" s="118">
        <v>59</v>
      </c>
      <c r="Q10" s="106">
        <v>-415.90000000000009</v>
      </c>
    </row>
    <row r="11" spans="1:17" x14ac:dyDescent="0.4">
      <c r="A11" s="56" t="s">
        <v>140</v>
      </c>
      <c r="B11" s="48">
        <v>10</v>
      </c>
      <c r="C11" s="40">
        <f>IF(B$2=0,0,B11/B$2)</f>
        <v>8.8495575221238937E-2</v>
      </c>
      <c r="E11" s="63" t="s">
        <v>74</v>
      </c>
      <c r="F11" s="60" t="s">
        <v>29</v>
      </c>
      <c r="G11" s="47">
        <v>2</v>
      </c>
      <c r="H11" s="133">
        <f>IF(B$17=0,0,G11/B$17)</f>
        <v>7.874015748031496E-3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7.0796460176991149E-2</v>
      </c>
      <c r="E12" s="63" t="s">
        <v>75</v>
      </c>
      <c r="F12" s="60" t="s">
        <v>30</v>
      </c>
      <c r="G12" s="47">
        <v>2</v>
      </c>
      <c r="H12" s="133">
        <f>IF(B$17=0,0,G12/B$17)</f>
        <v>7.874015748031496E-3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277</v>
      </c>
      <c r="C13" s="44">
        <f>IF(B$3=0,0,B13/B$3)</f>
        <v>0.29594017094017094</v>
      </c>
      <c r="E13" s="63" t="s">
        <v>76</v>
      </c>
      <c r="F13" s="60" t="s">
        <v>31</v>
      </c>
      <c r="G13" s="47">
        <v>2</v>
      </c>
      <c r="H13" s="133">
        <f>IF(B$17=0,0,G13/B$17)</f>
        <v>7.874015748031496E-3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0.18162393162393162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0.58483754512635377</v>
      </c>
      <c r="E15" s="63" t="s">
        <v>78</v>
      </c>
      <c r="F15" s="60" t="s">
        <v>33</v>
      </c>
      <c r="G15" s="47">
        <v>1</v>
      </c>
      <c r="H15" s="133">
        <f>IF(B$17=0,0,G15/B$17)</f>
        <v>3.937007874015748E-3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50</v>
      </c>
      <c r="C16" s="37">
        <f>IF(B$14=0,0,B16/B$14)</f>
        <v>0.29411764705882354</v>
      </c>
      <c r="E16" s="63" t="s">
        <v>79</v>
      </c>
      <c r="F16" s="60" t="s">
        <v>34</v>
      </c>
      <c r="G16" s="47">
        <v>3</v>
      </c>
      <c r="H16" s="133">
        <f>IF(B$17=0,0,G16/B$17)</f>
        <v>1.1811023622047244E-2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12.41176470588235</v>
      </c>
      <c r="P16" s="119">
        <v>34</v>
      </c>
      <c r="Q16" s="107">
        <v>421.99999999999989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0.27136752136752135</v>
      </c>
      <c r="E17" s="63" t="s">
        <v>80</v>
      </c>
      <c r="F17" s="60" t="s">
        <v>35</v>
      </c>
      <c r="G17" s="47">
        <v>5</v>
      </c>
      <c r="H17" s="133">
        <f>IF(B$17=0,0,G17/B$17)</f>
        <v>1.968503937007874E-2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 t="shared" si="2"/>
        <v>1.6352941176470646</v>
      </c>
      <c r="P17" s="119">
        <v>34</v>
      </c>
      <c r="Q17" s="107">
        <v>55.600000000000193</v>
      </c>
    </row>
    <row r="18" spans="1:17" x14ac:dyDescent="0.4">
      <c r="A18" s="55" t="s">
        <v>12</v>
      </c>
      <c r="B18" s="47">
        <v>107</v>
      </c>
      <c r="C18" s="39">
        <f>IF(B$17=0,0,B18/B$17)</f>
        <v>0.42125984251968501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147</v>
      </c>
      <c r="C19" s="39">
        <f>IF(B$17=0,0,B19/B$17)</f>
        <v>0.57874015748031493</v>
      </c>
      <c r="E19" s="63" t="s">
        <v>82</v>
      </c>
      <c r="F19" s="60" t="s">
        <v>37</v>
      </c>
      <c r="G19" s="47">
        <v>8</v>
      </c>
      <c r="H19" s="133">
        <f>IF(B$17=0,0,G19/B$17)</f>
        <v>3.1496062992125984E-2</v>
      </c>
      <c r="I19" s="94">
        <v>6</v>
      </c>
      <c r="K19" s="38">
        <v>17</v>
      </c>
      <c r="L19" s="99">
        <v>94.6</v>
      </c>
      <c r="N19" s="115" t="s">
        <v>173</v>
      </c>
      <c r="O19" s="125">
        <f t="shared" si="2"/>
        <v>-3.6750000000000007</v>
      </c>
      <c r="P19" s="119">
        <v>20</v>
      </c>
      <c r="Q19" s="107">
        <v>-73.500000000000014</v>
      </c>
    </row>
    <row r="20" spans="1:17" x14ac:dyDescent="0.4">
      <c r="A20" s="55" t="s">
        <v>13</v>
      </c>
      <c r="B20" s="47">
        <v>160</v>
      </c>
      <c r="C20" s="39">
        <f>IF(B$3=0,0,B20/B$3)</f>
        <v>0.17094017094017094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3.937007874015748E-2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1</v>
      </c>
      <c r="H22" s="133">
        <f>IF(B$17=0,0,G22/B$17)</f>
        <v>3.937007874015748E-3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9246.8503937007881</v>
      </c>
      <c r="C23" s="41">
        <v>2348700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5.5118110236220472E-2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3.937007874015748E-3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5.341880341880342E-3</v>
      </c>
      <c r="E27" s="63" t="s">
        <v>90</v>
      </c>
      <c r="F27" s="60" t="s">
        <v>45</v>
      </c>
      <c r="G27" s="47">
        <v>25</v>
      </c>
      <c r="H27" s="133">
        <f>IF(B$17=0,0,G27/B$17)</f>
        <v>9.8425196850393706E-2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2.3622047244094488E-2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3.937007874015748E-3</v>
      </c>
      <c r="I30" s="94">
        <v>2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3.937007874015748E-3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3.937007874015748E-3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1.5748031496062992E-2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111</v>
      </c>
      <c r="H51" s="134">
        <f>IF(B$17=0,0,G51/B$17)</f>
        <v>0.43700787401574803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</sheetData>
  <sortState ref="E2:I11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3B1E-B814-44AA-982B-222275CA28E2}">
  <sheetPr codeName="Sheet11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0.92792792792792789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-2432.2033898305085</v>
      </c>
      <c r="P2" s="118">
        <v>59</v>
      </c>
      <c r="Q2" s="102">
        <v>-143500</v>
      </c>
    </row>
    <row r="3" spans="1:17" x14ac:dyDescent="0.4">
      <c r="A3" s="55" t="s">
        <v>8</v>
      </c>
      <c r="B3" s="148">
        <v>486</v>
      </c>
      <c r="C3" s="149"/>
      <c r="E3" s="63" t="s">
        <v>65</v>
      </c>
      <c r="F3" s="60" t="s">
        <v>21</v>
      </c>
      <c r="G3" s="47">
        <v>63</v>
      </c>
      <c r="H3" s="133">
        <f>IF(B$17=0,0,G3/B$17)</f>
        <v>0.56756756756756754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-1066.6666666666667</v>
      </c>
      <c r="P3" s="119">
        <v>57</v>
      </c>
      <c r="Q3" s="103">
        <v>-60800</v>
      </c>
    </row>
    <row r="4" spans="1:17" x14ac:dyDescent="0.4">
      <c r="A4" s="55" t="s">
        <v>6</v>
      </c>
      <c r="B4" s="150">
        <v>-942.1999999999997</v>
      </c>
      <c r="C4" s="151"/>
      <c r="E4" s="63" t="s">
        <v>69</v>
      </c>
      <c r="F4" s="60" t="s">
        <v>12</v>
      </c>
      <c r="G4" s="47">
        <v>48</v>
      </c>
      <c r="H4" s="133">
        <f>IF(B$17=0,0,G4/B$17)</f>
        <v>0.43243243243243246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-847.16981132075466</v>
      </c>
      <c r="P4" s="119">
        <v>53</v>
      </c>
      <c r="Q4" s="103">
        <v>-44900</v>
      </c>
    </row>
    <row r="5" spans="1:17" x14ac:dyDescent="0.4">
      <c r="A5" s="55" t="s">
        <v>7</v>
      </c>
      <c r="B5" s="152">
        <f>IF(B$2=0,0,B$4/B$2)</f>
        <v>-15.969491525423724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0.3783783783783784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-6021.739130434783</v>
      </c>
      <c r="P5" s="119">
        <v>46</v>
      </c>
      <c r="Q5" s="103">
        <v>-277000</v>
      </c>
    </row>
    <row r="6" spans="1:17" x14ac:dyDescent="0.4">
      <c r="A6" s="55" t="s">
        <v>1</v>
      </c>
      <c r="B6" s="142">
        <f>IF(B$2=0,0,(B$7*1+B$8*2+B$9*3)/B$2)</f>
        <v>2.2542372881355934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0.36936936936936937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-1030</v>
      </c>
      <c r="P6" s="119">
        <v>40</v>
      </c>
      <c r="Q6" s="103">
        <v>-41200</v>
      </c>
    </row>
    <row r="7" spans="1:17" x14ac:dyDescent="0.4">
      <c r="A7" s="55" t="s">
        <v>2</v>
      </c>
      <c r="B7" s="47">
        <v>14</v>
      </c>
      <c r="C7" s="39">
        <f>IF(B$2=0,0,B7/B$2)</f>
        <v>0.23728813559322035</v>
      </c>
      <c r="E7" s="63" t="s">
        <v>73</v>
      </c>
      <c r="F7" s="60" t="s">
        <v>28</v>
      </c>
      <c r="G7" s="47">
        <v>39</v>
      </c>
      <c r="H7" s="133">
        <f>IF(B$17=0,0,G7/B$17)</f>
        <v>0.35135135135135137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-1835.1351351351352</v>
      </c>
      <c r="P7" s="120">
        <v>37</v>
      </c>
      <c r="Q7" s="104">
        <v>-67900</v>
      </c>
    </row>
    <row r="8" spans="1:17" x14ac:dyDescent="0.4">
      <c r="A8" s="55" t="s">
        <v>3</v>
      </c>
      <c r="B8" s="47">
        <v>16</v>
      </c>
      <c r="C8" s="39">
        <f>IF(B$2=0,0,B8/B$2)</f>
        <v>0.2711864406779661</v>
      </c>
      <c r="E8" s="63" t="s">
        <v>70</v>
      </c>
      <c r="F8" s="60" t="s">
        <v>25</v>
      </c>
      <c r="G8" s="47">
        <v>25</v>
      </c>
      <c r="H8" s="133">
        <f>IF(B$17=0,0,G8/B$17)</f>
        <v>0.22522522522522523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0.49152542372881358</v>
      </c>
      <c r="E9" s="63" t="s">
        <v>71</v>
      </c>
      <c r="F9" s="60" t="s">
        <v>26</v>
      </c>
      <c r="G9" s="47">
        <v>17</v>
      </c>
      <c r="H9" s="133">
        <f>IF(B$17=0,0,G9/B$17)</f>
        <v>0.15315315315315314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0.20338983050847459</v>
      </c>
      <c r="E10" s="63" t="s">
        <v>72</v>
      </c>
      <c r="F10" s="60" t="s">
        <v>27</v>
      </c>
      <c r="G10" s="47">
        <v>12</v>
      </c>
      <c r="H10" s="133">
        <f>IF(B$17=0,0,G10/B$17)</f>
        <v>0.10810810810810811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0.11864406779661017</v>
      </c>
      <c r="E11" s="63" t="s">
        <v>90</v>
      </c>
      <c r="F11" s="60" t="s">
        <v>45</v>
      </c>
      <c r="G11" s="47">
        <v>10</v>
      </c>
      <c r="H11" s="133">
        <f>IF(B$17=0,0,G11/B$17)</f>
        <v>9.0090090090090086E-2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-11.808333333333337</v>
      </c>
      <c r="P11" s="119">
        <v>24</v>
      </c>
      <c r="Q11" s="107">
        <v>-283.40000000000009</v>
      </c>
    </row>
    <row r="12" spans="1:17" x14ac:dyDescent="0.4">
      <c r="A12" s="57" t="s">
        <v>160</v>
      </c>
      <c r="B12" s="49">
        <v>5</v>
      </c>
      <c r="C12" s="42">
        <f>IF(B$2=0,0,B12/B$2)</f>
        <v>8.4745762711864403E-2</v>
      </c>
      <c r="E12" s="63" t="s">
        <v>87</v>
      </c>
      <c r="F12" s="60" t="s">
        <v>42</v>
      </c>
      <c r="G12" s="47">
        <v>9</v>
      </c>
      <c r="H12" s="133">
        <f>IF(B$17=0,0,G12/B$17)</f>
        <v>8.1081081081081086E-2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-21.570588235294117</v>
      </c>
      <c r="P12" s="120">
        <v>17</v>
      </c>
      <c r="Q12" s="108">
        <v>-366.7</v>
      </c>
    </row>
    <row r="13" spans="1:17" x14ac:dyDescent="0.4">
      <c r="A13" s="58" t="s">
        <v>122</v>
      </c>
      <c r="B13" s="50">
        <v>125</v>
      </c>
      <c r="C13" s="44">
        <f>IF(B$3=0,0,B13/B$3)</f>
        <v>0.25720164609053497</v>
      </c>
      <c r="E13" s="63" t="s">
        <v>66</v>
      </c>
      <c r="F13" s="60" t="s">
        <v>22</v>
      </c>
      <c r="G13" s="47">
        <v>7</v>
      </c>
      <c r="H13" s="133">
        <f>IF(B$17=0,0,G13/B$17)</f>
        <v>6.3063063063063057E-2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0.16049382716049382</v>
      </c>
      <c r="E14" s="63" t="s">
        <v>84</v>
      </c>
      <c r="F14" s="60" t="s">
        <v>39</v>
      </c>
      <c r="G14" s="47">
        <v>5</v>
      </c>
      <c r="H14" s="133">
        <f>IF(B$17=0,0,G14/B$17)</f>
        <v>4.5045045045045043E-2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0.52</v>
      </c>
      <c r="E15" s="63" t="s">
        <v>79</v>
      </c>
      <c r="F15" s="60" t="s">
        <v>34</v>
      </c>
      <c r="G15" s="47">
        <v>4</v>
      </c>
      <c r="H15" s="133">
        <f>IF(B$17=0,0,G15/B$17)</f>
        <v>3.6036036036036036E-2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0.24358974358974358</v>
      </c>
      <c r="E16" s="63" t="s">
        <v>75</v>
      </c>
      <c r="F16" s="60" t="s">
        <v>30</v>
      </c>
      <c r="G16" s="47">
        <v>2</v>
      </c>
      <c r="H16" s="133">
        <f>IF(B$17=0,0,G16/B$17)</f>
        <v>1.8018018018018018E-2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-4.1099999999999994</v>
      </c>
      <c r="P16" s="119">
        <v>10</v>
      </c>
      <c r="Q16" s="107">
        <v>-41.099999999999994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0.22839506172839505</v>
      </c>
      <c r="E17" s="63" t="s">
        <v>82</v>
      </c>
      <c r="F17" s="60" t="s">
        <v>37</v>
      </c>
      <c r="G17" s="47">
        <v>2</v>
      </c>
      <c r="H17" s="133">
        <f>IF(B$17=0,0,G17/B$17)</f>
        <v>1.8018018018018018E-2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55</v>
      </c>
      <c r="C18" s="39">
        <f>IF(B$17=0,0,B18/B$17)</f>
        <v>0.49549549549549549</v>
      </c>
      <c r="E18" s="63" t="s">
        <v>78</v>
      </c>
      <c r="F18" s="60" t="s">
        <v>33</v>
      </c>
      <c r="G18" s="47">
        <v>1</v>
      </c>
      <c r="H18" s="133">
        <f>IF(B$17=0,0,G18/B$17)</f>
        <v>9.0090090090090089E-3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-21.305555555555557</v>
      </c>
      <c r="P18" s="119">
        <v>18</v>
      </c>
      <c r="Q18" s="107">
        <v>-383.5</v>
      </c>
    </row>
    <row r="19" spans="1:17" x14ac:dyDescent="0.4">
      <c r="A19" s="55" t="s">
        <v>11</v>
      </c>
      <c r="B19" s="47">
        <v>56</v>
      </c>
      <c r="C19" s="39">
        <f>IF(B$17=0,0,B19/B$17)</f>
        <v>0.50450450450450446</v>
      </c>
      <c r="E19" s="63" t="s">
        <v>80</v>
      </c>
      <c r="F19" s="60" t="s">
        <v>35</v>
      </c>
      <c r="G19" s="47">
        <v>1</v>
      </c>
      <c r="H19" s="133">
        <f>IF(B$17=0,0,G19/B$17)</f>
        <v>9.0090090090090089E-3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94</v>
      </c>
      <c r="C20" s="39">
        <f>IF(B$3=0,0,B20/B$3)</f>
        <v>0.19341563786008231</v>
      </c>
      <c r="E20" s="63" t="s">
        <v>88</v>
      </c>
      <c r="F20" s="60" t="s">
        <v>43</v>
      </c>
      <c r="G20" s="47">
        <v>1</v>
      </c>
      <c r="H20" s="133">
        <f>IF(B$17=0,0,G20/B$17)</f>
        <v>9.0090090090090089E-3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-35.458823529411774</v>
      </c>
      <c r="P20" s="119">
        <v>34</v>
      </c>
      <c r="Q20" s="107">
        <v>-1205.6000000000004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89</v>
      </c>
      <c r="F21" s="60" t="s">
        <v>44</v>
      </c>
      <c r="G21" s="47">
        <v>1</v>
      </c>
      <c r="H21" s="133">
        <f>IF(B$17=0,0,G21/B$17)</f>
        <v>9.0090090090090089E-3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92</v>
      </c>
      <c r="F22" s="60" t="s">
        <v>47</v>
      </c>
      <c r="G22" s="47">
        <v>1</v>
      </c>
      <c r="H22" s="133">
        <f>IF(B$17=0,0,G22/B$17)</f>
        <v>9.0090090090090089E-3</v>
      </c>
      <c r="I22" s="94">
        <v>8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9014.4144144144138</v>
      </c>
      <c r="C23" s="41">
        <v>1000600</v>
      </c>
      <c r="E23" s="63" t="s">
        <v>94</v>
      </c>
      <c r="F23" s="60" t="s">
        <v>49</v>
      </c>
      <c r="G23" s="47">
        <v>1</v>
      </c>
      <c r="H23" s="133">
        <f>IF(B$17=0,0,G23/B$17)</f>
        <v>9.0090090090090089E-3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-9602.1276595744675</v>
      </c>
      <c r="C24" s="45">
        <v>-902600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2.05761316872428E-3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-921.89999999999975</v>
      </c>
    </row>
    <row r="61" spans="5:12" x14ac:dyDescent="0.4">
      <c r="K61" s="38">
        <v>59</v>
      </c>
      <c r="L61" s="99">
        <v>-942.1999999999997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2764-043C-4E2C-9841-DBE0F35F5621}">
  <sheetPr codeName="Sheet13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135</v>
      </c>
      <c r="H2" s="132">
        <f>IF(B$17=0,0,G2/B$17)</f>
        <v>0.82317073170731703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-795.6521739130435</v>
      </c>
      <c r="P2" s="118">
        <v>69</v>
      </c>
      <c r="Q2" s="102">
        <v>-54900</v>
      </c>
    </row>
    <row r="3" spans="1:17" x14ac:dyDescent="0.4">
      <c r="A3" s="55" t="s">
        <v>8</v>
      </c>
      <c r="B3" s="148">
        <v>590</v>
      </c>
      <c r="C3" s="149"/>
      <c r="E3" s="63" t="s">
        <v>65</v>
      </c>
      <c r="F3" s="60" t="s">
        <v>21</v>
      </c>
      <c r="G3" s="47">
        <v>91</v>
      </c>
      <c r="H3" s="133">
        <f>IF(B$17=0,0,G3/B$17)</f>
        <v>0.55487804878048785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854.41176470588232</v>
      </c>
      <c r="P3" s="119">
        <v>68</v>
      </c>
      <c r="Q3" s="103">
        <v>58100</v>
      </c>
    </row>
    <row r="4" spans="1:17" x14ac:dyDescent="0.4">
      <c r="A4" s="55" t="s">
        <v>6</v>
      </c>
      <c r="B4" s="150">
        <v>106.19999999999999</v>
      </c>
      <c r="C4" s="151"/>
      <c r="E4" s="63" t="s">
        <v>73</v>
      </c>
      <c r="F4" s="60" t="s">
        <v>28</v>
      </c>
      <c r="G4" s="47">
        <v>81</v>
      </c>
      <c r="H4" s="133">
        <f>IF(B$17=0,0,G4/B$17)</f>
        <v>0.49390243902439024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1390.7692307692307</v>
      </c>
      <c r="P4" s="119">
        <v>65</v>
      </c>
      <c r="Q4" s="103">
        <v>90400</v>
      </c>
    </row>
    <row r="5" spans="1:17" x14ac:dyDescent="0.4">
      <c r="A5" s="55" t="s">
        <v>7</v>
      </c>
      <c r="B5" s="152">
        <f>IF(B$2=0,0,B$4/B$2)</f>
        <v>1.5391304347826085</v>
      </c>
      <c r="C5" s="153"/>
      <c r="E5" s="63" t="s">
        <v>181</v>
      </c>
      <c r="F5" s="60" t="s">
        <v>182</v>
      </c>
      <c r="G5" s="47">
        <v>61</v>
      </c>
      <c r="H5" s="133">
        <f>IF(B$17=0,0,G5/B$17)</f>
        <v>0.37195121951219512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2243.6363636363635</v>
      </c>
      <c r="P5" s="119">
        <v>55</v>
      </c>
      <c r="Q5" s="103">
        <v>123400</v>
      </c>
    </row>
    <row r="6" spans="1:17" x14ac:dyDescent="0.4">
      <c r="A6" s="55" t="s">
        <v>1</v>
      </c>
      <c r="B6" s="142">
        <f>IF(B$2=0,0,(B$7*1+B$8*2+B$9*3)/B$2)</f>
        <v>2.0579710144927534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0.31707317073170732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-1202.0408163265306</v>
      </c>
      <c r="P6" s="119">
        <v>49</v>
      </c>
      <c r="Q6" s="103">
        <v>-58900</v>
      </c>
    </row>
    <row r="7" spans="1:17" x14ac:dyDescent="0.4">
      <c r="A7" s="55" t="s">
        <v>2</v>
      </c>
      <c r="B7" s="47">
        <v>20</v>
      </c>
      <c r="C7" s="39">
        <f>IF(B$2=0,0,B7/B$2)</f>
        <v>0.28985507246376813</v>
      </c>
      <c r="E7" s="63" t="s">
        <v>69</v>
      </c>
      <c r="F7" s="60" t="s">
        <v>12</v>
      </c>
      <c r="G7" s="47">
        <v>51</v>
      </c>
      <c r="H7" s="133">
        <f>IF(B$17=0,0,G7/B$17)</f>
        <v>0.31097560975609756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802.22222222222217</v>
      </c>
      <c r="P7" s="120">
        <v>45</v>
      </c>
      <c r="Q7" s="104">
        <v>36100</v>
      </c>
    </row>
    <row r="8" spans="1:17" x14ac:dyDescent="0.4">
      <c r="A8" s="55" t="s">
        <v>3</v>
      </c>
      <c r="B8" s="47">
        <v>25</v>
      </c>
      <c r="C8" s="39">
        <f>IF(B$2=0,0,B8/B$2)</f>
        <v>0.36231884057971014</v>
      </c>
      <c r="E8" s="63" t="s">
        <v>70</v>
      </c>
      <c r="F8" s="60" t="s">
        <v>25</v>
      </c>
      <c r="G8" s="47">
        <v>34</v>
      </c>
      <c r="H8" s="133">
        <f>IF(B$17=0,0,G8/B$17)</f>
        <v>0.2073170731707317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0.34782608695652173</v>
      </c>
      <c r="E9" s="63" t="s">
        <v>90</v>
      </c>
      <c r="F9" s="60" t="s">
        <v>45</v>
      </c>
      <c r="G9" s="47">
        <v>24</v>
      </c>
      <c r="H9" s="133">
        <f>IF(B$17=0,0,G9/B$17)</f>
        <v>0.14634146341463414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66</v>
      </c>
      <c r="F10" s="60" t="s">
        <v>22</v>
      </c>
      <c r="G10" s="47">
        <v>22</v>
      </c>
      <c r="H10" s="133">
        <f>IF(B$17=0,0,G10/B$17)</f>
        <v>0.13414634146341464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7.625</v>
      </c>
      <c r="P10" s="118">
        <v>16</v>
      </c>
      <c r="Q10" s="106">
        <v>122</v>
      </c>
    </row>
    <row r="11" spans="1:17" x14ac:dyDescent="0.4">
      <c r="A11" s="56" t="s">
        <v>140</v>
      </c>
      <c r="B11" s="48">
        <v>9</v>
      </c>
      <c r="C11" s="40">
        <f>IF(B$2=0,0,B11/B$2)</f>
        <v>0.13043478260869565</v>
      </c>
      <c r="E11" s="63" t="s">
        <v>71</v>
      </c>
      <c r="F11" s="60" t="s">
        <v>26</v>
      </c>
      <c r="G11" s="47">
        <v>20</v>
      </c>
      <c r="H11" s="133">
        <f>IF(B$17=0,0,G11/B$17)</f>
        <v>0.12195121951219512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87</v>
      </c>
      <c r="F12" s="60" t="s">
        <v>42</v>
      </c>
      <c r="G12" s="47">
        <v>13</v>
      </c>
      <c r="H12" s="133">
        <f>IF(B$17=0,0,G12/B$17)</f>
        <v>7.926829268292683E-2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4.569230769230769</v>
      </c>
      <c r="P12" s="120">
        <v>26</v>
      </c>
      <c r="Q12" s="108">
        <v>118.8</v>
      </c>
    </row>
    <row r="13" spans="1:17" x14ac:dyDescent="0.4">
      <c r="A13" s="58" t="s">
        <v>122</v>
      </c>
      <c r="B13" s="50">
        <v>164</v>
      </c>
      <c r="C13" s="44">
        <f>IF(B$3=0,0,B13/B$3)</f>
        <v>0.27796610169491526</v>
      </c>
      <c r="E13" s="63" t="s">
        <v>72</v>
      </c>
      <c r="F13" s="60" t="s">
        <v>27</v>
      </c>
      <c r="G13" s="47">
        <v>11</v>
      </c>
      <c r="H13" s="133">
        <f>IF(B$17=0,0,G13/B$17)</f>
        <v>6.7073170731707321E-2</v>
      </c>
      <c r="I13" s="94">
        <v>5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0.1864406779661017</v>
      </c>
      <c r="E14" s="63" t="s">
        <v>79</v>
      </c>
      <c r="F14" s="60" t="s">
        <v>34</v>
      </c>
      <c r="G14" s="47">
        <v>7</v>
      </c>
      <c r="H14" s="133">
        <f>IF(B$17=0,0,G14/B$17)</f>
        <v>4.2682926829268296E-2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0.58536585365853655</v>
      </c>
      <c r="E15" s="63" t="s">
        <v>84</v>
      </c>
      <c r="F15" s="60" t="s">
        <v>39</v>
      </c>
      <c r="G15" s="47">
        <v>7</v>
      </c>
      <c r="H15" s="133">
        <f>IF(B$17=0,0,G15/B$17)</f>
        <v>4.2682926829268296E-2</v>
      </c>
      <c r="I15" s="94">
        <v>8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44</v>
      </c>
      <c r="C16" s="37">
        <f>IF(B$14=0,0,B16/B$14)</f>
        <v>0.4</v>
      </c>
      <c r="E16" s="63" t="s">
        <v>82</v>
      </c>
      <c r="F16" s="60" t="s">
        <v>37</v>
      </c>
      <c r="G16" s="47">
        <v>6</v>
      </c>
      <c r="H16" s="133">
        <f>IF(B$17=0,0,G16/B$17)</f>
        <v>3.6585365853658534E-2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21.305555555555554</v>
      </c>
      <c r="P16" s="119">
        <v>18</v>
      </c>
      <c r="Q16" s="107">
        <v>383.49999999999994</v>
      </c>
    </row>
    <row r="17" spans="1:17" x14ac:dyDescent="0.4">
      <c r="A17" s="54" t="s">
        <v>10</v>
      </c>
      <c r="B17" s="46">
        <f>B19+B18</f>
        <v>164</v>
      </c>
      <c r="C17" s="37">
        <f>IF(B$3=0,0,B17/B$3)</f>
        <v>0.27796610169491526</v>
      </c>
      <c r="E17" s="63" t="s">
        <v>76</v>
      </c>
      <c r="F17" s="60" t="s">
        <v>31</v>
      </c>
      <c r="G17" s="47">
        <v>3</v>
      </c>
      <c r="H17" s="133">
        <f>IF(B$17=0,0,G17/B$17)</f>
        <v>1.8292682926829267E-2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71</v>
      </c>
      <c r="C18" s="39">
        <f>IF(B$17=0,0,B18/B$17)</f>
        <v>0.43292682926829268</v>
      </c>
      <c r="E18" s="63" t="s">
        <v>80</v>
      </c>
      <c r="F18" s="60" t="s">
        <v>35</v>
      </c>
      <c r="G18" s="47">
        <v>3</v>
      </c>
      <c r="H18" s="133">
        <f>IF(B$17=0,0,G18/B$17)</f>
        <v>1.8292682926829267E-2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93</v>
      </c>
      <c r="C19" s="39">
        <f>IF(B$17=0,0,B19/B$17)</f>
        <v>0.56707317073170727</v>
      </c>
      <c r="E19" s="63" t="s">
        <v>92</v>
      </c>
      <c r="F19" s="60" t="s">
        <v>47</v>
      </c>
      <c r="G19" s="47">
        <v>3</v>
      </c>
      <c r="H19" s="133">
        <f>IF(B$17=0,0,G19/B$17)</f>
        <v>1.8292682926829267E-2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96</v>
      </c>
      <c r="C20" s="39">
        <f>IF(B$3=0,0,B20/B$3)</f>
        <v>0.16271186440677965</v>
      </c>
      <c r="E20" s="63" t="s">
        <v>85</v>
      </c>
      <c r="F20" s="60" t="s">
        <v>40</v>
      </c>
      <c r="G20" s="47">
        <v>2</v>
      </c>
      <c r="H20" s="133">
        <f>IF(B$17=0,0,G20/B$17)</f>
        <v>1.2195121951219513E-2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1.2195121951219513E-2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180</v>
      </c>
      <c r="F22" s="60" t="s">
        <v>183</v>
      </c>
      <c r="G22" s="47">
        <v>2</v>
      </c>
      <c r="H22" s="133">
        <f>IF(B$17=0,0,G22/B$17)</f>
        <v>1.2195121951219513E-2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-26.43</v>
      </c>
      <c r="P22" s="119">
        <v>10</v>
      </c>
      <c r="Q22" s="107">
        <v>-264.3</v>
      </c>
    </row>
    <row r="23" spans="1:17" x14ac:dyDescent="0.4">
      <c r="A23" s="55" t="s">
        <v>5</v>
      </c>
      <c r="B23" s="51">
        <f>IF(B$17=0,0,C23/B$17)</f>
        <v>9756.707317073171</v>
      </c>
      <c r="C23" s="41">
        <v>1600100</v>
      </c>
      <c r="E23" s="63" t="s">
        <v>74</v>
      </c>
      <c r="F23" s="60" t="s">
        <v>29</v>
      </c>
      <c r="G23" s="47">
        <v>1</v>
      </c>
      <c r="H23" s="133">
        <f>IF(B$17=0,0,G23/B$17)</f>
        <v>6.0975609756097563E-3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-7819.791666666667</v>
      </c>
      <c r="C24" s="45">
        <v>-750700</v>
      </c>
      <c r="E24" s="63" t="s">
        <v>88</v>
      </c>
      <c r="F24" s="60" t="s">
        <v>43</v>
      </c>
      <c r="G24" s="47">
        <v>1</v>
      </c>
      <c r="H24" s="133">
        <f>IF(B$17=0,0,G24/B$17)</f>
        <v>6.0975609756097563E-3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6.0975609756097563E-3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1.6949152542372881E-3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B6EA-12E7-4DC6-BCE5-56E71A91C50A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65</v>
      </c>
      <c r="F2" s="59" t="s">
        <v>21</v>
      </c>
      <c r="G2" s="46">
        <v>62</v>
      </c>
      <c r="H2" s="132">
        <f>IF(B$17=0,0,G2/B$17)</f>
        <v>0.35227272727272729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66</v>
      </c>
      <c r="F3" s="60" t="s">
        <v>22</v>
      </c>
      <c r="G3" s="47">
        <v>19</v>
      </c>
      <c r="H3" s="133">
        <f>IF(B$17=0,0,G3/B$17)</f>
        <v>0.10795454545454546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67</v>
      </c>
      <c r="F4" s="60" t="s">
        <v>23</v>
      </c>
      <c r="G4" s="47">
        <v>118</v>
      </c>
      <c r="H4" s="133">
        <f>IF(B$17=0,0,G4/B$17)</f>
        <v>0.67045454545454541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68</v>
      </c>
      <c r="F5" s="60" t="s">
        <v>24</v>
      </c>
      <c r="G5" s="47">
        <v>31</v>
      </c>
      <c r="H5" s="133">
        <f>IF(B$17=0,0,G5/B$17)</f>
        <v>0.17613636363636365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70</v>
      </c>
      <c r="F7" s="60" t="s">
        <v>25</v>
      </c>
      <c r="G7" s="47">
        <v>25</v>
      </c>
      <c r="H7" s="133">
        <f>IF(B$17=0,0,G7/B$17)</f>
        <v>0.14204545454545456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71</v>
      </c>
      <c r="F8" s="60" t="s">
        <v>26</v>
      </c>
      <c r="G8" s="47">
        <v>10</v>
      </c>
      <c r="H8" s="133">
        <f>IF(B$17=0,0,G8/B$17)</f>
        <v>5.6818181818181816E-2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72</v>
      </c>
      <c r="F9" s="60" t="s">
        <v>27</v>
      </c>
      <c r="G9" s="47">
        <v>13</v>
      </c>
      <c r="H9" s="133">
        <f>IF(B$17=0,0,G9/B$17)</f>
        <v>7.3863636363636367E-2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102</v>
      </c>
      <c r="H10" s="133">
        <f>IF(B$17=0,0,G10/B$17)</f>
        <v>0.57954545454545459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76</v>
      </c>
      <c r="F13" s="60" t="s">
        <v>31</v>
      </c>
      <c r="G13" s="47">
        <v>1</v>
      </c>
      <c r="H13" s="133">
        <f>IF(B$17=0,0,G13/B$17)</f>
        <v>5.681818181818182E-3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 t="shared" si="2"/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 t="shared" si="2"/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82</v>
      </c>
      <c r="F19" s="60" t="s">
        <v>37</v>
      </c>
      <c r="G19" s="47">
        <v>5</v>
      </c>
      <c r="H19" s="133">
        <f>IF(B$17=0,0,G19/B$17)</f>
        <v>2.8409090909090908E-2</v>
      </c>
      <c r="I19" s="94">
        <v>8</v>
      </c>
      <c r="K19" s="38">
        <v>17</v>
      </c>
      <c r="L19" s="99">
        <v>-55.099999999999994</v>
      </c>
      <c r="N19" s="115" t="s">
        <v>202</v>
      </c>
      <c r="O19" s="125">
        <f t="shared" si="2"/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84</v>
      </c>
      <c r="F21" s="60" t="s">
        <v>39</v>
      </c>
      <c r="G21" s="47">
        <v>9</v>
      </c>
      <c r="H21" s="133">
        <f>IF(B$17=0,0,G21/B$17)</f>
        <v>5.113636363636364E-2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87</v>
      </c>
      <c r="F24" s="60" t="s">
        <v>42</v>
      </c>
      <c r="G24" s="47">
        <v>8</v>
      </c>
      <c r="H24" s="133">
        <f>IF(B$17=0,0,G24/B$17)</f>
        <v>4.5454545454545456E-2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5.681818181818182E-3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90</v>
      </c>
      <c r="F27" s="60" t="s">
        <v>45</v>
      </c>
      <c r="G27" s="47">
        <v>12</v>
      </c>
      <c r="H27" s="133">
        <f>IF(B$17=0,0,G27/B$17)</f>
        <v>6.8181818181818177E-2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1.1363636363636364E-2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73</v>
      </c>
      <c r="H51" s="134">
        <f>IF(B$17=0,0,G51/B$17)</f>
        <v>0.41477272727272729</v>
      </c>
      <c r="I51" s="95">
        <v>4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E2:I5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B448-925B-4F10-8014-F15BC633296B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8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2"/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A3E55-BC8B-4BEF-8BCF-380CCC09A9BE}">
  <sheetPr codeName="Sheet19"/>
  <dimension ref="A1:Q51"/>
  <sheetViews>
    <sheetView showGridLines="0" tabSelected="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50</v>
      </c>
      <c r="H2" s="132">
        <f>IF(B$17=0,0,G2/B$17)</f>
        <v>0.5494505494505495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591.66666666666663</v>
      </c>
      <c r="P2" s="118">
        <v>36</v>
      </c>
      <c r="Q2" s="102">
        <v>21300</v>
      </c>
    </row>
    <row r="3" spans="1:17" x14ac:dyDescent="0.4">
      <c r="A3" s="55" t="s">
        <v>8</v>
      </c>
      <c r="B3" s="148">
        <v>302</v>
      </c>
      <c r="C3" s="149"/>
      <c r="E3" s="63" t="s">
        <v>73</v>
      </c>
      <c r="F3" s="60" t="s">
        <v>28</v>
      </c>
      <c r="G3" s="47">
        <v>50</v>
      </c>
      <c r="H3" s="133">
        <f>IF(B$17=0,0,G3/B$17)</f>
        <v>0.5494505494505495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147.05882352941177</v>
      </c>
      <c r="P3" s="119">
        <v>34</v>
      </c>
      <c r="Q3" s="103">
        <v>5000</v>
      </c>
    </row>
    <row r="4" spans="1:17" x14ac:dyDescent="0.4">
      <c r="A4" s="55" t="s">
        <v>6</v>
      </c>
      <c r="B4" s="150">
        <v>85.800000000000011</v>
      </c>
      <c r="C4" s="151"/>
      <c r="E4" s="63" t="s">
        <v>65</v>
      </c>
      <c r="F4" s="60" t="s">
        <v>21</v>
      </c>
      <c r="G4" s="47">
        <v>48</v>
      </c>
      <c r="H4" s="133">
        <f>IF(B$17=0,0,G4/B$17)</f>
        <v>0.52747252747252749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-1521.875</v>
      </c>
      <c r="P4" s="119">
        <v>32</v>
      </c>
      <c r="Q4" s="103">
        <v>-48700</v>
      </c>
    </row>
    <row r="5" spans="1:17" x14ac:dyDescent="0.4">
      <c r="A5" s="55" t="s">
        <v>7</v>
      </c>
      <c r="B5" s="152">
        <f>IF(B$2=0,0,B$4/B$2)</f>
        <v>2.3833333333333337</v>
      </c>
      <c r="C5" s="153"/>
      <c r="E5" s="63" t="s">
        <v>181</v>
      </c>
      <c r="F5" s="60" t="s">
        <v>182</v>
      </c>
      <c r="G5" s="47">
        <v>33</v>
      </c>
      <c r="H5" s="133">
        <f>IF(B$17=0,0,G5/B$17)</f>
        <v>0.36263736263736263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2996.7741935483873</v>
      </c>
      <c r="P5" s="119">
        <v>31</v>
      </c>
      <c r="Q5" s="103">
        <v>92900</v>
      </c>
    </row>
    <row r="6" spans="1:17" x14ac:dyDescent="0.4">
      <c r="A6" s="55" t="s">
        <v>1</v>
      </c>
      <c r="B6" s="142">
        <f>IF(B$2=0,0,(B$7*1+B$8*2+B$9*3)/B$2)</f>
        <v>1.9166666666666667</v>
      </c>
      <c r="C6" s="143"/>
      <c r="E6" s="63" t="s">
        <v>68</v>
      </c>
      <c r="F6" s="60" t="s">
        <v>24</v>
      </c>
      <c r="G6" s="47">
        <v>32</v>
      </c>
      <c r="H6" s="133">
        <f>IF(B$17=0,0,G6/B$17)</f>
        <v>0.35164835164835168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-562.96296296296293</v>
      </c>
      <c r="P6" s="119">
        <v>27</v>
      </c>
      <c r="Q6" s="103">
        <v>-15200</v>
      </c>
    </row>
    <row r="7" spans="1:17" x14ac:dyDescent="0.4">
      <c r="A7" s="55" t="s">
        <v>2</v>
      </c>
      <c r="B7" s="47">
        <v>15</v>
      </c>
      <c r="C7" s="39">
        <f>IF(B$2=0,0,B7/B$2)</f>
        <v>0.41666666666666669</v>
      </c>
      <c r="E7" s="63" t="s">
        <v>69</v>
      </c>
      <c r="F7" s="60" t="s">
        <v>12</v>
      </c>
      <c r="G7" s="47">
        <v>24</v>
      </c>
      <c r="H7" s="133">
        <f>IF(B$17=0,0,G7/B$17)</f>
        <v>0.26373626373626374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378.26086956521738</v>
      </c>
      <c r="P7" s="120">
        <v>23</v>
      </c>
      <c r="Q7" s="104">
        <v>8700</v>
      </c>
    </row>
    <row r="8" spans="1:17" x14ac:dyDescent="0.4">
      <c r="A8" s="55" t="s">
        <v>3</v>
      </c>
      <c r="B8" s="47">
        <v>9</v>
      </c>
      <c r="C8" s="39">
        <f>IF(B$2=0,0,B8/B$2)</f>
        <v>0.25</v>
      </c>
      <c r="E8" s="63" t="s">
        <v>90</v>
      </c>
      <c r="F8" s="60" t="s">
        <v>45</v>
      </c>
      <c r="G8" s="47">
        <v>12</v>
      </c>
      <c r="H8" s="133">
        <f>IF(B$17=0,0,G8/B$17)</f>
        <v>0.13186813186813187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0.33333333333333331</v>
      </c>
      <c r="E9" s="63" t="s">
        <v>70</v>
      </c>
      <c r="F9" s="60" t="s">
        <v>25</v>
      </c>
      <c r="G9" s="47">
        <v>11</v>
      </c>
      <c r="H9" s="133">
        <f>IF(B$17=0,0,G9/B$17)</f>
        <v>0.12087912087912088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0.16666666666666666</v>
      </c>
      <c r="E10" s="63" t="s">
        <v>71</v>
      </c>
      <c r="F10" s="60" t="s">
        <v>26</v>
      </c>
      <c r="G10" s="47">
        <v>7</v>
      </c>
      <c r="H10" s="133">
        <f>IF(B$17=0,0,G10/B$17)</f>
        <v>7.6923076923076927E-2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14.837499999999999</v>
      </c>
      <c r="P10" s="118">
        <v>8</v>
      </c>
      <c r="Q10" s="106">
        <v>118.69999999999999</v>
      </c>
    </row>
    <row r="11" spans="1:17" x14ac:dyDescent="0.4">
      <c r="A11" s="56" t="s">
        <v>140</v>
      </c>
      <c r="B11" s="48">
        <v>3</v>
      </c>
      <c r="C11" s="40">
        <f>IF(B$2=0,0,B11/B$2)</f>
        <v>8.3333333333333329E-2</v>
      </c>
      <c r="E11" s="63" t="s">
        <v>66</v>
      </c>
      <c r="F11" s="60" t="s">
        <v>22</v>
      </c>
      <c r="G11" s="47">
        <v>6</v>
      </c>
      <c r="H11" s="133">
        <f>IF(B$17=0,0,G11/B$17)</f>
        <v>6.5934065934065936E-2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-3.3214285714285716</v>
      </c>
      <c r="P11" s="119">
        <v>14</v>
      </c>
      <c r="Q11" s="107">
        <v>-46.5</v>
      </c>
    </row>
    <row r="12" spans="1:17" x14ac:dyDescent="0.4">
      <c r="A12" s="57" t="s">
        <v>160</v>
      </c>
      <c r="B12" s="49">
        <v>4</v>
      </c>
      <c r="C12" s="42">
        <f>IF(B$2=0,0,B12/B$2)</f>
        <v>0.1111111111111111</v>
      </c>
      <c r="E12" s="63" t="s">
        <v>84</v>
      </c>
      <c r="F12" s="60" t="s">
        <v>39</v>
      </c>
      <c r="G12" s="47">
        <v>5</v>
      </c>
      <c r="H12" s="133">
        <f>IF(B$17=0,0,G12/B$17)</f>
        <v>5.4945054945054944E-2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68</v>
      </c>
      <c r="C13" s="44">
        <f>IF(B$3=0,0,B13/B$3)</f>
        <v>0.2251655629139073</v>
      </c>
      <c r="E13" s="63" t="s">
        <v>92</v>
      </c>
      <c r="F13" s="60" t="s">
        <v>47</v>
      </c>
      <c r="G13" s="47">
        <v>5</v>
      </c>
      <c r="H13" s="133">
        <f>IF(B$17=0,0,G13/B$17)</f>
        <v>5.4945054945054944E-2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67</v>
      </c>
      <c r="C14" s="39">
        <f>IF(B$3=0,0,B14/B$3)</f>
        <v>0.22185430463576158</v>
      </c>
      <c r="E14" s="63" t="s">
        <v>72</v>
      </c>
      <c r="F14" s="60" t="s">
        <v>27</v>
      </c>
      <c r="G14" s="47">
        <v>3</v>
      </c>
      <c r="H14" s="133">
        <f>IF(B$17=0,0,G14/B$17)</f>
        <v>3.2967032967032968E-2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0.69117647058823528</v>
      </c>
      <c r="E15" s="63" t="s">
        <v>82</v>
      </c>
      <c r="F15" s="60" t="s">
        <v>37</v>
      </c>
      <c r="G15" s="47">
        <v>3</v>
      </c>
      <c r="H15" s="133">
        <f>IF(B$17=0,0,G15/B$17)</f>
        <v>3.2967032967032968E-2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0.37313432835820898</v>
      </c>
      <c r="E16" s="63" t="s">
        <v>79</v>
      </c>
      <c r="F16" s="60" t="s">
        <v>34</v>
      </c>
      <c r="G16" s="47">
        <v>2</v>
      </c>
      <c r="H16" s="133">
        <f>IF(B$17=0,0,G16/B$17)</f>
        <v>2.197802197802198E-2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91</v>
      </c>
      <c r="C17" s="37">
        <f>IF(B$3=0,0,B17/B$3)</f>
        <v>0.30132450331125826</v>
      </c>
      <c r="E17" s="63" t="s">
        <v>80</v>
      </c>
      <c r="F17" s="60" t="s">
        <v>35</v>
      </c>
      <c r="G17" s="47">
        <v>2</v>
      </c>
      <c r="H17" s="133">
        <f>IF(B$17=0,0,G17/B$17)</f>
        <v>2.197802197802198E-2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>IF(P17=0,0,Q17/P17)</f>
        <v>26.430000000000007</v>
      </c>
      <c r="P17" s="119">
        <v>10</v>
      </c>
      <c r="Q17" s="107">
        <v>264.30000000000007</v>
      </c>
    </row>
    <row r="18" spans="1:17" x14ac:dyDescent="0.4">
      <c r="A18" s="55" t="s">
        <v>12</v>
      </c>
      <c r="B18" s="47">
        <v>37</v>
      </c>
      <c r="C18" s="39">
        <f>IF(B$17=0,0,B18/B$17)</f>
        <v>0.40659340659340659</v>
      </c>
      <c r="E18" s="63" t="s">
        <v>86</v>
      </c>
      <c r="F18" s="60" t="s">
        <v>41</v>
      </c>
      <c r="G18" s="47">
        <v>2</v>
      </c>
      <c r="H18" s="133">
        <f>IF(B$17=0,0,G18/B$17)</f>
        <v>2.197802197802198E-2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54</v>
      </c>
      <c r="C19" s="39">
        <f>IF(B$17=0,0,B19/B$17)</f>
        <v>0.59340659340659341</v>
      </c>
      <c r="E19" s="63" t="s">
        <v>87</v>
      </c>
      <c r="F19" s="60" t="s">
        <v>42</v>
      </c>
      <c r="G19" s="47">
        <v>2</v>
      </c>
      <c r="H19" s="133">
        <f>IF(B$17=0,0,G19/B$17)</f>
        <v>2.197802197802198E-2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50</v>
      </c>
      <c r="C20" s="39">
        <f>IF(B$3=0,0,B20/B$3)</f>
        <v>0.16556291390728478</v>
      </c>
      <c r="E20" s="63" t="s">
        <v>75</v>
      </c>
      <c r="F20" s="60" t="s">
        <v>30</v>
      </c>
      <c r="G20" s="47">
        <v>1</v>
      </c>
      <c r="H20" s="133">
        <f>IF(B$17=0,0,G20/B$17)</f>
        <v>1.098901098901099E-2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4.1099999999999968</v>
      </c>
      <c r="P20" s="119">
        <v>10</v>
      </c>
      <c r="Q20" s="107">
        <v>41.099999999999966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1.098901098901099E-2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-18.733333333333338</v>
      </c>
      <c r="P21" s="119">
        <v>6</v>
      </c>
      <c r="Q21" s="107">
        <v>-112.40000000000002</v>
      </c>
    </row>
    <row r="22" spans="1:17" x14ac:dyDescent="0.4">
      <c r="A22" s="55" t="s">
        <v>194</v>
      </c>
      <c r="B22" s="47">
        <v>21</v>
      </c>
      <c r="C22" s="135">
        <v>5</v>
      </c>
      <c r="E22" s="63" t="s">
        <v>77</v>
      </c>
      <c r="F22" s="60" t="s">
        <v>32</v>
      </c>
      <c r="G22" s="47">
        <v>1</v>
      </c>
      <c r="H22" s="133">
        <f>IF(B$17=0,0,G22/B$17)</f>
        <v>1.098901098901099E-2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-22.984615384615385</v>
      </c>
      <c r="P22" s="119">
        <v>13</v>
      </c>
      <c r="Q22" s="107">
        <v>-298.8</v>
      </c>
    </row>
    <row r="23" spans="1:17" x14ac:dyDescent="0.4">
      <c r="A23" s="55" t="s">
        <v>5</v>
      </c>
      <c r="B23" s="51">
        <f>IF(B$17=0,0,C23/B$17)</f>
        <v>8735.1648351648346</v>
      </c>
      <c r="C23" s="41">
        <v>794900</v>
      </c>
      <c r="E23" s="63" t="s">
        <v>93</v>
      </c>
      <c r="F23" s="60" t="s">
        <v>48</v>
      </c>
      <c r="G23" s="47">
        <v>1</v>
      </c>
      <c r="H23" s="133">
        <f>IF(B$17=0,0,G23/B$17)</f>
        <v>1.098901098901099E-2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-7782</v>
      </c>
      <c r="C24" s="45">
        <v>-389100</v>
      </c>
      <c r="E24" s="63" t="s">
        <v>102</v>
      </c>
      <c r="F24" s="60" t="s">
        <v>57</v>
      </c>
      <c r="G24" s="47">
        <v>1</v>
      </c>
      <c r="H24" s="133">
        <f>IF(B$17=0,0,G24/B$17)</f>
        <v>1.098901098901099E-2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6.6225165562913907E-3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-27.099999999999994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7.2000000000000028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-49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9EE9B-6964-4CB4-8A56-5DBDE85FF5C7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5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692A-0CD6-491A-ABE8-46E8404B1DB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4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C706-1C7C-413D-B9C6-B784A759C9D4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F37D-D9F8-47CC-B8D0-BC650C4DDBC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45BE1-C9A4-4E9F-A75F-134633C90F1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F8AC-8262-44B3-9AE3-E0312A7D8AE3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E5ECA-FE31-42B7-A6AA-330BDF7B054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5E53-A8D5-4229-BDE2-640C9F698640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1BF1-8E01-47FE-93DE-5584ACED148A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DAEF-E62A-438E-9080-B783F585F2A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4A07-7BE2-4AAB-B577-E70D4B5E735F}">
  <sheetPr codeName="Sheet20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5878A-B25D-4425-9C05-11A491EB8AB5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ECD82-DC20-41BD-B965-3AE1ABB2A775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3DBE-63D0-4F73-987C-8C20CE03C447}">
  <sheetPr codeName="Sheet14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9CB0-DBE4-4C60-B787-0A5D5571FE14}">
  <sheetPr codeName="Sheet12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-921.89999999999975</v>
      </c>
      <c r="C61" s="66">
        <v>-15.894827586206892</v>
      </c>
      <c r="D61" s="71">
        <v>2.2586206896551726</v>
      </c>
      <c r="E61" s="67">
        <v>0.2413793103448276</v>
      </c>
      <c r="F61" s="67">
        <v>0.5</v>
      </c>
      <c r="G61" s="67">
        <v>0.22669491525423729</v>
      </c>
      <c r="H61" s="67">
        <v>0.19491525423728814</v>
      </c>
      <c r="I61" s="68">
        <v>9061.6822429906533</v>
      </c>
      <c r="J61" s="68">
        <v>-9518.4782608695659</v>
      </c>
      <c r="K61" s="67">
        <v>0.20689655172413793</v>
      </c>
      <c r="L61" s="67">
        <v>0.1206896551724138</v>
      </c>
      <c r="M61" s="67">
        <v>0.25635593220338981</v>
      </c>
      <c r="N61" s="67">
        <v>0.15677966101694915</v>
      </c>
      <c r="O61" s="67">
        <v>0.52066115702479343</v>
      </c>
      <c r="P61" s="67">
        <v>0.24324324324324326</v>
      </c>
      <c r="Q61" s="67">
        <v>0.47663551401869159</v>
      </c>
    </row>
    <row r="62" spans="1:17" x14ac:dyDescent="0.4">
      <c r="A62" s="69">
        <v>59</v>
      </c>
      <c r="B62" s="66">
        <v>-942.1999999999997</v>
      </c>
      <c r="C62" s="66">
        <v>-15.969491525423724</v>
      </c>
      <c r="D62" s="71">
        <v>2.2542372881355934</v>
      </c>
      <c r="E62" s="67">
        <v>0.23728813559322035</v>
      </c>
      <c r="F62" s="67">
        <v>0.49152542372881358</v>
      </c>
      <c r="G62" s="67">
        <v>0.22839506172839505</v>
      </c>
      <c r="H62" s="67">
        <v>0.19341563786008231</v>
      </c>
      <c r="I62" s="68">
        <v>9014.4144144144138</v>
      </c>
      <c r="J62" s="68">
        <v>-9602.1276595744675</v>
      </c>
      <c r="K62" s="67">
        <v>0.20338983050847459</v>
      </c>
      <c r="L62" s="67">
        <v>0.11864406779661017</v>
      </c>
      <c r="M62" s="67">
        <v>0.25720164609053497</v>
      </c>
      <c r="N62" s="67">
        <v>0.16049382716049382</v>
      </c>
      <c r="O62" s="67">
        <v>0.52</v>
      </c>
      <c r="P62" s="67">
        <v>0.24358974358974358</v>
      </c>
      <c r="Q62" s="67">
        <v>0.49549549549549549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AB689-E833-43BF-B765-75DF2E5AA9D7}">
  <sheetPr codeName="Sheet10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5AB07-FE4A-46FA-B05E-48F930D2E10E}">
  <sheetPr codeName="Sheet8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4997-FC59-4F2E-84A9-F10D02B45FA1}">
  <sheetPr codeName="Sheet6"/>
  <dimension ref="A1:Q1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0.16725978647686832</v>
      </c>
      <c r="I171" s="68">
        <v>8560.790513833992</v>
      </c>
      <c r="J171" s="68">
        <v>-8222.6950354609926</v>
      </c>
      <c r="K171" s="67">
        <v>0.1130952380952381</v>
      </c>
      <c r="L171" s="67">
        <v>0.1130952380952381</v>
      </c>
      <c r="M171" s="67">
        <v>0.27402135231316727</v>
      </c>
      <c r="N171" s="67">
        <v>0.21020166073546856</v>
      </c>
      <c r="O171" s="67">
        <v>0.58787878787878789</v>
      </c>
      <c r="P171" s="67">
        <v>0.3905191873589165</v>
      </c>
      <c r="Q171" s="67">
        <v>0.43636363636363634</v>
      </c>
    </row>
    <row r="172" spans="1:17" x14ac:dyDescent="0.4">
      <c r="A172" s="69">
        <v>169</v>
      </c>
      <c r="B172" s="66">
        <v>1.4210854715202004E-14</v>
      </c>
      <c r="C172" s="66">
        <v>2.7974123455122054E-17</v>
      </c>
      <c r="D172" s="71">
        <v>1.9960629921259843</v>
      </c>
      <c r="E172" s="67">
        <v>0.33267716535433073</v>
      </c>
      <c r="F172" s="67">
        <v>0.33267716535433073</v>
      </c>
      <c r="G172" s="67">
        <v>0.29997650927883485</v>
      </c>
      <c r="H172" s="67">
        <v>0.16654921306084097</v>
      </c>
      <c r="I172" s="68">
        <v>8576.9772905246664</v>
      </c>
      <c r="J172" s="68">
        <v>-8239.3511988716509</v>
      </c>
      <c r="K172" s="67">
        <v>0.11220472440944881</v>
      </c>
      <c r="L172" s="67">
        <v>0.11220472440944881</v>
      </c>
      <c r="M172" s="67">
        <v>0.27484143763213531</v>
      </c>
      <c r="N172" s="67">
        <v>0.21024195442800095</v>
      </c>
      <c r="O172" s="67">
        <v>0.5871794871794872</v>
      </c>
      <c r="P172" s="67">
        <v>0.38994413407821227</v>
      </c>
      <c r="Q172" s="67">
        <v>0.43852779953014881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2019-05-21T11:12:21Z</dcterms:modified>
</cp:coreProperties>
</file>