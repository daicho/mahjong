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CBF7CCC-3689-41B4-910E-CCBD7FBD110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27" r:id="rId6"/>
    <sheet name="だいち" sheetId="5429" r:id="rId7"/>
    <sheet name="りくと" sheetId="5431" r:id="rId8"/>
    <sheet name="ただ" sheetId="5433" r:id="rId9"/>
    <sheet name="れんたろう" sheetId="5435" r:id="rId10"/>
    <sheet name="たかの" sheetId="5437" r:id="rId11"/>
    <sheet name="ぱぱ" sheetId="5439" r:id="rId12"/>
    <sheet name="まっつん" sheetId="5441" r:id="rId13"/>
    <sheet name="あさひ" sheetId="5443" r:id="rId14"/>
    <sheet name="いっしー" sheetId="5445" r:id="rId15"/>
    <sheet name="ほたに" sheetId="5447" r:id="rId16"/>
    <sheet name="かわたつ" sheetId="5449" r:id="rId17"/>
    <sheet name="やがさき" sheetId="5451" r:id="rId18"/>
    <sheet name="やがさき2" sheetId="5452" state="hidden" r:id="rId19"/>
    <sheet name="かわたつ2" sheetId="5450" state="hidden" r:id="rId20"/>
    <sheet name="ほたに2" sheetId="5448" state="hidden" r:id="rId21"/>
    <sheet name="いっしー2" sheetId="5446" state="hidden" r:id="rId22"/>
    <sheet name="あさひ2" sheetId="5444" state="hidden" r:id="rId23"/>
    <sheet name="まっつん2" sheetId="5442" state="hidden" r:id="rId24"/>
    <sheet name="ぱぱ2" sheetId="5440" state="hidden" r:id="rId25"/>
    <sheet name="たかの2" sheetId="5438" state="hidden" r:id="rId26"/>
    <sheet name="れんたろう2" sheetId="5436" state="hidden" r:id="rId27"/>
    <sheet name="ただ2" sheetId="5434" state="hidden" r:id="rId28"/>
    <sheet name="りくと2" sheetId="5432" state="hidden" r:id="rId29"/>
    <sheet name="だいち2" sheetId="5430" state="hidden" r:id="rId30"/>
    <sheet name="全体2" sheetId="542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29" l="1"/>
  <c r="O15" i="5451"/>
  <c r="O15" i="5433" l="1"/>
  <c r="O16" i="5437"/>
  <c r="O16" i="5427"/>
  <c r="O17" i="5451"/>
  <c r="O16" i="5451"/>
  <c r="C27" i="5451"/>
  <c r="B24" i="5451"/>
  <c r="C20" i="5451"/>
  <c r="B17" i="5451"/>
  <c r="H48" i="5451" s="1"/>
  <c r="C16" i="5451"/>
  <c r="C15" i="5451"/>
  <c r="C14" i="5451"/>
  <c r="C13" i="5451"/>
  <c r="O12" i="5451"/>
  <c r="C12" i="5451"/>
  <c r="O11" i="5451"/>
  <c r="C11" i="5451"/>
  <c r="O10" i="5451"/>
  <c r="H10" i="5451"/>
  <c r="C10" i="5451"/>
  <c r="C9" i="5451"/>
  <c r="H8" i="5451"/>
  <c r="C8" i="5451"/>
  <c r="O7" i="5451"/>
  <c r="C7" i="5451"/>
  <c r="O6" i="5451"/>
  <c r="B6" i="5451"/>
  <c r="O5" i="5451"/>
  <c r="B5" i="5451"/>
  <c r="O4" i="5451"/>
  <c r="H4" i="5451"/>
  <c r="O3" i="5451"/>
  <c r="O2" i="5451"/>
  <c r="H2" i="5451"/>
  <c r="O15" i="5449"/>
  <c r="O16" i="5449"/>
  <c r="C27" i="5449"/>
  <c r="B24" i="5449"/>
  <c r="C20" i="5449"/>
  <c r="C17" i="5449"/>
  <c r="B17" i="5449"/>
  <c r="H48" i="5449" s="1"/>
  <c r="C16" i="5449"/>
  <c r="C15" i="5449"/>
  <c r="C14" i="5449"/>
  <c r="C13" i="5449"/>
  <c r="O12" i="5449"/>
  <c r="C12" i="5449"/>
  <c r="O11" i="5449"/>
  <c r="C11" i="5449"/>
  <c r="O10" i="5449"/>
  <c r="H10" i="5449"/>
  <c r="C10" i="5449"/>
  <c r="C9" i="5449"/>
  <c r="H8" i="5449"/>
  <c r="C8" i="5449"/>
  <c r="O7" i="5449"/>
  <c r="C7" i="5449"/>
  <c r="O6" i="5449"/>
  <c r="B6" i="5449"/>
  <c r="O5" i="5449"/>
  <c r="B5" i="5449"/>
  <c r="O4" i="5449"/>
  <c r="H4" i="5449"/>
  <c r="O3" i="5449"/>
  <c r="O2" i="5449"/>
  <c r="H2" i="5449"/>
  <c r="O23" i="5435"/>
  <c r="O17" i="5429"/>
  <c r="O25" i="5427"/>
  <c r="C17" i="5451" l="1"/>
  <c r="H18" i="5451"/>
  <c r="H20" i="5451"/>
  <c r="H23" i="5451"/>
  <c r="H26" i="5451"/>
  <c r="H29" i="5451"/>
  <c r="H33" i="5451"/>
  <c r="H37" i="5451"/>
  <c r="H41" i="5451"/>
  <c r="H45" i="5451"/>
  <c r="H49" i="5451"/>
  <c r="H7" i="5451"/>
  <c r="H13" i="5451"/>
  <c r="H15" i="5451"/>
  <c r="C19" i="5451"/>
  <c r="H21" i="5451"/>
  <c r="H30" i="5451"/>
  <c r="H34" i="5451"/>
  <c r="H38" i="5451"/>
  <c r="H42" i="5451"/>
  <c r="H46" i="5451"/>
  <c r="H50" i="5451"/>
  <c r="H3" i="5451"/>
  <c r="H6" i="5451"/>
  <c r="H9" i="5451"/>
  <c r="H12" i="5451"/>
  <c r="H17" i="5451"/>
  <c r="H19" i="5451"/>
  <c r="H22" i="5451"/>
  <c r="H24" i="5451"/>
  <c r="H27" i="5451"/>
  <c r="H31" i="5451"/>
  <c r="H35" i="5451"/>
  <c r="H39" i="5451"/>
  <c r="H43" i="5451"/>
  <c r="H47" i="5451"/>
  <c r="H51" i="5451"/>
  <c r="H5" i="5451"/>
  <c r="H11" i="5451"/>
  <c r="H14" i="5451"/>
  <c r="H16" i="5451"/>
  <c r="C18" i="5451"/>
  <c r="B23" i="5451"/>
  <c r="H25" i="5451"/>
  <c r="H28" i="5451"/>
  <c r="H32" i="5451"/>
  <c r="H36" i="5451"/>
  <c r="H40" i="5451"/>
  <c r="H44" i="5451"/>
  <c r="H18" i="5449"/>
  <c r="H20" i="5449"/>
  <c r="H23" i="5449"/>
  <c r="H26" i="5449"/>
  <c r="H29" i="5449"/>
  <c r="H33" i="5449"/>
  <c r="H37" i="5449"/>
  <c r="H41" i="5449"/>
  <c r="H45" i="5449"/>
  <c r="H49" i="5449"/>
  <c r="H7" i="5449"/>
  <c r="H13" i="5449"/>
  <c r="H15" i="5449"/>
  <c r="C19" i="5449"/>
  <c r="H21" i="5449"/>
  <c r="H30" i="5449"/>
  <c r="H34" i="5449"/>
  <c r="H38" i="5449"/>
  <c r="H42" i="5449"/>
  <c r="H46" i="5449"/>
  <c r="H50" i="5449"/>
  <c r="H3" i="5449"/>
  <c r="H6" i="5449"/>
  <c r="H9" i="5449"/>
  <c r="H12" i="5449"/>
  <c r="H17" i="5449"/>
  <c r="H19" i="5449"/>
  <c r="H22" i="5449"/>
  <c r="H24" i="5449"/>
  <c r="H27" i="5449"/>
  <c r="H31" i="5449"/>
  <c r="H35" i="5449"/>
  <c r="H39" i="5449"/>
  <c r="H43" i="5449"/>
  <c r="H47" i="5449"/>
  <c r="H51" i="5449"/>
  <c r="H5" i="5449"/>
  <c r="H11" i="5449"/>
  <c r="H14" i="5449"/>
  <c r="H16" i="5449"/>
  <c r="C18" i="5449"/>
  <c r="B23" i="5449"/>
  <c r="H25" i="5449"/>
  <c r="H28" i="5449"/>
  <c r="H32" i="5449"/>
  <c r="H36" i="5449"/>
  <c r="H40" i="5449"/>
  <c r="H44" i="5449"/>
  <c r="O17" i="5437" l="1"/>
  <c r="O16" i="5445"/>
  <c r="O20" i="5447" l="1"/>
  <c r="O18" i="5447"/>
  <c r="O15" i="5441"/>
  <c r="O20" i="5431"/>
  <c r="O24" i="5429" l="1"/>
  <c r="O16" i="5447"/>
  <c r="O21" i="5439"/>
  <c r="O15" i="5447"/>
  <c r="O17" i="5447" l="1"/>
  <c r="O19" i="5447"/>
  <c r="C27" i="5447"/>
  <c r="B24" i="5447"/>
  <c r="C20" i="5447"/>
  <c r="B17" i="5447"/>
  <c r="H48" i="5447" s="1"/>
  <c r="C16" i="5447"/>
  <c r="C15" i="5447"/>
  <c r="C14" i="5447"/>
  <c r="C13" i="5447"/>
  <c r="O12" i="5447"/>
  <c r="C12" i="5447"/>
  <c r="O11" i="5447"/>
  <c r="C11" i="5447"/>
  <c r="O10" i="5447"/>
  <c r="C10" i="5447"/>
  <c r="C9" i="5447"/>
  <c r="C8" i="5447"/>
  <c r="O7" i="5447"/>
  <c r="C7" i="5447"/>
  <c r="O6" i="5447"/>
  <c r="B6" i="5447"/>
  <c r="O5" i="5447"/>
  <c r="B5" i="5447"/>
  <c r="O4" i="5447"/>
  <c r="O3" i="5447"/>
  <c r="O2" i="5447"/>
  <c r="H2" i="5447"/>
  <c r="O21" i="5435"/>
  <c r="O18" i="5437"/>
  <c r="O19" i="5427"/>
  <c r="H8" i="5447" l="1"/>
  <c r="C17" i="5447"/>
  <c r="H4" i="5447"/>
  <c r="H10" i="5447"/>
  <c r="H18" i="5447"/>
  <c r="H20" i="5447"/>
  <c r="H23" i="5447"/>
  <c r="H26" i="5447"/>
  <c r="H29" i="5447"/>
  <c r="H33" i="5447"/>
  <c r="H37" i="5447"/>
  <c r="H41" i="5447"/>
  <c r="H45" i="5447"/>
  <c r="H49" i="5447"/>
  <c r="H7" i="5447"/>
  <c r="H13" i="5447"/>
  <c r="H15" i="5447"/>
  <c r="C19" i="5447"/>
  <c r="H21" i="5447"/>
  <c r="H30" i="5447"/>
  <c r="H34" i="5447"/>
  <c r="H38" i="5447"/>
  <c r="H42" i="5447"/>
  <c r="H46" i="5447"/>
  <c r="H50" i="5447"/>
  <c r="H3" i="5447"/>
  <c r="H6" i="5447"/>
  <c r="H9" i="5447"/>
  <c r="H12" i="5447"/>
  <c r="H17" i="5447"/>
  <c r="H19" i="5447"/>
  <c r="H22" i="5447"/>
  <c r="H24" i="5447"/>
  <c r="H27" i="5447"/>
  <c r="H31" i="5447"/>
  <c r="H35" i="5447"/>
  <c r="H39" i="5447"/>
  <c r="H43" i="5447"/>
  <c r="H47" i="5447"/>
  <c r="H51" i="5447"/>
  <c r="H5" i="5447"/>
  <c r="H11" i="5447"/>
  <c r="H14" i="5447"/>
  <c r="H16" i="5447"/>
  <c r="C18" i="5447"/>
  <c r="B23" i="5447"/>
  <c r="H25" i="5447"/>
  <c r="H28" i="5447"/>
  <c r="H32" i="5447"/>
  <c r="H36" i="5447"/>
  <c r="H40" i="5447"/>
  <c r="H44" i="5447"/>
  <c r="O20" i="5437" l="1"/>
  <c r="O16" i="5433"/>
  <c r="O21" i="5441"/>
  <c r="O20" i="5441"/>
  <c r="O21" i="5429" l="1"/>
  <c r="O17" i="5445"/>
  <c r="O20" i="5445" l="1"/>
  <c r="O15" i="5445"/>
  <c r="O16" i="5435"/>
  <c r="O22" i="5433"/>
  <c r="O17" i="5443" l="1"/>
  <c r="O22" i="5439"/>
  <c r="O15" i="5443"/>
  <c r="O21" i="5445"/>
  <c r="O15" i="5431"/>
  <c r="O17" i="5441"/>
  <c r="O17" i="5427"/>
  <c r="O19" i="5445"/>
  <c r="O18" i="5445"/>
  <c r="C27" i="5445"/>
  <c r="B24" i="5445"/>
  <c r="C20" i="5445"/>
  <c r="B17" i="5445"/>
  <c r="H48" i="5445" s="1"/>
  <c r="C16" i="5445"/>
  <c r="C15" i="5445"/>
  <c r="C14" i="5445"/>
  <c r="C13" i="5445"/>
  <c r="O12" i="5445"/>
  <c r="C12" i="5445"/>
  <c r="O11" i="5445"/>
  <c r="C11" i="5445"/>
  <c r="O10" i="5445"/>
  <c r="H10" i="5445"/>
  <c r="C10" i="5445"/>
  <c r="C9" i="5445"/>
  <c r="H8" i="5445"/>
  <c r="C8" i="5445"/>
  <c r="O7" i="5445"/>
  <c r="C7" i="5445"/>
  <c r="O6" i="5445"/>
  <c r="B6" i="5445"/>
  <c r="O5" i="5445"/>
  <c r="B5" i="5445"/>
  <c r="O4" i="5445"/>
  <c r="H4" i="5445"/>
  <c r="O3" i="5445"/>
  <c r="O2" i="5445"/>
  <c r="H2" i="5445"/>
  <c r="O16" i="5443"/>
  <c r="O18" i="5443"/>
  <c r="C27" i="5443"/>
  <c r="B24" i="5443"/>
  <c r="C20" i="5443"/>
  <c r="B17" i="5443"/>
  <c r="H48" i="5443" s="1"/>
  <c r="C16" i="5443"/>
  <c r="C15" i="5443"/>
  <c r="C14" i="5443"/>
  <c r="C13" i="5443"/>
  <c r="O12" i="5443"/>
  <c r="C12" i="5443"/>
  <c r="O11" i="5443"/>
  <c r="C11" i="5443"/>
  <c r="O10" i="5443"/>
  <c r="C10" i="5443"/>
  <c r="C9" i="5443"/>
  <c r="C8" i="5443"/>
  <c r="O7" i="5443"/>
  <c r="C7" i="5443"/>
  <c r="O6" i="5443"/>
  <c r="B6" i="5443"/>
  <c r="O5" i="5443"/>
  <c r="B5" i="5443"/>
  <c r="O4" i="5443"/>
  <c r="O3" i="5443"/>
  <c r="O2" i="5443"/>
  <c r="O22" i="5441"/>
  <c r="O23" i="5441"/>
  <c r="O15" i="5429"/>
  <c r="O16" i="5429"/>
  <c r="O26" i="5427"/>
  <c r="H8" i="5443" l="1"/>
  <c r="H2" i="5443"/>
  <c r="H4" i="5443"/>
  <c r="H10" i="5443"/>
  <c r="C17" i="5443"/>
  <c r="C17" i="5445"/>
  <c r="H18" i="5445"/>
  <c r="H20" i="5445"/>
  <c r="H23" i="5445"/>
  <c r="H26" i="5445"/>
  <c r="H29" i="5445"/>
  <c r="H33" i="5445"/>
  <c r="H37" i="5445"/>
  <c r="H41" i="5445"/>
  <c r="H45" i="5445"/>
  <c r="H49" i="5445"/>
  <c r="H7" i="5445"/>
  <c r="H13" i="5445"/>
  <c r="H15" i="5445"/>
  <c r="C19" i="5445"/>
  <c r="H21" i="5445"/>
  <c r="H30" i="5445"/>
  <c r="H34" i="5445"/>
  <c r="H38" i="5445"/>
  <c r="H42" i="5445"/>
  <c r="H46" i="5445"/>
  <c r="H50" i="5445"/>
  <c r="H3" i="5445"/>
  <c r="H6" i="5445"/>
  <c r="H9" i="5445"/>
  <c r="H12" i="5445"/>
  <c r="H17" i="5445"/>
  <c r="H19" i="5445"/>
  <c r="H22" i="5445"/>
  <c r="H24" i="5445"/>
  <c r="H27" i="5445"/>
  <c r="H31" i="5445"/>
  <c r="H35" i="5445"/>
  <c r="H39" i="5445"/>
  <c r="H43" i="5445"/>
  <c r="H47" i="5445"/>
  <c r="H51" i="5445"/>
  <c r="H5" i="5445"/>
  <c r="H11" i="5445"/>
  <c r="H14" i="5445"/>
  <c r="H16" i="5445"/>
  <c r="C18" i="5445"/>
  <c r="B23" i="5445"/>
  <c r="H25" i="5445"/>
  <c r="H28" i="5445"/>
  <c r="H32" i="5445"/>
  <c r="H36" i="5445"/>
  <c r="H40" i="5445"/>
  <c r="H44" i="5445"/>
  <c r="H18" i="5443"/>
  <c r="H20" i="5443"/>
  <c r="H23" i="5443"/>
  <c r="H26" i="5443"/>
  <c r="H29" i="5443"/>
  <c r="H33" i="5443"/>
  <c r="H37" i="5443"/>
  <c r="H41" i="5443"/>
  <c r="H45" i="5443"/>
  <c r="H49" i="5443"/>
  <c r="H7" i="5443"/>
  <c r="H13" i="5443"/>
  <c r="H15" i="5443"/>
  <c r="C19" i="5443"/>
  <c r="H21" i="5443"/>
  <c r="H30" i="5443"/>
  <c r="H34" i="5443"/>
  <c r="H38" i="5443"/>
  <c r="H42" i="5443"/>
  <c r="H46" i="5443"/>
  <c r="H50" i="5443"/>
  <c r="H3" i="5443"/>
  <c r="H6" i="5443"/>
  <c r="H9" i="5443"/>
  <c r="H12" i="5443"/>
  <c r="H17" i="5443"/>
  <c r="H19" i="5443"/>
  <c r="H22" i="5443"/>
  <c r="H24" i="5443"/>
  <c r="H27" i="5443"/>
  <c r="H31" i="5443"/>
  <c r="H35" i="5443"/>
  <c r="H39" i="5443"/>
  <c r="H43" i="5443"/>
  <c r="H47" i="5443"/>
  <c r="H51" i="5443"/>
  <c r="H5" i="5443"/>
  <c r="H11" i="5443"/>
  <c r="H14" i="5443"/>
  <c r="H16" i="5443"/>
  <c r="C18" i="5443"/>
  <c r="B23" i="5443"/>
  <c r="H25" i="5443"/>
  <c r="H28" i="5443"/>
  <c r="H32" i="5443"/>
  <c r="H36" i="5443"/>
  <c r="H40" i="5443"/>
  <c r="H44" i="5443"/>
  <c r="O19" i="5441" l="1"/>
  <c r="O18" i="5439"/>
  <c r="O16" i="5439"/>
  <c r="O17" i="5431"/>
  <c r="O19" i="5437" l="1"/>
  <c r="O17" i="5435"/>
  <c r="O17" i="5439"/>
  <c r="O19" i="5439"/>
  <c r="O15" i="5437" l="1"/>
  <c r="O15" i="5435"/>
  <c r="O21" i="5433"/>
  <c r="O19" i="5433"/>
  <c r="O16" i="5441"/>
  <c r="O18" i="5441"/>
  <c r="C27" i="5441"/>
  <c r="B24" i="5441"/>
  <c r="C20" i="5441"/>
  <c r="B17" i="5441"/>
  <c r="H51" i="5441" s="1"/>
  <c r="C16" i="5441"/>
  <c r="C15" i="5441"/>
  <c r="C14" i="5441"/>
  <c r="C13" i="5441"/>
  <c r="O12" i="5441"/>
  <c r="C12" i="5441"/>
  <c r="O11" i="5441"/>
  <c r="C11" i="5441"/>
  <c r="O10" i="5441"/>
  <c r="C10" i="5441"/>
  <c r="C9" i="5441"/>
  <c r="C8" i="5441"/>
  <c r="O7" i="5441"/>
  <c r="C7" i="5441"/>
  <c r="O6" i="5441"/>
  <c r="B6" i="5441"/>
  <c r="O5" i="5441"/>
  <c r="B5" i="5441"/>
  <c r="O4" i="5441"/>
  <c r="O3" i="5441"/>
  <c r="O2" i="5441"/>
  <c r="O22" i="5435"/>
  <c r="O21" i="5431"/>
  <c r="O22" i="5427"/>
  <c r="H25" i="5441" l="1"/>
  <c r="H36" i="5441"/>
  <c r="H4" i="5441"/>
  <c r="H10" i="5441"/>
  <c r="H2" i="5441"/>
  <c r="H8" i="5441"/>
  <c r="C18" i="5441"/>
  <c r="H11" i="5441"/>
  <c r="H16" i="5441"/>
  <c r="H40" i="5441"/>
  <c r="B23" i="5441"/>
  <c r="H28" i="5441"/>
  <c r="H44" i="5441"/>
  <c r="H14" i="5441"/>
  <c r="H5" i="5441"/>
  <c r="C17" i="5441"/>
  <c r="H32" i="5441"/>
  <c r="H48" i="5441"/>
  <c r="H18" i="5441"/>
  <c r="H20" i="5441"/>
  <c r="H23" i="5441"/>
  <c r="H26" i="5441"/>
  <c r="H29" i="5441"/>
  <c r="H33" i="5441"/>
  <c r="H37" i="5441"/>
  <c r="H41" i="5441"/>
  <c r="H45" i="5441"/>
  <c r="H49" i="5441"/>
  <c r="H7" i="5441"/>
  <c r="H13" i="5441"/>
  <c r="H15" i="5441"/>
  <c r="C19" i="5441"/>
  <c r="H21" i="5441"/>
  <c r="H30" i="5441"/>
  <c r="H34" i="5441"/>
  <c r="H38" i="5441"/>
  <c r="H42" i="5441"/>
  <c r="H46" i="5441"/>
  <c r="H50" i="5441"/>
  <c r="H3" i="5441"/>
  <c r="H6" i="5441"/>
  <c r="H9" i="5441"/>
  <c r="H12" i="5441"/>
  <c r="H17" i="5441"/>
  <c r="H19" i="5441"/>
  <c r="H22" i="5441"/>
  <c r="H24" i="5441"/>
  <c r="H27" i="5441"/>
  <c r="H31" i="5441"/>
  <c r="H35" i="5441"/>
  <c r="H39" i="5441"/>
  <c r="H43" i="5441"/>
  <c r="H47" i="5441"/>
  <c r="O18" i="5433" l="1"/>
  <c r="O20" i="5439"/>
  <c r="O15" i="5439"/>
  <c r="C27" i="5439"/>
  <c r="B24" i="5439"/>
  <c r="C20" i="5439"/>
  <c r="B17" i="5439"/>
  <c r="H51" i="5439" s="1"/>
  <c r="C16" i="5439"/>
  <c r="C15" i="5439"/>
  <c r="C14" i="5439"/>
  <c r="C13" i="5439"/>
  <c r="O12" i="5439"/>
  <c r="C12" i="5439"/>
  <c r="O11" i="5439"/>
  <c r="C11" i="5439"/>
  <c r="O10" i="5439"/>
  <c r="C10" i="5439"/>
  <c r="C9" i="5439"/>
  <c r="C8" i="5439"/>
  <c r="O7" i="5439"/>
  <c r="C7" i="5439"/>
  <c r="O6" i="5439"/>
  <c r="B6" i="5439"/>
  <c r="O5" i="5439"/>
  <c r="B5" i="5439"/>
  <c r="O4" i="5439"/>
  <c r="O3" i="5439"/>
  <c r="O2" i="5439"/>
  <c r="O20" i="5429"/>
  <c r="O18" i="5427"/>
  <c r="O21" i="5437"/>
  <c r="O19" i="5431"/>
  <c r="O18" i="5431"/>
  <c r="O19" i="5435"/>
  <c r="O22" i="5437"/>
  <c r="O23" i="5437"/>
  <c r="C27" i="5437"/>
  <c r="B24" i="5437"/>
  <c r="C20" i="5437"/>
  <c r="B17" i="5437"/>
  <c r="H51" i="5437" s="1"/>
  <c r="C16" i="5437"/>
  <c r="C15" i="5437"/>
  <c r="C14" i="5437"/>
  <c r="C13" i="5437"/>
  <c r="O12" i="5437"/>
  <c r="C12" i="5437"/>
  <c r="O11" i="5437"/>
  <c r="C11" i="5437"/>
  <c r="O10" i="5437"/>
  <c r="C10" i="5437"/>
  <c r="C9" i="5437"/>
  <c r="C8" i="5437"/>
  <c r="O7" i="5437"/>
  <c r="C7" i="5437"/>
  <c r="O6" i="5437"/>
  <c r="B6" i="5437"/>
  <c r="O5" i="5437"/>
  <c r="B5" i="5437"/>
  <c r="O4" i="5437"/>
  <c r="O3" i="5437"/>
  <c r="O2" i="5437"/>
  <c r="O20" i="5435"/>
  <c r="O18" i="5435"/>
  <c r="C27" i="5435"/>
  <c r="B24" i="5435"/>
  <c r="C20" i="5435"/>
  <c r="B17" i="5435"/>
  <c r="H48" i="5435" s="1"/>
  <c r="C16" i="5435"/>
  <c r="C15" i="5435"/>
  <c r="C14" i="5435"/>
  <c r="C13" i="5435"/>
  <c r="O12" i="5435"/>
  <c r="C12" i="5435"/>
  <c r="O11" i="5435"/>
  <c r="C11" i="5435"/>
  <c r="O10" i="5435"/>
  <c r="C10" i="5435"/>
  <c r="C9" i="5435"/>
  <c r="C8" i="5435"/>
  <c r="O7" i="5435"/>
  <c r="C7" i="5435"/>
  <c r="O6" i="5435"/>
  <c r="B6" i="5435"/>
  <c r="O5" i="5435"/>
  <c r="B5" i="5435"/>
  <c r="O4" i="5435"/>
  <c r="O3" i="5435"/>
  <c r="O2" i="5435"/>
  <c r="O19" i="5429"/>
  <c r="O23" i="5429"/>
  <c r="O21" i="5427"/>
  <c r="O23" i="5427"/>
  <c r="H6" i="5439" l="1"/>
  <c r="H11" i="5439"/>
  <c r="H3" i="5439"/>
  <c r="H46" i="5439"/>
  <c r="H5" i="5439"/>
  <c r="C17" i="5439"/>
  <c r="H13" i="5439"/>
  <c r="H2" i="5439"/>
  <c r="C19" i="5439"/>
  <c r="H30" i="5439"/>
  <c r="H10" i="5439"/>
  <c r="H15" i="5439"/>
  <c r="H4" i="5439"/>
  <c r="H8" i="5439"/>
  <c r="H7" i="5439"/>
  <c r="H14" i="5439"/>
  <c r="H16" i="5439"/>
  <c r="H38" i="5439"/>
  <c r="H42" i="5439"/>
  <c r="H10" i="5437"/>
  <c r="H4" i="5437"/>
  <c r="H2" i="5437"/>
  <c r="H8" i="5437"/>
  <c r="H8" i="5435"/>
  <c r="H2" i="5435"/>
  <c r="H21" i="5439"/>
  <c r="H34" i="5439"/>
  <c r="H50" i="5439"/>
  <c r="C18" i="5439"/>
  <c r="B23" i="5439"/>
  <c r="H25" i="5439"/>
  <c r="H28" i="5439"/>
  <c r="H32" i="5439"/>
  <c r="H36" i="5439"/>
  <c r="H40" i="5439"/>
  <c r="H44" i="5439"/>
  <c r="H48" i="5439"/>
  <c r="H18" i="5439"/>
  <c r="H20" i="5439"/>
  <c r="H23" i="5439"/>
  <c r="H26" i="5439"/>
  <c r="H29" i="5439"/>
  <c r="H33" i="5439"/>
  <c r="H37" i="5439"/>
  <c r="H41" i="5439"/>
  <c r="H45" i="5439"/>
  <c r="H49" i="5439"/>
  <c r="H9" i="5439"/>
  <c r="H12" i="5439"/>
  <c r="H17" i="5439"/>
  <c r="H19" i="5439"/>
  <c r="H22" i="5439"/>
  <c r="H24" i="5439"/>
  <c r="H27" i="5439"/>
  <c r="H31" i="5439"/>
  <c r="H35" i="5439"/>
  <c r="H39" i="5439"/>
  <c r="H43" i="5439"/>
  <c r="H47" i="5439"/>
  <c r="C17" i="5437"/>
  <c r="C17" i="5435"/>
  <c r="H4" i="5435"/>
  <c r="H10" i="5435"/>
  <c r="H18" i="5437"/>
  <c r="H23" i="5437"/>
  <c r="H29" i="5437"/>
  <c r="H45" i="5437"/>
  <c r="H7" i="5437"/>
  <c r="H13" i="5437"/>
  <c r="H21" i="5437"/>
  <c r="H38" i="5437"/>
  <c r="H46" i="5437"/>
  <c r="H5" i="5437"/>
  <c r="H11" i="5437"/>
  <c r="H14" i="5437"/>
  <c r="H16" i="5437"/>
  <c r="C18" i="5437"/>
  <c r="B23" i="5437"/>
  <c r="H25" i="5437"/>
  <c r="H28" i="5437"/>
  <c r="H32" i="5437"/>
  <c r="H36" i="5437"/>
  <c r="H40" i="5437"/>
  <c r="H44" i="5437"/>
  <c r="H48" i="5437"/>
  <c r="H20" i="5437"/>
  <c r="H26" i="5437"/>
  <c r="H33" i="5437"/>
  <c r="H37" i="5437"/>
  <c r="H41" i="5437"/>
  <c r="H49" i="5437"/>
  <c r="H15" i="5437"/>
  <c r="C19" i="5437"/>
  <c r="H30" i="5437"/>
  <c r="H34" i="5437"/>
  <c r="H42" i="5437"/>
  <c r="H50" i="5437"/>
  <c r="H3" i="5437"/>
  <c r="H6" i="5437"/>
  <c r="H9" i="5437"/>
  <c r="H12" i="5437"/>
  <c r="H17" i="5437"/>
  <c r="H19" i="5437"/>
  <c r="H22" i="5437"/>
  <c r="H24" i="5437"/>
  <c r="H27" i="5437"/>
  <c r="H31" i="5437"/>
  <c r="H35" i="5437"/>
  <c r="H39" i="5437"/>
  <c r="H43" i="5437"/>
  <c r="H47" i="5437"/>
  <c r="H18" i="5435"/>
  <c r="H20" i="5435"/>
  <c r="H23" i="5435"/>
  <c r="H26" i="5435"/>
  <c r="H29" i="5435"/>
  <c r="H33" i="5435"/>
  <c r="H37" i="5435"/>
  <c r="H41" i="5435"/>
  <c r="H45" i="5435"/>
  <c r="H49" i="5435"/>
  <c r="H7" i="5435"/>
  <c r="H13" i="5435"/>
  <c r="H15" i="5435"/>
  <c r="C19" i="5435"/>
  <c r="H21" i="5435"/>
  <c r="H30" i="5435"/>
  <c r="H34" i="5435"/>
  <c r="H38" i="5435"/>
  <c r="H42" i="5435"/>
  <c r="H46" i="5435"/>
  <c r="H50" i="5435"/>
  <c r="H3" i="5435"/>
  <c r="H6" i="5435"/>
  <c r="H9" i="5435"/>
  <c r="H12" i="5435"/>
  <c r="H17" i="5435"/>
  <c r="H19" i="5435"/>
  <c r="H22" i="5435"/>
  <c r="H24" i="5435"/>
  <c r="H27" i="5435"/>
  <c r="H31" i="5435"/>
  <c r="H35" i="5435"/>
  <c r="H39" i="5435"/>
  <c r="H43" i="5435"/>
  <c r="H47" i="5435"/>
  <c r="H51" i="5435"/>
  <c r="H5" i="5435"/>
  <c r="H11" i="5435"/>
  <c r="H14" i="5435"/>
  <c r="H16" i="5435"/>
  <c r="C18" i="5435"/>
  <c r="B23" i="5435"/>
  <c r="H25" i="5435"/>
  <c r="H28" i="5435"/>
  <c r="H32" i="5435"/>
  <c r="H36" i="5435"/>
  <c r="H40" i="5435"/>
  <c r="H44" i="5435"/>
  <c r="O17" i="5433" l="1"/>
  <c r="O20" i="5433"/>
  <c r="C27" i="5433"/>
  <c r="B24" i="5433"/>
  <c r="C20" i="5433"/>
  <c r="B17" i="5433"/>
  <c r="H51" i="5433" s="1"/>
  <c r="C16" i="5433"/>
  <c r="C15" i="5433"/>
  <c r="C14" i="5433"/>
  <c r="C13" i="5433"/>
  <c r="O12" i="5433"/>
  <c r="C12" i="5433"/>
  <c r="O11" i="5433"/>
  <c r="C11" i="5433"/>
  <c r="O10" i="5433"/>
  <c r="C10" i="5433"/>
  <c r="C9" i="5433"/>
  <c r="C8" i="5433"/>
  <c r="O7" i="5433"/>
  <c r="C7" i="5433"/>
  <c r="O6" i="5433"/>
  <c r="B6" i="5433"/>
  <c r="O5" i="5433"/>
  <c r="B5" i="5433"/>
  <c r="O4" i="5433"/>
  <c r="O3" i="5433"/>
  <c r="O2" i="5433"/>
  <c r="O22" i="5431"/>
  <c r="O16" i="5431"/>
  <c r="C27" i="5431"/>
  <c r="B24" i="5431"/>
  <c r="C20" i="5431"/>
  <c r="B17" i="5431"/>
  <c r="H50" i="5431" s="1"/>
  <c r="C16" i="5431"/>
  <c r="C15" i="5431"/>
  <c r="C14" i="5431"/>
  <c r="C13" i="5431"/>
  <c r="O12" i="5431"/>
  <c r="C12" i="5431"/>
  <c r="O11" i="5431"/>
  <c r="C11" i="5431"/>
  <c r="O10" i="5431"/>
  <c r="C10" i="5431"/>
  <c r="C9" i="5431"/>
  <c r="C8" i="5431"/>
  <c r="O7" i="5431"/>
  <c r="C7" i="5431"/>
  <c r="O6" i="5431"/>
  <c r="B6" i="5431"/>
  <c r="O5" i="5431"/>
  <c r="B5" i="5431"/>
  <c r="O4" i="5431"/>
  <c r="O3" i="5431"/>
  <c r="O2" i="5431"/>
  <c r="O24" i="5427"/>
  <c r="O18" i="5429"/>
  <c r="O22" i="5429"/>
  <c r="C27" i="5429"/>
  <c r="B24" i="5429"/>
  <c r="C20" i="5429"/>
  <c r="B17" i="5429"/>
  <c r="H49" i="5429" s="1"/>
  <c r="C16" i="5429"/>
  <c r="C15" i="5429"/>
  <c r="C14" i="5429"/>
  <c r="C13" i="5429"/>
  <c r="O12" i="5429"/>
  <c r="C12" i="5429"/>
  <c r="O11" i="5429"/>
  <c r="C11" i="5429"/>
  <c r="O10" i="5429"/>
  <c r="C10" i="5429"/>
  <c r="C9" i="5429"/>
  <c r="C8" i="5429"/>
  <c r="O7" i="5429"/>
  <c r="C7" i="5429"/>
  <c r="O6" i="5429"/>
  <c r="B6" i="5429"/>
  <c r="O5" i="5429"/>
  <c r="B5" i="5429"/>
  <c r="O4" i="5429"/>
  <c r="O3" i="5429"/>
  <c r="O2" i="5429"/>
  <c r="O15" i="5427"/>
  <c r="O20" i="5427"/>
  <c r="C27" i="5427"/>
  <c r="B24" i="5427"/>
  <c r="C20" i="5427"/>
  <c r="B17" i="5427"/>
  <c r="H51" i="5427" s="1"/>
  <c r="C16" i="5427"/>
  <c r="C15" i="5427"/>
  <c r="C14" i="5427"/>
  <c r="C13" i="5427"/>
  <c r="O12" i="5427"/>
  <c r="C12" i="5427"/>
  <c r="O11" i="5427"/>
  <c r="C11" i="5427"/>
  <c r="O10" i="5427"/>
  <c r="C10" i="5427"/>
  <c r="C9" i="5427"/>
  <c r="C8" i="5427"/>
  <c r="O7" i="5427"/>
  <c r="C7" i="5427"/>
  <c r="O6" i="5427"/>
  <c r="B6" i="5427"/>
  <c r="O5" i="5427"/>
  <c r="B5" i="5427"/>
  <c r="O4" i="5427"/>
  <c r="O3" i="5427"/>
  <c r="O2" i="5427"/>
  <c r="H8" i="5433" l="1"/>
  <c r="H16" i="5433"/>
  <c r="H5" i="5433"/>
  <c r="H4" i="5433"/>
  <c r="H2" i="5433"/>
  <c r="H12" i="5433"/>
  <c r="H38" i="5433"/>
  <c r="H14" i="5433"/>
  <c r="H46" i="5433"/>
  <c r="H9" i="5433"/>
  <c r="H11" i="5433"/>
  <c r="C18" i="5433"/>
  <c r="H3" i="5433"/>
  <c r="H6" i="5433"/>
  <c r="C19" i="5433"/>
  <c r="H28" i="5433"/>
  <c r="B23" i="5433"/>
  <c r="H30" i="5433"/>
  <c r="C17" i="5431"/>
  <c r="H9" i="5431"/>
  <c r="H4" i="5431"/>
  <c r="H2" i="5431"/>
  <c r="H6" i="5431"/>
  <c r="H8" i="5431"/>
  <c r="H3" i="5431"/>
  <c r="H10" i="5431"/>
  <c r="H2" i="5429"/>
  <c r="H11" i="5429"/>
  <c r="H5" i="5429"/>
  <c r="H4" i="5429"/>
  <c r="H4" i="5427"/>
  <c r="H36" i="5433"/>
  <c r="H44" i="5433"/>
  <c r="H25" i="5433"/>
  <c r="H32" i="5433"/>
  <c r="H40" i="5433"/>
  <c r="H48" i="5433"/>
  <c r="H10" i="5433"/>
  <c r="H7" i="5433"/>
  <c r="H13" i="5433"/>
  <c r="H15" i="5433"/>
  <c r="C17" i="5433"/>
  <c r="H21" i="5433"/>
  <c r="H34" i="5433"/>
  <c r="H42" i="5433"/>
  <c r="H50" i="5433"/>
  <c r="H18" i="5433"/>
  <c r="H20" i="5433"/>
  <c r="H23" i="5433"/>
  <c r="H26" i="5433"/>
  <c r="H29" i="5433"/>
  <c r="H33" i="5433"/>
  <c r="H37" i="5433"/>
  <c r="H41" i="5433"/>
  <c r="H45" i="5433"/>
  <c r="H49" i="5433"/>
  <c r="H17" i="5433"/>
  <c r="H19" i="5433"/>
  <c r="H22" i="5433"/>
  <c r="H24" i="5433"/>
  <c r="H27" i="5433"/>
  <c r="H31" i="5433"/>
  <c r="H35" i="5433"/>
  <c r="H39" i="5433"/>
  <c r="H43" i="5433"/>
  <c r="H47" i="5433"/>
  <c r="H12" i="5431"/>
  <c r="H17" i="5431"/>
  <c r="H19" i="5431"/>
  <c r="H22" i="5431"/>
  <c r="H24" i="5431"/>
  <c r="H27" i="5431"/>
  <c r="H31" i="5431"/>
  <c r="H35" i="5431"/>
  <c r="H39" i="5431"/>
  <c r="H43" i="5431"/>
  <c r="H47" i="5431"/>
  <c r="H51" i="5431"/>
  <c r="H5" i="5431"/>
  <c r="H11" i="5431"/>
  <c r="H14" i="5431"/>
  <c r="H16" i="5431"/>
  <c r="C18" i="5431"/>
  <c r="B23" i="5431"/>
  <c r="H25" i="5431"/>
  <c r="H28" i="5431"/>
  <c r="H32" i="5431"/>
  <c r="H36" i="5431"/>
  <c r="H40" i="5431"/>
  <c r="H44" i="5431"/>
  <c r="H48" i="5431"/>
  <c r="H18" i="5431"/>
  <c r="H20" i="5431"/>
  <c r="H23" i="5431"/>
  <c r="H26" i="5431"/>
  <c r="H29" i="5431"/>
  <c r="H33" i="5431"/>
  <c r="H37" i="5431"/>
  <c r="H41" i="5431"/>
  <c r="H45" i="5431"/>
  <c r="H49" i="5431"/>
  <c r="H7" i="5431"/>
  <c r="H13" i="5431"/>
  <c r="H15" i="5431"/>
  <c r="C19" i="5431"/>
  <c r="H21" i="5431"/>
  <c r="H30" i="5431"/>
  <c r="H34" i="5431"/>
  <c r="H38" i="5431"/>
  <c r="H42" i="5431"/>
  <c r="H46" i="5431"/>
  <c r="H14" i="5429"/>
  <c r="H16" i="5429"/>
  <c r="C18" i="5429"/>
  <c r="H31" i="5429"/>
  <c r="H42" i="5429"/>
  <c r="H34" i="5429"/>
  <c r="H13" i="5429"/>
  <c r="H15" i="5429"/>
  <c r="H38" i="5429"/>
  <c r="H47" i="5429"/>
  <c r="H8" i="5429"/>
  <c r="H10" i="5429"/>
  <c r="H19" i="5429"/>
  <c r="H24" i="5429"/>
  <c r="H46" i="5429"/>
  <c r="H7" i="5429"/>
  <c r="C17" i="5429"/>
  <c r="H3" i="5429"/>
  <c r="H6" i="5429"/>
  <c r="H9" i="5429"/>
  <c r="H12" i="5429"/>
  <c r="H17" i="5429"/>
  <c r="H21" i="5429"/>
  <c r="H30" i="5429"/>
  <c r="H39" i="5429"/>
  <c r="H50" i="5429"/>
  <c r="C19" i="5429"/>
  <c r="H22" i="5429"/>
  <c r="H27" i="5429"/>
  <c r="H35" i="5429"/>
  <c r="H43" i="5429"/>
  <c r="H51" i="5429"/>
  <c r="B23" i="5429"/>
  <c r="H25" i="5429"/>
  <c r="H28" i="5429"/>
  <c r="H32" i="5429"/>
  <c r="H36" i="5429"/>
  <c r="H40" i="5429"/>
  <c r="H44" i="5429"/>
  <c r="H48" i="5429"/>
  <c r="H18" i="5429"/>
  <c r="H20" i="5429"/>
  <c r="H23" i="5429"/>
  <c r="H26" i="5429"/>
  <c r="H29" i="5429"/>
  <c r="H33" i="5429"/>
  <c r="H37" i="5429"/>
  <c r="H41" i="5429"/>
  <c r="H45" i="5429"/>
  <c r="C17" i="5427"/>
  <c r="H2" i="5427"/>
  <c r="H8" i="5427"/>
  <c r="H18" i="5427"/>
  <c r="H23" i="5427"/>
  <c r="H26" i="5427"/>
  <c r="H33" i="5427"/>
  <c r="H41" i="5427"/>
  <c r="H49" i="5427"/>
  <c r="H7" i="5427"/>
  <c r="H15" i="5427"/>
  <c r="C19" i="5427"/>
  <c r="H21" i="5427"/>
  <c r="H30" i="5427"/>
  <c r="H34" i="5427"/>
  <c r="H38" i="5427"/>
  <c r="H42" i="5427"/>
  <c r="H46" i="5427"/>
  <c r="H50" i="5427"/>
  <c r="H3" i="5427"/>
  <c r="H6" i="5427"/>
  <c r="H9" i="5427"/>
  <c r="H12" i="5427"/>
  <c r="H17" i="5427"/>
  <c r="H19" i="5427"/>
  <c r="H24" i="5427"/>
  <c r="H27" i="5427"/>
  <c r="H31" i="5427"/>
  <c r="H39" i="5427"/>
  <c r="H43" i="5427"/>
  <c r="H47" i="5427"/>
  <c r="H5" i="5427"/>
  <c r="H11" i="5427"/>
  <c r="H14" i="5427"/>
  <c r="H16" i="5427"/>
  <c r="C18" i="5427"/>
  <c r="B23" i="5427"/>
  <c r="H25" i="5427"/>
  <c r="H28" i="5427"/>
  <c r="H32" i="5427"/>
  <c r="H36" i="5427"/>
  <c r="H40" i="5427"/>
  <c r="H44" i="5427"/>
  <c r="H48" i="5427"/>
  <c r="H10" i="5427"/>
  <c r="H20" i="5427"/>
  <c r="H29" i="5427"/>
  <c r="H37" i="5427"/>
  <c r="H45" i="5427"/>
  <c r="H13" i="5427"/>
  <c r="H22" i="5427"/>
  <c r="H35" i="542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<sst xmlns="http://schemas.openxmlformats.org/spreadsheetml/2006/main" count="3246" uniqueCount="246">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</sst>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全体!$L$2:$L$602</c:f>
              <c:numCache>
                <c:formatCode>\+0.0;\-0.0;\±0</c:formatCode>
                <c:ptCount val="60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1-426C-8750-FD0716AE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-13.333333333333334</c:v>
                </c:pt>
                <c:pt idx="1">
                  <c:v>-8.5470085470085468</c:v>
                </c:pt>
                <c:pt idx="2">
                  <c:v>7.2463768115942031</c:v>
                </c:pt>
                <c:pt idx="3">
                  <c:v>11.904761904761905</c:v>
                </c:pt>
                <c:pt idx="4">
                  <c:v>-15.452538631346579</c:v>
                </c:pt>
                <c:pt idx="5">
                  <c:v>24.691358024691358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F-4733-97E9-544A6E32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E-481F-A7B5-DD78DAFA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1643.7037037037037</c:v>
                </c:pt>
                <c:pt idx="1">
                  <c:v>1303.0534351145038</c:v>
                </c:pt>
                <c:pt idx="2">
                  <c:v>1235.483870967742</c:v>
                </c:pt>
                <c:pt idx="3">
                  <c:v>2642.1052631578946</c:v>
                </c:pt>
                <c:pt idx="4">
                  <c:v>412</c:v>
                </c:pt>
                <c:pt idx="5">
                  <c:v>602.29885057471267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F-4841-B64B-7DB5E1F2D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A-4B30-90FA-AD8E0A48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2-4A1F-AA78-3EE1CA1BB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ただ!$L$2:$L$77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B-4C7C-A119-B6635559A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-2396</c:v>
                </c:pt>
                <c:pt idx="1">
                  <c:v>-1360.2739726027398</c:v>
                </c:pt>
                <c:pt idx="2">
                  <c:v>-513.04347826086962</c:v>
                </c:pt>
                <c:pt idx="3">
                  <c:v>-4703.2786885245905</c:v>
                </c:pt>
                <c:pt idx="4">
                  <c:v>-1603.6363636363637</c:v>
                </c:pt>
                <c:pt idx="5">
                  <c:v>-1430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0-4339-B7C7-3F558479A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3-4841-BBCD-A6DF32A16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-372.94117647058823</c:v>
                </c:pt>
                <c:pt idx="1">
                  <c:v>791.56626506024099</c:v>
                </c:pt>
                <c:pt idx="2">
                  <c:v>1650.6493506493507</c:v>
                </c:pt>
                <c:pt idx="3">
                  <c:v>1331.3432835820895</c:v>
                </c:pt>
                <c:pt idx="4">
                  <c:v>-522.03389830508479</c:v>
                </c:pt>
                <c:pt idx="5">
                  <c:v>-285.18518518518516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13F-B167-6220FE3A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たかの!$L$2:$L$68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49-41C0-8043-FA901CE85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696.969696969697</c:v>
                </c:pt>
                <c:pt idx="1">
                  <c:v>-662.12121212121212</c:v>
                </c:pt>
                <c:pt idx="2">
                  <c:v>-1530.5084745762713</c:v>
                </c:pt>
                <c:pt idx="3">
                  <c:v>641.07142857142856</c:v>
                </c:pt>
                <c:pt idx="4">
                  <c:v>861.11111111111109</c:v>
                </c:pt>
                <c:pt idx="5">
                  <c:v>-258.69565217391306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C20-ADA0-48B059520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9-4367-8D8A-33DF8A31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5-4F8D-AC20-749F33ED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A-4547-8366-97547C9D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8-4ED9-8E52-EEB0A752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0-4C24-AC91-A38D97DB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8-4764-B3C8-438A0568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7-426D-A594-5A553762D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D-4759-910E-061DA8C5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C9C-82C8-913921675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F-4AD6-B94B-C5B5636B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666-9931-1732730FF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5-4425-AF61-CEBA338F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0-439C-AE4D-89DAC3977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441-9752-DCC1EF38D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れんたろう2!$B$3:$B$88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0974345792274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れんたろう2!$C$3:$C$88</c:f>
              <c:numCache>
                <c:formatCode>\+0.0;\-0.0;\±0</c:formatCode>
                <c:ptCount val="86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  <c:pt idx="74">
                  <c:v>1.3418918918918916</c:v>
                </c:pt>
                <c:pt idx="75">
                  <c:v>1.9373333333333331</c:v>
                </c:pt>
                <c:pt idx="76">
                  <c:v>2.1486842105263158</c:v>
                </c:pt>
                <c:pt idx="77">
                  <c:v>1.1636363636363634</c:v>
                </c:pt>
                <c:pt idx="78">
                  <c:v>1.2089743589743587</c:v>
                </c:pt>
                <c:pt idx="79">
                  <c:v>1.4999999999999998</c:v>
                </c:pt>
                <c:pt idx="80">
                  <c:v>1.3712499999999999</c:v>
                </c:pt>
                <c:pt idx="81">
                  <c:v>2.1370370370370368</c:v>
                </c:pt>
                <c:pt idx="82">
                  <c:v>2.6109756097560974</c:v>
                </c:pt>
                <c:pt idx="83">
                  <c:v>2.5409638554216869</c:v>
                </c:pt>
                <c:pt idx="84">
                  <c:v>3.2750000000000004</c:v>
                </c:pt>
                <c:pt idx="85">
                  <c:v>2.507058823529412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957242987123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れんたろう2!$D$3:$D$88</c:f>
              <c:numCache>
                <c:formatCode>0.00\ "位"</c:formatCode>
                <c:ptCount val="86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  <c:pt idx="74">
                  <c:v>2.0540540540540539</c:v>
                </c:pt>
                <c:pt idx="75">
                  <c:v>2.04</c:v>
                </c:pt>
                <c:pt idx="76">
                  <c:v>2.0394736842105261</c:v>
                </c:pt>
                <c:pt idx="77">
                  <c:v>2.051948051948052</c:v>
                </c:pt>
                <c:pt idx="78">
                  <c:v>2.0512820512820511</c:v>
                </c:pt>
                <c:pt idx="79">
                  <c:v>2.037974683544304</c:v>
                </c:pt>
                <c:pt idx="80">
                  <c:v>2.0375000000000001</c:v>
                </c:pt>
                <c:pt idx="81">
                  <c:v>2.0246913580246915</c:v>
                </c:pt>
                <c:pt idx="82">
                  <c:v>2.0121951219512195</c:v>
                </c:pt>
                <c:pt idx="83">
                  <c:v>2.0120481927710845</c:v>
                </c:pt>
                <c:pt idx="84">
                  <c:v>2</c:v>
                </c:pt>
                <c:pt idx="85">
                  <c:v>2.0117647058823529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れんたろう2!$E$3:$E$88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0.29729729729729731</c:v>
                </c:pt>
                <c:pt idx="75">
                  <c:v>0.30666666666666664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0.30864197530864196</c:v>
                </c:pt>
                <c:pt idx="82">
                  <c:v>0.31707317073170732</c:v>
                </c:pt>
                <c:pt idx="83">
                  <c:v>0.31325301204819278</c:v>
                </c:pt>
                <c:pt idx="84">
                  <c:v>0.32142857142857145</c:v>
                </c:pt>
                <c:pt idx="85">
                  <c:v>0.31764705882352939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れんたろう2!$F$3:$F$88</c:f>
              <c:numCache>
                <c:formatCode>0.0%</c:formatCode>
                <c:ptCount val="8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  <c:pt idx="74">
                  <c:v>0.35135135135135137</c:v>
                </c:pt>
                <c:pt idx="75">
                  <c:v>0.34666666666666668</c:v>
                </c:pt>
                <c:pt idx="76">
                  <c:v>0.34210526315789475</c:v>
                </c:pt>
                <c:pt idx="77">
                  <c:v>0.35064935064935066</c:v>
                </c:pt>
                <c:pt idx="78">
                  <c:v>0.34615384615384615</c:v>
                </c:pt>
                <c:pt idx="79">
                  <c:v>0.34177215189873417</c:v>
                </c:pt>
                <c:pt idx="80">
                  <c:v>0.33750000000000002</c:v>
                </c:pt>
                <c:pt idx="81">
                  <c:v>0.33333333333333331</c:v>
                </c:pt>
                <c:pt idx="82">
                  <c:v>0.32926829268292684</c:v>
                </c:pt>
                <c:pt idx="83">
                  <c:v>0.3253012048192771</c:v>
                </c:pt>
                <c:pt idx="84">
                  <c:v>0.32142857142857145</c:v>
                </c:pt>
                <c:pt idx="85">
                  <c:v>0.32941176470588235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れんたろう2!$G$3:$G$88</c:f>
              <c:numCache>
                <c:formatCode>0.0%</c:formatCode>
                <c:ptCount val="86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  <c:pt idx="74">
                  <c:v>0.27858293075684382</c:v>
                </c:pt>
                <c:pt idx="75">
                  <c:v>0.28298887122416533</c:v>
                </c:pt>
                <c:pt idx="76">
                  <c:v>0.28322784810126583</c:v>
                </c:pt>
                <c:pt idx="77">
                  <c:v>0.28081123244929795</c:v>
                </c:pt>
                <c:pt idx="78">
                  <c:v>0.28240740740740738</c:v>
                </c:pt>
                <c:pt idx="79">
                  <c:v>0.28376327769347498</c:v>
                </c:pt>
                <c:pt idx="80">
                  <c:v>0.28313253012048195</c:v>
                </c:pt>
                <c:pt idx="81">
                  <c:v>0.28464977645305511</c:v>
                </c:pt>
                <c:pt idx="82">
                  <c:v>0.28592375366568917</c:v>
                </c:pt>
                <c:pt idx="83">
                  <c:v>0.28592162554426703</c:v>
                </c:pt>
                <c:pt idx="84">
                  <c:v>0.28898426323319026</c:v>
                </c:pt>
                <c:pt idx="85">
                  <c:v>0.2867231638418079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60031974420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れんたろう2!$H$3:$H$88</c:f>
              <c:numCache>
                <c:formatCode>0.0%</c:formatCode>
                <c:ptCount val="86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  <c:pt idx="74">
                  <c:v>0.17230273752012881</c:v>
                </c:pt>
                <c:pt idx="75">
                  <c:v>0.17170111287758347</c:v>
                </c:pt>
                <c:pt idx="76">
                  <c:v>0.17088607594936708</c:v>
                </c:pt>
                <c:pt idx="77">
                  <c:v>0.17628705148205928</c:v>
                </c:pt>
                <c:pt idx="78">
                  <c:v>0.17592592592592593</c:v>
                </c:pt>
                <c:pt idx="79">
                  <c:v>0.17754172989377845</c:v>
                </c:pt>
                <c:pt idx="80">
                  <c:v>0.17771084337349397</c:v>
                </c:pt>
                <c:pt idx="81">
                  <c:v>0.17585692995529062</c:v>
                </c:pt>
                <c:pt idx="82">
                  <c:v>0.1744868035190616</c:v>
                </c:pt>
                <c:pt idx="83">
                  <c:v>0.17271407837445574</c:v>
                </c:pt>
                <c:pt idx="84">
                  <c:v>0.17024320457796852</c:v>
                </c:pt>
                <c:pt idx="85">
                  <c:v>0.16949152542372881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65707434052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れんたろう2!$I$3:$I$88</c:f>
              <c:numCache>
                <c:formatCode>0</c:formatCode>
                <c:ptCount val="86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  <c:pt idx="74">
                  <c:v>9926.5895953757226</c:v>
                </c:pt>
                <c:pt idx="75">
                  <c:v>9939.8876404494385</c:v>
                </c:pt>
                <c:pt idx="76">
                  <c:v>10018.435754189944</c:v>
                </c:pt>
                <c:pt idx="77">
                  <c:v>10062.777777777777</c:v>
                </c:pt>
                <c:pt idx="78">
                  <c:v>10057.92349726776</c:v>
                </c:pt>
                <c:pt idx="79">
                  <c:v>9977.5401069518721</c:v>
                </c:pt>
                <c:pt idx="80">
                  <c:v>9967.021276595744</c:v>
                </c:pt>
                <c:pt idx="81">
                  <c:v>10089.005235602095</c:v>
                </c:pt>
                <c:pt idx="82">
                  <c:v>10080</c:v>
                </c:pt>
                <c:pt idx="83">
                  <c:v>10031.472081218275</c:v>
                </c:pt>
                <c:pt idx="84">
                  <c:v>10054.455445544554</c:v>
                </c:pt>
                <c:pt idx="85">
                  <c:v>10064.039408866995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01.7321785476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れんたろう2!$J$3:$J$88</c:f>
              <c:numCache>
                <c:formatCode>0</c:formatCode>
                <c:ptCount val="86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  <c:pt idx="74">
                  <c:v>-7843.9252336448599</c:v>
                </c:pt>
                <c:pt idx="75">
                  <c:v>-7845.3703703703704</c:v>
                </c:pt>
                <c:pt idx="76">
                  <c:v>-7845.3703703703704</c:v>
                </c:pt>
                <c:pt idx="77">
                  <c:v>-8037.1681415929206</c:v>
                </c:pt>
                <c:pt idx="78">
                  <c:v>-8107.0175438596489</c:v>
                </c:pt>
                <c:pt idx="79">
                  <c:v>-8087.1794871794873</c:v>
                </c:pt>
                <c:pt idx="80">
                  <c:v>-8059.3220338983047</c:v>
                </c:pt>
                <c:pt idx="81">
                  <c:v>-8059.3220338983047</c:v>
                </c:pt>
                <c:pt idx="82">
                  <c:v>-8092.4369747899163</c:v>
                </c:pt>
                <c:pt idx="83">
                  <c:v>-8092.4369747899163</c:v>
                </c:pt>
                <c:pt idx="84">
                  <c:v>-8092.4369747899163</c:v>
                </c:pt>
                <c:pt idx="85">
                  <c:v>-8291.6666666666661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48.0952380952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れんたろう2!$K$3:$K$88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8.2352941176470587E-2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れんたろう2!$L$3:$L$88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0.14285714285714285</c:v>
                </c:pt>
                <c:pt idx="85">
                  <c:v>0.14117647058823529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れんたろう2!$M$3:$M$88</c:f>
              <c:numCache>
                <c:formatCode>0.0%</c:formatCode>
                <c:ptCount val="86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  <c:pt idx="74">
                  <c:v>0.28341384863123992</c:v>
                </c:pt>
                <c:pt idx="75">
                  <c:v>0.2861685214626391</c:v>
                </c:pt>
                <c:pt idx="76">
                  <c:v>0.2848101265822785</c:v>
                </c:pt>
                <c:pt idx="77">
                  <c:v>0.28549141965678626</c:v>
                </c:pt>
                <c:pt idx="78">
                  <c:v>0.28858024691358025</c:v>
                </c:pt>
                <c:pt idx="79">
                  <c:v>0.2898330804248862</c:v>
                </c:pt>
                <c:pt idx="80">
                  <c:v>0.29066265060240964</c:v>
                </c:pt>
                <c:pt idx="81">
                  <c:v>0.29210134128166915</c:v>
                </c:pt>
                <c:pt idx="82">
                  <c:v>0.29472140762463345</c:v>
                </c:pt>
                <c:pt idx="83">
                  <c:v>0.2960812772133527</c:v>
                </c:pt>
                <c:pt idx="84">
                  <c:v>0.29327610872675253</c:v>
                </c:pt>
                <c:pt idx="85">
                  <c:v>0.2923728813559322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197442046362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れんたろう2!$N$3:$N$88</c:f>
              <c:numCache>
                <c:formatCode>0.0%</c:formatCode>
                <c:ptCount val="86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  <c:pt idx="74">
                  <c:v>0.18840579710144928</c:v>
                </c:pt>
                <c:pt idx="75">
                  <c:v>0.18759936406995231</c:v>
                </c:pt>
                <c:pt idx="76">
                  <c:v>0.18829113924050633</c:v>
                </c:pt>
                <c:pt idx="77">
                  <c:v>0.19188767550702029</c:v>
                </c:pt>
                <c:pt idx="78">
                  <c:v>0.19135802469135801</c:v>
                </c:pt>
                <c:pt idx="79">
                  <c:v>0.19423368740515934</c:v>
                </c:pt>
                <c:pt idx="80">
                  <c:v>0.19427710843373494</c:v>
                </c:pt>
                <c:pt idx="81">
                  <c:v>0.19374068554396423</c:v>
                </c:pt>
                <c:pt idx="82">
                  <c:v>0.1906158357771261</c:v>
                </c:pt>
                <c:pt idx="83">
                  <c:v>0.19013062409288825</c:v>
                </c:pt>
                <c:pt idx="84">
                  <c:v>0.19170243204577969</c:v>
                </c:pt>
                <c:pt idx="85">
                  <c:v>0.18926553672316385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63309352517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れんたろう2!$O$3:$O$88</c:f>
              <c:numCache>
                <c:formatCode>0.0%</c:formatCode>
                <c:ptCount val="86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  <c:pt idx="74">
                  <c:v>0.58522727272727271</c:v>
                </c:pt>
                <c:pt idx="75">
                  <c:v>0.58888888888888891</c:v>
                </c:pt>
                <c:pt idx="76">
                  <c:v>0.58888888888888891</c:v>
                </c:pt>
                <c:pt idx="77">
                  <c:v>0.57923497267759561</c:v>
                </c:pt>
                <c:pt idx="78">
                  <c:v>0.58288770053475936</c:v>
                </c:pt>
                <c:pt idx="79">
                  <c:v>0.5759162303664922</c:v>
                </c:pt>
                <c:pt idx="80">
                  <c:v>0.57512953367875652</c:v>
                </c:pt>
                <c:pt idx="81">
                  <c:v>0.57653061224489799</c:v>
                </c:pt>
                <c:pt idx="82">
                  <c:v>0.57213930348258701</c:v>
                </c:pt>
                <c:pt idx="83">
                  <c:v>0.57352941176470584</c:v>
                </c:pt>
                <c:pt idx="84">
                  <c:v>0.57560975609756093</c:v>
                </c:pt>
                <c:pt idx="85">
                  <c:v>0.5748792270531401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60453579021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れんたろう2!$P$3:$P$88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0.39316239316239315</c:v>
                </c:pt>
                <c:pt idx="75">
                  <c:v>0.39830508474576271</c:v>
                </c:pt>
                <c:pt idx="76">
                  <c:v>0.40336134453781514</c:v>
                </c:pt>
                <c:pt idx="77">
                  <c:v>0.3983739837398374</c:v>
                </c:pt>
                <c:pt idx="78">
                  <c:v>0.39516129032258063</c:v>
                </c:pt>
                <c:pt idx="79">
                  <c:v>0.40625</c:v>
                </c:pt>
                <c:pt idx="80">
                  <c:v>0.40310077519379844</c:v>
                </c:pt>
                <c:pt idx="81">
                  <c:v>0.40769230769230769</c:v>
                </c:pt>
                <c:pt idx="82">
                  <c:v>0.40769230769230769</c:v>
                </c:pt>
                <c:pt idx="83">
                  <c:v>0.40458015267175573</c:v>
                </c:pt>
                <c:pt idx="84">
                  <c:v>0.41791044776119401</c:v>
                </c:pt>
                <c:pt idx="85">
                  <c:v>0.41791044776119401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72030651340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れんたろう2!$A$3:$A$88</c:f>
              <c:numCache>
                <c:formatCode>0\ "回"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れんたろう2!$Q$3:$Q$88</c:f>
              <c:numCache>
                <c:formatCode>0.0%</c:formatCode>
                <c:ptCount val="86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  <c:pt idx="74">
                  <c:v>0.43352601156069365</c:v>
                </c:pt>
                <c:pt idx="75">
                  <c:v>0.42696629213483145</c:v>
                </c:pt>
                <c:pt idx="76">
                  <c:v>0.42458100558659218</c:v>
                </c:pt>
                <c:pt idx="77">
                  <c:v>0.42222222222222222</c:v>
                </c:pt>
                <c:pt idx="78">
                  <c:v>0.42076502732240439</c:v>
                </c:pt>
                <c:pt idx="79">
                  <c:v>0.42245989304812837</c:v>
                </c:pt>
                <c:pt idx="80">
                  <c:v>0.42021276595744683</c:v>
                </c:pt>
                <c:pt idx="81">
                  <c:v>0.42408376963350786</c:v>
                </c:pt>
                <c:pt idx="82">
                  <c:v>0.41538461538461541</c:v>
                </c:pt>
                <c:pt idx="83">
                  <c:v>0.41116751269035534</c:v>
                </c:pt>
                <c:pt idx="84">
                  <c:v>0.40594059405940597</c:v>
                </c:pt>
                <c:pt idx="85">
                  <c:v>0.40886699507389163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71085942704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43607.022546296299</v>
      </c>
      <c r="C44" s="30" t="s">
        <v>130</v>
      </c>
    </row>
    <row r="45" spans="1:11" x14ac:dyDescent="0.4">
      <c r="A45" s="30" t="s">
        <v>232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43608.770729166667</v>
      </c>
      <c r="C47" s="30" t="s">
        <v>130</v>
      </c>
    </row>
    <row r="48" spans="1:11" x14ac:dyDescent="0.4">
      <c r="A48" s="30" t="s">
        <v>237</v>
      </c>
      <c r="B48" s="31">
        <v>43609.351793981485</v>
      </c>
      <c r="C48" s="30" t="s">
        <v>130</v>
      </c>
    </row>
    <row r="49" spans="1:7" x14ac:dyDescent="0.4">
      <c r="A49" s="30" t="s">
        <v>236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43613.341041666667</v>
      </c>
      <c r="C52" s="30" t="s">
        <v>130</v>
      </c>
    </row>
    <row r="53" spans="1:7" x14ac:dyDescent="0.4">
      <c r="A53" s="30" t="s">
        <v>241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243</v>
      </c>
      <c r="B55" s="31">
        <v>43618.928472222222</v>
      </c>
      <c r="C55" s="30" t="s">
        <v>130</v>
      </c>
    </row>
    <row r="56" spans="1:7" x14ac:dyDescent="0.4">
      <c r="A56" s="30" t="s">
        <v>244</v>
      </c>
      <c r="B56" s="31">
        <v>43618.953240740739</v>
      </c>
      <c r="C56" s="30" t="s">
        <v>130</v>
      </c>
    </row>
    <row r="57" spans="1:7" x14ac:dyDescent="0.4">
      <c r="A57" s="30" t="s">
        <v>245</v>
      </c>
      <c r="B57" s="31">
        <v>43620.343842592592</v>
      </c>
      <c r="C57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600</v>
      </c>
    </row>
    <row r="2" spans="1:2" x14ac:dyDescent="0.4">
      <c r="A2" t="s">
        <v>127</v>
      </c>
      <c r="B2">
        <v>135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75</v>
      </c>
    </row>
    <row r="5" spans="1:2" x14ac:dyDescent="0.4">
      <c r="A5" t="s">
        <v>171</v>
      </c>
      <c r="B5">
        <v>85</v>
      </c>
    </row>
    <row r="6" spans="1:2" x14ac:dyDescent="0.4">
      <c r="A6" t="s">
        <v>172</v>
      </c>
      <c r="B6">
        <v>66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0.96773320582181566</v>
      </c>
      <c r="G2" s="155"/>
      <c r="H2" s="154">
        <v>0.71461687962772491</v>
      </c>
      <c r="I2" s="155"/>
      <c r="J2" s="154">
        <v>0.92721097763929616</v>
      </c>
      <c r="K2" s="155"/>
      <c r="L2" s="154">
        <v>0.74728694489375924</v>
      </c>
      <c r="M2" s="155"/>
      <c r="N2" s="154">
        <v>0.63953021962260781</v>
      </c>
      <c r="O2" s="155"/>
      <c r="P2" s="154">
        <v>0.27828148679442055</v>
      </c>
      <c r="Q2" s="155"/>
      <c r="R2" s="154">
        <v>0.26511561441904163</v>
      </c>
      <c r="S2" s="155"/>
      <c r="T2" s="154">
        <v>0.49580354241100566</v>
      </c>
      <c r="U2" s="155"/>
      <c r="V2" s="154">
        <v>0.70059436940384556</v>
      </c>
      <c r="W2" s="155"/>
      <c r="X2" s="154">
        <v>0.43867164942475967</v>
      </c>
      <c r="Y2" s="155"/>
      <c r="Z2" s="154">
        <v>0.2646597420331378</v>
      </c>
      <c r="AA2" s="155"/>
      <c r="AB2" s="154">
        <v>4.3909954089917803E-2</v>
      </c>
      <c r="AC2" s="155"/>
      <c r="AD2" s="154">
        <v>0.74050783713493329</v>
      </c>
      <c r="AE2" s="155"/>
      <c r="AF2" s="154">
        <v>-0.68888222039183178</v>
      </c>
      <c r="AG2" s="155"/>
      <c r="AH2" s="154">
        <v>0.63412911590434529</v>
      </c>
      <c r="AI2" s="155"/>
    </row>
    <row r="3" spans="1:35" x14ac:dyDescent="0.4">
      <c r="A3" s="74">
        <v>1</v>
      </c>
      <c r="B3" s="75" t="s">
        <v>127</v>
      </c>
      <c r="C3" s="76">
        <v>1609.6000000000008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0.35602094240837695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0.17777777777777778</v>
      </c>
      <c r="X3" s="77" t="s">
        <v>127</v>
      </c>
      <c r="Y3" s="80">
        <v>0.32393084622383983</v>
      </c>
      <c r="Z3" s="77" t="s">
        <v>172</v>
      </c>
      <c r="AA3" s="80">
        <v>0.29319371727748689</v>
      </c>
      <c r="AB3" s="77" t="s">
        <v>225</v>
      </c>
      <c r="AC3" s="80">
        <v>1</v>
      </c>
      <c r="AD3" s="77" t="s">
        <v>127</v>
      </c>
      <c r="AE3" s="80">
        <v>0.51037344398340245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213.10000000000002</v>
      </c>
      <c r="D4" s="85" t="s">
        <v>224</v>
      </c>
      <c r="E4" s="97">
        <v>13.3</v>
      </c>
      <c r="F4" s="85" t="s">
        <v>127</v>
      </c>
      <c r="G4" s="86">
        <v>1.7555555555555555</v>
      </c>
      <c r="H4" s="85" t="s">
        <v>127</v>
      </c>
      <c r="I4" s="87">
        <v>0.48888888888888887</v>
      </c>
      <c r="J4" s="85" t="s">
        <v>224</v>
      </c>
      <c r="K4" s="87">
        <v>0</v>
      </c>
      <c r="L4" s="85" t="s">
        <v>127</v>
      </c>
      <c r="M4" s="88">
        <v>0.34667879890809827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0.14117647058823529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11.92296296296297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0.13263525305410123</v>
      </c>
      <c r="P5" s="85" t="s">
        <v>171</v>
      </c>
      <c r="Q5" s="89">
        <v>10064.039408866995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0.11666666666666667</v>
      </c>
      <c r="X5" s="85" t="s">
        <v>171</v>
      </c>
      <c r="Y5" s="88">
        <v>0.2923728813559322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2.507058823529412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0.24444444444444444</v>
      </c>
      <c r="L6" s="85" t="s">
        <v>145</v>
      </c>
      <c r="M6" s="88">
        <v>0.29996003197442045</v>
      </c>
      <c r="N6" s="85" t="s">
        <v>127</v>
      </c>
      <c r="O6" s="88">
        <v>0.1610555050045496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0.10666666666666667</v>
      </c>
      <c r="X6" s="85" t="s">
        <v>129</v>
      </c>
      <c r="Y6" s="88">
        <v>0.28434504792332266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0.43452380952380953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0.30303030303030304</v>
      </c>
      <c r="L7" s="85" t="s">
        <v>177</v>
      </c>
      <c r="M7" s="88">
        <v>0.29879518072289157</v>
      </c>
      <c r="N7" s="85" t="s">
        <v>177</v>
      </c>
      <c r="O7" s="88">
        <v>0.16144578313253011</v>
      </c>
      <c r="P7" s="85" t="s">
        <v>127</v>
      </c>
      <c r="Q7" s="89">
        <v>9225.1968503937005</v>
      </c>
      <c r="R7" s="85" t="s">
        <v>177</v>
      </c>
      <c r="S7" s="89">
        <v>-7931.3432835820895</v>
      </c>
      <c r="T7" s="85" t="s">
        <v>172</v>
      </c>
      <c r="U7" s="87">
        <v>4.5454545454545456E-2</v>
      </c>
      <c r="V7" s="85" t="s">
        <v>172</v>
      </c>
      <c r="W7" s="87">
        <v>0.10606060606060606</v>
      </c>
      <c r="X7" s="85" t="s">
        <v>145</v>
      </c>
      <c r="Y7" s="88">
        <v>0.28197442046362908</v>
      </c>
      <c r="Z7" s="85" t="s">
        <v>127</v>
      </c>
      <c r="AA7" s="88">
        <v>0.21929026387625114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-1.7097434579227411E-14</v>
      </c>
      <c r="D8" s="85" t="s">
        <v>145</v>
      </c>
      <c r="E8" s="97">
        <v>-2.849572429871235E-17</v>
      </c>
      <c r="F8" s="85" t="s">
        <v>224</v>
      </c>
      <c r="G8" s="86">
        <v>2</v>
      </c>
      <c r="H8" s="85" t="s">
        <v>171</v>
      </c>
      <c r="I8" s="87">
        <v>0.31764705882352939</v>
      </c>
      <c r="J8" s="85" t="s">
        <v>171</v>
      </c>
      <c r="K8" s="87">
        <v>0.32941176470588235</v>
      </c>
      <c r="L8" s="85" t="s">
        <v>173</v>
      </c>
      <c r="M8" s="88">
        <v>0.29842931937172773</v>
      </c>
      <c r="N8" s="85" t="s">
        <v>145</v>
      </c>
      <c r="O8" s="88">
        <v>0.16786570743405277</v>
      </c>
      <c r="P8" s="85" t="s">
        <v>129</v>
      </c>
      <c r="Q8" s="89">
        <v>9032.4137931034475</v>
      </c>
      <c r="R8" s="85" t="s">
        <v>186</v>
      </c>
      <c r="S8" s="89">
        <v>-8107.6923076923076</v>
      </c>
      <c r="T8" s="85" t="s">
        <v>171</v>
      </c>
      <c r="U8" s="87">
        <v>8.2352941176470587E-2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0.46206896551724136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-5.400000000000027</v>
      </c>
      <c r="D9" s="85" t="s">
        <v>172</v>
      </c>
      <c r="E9" s="97">
        <v>-8.1818181818182234E-2</v>
      </c>
      <c r="F9" s="85" t="s">
        <v>171</v>
      </c>
      <c r="G9" s="86">
        <v>2.0117647058823529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171</v>
      </c>
      <c r="O9" s="88">
        <v>0.16949152542372881</v>
      </c>
      <c r="P9" s="85" t="s">
        <v>145</v>
      </c>
      <c r="Q9" s="89">
        <v>8701.7321785476342</v>
      </c>
      <c r="R9" s="85" t="s">
        <v>171</v>
      </c>
      <c r="S9" s="89">
        <v>-8291.6666666666661</v>
      </c>
      <c r="T9" s="85" t="s">
        <v>127</v>
      </c>
      <c r="U9" s="87">
        <v>0.1111111111111111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0.39272030651340994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2.0303030303030303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186</v>
      </c>
      <c r="M10" s="88">
        <v>0.28813559322033899</v>
      </c>
      <c r="N10" s="85" t="s">
        <v>128</v>
      </c>
      <c r="O10" s="88">
        <v>0.16994818652849741</v>
      </c>
      <c r="P10" s="85" t="s">
        <v>177</v>
      </c>
      <c r="Q10" s="89">
        <v>8587.0967741935492</v>
      </c>
      <c r="R10" s="85" t="s">
        <v>127</v>
      </c>
      <c r="S10" s="89">
        <v>-8345.1977401129952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145</v>
      </c>
      <c r="AA10" s="88">
        <v>0.20863309352517986</v>
      </c>
      <c r="AB10" s="85" t="s">
        <v>145</v>
      </c>
      <c r="AC10" s="88">
        <v>0.57760453579021975</v>
      </c>
      <c r="AD10" s="85" t="s">
        <v>177</v>
      </c>
      <c r="AE10" s="88">
        <v>0.37179487179487181</v>
      </c>
      <c r="AF10" s="85" t="s">
        <v>145</v>
      </c>
      <c r="AG10" s="88">
        <v>0.43371085942704862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171</v>
      </c>
      <c r="M11" s="88">
        <v>0.2867231638418079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-8348.0952380952385</v>
      </c>
      <c r="T11" s="85" t="s">
        <v>145</v>
      </c>
      <c r="U11" s="87">
        <v>0.11666666666666667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0.18926553672316385</v>
      </c>
      <c r="AB11" s="85" t="s">
        <v>171</v>
      </c>
      <c r="AC11" s="88">
        <v>0.5748792270531401</v>
      </c>
      <c r="AD11" s="85" t="s">
        <v>173</v>
      </c>
      <c r="AE11" s="88">
        <v>0.33673469387755101</v>
      </c>
      <c r="AF11" s="85" t="s">
        <v>172</v>
      </c>
      <c r="AG11" s="88">
        <v>0.4264705882352941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-9127.6315789473683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127</v>
      </c>
      <c r="AC12" s="88">
        <v>0.5730337078651685</v>
      </c>
      <c r="AD12" s="85" t="s">
        <v>128</v>
      </c>
      <c r="AE12" s="88">
        <v>0.2988505747126437</v>
      </c>
      <c r="AF12" s="85" t="s">
        <v>128</v>
      </c>
      <c r="AG12" s="88">
        <v>0.4220532319391635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0.49333333333333335</v>
      </c>
      <c r="L13" s="85" t="s">
        <v>185</v>
      </c>
      <c r="M13" s="88">
        <v>0.26315789473684209</v>
      </c>
      <c r="N13" s="85" t="s">
        <v>129</v>
      </c>
      <c r="O13" s="88">
        <v>0.19169329073482427</v>
      </c>
      <c r="P13" s="85" t="s">
        <v>202</v>
      </c>
      <c r="Q13" s="89">
        <v>7438.0952380952385</v>
      </c>
      <c r="R13" s="85" t="s">
        <v>129</v>
      </c>
      <c r="S13" s="89">
        <v>-9365.8333333333339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0.54761904761904767</v>
      </c>
      <c r="AD13" s="85" t="s">
        <v>225</v>
      </c>
      <c r="AE13" s="88">
        <v>0.25</v>
      </c>
      <c r="AF13" s="85" t="s">
        <v>127</v>
      </c>
      <c r="AG13" s="88">
        <v>0.40944881889763779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2.2533333333333334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0.23162939297124602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0.21989528795811519</v>
      </c>
      <c r="Z14" s="85" t="s">
        <v>129</v>
      </c>
      <c r="AA14" s="88">
        <v>0.15654952076677317</v>
      </c>
      <c r="AB14" s="85" t="s">
        <v>129</v>
      </c>
      <c r="AC14" s="88">
        <v>0.5112359550561798</v>
      </c>
      <c r="AD14" s="85" t="s">
        <v>129</v>
      </c>
      <c r="AE14" s="88">
        <v>0.22448979591836735</v>
      </c>
      <c r="AF14" s="85" t="s">
        <v>171</v>
      </c>
      <c r="AG14" s="88">
        <v>0.40886699507389163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-1147.8999999999999</v>
      </c>
      <c r="D15" s="85" t="s">
        <v>129</v>
      </c>
      <c r="E15" s="97">
        <v>-15.305333333333332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6635.7843137254904</v>
      </c>
      <c r="R15" s="85" t="s">
        <v>225</v>
      </c>
      <c r="S15" s="89">
        <v>-12425</v>
      </c>
      <c r="T15" s="85" t="s">
        <v>129</v>
      </c>
      <c r="U15" s="87">
        <v>0.18666666666666668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CDDD-2825-4E2E-9174-5041161ECB7E}">
  <sheetPr codeName="Sheet4"/>
  <dimension ref="A1:Q6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600</v>
      </c>
      <c r="C2" s="147"/>
      <c r="E2" s="62" t="s">
        <v>65</v>
      </c>
      <c r="F2" s="59" t="s">
        <v>21</v>
      </c>
      <c r="G2" s="46">
        <v>776</v>
      </c>
      <c r="H2" s="132">
        <f>IF(B$17=0,0,G2/B$17)</f>
        <v>0.51698867421718853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-13.333333333333334</v>
      </c>
      <c r="P2" s="118">
        <v>600</v>
      </c>
      <c r="Q2" s="102">
        <v>-8000</v>
      </c>
    </row>
    <row r="3" spans="1:17" x14ac:dyDescent="0.4">
      <c r="A3" s="55" t="s">
        <v>8</v>
      </c>
      <c r="B3" s="148">
        <v>5004</v>
      </c>
      <c r="C3" s="149"/>
      <c r="E3" s="63" t="s">
        <v>66</v>
      </c>
      <c r="F3" s="60" t="s">
        <v>22</v>
      </c>
      <c r="G3" s="47">
        <v>184</v>
      </c>
      <c r="H3" s="133">
        <f>IF(B$17=0,0,G3/B$17)</f>
        <v>0.12258494337108594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-8.5470085470085468</v>
      </c>
      <c r="P3" s="119">
        <v>585</v>
      </c>
      <c r="Q3" s="103">
        <v>-5000</v>
      </c>
    </row>
    <row r="4" spans="1:17" x14ac:dyDescent="0.4">
      <c r="A4" s="55" t="s">
        <v>6</v>
      </c>
      <c r="B4" s="150">
        <v>-1.7097434579227411E-14</v>
      </c>
      <c r="C4" s="151"/>
      <c r="E4" s="63" t="s">
        <v>67</v>
      </c>
      <c r="F4" s="60" t="s">
        <v>23</v>
      </c>
      <c r="G4" s="47">
        <v>1117</v>
      </c>
      <c r="H4" s="133">
        <f>IF(B$17=0,0,G4/B$17)</f>
        <v>0.74417055296469026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7.2463768115942031</v>
      </c>
      <c r="P4" s="119">
        <v>552</v>
      </c>
      <c r="Q4" s="103">
        <v>4000</v>
      </c>
    </row>
    <row r="5" spans="1:17" x14ac:dyDescent="0.4">
      <c r="A5" s="55" t="s">
        <v>7</v>
      </c>
      <c r="B5" s="152">
        <f>IF(B$2=0,0,B$4/B$2)</f>
        <v>-2.849572429871235E-17</v>
      </c>
      <c r="C5" s="153"/>
      <c r="E5" s="63" t="s">
        <v>68</v>
      </c>
      <c r="F5" s="60" t="s">
        <v>24</v>
      </c>
      <c r="G5" s="47">
        <v>463</v>
      </c>
      <c r="H5" s="133">
        <f>IF(B$17=0,0,G5/B$17)</f>
        <v>0.30846102598267822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11.904761904761905</v>
      </c>
      <c r="P5" s="119">
        <v>504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470</v>
      </c>
      <c r="H6" s="133">
        <f>IF(B$17=0,0,G6/B$17)</f>
        <v>0.31312458361092604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-15.452538631346579</v>
      </c>
      <c r="P6" s="119">
        <v>453</v>
      </c>
      <c r="Q6" s="103">
        <v>-7000</v>
      </c>
    </row>
    <row r="7" spans="1:17" x14ac:dyDescent="0.4">
      <c r="A7" s="55" t="s">
        <v>2</v>
      </c>
      <c r="B7" s="47">
        <v>200</v>
      </c>
      <c r="C7" s="39">
        <f>IF(B$2=0,0,B7/B$2)</f>
        <v>0.33333333333333331</v>
      </c>
      <c r="E7" s="63" t="s">
        <v>70</v>
      </c>
      <c r="F7" s="60" t="s">
        <v>25</v>
      </c>
      <c r="G7" s="47">
        <v>268</v>
      </c>
      <c r="H7" s="133">
        <f>IF(B$17=0,0,G7/B$17)</f>
        <v>0.17854763491005995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24.691358024691358</v>
      </c>
      <c r="P7" s="120">
        <v>405</v>
      </c>
      <c r="Q7" s="104">
        <v>10000</v>
      </c>
    </row>
    <row r="8" spans="1:17" x14ac:dyDescent="0.4">
      <c r="A8" s="55" t="s">
        <v>3</v>
      </c>
      <c r="B8" s="47">
        <v>200</v>
      </c>
      <c r="C8" s="39">
        <f>IF(B$2=0,0,B8/B$2)</f>
        <v>0.33333333333333331</v>
      </c>
      <c r="E8" s="63" t="s">
        <v>71</v>
      </c>
      <c r="F8" s="60" t="s">
        <v>26</v>
      </c>
      <c r="G8" s="47">
        <v>148</v>
      </c>
      <c r="H8" s="133">
        <f>IF(B$17=0,0,G8/B$17)</f>
        <v>9.8600932711525646E-2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200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102</v>
      </c>
      <c r="H9" s="133">
        <f>IF(B$17=0,0,G9/B$17)</f>
        <v>6.7954696868754161E-2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70</v>
      </c>
      <c r="C10" s="40">
        <f>IF(B$2=0,0,B10/B$2)</f>
        <v>0.11666666666666667</v>
      </c>
      <c r="E10" s="63" t="s">
        <v>73</v>
      </c>
      <c r="F10" s="60" t="s">
        <v>28</v>
      </c>
      <c r="G10" s="47">
        <v>760</v>
      </c>
      <c r="H10" s="133">
        <f>IF(B$17=0,0,G10/B$17)</f>
        <v>0.50632911392405067</v>
      </c>
      <c r="I10" s="94">
        <v>9</v>
      </c>
      <c r="K10" s="38">
        <v>8</v>
      </c>
      <c r="L10" s="99">
        <v>19.699999999999996</v>
      </c>
      <c r="N10" s="114" t="s">
        <v>164</v>
      </c>
      <c r="O10" s="124">
        <f>IF(P10=0,0,Q10/P10)</f>
        <v>-2.4055</v>
      </c>
      <c r="P10" s="118">
        <v>200</v>
      </c>
      <c r="Q10" s="106">
        <v>-481.09999999999997</v>
      </c>
    </row>
    <row r="11" spans="1:17" x14ac:dyDescent="0.4">
      <c r="A11" s="56" t="s">
        <v>140</v>
      </c>
      <c r="B11" s="48">
        <v>70</v>
      </c>
      <c r="C11" s="40">
        <f>IF(B$2=0,0,B11/B$2)</f>
        <v>0.11666666666666667</v>
      </c>
      <c r="E11" s="63" t="s">
        <v>74</v>
      </c>
      <c r="F11" s="60" t="s">
        <v>29</v>
      </c>
      <c r="G11" s="47">
        <v>9</v>
      </c>
      <c r="H11" s="133">
        <f>IF(B$17=0,0,G11/B$17)</f>
        <v>5.996002664890073E-3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-1.3000000000000114E-2</v>
      </c>
      <c r="P11" s="119">
        <v>200</v>
      </c>
      <c r="Q11" s="107">
        <v>-2.6000000000000227</v>
      </c>
    </row>
    <row r="12" spans="1:17" x14ac:dyDescent="0.4">
      <c r="A12" s="57" t="s">
        <v>160</v>
      </c>
      <c r="B12" s="49">
        <v>51</v>
      </c>
      <c r="C12" s="42">
        <f>IF(B$2=0,0,B12/B$2)</f>
        <v>8.5000000000000006E-2</v>
      </c>
      <c r="E12" s="63" t="s">
        <v>75</v>
      </c>
      <c r="F12" s="60" t="s">
        <v>30</v>
      </c>
      <c r="G12" s="47">
        <v>6</v>
      </c>
      <c r="H12" s="133">
        <f>IF(B$17=0,0,G12/B$17)</f>
        <v>3.9973351099267156E-3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2.4184999999999999</v>
      </c>
      <c r="P12" s="120">
        <v>200</v>
      </c>
      <c r="Q12" s="108">
        <v>483.69999999999993</v>
      </c>
    </row>
    <row r="13" spans="1:17" x14ac:dyDescent="0.4">
      <c r="A13" s="58" t="s">
        <v>122</v>
      </c>
      <c r="B13" s="50">
        <v>1411</v>
      </c>
      <c r="C13" s="44">
        <f>IF(B$3=0,0,B13/B$3)</f>
        <v>0.28197442046362908</v>
      </c>
      <c r="E13" s="63" t="s">
        <v>76</v>
      </c>
      <c r="F13" s="60" t="s">
        <v>31</v>
      </c>
      <c r="G13" s="47">
        <v>9</v>
      </c>
      <c r="H13" s="133">
        <f>IF(B$17=0,0,G13/B$17)</f>
        <v>5.996002664890073E-3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1044</v>
      </c>
      <c r="C14" s="39">
        <f>IF(B$3=0,0,B14/B$3)</f>
        <v>0.20863309352517986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815</v>
      </c>
      <c r="C15" s="37">
        <f>IF(B$13=0,0,B15/B$13)</f>
        <v>0.57760453579021975</v>
      </c>
      <c r="E15" s="63" t="s">
        <v>78</v>
      </c>
      <c r="F15" s="60" t="s">
        <v>33</v>
      </c>
      <c r="G15" s="47">
        <v>4</v>
      </c>
      <c r="H15" s="133">
        <f>IF(B$17=0,0,G15/B$17)</f>
        <v>2.6648900732844771E-3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 t="shared" ref="O15:O26" si="2">IF(P15=0,0,Q15/P15)</f>
        <v>22.95800000000003</v>
      </c>
      <c r="P15" s="118">
        <v>150</v>
      </c>
      <c r="Q15" s="106">
        <v>3443.7000000000044</v>
      </c>
    </row>
    <row r="16" spans="1:17" x14ac:dyDescent="0.4">
      <c r="A16" s="54" t="s">
        <v>125</v>
      </c>
      <c r="B16" s="46">
        <v>410</v>
      </c>
      <c r="C16" s="37">
        <f>IF(B$14=0,0,B16/B$14)</f>
        <v>0.39272030651340994</v>
      </c>
      <c r="E16" s="63" t="s">
        <v>79</v>
      </c>
      <c r="F16" s="60" t="s">
        <v>34</v>
      </c>
      <c r="G16" s="47">
        <v>38</v>
      </c>
      <c r="H16" s="133">
        <f>IF(B$17=0,0,G16/B$17)</f>
        <v>2.5316455696202531E-2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 t="shared" si="2"/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1501</v>
      </c>
      <c r="C17" s="37">
        <f>IF(B$3=0,0,B17/B$3)</f>
        <v>0.29996003197442045</v>
      </c>
      <c r="E17" s="63" t="s">
        <v>80</v>
      </c>
      <c r="F17" s="60" t="s">
        <v>35</v>
      </c>
      <c r="G17" s="47">
        <v>23</v>
      </c>
      <c r="H17" s="133">
        <f>IF(B$17=0,0,G17/B$17)</f>
        <v>1.5323117921385743E-2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 t="shared" si="2"/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651</v>
      </c>
      <c r="C18" s="39">
        <f>IF(B$17=0,0,B18/B$17)</f>
        <v>0.43371085942704862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173</v>
      </c>
      <c r="O18" s="125">
        <f t="shared" si="2"/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850</v>
      </c>
      <c r="C19" s="39">
        <f>IF(B$17=0,0,B19/B$17)</f>
        <v>0.56628914057295132</v>
      </c>
      <c r="E19" s="63" t="s">
        <v>82</v>
      </c>
      <c r="F19" s="60" t="s">
        <v>37</v>
      </c>
      <c r="G19" s="47">
        <v>41</v>
      </c>
      <c r="H19" s="133">
        <f>IF(B$17=0,0,G19/B$17)</f>
        <v>2.731512325116589E-2</v>
      </c>
      <c r="I19" s="94">
        <v>7</v>
      </c>
      <c r="K19" s="38">
        <v>17</v>
      </c>
      <c r="L19" s="99">
        <v>8.2999999999999972</v>
      </c>
      <c r="N19" s="115" t="s">
        <v>202</v>
      </c>
      <c r="O19" s="125">
        <f t="shared" si="2"/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840</v>
      </c>
      <c r="C20" s="39">
        <f>IF(B$3=0,0,B20/B$3)</f>
        <v>0.16786570743405277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128</v>
      </c>
      <c r="O20" s="125">
        <f t="shared" si="2"/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84</v>
      </c>
      <c r="F21" s="60" t="s">
        <v>39</v>
      </c>
      <c r="G21" s="47">
        <v>70</v>
      </c>
      <c r="H21" s="133">
        <f>IF(B$17=0,0,G21/B$17)</f>
        <v>4.6635576282478344E-2</v>
      </c>
      <c r="I21" s="94">
        <v>7</v>
      </c>
      <c r="K21" s="38">
        <v>19</v>
      </c>
      <c r="L21" s="99">
        <v>30.999999999999996</v>
      </c>
      <c r="N21" s="115" t="s">
        <v>172</v>
      </c>
      <c r="O21" s="125">
        <f t="shared" si="2"/>
        <v>0.12272727272727167</v>
      </c>
      <c r="P21" s="119">
        <v>132</v>
      </c>
      <c r="Q21" s="107">
        <v>16.199999999999861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85</v>
      </c>
      <c r="F22" s="60" t="s">
        <v>40</v>
      </c>
      <c r="G22" s="47">
        <v>4</v>
      </c>
      <c r="H22" s="133">
        <f>IF(B$17=0,0,G22/B$17)</f>
        <v>2.6648900732844771E-3</v>
      </c>
      <c r="I22" s="94">
        <v>3</v>
      </c>
      <c r="K22" s="38">
        <v>20</v>
      </c>
      <c r="L22" s="99">
        <v>0.79999999999999716</v>
      </c>
      <c r="N22" s="115" t="s">
        <v>177</v>
      </c>
      <c r="O22" s="125">
        <f t="shared" si="2"/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8701.7321785476342</v>
      </c>
      <c r="C23" s="41">
        <v>13061300</v>
      </c>
      <c r="E23" s="63" t="s">
        <v>86</v>
      </c>
      <c r="F23" s="60" t="s">
        <v>41</v>
      </c>
      <c r="G23" s="47">
        <v>4</v>
      </c>
      <c r="H23" s="133">
        <f>IF(B$17=0,0,G23/B$17)</f>
        <v>2.6648900732844771E-3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 t="shared" si="2"/>
        <v>-3.7605882352941156</v>
      </c>
      <c r="P23" s="119">
        <v>170</v>
      </c>
      <c r="Q23" s="107">
        <v>-639.29999999999961</v>
      </c>
    </row>
    <row r="24" spans="1:17" x14ac:dyDescent="0.4">
      <c r="A24" s="57" t="s">
        <v>14</v>
      </c>
      <c r="B24" s="52">
        <f>IF(B$20=0,0,C24/B$20)</f>
        <v>-8348.0952380952385</v>
      </c>
      <c r="C24" s="45">
        <v>-7012400</v>
      </c>
      <c r="E24" s="63" t="s">
        <v>87</v>
      </c>
      <c r="F24" s="60" t="s">
        <v>42</v>
      </c>
      <c r="G24" s="47">
        <v>83</v>
      </c>
      <c r="H24" s="133">
        <f>IF(B$17=0,0,G24/B$17)</f>
        <v>5.5296469020652897E-2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 t="shared" si="2"/>
        <v>-17.884444444444426</v>
      </c>
      <c r="P24" s="119">
        <v>270</v>
      </c>
      <c r="Q24" s="107">
        <v>-4828.7999999999947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6</v>
      </c>
      <c r="H25" s="133">
        <f>IF(B$17=0,0,G25/B$17)</f>
        <v>3.9973351099267156E-3</v>
      </c>
      <c r="I25" s="94">
        <v>5</v>
      </c>
      <c r="K25" s="38">
        <v>23</v>
      </c>
      <c r="L25" s="99">
        <v>26.299999999999997</v>
      </c>
      <c r="N25" s="115" t="s">
        <v>224</v>
      </c>
      <c r="O25" s="125">
        <f t="shared" si="2"/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1.3324450366422385E-3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 t="shared" si="2"/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2.7977617905675461E-3</v>
      </c>
      <c r="E27" s="63" t="s">
        <v>90</v>
      </c>
      <c r="F27" s="60" t="s">
        <v>45</v>
      </c>
      <c r="G27" s="47">
        <v>190</v>
      </c>
      <c r="H27" s="133">
        <f>IF(B$17=0,0,G27/B$17)</f>
        <v>0.12658227848101267</v>
      </c>
      <c r="I27" s="94">
        <v>7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4</v>
      </c>
      <c r="H28" s="133">
        <f>IF(B$17=0,0,G28/B$17)</f>
        <v>2.6648900732844771E-3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29</v>
      </c>
      <c r="H29" s="133">
        <f>IF(B$17=0,0,G29/B$17)</f>
        <v>1.9320453031312457E-2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7</v>
      </c>
      <c r="H30" s="133">
        <f>IF(B$17=0,0,G30/B$17)</f>
        <v>4.6635576282478344E-3</v>
      </c>
      <c r="I30" s="94">
        <v>5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5</v>
      </c>
      <c r="H31" s="133">
        <f>IF(B$17=0,0,G31/B$17)</f>
        <v>3.3311125916055963E-3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1.3324450366422385E-3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6.6622251832111927E-4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24</v>
      </c>
      <c r="H50" s="133">
        <f>IF(B$17=0,0,G50/B$17)</f>
        <v>1.5989340439706862E-2</v>
      </c>
      <c r="I50" s="94">
        <v>5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617</v>
      </c>
      <c r="H51" s="134">
        <f>IF(B$17=0,0,G51/B$17)</f>
        <v>0.41105929380413059</v>
      </c>
      <c r="I51" s="95">
        <v>6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</sheetData>
  <sortState ref="E2:I60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0F09-2D74-4164-93C8-C982AFCA8600}">
  <sheetPr codeName="Sheet7"/>
  <dimension ref="A1:Q13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135</v>
      </c>
      <c r="C2" s="147"/>
      <c r="E2" s="62" t="s">
        <v>65</v>
      </c>
      <c r="F2" s="59" t="s">
        <v>21</v>
      </c>
      <c r="G2" s="46">
        <v>187</v>
      </c>
      <c r="H2" s="132">
        <f>IF(B$17=0,0,G2/B$17)</f>
        <v>0.49081364829396323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1643.7037037037037</v>
      </c>
      <c r="P2" s="118">
        <v>135</v>
      </c>
      <c r="Q2" s="102">
        <v>221900</v>
      </c>
    </row>
    <row r="3" spans="1:17" x14ac:dyDescent="0.4">
      <c r="A3" s="55" t="s">
        <v>8</v>
      </c>
      <c r="B3" s="148">
        <v>1099</v>
      </c>
      <c r="C3" s="149"/>
      <c r="E3" s="63" t="s">
        <v>66</v>
      </c>
      <c r="F3" s="60" t="s">
        <v>22</v>
      </c>
      <c r="G3" s="47">
        <v>51</v>
      </c>
      <c r="H3" s="133">
        <f>IF(B$17=0,0,G3/B$17)</f>
        <v>0.13385826771653545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1303.0534351145038</v>
      </c>
      <c r="P3" s="119">
        <v>131</v>
      </c>
      <c r="Q3" s="103">
        <v>170700</v>
      </c>
    </row>
    <row r="4" spans="1:17" x14ac:dyDescent="0.4">
      <c r="A4" s="55" t="s">
        <v>6</v>
      </c>
      <c r="B4" s="150">
        <v>1609.6000000000008</v>
      </c>
      <c r="C4" s="151"/>
      <c r="E4" s="63" t="s">
        <v>67</v>
      </c>
      <c r="F4" s="60" t="s">
        <v>23</v>
      </c>
      <c r="G4" s="47">
        <v>285</v>
      </c>
      <c r="H4" s="133">
        <f>IF(B$17=0,0,G4/B$17)</f>
        <v>0.74803149606299213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1235.483870967742</v>
      </c>
      <c r="P4" s="119">
        <v>124</v>
      </c>
      <c r="Q4" s="103">
        <v>153200</v>
      </c>
    </row>
    <row r="5" spans="1:17" x14ac:dyDescent="0.4">
      <c r="A5" s="55" t="s">
        <v>7</v>
      </c>
      <c r="B5" s="152">
        <f>IF(B$2=0,0,B$4/B$2)</f>
        <v>11.92296296296297</v>
      </c>
      <c r="C5" s="153"/>
      <c r="E5" s="63" t="s">
        <v>68</v>
      </c>
      <c r="F5" s="60" t="s">
        <v>24</v>
      </c>
      <c r="G5" s="47">
        <v>113</v>
      </c>
      <c r="H5" s="133">
        <f>IF(B$17=0,0,G5/B$17)</f>
        <v>0.29658792650918636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2642.1052631578946</v>
      </c>
      <c r="P5" s="119">
        <v>114</v>
      </c>
      <c r="Q5" s="103">
        <v>301200</v>
      </c>
    </row>
    <row r="6" spans="1:17" x14ac:dyDescent="0.4">
      <c r="A6" s="55" t="s">
        <v>1</v>
      </c>
      <c r="B6" s="142">
        <f>IF(B$2=0,0,(B$7*1+B$8*2+B$9*3)/B$2)</f>
        <v>1.7555555555555555</v>
      </c>
      <c r="C6" s="143"/>
      <c r="E6" s="63" t="s">
        <v>69</v>
      </c>
      <c r="F6" s="60" t="s">
        <v>12</v>
      </c>
      <c r="G6" s="47">
        <v>101</v>
      </c>
      <c r="H6" s="133">
        <f>IF(B$17=0,0,G6/B$17)</f>
        <v>0.26509186351706038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412</v>
      </c>
      <c r="P6" s="119">
        <v>100</v>
      </c>
      <c r="Q6" s="103">
        <v>41200</v>
      </c>
    </row>
    <row r="7" spans="1:17" x14ac:dyDescent="0.4">
      <c r="A7" s="55" t="s">
        <v>2</v>
      </c>
      <c r="B7" s="47">
        <v>66</v>
      </c>
      <c r="C7" s="39">
        <f>IF(B$2=0,0,B7/B$2)</f>
        <v>0.48888888888888887</v>
      </c>
      <c r="E7" s="63" t="s">
        <v>70</v>
      </c>
      <c r="F7" s="60" t="s">
        <v>25</v>
      </c>
      <c r="G7" s="47">
        <v>64</v>
      </c>
      <c r="H7" s="133">
        <f>IF(B$17=0,0,G7/B$17)</f>
        <v>0.16797900262467191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602.29885057471267</v>
      </c>
      <c r="P7" s="120">
        <v>87</v>
      </c>
      <c r="Q7" s="104">
        <v>52400</v>
      </c>
    </row>
    <row r="8" spans="1:17" x14ac:dyDescent="0.4">
      <c r="A8" s="55" t="s">
        <v>3</v>
      </c>
      <c r="B8" s="47">
        <v>36</v>
      </c>
      <c r="C8" s="39">
        <f>IF(B$2=0,0,B8/B$2)</f>
        <v>0.26666666666666666</v>
      </c>
      <c r="E8" s="63" t="s">
        <v>71</v>
      </c>
      <c r="F8" s="60" t="s">
        <v>26</v>
      </c>
      <c r="G8" s="47">
        <v>35</v>
      </c>
      <c r="H8" s="133">
        <f>IF(B$17=0,0,G8/B$17)</f>
        <v>9.1863517060367453E-2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0.24444444444444444</v>
      </c>
      <c r="E9" s="63" t="s">
        <v>72</v>
      </c>
      <c r="F9" s="60" t="s">
        <v>27</v>
      </c>
      <c r="G9" s="47">
        <v>28</v>
      </c>
      <c r="H9" s="133">
        <f>IF(B$17=0,0,G9/B$17)</f>
        <v>7.3490813648293962E-2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0.1111111111111111</v>
      </c>
      <c r="E10" s="63" t="s">
        <v>73</v>
      </c>
      <c r="F10" s="60" t="s">
        <v>28</v>
      </c>
      <c r="G10" s="47">
        <v>217</v>
      </c>
      <c r="H10" s="133">
        <f>IF(B$17=0,0,G10/B$17)</f>
        <v>0.56955380577427817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12.348780487804881</v>
      </c>
      <c r="P10" s="118">
        <v>41</v>
      </c>
      <c r="Q10" s="106">
        <v>506.30000000000007</v>
      </c>
    </row>
    <row r="11" spans="1:17" x14ac:dyDescent="0.4">
      <c r="A11" s="56" t="s">
        <v>140</v>
      </c>
      <c r="B11" s="48">
        <v>24</v>
      </c>
      <c r="C11" s="40">
        <f>IF(B$2=0,0,B11/B$2)</f>
        <v>0.17777777777777778</v>
      </c>
      <c r="E11" s="63" t="s">
        <v>74</v>
      </c>
      <c r="F11" s="60" t="s">
        <v>29</v>
      </c>
      <c r="G11" s="47">
        <v>2</v>
      </c>
      <c r="H11" s="133">
        <f>IF(B$17=0,0,G11/B$17)</f>
        <v>5.2493438320209973E-3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10.370000000000001</v>
      </c>
      <c r="P11" s="119">
        <v>40</v>
      </c>
      <c r="Q11" s="107">
        <v>414.8</v>
      </c>
    </row>
    <row r="12" spans="1:17" x14ac:dyDescent="0.4">
      <c r="A12" s="57" t="s">
        <v>160</v>
      </c>
      <c r="B12" s="49">
        <v>19</v>
      </c>
      <c r="C12" s="42">
        <f>IF(B$2=0,0,B12/B$2)</f>
        <v>0.14074074074074075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356</v>
      </c>
      <c r="C13" s="44">
        <f>IF(B$3=0,0,B13/B$3)</f>
        <v>0.32393084622383983</v>
      </c>
      <c r="E13" s="63" t="s">
        <v>76</v>
      </c>
      <c r="F13" s="60" t="s">
        <v>31</v>
      </c>
      <c r="G13" s="47">
        <v>1</v>
      </c>
      <c r="H13" s="133">
        <f>IF(B$17=0,0,G13/B$17)</f>
        <v>2.6246719160104987E-3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241</v>
      </c>
      <c r="C14" s="39">
        <f>IF(B$3=0,0,B14/B$3)</f>
        <v>0.21929026387625114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204</v>
      </c>
      <c r="C15" s="37">
        <f>IF(B$13=0,0,B15/B$13)</f>
        <v>0.5730337078651685</v>
      </c>
      <c r="E15" s="63" t="s">
        <v>78</v>
      </c>
      <c r="F15" s="60" t="s">
        <v>33</v>
      </c>
      <c r="G15" s="47">
        <v>2</v>
      </c>
      <c r="H15" s="133">
        <f>IF(B$17=0,0,G15/B$17)</f>
        <v>5.2493438320209973E-3</v>
      </c>
      <c r="I15" s="94">
        <v>2</v>
      </c>
      <c r="K15" s="38">
        <v>13</v>
      </c>
      <c r="L15" s="99">
        <v>418.90000000000003</v>
      </c>
      <c r="N15" s="114" t="s">
        <v>185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123</v>
      </c>
      <c r="C16" s="37">
        <f>IF(B$14=0,0,B16/B$14)</f>
        <v>0.51037344398340245</v>
      </c>
      <c r="E16" s="63" t="s">
        <v>79</v>
      </c>
      <c r="F16" s="60" t="s">
        <v>34</v>
      </c>
      <c r="G16" s="47">
        <v>8</v>
      </c>
      <c r="H16" s="133">
        <f>IF(B$17=0,0,G16/B$17)</f>
        <v>2.0997375328083989E-2</v>
      </c>
      <c r="I16" s="94">
        <v>7</v>
      </c>
      <c r="K16" s="38">
        <v>14</v>
      </c>
      <c r="L16" s="99">
        <v>473.50000000000006</v>
      </c>
      <c r="N16" s="115" t="s">
        <v>177</v>
      </c>
      <c r="O16" s="125">
        <f t="shared" si="2"/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381</v>
      </c>
      <c r="C17" s="37">
        <f>IF(B$3=0,0,B17/B$3)</f>
        <v>0.34667879890809827</v>
      </c>
      <c r="E17" s="63" t="s">
        <v>80</v>
      </c>
      <c r="F17" s="60" t="s">
        <v>35</v>
      </c>
      <c r="G17" s="47">
        <v>5</v>
      </c>
      <c r="H17" s="133">
        <f>IF(B$17=0,0,G17/B$17)</f>
        <v>1.3123359580052493E-2</v>
      </c>
      <c r="I17" s="94">
        <v>8</v>
      </c>
      <c r="K17" s="38">
        <v>15</v>
      </c>
      <c r="L17" s="99">
        <v>481.50000000000006</v>
      </c>
      <c r="N17" s="115" t="s">
        <v>224</v>
      </c>
      <c r="O17" s="125">
        <f t="shared" si="2"/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156</v>
      </c>
      <c r="C18" s="39">
        <f>IF(B$17=0,0,B18/B$17)</f>
        <v>0.40944881889763779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129</v>
      </c>
      <c r="O18" s="125">
        <f t="shared" si="2"/>
        <v>28.488888888888887</v>
      </c>
      <c r="P18" s="119">
        <v>45</v>
      </c>
      <c r="Q18" s="107">
        <v>1282</v>
      </c>
    </row>
    <row r="19" spans="1:17" x14ac:dyDescent="0.4">
      <c r="A19" s="55" t="s">
        <v>11</v>
      </c>
      <c r="B19" s="47">
        <v>225</v>
      </c>
      <c r="C19" s="39">
        <f>IF(B$17=0,0,B19/B$17)</f>
        <v>0.59055118110236215</v>
      </c>
      <c r="E19" s="63" t="s">
        <v>82</v>
      </c>
      <c r="F19" s="60" t="s">
        <v>37</v>
      </c>
      <c r="G19" s="47">
        <v>11</v>
      </c>
      <c r="H19" s="133">
        <f>IF(B$17=0,0,G19/B$17)</f>
        <v>2.8871391076115485E-2</v>
      </c>
      <c r="I19" s="94">
        <v>6</v>
      </c>
      <c r="K19" s="38">
        <v>17</v>
      </c>
      <c r="L19" s="99">
        <v>427.40000000000003</v>
      </c>
      <c r="N19" s="115" t="s">
        <v>172</v>
      </c>
      <c r="O19" s="125">
        <f t="shared" si="2"/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177</v>
      </c>
      <c r="C20" s="39">
        <f>IF(B$3=0,0,B20/B$3)</f>
        <v>0.1610555050045496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 t="shared" si="2"/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19</v>
      </c>
      <c r="H21" s="133">
        <f>IF(B$17=0,0,G21/B$17)</f>
        <v>4.9868766404199474E-2</v>
      </c>
      <c r="I21" s="94">
        <v>5</v>
      </c>
      <c r="K21" s="38">
        <v>19</v>
      </c>
      <c r="L21" s="99">
        <v>405.40000000000003</v>
      </c>
      <c r="N21" s="115" t="s">
        <v>186</v>
      </c>
      <c r="O21" s="125">
        <f t="shared" si="2"/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2.6246719160104987E-3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 t="shared" si="2"/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9225.1968503937005</v>
      </c>
      <c r="C23" s="41">
        <v>3514800</v>
      </c>
      <c r="E23" s="63" t="s">
        <v>86</v>
      </c>
      <c r="F23" s="60" t="s">
        <v>41</v>
      </c>
      <c r="G23" s="47">
        <v>2</v>
      </c>
      <c r="H23" s="133">
        <f>IF(B$17=0,0,G23/B$17)</f>
        <v>5.2493438320209973E-3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-8345.1977401129952</v>
      </c>
      <c r="C24" s="45">
        <v>-1477100</v>
      </c>
      <c r="E24" s="63" t="s">
        <v>87</v>
      </c>
      <c r="F24" s="60" t="s">
        <v>42</v>
      </c>
      <c r="G24" s="47">
        <v>26</v>
      </c>
      <c r="H24" s="133">
        <f>IF(B$17=0,0,G24/B$17)</f>
        <v>6.8241469816272965E-2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2.6246719160104987E-3</v>
      </c>
      <c r="I25" s="94">
        <v>6</v>
      </c>
      <c r="K25" s="38">
        <v>23</v>
      </c>
      <c r="L25" s="99">
        <v>555.90000000000009</v>
      </c>
      <c r="N25" s="115" t="s">
        <v>225</v>
      </c>
      <c r="O25" s="125">
        <f t="shared" si="2"/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9.099181073703367E-4</v>
      </c>
      <c r="E27" s="63" t="s">
        <v>90</v>
      </c>
      <c r="F27" s="60" t="s">
        <v>45</v>
      </c>
      <c r="G27" s="47">
        <v>60</v>
      </c>
      <c r="H27" s="133">
        <f>IF(B$17=0,0,G27/B$17)</f>
        <v>0.15748031496062992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5.2493438320209973E-3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1.8372703412073491E-2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5.2493438320209973E-3</v>
      </c>
      <c r="I30" s="94">
        <v>4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2.6246719160104987E-3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2.6246719160104987E-3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13</v>
      </c>
      <c r="H50" s="133">
        <f>IF(B$17=0,0,G50/B$17)</f>
        <v>3.4120734908136482E-2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158</v>
      </c>
      <c r="H51" s="134">
        <f>IF(B$17=0,0,G51/B$17)</f>
        <v>0.41469816272965881</v>
      </c>
      <c r="I51" s="95">
        <v>4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</sheetData>
  <sortState ref="E2:I13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26B67-CF8E-4127-9DCC-1E136971E5D8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65</v>
      </c>
      <c r="F2" s="59" t="s">
        <v>21</v>
      </c>
      <c r="G2" s="46">
        <v>160</v>
      </c>
      <c r="H2" s="132">
        <f>IF(B$17=0,0,G2/B$17)</f>
        <v>0.60836501901140683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66</v>
      </c>
      <c r="F3" s="60" t="s">
        <v>22</v>
      </c>
      <c r="G3" s="47">
        <v>43</v>
      </c>
      <c r="H3" s="133">
        <f>IF(B$17=0,0,G3/B$17)</f>
        <v>0.1634980988593156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67</v>
      </c>
      <c r="F4" s="60" t="s">
        <v>23</v>
      </c>
      <c r="G4" s="47">
        <v>200</v>
      </c>
      <c r="H4" s="133">
        <f>IF(B$17=0,0,G4/B$17)</f>
        <v>0.76045627376425851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68</v>
      </c>
      <c r="F5" s="60" t="s">
        <v>24</v>
      </c>
      <c r="G5" s="47">
        <v>99</v>
      </c>
      <c r="H5" s="133">
        <f>IF(B$17=0,0,G5/B$17)</f>
        <v>0.37642585551330798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69</v>
      </c>
      <c r="F6" s="60" t="s">
        <v>12</v>
      </c>
      <c r="G6" s="47">
        <v>89</v>
      </c>
      <c r="H6" s="133">
        <f>IF(B$17=0,0,G6/B$17)</f>
        <v>0.33840304182509506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70</v>
      </c>
      <c r="F7" s="60" t="s">
        <v>25</v>
      </c>
      <c r="G7" s="47">
        <v>60</v>
      </c>
      <c r="H7" s="133">
        <f>IF(B$17=0,0,G7/B$17)</f>
        <v>0.22813688212927757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71</v>
      </c>
      <c r="F8" s="60" t="s">
        <v>26</v>
      </c>
      <c r="G8" s="47">
        <v>32</v>
      </c>
      <c r="H8" s="133">
        <f>IF(B$17=0,0,G8/B$17)</f>
        <v>0.12167300380228137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72</v>
      </c>
      <c r="F9" s="60" t="s">
        <v>27</v>
      </c>
      <c r="G9" s="47">
        <v>15</v>
      </c>
      <c r="H9" s="133">
        <f>IF(B$17=0,0,G9/B$17)</f>
        <v>5.7034220532319393E-2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73</v>
      </c>
      <c r="F10" s="60" t="s">
        <v>28</v>
      </c>
      <c r="G10" s="47">
        <v>121</v>
      </c>
      <c r="H10" s="133">
        <f>IF(B$17=0,0,G10/B$17)</f>
        <v>0.46007604562737642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74</v>
      </c>
      <c r="F11" s="60" t="s">
        <v>29</v>
      </c>
      <c r="G11" s="47">
        <v>2</v>
      </c>
      <c r="H11" s="133">
        <f>IF(B$17=0,0,G11/B$17)</f>
        <v>7.6045627376425855E-3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75</v>
      </c>
      <c r="F12" s="60" t="s">
        <v>30</v>
      </c>
      <c r="G12" s="47">
        <v>2</v>
      </c>
      <c r="H12" s="133">
        <f>IF(B$17=0,0,G12/B$17)</f>
        <v>7.6045627376425855E-3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76</v>
      </c>
      <c r="F13" s="60" t="s">
        <v>31</v>
      </c>
      <c r="G13" s="47">
        <v>2</v>
      </c>
      <c r="H13" s="133">
        <f>IF(B$17=0,0,G13/B$17)</f>
        <v>7.6045627376425855E-3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78</v>
      </c>
      <c r="F15" s="60" t="s">
        <v>33</v>
      </c>
      <c r="G15" s="47">
        <v>1</v>
      </c>
      <c r="H15" s="133">
        <f>IF(B$17=0,0,G15/B$17)</f>
        <v>3.8022813688212928E-3</v>
      </c>
      <c r="I15" s="94">
        <v>3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79</v>
      </c>
      <c r="F16" s="60" t="s">
        <v>34</v>
      </c>
      <c r="G16" s="47">
        <v>4</v>
      </c>
      <c r="H16" s="133">
        <f>IF(B$17=0,0,G16/B$17)</f>
        <v>1.5209125475285171E-2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82</v>
      </c>
      <c r="F19" s="60" t="s">
        <v>37</v>
      </c>
      <c r="G19" s="47">
        <v>8</v>
      </c>
      <c r="H19" s="133">
        <f>IF(B$17=0,0,G19/B$17)</f>
        <v>3.0418250950570342E-2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3.8022813688212927E-2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1</v>
      </c>
      <c r="H22" s="133">
        <f>IF(B$17=0,0,G22/B$17)</f>
        <v>3.8022813688212928E-3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87</v>
      </c>
      <c r="F24" s="60" t="s">
        <v>42</v>
      </c>
      <c r="G24" s="47">
        <v>14</v>
      </c>
      <c r="H24" s="133">
        <f>IF(B$17=0,0,G24/B$17)</f>
        <v>5.3231939163498096E-2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3.8022813688212928E-3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90</v>
      </c>
      <c r="F27" s="60" t="s">
        <v>45</v>
      </c>
      <c r="G27" s="47">
        <v>26</v>
      </c>
      <c r="H27" s="133">
        <f>IF(B$17=0,0,G27/B$17)</f>
        <v>9.8859315589353611E-2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2.2813688212927757E-2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3.8022813688212928E-3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3.8022813688212928E-3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3.8022813688212928E-3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1.9011406844106463E-2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117</v>
      </c>
      <c r="H51" s="134">
        <f>IF(B$17=0,0,G51/B$17)</f>
        <v>0.44486692015209123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E2:I11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11B-2B17-4F1B-AFB7-DFEF87C890E0}">
  <sheetPr codeName="Sheet11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65</v>
      </c>
      <c r="F2" s="59" t="s">
        <v>21</v>
      </c>
      <c r="G2" s="46">
        <v>88</v>
      </c>
      <c r="H2" s="132">
        <f>IF(B$17=0,0,G2/B$17)</f>
        <v>0.60689655172413792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-2396</v>
      </c>
      <c r="P2" s="118">
        <v>75</v>
      </c>
      <c r="Q2" s="102">
        <v>-179700</v>
      </c>
    </row>
    <row r="3" spans="1:17" x14ac:dyDescent="0.4">
      <c r="A3" s="55" t="s">
        <v>8</v>
      </c>
      <c r="B3" s="148">
        <v>626</v>
      </c>
      <c r="C3" s="149"/>
      <c r="E3" s="63" t="s">
        <v>66</v>
      </c>
      <c r="F3" s="60" t="s">
        <v>22</v>
      </c>
      <c r="G3" s="47">
        <v>12</v>
      </c>
      <c r="H3" s="133">
        <f>IF(B$17=0,0,G3/B$17)</f>
        <v>8.2758620689655171E-2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-1360.2739726027398</v>
      </c>
      <c r="P3" s="119">
        <v>73</v>
      </c>
      <c r="Q3" s="103">
        <v>-99300</v>
      </c>
    </row>
    <row r="4" spans="1:17" x14ac:dyDescent="0.4">
      <c r="A4" s="55" t="s">
        <v>6</v>
      </c>
      <c r="B4" s="150">
        <v>-1147.8999999999999</v>
      </c>
      <c r="C4" s="151"/>
      <c r="E4" s="63" t="s">
        <v>67</v>
      </c>
      <c r="F4" s="60" t="s">
        <v>23</v>
      </c>
      <c r="G4" s="47">
        <v>131</v>
      </c>
      <c r="H4" s="133">
        <f>IF(B$17=0,0,G4/B$17)</f>
        <v>0.90344827586206899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-513.04347826086962</v>
      </c>
      <c r="P4" s="119">
        <v>69</v>
      </c>
      <c r="Q4" s="103">
        <v>-35400</v>
      </c>
    </row>
    <row r="5" spans="1:17" x14ac:dyDescent="0.4">
      <c r="A5" s="55" t="s">
        <v>7</v>
      </c>
      <c r="B5" s="152">
        <f>IF(B$2=0,0,B$4/B$2)</f>
        <v>-15.305333333333332</v>
      </c>
      <c r="C5" s="153"/>
      <c r="E5" s="63" t="s">
        <v>68</v>
      </c>
      <c r="F5" s="60" t="s">
        <v>24</v>
      </c>
      <c r="G5" s="47">
        <v>55</v>
      </c>
      <c r="H5" s="133">
        <f>IF(B$17=0,0,G5/B$17)</f>
        <v>0.37931034482758619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-4703.2786885245905</v>
      </c>
      <c r="P5" s="119">
        <v>61</v>
      </c>
      <c r="Q5" s="103">
        <v>-286900</v>
      </c>
    </row>
    <row r="6" spans="1:17" x14ac:dyDescent="0.4">
      <c r="A6" s="55" t="s">
        <v>1</v>
      </c>
      <c r="B6" s="142">
        <f>IF(B$2=0,0,(B$7*1+B$8*2+B$9*3)/B$2)</f>
        <v>2.2533333333333334</v>
      </c>
      <c r="C6" s="143"/>
      <c r="E6" s="63" t="s">
        <v>69</v>
      </c>
      <c r="F6" s="60" t="s">
        <v>12</v>
      </c>
      <c r="G6" s="47">
        <v>59</v>
      </c>
      <c r="H6" s="133">
        <f>IF(B$17=0,0,G6/B$17)</f>
        <v>0.40689655172413791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-1603.6363636363637</v>
      </c>
      <c r="P6" s="119">
        <v>55</v>
      </c>
      <c r="Q6" s="103">
        <v>-88200</v>
      </c>
    </row>
    <row r="7" spans="1:17" x14ac:dyDescent="0.4">
      <c r="A7" s="55" t="s">
        <v>2</v>
      </c>
      <c r="B7" s="47">
        <v>18</v>
      </c>
      <c r="C7" s="39">
        <f>IF(B$2=0,0,B7/B$2)</f>
        <v>0.24</v>
      </c>
      <c r="E7" s="63" t="s">
        <v>70</v>
      </c>
      <c r="F7" s="60" t="s">
        <v>25</v>
      </c>
      <c r="G7" s="47">
        <v>29</v>
      </c>
      <c r="H7" s="133">
        <f>IF(B$17=0,0,G7/B$17)</f>
        <v>0.2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-1430</v>
      </c>
      <c r="P7" s="120">
        <v>50</v>
      </c>
      <c r="Q7" s="104">
        <v>-71500</v>
      </c>
    </row>
    <row r="8" spans="1:17" x14ac:dyDescent="0.4">
      <c r="A8" s="55" t="s">
        <v>3</v>
      </c>
      <c r="B8" s="47">
        <v>20</v>
      </c>
      <c r="C8" s="39">
        <f>IF(B$2=0,0,B8/B$2)</f>
        <v>0.26666666666666666</v>
      </c>
      <c r="E8" s="63" t="s">
        <v>71</v>
      </c>
      <c r="F8" s="60" t="s">
        <v>26</v>
      </c>
      <c r="G8" s="47">
        <v>21</v>
      </c>
      <c r="H8" s="133">
        <f>IF(B$17=0,0,G8/B$17)</f>
        <v>0.14482758620689656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0.49333333333333335</v>
      </c>
      <c r="E9" s="63" t="s">
        <v>72</v>
      </c>
      <c r="F9" s="60" t="s">
        <v>27</v>
      </c>
      <c r="G9" s="47">
        <v>16</v>
      </c>
      <c r="H9" s="133">
        <f>IF(B$17=0,0,G9/B$17)</f>
        <v>0.1103448275862069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0.18666666666666668</v>
      </c>
      <c r="E10" s="63" t="s">
        <v>73</v>
      </c>
      <c r="F10" s="60" t="s">
        <v>28</v>
      </c>
      <c r="G10" s="47">
        <v>44</v>
      </c>
      <c r="H10" s="133">
        <f>IF(B$17=0,0,G10/B$17)</f>
        <v>0.30344827586206896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-18.191666666666663</v>
      </c>
      <c r="P10" s="118">
        <v>24</v>
      </c>
      <c r="Q10" s="106">
        <v>-436.59999999999991</v>
      </c>
    </row>
    <row r="11" spans="1:17" x14ac:dyDescent="0.4">
      <c r="A11" s="56" t="s">
        <v>140</v>
      </c>
      <c r="B11" s="48">
        <v>8</v>
      </c>
      <c r="C11" s="40">
        <f>IF(B$2=0,0,B11/B$2)</f>
        <v>0.10666666666666667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-11.735483870967746</v>
      </c>
      <c r="P11" s="119">
        <v>31</v>
      </c>
      <c r="Q11" s="107">
        <v>-363.80000000000013</v>
      </c>
    </row>
    <row r="12" spans="1:17" x14ac:dyDescent="0.4">
      <c r="A12" s="57" t="s">
        <v>160</v>
      </c>
      <c r="B12" s="49">
        <v>5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2</v>
      </c>
      <c r="H12" s="133">
        <f>IF(B$17=0,0,G12/B$17)</f>
        <v>1.3793103448275862E-2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-17.374999999999996</v>
      </c>
      <c r="P12" s="120">
        <v>20</v>
      </c>
      <c r="Q12" s="108">
        <v>-347.49999999999994</v>
      </c>
    </row>
    <row r="13" spans="1:17" x14ac:dyDescent="0.4">
      <c r="A13" s="58" t="s">
        <v>122</v>
      </c>
      <c r="B13" s="50">
        <v>178</v>
      </c>
      <c r="C13" s="44">
        <f>IF(B$3=0,0,B13/B$3)</f>
        <v>0.28434504792332266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0.15654952076677317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0.5112359550561798</v>
      </c>
      <c r="E15" s="63" t="s">
        <v>78</v>
      </c>
      <c r="F15" s="60" t="s">
        <v>33</v>
      </c>
      <c r="G15" s="47">
        <v>1</v>
      </c>
      <c r="H15" s="133">
        <f>IF(B$17=0,0,G15/B$17)</f>
        <v>6.8965517241379309E-3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0.22448979591836735</v>
      </c>
      <c r="E16" s="63" t="s">
        <v>79</v>
      </c>
      <c r="F16" s="60" t="s">
        <v>34</v>
      </c>
      <c r="G16" s="47">
        <v>5</v>
      </c>
      <c r="H16" s="133">
        <f>IF(B$17=0,0,G16/B$17)</f>
        <v>3.4482758620689655E-2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0.23162939297124602</v>
      </c>
      <c r="E17" s="63" t="s">
        <v>80</v>
      </c>
      <c r="F17" s="60" t="s">
        <v>35</v>
      </c>
      <c r="G17" s="47">
        <v>1</v>
      </c>
      <c r="H17" s="133">
        <f>IF(B$17=0,0,G17/B$17)</f>
        <v>6.8965517241379309E-3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67</v>
      </c>
      <c r="C18" s="39">
        <f>IF(B$17=0,0,B18/B$17)</f>
        <v>0.46206896551724136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78</v>
      </c>
      <c r="C19" s="39">
        <f>IF(B$17=0,0,B19/B$17)</f>
        <v>0.53793103448275859</v>
      </c>
      <c r="E19" s="63" t="s">
        <v>82</v>
      </c>
      <c r="F19" s="60" t="s">
        <v>37</v>
      </c>
      <c r="G19" s="47">
        <v>2</v>
      </c>
      <c r="H19" s="133">
        <f>IF(B$17=0,0,G19/B$17)</f>
        <v>1.3793103448275862E-2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-28.057692307692303</v>
      </c>
      <c r="P19" s="119">
        <v>26</v>
      </c>
      <c r="Q19" s="107">
        <v>-729.49999999999989</v>
      </c>
    </row>
    <row r="20" spans="1:17" x14ac:dyDescent="0.4">
      <c r="A20" s="55" t="s">
        <v>13</v>
      </c>
      <c r="B20" s="47">
        <v>120</v>
      </c>
      <c r="C20" s="39">
        <f>IF(B$3=0,0,B20/B$3)</f>
        <v>0.19169329073482427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-28.488888888888894</v>
      </c>
      <c r="P20" s="119">
        <v>45</v>
      </c>
      <c r="Q20" s="107">
        <v>-1282.0000000000002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3.4482758620689655E-2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 t="shared" si="2"/>
        <v>-39.468749999999993</v>
      </c>
      <c r="P21" s="119">
        <v>16</v>
      </c>
      <c r="Q21" s="107">
        <v>-631.49999999999989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9032.4137931034475</v>
      </c>
      <c r="C23" s="41">
        <v>1309700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-9365.8333333333339</v>
      </c>
      <c r="C24" s="45">
        <v>-1123900</v>
      </c>
      <c r="E24" s="63" t="s">
        <v>87</v>
      </c>
      <c r="F24" s="60" t="s">
        <v>42</v>
      </c>
      <c r="G24" s="47">
        <v>10</v>
      </c>
      <c r="H24" s="133">
        <f>IF(B$17=0,0,G24/B$17)</f>
        <v>6.8965517241379309E-2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2</v>
      </c>
      <c r="H25" s="133">
        <f>IF(B$17=0,0,G25/B$17)</f>
        <v>1.3793103448275862E-2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6.8965517241379309E-3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1.5974440894568689E-3</v>
      </c>
      <c r="E27" s="63" t="s">
        <v>90</v>
      </c>
      <c r="F27" s="60" t="s">
        <v>45</v>
      </c>
      <c r="G27" s="47">
        <v>12</v>
      </c>
      <c r="H27" s="133">
        <f>IF(B$17=0,0,G27/B$17)</f>
        <v>8.2758620689655171E-2</v>
      </c>
      <c r="I27" s="94">
        <v>12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6.8965517241379309E-3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6.8965517241379309E-3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1.3793103448275862E-2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54</v>
      </c>
      <c r="H51" s="134">
        <f>IF(B$17=0,0,G51/B$17)</f>
        <v>0.3724137931034483</v>
      </c>
      <c r="I51" s="95">
        <v>10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</sheetData>
  <sortState ref="E2:I7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1C4A-8006-4AFC-9767-62F04D827C11}">
  <sheetPr codeName="Sheet13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85</v>
      </c>
      <c r="C2" s="147"/>
      <c r="E2" s="62" t="s">
        <v>65</v>
      </c>
      <c r="F2" s="59" t="s">
        <v>21</v>
      </c>
      <c r="G2" s="46">
        <v>111</v>
      </c>
      <c r="H2" s="132">
        <f>IF(B$17=0,0,G2/B$17)</f>
        <v>0.54679802955665024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-372.94117647058823</v>
      </c>
      <c r="P2" s="118">
        <v>85</v>
      </c>
      <c r="Q2" s="102">
        <v>-31700</v>
      </c>
    </row>
    <row r="3" spans="1:17" x14ac:dyDescent="0.4">
      <c r="A3" s="55" t="s">
        <v>8</v>
      </c>
      <c r="B3" s="148">
        <v>708</v>
      </c>
      <c r="C3" s="149"/>
      <c r="E3" s="63" t="s">
        <v>66</v>
      </c>
      <c r="F3" s="60" t="s">
        <v>22</v>
      </c>
      <c r="G3" s="47">
        <v>28</v>
      </c>
      <c r="H3" s="133">
        <f>IF(B$17=0,0,G3/B$17)</f>
        <v>0.13793103448275862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791.56626506024099</v>
      </c>
      <c r="P3" s="119">
        <v>83</v>
      </c>
      <c r="Q3" s="103">
        <v>65700</v>
      </c>
    </row>
    <row r="4" spans="1:17" x14ac:dyDescent="0.4">
      <c r="A4" s="55" t="s">
        <v>6</v>
      </c>
      <c r="B4" s="150">
        <v>213.10000000000002</v>
      </c>
      <c r="C4" s="151"/>
      <c r="E4" s="63" t="s">
        <v>67</v>
      </c>
      <c r="F4" s="60" t="s">
        <v>23</v>
      </c>
      <c r="G4" s="47">
        <v>172</v>
      </c>
      <c r="H4" s="133">
        <f>IF(B$17=0,0,G4/B$17)</f>
        <v>0.84729064039408863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1650.6493506493507</v>
      </c>
      <c r="P4" s="119">
        <v>77</v>
      </c>
      <c r="Q4" s="103">
        <v>127100</v>
      </c>
    </row>
    <row r="5" spans="1:17" x14ac:dyDescent="0.4">
      <c r="A5" s="55" t="s">
        <v>7</v>
      </c>
      <c r="B5" s="152">
        <f>IF(B$2=0,0,B$4/B$2)</f>
        <v>2.507058823529412</v>
      </c>
      <c r="C5" s="153"/>
      <c r="E5" s="63" t="s">
        <v>68</v>
      </c>
      <c r="F5" s="60" t="s">
        <v>24</v>
      </c>
      <c r="G5" s="47">
        <v>70</v>
      </c>
      <c r="H5" s="133">
        <f>IF(B$17=0,0,G5/B$17)</f>
        <v>0.34482758620689657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1331.3432835820895</v>
      </c>
      <c r="P5" s="119">
        <v>67</v>
      </c>
      <c r="Q5" s="103">
        <v>89200</v>
      </c>
    </row>
    <row r="6" spans="1:17" x14ac:dyDescent="0.4">
      <c r="A6" s="55" t="s">
        <v>1</v>
      </c>
      <c r="B6" s="142">
        <f>IF(B$2=0,0,(B$7*1+B$8*2+B$9*3)/B$2)</f>
        <v>2.0117647058823529</v>
      </c>
      <c r="C6" s="143"/>
      <c r="E6" s="63" t="s">
        <v>69</v>
      </c>
      <c r="F6" s="60" t="s">
        <v>12</v>
      </c>
      <c r="G6" s="47">
        <v>60</v>
      </c>
      <c r="H6" s="133">
        <f>IF(B$17=0,0,G6/B$17)</f>
        <v>0.29556650246305421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-522.03389830508479</v>
      </c>
      <c r="P6" s="119">
        <v>59</v>
      </c>
      <c r="Q6" s="103">
        <v>-30800</v>
      </c>
    </row>
    <row r="7" spans="1:17" x14ac:dyDescent="0.4">
      <c r="A7" s="55" t="s">
        <v>2</v>
      </c>
      <c r="B7" s="47">
        <v>27</v>
      </c>
      <c r="C7" s="39">
        <f>IF(B$2=0,0,B7/B$2)</f>
        <v>0.31764705882352939</v>
      </c>
      <c r="E7" s="63" t="s">
        <v>70</v>
      </c>
      <c r="F7" s="60" t="s">
        <v>25</v>
      </c>
      <c r="G7" s="47">
        <v>39</v>
      </c>
      <c r="H7" s="133">
        <f>IF(B$17=0,0,G7/B$17)</f>
        <v>0.19211822660098521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-285.18518518518516</v>
      </c>
      <c r="P7" s="120">
        <v>54</v>
      </c>
      <c r="Q7" s="104">
        <v>-15400</v>
      </c>
    </row>
    <row r="8" spans="1:17" x14ac:dyDescent="0.4">
      <c r="A8" s="55" t="s">
        <v>3</v>
      </c>
      <c r="B8" s="47">
        <v>30</v>
      </c>
      <c r="C8" s="39">
        <f>IF(B$2=0,0,B8/B$2)</f>
        <v>0.35294117647058826</v>
      </c>
      <c r="E8" s="63" t="s">
        <v>71</v>
      </c>
      <c r="F8" s="60" t="s">
        <v>26</v>
      </c>
      <c r="G8" s="47">
        <v>21</v>
      </c>
      <c r="H8" s="133">
        <f>IF(B$17=0,0,G8/B$17)</f>
        <v>0.10344827586206896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0.32941176470588235</v>
      </c>
      <c r="E9" s="63" t="s">
        <v>72</v>
      </c>
      <c r="F9" s="60" t="s">
        <v>27</v>
      </c>
      <c r="G9" s="47">
        <v>12</v>
      </c>
      <c r="H9" s="133">
        <f>IF(B$17=0,0,G9/B$17)</f>
        <v>5.9113300492610835E-2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8.2352941176470587E-2</v>
      </c>
      <c r="E10" s="63" t="s">
        <v>73</v>
      </c>
      <c r="F10" s="60" t="s">
        <v>28</v>
      </c>
      <c r="G10" s="47">
        <v>105</v>
      </c>
      <c r="H10" s="133">
        <f>IF(B$17=0,0,G10/B$17)</f>
        <v>0.51724137931034486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0.14117647058823529</v>
      </c>
      <c r="E11" s="63" t="s">
        <v>74</v>
      </c>
      <c r="F11" s="60" t="s">
        <v>29</v>
      </c>
      <c r="G11" s="47">
        <v>1</v>
      </c>
      <c r="H11" s="133">
        <f>IF(B$17=0,0,G11/B$17)</f>
        <v>4.9261083743842365E-3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3.1206896551724137</v>
      </c>
      <c r="P12" s="120">
        <v>29</v>
      </c>
      <c r="Q12" s="108">
        <v>90.5</v>
      </c>
    </row>
    <row r="13" spans="1:17" x14ac:dyDescent="0.4">
      <c r="A13" s="58" t="s">
        <v>122</v>
      </c>
      <c r="B13" s="50">
        <v>207</v>
      </c>
      <c r="C13" s="44">
        <f>IF(B$3=0,0,B13/B$3)</f>
        <v>0.2923728813559322</v>
      </c>
      <c r="E13" s="63" t="s">
        <v>76</v>
      </c>
      <c r="F13" s="60" t="s">
        <v>31</v>
      </c>
      <c r="G13" s="47">
        <v>3</v>
      </c>
      <c r="H13" s="133">
        <f>IF(B$17=0,0,G13/B$17)</f>
        <v>1.4778325123152709E-2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0.18926553672316385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0.5748792270531401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79</v>
      </c>
      <c r="F16" s="60" t="s">
        <v>34</v>
      </c>
      <c r="G16" s="47">
        <v>9</v>
      </c>
      <c r="H16" s="133">
        <f>IF(B$17=0,0,G16/B$17)</f>
        <v>4.4334975369458129E-2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203</v>
      </c>
      <c r="C17" s="37">
        <f>IF(B$3=0,0,B17/B$3)</f>
        <v>0.2867231638418079</v>
      </c>
      <c r="E17" s="63" t="s">
        <v>80</v>
      </c>
      <c r="F17" s="60" t="s">
        <v>35</v>
      </c>
      <c r="G17" s="47">
        <v>3</v>
      </c>
      <c r="H17" s="133">
        <f>IF(B$17=0,0,G17/B$17)</f>
        <v>1.4778325123152709E-2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0.40886699507389163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0.59113300492610843</v>
      </c>
      <c r="E19" s="63" t="s">
        <v>82</v>
      </c>
      <c r="F19" s="60" t="s">
        <v>37</v>
      </c>
      <c r="G19" s="47">
        <v>8</v>
      </c>
      <c r="H19" s="133">
        <f>IF(B$17=0,0,G19/B$17)</f>
        <v>3.9408866995073892E-2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120</v>
      </c>
      <c r="C20" s="39">
        <f>IF(B$3=0,0,B20/B$3)</f>
        <v>0.16949152542372881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5.4187192118226604E-2</v>
      </c>
      <c r="I21" s="94">
        <v>4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32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9.852216748768473E-3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10064.039408866995</v>
      </c>
      <c r="C23" s="41">
        <v>2043000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-8291.6666666666661</v>
      </c>
      <c r="C24" s="45">
        <v>-995000</v>
      </c>
      <c r="E24" s="63" t="s">
        <v>87</v>
      </c>
      <c r="F24" s="60" t="s">
        <v>42</v>
      </c>
      <c r="G24" s="47">
        <v>15</v>
      </c>
      <c r="H24" s="133">
        <f>IF(B$17=0,0,G24/B$17)</f>
        <v>7.3891625615763554E-2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4.9261083743842365E-3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1.4124293785310734E-3</v>
      </c>
      <c r="E27" s="63" t="s">
        <v>90</v>
      </c>
      <c r="F27" s="60" t="s">
        <v>45</v>
      </c>
      <c r="G27" s="47">
        <v>35</v>
      </c>
      <c r="H27" s="133">
        <f>IF(B$17=0,0,G27/B$17)</f>
        <v>0.17241379310344829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2.9556650246305417E-2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9.852216748768473E-3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4.9261083743842365E-3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1.9704433497536946E-2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79</v>
      </c>
      <c r="H51" s="134">
        <f>IF(B$17=0,0,G51/B$17)</f>
        <v>0.3891625615763547</v>
      </c>
      <c r="I51" s="95">
        <v>9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</sheetData>
  <sortState ref="E2:I8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119D-E638-43FF-99C5-5C1267423604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0.33823529411764708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696.969696969697</v>
      </c>
      <c r="P2" s="118">
        <v>66</v>
      </c>
      <c r="Q2" s="102">
        <v>46000</v>
      </c>
    </row>
    <row r="3" spans="1:17" x14ac:dyDescent="0.4">
      <c r="A3" s="55" t="s">
        <v>8</v>
      </c>
      <c r="B3" s="148">
        <v>573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0.11764705882352941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-662.12121212121212</v>
      </c>
      <c r="P3" s="119">
        <v>66</v>
      </c>
      <c r="Q3" s="103">
        <v>-43700</v>
      </c>
    </row>
    <row r="4" spans="1:17" x14ac:dyDescent="0.4">
      <c r="A4" s="55" t="s">
        <v>6</v>
      </c>
      <c r="B4" s="150">
        <v>-5.400000000000027</v>
      </c>
      <c r="C4" s="151"/>
      <c r="E4" s="63" t="s">
        <v>67</v>
      </c>
      <c r="F4" s="60" t="s">
        <v>23</v>
      </c>
      <c r="G4" s="47">
        <v>132</v>
      </c>
      <c r="H4" s="133">
        <f>IF(B$17=0,0,G4/B$17)</f>
        <v>0.6470588235294118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-1530.5084745762713</v>
      </c>
      <c r="P4" s="119">
        <v>59</v>
      </c>
      <c r="Q4" s="103">
        <v>-90300</v>
      </c>
    </row>
    <row r="5" spans="1:17" x14ac:dyDescent="0.4">
      <c r="A5" s="55" t="s">
        <v>7</v>
      </c>
      <c r="B5" s="152">
        <f>IF(B$2=0,0,B$4/B$2)</f>
        <v>-8.1818181818182234E-2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0.16176470588235295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641.07142857142856</v>
      </c>
      <c r="P5" s="119">
        <v>56</v>
      </c>
      <c r="Q5" s="103">
        <v>35900</v>
      </c>
    </row>
    <row r="6" spans="1:17" x14ac:dyDescent="0.4">
      <c r="A6" s="55" t="s">
        <v>1</v>
      </c>
      <c r="B6" s="142">
        <f>IF(B$2=0,0,(B$7*1+B$8*2+B$9*3)/B$2)</f>
        <v>2.0303030303030303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0.26470588235294118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861.11111111111109</v>
      </c>
      <c r="P6" s="119">
        <v>54</v>
      </c>
      <c r="Q6" s="103">
        <v>46500</v>
      </c>
    </row>
    <row r="7" spans="1:17" x14ac:dyDescent="0.4">
      <c r="A7" s="55" t="s">
        <v>2</v>
      </c>
      <c r="B7" s="47">
        <v>18</v>
      </c>
      <c r="C7" s="39">
        <f>IF(B$2=0,0,B7/B$2)</f>
        <v>0.27272727272727271</v>
      </c>
      <c r="E7" s="63" t="s">
        <v>70</v>
      </c>
      <c r="F7" s="60" t="s">
        <v>25</v>
      </c>
      <c r="G7" s="47">
        <v>30</v>
      </c>
      <c r="H7" s="133">
        <f>IF(B$17=0,0,G7/B$17)</f>
        <v>0.14705882352941177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-258.69565217391306</v>
      </c>
      <c r="P7" s="120">
        <v>46</v>
      </c>
      <c r="Q7" s="104">
        <v>-11900</v>
      </c>
    </row>
    <row r="8" spans="1:17" x14ac:dyDescent="0.4">
      <c r="A8" s="55" t="s">
        <v>3</v>
      </c>
      <c r="B8" s="47">
        <v>28</v>
      </c>
      <c r="C8" s="39">
        <f>IF(B$2=0,0,B8/B$2)</f>
        <v>0.42424242424242425</v>
      </c>
      <c r="E8" s="63" t="s">
        <v>71</v>
      </c>
      <c r="F8" s="60" t="s">
        <v>26</v>
      </c>
      <c r="G8" s="47">
        <v>13</v>
      </c>
      <c r="H8" s="133">
        <f>IF(B$17=0,0,G8/B$17)</f>
        <v>6.3725490196078427E-2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0.30303030303030304</v>
      </c>
      <c r="E9" s="63" t="s">
        <v>72</v>
      </c>
      <c r="F9" s="60" t="s">
        <v>27</v>
      </c>
      <c r="G9" s="47">
        <v>16</v>
      </c>
      <c r="H9" s="133">
        <f>IF(B$17=0,0,G9/B$17)</f>
        <v>7.8431372549019607E-2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4.5454545454545456E-2</v>
      </c>
      <c r="E10" s="63" t="s">
        <v>73</v>
      </c>
      <c r="F10" s="60" t="s">
        <v>28</v>
      </c>
      <c r="G10" s="47">
        <v>116</v>
      </c>
      <c r="H10" s="133">
        <f>IF(B$17=0,0,G10/B$17)</f>
        <v>0.56862745098039214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1</v>
      </c>
      <c r="H11" s="133">
        <f>IF(B$17=0,0,G11/B$17)</f>
        <v>4.9019607843137254E-3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4.9019607843137254E-3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0.1884615384615384</v>
      </c>
      <c r="P12" s="120">
        <v>26</v>
      </c>
      <c r="Q12" s="108">
        <v>4.8999999999999986</v>
      </c>
    </row>
    <row r="13" spans="1:17" x14ac:dyDescent="0.4">
      <c r="A13" s="58" t="s">
        <v>122</v>
      </c>
      <c r="B13" s="50">
        <v>126</v>
      </c>
      <c r="C13" s="44">
        <f>IF(B$3=0,0,B13/B$3)</f>
        <v>0.21989528795811519</v>
      </c>
      <c r="E13" s="63" t="s">
        <v>76</v>
      </c>
      <c r="F13" s="60" t="s">
        <v>31</v>
      </c>
      <c r="G13" s="47">
        <v>1</v>
      </c>
      <c r="H13" s="133">
        <f>IF(B$17=0,0,G13/B$17)</f>
        <v>4.9019607843137254E-3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0.29319371727748689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0.54761904761904767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39.468749999999986</v>
      </c>
      <c r="P15" s="118">
        <v>16</v>
      </c>
      <c r="Q15" s="106">
        <v>631.49999999999977</v>
      </c>
    </row>
    <row r="16" spans="1:17" x14ac:dyDescent="0.4">
      <c r="A16" s="54" t="s">
        <v>125</v>
      </c>
      <c r="B16" s="46">
        <v>73</v>
      </c>
      <c r="C16" s="37">
        <f>IF(B$14=0,0,B16/B$14)</f>
        <v>0.43452380952380953</v>
      </c>
      <c r="E16" s="63" t="s">
        <v>79</v>
      </c>
      <c r="F16" s="60" t="s">
        <v>34</v>
      </c>
      <c r="G16" s="47">
        <v>2</v>
      </c>
      <c r="H16" s="133">
        <f>IF(B$17=0,0,G16/B$17)</f>
        <v>9.8039215686274508E-3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0.35602094240837695</v>
      </c>
      <c r="E17" s="63" t="s">
        <v>80</v>
      </c>
      <c r="F17" s="60" t="s">
        <v>35</v>
      </c>
      <c r="G17" s="47">
        <v>3</v>
      </c>
      <c r="H17" s="133">
        <f>IF(B$17=0,0,G17/B$17)</f>
        <v>1.4705882352941176E-2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87</v>
      </c>
      <c r="C18" s="39">
        <f>IF(B$17=0,0,B18/B$17)</f>
        <v>0.4264705882352941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117</v>
      </c>
      <c r="C19" s="39">
        <f>IF(B$17=0,0,B19/B$17)</f>
        <v>0.57352941176470584</v>
      </c>
      <c r="E19" s="63" t="s">
        <v>82</v>
      </c>
      <c r="F19" s="60" t="s">
        <v>37</v>
      </c>
      <c r="G19" s="47">
        <v>7</v>
      </c>
      <c r="H19" s="133">
        <f>IF(B$17=0,0,G19/B$17)</f>
        <v>3.4313725490196081E-2</v>
      </c>
      <c r="I19" s="94">
        <v>3</v>
      </c>
      <c r="K19" s="38">
        <v>17</v>
      </c>
      <c r="L19" s="99">
        <v>-55.099999999999994</v>
      </c>
      <c r="N19" s="115" t="s">
        <v>173</v>
      </c>
      <c r="O19" s="125">
        <f t="shared" si="2"/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76</v>
      </c>
      <c r="C20" s="39">
        <f>IF(B$3=0,0,B20/B$3)</f>
        <v>0.13263525305410123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5.8823529411764705E-2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 t="shared" si="2"/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6635.7843137254904</v>
      </c>
      <c r="C23" s="41">
        <v>1353700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-9127.6315789473683</v>
      </c>
      <c r="C24" s="45">
        <v>-693700</v>
      </c>
      <c r="E24" s="63" t="s">
        <v>87</v>
      </c>
      <c r="F24" s="60" t="s">
        <v>42</v>
      </c>
      <c r="G24" s="47">
        <v>8</v>
      </c>
      <c r="H24" s="133">
        <f>IF(B$17=0,0,G24/B$17)</f>
        <v>3.9215686274509803E-2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4.9019607843137254E-3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1.7452006980802793E-3</v>
      </c>
      <c r="E27" s="63" t="s">
        <v>90</v>
      </c>
      <c r="F27" s="60" t="s">
        <v>45</v>
      </c>
      <c r="G27" s="47">
        <v>17</v>
      </c>
      <c r="H27" s="133">
        <f>IF(B$17=0,0,G27/B$17)</f>
        <v>8.3333333333333329E-2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4.9019607843137254E-3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9.8039215686274508E-3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90</v>
      </c>
      <c r="H51" s="134">
        <f>IF(B$17=0,0,G51/B$17)</f>
        <v>0.44117647058823528</v>
      </c>
      <c r="I51" s="95">
        <v>3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DEEF-52E6-4F2E-B49C-FF449D3A2E8E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04C5-73AB-4CFF-9CED-74AD6439E14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66</v>
      </c>
      <c r="F3" s="60" t="s">
        <v>22</v>
      </c>
      <c r="G3" s="47">
        <v>15</v>
      </c>
      <c r="H3" s="133">
        <f>IF(B$17=0,0,G3/B$17)</f>
        <v>0.12096774193548387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67</v>
      </c>
      <c r="F4" s="60" t="s">
        <v>23</v>
      </c>
      <c r="G4" s="47">
        <v>71</v>
      </c>
      <c r="H4" s="133">
        <f>IF(B$17=0,0,G4/B$17)</f>
        <v>0.57258064516129037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68</v>
      </c>
      <c r="F5" s="60" t="s">
        <v>24</v>
      </c>
      <c r="G5" s="47">
        <v>44</v>
      </c>
      <c r="H5" s="133">
        <f>IF(B$17=0,0,G5/B$17)</f>
        <v>0.35483870967741937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69</v>
      </c>
      <c r="F6" s="60" t="s">
        <v>12</v>
      </c>
      <c r="G6" s="47">
        <v>38</v>
      </c>
      <c r="H6" s="133">
        <f>IF(B$17=0,0,G6/B$17)</f>
        <v>0.30645161290322581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70</v>
      </c>
      <c r="F7" s="60" t="s">
        <v>25</v>
      </c>
      <c r="G7" s="47">
        <v>21</v>
      </c>
      <c r="H7" s="133">
        <f>IF(B$17=0,0,G7/B$17)</f>
        <v>0.16935483870967741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71</v>
      </c>
      <c r="F8" s="60" t="s">
        <v>26</v>
      </c>
      <c r="G8" s="47">
        <v>8</v>
      </c>
      <c r="H8" s="133">
        <f>IF(B$17=0,0,G8/B$17)</f>
        <v>6.4516129032258063E-2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4.8387096774193547E-2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73</v>
      </c>
      <c r="F10" s="60" t="s">
        <v>28</v>
      </c>
      <c r="G10" s="47">
        <v>56</v>
      </c>
      <c r="H10" s="133">
        <f>IF(B$17=0,0,G10/B$17)</f>
        <v>0.45161290322580644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75</v>
      </c>
      <c r="F12" s="60" t="s">
        <v>30</v>
      </c>
      <c r="G12" s="47">
        <v>1</v>
      </c>
      <c r="H12" s="133">
        <f>IF(B$17=0,0,G12/B$17)</f>
        <v>8.0645161290322578E-3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76</v>
      </c>
      <c r="F13" s="60" t="s">
        <v>31</v>
      </c>
      <c r="G13" s="47">
        <v>1</v>
      </c>
      <c r="H13" s="133">
        <f>IF(B$17=0,0,G13/B$17)</f>
        <v>8.0645161290322578E-3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79</v>
      </c>
      <c r="F16" s="60" t="s">
        <v>34</v>
      </c>
      <c r="G16" s="47">
        <v>5</v>
      </c>
      <c r="H16" s="133">
        <f>IF(B$17=0,0,G16/B$17)</f>
        <v>4.0322580645161289E-2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80</v>
      </c>
      <c r="F17" s="60" t="s">
        <v>35</v>
      </c>
      <c r="G17" s="47">
        <v>2</v>
      </c>
      <c r="H17" s="133">
        <f>IF(B$17=0,0,G17/B$17)</f>
        <v>1.6129032258064516E-2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82</v>
      </c>
      <c r="F19" s="60" t="s">
        <v>37</v>
      </c>
      <c r="G19" s="47">
        <v>3</v>
      </c>
      <c r="H19" s="133">
        <f>IF(B$17=0,0,G19/B$17)</f>
        <v>2.4193548387096774E-2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4.0322580645161289E-2</v>
      </c>
      <c r="I21" s="94">
        <v>8</v>
      </c>
      <c r="K21" s="38">
        <v>19</v>
      </c>
      <c r="L21" s="99">
        <v>-235.6</v>
      </c>
      <c r="N21" s="115" t="s">
        <v>172</v>
      </c>
      <c r="O21" s="125">
        <f t="shared" si="2"/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86</v>
      </c>
      <c r="F23" s="60" t="s">
        <v>41</v>
      </c>
      <c r="G23" s="47">
        <v>2</v>
      </c>
      <c r="H23" s="133">
        <f>IF(B$17=0,0,G23/B$17)</f>
        <v>1.6129032258064516E-2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3</v>
      </c>
      <c r="H24" s="133">
        <f>IF(B$17=0,0,G24/B$17)</f>
        <v>2.4193548387096774E-2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90</v>
      </c>
      <c r="F27" s="60" t="s">
        <v>45</v>
      </c>
      <c r="G27" s="47">
        <v>13</v>
      </c>
      <c r="H27" s="133">
        <f>IF(B$17=0,0,G27/B$17)</f>
        <v>0.10483870967741936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8.0645161290322578E-3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4.0322580645161289E-2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8.0645161290322578E-3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8.0645161290322578E-3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64" t="s">
        <v>181</v>
      </c>
      <c r="F51" s="61" t="s">
        <v>182</v>
      </c>
      <c r="G51" s="49">
        <v>51</v>
      </c>
      <c r="H51" s="134">
        <f>IF(B$17=0,0,G51/B$17)</f>
        <v>0.41129032258064518</v>
      </c>
      <c r="I51" s="95">
        <v>5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E2:I5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3FEE-3DB5-434D-826D-24AEF11A4FE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7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E7F7-FBF3-4C65-9D8D-611E18494E2D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40980-0D86-4446-9B1C-723C163FF47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6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A77C-9959-47E3-AD89-E8EEEA8BE349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EAE5A-0DE7-491F-80DA-6928FC782EBE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4F0C-C521-4AF5-B459-CA6116668AAC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954-B6E6-49CA-9537-93775BE6BAA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9A916-E978-46A5-A71F-C52AA6EC608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9A5F-1C69-4FEB-B051-A7318CEAAC49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15BF-DE68-4E31-8BAD-1F255C2D35AA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A784-761C-45D6-896B-D4DEF90D40C9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A1EC-FAF1-4DB3-B7EB-F9939A87E3CD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8D6-D65B-4801-BCCC-EB0FCB9E8C59}">
  <sheetPr codeName="Sheet1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D0EF-CC69-4F94-8434-490948463E4A}">
  <sheetPr codeName="Sheet14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0D61-48AC-4822-9A28-5D2F5F3BD630}">
  <sheetPr codeName="Sheet12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BFE0-88CA-4416-9FAF-F907B63065A3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D93D-B11B-4E9D-9D8F-2FBED2D484AB}">
  <sheetPr codeName="Sheet8"/>
  <dimension ref="A1:Q1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E296-8936-4DBC-90CD-B0B3BC0EA157}">
  <sheetPr codeName="Sheet6"/>
  <dimension ref="A1:Q2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2019-06-03T23:35:59Z</dcterms:modified>
</cp:coreProperties>
</file>