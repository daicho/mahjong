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99223E1-E015-4BFA-8D77-58DC056F40A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730" r:id="rId6"/>
    <sheet name="だいち" sheetId="4732" r:id="rId7"/>
    <sheet name="りくと" sheetId="4734" r:id="rId8"/>
    <sheet name="ただ" sheetId="4736" r:id="rId9"/>
    <sheet name="れんたろう" sheetId="4738" r:id="rId10"/>
    <sheet name="たかの" sheetId="4740" r:id="rId11"/>
    <sheet name="ぱぱ" sheetId="4742" r:id="rId12"/>
    <sheet name="まっつん" sheetId="4744" r:id="rId13"/>
    <sheet name="あさひ" sheetId="4746" r:id="rId14"/>
    <sheet name="いっしー" sheetId="4748" r:id="rId15"/>
    <sheet name="ほたに" sheetId="4750" r:id="rId16"/>
    <sheet name="ほたに2" sheetId="4751" state="hidden" r:id="rId17"/>
    <sheet name="いっしー2" sheetId="4749" state="hidden" r:id="rId18"/>
    <sheet name="あさひ2" sheetId="4747" state="hidden" r:id="rId19"/>
    <sheet name="まっつん2" sheetId="4745" state="hidden" r:id="rId20"/>
    <sheet name="ぱぱ2" sheetId="4743" state="hidden" r:id="rId21"/>
    <sheet name="たかの2" sheetId="4741" state="hidden" r:id="rId22"/>
    <sheet name="れんたろう2" sheetId="4739" state="hidden" r:id="rId23"/>
    <sheet name="ただ2" sheetId="4737" state="hidden" r:id="rId24"/>
    <sheet name="りくと2" sheetId="4735" state="hidden" r:id="rId25"/>
    <sheet name="だいち2" sheetId="4733" state="hidden" r:id="rId26"/>
    <sheet name="全体2" sheetId="473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アガリ率" sheetId="3189" state="hidden" r:id="rId32"/>
    <sheet name="放銃率" sheetId="3190" state="hidden" r:id="rId33"/>
    <sheet name="平均アガリ点" sheetId="3520" state="hidden" r:id="rId34"/>
    <sheet name="平均放銃点" sheetId="3521" state="hidden" r:id="rId35"/>
    <sheet name="ふっとび率" sheetId="3522" state="hidden" r:id="rId36"/>
    <sheet name="ふっとばし率" sheetId="3523" state="hidden" r:id="rId37"/>
    <sheet name="リーチ率" sheetId="3524" state="hidden" r:id="rId38"/>
    <sheet name="副露率" sheetId="3525" state="hidden" r:id="rId39"/>
    <sheet name="リーチ成功率" sheetId="3526" state="hidden" r:id="rId40"/>
    <sheet name="副露成功率" sheetId="3527" state="hidden" r:id="rId41"/>
    <sheet name="ツモ率" sheetId="3528" state="hidden" r:id="rId4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750" l="1"/>
  <c r="O16" i="4750"/>
  <c r="C27" i="4750"/>
  <c r="H26" i="4750"/>
  <c r="B24" i="4750"/>
  <c r="C20" i="4750"/>
  <c r="B17" i="4750"/>
  <c r="H10" i="4750" s="1"/>
  <c r="H18" i="4750"/>
  <c r="C16" i="4750"/>
  <c r="C15" i="4750"/>
  <c r="C14" i="4750"/>
  <c r="C13" i="4750"/>
  <c r="O12" i="4750"/>
  <c r="C12" i="4750"/>
  <c r="O11" i="4750"/>
  <c r="C11" i="4750"/>
  <c r="O10" i="4750"/>
  <c r="C10" i="4750"/>
  <c r="C9" i="4750"/>
  <c r="C8" i="4750"/>
  <c r="O7" i="4750"/>
  <c r="C7" i="4750"/>
  <c r="O6" i="4750"/>
  <c r="B6" i="4750"/>
  <c r="O5" i="4750"/>
  <c r="B5" i="4750"/>
  <c r="O4" i="4750"/>
  <c r="H2" i="4750"/>
  <c r="O3" i="4750"/>
  <c r="O2" i="4750"/>
  <c r="O21" i="4738"/>
  <c r="O17" i="4740"/>
  <c r="O19" i="4730"/>
  <c r="H31" i="4750" l="1"/>
  <c r="C19" i="4750"/>
  <c r="H32" i="4750"/>
  <c r="H38" i="4750"/>
  <c r="H8" i="4750"/>
  <c r="H39" i="4750"/>
  <c r="H21" i="4750"/>
  <c r="H6" i="4750"/>
  <c r="H25" i="4750"/>
  <c r="H40" i="4750"/>
  <c r="H14" i="4750"/>
  <c r="H5" i="4750"/>
  <c r="H17" i="4750"/>
  <c r="H46" i="4750"/>
  <c r="H47" i="4750"/>
  <c r="H12" i="4750"/>
  <c r="C17" i="4750"/>
  <c r="H30" i="4750"/>
  <c r="H48" i="4750"/>
  <c r="H22" i="4750"/>
  <c r="H27" i="4750"/>
  <c r="H33" i="4750"/>
  <c r="H41" i="4750"/>
  <c r="H49" i="4750"/>
  <c r="H7" i="4750"/>
  <c r="H15" i="4750"/>
  <c r="H23" i="4750"/>
  <c r="H28" i="4750"/>
  <c r="H34" i="4750"/>
  <c r="H42" i="4750"/>
  <c r="H50" i="4750"/>
  <c r="H19" i="4750"/>
  <c r="H35" i="4750"/>
  <c r="H43" i="4750"/>
  <c r="H51" i="4750"/>
  <c r="H3" i="4750"/>
  <c r="H13" i="4750"/>
  <c r="H16" i="4750"/>
  <c r="C18" i="4750"/>
  <c r="H24" i="4750"/>
  <c r="H29" i="4750"/>
  <c r="H36" i="4750"/>
  <c r="H44" i="4750"/>
  <c r="H52" i="4750"/>
  <c r="H4" i="4750"/>
  <c r="H11" i="4750"/>
  <c r="H20" i="4750"/>
  <c r="B23" i="4750"/>
  <c r="H9" i="4750"/>
  <c r="H37" i="4750"/>
  <c r="H45" i="4750"/>
  <c r="O15" i="4740"/>
  <c r="O15" i="4736"/>
  <c r="O22" i="4744"/>
  <c r="O18" i="4744"/>
  <c r="O18" i="4732" l="1"/>
  <c r="O17" i="4748"/>
  <c r="O16" i="4748" l="1"/>
  <c r="O15" i="4748"/>
  <c r="O17" i="4738"/>
  <c r="O20" i="4736"/>
  <c r="O17" i="4746" l="1"/>
  <c r="O20" i="4742"/>
  <c r="O15" i="4746"/>
  <c r="O20" i="4748"/>
  <c r="O15" i="4734"/>
  <c r="O15" i="4744"/>
  <c r="O15" i="4730"/>
  <c r="O19" i="4748"/>
  <c r="O18" i="4748"/>
  <c r="C27" i="4748"/>
  <c r="B24" i="4748"/>
  <c r="C20" i="4748"/>
  <c r="B17" i="4748"/>
  <c r="H51" i="4748" s="1"/>
  <c r="C16" i="4748"/>
  <c r="C15" i="4748"/>
  <c r="C14" i="4748"/>
  <c r="C13" i="4748"/>
  <c r="O12" i="4748"/>
  <c r="C12" i="4748"/>
  <c r="O11" i="4748"/>
  <c r="C11" i="4748"/>
  <c r="O10" i="4748"/>
  <c r="C10" i="4748"/>
  <c r="C9" i="4748"/>
  <c r="C8" i="4748"/>
  <c r="O7" i="4748"/>
  <c r="C7" i="4748"/>
  <c r="O6" i="4748"/>
  <c r="B6" i="4748"/>
  <c r="O5" i="4748"/>
  <c r="B5" i="4748"/>
  <c r="O4" i="4748"/>
  <c r="O3" i="4748"/>
  <c r="O2" i="4748"/>
  <c r="O16" i="4746"/>
  <c r="O18" i="4746"/>
  <c r="C27" i="4746"/>
  <c r="B24" i="4746"/>
  <c r="C20" i="4746"/>
  <c r="B17" i="4746"/>
  <c r="H7" i="4746" s="1"/>
  <c r="C16" i="4746"/>
  <c r="C15" i="4746"/>
  <c r="C14" i="4746"/>
  <c r="C13" i="4746"/>
  <c r="O12" i="4746"/>
  <c r="C12" i="4746"/>
  <c r="O11" i="4746"/>
  <c r="C11" i="4746"/>
  <c r="O10" i="4746"/>
  <c r="C10" i="4746"/>
  <c r="C9" i="4746"/>
  <c r="C8" i="4746"/>
  <c r="O7" i="4746"/>
  <c r="C7" i="4746"/>
  <c r="O6" i="4746"/>
  <c r="B6" i="4746"/>
  <c r="O5" i="4746"/>
  <c r="B5" i="4746"/>
  <c r="O4" i="4746"/>
  <c r="O3" i="4746"/>
  <c r="O2" i="4746"/>
  <c r="O21" i="4744"/>
  <c r="O20" i="4744"/>
  <c r="O16" i="4732"/>
  <c r="O17" i="4732"/>
  <c r="O23" i="4730"/>
  <c r="H19" i="4746" l="1"/>
  <c r="H12" i="4746"/>
  <c r="H3" i="4746"/>
  <c r="H27" i="4746"/>
  <c r="H32" i="4746"/>
  <c r="H18" i="4746"/>
  <c r="H8" i="4746"/>
  <c r="H22" i="4746"/>
  <c r="H46" i="4746"/>
  <c r="H38" i="4746"/>
  <c r="H39" i="4746"/>
  <c r="H40" i="4746"/>
  <c r="H26" i="4746"/>
  <c r="H4" i="4746"/>
  <c r="H47" i="4746"/>
  <c r="H10" i="4746"/>
  <c r="H48" i="4746"/>
  <c r="H15" i="4746"/>
  <c r="C17" i="4746"/>
  <c r="H30" i="4746"/>
  <c r="C19" i="4746"/>
  <c r="H31" i="4746"/>
  <c r="H3" i="4748"/>
  <c r="H42" i="4748"/>
  <c r="H11" i="4748"/>
  <c r="H6" i="4748"/>
  <c r="H17" i="4748"/>
  <c r="H45" i="4748"/>
  <c r="H30" i="4748"/>
  <c r="B23" i="4748"/>
  <c r="H15" i="4748"/>
  <c r="H34" i="4748"/>
  <c r="H46" i="4748"/>
  <c r="H2" i="4748"/>
  <c r="H4" i="4748"/>
  <c r="H8" i="4748"/>
  <c r="H13" i="4748"/>
  <c r="H18" i="4748"/>
  <c r="H9" i="4748"/>
  <c r="H36" i="4748"/>
  <c r="H19" i="4748"/>
  <c r="H28" i="4748"/>
  <c r="H50" i="4748"/>
  <c r="H44" i="4748"/>
  <c r="C18" i="4748"/>
  <c r="H22" i="4748"/>
  <c r="C19" i="4748"/>
  <c r="H47" i="4748"/>
  <c r="H37" i="4748"/>
  <c r="H7" i="4748"/>
  <c r="H16" i="4748"/>
  <c r="H38" i="4748"/>
  <c r="H52" i="4748"/>
  <c r="C17" i="4748"/>
  <c r="H31" i="4748"/>
  <c r="H25" i="4748"/>
  <c r="H23" i="4748"/>
  <c r="H12" i="4748"/>
  <c r="H14" i="4748"/>
  <c r="H20" i="4748"/>
  <c r="H24" i="4748"/>
  <c r="H29" i="4748"/>
  <c r="H39" i="4748"/>
  <c r="H5" i="4748"/>
  <c r="H26" i="4748"/>
  <c r="H32" i="4748"/>
  <c r="H40" i="4748"/>
  <c r="H48" i="4748"/>
  <c r="H10" i="4748"/>
  <c r="H27" i="4748"/>
  <c r="H33" i="4748"/>
  <c r="H41" i="4748"/>
  <c r="H49" i="4748"/>
  <c r="H21" i="4748"/>
  <c r="H35" i="4748"/>
  <c r="H43" i="4748"/>
  <c r="H23" i="4746"/>
  <c r="H33" i="4746"/>
  <c r="H24" i="4746"/>
  <c r="H28" i="4746"/>
  <c r="H34" i="4746"/>
  <c r="H42" i="4746"/>
  <c r="H50" i="4746"/>
  <c r="H43" i="4746"/>
  <c r="H41" i="4746"/>
  <c r="H35" i="4746"/>
  <c r="H5" i="4746"/>
  <c r="H25" i="4746"/>
  <c r="H52" i="4746"/>
  <c r="H11" i="4746"/>
  <c r="H49" i="4746"/>
  <c r="H9" i="4746"/>
  <c r="H16" i="4746"/>
  <c r="H20" i="4746"/>
  <c r="H51" i="4746"/>
  <c r="H14" i="4746"/>
  <c r="H17" i="4746"/>
  <c r="C18" i="4746"/>
  <c r="H29" i="4746"/>
  <c r="H36" i="4746"/>
  <c r="H44" i="4746"/>
  <c r="H2" i="4746"/>
  <c r="H13" i="4746"/>
  <c r="H21" i="4746"/>
  <c r="B23" i="4746"/>
  <c r="H6" i="4746"/>
  <c r="H37" i="4746"/>
  <c r="H45" i="4746"/>
  <c r="O16" i="4744" l="1"/>
  <c r="O19" i="4742"/>
  <c r="O17" i="4742"/>
  <c r="O18" i="4734"/>
  <c r="O19" i="4740" l="1"/>
  <c r="O18" i="4738"/>
  <c r="O16" i="4742"/>
  <c r="O18" i="4742"/>
  <c r="O16" i="4740" l="1"/>
  <c r="O15" i="4738"/>
  <c r="O19" i="4736"/>
  <c r="O21" i="4736"/>
  <c r="O19" i="4744"/>
  <c r="O17" i="4744"/>
  <c r="C27" i="4744"/>
  <c r="B24" i="4744"/>
  <c r="C20" i="4744"/>
  <c r="B17" i="4744"/>
  <c r="H51" i="4744" s="1"/>
  <c r="H21" i="4744"/>
  <c r="C16" i="4744"/>
  <c r="C15" i="4744"/>
  <c r="C14" i="4744"/>
  <c r="C13" i="4744"/>
  <c r="O12" i="4744"/>
  <c r="C12" i="4744"/>
  <c r="O11" i="4744"/>
  <c r="C11" i="4744"/>
  <c r="O10" i="4744"/>
  <c r="C10" i="4744"/>
  <c r="C9" i="4744"/>
  <c r="C8" i="4744"/>
  <c r="O7" i="4744"/>
  <c r="C7" i="4744"/>
  <c r="O6" i="4744"/>
  <c r="B6" i="4744"/>
  <c r="O5" i="4744"/>
  <c r="B5" i="4744"/>
  <c r="O4" i="4744"/>
  <c r="O3" i="4744"/>
  <c r="O2" i="4744"/>
  <c r="O16" i="4738"/>
  <c r="O19" i="4734"/>
  <c r="O17" i="4730"/>
  <c r="H15" i="4744" l="1"/>
  <c r="H32" i="4744"/>
  <c r="H44" i="4744"/>
  <c r="C17" i="4744"/>
  <c r="C18" i="4744"/>
  <c r="H2" i="4744"/>
  <c r="H48" i="4744"/>
  <c r="H30" i="4744"/>
  <c r="H9" i="4744"/>
  <c r="H36" i="4744"/>
  <c r="H4" i="4744"/>
  <c r="H40" i="4744"/>
  <c r="H19" i="4744"/>
  <c r="H12" i="4744"/>
  <c r="H3" i="4744"/>
  <c r="H17" i="4744"/>
  <c r="H13" i="4744"/>
  <c r="H52" i="4744"/>
  <c r="H23" i="4744"/>
  <c r="B23" i="4744"/>
  <c r="H10" i="4744"/>
  <c r="H37" i="4744"/>
  <c r="H45" i="4744"/>
  <c r="H5" i="4744"/>
  <c r="H20" i="4744"/>
  <c r="C19" i="4744"/>
  <c r="H27" i="4744"/>
  <c r="H31" i="4744"/>
  <c r="H38" i="4744"/>
  <c r="H46" i="4744"/>
  <c r="H8" i="4744"/>
  <c r="H6" i="4744"/>
  <c r="H16" i="4744"/>
  <c r="H18" i="4744"/>
  <c r="H24" i="4744"/>
  <c r="H14" i="4744"/>
  <c r="H39" i="4744"/>
  <c r="H47" i="4744"/>
  <c r="H25" i="4744"/>
  <c r="H28" i="4744"/>
  <c r="H33" i="4744"/>
  <c r="H41" i="4744"/>
  <c r="H49" i="4744"/>
  <c r="H7" i="4744"/>
  <c r="H11" i="4744"/>
  <c r="H26" i="4744"/>
  <c r="H29" i="4744"/>
  <c r="H34" i="4744"/>
  <c r="H42" i="4744"/>
  <c r="H50" i="4744"/>
  <c r="H22" i="4744"/>
  <c r="H35" i="4744"/>
  <c r="H43" i="4744"/>
  <c r="O16" i="4736" l="1"/>
  <c r="O21" i="4742"/>
  <c r="O15" i="4742"/>
  <c r="C27" i="4742"/>
  <c r="B24" i="4742"/>
  <c r="C20" i="4742"/>
  <c r="B17" i="4742"/>
  <c r="H51" i="4742" s="1"/>
  <c r="C16" i="4742"/>
  <c r="C15" i="4742"/>
  <c r="C14" i="4742"/>
  <c r="C13" i="4742"/>
  <c r="O12" i="4742"/>
  <c r="C12" i="4742"/>
  <c r="O11" i="4742"/>
  <c r="C11" i="4742"/>
  <c r="O10" i="4742"/>
  <c r="C10" i="4742"/>
  <c r="C9" i="4742"/>
  <c r="C8" i="4742"/>
  <c r="O7" i="4742"/>
  <c r="C7" i="4742"/>
  <c r="O6" i="4742"/>
  <c r="B6" i="4742"/>
  <c r="O5" i="4742"/>
  <c r="B5" i="4742"/>
  <c r="O4" i="4742"/>
  <c r="O3" i="4742"/>
  <c r="O2" i="4742"/>
  <c r="O15" i="4732"/>
  <c r="O18" i="4730"/>
  <c r="O18" i="4740"/>
  <c r="O17" i="4734"/>
  <c r="O20" i="4734"/>
  <c r="O20" i="4738"/>
  <c r="O20" i="4740"/>
  <c r="O21" i="4740"/>
  <c r="H52" i="4740"/>
  <c r="H30" i="4740"/>
  <c r="C27" i="4740"/>
  <c r="B24" i="4740"/>
  <c r="C20" i="4740"/>
  <c r="B17" i="4740"/>
  <c r="H51" i="4740" s="1"/>
  <c r="C16" i="4740"/>
  <c r="C15" i="4740"/>
  <c r="C14" i="4740"/>
  <c r="C13" i="4740"/>
  <c r="O12" i="4740"/>
  <c r="C12" i="4740"/>
  <c r="O11" i="4740"/>
  <c r="C11" i="4740"/>
  <c r="O10" i="4740"/>
  <c r="C10" i="4740"/>
  <c r="C9" i="4740"/>
  <c r="C8" i="4740"/>
  <c r="O7" i="4740"/>
  <c r="C7" i="4740"/>
  <c r="O6" i="4740"/>
  <c r="B6" i="4740"/>
  <c r="O5" i="4740"/>
  <c r="B5" i="4740"/>
  <c r="O4" i="4740"/>
  <c r="O3" i="4740"/>
  <c r="O2" i="4740"/>
  <c r="O22" i="4738"/>
  <c r="O19" i="4738"/>
  <c r="C27" i="4738"/>
  <c r="B24" i="4738"/>
  <c r="C20" i="4738"/>
  <c r="B17" i="4738"/>
  <c r="H52" i="4738" s="1"/>
  <c r="C16" i="4738"/>
  <c r="C15" i="4738"/>
  <c r="C14" i="4738"/>
  <c r="C13" i="4738"/>
  <c r="O12" i="4738"/>
  <c r="C12" i="4738"/>
  <c r="O11" i="4738"/>
  <c r="C11" i="4738"/>
  <c r="O10" i="4738"/>
  <c r="C10" i="4738"/>
  <c r="C9" i="4738"/>
  <c r="C8" i="4738"/>
  <c r="O7" i="4738"/>
  <c r="C7" i="4738"/>
  <c r="O6" i="4738"/>
  <c r="B6" i="4738"/>
  <c r="O5" i="4738"/>
  <c r="B5" i="4738"/>
  <c r="O4" i="4738"/>
  <c r="O3" i="4738"/>
  <c r="O2" i="4738"/>
  <c r="O20" i="4732"/>
  <c r="O21" i="4732"/>
  <c r="O22" i="4730"/>
  <c r="O20" i="4730"/>
  <c r="H19" i="4740" l="1"/>
  <c r="H15" i="4738"/>
  <c r="H15" i="4740"/>
  <c r="C17" i="4742"/>
  <c r="H9" i="4742"/>
  <c r="C18" i="4742"/>
  <c r="H5" i="4742"/>
  <c r="H44" i="4742"/>
  <c r="H29" i="4742"/>
  <c r="H3" i="4742"/>
  <c r="H36" i="4742"/>
  <c r="H40" i="4742"/>
  <c r="H2" i="4742"/>
  <c r="H16" i="4742"/>
  <c r="H48" i="4742"/>
  <c r="H7" i="4742"/>
  <c r="H32" i="4742"/>
  <c r="H19" i="4742"/>
  <c r="H12" i="4742"/>
  <c r="H21" i="4742"/>
  <c r="H27" i="4742"/>
  <c r="H52" i="4742"/>
  <c r="H22" i="4742"/>
  <c r="B23" i="4742"/>
  <c r="H8" i="4742"/>
  <c r="H37" i="4742"/>
  <c r="H45" i="4742"/>
  <c r="H6" i="4742"/>
  <c r="H20" i="4742"/>
  <c r="C19" i="4742"/>
  <c r="H26" i="4742"/>
  <c r="H30" i="4742"/>
  <c r="H38" i="4742"/>
  <c r="H46" i="4742"/>
  <c r="H14" i="4742"/>
  <c r="H4" i="4742"/>
  <c r="H11" i="4742"/>
  <c r="H17" i="4742"/>
  <c r="H23" i="4742"/>
  <c r="H31" i="4742"/>
  <c r="H39" i="4742"/>
  <c r="H47" i="4742"/>
  <c r="H24" i="4742"/>
  <c r="H13" i="4742"/>
  <c r="H33" i="4742"/>
  <c r="H41" i="4742"/>
  <c r="H49" i="4742"/>
  <c r="H10" i="4742"/>
  <c r="H18" i="4742"/>
  <c r="H25" i="4742"/>
  <c r="H28" i="4742"/>
  <c r="H34" i="4742"/>
  <c r="H42" i="4742"/>
  <c r="H50" i="4742"/>
  <c r="H15" i="4742"/>
  <c r="H35" i="4742"/>
  <c r="H43" i="4742"/>
  <c r="H3" i="4740"/>
  <c r="H28" i="4740"/>
  <c r="H7" i="4740"/>
  <c r="H32" i="4740"/>
  <c r="H36" i="4740"/>
  <c r="H17" i="4740"/>
  <c r="H44" i="4740"/>
  <c r="H10" i="4740"/>
  <c r="C17" i="4740"/>
  <c r="C18" i="4740"/>
  <c r="H5" i="4740"/>
  <c r="H2" i="4740"/>
  <c r="H40" i="4740"/>
  <c r="H22" i="4740"/>
  <c r="H48" i="4740"/>
  <c r="H24" i="4740"/>
  <c r="B23" i="4740"/>
  <c r="H9" i="4740"/>
  <c r="H37" i="4740"/>
  <c r="H45" i="4740"/>
  <c r="H4" i="4740"/>
  <c r="H23" i="4740"/>
  <c r="C19" i="4740"/>
  <c r="H27" i="4740"/>
  <c r="H31" i="4740"/>
  <c r="H38" i="4740"/>
  <c r="H46" i="4740"/>
  <c r="H11" i="4740"/>
  <c r="H6" i="4740"/>
  <c r="H14" i="4740"/>
  <c r="H20" i="4740"/>
  <c r="H25" i="4740"/>
  <c r="H18" i="4740"/>
  <c r="H39" i="4740"/>
  <c r="H47" i="4740"/>
  <c r="H12" i="4740"/>
  <c r="H13" i="4740"/>
  <c r="H33" i="4740"/>
  <c r="H41" i="4740"/>
  <c r="H49" i="4740"/>
  <c r="H8" i="4740"/>
  <c r="H21" i="4740"/>
  <c r="H26" i="4740"/>
  <c r="H29" i="4740"/>
  <c r="H34" i="4740"/>
  <c r="H42" i="4740"/>
  <c r="H50" i="4740"/>
  <c r="H16" i="4740"/>
  <c r="H35" i="4740"/>
  <c r="H43" i="4740"/>
  <c r="H11" i="4738"/>
  <c r="H8" i="4738"/>
  <c r="H22" i="4738"/>
  <c r="H31" i="4738"/>
  <c r="H19" i="4738"/>
  <c r="H4" i="4738"/>
  <c r="H41" i="4738"/>
  <c r="H49" i="4738"/>
  <c r="C17" i="4738"/>
  <c r="C18" i="4738"/>
  <c r="H37" i="4738"/>
  <c r="H3" i="4738"/>
  <c r="H13" i="4738"/>
  <c r="H45" i="4738"/>
  <c r="H2" i="4738"/>
  <c r="H20" i="4738"/>
  <c r="H29" i="4738"/>
  <c r="H17" i="4738"/>
  <c r="H25" i="4738"/>
  <c r="B23" i="4738"/>
  <c r="H9" i="4738"/>
  <c r="H38" i="4738"/>
  <c r="H46" i="4738"/>
  <c r="H5" i="4738"/>
  <c r="H23" i="4738"/>
  <c r="C19" i="4738"/>
  <c r="H28" i="4738"/>
  <c r="H32" i="4738"/>
  <c r="H39" i="4738"/>
  <c r="H47" i="4738"/>
  <c r="H10" i="4738"/>
  <c r="H7" i="4738"/>
  <c r="H12" i="4738"/>
  <c r="H21" i="4738"/>
  <c r="H26" i="4738"/>
  <c r="H33" i="4738"/>
  <c r="H40" i="4738"/>
  <c r="H48" i="4738"/>
  <c r="H18" i="4738"/>
  <c r="H14" i="4738"/>
  <c r="H34" i="4738"/>
  <c r="H42" i="4738"/>
  <c r="H50" i="4738"/>
  <c r="H6" i="4738"/>
  <c r="H16" i="4738"/>
  <c r="H27" i="4738"/>
  <c r="H30" i="4738"/>
  <c r="H35" i="4738"/>
  <c r="H43" i="4738"/>
  <c r="H51" i="4738"/>
  <c r="H24" i="4738"/>
  <c r="H36" i="4738"/>
  <c r="H44" i="4738"/>
  <c r="O17" i="4736" l="1"/>
  <c r="O18" i="4736"/>
  <c r="C27" i="4736"/>
  <c r="B24" i="4736"/>
  <c r="C20" i="4736"/>
  <c r="B17" i="4736"/>
  <c r="H5" i="4736" s="1"/>
  <c r="C16" i="4736"/>
  <c r="C15" i="4736"/>
  <c r="C14" i="4736"/>
  <c r="C13" i="4736"/>
  <c r="O12" i="4736"/>
  <c r="C12" i="4736"/>
  <c r="O11" i="4736"/>
  <c r="C11" i="4736"/>
  <c r="O10" i="4736"/>
  <c r="C10" i="4736"/>
  <c r="C9" i="4736"/>
  <c r="C8" i="4736"/>
  <c r="O7" i="4736"/>
  <c r="C7" i="4736"/>
  <c r="O6" i="4736"/>
  <c r="B6" i="4736"/>
  <c r="O5" i="4736"/>
  <c r="B5" i="4736"/>
  <c r="O4" i="4736"/>
  <c r="O3" i="4736"/>
  <c r="O2" i="4736"/>
  <c r="O21" i="4734"/>
  <c r="O16" i="4734"/>
  <c r="C27" i="4734"/>
  <c r="B24" i="4734"/>
  <c r="C20" i="4734"/>
  <c r="B17" i="4734"/>
  <c r="H5" i="4734" s="1"/>
  <c r="C16" i="4734"/>
  <c r="C15" i="4734"/>
  <c r="C14" i="4734"/>
  <c r="C13" i="4734"/>
  <c r="O12" i="4734"/>
  <c r="C12" i="4734"/>
  <c r="O11" i="4734"/>
  <c r="C11" i="4734"/>
  <c r="O10" i="4734"/>
  <c r="C10" i="4734"/>
  <c r="C9" i="4734"/>
  <c r="C8" i="4734"/>
  <c r="O7" i="4734"/>
  <c r="C7" i="4734"/>
  <c r="O6" i="4734"/>
  <c r="B6" i="4734"/>
  <c r="O5" i="4734"/>
  <c r="B5" i="4734"/>
  <c r="O4" i="4734"/>
  <c r="O3" i="4734"/>
  <c r="O2" i="4734"/>
  <c r="O24" i="4730"/>
  <c r="O19" i="4732"/>
  <c r="O22" i="4732"/>
  <c r="C27" i="4732"/>
  <c r="B24" i="4732"/>
  <c r="C20" i="4732"/>
  <c r="B17" i="4732"/>
  <c r="H5" i="4732" s="1"/>
  <c r="C16" i="4732"/>
  <c r="C15" i="4732"/>
  <c r="C14" i="4732"/>
  <c r="C13" i="4732"/>
  <c r="O12" i="4732"/>
  <c r="C12" i="4732"/>
  <c r="O11" i="4732"/>
  <c r="C11" i="4732"/>
  <c r="O10" i="4732"/>
  <c r="C10" i="4732"/>
  <c r="C9" i="4732"/>
  <c r="C8" i="4732"/>
  <c r="O7" i="4732"/>
  <c r="C7" i="4732"/>
  <c r="O6" i="4732"/>
  <c r="B6" i="4732"/>
  <c r="O5" i="4732"/>
  <c r="B5" i="4732"/>
  <c r="O4" i="4732"/>
  <c r="O3" i="4732"/>
  <c r="O2" i="4732"/>
  <c r="O16" i="4730"/>
  <c r="O21" i="4730"/>
  <c r="C27" i="4730"/>
  <c r="B24" i="4730"/>
  <c r="C20" i="4730"/>
  <c r="B17" i="4730"/>
  <c r="H50" i="4730" s="1"/>
  <c r="C16" i="4730"/>
  <c r="C15" i="4730"/>
  <c r="C14" i="4730"/>
  <c r="C13" i="4730"/>
  <c r="O12" i="4730"/>
  <c r="C12" i="4730"/>
  <c r="O11" i="4730"/>
  <c r="C11" i="4730"/>
  <c r="O10" i="4730"/>
  <c r="C10" i="4730"/>
  <c r="C9" i="4730"/>
  <c r="C8" i="4730"/>
  <c r="O7" i="4730"/>
  <c r="C7" i="4730"/>
  <c r="O6" i="4730"/>
  <c r="B6" i="4730"/>
  <c r="O5" i="4730"/>
  <c r="B5" i="4730"/>
  <c r="O4" i="4730"/>
  <c r="O3" i="4730"/>
  <c r="O2" i="4730"/>
  <c r="H23" i="4734" l="1"/>
  <c r="H33" i="4732"/>
  <c r="H20" i="4732"/>
  <c r="H3" i="4732"/>
  <c r="H18" i="4732"/>
  <c r="H7" i="4732"/>
  <c r="H10" i="4732"/>
  <c r="H16" i="4732"/>
  <c r="H14" i="4736"/>
  <c r="H27" i="4736"/>
  <c r="H6" i="4736"/>
  <c r="H2" i="4732"/>
  <c r="H30" i="4732"/>
  <c r="H11" i="4736"/>
  <c r="H30" i="4736"/>
  <c r="H32" i="4736"/>
  <c r="H19" i="4736"/>
  <c r="H40" i="4736"/>
  <c r="H7" i="4736"/>
  <c r="H38" i="4736"/>
  <c r="H2" i="4736"/>
  <c r="H26" i="4736"/>
  <c r="H46" i="4736"/>
  <c r="H12" i="4736"/>
  <c r="C17" i="4736"/>
  <c r="H4" i="4736"/>
  <c r="C19" i="4736"/>
  <c r="H16" i="4736"/>
  <c r="H20" i="4736"/>
  <c r="H48" i="4736"/>
  <c r="H17" i="4736"/>
  <c r="H23" i="4736"/>
  <c r="H31" i="4736"/>
  <c r="H39" i="4736"/>
  <c r="H47" i="4736"/>
  <c r="H13" i="4736"/>
  <c r="H33" i="4736"/>
  <c r="H49" i="4736"/>
  <c r="H9" i="4736"/>
  <c r="H18" i="4736"/>
  <c r="H25" i="4736"/>
  <c r="H28" i="4736"/>
  <c r="H34" i="4736"/>
  <c r="H42" i="4736"/>
  <c r="H50" i="4736"/>
  <c r="H24" i="4736"/>
  <c r="H41" i="4736"/>
  <c r="H21" i="4736"/>
  <c r="H35" i="4736"/>
  <c r="H43" i="4736"/>
  <c r="H51" i="4736"/>
  <c r="C18" i="4736"/>
  <c r="H15" i="4736"/>
  <c r="H29" i="4736"/>
  <c r="H36" i="4736"/>
  <c r="H44" i="4736"/>
  <c r="H52" i="4736"/>
  <c r="H3" i="4736"/>
  <c r="H8" i="4736"/>
  <c r="H22" i="4736"/>
  <c r="B23" i="4736"/>
  <c r="H10" i="4736"/>
  <c r="H37" i="4736"/>
  <c r="H45" i="4736"/>
  <c r="H31" i="4734"/>
  <c r="H6" i="4734"/>
  <c r="C18" i="4734"/>
  <c r="H27" i="4734"/>
  <c r="H41" i="4734"/>
  <c r="H33" i="4734"/>
  <c r="H4" i="4734"/>
  <c r="C19" i="4734"/>
  <c r="H20" i="4734"/>
  <c r="H24" i="4734"/>
  <c r="H47" i="4734"/>
  <c r="C17" i="4734"/>
  <c r="H26" i="4734"/>
  <c r="H39" i="4734"/>
  <c r="H22" i="4734"/>
  <c r="H2" i="4734"/>
  <c r="H49" i="4734"/>
  <c r="H10" i="4734"/>
  <c r="H7" i="4734"/>
  <c r="H15" i="4734"/>
  <c r="H17" i="4734"/>
  <c r="H29" i="4734"/>
  <c r="H14" i="4734"/>
  <c r="H40" i="4734"/>
  <c r="H48" i="4734"/>
  <c r="H13" i="4734"/>
  <c r="H50" i="4734"/>
  <c r="H8" i="4734"/>
  <c r="H21" i="4734"/>
  <c r="H30" i="4734"/>
  <c r="H32" i="4734"/>
  <c r="H35" i="4734"/>
  <c r="H43" i="4734"/>
  <c r="H51" i="4734"/>
  <c r="H12" i="4734"/>
  <c r="H34" i="4734"/>
  <c r="H42" i="4734"/>
  <c r="H18" i="4734"/>
  <c r="H36" i="4734"/>
  <c r="H44" i="4734"/>
  <c r="H52" i="4734"/>
  <c r="H19" i="4734"/>
  <c r="H25" i="4734"/>
  <c r="H37" i="4734"/>
  <c r="H45" i="4734"/>
  <c r="H16" i="4734"/>
  <c r="H3" i="4734"/>
  <c r="H9" i="4734"/>
  <c r="H28" i="4734"/>
  <c r="B23" i="4734"/>
  <c r="H11" i="4734"/>
  <c r="H38" i="4734"/>
  <c r="H46" i="4734"/>
  <c r="H39" i="4732"/>
  <c r="H38" i="4732"/>
  <c r="H28" i="4732"/>
  <c r="H40" i="4732"/>
  <c r="H46" i="4732"/>
  <c r="C17" i="4732"/>
  <c r="H47" i="4732"/>
  <c r="H25" i="4732"/>
  <c r="H31" i="4732"/>
  <c r="H13" i="4732"/>
  <c r="C19" i="4732"/>
  <c r="H23" i="4732"/>
  <c r="H48" i="4732"/>
  <c r="H15" i="4732"/>
  <c r="H11" i="4732"/>
  <c r="H34" i="4732"/>
  <c r="H41" i="4732"/>
  <c r="H49" i="4732"/>
  <c r="H9" i="4732"/>
  <c r="H19" i="4732"/>
  <c r="H29" i="4732"/>
  <c r="H22" i="4732"/>
  <c r="H35" i="4732"/>
  <c r="H42" i="4732"/>
  <c r="H50" i="4732"/>
  <c r="H21" i="4732"/>
  <c r="H24" i="4732"/>
  <c r="H43" i="4732"/>
  <c r="H51" i="4732"/>
  <c r="H6" i="4732"/>
  <c r="H17" i="4732"/>
  <c r="H26" i="4732"/>
  <c r="C18" i="4732"/>
  <c r="H14" i="4732"/>
  <c r="H32" i="4732"/>
  <c r="H36" i="4732"/>
  <c r="H44" i="4732"/>
  <c r="H52" i="4732"/>
  <c r="H4" i="4732"/>
  <c r="H12" i="4732"/>
  <c r="H27" i="4732"/>
  <c r="B23" i="4732"/>
  <c r="H8" i="4732"/>
  <c r="H37" i="4732"/>
  <c r="H45" i="4732"/>
  <c r="H26" i="4730"/>
  <c r="H16" i="4730"/>
  <c r="H17" i="4730"/>
  <c r="H41" i="4730"/>
  <c r="H2" i="4730"/>
  <c r="C17" i="4730"/>
  <c r="H40" i="4730"/>
  <c r="H7" i="4730"/>
  <c r="H3" i="4730"/>
  <c r="H48" i="4730"/>
  <c r="H22" i="4730"/>
  <c r="H24" i="4730"/>
  <c r="H13" i="4730"/>
  <c r="H33" i="4730"/>
  <c r="H10" i="4730"/>
  <c r="H49" i="4730"/>
  <c r="H15" i="4730"/>
  <c r="H12" i="4730"/>
  <c r="H35" i="4730"/>
  <c r="H42" i="4730"/>
  <c r="H8" i="4730"/>
  <c r="H19" i="4730"/>
  <c r="H34" i="4730"/>
  <c r="H27" i="4730"/>
  <c r="H36" i="4730"/>
  <c r="H43" i="4730"/>
  <c r="H51" i="4730"/>
  <c r="H18" i="4730"/>
  <c r="H30" i="4730"/>
  <c r="H44" i="4730"/>
  <c r="H52" i="4730"/>
  <c r="H6" i="4730"/>
  <c r="H21" i="4730"/>
  <c r="H31" i="4730"/>
  <c r="C18" i="4730"/>
  <c r="H14" i="4730"/>
  <c r="H28" i="4730"/>
  <c r="H37" i="4730"/>
  <c r="H45" i="4730"/>
  <c r="H20" i="4730"/>
  <c r="H4" i="4730"/>
  <c r="H11" i="4730"/>
  <c r="H32" i="4730"/>
  <c r="B23" i="4730"/>
  <c r="H9" i="4730"/>
  <c r="H38" i="4730"/>
  <c r="H46" i="4730"/>
  <c r="H5" i="4730"/>
  <c r="H23" i="4730"/>
  <c r="C19" i="4730"/>
  <c r="H25" i="4730"/>
  <c r="H29" i="4730"/>
  <c r="H39" i="4730"/>
  <c r="H47" i="473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<sst xmlns="http://schemas.openxmlformats.org/spreadsheetml/2006/main" count="2663" uniqueCount="207">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</sst>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全体!$K$2:$K$212</c:f>
              <c:numCache>
                <c:formatCode>General</c:formatCode>
                <c:ptCount val="2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</c:numCache>
            </c:numRef>
          </c:xVal>
          <c:yVal>
            <c:numRef>
              <c:f>全体!$L$2:$L$212</c:f>
              <c:numCache>
                <c:formatCode>\+0.0;\-0.0;\±0</c:formatCode>
                <c:ptCount val="21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8-460A-AEDE-82D027213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-23.80952380952381</c:v>
                </c:pt>
                <c:pt idx="1">
                  <c:v>-9.6618357487922708</c:v>
                </c:pt>
                <c:pt idx="2">
                  <c:v>37.037037037037038</c:v>
                </c:pt>
                <c:pt idx="3">
                  <c:v>-5.9523809523809526</c:v>
                </c:pt>
                <c:pt idx="4">
                  <c:v>-31.446540880503143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6-4DD0-91AF-7AA21C22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だいち!$L$2:$L$49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3D1-B82F-DA3ABB100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4572.3404255319147</c:v>
                </c:pt>
                <c:pt idx="1">
                  <c:v>3910.8695652173915</c:v>
                </c:pt>
                <c:pt idx="2">
                  <c:v>3173.8095238095239</c:v>
                </c:pt>
                <c:pt idx="3">
                  <c:v>4541.666666666667</c:v>
                </c:pt>
                <c:pt idx="4">
                  <c:v>2451.5151515151515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1-4988-BA13-A67E704C4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りくと!$L$2:$L$51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7-4A20-9ED0-CE7A5E474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759.18367346938771</c:v>
                </c:pt>
                <c:pt idx="1">
                  <c:v>-908.33333333333337</c:v>
                </c:pt>
                <c:pt idx="2">
                  <c:v>-908.695652173913</c:v>
                </c:pt>
                <c:pt idx="3">
                  <c:v>195</c:v>
                </c:pt>
                <c:pt idx="4">
                  <c:v>973.68421052631584</c:v>
                </c:pt>
                <c:pt idx="5">
                  <c:v>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D-4DFB-AEB6-AD6BC00AF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BB-44EC-B4E4-C2B842E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-3480.9523809523807</c:v>
                </c:pt>
                <c:pt idx="1">
                  <c:v>-4866.666666666667</c:v>
                </c:pt>
                <c:pt idx="2">
                  <c:v>-5977.7777777777774</c:v>
                </c:pt>
                <c:pt idx="3">
                  <c:v>-2293.3333333333335</c:v>
                </c:pt>
                <c:pt idx="4">
                  <c:v>-2640</c:v>
                </c:pt>
                <c:pt idx="5">
                  <c:v>-2246.6666666666665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8-4B65-B734-D96A13A8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0-4B71-9119-29E1FC899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235.48387096774192</c:v>
                </c:pt>
                <c:pt idx="1">
                  <c:v>483.87096774193549</c:v>
                </c:pt>
                <c:pt idx="2">
                  <c:v>1337.9310344827586</c:v>
                </c:pt>
                <c:pt idx="3">
                  <c:v>-2637.037037037037</c:v>
                </c:pt>
                <c:pt idx="4">
                  <c:v>-1224</c:v>
                </c:pt>
                <c:pt idx="5">
                  <c:v>730.43478260869563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8-42DC-9D9E-3529F93DA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たかの!$L$2:$L$23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2-46AF-82AC-604457E2D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-123.80952380952381</c:v>
                </c:pt>
                <c:pt idx="1">
                  <c:v>2671.4285714285716</c:v>
                </c:pt>
                <c:pt idx="2">
                  <c:v>-541.17647058823525</c:v>
                </c:pt>
                <c:pt idx="3">
                  <c:v>2240</c:v>
                </c:pt>
                <c:pt idx="4">
                  <c:v>-3606.6666666666665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B-444A-A04B-DA8A7ED21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A8-474D-A3E8-ADA503F6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C-4614-A3BC-3D6BCA37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7-4D9F-985C-8287BBFD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-5923.0769230769229</c:v>
                </c:pt>
                <c:pt idx="1">
                  <c:v>-3966.6666666666665</c:v>
                </c:pt>
                <c:pt idx="2">
                  <c:v>1063.6363636363637</c:v>
                </c:pt>
                <c:pt idx="3">
                  <c:v>-1509.090909090909</c:v>
                </c:pt>
                <c:pt idx="4">
                  <c:v>-1140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8-4CC5-B337-3B9765821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C-44CC-A9AF-3CC1C81C5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A-4A92-A282-82B06EF53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F3-41D2-BD1F-E3C77053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9-439C-BA71-97706D966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E-4B51-9CC0-F46E3F87A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7-444F-9D86-D6AC6A8B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8"/>
      <c r="C1" s="149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50">
        <v>0</v>
      </c>
      <c r="C2" s="151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2">
        <v>0</v>
      </c>
      <c r="C3" s="153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4">
        <v>0</v>
      </c>
      <c r="C4" s="155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4">
        <v>0</v>
      </c>
      <c r="C25" s="145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2">
        <v>0</v>
      </c>
      <c r="C26" s="143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43570.006145833337</v>
      </c>
      <c r="C15" s="30" t="s">
        <v>132</v>
      </c>
      <c r="D15" s="30" t="s">
        <v>133</v>
      </c>
      <c r="E15" s="30" t="s">
        <v>172</v>
      </c>
      <c r="F15" s="30" t="s">
        <v>177</v>
      </c>
      <c r="G15" s="30" t="s">
        <v>178</v>
      </c>
      <c r="H15" s="30" t="s">
        <v>190</v>
      </c>
    </row>
    <row r="16" spans="1:10" x14ac:dyDescent="0.4">
      <c r="A16" s="30" t="s">
        <v>203</v>
      </c>
      <c r="B16" s="31">
        <v>43571.043113425927</v>
      </c>
      <c r="C16" s="30" t="s">
        <v>132</v>
      </c>
      <c r="D16" s="30" t="s">
        <v>133</v>
      </c>
    </row>
    <row r="17" spans="1:5" x14ac:dyDescent="0.4">
      <c r="A17" s="30" t="s">
        <v>204</v>
      </c>
      <c r="B17" s="31">
        <v>43573.057604166665</v>
      </c>
      <c r="C17" s="30" t="s">
        <v>132</v>
      </c>
      <c r="D17" s="30" t="s">
        <v>133</v>
      </c>
      <c r="E17" s="30" t="s">
        <v>172</v>
      </c>
    </row>
    <row r="18" spans="1:5" x14ac:dyDescent="0.4">
      <c r="A18" s="30" t="s">
        <v>206</v>
      </c>
      <c r="B18" s="31">
        <v>43573.849212962959</v>
      </c>
      <c r="C18" s="30" t="s">
        <v>132</v>
      </c>
      <c r="D18" s="30" t="s">
        <v>133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  <row r="11" spans="1:1" x14ac:dyDescent="0.4">
      <c r="A11" t="s">
        <v>205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164</v>
      </c>
      <c r="K1" s="159"/>
      <c r="L1" s="158" t="s">
        <v>151</v>
      </c>
      <c r="M1" s="159"/>
      <c r="N1" s="158" t="s">
        <v>152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143</v>
      </c>
      <c r="W1" s="159"/>
      <c r="X1" s="158" t="s">
        <v>125</v>
      </c>
      <c r="Y1" s="159"/>
      <c r="Z1" s="158" t="s">
        <v>122</v>
      </c>
      <c r="AA1" s="159"/>
      <c r="AB1" s="158" t="s">
        <v>128</v>
      </c>
      <c r="AC1" s="159"/>
      <c r="AD1" s="158" t="s">
        <v>153</v>
      </c>
      <c r="AE1" s="159"/>
      <c r="AF1" s="158" t="s">
        <v>146</v>
      </c>
      <c r="AG1" s="159"/>
      <c r="AH1" s="158" t="s">
        <v>155</v>
      </c>
      <c r="AI1" s="159"/>
      <c r="AJ1" s="158" t="s">
        <v>165</v>
      </c>
      <c r="AK1" s="159"/>
    </row>
    <row r="2" spans="1:37" x14ac:dyDescent="0.4">
      <c r="A2" s="72" t="s">
        <v>163</v>
      </c>
      <c r="B2" s="160"/>
      <c r="C2" s="161"/>
      <c r="D2" s="160"/>
      <c r="E2" s="161"/>
      <c r="F2" s="162">
        <v>0.99614853629436106</v>
      </c>
      <c r="G2" s="163"/>
      <c r="H2" s="162">
        <v>0.96201575526869043</v>
      </c>
      <c r="I2" s="163"/>
      <c r="J2" s="162">
        <v>0.97238028683322475</v>
      </c>
      <c r="K2" s="163"/>
      <c r="L2" s="162">
        <v>0.92202792453151206</v>
      </c>
      <c r="M2" s="163"/>
      <c r="N2" s="162">
        <v>0.80574018910596967</v>
      </c>
      <c r="O2" s="163"/>
      <c r="P2" s="162">
        <v>0.6560579280158082</v>
      </c>
      <c r="Q2" s="163"/>
      <c r="R2" s="162">
        <v>0.45007098829690106</v>
      </c>
      <c r="S2" s="163"/>
      <c r="T2" s="162">
        <v>0.81487218678859019</v>
      </c>
      <c r="U2" s="163"/>
      <c r="V2" s="162">
        <v>0.95235448525897681</v>
      </c>
      <c r="W2" s="163"/>
      <c r="X2" s="162">
        <v>0.70663504399785759</v>
      </c>
      <c r="Y2" s="163"/>
      <c r="Z2" s="162">
        <v>0.49232139580738316</v>
      </c>
      <c r="AA2" s="163"/>
      <c r="AB2" s="162">
        <v>0.8542322555342321</v>
      </c>
      <c r="AC2" s="163"/>
      <c r="AD2" s="162">
        <v>0.80840877375022502</v>
      </c>
      <c r="AE2" s="163"/>
      <c r="AF2" s="162">
        <v>-0.55816686185816133</v>
      </c>
      <c r="AG2" s="163"/>
      <c r="AH2" s="162">
        <v>0.93420555675241113</v>
      </c>
      <c r="AI2" s="163"/>
      <c r="AJ2" s="162">
        <v>-9.7701073533772529E-3</v>
      </c>
      <c r="AK2" s="163"/>
    </row>
    <row r="3" spans="1:37" x14ac:dyDescent="0.4">
      <c r="A3" s="74">
        <v>1</v>
      </c>
      <c r="B3" s="75" t="s">
        <v>129</v>
      </c>
      <c r="C3" s="76">
        <v>1264.5</v>
      </c>
      <c r="D3" s="77" t="s">
        <v>129</v>
      </c>
      <c r="E3" s="98">
        <v>26.904255319148938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0.42349726775956287</v>
      </c>
      <c r="N3" s="77" t="s">
        <v>188</v>
      </c>
      <c r="O3" s="80">
        <v>0.10526315789473684</v>
      </c>
      <c r="P3" s="77" t="s">
        <v>205</v>
      </c>
      <c r="Q3" s="81">
        <v>12000</v>
      </c>
      <c r="R3" s="77" t="s">
        <v>205</v>
      </c>
      <c r="S3" s="81">
        <v>-3250</v>
      </c>
      <c r="T3" s="77" t="s">
        <v>188</v>
      </c>
      <c r="U3" s="79">
        <v>0</v>
      </c>
      <c r="V3" s="77" t="s">
        <v>129</v>
      </c>
      <c r="W3" s="79">
        <v>0.23404255319148937</v>
      </c>
      <c r="X3" s="77" t="s">
        <v>129</v>
      </c>
      <c r="Y3" s="80">
        <v>0.33606557377049179</v>
      </c>
      <c r="Z3" s="77" t="s">
        <v>175</v>
      </c>
      <c r="AA3" s="80">
        <v>0.36416184971098264</v>
      </c>
      <c r="AB3" s="77" t="s">
        <v>189</v>
      </c>
      <c r="AC3" s="80">
        <v>0.7142857142857143</v>
      </c>
      <c r="AD3" s="77" t="s">
        <v>129</v>
      </c>
      <c r="AE3" s="80">
        <v>0.54838709677419351</v>
      </c>
      <c r="AF3" s="77" t="s">
        <v>176</v>
      </c>
      <c r="AG3" s="80">
        <v>0.5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175</v>
      </c>
      <c r="C4" s="85">
        <v>89.9</v>
      </c>
      <c r="D4" s="86" t="s">
        <v>188</v>
      </c>
      <c r="E4" s="99">
        <v>20.333333333333332</v>
      </c>
      <c r="F4" s="86" t="s">
        <v>129</v>
      </c>
      <c r="G4" s="87">
        <v>1.4893617021276595</v>
      </c>
      <c r="H4" s="86" t="s">
        <v>129</v>
      </c>
      <c r="I4" s="88">
        <v>0.63829787234042556</v>
      </c>
      <c r="J4" s="86" t="s">
        <v>205</v>
      </c>
      <c r="K4" s="88">
        <v>0</v>
      </c>
      <c r="L4" s="86" t="s">
        <v>175</v>
      </c>
      <c r="M4" s="89">
        <v>0.35260115606936415</v>
      </c>
      <c r="N4" s="86" t="s">
        <v>175</v>
      </c>
      <c r="O4" s="89">
        <v>0.13294797687861271</v>
      </c>
      <c r="P4" s="86" t="s">
        <v>129</v>
      </c>
      <c r="Q4" s="90">
        <v>9387.0967741935492</v>
      </c>
      <c r="R4" s="86" t="s">
        <v>188</v>
      </c>
      <c r="S4" s="90">
        <v>-5150</v>
      </c>
      <c r="T4" s="86" t="s">
        <v>205</v>
      </c>
      <c r="U4" s="88">
        <v>0</v>
      </c>
      <c r="V4" s="86" t="s">
        <v>147</v>
      </c>
      <c r="W4" s="88">
        <v>0.1</v>
      </c>
      <c r="X4" s="86" t="s">
        <v>130</v>
      </c>
      <c r="Y4" s="89">
        <v>0.27872860635696822</v>
      </c>
      <c r="Z4" s="86" t="s">
        <v>180</v>
      </c>
      <c r="AA4" s="89">
        <v>0.25531914893617019</v>
      </c>
      <c r="AB4" s="86" t="s">
        <v>129</v>
      </c>
      <c r="AC4" s="89">
        <v>0.65040650406504064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175</v>
      </c>
      <c r="E5" s="99">
        <v>4.2809523809523808</v>
      </c>
      <c r="F5" s="86" t="s">
        <v>175</v>
      </c>
      <c r="G5" s="87">
        <v>1.9523809523809523</v>
      </c>
      <c r="H5" s="86" t="s">
        <v>175</v>
      </c>
      <c r="I5" s="88">
        <v>0.33333333333333331</v>
      </c>
      <c r="J5" s="86" t="s">
        <v>129</v>
      </c>
      <c r="K5" s="88">
        <v>0.1276595744680851</v>
      </c>
      <c r="L5" s="86" t="s">
        <v>147</v>
      </c>
      <c r="M5" s="89">
        <v>0.29873125720876587</v>
      </c>
      <c r="N5" s="86" t="s">
        <v>129</v>
      </c>
      <c r="O5" s="89">
        <v>0.1448087431693989</v>
      </c>
      <c r="P5" s="86" t="s">
        <v>130</v>
      </c>
      <c r="Q5" s="90">
        <v>9089.8305084745771</v>
      </c>
      <c r="R5" s="86" t="s">
        <v>174</v>
      </c>
      <c r="S5" s="90">
        <v>-7226.086956521739</v>
      </c>
      <c r="T5" s="86" t="s">
        <v>129</v>
      </c>
      <c r="U5" s="88">
        <v>2.1276595744680851E-2</v>
      </c>
      <c r="V5" s="86" t="s">
        <v>174</v>
      </c>
      <c r="W5" s="88">
        <v>9.6774193548387094E-2</v>
      </c>
      <c r="X5" s="86" t="s">
        <v>188</v>
      </c>
      <c r="Y5" s="89">
        <v>0.26315789473684209</v>
      </c>
      <c r="Z5" s="86" t="s">
        <v>129</v>
      </c>
      <c r="AA5" s="89">
        <v>0.25409836065573771</v>
      </c>
      <c r="AB5" s="86" t="s">
        <v>130</v>
      </c>
      <c r="AC5" s="89">
        <v>0.64912280701754388</v>
      </c>
      <c r="AD5" s="86" t="s">
        <v>205</v>
      </c>
      <c r="AE5" s="89">
        <v>0.5</v>
      </c>
      <c r="AF5" s="86" t="s">
        <v>205</v>
      </c>
      <c r="AG5" s="89">
        <v>0.5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1.4210854715202004E-14</v>
      </c>
      <c r="D6" s="86" t="s">
        <v>147</v>
      </c>
      <c r="E6" s="99">
        <v>6.7670736739057167E-17</v>
      </c>
      <c r="F6" s="86" t="s">
        <v>147</v>
      </c>
      <c r="G6" s="87">
        <v>2</v>
      </c>
      <c r="H6" s="86" t="s">
        <v>147</v>
      </c>
      <c r="I6" s="88">
        <v>0.33333333333333331</v>
      </c>
      <c r="J6" s="86" t="s">
        <v>175</v>
      </c>
      <c r="K6" s="88">
        <v>0.2857142857142857</v>
      </c>
      <c r="L6" s="86" t="s">
        <v>130</v>
      </c>
      <c r="M6" s="89">
        <v>0.28850855745721271</v>
      </c>
      <c r="N6" s="86" t="s">
        <v>130</v>
      </c>
      <c r="O6" s="89">
        <v>0.1687041564792176</v>
      </c>
      <c r="P6" s="86" t="s">
        <v>174</v>
      </c>
      <c r="Q6" s="90">
        <v>8490.7692307692305</v>
      </c>
      <c r="R6" s="86" t="s">
        <v>180</v>
      </c>
      <c r="S6" s="90">
        <v>-7426.3157894736842</v>
      </c>
      <c r="T6" s="86" t="s">
        <v>174</v>
      </c>
      <c r="U6" s="88">
        <v>3.2258064516129031E-2</v>
      </c>
      <c r="V6" s="86" t="s">
        <v>175</v>
      </c>
      <c r="W6" s="88">
        <v>9.5238095238095233E-2</v>
      </c>
      <c r="X6" s="86" t="s">
        <v>147</v>
      </c>
      <c r="Y6" s="89">
        <v>0.25490196078431371</v>
      </c>
      <c r="Z6" s="86" t="s">
        <v>189</v>
      </c>
      <c r="AA6" s="89">
        <v>0.22807017543859648</v>
      </c>
      <c r="AB6" s="86" t="s">
        <v>175</v>
      </c>
      <c r="AC6" s="89">
        <v>0.64864864864864868</v>
      </c>
      <c r="AD6" s="86" t="s">
        <v>175</v>
      </c>
      <c r="AE6" s="89">
        <v>0.41269841269841268</v>
      </c>
      <c r="AF6" s="86" t="s">
        <v>131</v>
      </c>
      <c r="AG6" s="89">
        <v>0.47058823529411764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130</v>
      </c>
      <c r="C7" s="85">
        <v>-4.8000000000000398</v>
      </c>
      <c r="D7" s="86" t="s">
        <v>130</v>
      </c>
      <c r="E7" s="99">
        <v>-9.7959183673470202E-2</v>
      </c>
      <c r="F7" s="86" t="s">
        <v>205</v>
      </c>
      <c r="G7" s="87">
        <v>2</v>
      </c>
      <c r="H7" s="86" t="s">
        <v>130</v>
      </c>
      <c r="I7" s="88">
        <v>0.2857142857142857</v>
      </c>
      <c r="J7" s="86" t="s">
        <v>130</v>
      </c>
      <c r="K7" s="88">
        <v>0.30612244897959184</v>
      </c>
      <c r="L7" s="86" t="s">
        <v>176</v>
      </c>
      <c r="M7" s="89">
        <v>0.28387096774193549</v>
      </c>
      <c r="N7" s="86" t="s">
        <v>174</v>
      </c>
      <c r="O7" s="89">
        <v>0.16974169741697417</v>
      </c>
      <c r="P7" s="86" t="s">
        <v>147</v>
      </c>
      <c r="Q7" s="90">
        <v>8297.2972972972966</v>
      </c>
      <c r="R7" s="86" t="s">
        <v>130</v>
      </c>
      <c r="S7" s="90">
        <v>-7600</v>
      </c>
      <c r="T7" s="86" t="s">
        <v>175</v>
      </c>
      <c r="U7" s="88">
        <v>4.7619047619047616E-2</v>
      </c>
      <c r="V7" s="86" t="s">
        <v>130</v>
      </c>
      <c r="W7" s="88">
        <v>8.1632653061224483E-2</v>
      </c>
      <c r="X7" s="86" t="s">
        <v>131</v>
      </c>
      <c r="Y7" s="89">
        <v>0.24022346368715083</v>
      </c>
      <c r="Z7" s="86" t="s">
        <v>176</v>
      </c>
      <c r="AA7" s="89">
        <v>0.22580645161290322</v>
      </c>
      <c r="AB7" s="86" t="s">
        <v>147</v>
      </c>
      <c r="AC7" s="89">
        <v>0.60407239819004521</v>
      </c>
      <c r="AD7" s="86" t="s">
        <v>189</v>
      </c>
      <c r="AE7" s="89">
        <v>0.38461538461538464</v>
      </c>
      <c r="AF7" s="86" t="s">
        <v>180</v>
      </c>
      <c r="AG7" s="89">
        <v>0.40909090909090912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205</v>
      </c>
      <c r="C8" s="85">
        <v>-12.5</v>
      </c>
      <c r="D8" s="86" t="s">
        <v>174</v>
      </c>
      <c r="E8" s="99">
        <v>-2.9645161290322579</v>
      </c>
      <c r="F8" s="86" t="s">
        <v>130</v>
      </c>
      <c r="G8" s="87">
        <v>2.0204081632653059</v>
      </c>
      <c r="H8" s="86" t="s">
        <v>174</v>
      </c>
      <c r="I8" s="88">
        <v>0.25806451612903225</v>
      </c>
      <c r="J8" s="86" t="s">
        <v>147</v>
      </c>
      <c r="K8" s="88">
        <v>0.33333333333333331</v>
      </c>
      <c r="L8" s="86" t="s">
        <v>188</v>
      </c>
      <c r="M8" s="89">
        <v>0.26315789473684209</v>
      </c>
      <c r="N8" s="86" t="s">
        <v>147</v>
      </c>
      <c r="O8" s="89">
        <v>0.17647058823529413</v>
      </c>
      <c r="P8" s="86" t="s">
        <v>188</v>
      </c>
      <c r="Q8" s="90">
        <v>7860</v>
      </c>
      <c r="R8" s="86" t="s">
        <v>147</v>
      </c>
      <c r="S8" s="90">
        <v>-8012.0915032679741</v>
      </c>
      <c r="T8" s="86" t="s">
        <v>147</v>
      </c>
      <c r="U8" s="88">
        <v>0.1</v>
      </c>
      <c r="V8" s="86" t="s">
        <v>176</v>
      </c>
      <c r="W8" s="88">
        <v>5.8823529411764705E-2</v>
      </c>
      <c r="X8" s="86" t="s">
        <v>174</v>
      </c>
      <c r="Y8" s="89">
        <v>0.23985239852398524</v>
      </c>
      <c r="Z8" s="86" t="s">
        <v>147</v>
      </c>
      <c r="AA8" s="89">
        <v>0.21626297577854672</v>
      </c>
      <c r="AB8" s="86" t="s">
        <v>188</v>
      </c>
      <c r="AC8" s="89">
        <v>0.6</v>
      </c>
      <c r="AD8" s="86" t="s">
        <v>147</v>
      </c>
      <c r="AE8" s="89">
        <v>0.37866666666666665</v>
      </c>
      <c r="AF8" s="86" t="s">
        <v>147</v>
      </c>
      <c r="AG8" s="89">
        <v>0.40154440154440152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174</v>
      </c>
      <c r="C9" s="85">
        <v>-91.899999999999991</v>
      </c>
      <c r="D9" s="86" t="s">
        <v>205</v>
      </c>
      <c r="E9" s="99">
        <v>-12.5</v>
      </c>
      <c r="F9" s="86" t="s">
        <v>174</v>
      </c>
      <c r="G9" s="87">
        <v>2.096774193548387</v>
      </c>
      <c r="H9" s="86" t="s">
        <v>180</v>
      </c>
      <c r="I9" s="88">
        <v>0.23076923076923078</v>
      </c>
      <c r="J9" s="86" t="s">
        <v>174</v>
      </c>
      <c r="K9" s="88">
        <v>0.35483870967741937</v>
      </c>
      <c r="L9" s="86" t="s">
        <v>174</v>
      </c>
      <c r="M9" s="89">
        <v>0.23985239852398524</v>
      </c>
      <c r="N9" s="86" t="s">
        <v>205</v>
      </c>
      <c r="O9" s="89">
        <v>0.18181818181818182</v>
      </c>
      <c r="P9" s="86" t="s">
        <v>131</v>
      </c>
      <c r="Q9" s="90">
        <v>7282.3529411764703</v>
      </c>
      <c r="R9" s="86" t="s">
        <v>129</v>
      </c>
      <c r="S9" s="90">
        <v>-8015.0943396226412</v>
      </c>
      <c r="T9" s="86" t="s">
        <v>176</v>
      </c>
      <c r="U9" s="88">
        <v>0.11764705882352941</v>
      </c>
      <c r="V9" s="86" t="s">
        <v>131</v>
      </c>
      <c r="W9" s="88">
        <v>0</v>
      </c>
      <c r="X9" s="86" t="s">
        <v>175</v>
      </c>
      <c r="Y9" s="89">
        <v>0.2138728323699422</v>
      </c>
      <c r="Z9" s="86" t="s">
        <v>188</v>
      </c>
      <c r="AA9" s="89">
        <v>0.21052631578947367</v>
      </c>
      <c r="AB9" s="86" t="s">
        <v>176</v>
      </c>
      <c r="AC9" s="89">
        <v>0.55172413793103448</v>
      </c>
      <c r="AD9" s="86" t="s">
        <v>180</v>
      </c>
      <c r="AE9" s="89">
        <v>0.375</v>
      </c>
      <c r="AF9" s="86" t="s">
        <v>129</v>
      </c>
      <c r="AG9" s="89">
        <v>0.3935483870967742</v>
      </c>
      <c r="AH9" s="86" t="s">
        <v>176</v>
      </c>
      <c r="AI9" s="94">
        <v>58900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180</v>
      </c>
      <c r="C10" s="85">
        <v>-209.59999999999997</v>
      </c>
      <c r="D10" s="86" t="s">
        <v>176</v>
      </c>
      <c r="E10" s="99">
        <v>-14.641176470588233</v>
      </c>
      <c r="F10" s="86" t="s">
        <v>176</v>
      </c>
      <c r="G10" s="87">
        <v>2.2352941176470589</v>
      </c>
      <c r="H10" s="86" t="s">
        <v>176</v>
      </c>
      <c r="I10" s="88">
        <v>0.17647058823529413</v>
      </c>
      <c r="J10" s="86" t="s">
        <v>176</v>
      </c>
      <c r="K10" s="88">
        <v>0.41176470588235292</v>
      </c>
      <c r="L10" s="86" t="s">
        <v>180</v>
      </c>
      <c r="M10" s="89">
        <v>0.23404255319148937</v>
      </c>
      <c r="N10" s="86" t="s">
        <v>180</v>
      </c>
      <c r="O10" s="89">
        <v>0.20212765957446807</v>
      </c>
      <c r="P10" s="86" t="s">
        <v>175</v>
      </c>
      <c r="Q10" s="90">
        <v>6804.9180327868853</v>
      </c>
      <c r="R10" s="86" t="s">
        <v>176</v>
      </c>
      <c r="S10" s="90">
        <v>-8067.5675675675675</v>
      </c>
      <c r="T10" s="86" t="s">
        <v>130</v>
      </c>
      <c r="U10" s="88">
        <v>0.14285714285714285</v>
      </c>
      <c r="V10" s="86" t="s">
        <v>180</v>
      </c>
      <c r="W10" s="88">
        <v>0</v>
      </c>
      <c r="X10" s="86" t="s">
        <v>176</v>
      </c>
      <c r="Y10" s="89">
        <v>0.18709677419354839</v>
      </c>
      <c r="Z10" s="86" t="s">
        <v>205</v>
      </c>
      <c r="AA10" s="89">
        <v>0.18181818181818182</v>
      </c>
      <c r="AB10" s="86" t="s">
        <v>174</v>
      </c>
      <c r="AC10" s="89">
        <v>0.53846153846153844</v>
      </c>
      <c r="AD10" s="86" t="s">
        <v>174</v>
      </c>
      <c r="AE10" s="89">
        <v>0.33333333333333331</v>
      </c>
      <c r="AF10" s="86" t="s">
        <v>175</v>
      </c>
      <c r="AG10" s="89">
        <v>0.39344262295081966</v>
      </c>
      <c r="AH10" s="86" t="s">
        <v>188</v>
      </c>
      <c r="AI10" s="94">
        <v>53500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189</v>
      </c>
      <c r="C11" s="85">
        <v>-218.2</v>
      </c>
      <c r="D11" s="86" t="s">
        <v>180</v>
      </c>
      <c r="E11" s="99">
        <v>-16.123076923076919</v>
      </c>
      <c r="F11" s="86" t="s">
        <v>180</v>
      </c>
      <c r="G11" s="87">
        <v>2.3076923076923075</v>
      </c>
      <c r="H11" s="86" t="s">
        <v>189</v>
      </c>
      <c r="I11" s="88">
        <v>0.14285714285714285</v>
      </c>
      <c r="J11" s="86" t="s">
        <v>180</v>
      </c>
      <c r="K11" s="88">
        <v>0.53846153846153844</v>
      </c>
      <c r="L11" s="86" t="s">
        <v>189</v>
      </c>
      <c r="M11" s="89">
        <v>0.21052631578947367</v>
      </c>
      <c r="N11" s="86" t="s">
        <v>131</v>
      </c>
      <c r="O11" s="89">
        <v>0.21787709497206703</v>
      </c>
      <c r="P11" s="86" t="s">
        <v>189</v>
      </c>
      <c r="Q11" s="90">
        <v>6500</v>
      </c>
      <c r="R11" s="86" t="s">
        <v>175</v>
      </c>
      <c r="S11" s="90">
        <v>-8160.869565217391</v>
      </c>
      <c r="T11" s="86" t="s">
        <v>189</v>
      </c>
      <c r="U11" s="88">
        <v>0.14285714285714285</v>
      </c>
      <c r="V11" s="86" t="s">
        <v>188</v>
      </c>
      <c r="W11" s="88">
        <v>0</v>
      </c>
      <c r="X11" s="86" t="s">
        <v>205</v>
      </c>
      <c r="Y11" s="89">
        <v>0.18181818181818182</v>
      </c>
      <c r="Z11" s="86" t="s">
        <v>174</v>
      </c>
      <c r="AA11" s="89">
        <v>0.17712177121771217</v>
      </c>
      <c r="AB11" s="86" t="s">
        <v>180</v>
      </c>
      <c r="AC11" s="89">
        <v>0.52941176470588236</v>
      </c>
      <c r="AD11" s="86" t="s">
        <v>176</v>
      </c>
      <c r="AE11" s="89">
        <v>0.31428571428571428</v>
      </c>
      <c r="AF11" s="86" t="s">
        <v>130</v>
      </c>
      <c r="AG11" s="89">
        <v>0.38983050847457629</v>
      </c>
      <c r="AH11" s="86" t="s">
        <v>131</v>
      </c>
      <c r="AI11" s="94">
        <v>52200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176</v>
      </c>
      <c r="C12" s="85">
        <v>-248.89999999999995</v>
      </c>
      <c r="D12" s="86" t="s">
        <v>131</v>
      </c>
      <c r="E12" s="99">
        <v>-29.976190476190471</v>
      </c>
      <c r="F12" s="86" t="s">
        <v>131</v>
      </c>
      <c r="G12" s="87">
        <v>2.5238095238095237</v>
      </c>
      <c r="H12" s="86" t="s">
        <v>131</v>
      </c>
      <c r="I12" s="88">
        <v>9.5238095238095233E-2</v>
      </c>
      <c r="J12" s="86" t="s">
        <v>131</v>
      </c>
      <c r="K12" s="88">
        <v>0.61904761904761907</v>
      </c>
      <c r="L12" s="86" t="s">
        <v>131</v>
      </c>
      <c r="M12" s="89">
        <v>0.18994413407821228</v>
      </c>
      <c r="N12" s="86" t="s">
        <v>176</v>
      </c>
      <c r="O12" s="89">
        <v>0.23870967741935484</v>
      </c>
      <c r="P12" s="86" t="s">
        <v>176</v>
      </c>
      <c r="Q12" s="90">
        <v>6311.363636363636</v>
      </c>
      <c r="R12" s="86" t="s">
        <v>189</v>
      </c>
      <c r="S12" s="90">
        <v>-8762.5</v>
      </c>
      <c r="T12" s="86" t="s">
        <v>180</v>
      </c>
      <c r="U12" s="88">
        <v>0.23076923076923078</v>
      </c>
      <c r="V12" s="86" t="s">
        <v>189</v>
      </c>
      <c r="W12" s="88">
        <v>0</v>
      </c>
      <c r="X12" s="86" t="s">
        <v>180</v>
      </c>
      <c r="Y12" s="89">
        <v>0.18085106382978725</v>
      </c>
      <c r="Z12" s="86" t="s">
        <v>130</v>
      </c>
      <c r="AA12" s="89">
        <v>0.17603911980440098</v>
      </c>
      <c r="AB12" s="86" t="s">
        <v>205</v>
      </c>
      <c r="AC12" s="89">
        <v>0.5</v>
      </c>
      <c r="AD12" s="86" t="s">
        <v>130</v>
      </c>
      <c r="AE12" s="89">
        <v>0.2361111111111111</v>
      </c>
      <c r="AF12" s="86" t="s">
        <v>174</v>
      </c>
      <c r="AG12" s="89">
        <v>0.33846153846153848</v>
      </c>
      <c r="AH12" s="86" t="s">
        <v>189</v>
      </c>
      <c r="AI12" s="94">
        <v>43600</v>
      </c>
      <c r="AJ12" s="86" t="s">
        <v>189</v>
      </c>
      <c r="AK12" s="91">
        <v>0</v>
      </c>
    </row>
    <row r="13" spans="1:37" x14ac:dyDescent="0.4">
      <c r="A13" s="83">
        <v>11</v>
      </c>
      <c r="B13" s="84" t="s">
        <v>131</v>
      </c>
      <c r="C13" s="85">
        <v>-629.49999999999989</v>
      </c>
      <c r="D13" s="86" t="s">
        <v>189</v>
      </c>
      <c r="E13" s="99">
        <v>-31.171428571428571</v>
      </c>
      <c r="F13" s="86" t="s">
        <v>189</v>
      </c>
      <c r="G13" s="87">
        <v>2.5714285714285716</v>
      </c>
      <c r="H13" s="86" t="s">
        <v>205</v>
      </c>
      <c r="I13" s="88">
        <v>0</v>
      </c>
      <c r="J13" s="86" t="s">
        <v>189</v>
      </c>
      <c r="K13" s="88">
        <v>0.7142857142857143</v>
      </c>
      <c r="L13" s="86" t="s">
        <v>205</v>
      </c>
      <c r="M13" s="89">
        <v>0.18181818181818182</v>
      </c>
      <c r="N13" s="86" t="s">
        <v>189</v>
      </c>
      <c r="O13" s="89">
        <v>0.2807017543859649</v>
      </c>
      <c r="P13" s="86" t="s">
        <v>180</v>
      </c>
      <c r="Q13" s="90">
        <v>6218.181818181818</v>
      </c>
      <c r="R13" s="86" t="s">
        <v>131</v>
      </c>
      <c r="S13" s="90">
        <v>-9892.3076923076915</v>
      </c>
      <c r="T13" s="86" t="s">
        <v>131</v>
      </c>
      <c r="U13" s="88">
        <v>0.23809523809523808</v>
      </c>
      <c r="V13" s="86" t="s">
        <v>205</v>
      </c>
      <c r="W13" s="88">
        <v>0</v>
      </c>
      <c r="X13" s="86" t="s">
        <v>189</v>
      </c>
      <c r="Y13" s="89">
        <v>0.12280701754385964</v>
      </c>
      <c r="Z13" s="86" t="s">
        <v>131</v>
      </c>
      <c r="AA13" s="89">
        <v>0.11731843575418995</v>
      </c>
      <c r="AB13" s="86" t="s">
        <v>131</v>
      </c>
      <c r="AC13" s="89">
        <v>0.46511627906976744</v>
      </c>
      <c r="AD13" s="86" t="s">
        <v>131</v>
      </c>
      <c r="AE13" s="89">
        <v>0.19047619047619047</v>
      </c>
      <c r="AF13" s="86" t="s">
        <v>188</v>
      </c>
      <c r="AG13" s="89">
        <v>0.2</v>
      </c>
      <c r="AH13" s="86" t="s">
        <v>205</v>
      </c>
      <c r="AI13" s="94">
        <v>22500</v>
      </c>
      <c r="AJ13" s="86" t="s">
        <v>205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2206-C47A-43C6-BB53-112B96C2EEAA}">
  <sheetPr codeName="Sheet4"/>
  <dimension ref="A1:Q2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147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210</v>
      </c>
      <c r="C2" s="151"/>
      <c r="E2" s="62" t="s">
        <v>68</v>
      </c>
      <c r="F2" s="59" t="s">
        <v>23</v>
      </c>
      <c r="G2" s="46">
        <v>379</v>
      </c>
      <c r="H2" s="134">
        <f>IF(B$17=0,0,G2/B$17)</f>
        <v>0.73166023166023164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-23.80952380952381</v>
      </c>
      <c r="P2" s="120">
        <v>210</v>
      </c>
      <c r="Q2" s="104">
        <v>-5000</v>
      </c>
    </row>
    <row r="3" spans="1:17" x14ac:dyDescent="0.4">
      <c r="A3" s="55" t="s">
        <v>8</v>
      </c>
      <c r="B3" s="152">
        <v>1734</v>
      </c>
      <c r="C3" s="153"/>
      <c r="E3" s="63" t="s">
        <v>74</v>
      </c>
      <c r="F3" s="60" t="s">
        <v>28</v>
      </c>
      <c r="G3" s="47">
        <v>277</v>
      </c>
      <c r="H3" s="135">
        <f>IF(B$17=0,0,G3/B$17)</f>
        <v>0.53474903474903479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-9.6618357487922708</v>
      </c>
      <c r="P3" s="121">
        <v>207</v>
      </c>
      <c r="Q3" s="105">
        <v>-2000</v>
      </c>
    </row>
    <row r="4" spans="1:17" x14ac:dyDescent="0.4">
      <c r="A4" s="55" t="s">
        <v>6</v>
      </c>
      <c r="B4" s="154">
        <v>1.4210854715202004E-14</v>
      </c>
      <c r="C4" s="155"/>
      <c r="E4" s="63" t="s">
        <v>66</v>
      </c>
      <c r="F4" s="60" t="s">
        <v>21</v>
      </c>
      <c r="G4" s="47">
        <v>256</v>
      </c>
      <c r="H4" s="135">
        <f>IF(B$17=0,0,G4/B$17)</f>
        <v>0.49420849420849422</v>
      </c>
      <c r="I4" s="96">
        <v>6</v>
      </c>
      <c r="K4" s="38">
        <v>2</v>
      </c>
      <c r="L4" s="101">
        <v>40.4</v>
      </c>
      <c r="N4" s="117" t="s">
        <v>136</v>
      </c>
      <c r="O4" s="124">
        <f t="shared" si="0"/>
        <v>37.037037037037038</v>
      </c>
      <c r="P4" s="121">
        <v>189</v>
      </c>
      <c r="Q4" s="105">
        <v>7000</v>
      </c>
    </row>
    <row r="5" spans="1:17" x14ac:dyDescent="0.4">
      <c r="A5" s="55" t="s">
        <v>7</v>
      </c>
      <c r="B5" s="156">
        <f>IF(B$2=0,0,B$4/B$2)</f>
        <v>6.7670736739057167E-17</v>
      </c>
      <c r="C5" s="157"/>
      <c r="E5" s="63" t="s">
        <v>184</v>
      </c>
      <c r="F5" s="60" t="s">
        <v>185</v>
      </c>
      <c r="G5" s="47">
        <v>195</v>
      </c>
      <c r="H5" s="135">
        <f>IF(B$17=0,0,G5/B$17)</f>
        <v>0.37644787644787647</v>
      </c>
      <c r="I5" s="96">
        <v>6</v>
      </c>
      <c r="K5" s="38">
        <v>3</v>
      </c>
      <c r="L5" s="101">
        <v>0</v>
      </c>
      <c r="N5" s="117" t="s">
        <v>137</v>
      </c>
      <c r="O5" s="124">
        <f t="shared" si="0"/>
        <v>-5.9523809523809526</v>
      </c>
      <c r="P5" s="121">
        <v>168</v>
      </c>
      <c r="Q5" s="105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24</v>
      </c>
      <c r="G6" s="47">
        <v>145</v>
      </c>
      <c r="H6" s="135">
        <f>IF(B$17=0,0,G6/B$17)</f>
        <v>0.27992277992277992</v>
      </c>
      <c r="I6" s="96">
        <v>6</v>
      </c>
      <c r="K6" s="38">
        <v>4</v>
      </c>
      <c r="L6" s="101">
        <v>2.2000000000000002</v>
      </c>
      <c r="N6" s="117" t="s">
        <v>138</v>
      </c>
      <c r="O6" s="124">
        <f t="shared" si="0"/>
        <v>-31.446540880503143</v>
      </c>
      <c r="P6" s="121">
        <v>159</v>
      </c>
      <c r="Q6" s="105">
        <v>-5000</v>
      </c>
    </row>
    <row r="7" spans="1:17" x14ac:dyDescent="0.4">
      <c r="A7" s="55" t="s">
        <v>2</v>
      </c>
      <c r="B7" s="47">
        <v>70</v>
      </c>
      <c r="C7" s="39">
        <f>IF(B$2=0,0,B7/B$2)</f>
        <v>0.33333333333333331</v>
      </c>
      <c r="E7" s="63" t="s">
        <v>70</v>
      </c>
      <c r="F7" s="60" t="s">
        <v>12</v>
      </c>
      <c r="G7" s="47">
        <v>144</v>
      </c>
      <c r="H7" s="135">
        <f>IF(B$17=0,0,G7/B$17)</f>
        <v>0.27799227799227799</v>
      </c>
      <c r="I7" s="96">
        <v>5</v>
      </c>
      <c r="K7" s="38">
        <v>5</v>
      </c>
      <c r="L7" s="101">
        <v>-37</v>
      </c>
      <c r="N7" s="118" t="s">
        <v>139</v>
      </c>
      <c r="O7" s="125">
        <f t="shared" si="0"/>
        <v>40</v>
      </c>
      <c r="P7" s="122">
        <v>150</v>
      </c>
      <c r="Q7" s="106">
        <v>6000</v>
      </c>
    </row>
    <row r="8" spans="1:17" x14ac:dyDescent="0.4">
      <c r="A8" s="55" t="s">
        <v>3</v>
      </c>
      <c r="B8" s="47">
        <v>70</v>
      </c>
      <c r="C8" s="39">
        <f>IF(B$2=0,0,B8/B$2)</f>
        <v>0.33333333333333331</v>
      </c>
      <c r="E8" s="63" t="s">
        <v>71</v>
      </c>
      <c r="F8" s="60" t="s">
        <v>25</v>
      </c>
      <c r="G8" s="47">
        <v>94</v>
      </c>
      <c r="H8" s="135">
        <f>IF(B$17=0,0,G8/B$17)</f>
        <v>0.18146718146718147</v>
      </c>
      <c r="I8" s="96">
        <v>7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70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76</v>
      </c>
      <c r="H9" s="135">
        <f>IF(B$17=0,0,G9/B$17)</f>
        <v>0.14671814671814673</v>
      </c>
      <c r="I9" s="96">
        <v>8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21</v>
      </c>
      <c r="C10" s="40">
        <f>IF(B$2=0,0,B10/B$2)</f>
        <v>0.1</v>
      </c>
      <c r="E10" s="63" t="s">
        <v>67</v>
      </c>
      <c r="F10" s="60" t="s">
        <v>22</v>
      </c>
      <c r="G10" s="47">
        <v>60</v>
      </c>
      <c r="H10" s="135">
        <f>IF(B$17=0,0,G10/B$17)</f>
        <v>0.11583011583011583</v>
      </c>
      <c r="I10" s="96">
        <v>7</v>
      </c>
      <c r="K10" s="38">
        <v>8</v>
      </c>
      <c r="L10" s="101">
        <v>19.699999999999996</v>
      </c>
      <c r="N10" s="116" t="s">
        <v>167</v>
      </c>
      <c r="O10" s="126">
        <f>IF(P10=0,0,Q10/P10)</f>
        <v>-4.4485714285714284</v>
      </c>
      <c r="P10" s="120">
        <v>70</v>
      </c>
      <c r="Q10" s="108">
        <v>-311.39999999999998</v>
      </c>
    </row>
    <row r="11" spans="1:17" x14ac:dyDescent="0.4">
      <c r="A11" s="56" t="s">
        <v>142</v>
      </c>
      <c r="B11" s="48">
        <v>21</v>
      </c>
      <c r="C11" s="40">
        <f>IF(B$2=0,0,B11/B$2)</f>
        <v>0.1</v>
      </c>
      <c r="E11" s="63" t="s">
        <v>72</v>
      </c>
      <c r="F11" s="60" t="s">
        <v>26</v>
      </c>
      <c r="G11" s="47">
        <v>56</v>
      </c>
      <c r="H11" s="135">
        <f>IF(B$17=0,0,G11/B$17)</f>
        <v>0.10810810810810811</v>
      </c>
      <c r="I11" s="96">
        <v>4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-6.2457142857142864</v>
      </c>
      <c r="P11" s="121">
        <v>70</v>
      </c>
      <c r="Q11" s="109">
        <v>-437.20000000000005</v>
      </c>
    </row>
    <row r="12" spans="1:17" x14ac:dyDescent="0.4">
      <c r="A12" s="57" t="s">
        <v>162</v>
      </c>
      <c r="B12" s="49">
        <v>21</v>
      </c>
      <c r="C12" s="42">
        <f>IF(B$2=0,0,B12/B$2)</f>
        <v>0.1</v>
      </c>
      <c r="E12" s="63" t="s">
        <v>89</v>
      </c>
      <c r="F12" s="60" t="s">
        <v>43</v>
      </c>
      <c r="G12" s="47">
        <v>34</v>
      </c>
      <c r="H12" s="135">
        <f>IF(B$17=0,0,G12/B$17)</f>
        <v>6.5637065637065631E-2</v>
      </c>
      <c r="I12" s="96">
        <v>3</v>
      </c>
      <c r="K12" s="38">
        <v>10</v>
      </c>
      <c r="L12" s="101">
        <v>40.099999999999994</v>
      </c>
      <c r="N12" s="118" t="s">
        <v>169</v>
      </c>
      <c r="O12" s="128">
        <f>IF(P12=0,0,Q12/P12)</f>
        <v>10.694285714285714</v>
      </c>
      <c r="P12" s="122">
        <v>70</v>
      </c>
      <c r="Q12" s="110">
        <v>748.6</v>
      </c>
    </row>
    <row r="13" spans="1:17" x14ac:dyDescent="0.4">
      <c r="A13" s="58" t="s">
        <v>124</v>
      </c>
      <c r="B13" s="50">
        <v>442</v>
      </c>
      <c r="C13" s="44">
        <f>IF(B$3=0,0,B13/B$3)</f>
        <v>0.25490196078431371</v>
      </c>
      <c r="E13" s="63" t="s">
        <v>73</v>
      </c>
      <c r="F13" s="60" t="s">
        <v>27</v>
      </c>
      <c r="G13" s="47">
        <v>30</v>
      </c>
      <c r="H13" s="135">
        <f>IF(B$17=0,0,G13/B$17)</f>
        <v>5.7915057915057917E-2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375</v>
      </c>
      <c r="C14" s="39">
        <f>IF(B$3=0,0,B14/B$3)</f>
        <v>0.21626297577854672</v>
      </c>
      <c r="E14" s="63" t="s">
        <v>86</v>
      </c>
      <c r="F14" s="60" t="s">
        <v>40</v>
      </c>
      <c r="G14" s="47">
        <v>22</v>
      </c>
      <c r="H14" s="135">
        <f>IF(B$17=0,0,G14/B$17)</f>
        <v>4.2471042471042469E-2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267</v>
      </c>
      <c r="C15" s="37">
        <f>IF(B$13=0,0,B15/B$13)</f>
        <v>0.60407239819004521</v>
      </c>
      <c r="E15" s="63" t="s">
        <v>84</v>
      </c>
      <c r="F15" s="60" t="s">
        <v>38</v>
      </c>
      <c r="G15" s="47">
        <v>14</v>
      </c>
      <c r="H15" s="135">
        <f>IF(B$17=0,0,G15/B$17)</f>
        <v>2.7027027027027029E-2</v>
      </c>
      <c r="I15" s="96">
        <v>4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142</v>
      </c>
      <c r="C16" s="37">
        <f>IF(B$14=0,0,B16/B$14)</f>
        <v>0.37866666666666665</v>
      </c>
      <c r="E16" s="63" t="s">
        <v>80</v>
      </c>
      <c r="F16" s="60" t="s">
        <v>34</v>
      </c>
      <c r="G16" s="47">
        <v>10</v>
      </c>
      <c r="H16" s="135">
        <f>IF(B$17=0,0,G16/B$17)</f>
        <v>1.9305019305019305E-2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44.964285714285722</v>
      </c>
      <c r="P16" s="121">
        <v>42</v>
      </c>
      <c r="Q16" s="109">
        <v>1888.5000000000002</v>
      </c>
    </row>
    <row r="17" spans="1:17" x14ac:dyDescent="0.4">
      <c r="A17" s="54" t="s">
        <v>10</v>
      </c>
      <c r="B17" s="46">
        <f>B19+B18</f>
        <v>518</v>
      </c>
      <c r="C17" s="37">
        <f>IF(B$3=0,0,B17/B$3)</f>
        <v>0.29873125720876587</v>
      </c>
      <c r="E17" s="63" t="s">
        <v>94</v>
      </c>
      <c r="F17" s="60" t="s">
        <v>48</v>
      </c>
      <c r="G17" s="47">
        <v>9</v>
      </c>
      <c r="H17" s="135">
        <f>IF(B$17=0,0,G17/B$17)</f>
        <v>1.7374517374517374E-2</v>
      </c>
      <c r="I17" s="96">
        <v>3</v>
      </c>
      <c r="K17" s="38">
        <v>15</v>
      </c>
      <c r="L17" s="101">
        <v>-1.0658141036401503E-14</v>
      </c>
      <c r="N17" s="117" t="s">
        <v>180</v>
      </c>
      <c r="O17" s="127">
        <f>IF(P17=0,0,Q17/P17)</f>
        <v>24.184615384615388</v>
      </c>
      <c r="P17" s="121">
        <v>26</v>
      </c>
      <c r="Q17" s="109">
        <v>628.80000000000007</v>
      </c>
    </row>
    <row r="18" spans="1:17" x14ac:dyDescent="0.4">
      <c r="A18" s="55" t="s">
        <v>12</v>
      </c>
      <c r="B18" s="47">
        <v>208</v>
      </c>
      <c r="C18" s="39">
        <f>IF(B$17=0,0,B18/B$17)</f>
        <v>0.40154440154440152</v>
      </c>
      <c r="E18" s="63" t="s">
        <v>81</v>
      </c>
      <c r="F18" s="60" t="s">
        <v>35</v>
      </c>
      <c r="G18" s="47">
        <v>6</v>
      </c>
      <c r="H18" s="135">
        <f>IF(B$17=0,0,G18/B$17)</f>
        <v>1.1583011583011582E-2</v>
      </c>
      <c r="I18" s="96">
        <v>4</v>
      </c>
      <c r="K18" s="38">
        <v>16</v>
      </c>
      <c r="L18" s="101">
        <v>90.899999999999991</v>
      </c>
      <c r="N18" s="117" t="s">
        <v>176</v>
      </c>
      <c r="O18" s="127">
        <f>IF(P18=0,0,Q18/P18)</f>
        <v>21.961764705882356</v>
      </c>
      <c r="P18" s="121">
        <v>34</v>
      </c>
      <c r="Q18" s="109">
        <v>746.7</v>
      </c>
    </row>
    <row r="19" spans="1:17" x14ac:dyDescent="0.4">
      <c r="A19" s="55" t="s">
        <v>11</v>
      </c>
      <c r="B19" s="47">
        <v>310</v>
      </c>
      <c r="C19" s="39">
        <f>IF(B$17=0,0,B19/B$17)</f>
        <v>0.59845559845559848</v>
      </c>
      <c r="E19" s="63" t="s">
        <v>77</v>
      </c>
      <c r="F19" s="60" t="s">
        <v>31</v>
      </c>
      <c r="G19" s="47">
        <v>5</v>
      </c>
      <c r="H19" s="135">
        <f>IF(B$17=0,0,G19/B$17)</f>
        <v>9.6525096525096523E-3</v>
      </c>
      <c r="I19" s="96">
        <v>3</v>
      </c>
      <c r="K19" s="38">
        <v>17</v>
      </c>
      <c r="L19" s="101">
        <v>8.2999999999999972</v>
      </c>
      <c r="N19" s="117" t="s">
        <v>205</v>
      </c>
      <c r="O19" s="127">
        <f>IF(P19=0,0,Q19/P19)</f>
        <v>18.75</v>
      </c>
      <c r="P19" s="121">
        <v>2</v>
      </c>
      <c r="Q19" s="109">
        <v>37.5</v>
      </c>
    </row>
    <row r="20" spans="1:17" x14ac:dyDescent="0.4">
      <c r="A20" s="55" t="s">
        <v>13</v>
      </c>
      <c r="B20" s="47">
        <v>306</v>
      </c>
      <c r="C20" s="39">
        <f>IF(B$3=0,0,B20/B$3)</f>
        <v>0.17647058823529413</v>
      </c>
      <c r="E20" s="63" t="s">
        <v>183</v>
      </c>
      <c r="F20" s="60" t="s">
        <v>186</v>
      </c>
      <c r="G20" s="47">
        <v>5</v>
      </c>
      <c r="H20" s="135">
        <f>IF(B$17=0,0,G20/B$17)</f>
        <v>9.6525096525096523E-3</v>
      </c>
      <c r="I20" s="96">
        <v>3</v>
      </c>
      <c r="K20" s="38">
        <v>18</v>
      </c>
      <c r="L20" s="101">
        <v>-3.5527136788005009E-15</v>
      </c>
      <c r="N20" s="117" t="s">
        <v>174</v>
      </c>
      <c r="O20" s="127">
        <f>IF(P20=0,0,Q20/P20)</f>
        <v>4.4467741935483875</v>
      </c>
      <c r="P20" s="121">
        <v>62</v>
      </c>
      <c r="Q20" s="109">
        <v>275.70000000000005</v>
      </c>
    </row>
    <row r="21" spans="1:17" x14ac:dyDescent="0.4">
      <c r="A21" s="55" t="s">
        <v>196</v>
      </c>
      <c r="B21" s="47">
        <v>7</v>
      </c>
      <c r="C21" s="137">
        <v>4</v>
      </c>
      <c r="E21" s="63" t="s">
        <v>75</v>
      </c>
      <c r="F21" s="60" t="s">
        <v>29</v>
      </c>
      <c r="G21" s="47">
        <v>3</v>
      </c>
      <c r="H21" s="135">
        <f>IF(B$17=0,0,G21/B$17)</f>
        <v>5.7915057915057912E-3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0.14693877551020226</v>
      </c>
      <c r="P21" s="121">
        <v>98</v>
      </c>
      <c r="Q21" s="109">
        <v>14.399999999999821</v>
      </c>
    </row>
    <row r="22" spans="1:17" x14ac:dyDescent="0.4">
      <c r="A22" s="55" t="s">
        <v>197</v>
      </c>
      <c r="B22" s="47">
        <v>31</v>
      </c>
      <c r="C22" s="137">
        <v>12</v>
      </c>
      <c r="E22" s="63" t="s">
        <v>76</v>
      </c>
      <c r="F22" s="60" t="s">
        <v>30</v>
      </c>
      <c r="G22" s="47">
        <v>2</v>
      </c>
      <c r="H22" s="135">
        <f>IF(B$17=0,0,G22/B$17)</f>
        <v>3.8610038610038611E-3</v>
      </c>
      <c r="I22" s="96">
        <v>2</v>
      </c>
      <c r="K22" s="38">
        <v>20</v>
      </c>
      <c r="L22" s="101">
        <v>0.79999999999999716</v>
      </c>
      <c r="N22" s="117" t="s">
        <v>175</v>
      </c>
      <c r="O22" s="127">
        <f>IF(P22=0,0,Q22/P22)</f>
        <v>-6.4214285714285735</v>
      </c>
      <c r="P22" s="121">
        <v>42</v>
      </c>
      <c r="Q22" s="109">
        <v>-269.7000000000001</v>
      </c>
    </row>
    <row r="23" spans="1:17" x14ac:dyDescent="0.4">
      <c r="A23" s="55" t="s">
        <v>5</v>
      </c>
      <c r="B23" s="51">
        <f>IF(B$17=0,0,C23/B$17)</f>
        <v>8297.2972972972966</v>
      </c>
      <c r="C23" s="41">
        <v>4298000</v>
      </c>
      <c r="E23" s="63" t="s">
        <v>79</v>
      </c>
      <c r="F23" s="60" t="s">
        <v>33</v>
      </c>
      <c r="G23" s="47">
        <v>2</v>
      </c>
      <c r="H23" s="135">
        <f>IF(B$17=0,0,G23/B$17)</f>
        <v>3.8610038610038611E-3</v>
      </c>
      <c r="I23" s="96">
        <v>3</v>
      </c>
      <c r="K23" s="38">
        <v>21</v>
      </c>
      <c r="L23" s="101">
        <v>-2.886579864025407E-15</v>
      </c>
      <c r="N23" s="117" t="s">
        <v>188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-8012.0915032679741</v>
      </c>
      <c r="C24" s="45">
        <v>-2451700</v>
      </c>
      <c r="E24" s="63" t="s">
        <v>95</v>
      </c>
      <c r="F24" s="60" t="s">
        <v>49</v>
      </c>
      <c r="G24" s="47">
        <v>2</v>
      </c>
      <c r="H24" s="135">
        <f>IF(B$17=0,0,G24/B$17)</f>
        <v>3.8610038610038611E-3</v>
      </c>
      <c r="I24" s="96">
        <v>3</v>
      </c>
      <c r="K24" s="38">
        <v>22</v>
      </c>
      <c r="L24" s="101">
        <v>23.699999999999996</v>
      </c>
      <c r="N24" s="117" t="s">
        <v>129</v>
      </c>
      <c r="O24" s="127">
        <f>IF(P24=0,0,Q24/P24)</f>
        <v>-40.356382978723403</v>
      </c>
      <c r="P24" s="121">
        <v>94</v>
      </c>
      <c r="Q24" s="109">
        <v>-3793.5</v>
      </c>
    </row>
    <row r="25" spans="1:17" x14ac:dyDescent="0.4">
      <c r="A25" s="92" t="s">
        <v>144</v>
      </c>
      <c r="B25" s="144">
        <v>7</v>
      </c>
      <c r="C25" s="145"/>
      <c r="E25" s="63" t="s">
        <v>87</v>
      </c>
      <c r="F25" s="60" t="s">
        <v>41</v>
      </c>
      <c r="G25" s="47">
        <v>1</v>
      </c>
      <c r="H25" s="135">
        <f>IF(B$17=0,0,G25/B$17)</f>
        <v>1.9305019305019305E-3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2">
        <v>105900</v>
      </c>
      <c r="C26" s="143"/>
      <c r="E26" s="63" t="s">
        <v>88</v>
      </c>
      <c r="F26" s="60" t="s">
        <v>42</v>
      </c>
      <c r="G26" s="47">
        <v>1</v>
      </c>
      <c r="H26" s="135">
        <f>IF(B$17=0,0,G26/B$17)</f>
        <v>1.9305019305019305E-3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4.0369088811995383E-3</v>
      </c>
      <c r="E27" s="63" t="s">
        <v>90</v>
      </c>
      <c r="F27" s="60" t="s">
        <v>44</v>
      </c>
      <c r="G27" s="47">
        <v>1</v>
      </c>
      <c r="H27" s="135">
        <f>IF(B$17=0,0,G27/B$17)</f>
        <v>1.9305019305019305E-3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91</v>
      </c>
      <c r="F28" s="60" t="s">
        <v>45</v>
      </c>
      <c r="G28" s="47">
        <v>1</v>
      </c>
      <c r="H28" s="135">
        <f>IF(B$17=0,0,G28/B$17)</f>
        <v>1.9305019305019305E-3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93</v>
      </c>
      <c r="F29" s="60" t="s">
        <v>47</v>
      </c>
      <c r="G29" s="47">
        <v>1</v>
      </c>
      <c r="H29" s="135">
        <f>IF(B$17=0,0,G29/B$17)</f>
        <v>1.9305019305019305E-3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98</v>
      </c>
      <c r="F30" s="60" t="s">
        <v>52</v>
      </c>
      <c r="G30" s="47">
        <v>1</v>
      </c>
      <c r="H30" s="135">
        <f>IF(B$17=0,0,G30/B$17)</f>
        <v>1.9305019305019305E-3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78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82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37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85</v>
      </c>
      <c r="F34" s="60" t="s">
        <v>39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516A7-D8BF-4616-AF02-CC95F61A46F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47</v>
      </c>
      <c r="C2" s="151"/>
      <c r="E2" s="62" t="s">
        <v>68</v>
      </c>
      <c r="F2" s="59" t="s">
        <v>23</v>
      </c>
      <c r="G2" s="46">
        <v>128</v>
      </c>
      <c r="H2" s="134">
        <f>IF(B$17=0,0,G2/B$17)</f>
        <v>0.82580645161290323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4572.3404255319147</v>
      </c>
      <c r="P2" s="120">
        <v>47</v>
      </c>
      <c r="Q2" s="104">
        <v>214900</v>
      </c>
    </row>
    <row r="3" spans="1:17" x14ac:dyDescent="0.4">
      <c r="A3" s="55" t="s">
        <v>8</v>
      </c>
      <c r="B3" s="152">
        <v>366</v>
      </c>
      <c r="C3" s="153"/>
      <c r="E3" s="63" t="s">
        <v>74</v>
      </c>
      <c r="F3" s="60" t="s">
        <v>28</v>
      </c>
      <c r="G3" s="47">
        <v>88</v>
      </c>
      <c r="H3" s="135">
        <f>IF(B$17=0,0,G3/B$17)</f>
        <v>0.56774193548387097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3910.8695652173915</v>
      </c>
      <c r="P3" s="121">
        <v>46</v>
      </c>
      <c r="Q3" s="105">
        <v>179900</v>
      </c>
    </row>
    <row r="4" spans="1:17" x14ac:dyDescent="0.4">
      <c r="A4" s="55" t="s">
        <v>6</v>
      </c>
      <c r="B4" s="154">
        <v>1264.5</v>
      </c>
      <c r="C4" s="155"/>
      <c r="E4" s="63" t="s">
        <v>66</v>
      </c>
      <c r="F4" s="60" t="s">
        <v>21</v>
      </c>
      <c r="G4" s="47">
        <v>79</v>
      </c>
      <c r="H4" s="135">
        <f>IF(B$17=0,0,G4/B$17)</f>
        <v>0.50967741935483868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3173.8095238095239</v>
      </c>
      <c r="P4" s="121">
        <v>42</v>
      </c>
      <c r="Q4" s="105">
        <v>133300</v>
      </c>
    </row>
    <row r="5" spans="1:17" x14ac:dyDescent="0.4">
      <c r="A5" s="55" t="s">
        <v>7</v>
      </c>
      <c r="B5" s="156">
        <f>IF(B$2=0,0,B$4/B$2)</f>
        <v>26.904255319148938</v>
      </c>
      <c r="C5" s="157"/>
      <c r="E5" s="63" t="s">
        <v>184</v>
      </c>
      <c r="F5" s="60" t="s">
        <v>185</v>
      </c>
      <c r="G5" s="47">
        <v>67</v>
      </c>
      <c r="H5" s="135">
        <f>IF(B$17=0,0,G5/B$17)</f>
        <v>0.43225806451612903</v>
      </c>
      <c r="I5" s="96">
        <v>2</v>
      </c>
      <c r="K5" s="38">
        <v>3</v>
      </c>
      <c r="L5" s="101">
        <v>70.399999999999991</v>
      </c>
      <c r="N5" s="117" t="s">
        <v>137</v>
      </c>
      <c r="O5" s="124">
        <f t="shared" si="0"/>
        <v>4541.666666666667</v>
      </c>
      <c r="P5" s="121">
        <v>36</v>
      </c>
      <c r="Q5" s="105">
        <v>163500</v>
      </c>
    </row>
    <row r="6" spans="1:17" x14ac:dyDescent="0.4">
      <c r="A6" s="55" t="s">
        <v>1</v>
      </c>
      <c r="B6" s="146">
        <f>IF(B$2=0,0,(B$7*1+B$8*2+B$9*3)/B$2)</f>
        <v>1.4893617021276595</v>
      </c>
      <c r="C6" s="147"/>
      <c r="E6" s="63" t="s">
        <v>69</v>
      </c>
      <c r="F6" s="60" t="s">
        <v>24</v>
      </c>
      <c r="G6" s="47">
        <v>52</v>
      </c>
      <c r="H6" s="135">
        <f>IF(B$17=0,0,G6/B$17)</f>
        <v>0.33548387096774196</v>
      </c>
      <c r="I6" s="96">
        <v>4</v>
      </c>
      <c r="K6" s="38">
        <v>4</v>
      </c>
      <c r="L6" s="101">
        <v>110.5</v>
      </c>
      <c r="N6" s="117" t="s">
        <v>138</v>
      </c>
      <c r="O6" s="124">
        <f t="shared" si="0"/>
        <v>2451.5151515151515</v>
      </c>
      <c r="P6" s="121">
        <v>33</v>
      </c>
      <c r="Q6" s="105">
        <v>80900</v>
      </c>
    </row>
    <row r="7" spans="1:17" x14ac:dyDescent="0.4">
      <c r="A7" s="55" t="s">
        <v>2</v>
      </c>
      <c r="B7" s="47">
        <v>30</v>
      </c>
      <c r="C7" s="39">
        <f>IF(B$2=0,0,B7/B$2)</f>
        <v>0.63829787234042556</v>
      </c>
      <c r="E7" s="63" t="s">
        <v>70</v>
      </c>
      <c r="F7" s="60" t="s">
        <v>12</v>
      </c>
      <c r="G7" s="47">
        <v>35</v>
      </c>
      <c r="H7" s="135">
        <f>IF(B$17=0,0,G7/B$17)</f>
        <v>0.22580645161290322</v>
      </c>
      <c r="I7" s="96">
        <v>8</v>
      </c>
      <c r="K7" s="38">
        <v>5</v>
      </c>
      <c r="L7" s="101">
        <v>201.4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11</v>
      </c>
      <c r="C8" s="39">
        <f>IF(B$2=0,0,B8/B$2)</f>
        <v>0.23404255319148937</v>
      </c>
      <c r="E8" s="63" t="s">
        <v>92</v>
      </c>
      <c r="F8" s="60" t="s">
        <v>46</v>
      </c>
      <c r="G8" s="47">
        <v>30</v>
      </c>
      <c r="H8" s="135">
        <f>IF(B$17=0,0,G8/B$17)</f>
        <v>0.19354838709677419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0.1276595744680851</v>
      </c>
      <c r="E9" s="63" t="s">
        <v>71</v>
      </c>
      <c r="F9" s="60" t="s">
        <v>25</v>
      </c>
      <c r="G9" s="47">
        <v>27</v>
      </c>
      <c r="H9" s="135">
        <f>IF(B$17=0,0,G9/B$17)</f>
        <v>0.17419354838709677</v>
      </c>
      <c r="I9" s="96">
        <v>8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2.1276595744680851E-2</v>
      </c>
      <c r="E10" s="63" t="s">
        <v>67</v>
      </c>
      <c r="F10" s="60" t="s">
        <v>22</v>
      </c>
      <c r="G10" s="47">
        <v>23</v>
      </c>
      <c r="H10" s="135">
        <f>IF(B$17=0,0,G10/B$17)</f>
        <v>0.14838709677419354</v>
      </c>
      <c r="I10" s="96">
        <v>3</v>
      </c>
      <c r="K10" s="38">
        <v>8</v>
      </c>
      <c r="L10" s="101">
        <v>285.20000000000005</v>
      </c>
      <c r="N10" s="116" t="s">
        <v>167</v>
      </c>
      <c r="O10" s="126">
        <f>IF(P10=0,0,Q10/P10)</f>
        <v>16.678571428571427</v>
      </c>
      <c r="P10" s="120">
        <v>14</v>
      </c>
      <c r="Q10" s="108">
        <v>233.49999999999997</v>
      </c>
    </row>
    <row r="11" spans="1:17" x14ac:dyDescent="0.4">
      <c r="A11" s="56" t="s">
        <v>142</v>
      </c>
      <c r="B11" s="48">
        <v>11</v>
      </c>
      <c r="C11" s="40">
        <f>IF(B$2=0,0,B11/B$2)</f>
        <v>0.23404255319148937</v>
      </c>
      <c r="E11" s="63" t="s">
        <v>89</v>
      </c>
      <c r="F11" s="60" t="s">
        <v>43</v>
      </c>
      <c r="G11" s="47">
        <v>15</v>
      </c>
      <c r="H11" s="135">
        <f>IF(B$17=0,0,G11/B$17)</f>
        <v>9.6774193548387094E-2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20.907142857142855</v>
      </c>
      <c r="P11" s="121">
        <v>14</v>
      </c>
      <c r="Q11" s="109">
        <v>292.7</v>
      </c>
    </row>
    <row r="12" spans="1:17" x14ac:dyDescent="0.4">
      <c r="A12" s="57" t="s">
        <v>162</v>
      </c>
      <c r="B12" s="49">
        <v>9</v>
      </c>
      <c r="C12" s="42">
        <f>IF(B$2=0,0,B12/B$2)</f>
        <v>0.19148936170212766</v>
      </c>
      <c r="E12" s="63" t="s">
        <v>72</v>
      </c>
      <c r="F12" s="60" t="s">
        <v>26</v>
      </c>
      <c r="G12" s="47">
        <v>11</v>
      </c>
      <c r="H12" s="135">
        <f>IF(B$17=0,0,G12/B$17)</f>
        <v>7.0967741935483872E-2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38.857894736842105</v>
      </c>
      <c r="P12" s="122">
        <v>19</v>
      </c>
      <c r="Q12" s="110">
        <v>738.30000000000007</v>
      </c>
    </row>
    <row r="13" spans="1:17" x14ac:dyDescent="0.4">
      <c r="A13" s="58" t="s">
        <v>124</v>
      </c>
      <c r="B13" s="50">
        <v>123</v>
      </c>
      <c r="C13" s="44">
        <f>IF(B$3=0,0,B13/B$3)</f>
        <v>0.33606557377049179</v>
      </c>
      <c r="E13" s="63" t="s">
        <v>73</v>
      </c>
      <c r="F13" s="60" t="s">
        <v>27</v>
      </c>
      <c r="G13" s="47">
        <v>10</v>
      </c>
      <c r="H13" s="135">
        <f>IF(B$17=0,0,G13/B$17)</f>
        <v>6.4516129032258063E-2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93</v>
      </c>
      <c r="C14" s="39">
        <f>IF(B$3=0,0,B14/B$3)</f>
        <v>0.25409836065573771</v>
      </c>
      <c r="E14" s="63" t="s">
        <v>86</v>
      </c>
      <c r="F14" s="60" t="s">
        <v>40</v>
      </c>
      <c r="G14" s="47">
        <v>9</v>
      </c>
      <c r="H14" s="135">
        <f>IF(B$17=0,0,G14/B$17)</f>
        <v>5.8064516129032261E-2</v>
      </c>
      <c r="I14" s="96">
        <v>3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80</v>
      </c>
      <c r="C15" s="37">
        <f>IF(B$13=0,0,B15/B$13)</f>
        <v>0.65040650406504064</v>
      </c>
      <c r="E15" s="63" t="s">
        <v>84</v>
      </c>
      <c r="F15" s="60" t="s">
        <v>38</v>
      </c>
      <c r="G15" s="47">
        <v>4</v>
      </c>
      <c r="H15" s="135">
        <f>IF(B$17=0,0,G15/B$17)</f>
        <v>2.5806451612903226E-2</v>
      </c>
      <c r="I15" s="96">
        <v>5</v>
      </c>
      <c r="K15" s="38">
        <v>13</v>
      </c>
      <c r="L15" s="101">
        <v>418.90000000000003</v>
      </c>
      <c r="N15" s="116" t="s">
        <v>176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127</v>
      </c>
      <c r="B16" s="46">
        <v>51</v>
      </c>
      <c r="C16" s="37">
        <f>IF(B$14=0,0,B16/B$14)</f>
        <v>0.54838709677419351</v>
      </c>
      <c r="E16" s="63" t="s">
        <v>80</v>
      </c>
      <c r="F16" s="60" t="s">
        <v>34</v>
      </c>
      <c r="G16" s="47">
        <v>3</v>
      </c>
      <c r="H16" s="135">
        <f>IF(B$17=0,0,G16/B$17)</f>
        <v>1.935483870967742E-2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155</v>
      </c>
      <c r="C17" s="37">
        <f>IF(B$3=0,0,B17/B$3)</f>
        <v>0.42349726775956287</v>
      </c>
      <c r="E17" s="63" t="s">
        <v>75</v>
      </c>
      <c r="F17" s="60" t="s">
        <v>29</v>
      </c>
      <c r="G17" s="47">
        <v>2</v>
      </c>
      <c r="H17" s="135">
        <f>IF(B$17=0,0,G17/B$17)</f>
        <v>1.2903225806451613E-2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61.285714285714285</v>
      </c>
      <c r="P17" s="121">
        <v>7</v>
      </c>
      <c r="Q17" s="109">
        <v>429</v>
      </c>
    </row>
    <row r="18" spans="1:17" x14ac:dyDescent="0.4">
      <c r="A18" s="55" t="s">
        <v>12</v>
      </c>
      <c r="B18" s="47">
        <v>61</v>
      </c>
      <c r="C18" s="39">
        <f>IF(B$17=0,0,B18/B$17)</f>
        <v>0.3935483870967742</v>
      </c>
      <c r="E18" s="63" t="s">
        <v>94</v>
      </c>
      <c r="F18" s="60" t="s">
        <v>48</v>
      </c>
      <c r="G18" s="47">
        <v>2</v>
      </c>
      <c r="H18" s="135">
        <f>IF(B$17=0,0,G18/B$17)</f>
        <v>1.2903225806451613E-2</v>
      </c>
      <c r="I18" s="96">
        <v>5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94</v>
      </c>
      <c r="C19" s="39">
        <f>IF(B$17=0,0,B19/B$17)</f>
        <v>0.6064516129032258</v>
      </c>
      <c r="E19" s="63" t="s">
        <v>77</v>
      </c>
      <c r="F19" s="60" t="s">
        <v>31</v>
      </c>
      <c r="G19" s="47">
        <v>1</v>
      </c>
      <c r="H19" s="135">
        <f>IF(B$17=0,0,G19/B$17)</f>
        <v>6.4516129032258064E-3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53.533333333333331</v>
      </c>
      <c r="P19" s="121">
        <v>12</v>
      </c>
      <c r="Q19" s="109">
        <v>642.4</v>
      </c>
    </row>
    <row r="20" spans="1:17" x14ac:dyDescent="0.4">
      <c r="A20" s="55" t="s">
        <v>13</v>
      </c>
      <c r="B20" s="47">
        <v>53</v>
      </c>
      <c r="C20" s="39">
        <f>IF(B$3=0,0,B20/B$3)</f>
        <v>0.1448087431693989</v>
      </c>
      <c r="E20" s="63" t="s">
        <v>79</v>
      </c>
      <c r="F20" s="60" t="s">
        <v>33</v>
      </c>
      <c r="G20" s="47">
        <v>1</v>
      </c>
      <c r="H20" s="135">
        <f>IF(B$17=0,0,G20/B$17)</f>
        <v>6.4516129032258064E-3</v>
      </c>
      <c r="I20" s="96">
        <v>2</v>
      </c>
      <c r="K20" s="38">
        <v>18</v>
      </c>
      <c r="L20" s="101">
        <v>429.3</v>
      </c>
      <c r="N20" s="117" t="s">
        <v>175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196</v>
      </c>
      <c r="B21" s="47">
        <v>7</v>
      </c>
      <c r="C21" s="137">
        <v>4</v>
      </c>
      <c r="E21" s="63" t="s">
        <v>81</v>
      </c>
      <c r="F21" s="60" t="s">
        <v>35</v>
      </c>
      <c r="G21" s="47">
        <v>1</v>
      </c>
      <c r="H21" s="135">
        <f>IF(B$17=0,0,G21/B$17)</f>
        <v>6.4516129032258064E-3</v>
      </c>
      <c r="I21" s="96">
        <v>5</v>
      </c>
      <c r="K21" s="38">
        <v>19</v>
      </c>
      <c r="L21" s="101">
        <v>405.40000000000003</v>
      </c>
      <c r="N21" s="117" t="s">
        <v>174</v>
      </c>
      <c r="O21" s="127">
        <f>IF(P21=0,0,Q21/P21)</f>
        <v>30.278947368421051</v>
      </c>
      <c r="P21" s="121">
        <v>19</v>
      </c>
      <c r="Q21" s="109">
        <v>575.29999999999995</v>
      </c>
    </row>
    <row r="22" spans="1:17" x14ac:dyDescent="0.4">
      <c r="A22" s="55" t="s">
        <v>197</v>
      </c>
      <c r="B22" s="47">
        <v>27</v>
      </c>
      <c r="C22" s="137">
        <v>9</v>
      </c>
      <c r="E22" s="63" t="s">
        <v>90</v>
      </c>
      <c r="F22" s="60" t="s">
        <v>44</v>
      </c>
      <c r="G22" s="47">
        <v>1</v>
      </c>
      <c r="H22" s="135">
        <f>IF(B$17=0,0,G22/B$17)</f>
        <v>6.4516129032258064E-3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26.352777777777778</v>
      </c>
      <c r="P22" s="121">
        <v>36</v>
      </c>
      <c r="Q22" s="109">
        <v>948.7</v>
      </c>
    </row>
    <row r="23" spans="1:17" x14ac:dyDescent="0.4">
      <c r="A23" s="55" t="s">
        <v>5</v>
      </c>
      <c r="B23" s="51">
        <f>IF(B$17=0,0,C23/B$17)</f>
        <v>9387.0967741935492</v>
      </c>
      <c r="C23" s="41">
        <v>1455000</v>
      </c>
      <c r="E23" s="63" t="s">
        <v>93</v>
      </c>
      <c r="F23" s="60" t="s">
        <v>47</v>
      </c>
      <c r="G23" s="47">
        <v>1</v>
      </c>
      <c r="H23" s="135">
        <f>IF(B$17=0,0,G23/B$17)</f>
        <v>6.4516129032258064E-3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-8015.0943396226412</v>
      </c>
      <c r="C24" s="45">
        <v>-424800</v>
      </c>
      <c r="E24" s="63" t="s">
        <v>98</v>
      </c>
      <c r="F24" s="60" t="s">
        <v>52</v>
      </c>
      <c r="G24" s="47">
        <v>1</v>
      </c>
      <c r="H24" s="135">
        <f>IF(B$17=0,0,G24/B$17)</f>
        <v>6.4516129032258064E-3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4">
        <v>7</v>
      </c>
      <c r="C25" s="145"/>
      <c r="E25" s="63" t="s">
        <v>76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2">
        <v>105900</v>
      </c>
      <c r="C26" s="143"/>
      <c r="E26" s="63" t="s">
        <v>78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12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12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D342-5E8F-4E0E-959A-2BAD6372A5D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130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49</v>
      </c>
      <c r="C2" s="151"/>
      <c r="E2" s="62" t="s">
        <v>68</v>
      </c>
      <c r="F2" s="59" t="s">
        <v>23</v>
      </c>
      <c r="G2" s="46">
        <v>76</v>
      </c>
      <c r="H2" s="134">
        <f>IF(B$17=0,0,G2/B$17)</f>
        <v>0.64406779661016944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759.18367346938771</v>
      </c>
      <c r="P2" s="120">
        <v>49</v>
      </c>
      <c r="Q2" s="104">
        <v>37200</v>
      </c>
    </row>
    <row r="3" spans="1:17" x14ac:dyDescent="0.4">
      <c r="A3" s="55" t="s">
        <v>8</v>
      </c>
      <c r="B3" s="152">
        <v>409</v>
      </c>
      <c r="C3" s="153"/>
      <c r="E3" s="63" t="s">
        <v>66</v>
      </c>
      <c r="F3" s="60" t="s">
        <v>21</v>
      </c>
      <c r="G3" s="47">
        <v>69</v>
      </c>
      <c r="H3" s="135">
        <f>IF(B$17=0,0,G3/B$17)</f>
        <v>0.5847457627118644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-908.33333333333337</v>
      </c>
      <c r="P3" s="121">
        <v>48</v>
      </c>
      <c r="Q3" s="105">
        <v>-43600</v>
      </c>
    </row>
    <row r="4" spans="1:17" x14ac:dyDescent="0.4">
      <c r="A4" s="55" t="s">
        <v>6</v>
      </c>
      <c r="B4" s="154">
        <v>-4.8000000000000398</v>
      </c>
      <c r="C4" s="155"/>
      <c r="E4" s="63" t="s">
        <v>74</v>
      </c>
      <c r="F4" s="60" t="s">
        <v>28</v>
      </c>
      <c r="G4" s="47">
        <v>50</v>
      </c>
      <c r="H4" s="135">
        <f>IF(B$17=0,0,G4/B$17)</f>
        <v>0.42372881355932202</v>
      </c>
      <c r="I4" s="96">
        <v>10</v>
      </c>
      <c r="K4" s="38">
        <v>2</v>
      </c>
      <c r="L4" s="101">
        <v>6.2999999999999972</v>
      </c>
      <c r="N4" s="117" t="s">
        <v>136</v>
      </c>
      <c r="O4" s="124">
        <f t="shared" si="0"/>
        <v>-908.695652173913</v>
      </c>
      <c r="P4" s="121">
        <v>46</v>
      </c>
      <c r="Q4" s="105">
        <v>-41800</v>
      </c>
    </row>
    <row r="5" spans="1:17" x14ac:dyDescent="0.4">
      <c r="A5" s="55" t="s">
        <v>7</v>
      </c>
      <c r="B5" s="156">
        <f>IF(B$2=0,0,B$4/B$2)</f>
        <v>-9.7959183673470202E-2</v>
      </c>
      <c r="C5" s="157"/>
      <c r="E5" s="63" t="s">
        <v>184</v>
      </c>
      <c r="F5" s="60" t="s">
        <v>185</v>
      </c>
      <c r="G5" s="47">
        <v>48</v>
      </c>
      <c r="H5" s="135">
        <f>IF(B$17=0,0,G5/B$17)</f>
        <v>0.40677966101694918</v>
      </c>
      <c r="I5" s="96">
        <v>3</v>
      </c>
      <c r="K5" s="38">
        <v>3</v>
      </c>
      <c r="L5" s="101">
        <v>-47.300000000000004</v>
      </c>
      <c r="N5" s="117" t="s">
        <v>137</v>
      </c>
      <c r="O5" s="124">
        <f t="shared" si="0"/>
        <v>195</v>
      </c>
      <c r="P5" s="121">
        <v>40</v>
      </c>
      <c r="Q5" s="105">
        <v>7800</v>
      </c>
    </row>
    <row r="6" spans="1:17" x14ac:dyDescent="0.4">
      <c r="A6" s="55" t="s">
        <v>1</v>
      </c>
      <c r="B6" s="146">
        <f>IF(B$2=0,0,(B$7*1+B$8*2+B$9*3)/B$2)</f>
        <v>2.0204081632653059</v>
      </c>
      <c r="C6" s="147"/>
      <c r="E6" s="63" t="s">
        <v>69</v>
      </c>
      <c r="F6" s="60" t="s">
        <v>24</v>
      </c>
      <c r="G6" s="47">
        <v>43</v>
      </c>
      <c r="H6" s="135">
        <f>IF(B$17=0,0,G6/B$17)</f>
        <v>0.36440677966101692</v>
      </c>
      <c r="I6" s="96">
        <v>3</v>
      </c>
      <c r="K6" s="38">
        <v>4</v>
      </c>
      <c r="L6" s="101">
        <v>13.599999999999994</v>
      </c>
      <c r="N6" s="117" t="s">
        <v>138</v>
      </c>
      <c r="O6" s="124">
        <f t="shared" si="0"/>
        <v>973.68421052631584</v>
      </c>
      <c r="P6" s="121">
        <v>38</v>
      </c>
      <c r="Q6" s="105">
        <v>37000</v>
      </c>
    </row>
    <row r="7" spans="1:17" x14ac:dyDescent="0.4">
      <c r="A7" s="55" t="s">
        <v>2</v>
      </c>
      <c r="B7" s="47">
        <v>14</v>
      </c>
      <c r="C7" s="39">
        <f>IF(B$2=0,0,B7/B$2)</f>
        <v>0.2857142857142857</v>
      </c>
      <c r="E7" s="63" t="s">
        <v>70</v>
      </c>
      <c r="F7" s="60" t="s">
        <v>12</v>
      </c>
      <c r="G7" s="47">
        <v>42</v>
      </c>
      <c r="H7" s="135">
        <f>IF(B$17=0,0,G7/B$17)</f>
        <v>0.3559322033898305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0"/>
        <v>516.66666666666663</v>
      </c>
      <c r="P7" s="122">
        <v>36</v>
      </c>
      <c r="Q7" s="106">
        <v>18600</v>
      </c>
    </row>
    <row r="8" spans="1:17" x14ac:dyDescent="0.4">
      <c r="A8" s="55" t="s">
        <v>3</v>
      </c>
      <c r="B8" s="47">
        <v>20</v>
      </c>
      <c r="C8" s="39">
        <f>IF(B$2=0,0,B8/B$2)</f>
        <v>0.40816326530612246</v>
      </c>
      <c r="E8" s="63" t="s">
        <v>71</v>
      </c>
      <c r="F8" s="60" t="s">
        <v>25</v>
      </c>
      <c r="G8" s="47">
        <v>25</v>
      </c>
      <c r="H8" s="135">
        <f>IF(B$17=0,0,G8/B$17)</f>
        <v>0.21186440677966101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15</v>
      </c>
      <c r="C9" s="40">
        <f t="shared" ref="C9" si="1">IF(B$2=0,0,B9/B$2)</f>
        <v>0.30612244897959184</v>
      </c>
      <c r="E9" s="63" t="s">
        <v>72</v>
      </c>
      <c r="F9" s="60" t="s">
        <v>26</v>
      </c>
      <c r="G9" s="47">
        <v>19</v>
      </c>
      <c r="H9" s="135">
        <f>IF(B$17=0,0,G9/B$17)</f>
        <v>0.16101694915254236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7</v>
      </c>
      <c r="C10" s="40">
        <f>IF(B$2=0,0,B10/B$2)</f>
        <v>0.14285714285714285</v>
      </c>
      <c r="E10" s="63" t="s">
        <v>67</v>
      </c>
      <c r="F10" s="60" t="s">
        <v>22</v>
      </c>
      <c r="G10" s="47">
        <v>15</v>
      </c>
      <c r="H10" s="135">
        <f>IF(B$17=0,0,G10/B$17)</f>
        <v>0.1271186440677966</v>
      </c>
      <c r="I10" s="96">
        <v>5</v>
      </c>
      <c r="K10" s="38">
        <v>8</v>
      </c>
      <c r="L10" s="101">
        <v>-49.6</v>
      </c>
      <c r="N10" s="116" t="s">
        <v>167</v>
      </c>
      <c r="O10" s="126">
        <f>IF(P10=0,0,Q10/P10)</f>
        <v>0.69999999999999818</v>
      </c>
      <c r="P10" s="120">
        <v>26</v>
      </c>
      <c r="Q10" s="108">
        <v>18.199999999999953</v>
      </c>
    </row>
    <row r="11" spans="1:17" x14ac:dyDescent="0.4">
      <c r="A11" s="56" t="s">
        <v>142</v>
      </c>
      <c r="B11" s="48">
        <v>4</v>
      </c>
      <c r="C11" s="40">
        <f>IF(B$2=0,0,B11/B$2)</f>
        <v>8.1632653061224483E-2</v>
      </c>
      <c r="E11" s="63" t="s">
        <v>92</v>
      </c>
      <c r="F11" s="60" t="s">
        <v>46</v>
      </c>
      <c r="G11" s="47">
        <v>10</v>
      </c>
      <c r="H11" s="135">
        <f>IF(B$17=0,0,G11/B$17)</f>
        <v>8.4745762711864403E-2</v>
      </c>
      <c r="I11" s="96">
        <v>10</v>
      </c>
      <c r="K11" s="38">
        <v>9</v>
      </c>
      <c r="L11" s="101">
        <v>-79.5</v>
      </c>
      <c r="N11" s="117" t="s">
        <v>168</v>
      </c>
      <c r="O11" s="127">
        <f>IF(P11=0,0,Q11/P11)</f>
        <v>-8.0714285714285712</v>
      </c>
      <c r="P11" s="121">
        <v>14</v>
      </c>
      <c r="Q11" s="109">
        <v>-112.99999999999999</v>
      </c>
    </row>
    <row r="12" spans="1:17" x14ac:dyDescent="0.4">
      <c r="A12" s="57" t="s">
        <v>162</v>
      </c>
      <c r="B12" s="49">
        <v>4</v>
      </c>
      <c r="C12" s="42">
        <f>IF(B$2=0,0,B12/B$2)</f>
        <v>8.1632653061224483E-2</v>
      </c>
      <c r="E12" s="63" t="s">
        <v>89</v>
      </c>
      <c r="F12" s="60" t="s">
        <v>43</v>
      </c>
      <c r="G12" s="47">
        <v>7</v>
      </c>
      <c r="H12" s="135">
        <f>IF(B$17=0,0,G12/B$17)</f>
        <v>5.9322033898305086E-2</v>
      </c>
      <c r="I12" s="96">
        <v>5</v>
      </c>
      <c r="K12" s="38">
        <v>10</v>
      </c>
      <c r="L12" s="101">
        <v>-80.900000000000006</v>
      </c>
      <c r="N12" s="118" t="s">
        <v>169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124</v>
      </c>
      <c r="B13" s="50">
        <v>114</v>
      </c>
      <c r="C13" s="44">
        <f>IF(B$3=0,0,B13/B$3)</f>
        <v>0.27872860635696822</v>
      </c>
      <c r="E13" s="63" t="s">
        <v>84</v>
      </c>
      <c r="F13" s="60" t="s">
        <v>38</v>
      </c>
      <c r="G13" s="47">
        <v>5</v>
      </c>
      <c r="H13" s="135">
        <f>IF(B$17=0,0,G13/B$17)</f>
        <v>4.2372881355932202E-2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72</v>
      </c>
      <c r="C14" s="39">
        <f>IF(B$3=0,0,B14/B$3)</f>
        <v>0.17603911980440098</v>
      </c>
      <c r="E14" s="63" t="s">
        <v>94</v>
      </c>
      <c r="F14" s="60" t="s">
        <v>48</v>
      </c>
      <c r="G14" s="47">
        <v>5</v>
      </c>
      <c r="H14" s="135">
        <f>IF(B$17=0,0,G14/B$17)</f>
        <v>4.2372881355932202E-2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74</v>
      </c>
      <c r="C15" s="37">
        <f>IF(B$13=0,0,B15/B$13)</f>
        <v>0.64912280701754388</v>
      </c>
      <c r="E15" s="63" t="s">
        <v>73</v>
      </c>
      <c r="F15" s="60" t="s">
        <v>27</v>
      </c>
      <c r="G15" s="47">
        <v>4</v>
      </c>
      <c r="H15" s="135">
        <f>IF(B$17=0,0,G15/B$17)</f>
        <v>3.3898305084745763E-2</v>
      </c>
      <c r="I15" s="96">
        <v>7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17</v>
      </c>
      <c r="C16" s="37">
        <f>IF(B$14=0,0,B16/B$14)</f>
        <v>0.2361111111111111</v>
      </c>
      <c r="E16" s="63" t="s">
        <v>183</v>
      </c>
      <c r="F16" s="60" t="s">
        <v>186</v>
      </c>
      <c r="G16" s="47">
        <v>3</v>
      </c>
      <c r="H16" s="135">
        <f>IF(B$17=0,0,G16/B$17)</f>
        <v>2.5423728813559324E-2</v>
      </c>
      <c r="I16" s="96">
        <v>2</v>
      </c>
      <c r="K16" s="38">
        <v>14</v>
      </c>
      <c r="L16" s="101">
        <v>-25.600000000000009</v>
      </c>
      <c r="N16" s="117" t="s">
        <v>131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118</v>
      </c>
      <c r="C17" s="37">
        <f>IF(B$3=0,0,B17/B$3)</f>
        <v>0.28850855745721271</v>
      </c>
      <c r="E17" s="63" t="s">
        <v>76</v>
      </c>
      <c r="F17" s="60" t="s">
        <v>30</v>
      </c>
      <c r="G17" s="47">
        <v>2</v>
      </c>
      <c r="H17" s="135">
        <f>IF(B$17=0,0,G17/B$17)</f>
        <v>1.6949152542372881E-2</v>
      </c>
      <c r="I17" s="96">
        <v>1</v>
      </c>
      <c r="K17" s="38">
        <v>15</v>
      </c>
      <c r="L17" s="101">
        <v>47.999999999999986</v>
      </c>
      <c r="N17" s="117" t="s">
        <v>174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46</v>
      </c>
      <c r="C18" s="39">
        <f>IF(B$17=0,0,B18/B$17)</f>
        <v>0.38983050847457629</v>
      </c>
      <c r="E18" s="63" t="s">
        <v>81</v>
      </c>
      <c r="F18" s="60" t="s">
        <v>35</v>
      </c>
      <c r="G18" s="47">
        <v>2</v>
      </c>
      <c r="H18" s="135">
        <f>IF(B$17=0,0,G18/B$17)</f>
        <v>1.6949152542372881E-2</v>
      </c>
      <c r="I18" s="96">
        <v>3</v>
      </c>
      <c r="K18" s="38">
        <v>16</v>
      </c>
      <c r="L18" s="101">
        <v>41.699999999999989</v>
      </c>
      <c r="N18" s="117" t="s">
        <v>176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72</v>
      </c>
      <c r="C19" s="39">
        <f>IF(B$17=0,0,B19/B$17)</f>
        <v>0.61016949152542377</v>
      </c>
      <c r="E19" s="63" t="s">
        <v>86</v>
      </c>
      <c r="F19" s="60" t="s">
        <v>40</v>
      </c>
      <c r="G19" s="47">
        <v>2</v>
      </c>
      <c r="H19" s="135">
        <f>IF(B$17=0,0,G19/B$17)</f>
        <v>1.6949152542372881E-2</v>
      </c>
      <c r="I19" s="96">
        <v>9</v>
      </c>
      <c r="K19" s="38">
        <v>17</v>
      </c>
      <c r="L19" s="101">
        <v>94.6</v>
      </c>
      <c r="N19" s="117" t="s">
        <v>180</v>
      </c>
      <c r="O19" s="127">
        <f>IF(P19=0,0,Q19/P19)</f>
        <v>2.1666666666666665</v>
      </c>
      <c r="P19" s="121">
        <v>9</v>
      </c>
      <c r="Q19" s="109">
        <v>19.5</v>
      </c>
    </row>
    <row r="20" spans="1:17" x14ac:dyDescent="0.4">
      <c r="A20" s="55" t="s">
        <v>13</v>
      </c>
      <c r="B20" s="47">
        <v>69</v>
      </c>
      <c r="C20" s="39">
        <f>IF(B$3=0,0,B20/B$3)</f>
        <v>0.1687041564792176</v>
      </c>
      <c r="E20" s="63" t="s">
        <v>75</v>
      </c>
      <c r="F20" s="60" t="s">
        <v>29</v>
      </c>
      <c r="G20" s="47">
        <v>1</v>
      </c>
      <c r="H20" s="135">
        <f>IF(B$17=0,0,G20/B$17)</f>
        <v>8.4745762711864406E-3</v>
      </c>
      <c r="I20" s="96">
        <v>2</v>
      </c>
      <c r="K20" s="38">
        <v>18</v>
      </c>
      <c r="L20" s="101">
        <v>116.69999999999999</v>
      </c>
      <c r="N20" s="117" t="s">
        <v>175</v>
      </c>
      <c r="O20" s="127">
        <f>IF(P20=0,0,Q20/P20)</f>
        <v>-8.672727272727272</v>
      </c>
      <c r="P20" s="121">
        <v>11</v>
      </c>
      <c r="Q20" s="109">
        <v>-95.399999999999991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77</v>
      </c>
      <c r="F21" s="60" t="s">
        <v>31</v>
      </c>
      <c r="G21" s="47">
        <v>1</v>
      </c>
      <c r="H21" s="135">
        <f>IF(B$17=0,0,G21/B$17)</f>
        <v>8.4745762711864406E-3</v>
      </c>
      <c r="I21" s="96">
        <v>4</v>
      </c>
      <c r="K21" s="38">
        <v>19</v>
      </c>
      <c r="L21" s="101">
        <v>138.79999999999998</v>
      </c>
      <c r="N21" s="117" t="s">
        <v>129</v>
      </c>
      <c r="O21" s="127">
        <f>IF(P21=0,0,Q21/P21)</f>
        <v>-26.352777777777778</v>
      </c>
      <c r="P21" s="121">
        <v>36</v>
      </c>
      <c r="Q21" s="109">
        <v>-948.7</v>
      </c>
    </row>
    <row r="22" spans="1:17" x14ac:dyDescent="0.4">
      <c r="A22" s="55" t="s">
        <v>197</v>
      </c>
      <c r="B22" s="47">
        <v>24</v>
      </c>
      <c r="C22" s="137">
        <v>0</v>
      </c>
      <c r="E22" s="63" t="s">
        <v>79</v>
      </c>
      <c r="F22" s="60" t="s">
        <v>33</v>
      </c>
      <c r="G22" s="47">
        <v>1</v>
      </c>
      <c r="H22" s="135">
        <f>IF(B$17=0,0,G22/B$17)</f>
        <v>8.4745762711864406E-3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9089.8305084745771</v>
      </c>
      <c r="C23" s="41">
        <v>1072600</v>
      </c>
      <c r="E23" s="63" t="s">
        <v>80</v>
      </c>
      <c r="F23" s="60" t="s">
        <v>34</v>
      </c>
      <c r="G23" s="47">
        <v>1</v>
      </c>
      <c r="H23" s="135">
        <f>IF(B$17=0,0,G23/B$17)</f>
        <v>8.4745762711864406E-3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-7600</v>
      </c>
      <c r="C24" s="45">
        <v>-524400</v>
      </c>
      <c r="E24" s="63" t="s">
        <v>87</v>
      </c>
      <c r="F24" s="60" t="s">
        <v>41</v>
      </c>
      <c r="G24" s="47">
        <v>1</v>
      </c>
      <c r="H24" s="135">
        <f>IF(B$17=0,0,G24/B$17)</f>
        <v>8.4745762711864406E-3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4">
        <v>5</v>
      </c>
      <c r="C25" s="145"/>
      <c r="E25" s="63" t="s">
        <v>91</v>
      </c>
      <c r="F25" s="60" t="s">
        <v>45</v>
      </c>
      <c r="G25" s="47">
        <v>1</v>
      </c>
      <c r="H25" s="135">
        <f>IF(B$17=0,0,G25/B$17)</f>
        <v>8.4745762711864406E-3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2">
        <v>88600</v>
      </c>
      <c r="C26" s="143"/>
      <c r="E26" s="63" t="s">
        <v>95</v>
      </c>
      <c r="F26" s="60" t="s">
        <v>49</v>
      </c>
      <c r="G26" s="47">
        <v>1</v>
      </c>
      <c r="H26" s="135">
        <f>IF(B$17=0,0,G26/B$17)</f>
        <v>8.4745762711864406E-3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9.7799511002444987E-3</v>
      </c>
      <c r="E27" s="63" t="s">
        <v>78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82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37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85</v>
      </c>
      <c r="F30" s="60" t="s">
        <v>39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90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-4.8000000000000398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3C4D0-000E-41F2-ACA9-7918C8ED5871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131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21</v>
      </c>
      <c r="C2" s="151"/>
      <c r="E2" s="62" t="s">
        <v>68</v>
      </c>
      <c r="F2" s="59" t="s">
        <v>23</v>
      </c>
      <c r="G2" s="46">
        <v>30</v>
      </c>
      <c r="H2" s="134">
        <f>IF(B$17=0,0,G2/B$17)</f>
        <v>0.88235294117647056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-3480.9523809523807</v>
      </c>
      <c r="P2" s="120">
        <v>21</v>
      </c>
      <c r="Q2" s="104">
        <v>-73100</v>
      </c>
    </row>
    <row r="3" spans="1:17" x14ac:dyDescent="0.4">
      <c r="A3" s="55" t="s">
        <v>8</v>
      </c>
      <c r="B3" s="152">
        <v>179</v>
      </c>
      <c r="C3" s="153"/>
      <c r="E3" s="63" t="s">
        <v>66</v>
      </c>
      <c r="F3" s="60" t="s">
        <v>21</v>
      </c>
      <c r="G3" s="47">
        <v>19</v>
      </c>
      <c r="H3" s="135">
        <f>IF(B$17=0,0,G3/B$17)</f>
        <v>0.55882352941176472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-4866.666666666667</v>
      </c>
      <c r="P3" s="121">
        <v>21</v>
      </c>
      <c r="Q3" s="105">
        <v>-102200</v>
      </c>
    </row>
    <row r="4" spans="1:17" x14ac:dyDescent="0.4">
      <c r="A4" s="55" t="s">
        <v>6</v>
      </c>
      <c r="B4" s="154">
        <v>-629.49999999999989</v>
      </c>
      <c r="C4" s="155"/>
      <c r="E4" s="63" t="s">
        <v>70</v>
      </c>
      <c r="F4" s="60" t="s">
        <v>12</v>
      </c>
      <c r="G4" s="47">
        <v>12</v>
      </c>
      <c r="H4" s="135">
        <f>IF(B$17=0,0,G4/B$17)</f>
        <v>0.35294117647058826</v>
      </c>
      <c r="I4" s="96">
        <v>4</v>
      </c>
      <c r="K4" s="38">
        <v>2</v>
      </c>
      <c r="L4" s="101">
        <v>-3.3999999999999986</v>
      </c>
      <c r="N4" s="117" t="s">
        <v>136</v>
      </c>
      <c r="O4" s="124">
        <f t="shared" si="0"/>
        <v>-5977.7777777777774</v>
      </c>
      <c r="P4" s="121">
        <v>18</v>
      </c>
      <c r="Q4" s="105">
        <v>-107600</v>
      </c>
    </row>
    <row r="5" spans="1:17" x14ac:dyDescent="0.4">
      <c r="A5" s="55" t="s">
        <v>7</v>
      </c>
      <c r="B5" s="156">
        <f>IF(B$2=0,0,B$4/B$2)</f>
        <v>-29.976190476190471</v>
      </c>
      <c r="C5" s="157"/>
      <c r="E5" s="63" t="s">
        <v>184</v>
      </c>
      <c r="F5" s="60" t="s">
        <v>185</v>
      </c>
      <c r="G5" s="47">
        <v>11</v>
      </c>
      <c r="H5" s="135">
        <f>IF(B$17=0,0,G5/B$17)</f>
        <v>0.3235294117647059</v>
      </c>
      <c r="I5" s="96">
        <v>8</v>
      </c>
      <c r="K5" s="38">
        <v>3</v>
      </c>
      <c r="L5" s="101">
        <v>-23.099999999999998</v>
      </c>
      <c r="N5" s="117" t="s">
        <v>137</v>
      </c>
      <c r="O5" s="124">
        <f t="shared" si="0"/>
        <v>-2293.3333333333335</v>
      </c>
      <c r="P5" s="121">
        <v>15</v>
      </c>
      <c r="Q5" s="105">
        <v>-34400</v>
      </c>
    </row>
    <row r="6" spans="1:17" x14ac:dyDescent="0.4">
      <c r="A6" s="55" t="s">
        <v>1</v>
      </c>
      <c r="B6" s="146">
        <f>IF(B$2=0,0,(B$7*1+B$8*2+B$9*3)/B$2)</f>
        <v>2.5238095238095237</v>
      </c>
      <c r="C6" s="147"/>
      <c r="E6" s="63" t="s">
        <v>69</v>
      </c>
      <c r="F6" s="60" t="s">
        <v>24</v>
      </c>
      <c r="G6" s="47">
        <v>10</v>
      </c>
      <c r="H6" s="135">
        <f>IF(B$17=0,0,G6/B$17)</f>
        <v>0.29411764705882354</v>
      </c>
      <c r="I6" s="96">
        <v>5</v>
      </c>
      <c r="K6" s="38">
        <v>4</v>
      </c>
      <c r="L6" s="101">
        <v>-31.4</v>
      </c>
      <c r="N6" s="117" t="s">
        <v>138</v>
      </c>
      <c r="O6" s="124">
        <f t="shared" si="0"/>
        <v>-2640</v>
      </c>
      <c r="P6" s="121">
        <v>15</v>
      </c>
      <c r="Q6" s="105">
        <v>-39600</v>
      </c>
    </row>
    <row r="7" spans="1:17" x14ac:dyDescent="0.4">
      <c r="A7" s="55" t="s">
        <v>2</v>
      </c>
      <c r="B7" s="47">
        <v>2</v>
      </c>
      <c r="C7" s="39">
        <f>IF(B$2=0,0,B7/B$2)</f>
        <v>9.5238095238095233E-2</v>
      </c>
      <c r="E7" s="63" t="s">
        <v>74</v>
      </c>
      <c r="F7" s="60" t="s">
        <v>28</v>
      </c>
      <c r="G7" s="47">
        <v>9</v>
      </c>
      <c r="H7" s="135">
        <f>IF(B$17=0,0,G7/B$17)</f>
        <v>0.26470588235294118</v>
      </c>
      <c r="I7" s="96">
        <v>11</v>
      </c>
      <c r="K7" s="38">
        <v>5</v>
      </c>
      <c r="L7" s="101">
        <v>-32.199999999999996</v>
      </c>
      <c r="N7" s="118" t="s">
        <v>139</v>
      </c>
      <c r="O7" s="125">
        <f t="shared" si="0"/>
        <v>-2246.6666666666665</v>
      </c>
      <c r="P7" s="122">
        <v>15</v>
      </c>
      <c r="Q7" s="106">
        <v>-33700</v>
      </c>
    </row>
    <row r="8" spans="1:17" x14ac:dyDescent="0.4">
      <c r="A8" s="55" t="s">
        <v>3</v>
      </c>
      <c r="B8" s="47">
        <v>6</v>
      </c>
      <c r="C8" s="39">
        <f>IF(B$2=0,0,B8/B$2)</f>
        <v>0.2857142857142857</v>
      </c>
      <c r="E8" s="63" t="s">
        <v>72</v>
      </c>
      <c r="F8" s="60" t="s">
        <v>26</v>
      </c>
      <c r="G8" s="47">
        <v>8</v>
      </c>
      <c r="H8" s="135">
        <f>IF(B$17=0,0,G8/B$17)</f>
        <v>0.23529411764705882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13</v>
      </c>
      <c r="C9" s="40">
        <f t="shared" ref="C9" si="1">IF(B$2=0,0,B9/B$2)</f>
        <v>0.61904761904761907</v>
      </c>
      <c r="E9" s="63" t="s">
        <v>71</v>
      </c>
      <c r="F9" s="60" t="s">
        <v>25</v>
      </c>
      <c r="G9" s="47">
        <v>7</v>
      </c>
      <c r="H9" s="135">
        <f>IF(B$17=0,0,G9/B$17)</f>
        <v>0.20588235294117646</v>
      </c>
      <c r="I9" s="96">
        <v>4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5</v>
      </c>
      <c r="C10" s="40">
        <f>IF(B$2=0,0,B10/B$2)</f>
        <v>0.23809523809523808</v>
      </c>
      <c r="E10" s="63" t="s">
        <v>92</v>
      </c>
      <c r="F10" s="60" t="s">
        <v>46</v>
      </c>
      <c r="G10" s="47">
        <v>5</v>
      </c>
      <c r="H10" s="135">
        <f>IF(B$17=0,0,G10/B$17)</f>
        <v>0.14705882352941177</v>
      </c>
      <c r="I10" s="96">
        <v>7</v>
      </c>
      <c r="K10" s="38">
        <v>8</v>
      </c>
      <c r="L10" s="101">
        <v>-79.599999999999994</v>
      </c>
      <c r="N10" s="116" t="s">
        <v>167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67</v>
      </c>
      <c r="F11" s="60" t="s">
        <v>22</v>
      </c>
      <c r="G11" s="47">
        <v>4</v>
      </c>
      <c r="H11" s="135">
        <f>IF(B$17=0,0,G11/B$17)</f>
        <v>0.11764705882352941</v>
      </c>
      <c r="I11" s="96">
        <v>6</v>
      </c>
      <c r="K11" s="38">
        <v>9</v>
      </c>
      <c r="L11" s="101">
        <v>-127.6</v>
      </c>
      <c r="N11" s="117" t="s">
        <v>168</v>
      </c>
      <c r="O11" s="127">
        <f>IF(P11=0,0,Q11/P11)</f>
        <v>-30.022222222222226</v>
      </c>
      <c r="P11" s="121">
        <v>9</v>
      </c>
      <c r="Q11" s="109">
        <v>-270.20000000000005</v>
      </c>
    </row>
    <row r="12" spans="1:17" x14ac:dyDescent="0.4">
      <c r="A12" s="57" t="s">
        <v>162</v>
      </c>
      <c r="B12" s="49">
        <v>1</v>
      </c>
      <c r="C12" s="42">
        <f>IF(B$2=0,0,B12/B$2)</f>
        <v>4.7619047619047616E-2</v>
      </c>
      <c r="E12" s="63" t="s">
        <v>73</v>
      </c>
      <c r="F12" s="60" t="s">
        <v>27</v>
      </c>
      <c r="G12" s="47">
        <v>4</v>
      </c>
      <c r="H12" s="135">
        <f>IF(B$17=0,0,G12/B$17)</f>
        <v>0.11764705882352941</v>
      </c>
      <c r="I12" s="96">
        <v>2</v>
      </c>
      <c r="K12" s="38">
        <v>10</v>
      </c>
      <c r="L12" s="101">
        <v>-231.39999999999998</v>
      </c>
      <c r="N12" s="118" t="s">
        <v>169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124</v>
      </c>
      <c r="B13" s="50">
        <v>43</v>
      </c>
      <c r="C13" s="44">
        <f>IF(B$3=0,0,B13/B$3)</f>
        <v>0.24022346368715083</v>
      </c>
      <c r="E13" s="63" t="s">
        <v>89</v>
      </c>
      <c r="F13" s="60" t="s">
        <v>43</v>
      </c>
      <c r="G13" s="47">
        <v>2</v>
      </c>
      <c r="H13" s="135">
        <f>IF(B$17=0,0,G13/B$17)</f>
        <v>5.8823529411764705E-2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0.11731843575418995</v>
      </c>
      <c r="E14" s="63" t="s">
        <v>80</v>
      </c>
      <c r="F14" s="60" t="s">
        <v>34</v>
      </c>
      <c r="G14" s="47">
        <v>1</v>
      </c>
      <c r="H14" s="135">
        <f>IF(B$17=0,0,G14/B$17)</f>
        <v>2.9411764705882353E-2</v>
      </c>
      <c r="I14" s="96">
        <v>3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20</v>
      </c>
      <c r="C15" s="37">
        <f>IF(B$13=0,0,B15/B$13)</f>
        <v>0.46511627906976744</v>
      </c>
      <c r="E15" s="63" t="s">
        <v>86</v>
      </c>
      <c r="F15" s="60" t="s">
        <v>40</v>
      </c>
      <c r="G15" s="47">
        <v>1</v>
      </c>
      <c r="H15" s="135">
        <f>IF(B$17=0,0,G15/B$17)</f>
        <v>2.9411764705882353E-2</v>
      </c>
      <c r="I15" s="96">
        <v>8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0.19047619047619047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0.18994413407821228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16</v>
      </c>
      <c r="C18" s="39">
        <f>IF(B$17=0,0,B18/B$17)</f>
        <v>0.47058823529411764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-53.533333333333331</v>
      </c>
      <c r="P18" s="121">
        <v>12</v>
      </c>
      <c r="Q18" s="109">
        <v>-642.4</v>
      </c>
    </row>
    <row r="19" spans="1:17" x14ac:dyDescent="0.4">
      <c r="A19" s="55" t="s">
        <v>11</v>
      </c>
      <c r="B19" s="47">
        <v>18</v>
      </c>
      <c r="C19" s="39">
        <f>IF(B$17=0,0,B19/B$17)</f>
        <v>0.52941176470588236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175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39</v>
      </c>
      <c r="C20" s="39">
        <f>IF(B$3=0,0,B20/B$3)</f>
        <v>0.21787709497206703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189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6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7282.3529411764703</v>
      </c>
      <c r="C23" s="41">
        <v>247600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-9892.3076923076915</v>
      </c>
      <c r="C24" s="45">
        <v>-385800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4">
        <v>7</v>
      </c>
      <c r="C25" s="145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52200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6F5BD-FE45-4D80-9853-F433986A742A}">
  <sheetPr codeName="Sheet13"/>
  <dimension ref="A1:Q52"/>
  <sheetViews>
    <sheetView showGridLines="0" topLeftCell="G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174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31</v>
      </c>
      <c r="C2" s="151"/>
      <c r="E2" s="62" t="s">
        <v>68</v>
      </c>
      <c r="F2" s="59" t="s">
        <v>23</v>
      </c>
      <c r="G2" s="46">
        <v>44</v>
      </c>
      <c r="H2" s="134">
        <f>IF(B$17=0,0,G2/B$17)</f>
        <v>0.67692307692307696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235.48387096774192</v>
      </c>
      <c r="P2" s="120">
        <v>31</v>
      </c>
      <c r="Q2" s="104">
        <v>7300</v>
      </c>
    </row>
    <row r="3" spans="1:17" x14ac:dyDescent="0.4">
      <c r="A3" s="55" t="s">
        <v>8</v>
      </c>
      <c r="B3" s="152">
        <v>271</v>
      </c>
      <c r="C3" s="153"/>
      <c r="E3" s="63" t="s">
        <v>74</v>
      </c>
      <c r="F3" s="60" t="s">
        <v>28</v>
      </c>
      <c r="G3" s="47">
        <v>35</v>
      </c>
      <c r="H3" s="135">
        <f>IF(B$17=0,0,G3/B$17)</f>
        <v>0.53846153846153844</v>
      </c>
      <c r="I3" s="96">
        <v>6</v>
      </c>
      <c r="K3" s="38">
        <v>1</v>
      </c>
      <c r="L3" s="101">
        <v>-51.2</v>
      </c>
      <c r="N3" s="117" t="s">
        <v>135</v>
      </c>
      <c r="O3" s="124">
        <f t="shared" si="0"/>
        <v>483.87096774193549</v>
      </c>
      <c r="P3" s="121">
        <v>31</v>
      </c>
      <c r="Q3" s="105">
        <v>15000</v>
      </c>
    </row>
    <row r="4" spans="1:17" x14ac:dyDescent="0.4">
      <c r="A4" s="55" t="s">
        <v>6</v>
      </c>
      <c r="B4" s="154">
        <v>-91.899999999999991</v>
      </c>
      <c r="C4" s="155"/>
      <c r="E4" s="63" t="s">
        <v>66</v>
      </c>
      <c r="F4" s="60" t="s">
        <v>21</v>
      </c>
      <c r="G4" s="47">
        <v>32</v>
      </c>
      <c r="H4" s="135">
        <f>IF(B$17=0,0,G4/B$17)</f>
        <v>0.49230769230769234</v>
      </c>
      <c r="I4" s="96">
        <v>7</v>
      </c>
      <c r="K4" s="38">
        <v>2</v>
      </c>
      <c r="L4" s="101">
        <v>-93.300000000000011</v>
      </c>
      <c r="N4" s="117" t="s">
        <v>136</v>
      </c>
      <c r="O4" s="124">
        <f t="shared" si="0"/>
        <v>1337.9310344827586</v>
      </c>
      <c r="P4" s="121">
        <v>29</v>
      </c>
      <c r="Q4" s="105">
        <v>38800</v>
      </c>
    </row>
    <row r="5" spans="1:17" x14ac:dyDescent="0.4">
      <c r="A5" s="55" t="s">
        <v>7</v>
      </c>
      <c r="B5" s="156">
        <f>IF(B$2=0,0,B$4/B$2)</f>
        <v>-2.9645161290322579</v>
      </c>
      <c r="C5" s="157"/>
      <c r="E5" s="63" t="s">
        <v>184</v>
      </c>
      <c r="F5" s="60" t="s">
        <v>185</v>
      </c>
      <c r="G5" s="47">
        <v>20</v>
      </c>
      <c r="H5" s="135">
        <f>IF(B$17=0,0,G5/B$17)</f>
        <v>0.30769230769230771</v>
      </c>
      <c r="I5" s="96">
        <v>9</v>
      </c>
      <c r="K5" s="38">
        <v>3</v>
      </c>
      <c r="L5" s="101">
        <v>-60.100000000000009</v>
      </c>
      <c r="N5" s="117" t="s">
        <v>137</v>
      </c>
      <c r="O5" s="124">
        <f t="shared" si="0"/>
        <v>-2637.037037037037</v>
      </c>
      <c r="P5" s="121">
        <v>27</v>
      </c>
      <c r="Q5" s="105">
        <v>-71200</v>
      </c>
    </row>
    <row r="6" spans="1:17" x14ac:dyDescent="0.4">
      <c r="A6" s="55" t="s">
        <v>1</v>
      </c>
      <c r="B6" s="146">
        <f>IF(B$2=0,0,(B$7*1+B$8*2+B$9*3)/B$2)</f>
        <v>2.096774193548387</v>
      </c>
      <c r="C6" s="147"/>
      <c r="E6" s="63" t="s">
        <v>71</v>
      </c>
      <c r="F6" s="60" t="s">
        <v>25</v>
      </c>
      <c r="G6" s="47">
        <v>15</v>
      </c>
      <c r="H6" s="135">
        <f>IF(B$17=0,0,G6/B$17)</f>
        <v>0.23076923076923078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-1224</v>
      </c>
      <c r="P6" s="121">
        <v>25</v>
      </c>
      <c r="Q6" s="105">
        <v>-30600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70</v>
      </c>
      <c r="F7" s="60" t="s">
        <v>12</v>
      </c>
      <c r="G7" s="47">
        <v>14</v>
      </c>
      <c r="H7" s="135">
        <f>IF(B$17=0,0,G7/B$17)</f>
        <v>0.2153846153846154</v>
      </c>
      <c r="I7" s="96">
        <v>9</v>
      </c>
      <c r="K7" s="38">
        <v>5</v>
      </c>
      <c r="L7" s="101">
        <v>-36.100000000000009</v>
      </c>
      <c r="N7" s="118" t="s">
        <v>139</v>
      </c>
      <c r="O7" s="125">
        <f t="shared" si="0"/>
        <v>730.43478260869563</v>
      </c>
      <c r="P7" s="122">
        <v>23</v>
      </c>
      <c r="Q7" s="106">
        <v>16800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69</v>
      </c>
      <c r="F8" s="60" t="s">
        <v>24</v>
      </c>
      <c r="G8" s="47">
        <v>13</v>
      </c>
      <c r="H8" s="135">
        <f>IF(B$17=0,0,G8/B$17)</f>
        <v>0.2</v>
      </c>
      <c r="I8" s="96">
        <v>8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11</v>
      </c>
      <c r="C9" s="40">
        <f t="shared" ref="C9" si="1">IF(B$2=0,0,B9/B$2)</f>
        <v>0.35483870967741937</v>
      </c>
      <c r="E9" s="63" t="s">
        <v>92</v>
      </c>
      <c r="F9" s="60" t="s">
        <v>46</v>
      </c>
      <c r="G9" s="47">
        <v>11</v>
      </c>
      <c r="H9" s="135">
        <f>IF(B$17=0,0,G9/B$17)</f>
        <v>0.16923076923076924</v>
      </c>
      <c r="I9" s="96">
        <v>5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3.2258064516129031E-2</v>
      </c>
      <c r="E10" s="63" t="s">
        <v>67</v>
      </c>
      <c r="F10" s="60" t="s">
        <v>22</v>
      </c>
      <c r="G10" s="47">
        <v>10</v>
      </c>
      <c r="H10" s="135">
        <f>IF(B$17=0,0,G10/B$17)</f>
        <v>0.15384615384615385</v>
      </c>
      <c r="I10" s="96">
        <v>2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3</v>
      </c>
      <c r="C11" s="40">
        <f>IF(B$2=0,0,B11/B$2)</f>
        <v>9.6774193548387094E-2</v>
      </c>
      <c r="E11" s="63" t="s">
        <v>72</v>
      </c>
      <c r="F11" s="60" t="s">
        <v>26</v>
      </c>
      <c r="G11" s="47">
        <v>7</v>
      </c>
      <c r="H11" s="135">
        <f>IF(B$17=0,0,G11/B$17)</f>
        <v>0.1076923076923077</v>
      </c>
      <c r="I11" s="96">
        <v>5</v>
      </c>
      <c r="K11" s="38">
        <v>9</v>
      </c>
      <c r="L11" s="101">
        <v>-5.8000000000000025</v>
      </c>
      <c r="N11" s="117" t="s">
        <v>168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162</v>
      </c>
      <c r="B12" s="49">
        <v>3</v>
      </c>
      <c r="C12" s="42">
        <f>IF(B$2=0,0,B12/B$2)</f>
        <v>9.6774193548387094E-2</v>
      </c>
      <c r="E12" s="63" t="s">
        <v>73</v>
      </c>
      <c r="F12" s="60" t="s">
        <v>27</v>
      </c>
      <c r="G12" s="47">
        <v>6</v>
      </c>
      <c r="H12" s="135">
        <f>IF(B$17=0,0,G12/B$17)</f>
        <v>9.2307692307692313E-2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0.60833333333333306</v>
      </c>
      <c r="P12" s="122">
        <v>12</v>
      </c>
      <c r="Q12" s="110">
        <v>7.2999999999999972</v>
      </c>
    </row>
    <row r="13" spans="1:17" x14ac:dyDescent="0.4">
      <c r="A13" s="58" t="s">
        <v>124</v>
      </c>
      <c r="B13" s="50">
        <v>65</v>
      </c>
      <c r="C13" s="44">
        <f>IF(B$3=0,0,B13/B$3)</f>
        <v>0.23985239852398524</v>
      </c>
      <c r="E13" s="63" t="s">
        <v>86</v>
      </c>
      <c r="F13" s="60" t="s">
        <v>40</v>
      </c>
      <c r="G13" s="47">
        <v>4</v>
      </c>
      <c r="H13" s="135">
        <f>IF(B$17=0,0,G13/B$17)</f>
        <v>6.1538461538461542E-2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48</v>
      </c>
      <c r="C14" s="39">
        <f>IF(B$3=0,0,B14/B$3)</f>
        <v>0.17712177121771217</v>
      </c>
      <c r="E14" s="63" t="s">
        <v>89</v>
      </c>
      <c r="F14" s="60" t="s">
        <v>43</v>
      </c>
      <c r="G14" s="47">
        <v>4</v>
      </c>
      <c r="H14" s="135">
        <f>IF(B$17=0,0,G14/B$17)</f>
        <v>6.1538461538461542E-2</v>
      </c>
      <c r="I14" s="96">
        <v>4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35</v>
      </c>
      <c r="C15" s="37">
        <f>IF(B$13=0,0,B15/B$13)</f>
        <v>0.53846153846153844</v>
      </c>
      <c r="E15" s="63" t="s">
        <v>80</v>
      </c>
      <c r="F15" s="60" t="s">
        <v>34</v>
      </c>
      <c r="G15" s="47">
        <v>3</v>
      </c>
      <c r="H15" s="135">
        <f>IF(B$17=0,0,G15/B$17)</f>
        <v>4.6153846153846156E-2</v>
      </c>
      <c r="I15" s="96">
        <v>1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16</v>
      </c>
      <c r="C16" s="37">
        <f>IF(B$14=0,0,B16/B$14)</f>
        <v>0.33333333333333331</v>
      </c>
      <c r="E16" s="63" t="s">
        <v>77</v>
      </c>
      <c r="F16" s="60" t="s">
        <v>31</v>
      </c>
      <c r="G16" s="47">
        <v>2</v>
      </c>
      <c r="H16" s="135">
        <f>IF(B$17=0,0,G16/B$17)</f>
        <v>3.0769230769230771E-2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0.23985239852398524</v>
      </c>
      <c r="E17" s="63" t="s">
        <v>183</v>
      </c>
      <c r="F17" s="60" t="s">
        <v>186</v>
      </c>
      <c r="G17" s="47">
        <v>2</v>
      </c>
      <c r="H17" s="135">
        <f>IF(B$17=0,0,G17/B$17)</f>
        <v>3.0769230769230771E-2</v>
      </c>
      <c r="I17" s="96">
        <v>1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22</v>
      </c>
      <c r="C18" s="39">
        <f>IF(B$17=0,0,B18/B$17)</f>
        <v>0.33846153846153848</v>
      </c>
      <c r="E18" s="63" t="s">
        <v>84</v>
      </c>
      <c r="F18" s="60" t="s">
        <v>38</v>
      </c>
      <c r="G18" s="47">
        <v>1</v>
      </c>
      <c r="H18" s="135">
        <f>IF(B$17=0,0,G18/B$17)</f>
        <v>1.5384615384615385E-2</v>
      </c>
      <c r="I18" s="96">
        <v>6</v>
      </c>
      <c r="K18" s="38">
        <v>16</v>
      </c>
      <c r="L18" s="101">
        <v>-50.3</v>
      </c>
      <c r="N18" s="117" t="s">
        <v>176</v>
      </c>
      <c r="O18" s="127">
        <f>IF(P18=0,0,Q18/P18)</f>
        <v>15.190000000000001</v>
      </c>
      <c r="P18" s="121">
        <v>10</v>
      </c>
      <c r="Q18" s="109">
        <v>151.9</v>
      </c>
    </row>
    <row r="19" spans="1:17" x14ac:dyDescent="0.4">
      <c r="A19" s="55" t="s">
        <v>11</v>
      </c>
      <c r="B19" s="47">
        <v>43</v>
      </c>
      <c r="C19" s="39">
        <f>IF(B$17=0,0,B19/B$17)</f>
        <v>0.66153846153846152</v>
      </c>
      <c r="E19" s="63" t="s">
        <v>95</v>
      </c>
      <c r="F19" s="60" t="s">
        <v>49</v>
      </c>
      <c r="G19" s="47">
        <v>1</v>
      </c>
      <c r="H19" s="135">
        <f>IF(B$17=0,0,G19/B$17)</f>
        <v>1.5384615384615385E-2</v>
      </c>
      <c r="I19" s="96">
        <v>1</v>
      </c>
      <c r="K19" s="38">
        <v>17</v>
      </c>
      <c r="L19" s="101">
        <v>-74.3</v>
      </c>
      <c r="N19" s="117" t="s">
        <v>175</v>
      </c>
      <c r="O19" s="127">
        <f>IF(P19=0,0,Q19/P19)</f>
        <v>5.2555555555555546</v>
      </c>
      <c r="P19" s="121">
        <v>9</v>
      </c>
      <c r="Q19" s="109">
        <v>47.29999999999999</v>
      </c>
    </row>
    <row r="20" spans="1:17" x14ac:dyDescent="0.4">
      <c r="A20" s="55" t="s">
        <v>13</v>
      </c>
      <c r="B20" s="47">
        <v>46</v>
      </c>
      <c r="C20" s="39">
        <f>IF(B$3=0,0,B20/B$3)</f>
        <v>0.16974169741697417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205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197</v>
      </c>
      <c r="B22" s="47">
        <v>20</v>
      </c>
      <c r="C22" s="137">
        <v>7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129</v>
      </c>
      <c r="O22" s="127">
        <f>IF(P22=0,0,Q22/P22)</f>
        <v>-30.278947368421058</v>
      </c>
      <c r="P22" s="121">
        <v>19</v>
      </c>
      <c r="Q22" s="109">
        <v>-575.30000000000007</v>
      </c>
    </row>
    <row r="23" spans="1:17" x14ac:dyDescent="0.4">
      <c r="A23" s="55" t="s">
        <v>5</v>
      </c>
      <c r="B23" s="51">
        <f>IF(B$17=0,0,C23/B$17)</f>
        <v>8490.7692307692305</v>
      </c>
      <c r="C23" s="41">
        <v>551900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-7226.086956521739</v>
      </c>
      <c r="C24" s="45">
        <v>-332400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4">
        <v>4</v>
      </c>
      <c r="C25" s="145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2">
        <v>91700</v>
      </c>
      <c r="C26" s="143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3.6900369003690036E-3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6</v>
      </c>
      <c r="K33" s="38">
        <v>31</v>
      </c>
      <c r="L33" s="101">
        <v>-91.899999999999991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AE0A7-0596-4BBD-A6E3-32240C99AE4D}">
  <sheetPr codeName="Sheet15"/>
  <dimension ref="A1:Q52"/>
  <sheetViews>
    <sheetView showGridLines="0" topLeftCell="D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175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21</v>
      </c>
      <c r="C2" s="151"/>
      <c r="E2" s="62" t="s">
        <v>74</v>
      </c>
      <c r="F2" s="59" t="s">
        <v>28</v>
      </c>
      <c r="G2" s="46">
        <v>46</v>
      </c>
      <c r="H2" s="134">
        <f>IF(B$17=0,0,G2/B$17)</f>
        <v>0.75409836065573765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-123.80952380952381</v>
      </c>
      <c r="P2" s="120">
        <v>21</v>
      </c>
      <c r="Q2" s="104">
        <v>-2600</v>
      </c>
    </row>
    <row r="3" spans="1:17" x14ac:dyDescent="0.4">
      <c r="A3" s="55" t="s">
        <v>8</v>
      </c>
      <c r="B3" s="152">
        <v>173</v>
      </c>
      <c r="C3" s="153"/>
      <c r="E3" s="63" t="s">
        <v>68</v>
      </c>
      <c r="F3" s="60" t="s">
        <v>23</v>
      </c>
      <c r="G3" s="47">
        <v>38</v>
      </c>
      <c r="H3" s="135">
        <f>IF(B$17=0,0,G3/B$17)</f>
        <v>0.62295081967213117</v>
      </c>
      <c r="I3" s="96">
        <v>9</v>
      </c>
      <c r="K3" s="38">
        <v>1</v>
      </c>
      <c r="L3" s="101">
        <v>11.1</v>
      </c>
      <c r="N3" s="117" t="s">
        <v>135</v>
      </c>
      <c r="O3" s="124">
        <f t="shared" si="0"/>
        <v>2671.4285714285716</v>
      </c>
      <c r="P3" s="121">
        <v>21</v>
      </c>
      <c r="Q3" s="105">
        <v>56100</v>
      </c>
    </row>
    <row r="4" spans="1:17" x14ac:dyDescent="0.4">
      <c r="A4" s="55" t="s">
        <v>6</v>
      </c>
      <c r="B4" s="154">
        <v>89.9</v>
      </c>
      <c r="C4" s="155"/>
      <c r="E4" s="63" t="s">
        <v>184</v>
      </c>
      <c r="F4" s="60" t="s">
        <v>185</v>
      </c>
      <c r="G4" s="47">
        <v>24</v>
      </c>
      <c r="H4" s="135">
        <f>IF(B$17=0,0,G4/B$17)</f>
        <v>0.39344262295081966</v>
      </c>
      <c r="I4" s="96">
        <v>5</v>
      </c>
      <c r="K4" s="38">
        <v>2</v>
      </c>
      <c r="L4" s="101">
        <v>-7.7000000000000011</v>
      </c>
      <c r="N4" s="117" t="s">
        <v>136</v>
      </c>
      <c r="O4" s="124">
        <f t="shared" si="0"/>
        <v>-541.17647058823525</v>
      </c>
      <c r="P4" s="121">
        <v>17</v>
      </c>
      <c r="Q4" s="105">
        <v>-9200</v>
      </c>
    </row>
    <row r="5" spans="1:17" x14ac:dyDescent="0.4">
      <c r="A5" s="55" t="s">
        <v>7</v>
      </c>
      <c r="B5" s="156">
        <f>IF(B$2=0,0,B$4/B$2)</f>
        <v>4.2809523809523808</v>
      </c>
      <c r="C5" s="157"/>
      <c r="E5" s="63" t="s">
        <v>66</v>
      </c>
      <c r="F5" s="60" t="s">
        <v>21</v>
      </c>
      <c r="G5" s="47">
        <v>23</v>
      </c>
      <c r="H5" s="135">
        <f>IF(B$17=0,0,G5/B$17)</f>
        <v>0.37704918032786883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2240</v>
      </c>
      <c r="P5" s="121">
        <v>15</v>
      </c>
      <c r="Q5" s="105">
        <v>33600</v>
      </c>
    </row>
    <row r="6" spans="1:17" x14ac:dyDescent="0.4">
      <c r="A6" s="55" t="s">
        <v>1</v>
      </c>
      <c r="B6" s="146">
        <f>IF(B$2=0,0,(B$7*1+B$8*2+B$9*3)/B$2)</f>
        <v>1.9523809523809523</v>
      </c>
      <c r="C6" s="147"/>
      <c r="E6" s="63" t="s">
        <v>70</v>
      </c>
      <c r="F6" s="60" t="s">
        <v>12</v>
      </c>
      <c r="G6" s="47">
        <v>15</v>
      </c>
      <c r="H6" s="135">
        <f>IF(B$17=0,0,G6/B$17)</f>
        <v>0.24590163934426229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-3606.6666666666665</v>
      </c>
      <c r="P6" s="121">
        <v>15</v>
      </c>
      <c r="Q6" s="105">
        <v>-54100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69</v>
      </c>
      <c r="F7" s="60" t="s">
        <v>24</v>
      </c>
      <c r="G7" s="47">
        <v>13</v>
      </c>
      <c r="H7" s="135">
        <f>IF(B$17=0,0,G7/B$17)</f>
        <v>0.21311475409836064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0"/>
        <v>-571.42857142857144</v>
      </c>
      <c r="P7" s="122">
        <v>14</v>
      </c>
      <c r="Q7" s="106">
        <v>-8000</v>
      </c>
    </row>
    <row r="8" spans="1:17" x14ac:dyDescent="0.4">
      <c r="A8" s="55" t="s">
        <v>3</v>
      </c>
      <c r="B8" s="47">
        <v>8</v>
      </c>
      <c r="C8" s="39">
        <f>IF(B$2=0,0,B8/B$2)</f>
        <v>0.38095238095238093</v>
      </c>
      <c r="E8" s="63" t="s">
        <v>71</v>
      </c>
      <c r="F8" s="60" t="s">
        <v>25</v>
      </c>
      <c r="G8" s="47">
        <v>7</v>
      </c>
      <c r="H8" s="135">
        <f>IF(B$17=0,0,G8/B$17)</f>
        <v>0.11475409836065574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0.2857142857142857</v>
      </c>
      <c r="E9" s="63" t="s">
        <v>92</v>
      </c>
      <c r="F9" s="60" t="s">
        <v>46</v>
      </c>
      <c r="G9" s="47">
        <v>5</v>
      </c>
      <c r="H9" s="135">
        <f>IF(B$17=0,0,G9/B$17)</f>
        <v>8.1967213114754092E-2</v>
      </c>
      <c r="I9" s="96">
        <v>11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4.7619047619047616E-2</v>
      </c>
      <c r="E10" s="63" t="s">
        <v>72</v>
      </c>
      <c r="F10" s="60" t="s">
        <v>26</v>
      </c>
      <c r="G10" s="47">
        <v>4</v>
      </c>
      <c r="H10" s="135">
        <f>IF(B$17=0,0,G10/B$17)</f>
        <v>6.5573770491803282E-2</v>
      </c>
      <c r="I10" s="96">
        <v>8</v>
      </c>
      <c r="K10" s="38">
        <v>8</v>
      </c>
      <c r="L10" s="101">
        <v>-29.5</v>
      </c>
      <c r="N10" s="116" t="s">
        <v>167</v>
      </c>
      <c r="O10" s="126">
        <f>IF(P10=0,0,Q10/P10)</f>
        <v>-8.1500000000000021</v>
      </c>
      <c r="P10" s="120">
        <v>6</v>
      </c>
      <c r="Q10" s="108">
        <v>-48.900000000000013</v>
      </c>
    </row>
    <row r="11" spans="1:17" x14ac:dyDescent="0.4">
      <c r="A11" s="56" t="s">
        <v>142</v>
      </c>
      <c r="B11" s="48">
        <v>2</v>
      </c>
      <c r="C11" s="40">
        <f>IF(B$2=0,0,B11/B$2)</f>
        <v>9.5238095238095233E-2</v>
      </c>
      <c r="E11" s="63" t="s">
        <v>67</v>
      </c>
      <c r="F11" s="60" t="s">
        <v>22</v>
      </c>
      <c r="G11" s="47">
        <v>3</v>
      </c>
      <c r="H11" s="135">
        <f>IF(B$17=0,0,G11/B$17)</f>
        <v>4.9180327868852458E-2</v>
      </c>
      <c r="I11" s="96">
        <v>8</v>
      </c>
      <c r="K11" s="38">
        <v>9</v>
      </c>
      <c r="L11" s="101">
        <v>-56.5</v>
      </c>
      <c r="N11" s="117" t="s">
        <v>168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162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38</v>
      </c>
      <c r="G12" s="47">
        <v>3</v>
      </c>
      <c r="H12" s="135">
        <f>IF(B$17=0,0,G12/B$17)</f>
        <v>4.9180327868852458E-2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124</v>
      </c>
      <c r="B13" s="50">
        <v>37</v>
      </c>
      <c r="C13" s="44">
        <f>IF(B$3=0,0,B13/B$3)</f>
        <v>0.2138728323699422</v>
      </c>
      <c r="E13" s="63" t="s">
        <v>89</v>
      </c>
      <c r="F13" s="60" t="s">
        <v>43</v>
      </c>
      <c r="G13" s="47">
        <v>3</v>
      </c>
      <c r="H13" s="135">
        <f>IF(B$17=0,0,G13/B$17)</f>
        <v>4.9180327868852458E-2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63</v>
      </c>
      <c r="C14" s="39">
        <f>IF(B$3=0,0,B14/B$3)</f>
        <v>0.36416184971098264</v>
      </c>
      <c r="E14" s="63" t="s">
        <v>73</v>
      </c>
      <c r="F14" s="60" t="s">
        <v>27</v>
      </c>
      <c r="G14" s="47">
        <v>2</v>
      </c>
      <c r="H14" s="135">
        <f>IF(B$17=0,0,G14/B$17)</f>
        <v>3.2786885245901641E-2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0.64864864864864868</v>
      </c>
      <c r="E15" s="63" t="s">
        <v>80</v>
      </c>
      <c r="F15" s="60" t="s">
        <v>34</v>
      </c>
      <c r="G15" s="47">
        <v>2</v>
      </c>
      <c r="H15" s="135">
        <f>IF(B$17=0,0,G15/B$17)</f>
        <v>3.2786885245901641E-2</v>
      </c>
      <c r="I15" s="96">
        <v>2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26</v>
      </c>
      <c r="C16" s="37">
        <f>IF(B$14=0,0,B16/B$14)</f>
        <v>0.41269841269841268</v>
      </c>
      <c r="E16" s="63" t="s">
        <v>81</v>
      </c>
      <c r="F16" s="60" t="s">
        <v>35</v>
      </c>
      <c r="G16" s="47">
        <v>2</v>
      </c>
      <c r="H16" s="135">
        <f>IF(B$17=0,0,G16/B$17)</f>
        <v>3.2786885245901641E-2</v>
      </c>
      <c r="I16" s="96">
        <v>1</v>
      </c>
      <c r="K16" s="38">
        <v>14</v>
      </c>
      <c r="L16" s="101">
        <v>-12.3</v>
      </c>
      <c r="N16" s="117" t="s">
        <v>131</v>
      </c>
      <c r="O16" s="127">
        <f>IF(P16=0,0,Q16/P16)</f>
        <v>70.183333333333323</v>
      </c>
      <c r="P16" s="121">
        <v>6</v>
      </c>
      <c r="Q16" s="109">
        <v>421.09999999999997</v>
      </c>
    </row>
    <row r="17" spans="1:17" x14ac:dyDescent="0.4">
      <c r="A17" s="54" t="s">
        <v>10</v>
      </c>
      <c r="B17" s="46">
        <f>B19+B18</f>
        <v>61</v>
      </c>
      <c r="C17" s="37">
        <f>IF(B$3=0,0,B17/B$3)</f>
        <v>0.35260115606936415</v>
      </c>
      <c r="E17" s="63" t="s">
        <v>86</v>
      </c>
      <c r="F17" s="60" t="s">
        <v>40</v>
      </c>
      <c r="G17" s="47">
        <v>2</v>
      </c>
      <c r="H17" s="135">
        <f>IF(B$17=0,0,G17/B$17)</f>
        <v>3.2786885245901641E-2</v>
      </c>
      <c r="I17" s="96">
        <v>7</v>
      </c>
      <c r="K17" s="38">
        <v>15</v>
      </c>
      <c r="L17" s="101">
        <v>-80.3</v>
      </c>
      <c r="N17" s="117" t="s">
        <v>205</v>
      </c>
      <c r="O17" s="127">
        <f>IF(P17=0,0,Q17/P17)</f>
        <v>59.4</v>
      </c>
      <c r="P17" s="121">
        <v>1</v>
      </c>
      <c r="Q17" s="109">
        <v>59.4</v>
      </c>
    </row>
    <row r="18" spans="1:17" x14ac:dyDescent="0.4">
      <c r="A18" s="55" t="s">
        <v>12</v>
      </c>
      <c r="B18" s="47">
        <v>24</v>
      </c>
      <c r="C18" s="39">
        <f>IF(B$17=0,0,B18/B$17)</f>
        <v>0.39344262295081966</v>
      </c>
      <c r="E18" s="63" t="s">
        <v>94</v>
      </c>
      <c r="F18" s="60" t="s">
        <v>48</v>
      </c>
      <c r="G18" s="47">
        <v>1</v>
      </c>
      <c r="H18" s="135">
        <f>IF(B$17=0,0,G18/B$17)</f>
        <v>1.6393442622950821E-2</v>
      </c>
      <c r="I18" s="96">
        <v>4</v>
      </c>
      <c r="K18" s="38">
        <v>16</v>
      </c>
      <c r="L18" s="101">
        <v>-87.6</v>
      </c>
      <c r="N18" s="117" t="s">
        <v>130</v>
      </c>
      <c r="O18" s="127">
        <f>IF(P18=0,0,Q18/P18)</f>
        <v>8.6727272727272702</v>
      </c>
      <c r="P18" s="121">
        <v>11</v>
      </c>
      <c r="Q18" s="109">
        <v>95.399999999999963</v>
      </c>
    </row>
    <row r="19" spans="1:17" x14ac:dyDescent="0.4">
      <c r="A19" s="55" t="s">
        <v>11</v>
      </c>
      <c r="B19" s="47">
        <v>37</v>
      </c>
      <c r="C19" s="39">
        <f>IF(B$17=0,0,B19/B$17)</f>
        <v>0.60655737704918034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176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23</v>
      </c>
      <c r="C20" s="39">
        <f>IF(B$3=0,0,B20/B$3)</f>
        <v>0.13294797687861271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174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77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129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197</v>
      </c>
      <c r="B22" s="47">
        <v>23</v>
      </c>
      <c r="C22" s="137">
        <v>2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6804.9180327868853</v>
      </c>
      <c r="C23" s="41">
        <v>415100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-8160.869565217391</v>
      </c>
      <c r="C24" s="45">
        <v>-187700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6</v>
      </c>
      <c r="C25" s="145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95700</v>
      </c>
      <c r="C26" s="143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9AA76-DC1B-47A4-8AAC-A9D1A1FB82B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176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17</v>
      </c>
      <c r="C2" s="151"/>
      <c r="E2" s="62" t="s">
        <v>68</v>
      </c>
      <c r="F2" s="59" t="s">
        <v>23</v>
      </c>
      <c r="G2" s="46">
        <v>36</v>
      </c>
      <c r="H2" s="134">
        <f>IF(B$17=0,0,G2/B$17)</f>
        <v>0.81818181818181823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2">
        <v>155</v>
      </c>
      <c r="C3" s="153"/>
      <c r="E3" s="63" t="s">
        <v>74</v>
      </c>
      <c r="F3" s="60" t="s">
        <v>28</v>
      </c>
      <c r="G3" s="47">
        <v>20</v>
      </c>
      <c r="H3" s="135">
        <f>IF(B$17=0,0,G3/B$17)</f>
        <v>0.45454545454545453</v>
      </c>
      <c r="I3" s="96">
        <v>9</v>
      </c>
      <c r="K3" s="38">
        <v>1</v>
      </c>
      <c r="L3" s="101">
        <v>-82.6</v>
      </c>
      <c r="N3" s="117" t="s">
        <v>135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4">
        <v>-248.89999999999995</v>
      </c>
      <c r="C4" s="155"/>
      <c r="E4" s="63" t="s">
        <v>70</v>
      </c>
      <c r="F4" s="60" t="s">
        <v>12</v>
      </c>
      <c r="G4" s="47">
        <v>17</v>
      </c>
      <c r="H4" s="135">
        <f>IF(B$17=0,0,G4/B$17)</f>
        <v>0.38636363636363635</v>
      </c>
      <c r="I4" s="96">
        <v>2</v>
      </c>
      <c r="K4" s="38">
        <v>2</v>
      </c>
      <c r="L4" s="101">
        <v>-122.3</v>
      </c>
      <c r="N4" s="117" t="s">
        <v>136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6">
        <f>IF(B$2=0,0,B$4/B$2)</f>
        <v>-14.641176470588233</v>
      </c>
      <c r="C5" s="157"/>
      <c r="E5" s="63" t="s">
        <v>66</v>
      </c>
      <c r="F5" s="60" t="s">
        <v>21</v>
      </c>
      <c r="G5" s="47">
        <v>16</v>
      </c>
      <c r="H5" s="135">
        <f>IF(B$17=0,0,G5/B$17)</f>
        <v>0.36363636363636365</v>
      </c>
      <c r="I5" s="96">
        <v>11</v>
      </c>
      <c r="K5" s="38">
        <v>3</v>
      </c>
      <c r="L5" s="101">
        <v>-149</v>
      </c>
      <c r="N5" s="117" t="s">
        <v>137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6">
        <f>IF(B$2=0,0,(B$7*1+B$8*2+B$9*3)/B$2)</f>
        <v>2.2352941176470589</v>
      </c>
      <c r="C6" s="147"/>
      <c r="E6" s="63" t="s">
        <v>184</v>
      </c>
      <c r="F6" s="60" t="s">
        <v>185</v>
      </c>
      <c r="G6" s="47">
        <v>12</v>
      </c>
      <c r="H6" s="135">
        <f>IF(B$17=0,0,G6/B$17)</f>
        <v>0.27272727272727271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69</v>
      </c>
      <c r="F7" s="60" t="s">
        <v>24</v>
      </c>
      <c r="G7" s="47">
        <v>7</v>
      </c>
      <c r="H7" s="135">
        <f>IF(B$17=0,0,G7/B$17)</f>
        <v>0.15909090909090909</v>
      </c>
      <c r="I7" s="96">
        <v>9</v>
      </c>
      <c r="K7" s="38">
        <v>5</v>
      </c>
      <c r="L7" s="101">
        <v>-184.89999999999998</v>
      </c>
      <c r="N7" s="118" t="s">
        <v>139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92</v>
      </c>
      <c r="F8" s="60" t="s">
        <v>46</v>
      </c>
      <c r="G8" s="47">
        <v>7</v>
      </c>
      <c r="H8" s="135">
        <f>IF(B$17=0,0,G8/B$17)</f>
        <v>0.15909090909090909</v>
      </c>
      <c r="I8" s="96">
        <v>6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72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71</v>
      </c>
      <c r="F10" s="60" t="s">
        <v>25</v>
      </c>
      <c r="G10" s="47">
        <v>5</v>
      </c>
      <c r="H10" s="135">
        <f>IF(B$17=0,0,G10/B$17)</f>
        <v>0.11363636363636363</v>
      </c>
      <c r="I10" s="96">
        <v>11</v>
      </c>
      <c r="K10" s="38">
        <v>8</v>
      </c>
      <c r="L10" s="101">
        <v>-219.59999999999997</v>
      </c>
      <c r="N10" s="116" t="s">
        <v>167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142</v>
      </c>
      <c r="B11" s="48">
        <v>1</v>
      </c>
      <c r="C11" s="40">
        <f>IF(B$2=0,0,B11/B$2)</f>
        <v>5.8823529411764705E-2</v>
      </c>
      <c r="E11" s="63" t="s">
        <v>73</v>
      </c>
      <c r="F11" s="60" t="s">
        <v>27</v>
      </c>
      <c r="G11" s="47">
        <v>3</v>
      </c>
      <c r="H11" s="135">
        <f>IF(B$17=0,0,G11/B$17)</f>
        <v>6.8181818181818177E-2</v>
      </c>
      <c r="I11" s="96">
        <v>4</v>
      </c>
      <c r="K11" s="38">
        <v>9</v>
      </c>
      <c r="L11" s="101">
        <v>-260.59999999999997</v>
      </c>
      <c r="N11" s="117" t="s">
        <v>168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162</v>
      </c>
      <c r="B12" s="49">
        <v>1</v>
      </c>
      <c r="C12" s="42">
        <f>IF(B$2=0,0,B12/B$2)</f>
        <v>5.8823529411764705E-2</v>
      </c>
      <c r="E12" s="63" t="s">
        <v>86</v>
      </c>
      <c r="F12" s="60" t="s">
        <v>40</v>
      </c>
      <c r="G12" s="47">
        <v>2</v>
      </c>
      <c r="H12" s="135">
        <f>IF(B$17=0,0,G12/B$17)</f>
        <v>4.5454545454545456E-2</v>
      </c>
      <c r="I12" s="96">
        <v>4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29</v>
      </c>
      <c r="C13" s="44">
        <f>IF(B$3=0,0,B13/B$3)</f>
        <v>0.18709677419354839</v>
      </c>
      <c r="E13" s="63" t="s">
        <v>89</v>
      </c>
      <c r="F13" s="60" t="s">
        <v>43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35</v>
      </c>
      <c r="C14" s="39">
        <f>IF(B$3=0,0,B14/B$3)</f>
        <v>0.22580645161290322</v>
      </c>
      <c r="E14" s="63" t="s">
        <v>67</v>
      </c>
      <c r="F14" s="60" t="s">
        <v>22</v>
      </c>
      <c r="G14" s="47">
        <v>1</v>
      </c>
      <c r="H14" s="135">
        <f>IF(B$17=0,0,G14/B$17)</f>
        <v>2.2727272727272728E-2</v>
      </c>
      <c r="I14" s="96">
        <v>9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0.55172413793103448</v>
      </c>
      <c r="E15" s="63" t="s">
        <v>81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131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127</v>
      </c>
      <c r="B16" s="46">
        <v>11</v>
      </c>
      <c r="C16" s="37">
        <f>IF(B$14=0,0,B16/B$14)</f>
        <v>0.31428571428571428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130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174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180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197</v>
      </c>
      <c r="B22" s="47">
        <v>11</v>
      </c>
      <c r="C22" s="137">
        <v>1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4">
        <v>6</v>
      </c>
      <c r="C25" s="145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2">
        <v>58900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5A97-BE24-4632-A651-5C9514DD15AA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13</v>
      </c>
      <c r="C2" s="151"/>
      <c r="E2" s="62" t="s">
        <v>74</v>
      </c>
      <c r="F2" s="59" t="s">
        <v>28</v>
      </c>
      <c r="G2" s="46">
        <v>15</v>
      </c>
      <c r="H2" s="134">
        <f>IF(B$17=0,0,G2/B$17)</f>
        <v>0.68181818181818177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-5923.0769230769229</v>
      </c>
      <c r="P2" s="120">
        <v>13</v>
      </c>
      <c r="Q2" s="104">
        <v>-77000</v>
      </c>
    </row>
    <row r="3" spans="1:17" x14ac:dyDescent="0.4">
      <c r="A3" s="55" t="s">
        <v>8</v>
      </c>
      <c r="B3" s="152">
        <v>94</v>
      </c>
      <c r="C3" s="153"/>
      <c r="E3" s="63" t="s">
        <v>68</v>
      </c>
      <c r="F3" s="60" t="s">
        <v>23</v>
      </c>
      <c r="G3" s="47">
        <v>11</v>
      </c>
      <c r="H3" s="135">
        <f>IF(B$17=0,0,G3/B$17)</f>
        <v>0.5</v>
      </c>
      <c r="I3" s="96">
        <v>11</v>
      </c>
      <c r="K3" s="38">
        <v>1</v>
      </c>
      <c r="L3" s="101">
        <v>-1.9</v>
      </c>
      <c r="N3" s="117" t="s">
        <v>135</v>
      </c>
      <c r="O3" s="124">
        <f t="shared" si="0"/>
        <v>-3966.6666666666665</v>
      </c>
      <c r="P3" s="121">
        <v>12</v>
      </c>
      <c r="Q3" s="105">
        <v>-47600</v>
      </c>
    </row>
    <row r="4" spans="1:17" x14ac:dyDescent="0.4">
      <c r="A4" s="55" t="s">
        <v>6</v>
      </c>
      <c r="B4" s="154">
        <v>-209.59999999999997</v>
      </c>
      <c r="C4" s="155"/>
      <c r="E4" s="63" t="s">
        <v>66</v>
      </c>
      <c r="F4" s="60" t="s">
        <v>21</v>
      </c>
      <c r="G4" s="47">
        <v>9</v>
      </c>
      <c r="H4" s="135">
        <f>IF(B$17=0,0,G4/B$17)</f>
        <v>0.40909090909090912</v>
      </c>
      <c r="I4" s="96">
        <v>9</v>
      </c>
      <c r="K4" s="38">
        <v>2</v>
      </c>
      <c r="L4" s="101">
        <v>30</v>
      </c>
      <c r="N4" s="117" t="s">
        <v>136</v>
      </c>
      <c r="O4" s="124">
        <f t="shared" si="0"/>
        <v>1063.6363636363637</v>
      </c>
      <c r="P4" s="121">
        <v>11</v>
      </c>
      <c r="Q4" s="105">
        <v>11700</v>
      </c>
    </row>
    <row r="5" spans="1:17" x14ac:dyDescent="0.4">
      <c r="A5" s="55" t="s">
        <v>7</v>
      </c>
      <c r="B5" s="156">
        <f>IF(B$2=0,0,B$4/B$2)</f>
        <v>-16.123076923076919</v>
      </c>
      <c r="C5" s="157"/>
      <c r="E5" s="63" t="s">
        <v>184</v>
      </c>
      <c r="F5" s="60" t="s">
        <v>185</v>
      </c>
      <c r="G5" s="47">
        <v>6</v>
      </c>
      <c r="H5" s="135">
        <f>IF(B$17=0,0,G5/B$17)</f>
        <v>0.27272727272727271</v>
      </c>
      <c r="I5" s="96">
        <v>10</v>
      </c>
      <c r="K5" s="38">
        <v>3</v>
      </c>
      <c r="L5" s="101">
        <v>-10</v>
      </c>
      <c r="N5" s="117" t="s">
        <v>137</v>
      </c>
      <c r="O5" s="124">
        <f t="shared" si="0"/>
        <v>-1509.090909090909</v>
      </c>
      <c r="P5" s="121">
        <v>11</v>
      </c>
      <c r="Q5" s="105">
        <v>-16600</v>
      </c>
    </row>
    <row r="6" spans="1:17" x14ac:dyDescent="0.4">
      <c r="A6" s="55" t="s">
        <v>1</v>
      </c>
      <c r="B6" s="146">
        <f>IF(B$2=0,0,(B$7*1+B$8*2+B$9*3)/B$2)</f>
        <v>2.3076923076923075</v>
      </c>
      <c r="C6" s="147"/>
      <c r="E6" s="63" t="s">
        <v>70</v>
      </c>
      <c r="F6" s="60" t="s">
        <v>12</v>
      </c>
      <c r="G6" s="47">
        <v>5</v>
      </c>
      <c r="H6" s="135">
        <f>IF(B$17=0,0,G6/B$17)</f>
        <v>0.22727272727272727</v>
      </c>
      <c r="I6" s="96">
        <v>7</v>
      </c>
      <c r="K6" s="38">
        <v>4</v>
      </c>
      <c r="L6" s="101">
        <v>40</v>
      </c>
      <c r="N6" s="117" t="s">
        <v>138</v>
      </c>
      <c r="O6" s="124">
        <f t="shared" si="0"/>
        <v>-1140</v>
      </c>
      <c r="P6" s="121">
        <v>10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0.23076923076923078</v>
      </c>
      <c r="E7" s="63" t="s">
        <v>71</v>
      </c>
      <c r="F7" s="60" t="s">
        <v>25</v>
      </c>
      <c r="G7" s="47">
        <v>4</v>
      </c>
      <c r="H7" s="135">
        <f>IF(B$17=0,0,G7/B$17)</f>
        <v>0.18181818181818182</v>
      </c>
      <c r="I7" s="96">
        <v>6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67</v>
      </c>
      <c r="F8" s="60" t="s">
        <v>22</v>
      </c>
      <c r="G8" s="47">
        <v>3</v>
      </c>
      <c r="H8" s="135">
        <f>IF(B$17=0,0,G8/B$17)</f>
        <v>0.13636363636363635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0.53846153846153844</v>
      </c>
      <c r="E9" s="63" t="s">
        <v>69</v>
      </c>
      <c r="F9" s="60" t="s">
        <v>24</v>
      </c>
      <c r="G9" s="47">
        <v>3</v>
      </c>
      <c r="H9" s="135">
        <f>IF(B$17=0,0,G9/B$17)</f>
        <v>0.13636363636363635</v>
      </c>
      <c r="I9" s="96">
        <v>10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2</v>
      </c>
      <c r="H10" s="135">
        <f>IF(B$17=0,0,G10/B$17)</f>
        <v>9.0909090909090912E-2</v>
      </c>
      <c r="I10" s="96">
        <v>9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4.5454545454545456E-2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0.15384615384615385</v>
      </c>
      <c r="E12" s="63" t="s">
        <v>86</v>
      </c>
      <c r="F12" s="60" t="s">
        <v>40</v>
      </c>
      <c r="G12" s="47">
        <v>1</v>
      </c>
      <c r="H12" s="135">
        <f>IF(B$17=0,0,G12/B$17)</f>
        <v>4.5454545454545456E-2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-3.0428571428571418</v>
      </c>
      <c r="P12" s="122">
        <v>7</v>
      </c>
      <c r="Q12" s="110">
        <v>-21.299999999999994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0.18085106382978725</v>
      </c>
      <c r="E13" s="63" t="s">
        <v>88</v>
      </c>
      <c r="F13" s="60" t="s">
        <v>42</v>
      </c>
      <c r="G13" s="47">
        <v>1</v>
      </c>
      <c r="H13" s="135">
        <f>IF(B$17=0,0,G13/B$17)</f>
        <v>4.5454545454545456E-2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24</v>
      </c>
      <c r="C14" s="39">
        <f>IF(B$3=0,0,B14/B$3)</f>
        <v>0.25531914893617019</v>
      </c>
      <c r="E14" s="63" t="s">
        <v>94</v>
      </c>
      <c r="F14" s="60" t="s">
        <v>48</v>
      </c>
      <c r="G14" s="47">
        <v>1</v>
      </c>
      <c r="H14" s="135">
        <f>IF(B$17=0,0,G14/B$17)</f>
        <v>4.5454545454545456E-2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K15" s="38">
        <v>13</v>
      </c>
      <c r="L15" s="101">
        <v>-209.59999999999997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9</v>
      </c>
      <c r="C16" s="37">
        <f>IF(B$14=0,0,B16/B$14)</f>
        <v>0.375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9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22</v>
      </c>
      <c r="C17" s="37">
        <f>IF(B$3=0,0,B17/B$3)</f>
        <v>0.23404255319148937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-2.1666666666666665</v>
      </c>
      <c r="P17" s="121">
        <v>9</v>
      </c>
      <c r="Q17" s="109">
        <v>-19.5</v>
      </c>
    </row>
    <row r="18" spans="1:17" x14ac:dyDescent="0.4">
      <c r="A18" s="55" t="s">
        <v>12</v>
      </c>
      <c r="B18" s="47">
        <v>9</v>
      </c>
      <c r="C18" s="39">
        <f>IF(B$17=0,0,B18/B$17)</f>
        <v>0.40909090909090912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0.59090909090909094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19</v>
      </c>
      <c r="C20" s="39">
        <f>IF(B$3=0,0,B20/B$3)</f>
        <v>0.20212765957446807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-61.285714285714292</v>
      </c>
      <c r="P21" s="121">
        <v>7</v>
      </c>
      <c r="Q21" s="109">
        <v>-429.00000000000006</v>
      </c>
    </row>
    <row r="22" spans="1:17" x14ac:dyDescent="0.4">
      <c r="A22" s="55" t="s">
        <v>197</v>
      </c>
      <c r="B22" s="47">
        <v>16</v>
      </c>
      <c r="C22" s="137">
        <v>2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6218.181818181818</v>
      </c>
      <c r="C23" s="41">
        <v>136800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-7426.3157894736842</v>
      </c>
      <c r="C24" s="45">
        <v>-141100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5</v>
      </c>
      <c r="C25" s="145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2">
        <v>65000</v>
      </c>
      <c r="C26" s="143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1.0638297872340425E-2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E16C6-4601-458A-BD57-13CA6D507AD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188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3</v>
      </c>
      <c r="C2" s="151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2">
        <v>19</v>
      </c>
      <c r="C3" s="153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4">
        <v>61</v>
      </c>
      <c r="C4" s="155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2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4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10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5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3</v>
      </c>
      <c r="C25" s="145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2">
        <v>53500</v>
      </c>
      <c r="C26" s="143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BA07C-7CD6-43DE-8DD1-9422AD3D31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189</v>
      </c>
      <c r="C1" s="149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7</v>
      </c>
      <c r="C2" s="151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2">
        <v>57</v>
      </c>
      <c r="C3" s="153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4">
        <v>-218.2</v>
      </c>
      <c r="C4" s="155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6">
        <f>IF(B$2=0,0,B$4/B$2)</f>
        <v>-31.171428571428571</v>
      </c>
      <c r="C5" s="157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7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6">
        <f>IF(B$2=0,0,(B$7*1+B$8*2+B$9*3)/B$2)</f>
        <v>2.5714285714285716</v>
      </c>
      <c r="C6" s="147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9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4">
        <v>5</v>
      </c>
      <c r="C25" s="145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154</v>
      </c>
      <c r="B26" s="142">
        <v>43600</v>
      </c>
      <c r="C26" s="143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B2F43-FC68-433C-A1F1-DCAA91EE62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8" t="s">
        <v>205</v>
      </c>
      <c r="C1" s="149"/>
      <c r="E1" s="131" t="s">
        <v>170</v>
      </c>
      <c r="F1" s="141" t="s">
        <v>118</v>
      </c>
      <c r="G1" s="140" t="s">
        <v>119</v>
      </c>
      <c r="H1" s="132" t="s">
        <v>120</v>
      </c>
      <c r="I1" s="141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50">
        <v>1</v>
      </c>
      <c r="C2" s="151"/>
      <c r="E2" s="62" t="s">
        <v>68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2">
        <v>11</v>
      </c>
      <c r="C3" s="153"/>
      <c r="E3" s="63" t="s">
        <v>69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135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4">
        <v>-12.5</v>
      </c>
      <c r="C4" s="155"/>
      <c r="E4" s="63" t="s">
        <v>66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136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6">
        <f>IF(B$2=0,0,B$4/B$2)</f>
        <v>-12.5</v>
      </c>
      <c r="C5" s="157"/>
      <c r="E5" s="63" t="s">
        <v>67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137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70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138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139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74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92</v>
      </c>
      <c r="F9" s="60" t="s">
        <v>46</v>
      </c>
      <c r="G9" s="47">
        <v>1</v>
      </c>
      <c r="H9" s="135">
        <f>IF(B$17=0,0,G9/B$17)</f>
        <v>0.5</v>
      </c>
      <c r="I9" s="96">
        <v>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184</v>
      </c>
      <c r="F10" s="60" t="s">
        <v>185</v>
      </c>
      <c r="G10" s="47">
        <v>1</v>
      </c>
      <c r="H10" s="135">
        <f>IF(B$17=0,0,G10/B$17)</f>
        <v>0.5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124</v>
      </c>
      <c r="B13" s="50">
        <v>2</v>
      </c>
      <c r="C13" s="44">
        <f>IF(B$3=0,0,B13/B$3)</f>
        <v>0.18181818181818182</v>
      </c>
      <c r="E13" s="63" t="s">
        <v>75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</v>
      </c>
      <c r="C14" s="39">
        <f>IF(B$3=0,0,B14/B$3)</f>
        <v>0.18181818181818182</v>
      </c>
      <c r="E14" s="63" t="s">
        <v>76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</v>
      </c>
      <c r="C15" s="37">
        <f>IF(B$13=0,0,B15/B$13)</f>
        <v>0.5</v>
      </c>
      <c r="E15" s="63" t="s">
        <v>77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174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127</v>
      </c>
      <c r="B16" s="46">
        <v>1</v>
      </c>
      <c r="C16" s="37">
        <f>IF(B$14=0,0,B16/B$14)</f>
        <v>0.5</v>
      </c>
      <c r="E16" s="63" t="s">
        <v>78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175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79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80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81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82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196</v>
      </c>
      <c r="B21" s="47">
        <v>1</v>
      </c>
      <c r="C21" s="137">
        <v>0</v>
      </c>
      <c r="E21" s="63" t="s">
        <v>83</v>
      </c>
      <c r="F21" s="60" t="s">
        <v>37</v>
      </c>
      <c r="G21" s="47">
        <v>0</v>
      </c>
      <c r="H21" s="135">
        <f>IF(B$17=0,0,G21/B$17)</f>
        <v>0</v>
      </c>
      <c r="I21" s="96">
        <v>1</v>
      </c>
    </row>
    <row r="22" spans="1:9" x14ac:dyDescent="0.4">
      <c r="A22" s="55" t="s">
        <v>197</v>
      </c>
      <c r="B22" s="47">
        <v>5</v>
      </c>
      <c r="C22" s="137">
        <v>5</v>
      </c>
      <c r="E22" s="63" t="s">
        <v>84</v>
      </c>
      <c r="F22" s="60" t="s">
        <v>38</v>
      </c>
      <c r="G22" s="47">
        <v>0</v>
      </c>
      <c r="H22" s="135">
        <f>IF(B$17=0,0,G22/B$17)</f>
        <v>0</v>
      </c>
      <c r="I22" s="96">
        <v>7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85</v>
      </c>
      <c r="F23" s="60" t="s">
        <v>39</v>
      </c>
      <c r="G23" s="47">
        <v>0</v>
      </c>
      <c r="H23" s="135">
        <f>IF(B$17=0,0,G23/B$17)</f>
        <v>0</v>
      </c>
      <c r="I23" s="96">
        <v>1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86</v>
      </c>
      <c r="F24" s="60" t="s">
        <v>40</v>
      </c>
      <c r="G24" s="47">
        <v>0</v>
      </c>
      <c r="H24" s="135">
        <f>IF(B$17=0,0,G24/B$17)</f>
        <v>0</v>
      </c>
      <c r="I24" s="96">
        <v>10</v>
      </c>
    </row>
    <row r="25" spans="1:9" x14ac:dyDescent="0.4">
      <c r="A25" s="92" t="s">
        <v>144</v>
      </c>
      <c r="B25" s="144">
        <v>3</v>
      </c>
      <c r="C25" s="145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154</v>
      </c>
      <c r="B26" s="142">
        <v>22500</v>
      </c>
      <c r="C26" s="143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9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9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9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9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8AAAE-4368-45DE-B2E8-43C53141889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205</v>
      </c>
      <c r="B1" s="70" t="s">
        <v>205</v>
      </c>
      <c r="C1" s="70" t="s">
        <v>205</v>
      </c>
      <c r="D1" s="71" t="s">
        <v>205</v>
      </c>
      <c r="E1" s="70" t="s">
        <v>205</v>
      </c>
      <c r="F1" s="70" t="s">
        <v>205</v>
      </c>
      <c r="G1" s="70" t="s">
        <v>205</v>
      </c>
      <c r="H1" s="70" t="s">
        <v>205</v>
      </c>
      <c r="I1" s="70" t="s">
        <v>205</v>
      </c>
      <c r="J1" s="70" t="s">
        <v>205</v>
      </c>
      <c r="K1" s="70" t="s">
        <v>205</v>
      </c>
      <c r="L1" s="70" t="s">
        <v>205</v>
      </c>
      <c r="M1" s="70" t="s">
        <v>205</v>
      </c>
      <c r="N1" s="70" t="s">
        <v>205</v>
      </c>
      <c r="O1" s="70" t="s">
        <v>205</v>
      </c>
      <c r="P1" s="70" t="s">
        <v>205</v>
      </c>
      <c r="Q1" s="70" t="s">
        <v>205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0.18181818181818182</v>
      </c>
      <c r="G4" s="67">
        <v>0.18181818181818182</v>
      </c>
      <c r="H4" s="68">
        <v>12000</v>
      </c>
      <c r="I4" s="68">
        <v>-3250</v>
      </c>
      <c r="J4" s="67">
        <v>0</v>
      </c>
      <c r="K4" s="67">
        <v>0</v>
      </c>
      <c r="L4" s="67">
        <v>0.18181818181818182</v>
      </c>
      <c r="M4" s="67">
        <v>0.18181818181818182</v>
      </c>
      <c r="N4" s="67">
        <v>0.5</v>
      </c>
      <c r="O4" s="67">
        <v>0.5</v>
      </c>
      <c r="P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EE78-8E75-4BC4-927B-1C8654E6574B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3BC5-4C02-4065-9C1D-E3450CC5F4F0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A5BA-D8F8-4208-AFA7-D8AC6AE0472A}">
  <sheetPr codeName="Sheet20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0.23404255319148937</v>
      </c>
      <c r="G16" s="67">
        <v>0.20212765957446807</v>
      </c>
      <c r="H16" s="68">
        <v>6218.181818181818</v>
      </c>
      <c r="I16" s="68">
        <v>-7426.3157894736842</v>
      </c>
      <c r="J16" s="67">
        <v>0.23076923076923078</v>
      </c>
      <c r="K16" s="67">
        <v>0</v>
      </c>
      <c r="L16" s="67">
        <v>0.18085106382978725</v>
      </c>
      <c r="M16" s="67">
        <v>0.25531914893617019</v>
      </c>
      <c r="N16" s="67">
        <v>0.52941176470588236</v>
      </c>
      <c r="O16" s="67">
        <v>0.375</v>
      </c>
      <c r="P16" s="67">
        <v>0.40909090909090912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C8BA4-7178-4456-A430-E0D3D865BCF1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  <row r="20" spans="1:16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0.18709677419354839</v>
      </c>
      <c r="M20" s="67">
        <v>0.22580645161290322</v>
      </c>
      <c r="N20" s="67">
        <v>0.55172413793103448</v>
      </c>
      <c r="O20" s="67">
        <v>0.31428571428571428</v>
      </c>
      <c r="P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8C49-0895-4DEA-8829-E0ADBB0628D4}">
  <sheetPr codeName="Sheet1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  <row r="22" spans="1:16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0.21088435374149661</v>
      </c>
      <c r="M22" s="67">
        <v>0.35374149659863946</v>
      </c>
      <c r="N22" s="67">
        <v>0.64516129032258063</v>
      </c>
      <c r="O22" s="67">
        <v>0.44230769230769229</v>
      </c>
      <c r="P22" s="67">
        <v>0.37254901960784315</v>
      </c>
    </row>
    <row r="23" spans="1:16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0.20987654320987653</v>
      </c>
      <c r="M23" s="67">
        <v>0.36419753086419754</v>
      </c>
      <c r="N23" s="67">
        <v>0.6470588235294118</v>
      </c>
      <c r="O23" s="67">
        <v>0.44067796610169491</v>
      </c>
      <c r="P23" s="67">
        <v>0.37931034482758619</v>
      </c>
    </row>
    <row r="24" spans="1:16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0.35260115606936415</v>
      </c>
      <c r="G24" s="67">
        <v>0.13294797687861271</v>
      </c>
      <c r="H24" s="68">
        <v>6804.9180327868853</v>
      </c>
      <c r="I24" s="68">
        <v>-8160.869565217391</v>
      </c>
      <c r="J24" s="67">
        <v>4.7619047619047616E-2</v>
      </c>
      <c r="K24" s="67">
        <v>9.5238095238095233E-2</v>
      </c>
      <c r="L24" s="67">
        <v>0.2138728323699422</v>
      </c>
      <c r="M24" s="67">
        <v>0.36416184971098264</v>
      </c>
      <c r="N24" s="67">
        <v>0.64864864864864868</v>
      </c>
      <c r="O24" s="67">
        <v>0.41269841269841268</v>
      </c>
      <c r="P24" s="67">
        <v>0.39344262295081966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E3A2-C3E3-4222-B4C9-82A210CEE068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  <row r="33" spans="1:16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0.23574144486692014</v>
      </c>
      <c r="G33" s="67">
        <v>0.17110266159695817</v>
      </c>
      <c r="H33" s="68">
        <v>8224.1935483870966</v>
      </c>
      <c r="I33" s="68">
        <v>-7300</v>
      </c>
      <c r="J33" s="67">
        <v>3.3333333333333333E-2</v>
      </c>
      <c r="K33" s="67">
        <v>6.6666666666666666E-2</v>
      </c>
      <c r="L33" s="67">
        <v>0.23574144486692014</v>
      </c>
      <c r="M33" s="67">
        <v>0.17490494296577946</v>
      </c>
      <c r="N33" s="67">
        <v>0.5161290322580645</v>
      </c>
      <c r="O33" s="67">
        <v>0.34782608695652173</v>
      </c>
      <c r="P33" s="67">
        <v>0.32258064516129031</v>
      </c>
    </row>
    <row r="34" spans="1:16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0.23985239852398524</v>
      </c>
      <c r="G34" s="67">
        <v>0.16974169741697417</v>
      </c>
      <c r="H34" s="68">
        <v>8490.7692307692305</v>
      </c>
      <c r="I34" s="68">
        <v>-7226.086956521739</v>
      </c>
      <c r="J34" s="67">
        <v>3.2258064516129031E-2</v>
      </c>
      <c r="K34" s="67">
        <v>9.6774193548387094E-2</v>
      </c>
      <c r="L34" s="67">
        <v>0.23985239852398524</v>
      </c>
      <c r="M34" s="67">
        <v>0.17712177121771217</v>
      </c>
      <c r="N34" s="67">
        <v>0.53846153846153844</v>
      </c>
      <c r="O34" s="67">
        <v>0.33333333333333331</v>
      </c>
      <c r="P34" s="67">
        <v>0.33846153846153848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E131-7D7A-4B14-99F9-EEC190D04C6D}">
  <sheetPr codeName="Sheet12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  <row r="23" spans="1:16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0.19075144508670519</v>
      </c>
      <c r="G23" s="67">
        <v>0.22543352601156069</v>
      </c>
      <c r="H23" s="68">
        <v>7260.606060606061</v>
      </c>
      <c r="I23" s="68">
        <v>-9892.3076923076915</v>
      </c>
      <c r="J23" s="67">
        <v>0.25</v>
      </c>
      <c r="K23" s="67">
        <v>0</v>
      </c>
      <c r="L23" s="67">
        <v>0.23121387283236994</v>
      </c>
      <c r="M23" s="67">
        <v>0.11560693641618497</v>
      </c>
      <c r="N23" s="67">
        <v>0.47499999999999998</v>
      </c>
      <c r="O23" s="67">
        <v>0.2</v>
      </c>
      <c r="P23" s="67">
        <v>0.45454545454545453</v>
      </c>
    </row>
    <row r="24" spans="1:16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0.18994413407821228</v>
      </c>
      <c r="G24" s="67">
        <v>0.21787709497206703</v>
      </c>
      <c r="H24" s="68">
        <v>7282.3529411764703</v>
      </c>
      <c r="I24" s="68">
        <v>-9892.3076923076915</v>
      </c>
      <c r="J24" s="67">
        <v>0.23809523809523808</v>
      </c>
      <c r="K24" s="67">
        <v>0</v>
      </c>
      <c r="L24" s="67">
        <v>0.24022346368715083</v>
      </c>
      <c r="M24" s="67">
        <v>0.11731843575418995</v>
      </c>
      <c r="N24" s="67">
        <v>0.46511627906976744</v>
      </c>
      <c r="O24" s="67">
        <v>0.19047619047619047</v>
      </c>
      <c r="P24" s="67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42C2-C4C8-486D-8EA6-24D7C23BE541}">
  <sheetPr codeName="Sheet10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  <row r="47" spans="1:16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0.30352303523035229</v>
      </c>
      <c r="G47" s="67">
        <v>0.16260162601626016</v>
      </c>
      <c r="H47" s="68">
        <v>9000.8928571428569</v>
      </c>
      <c r="I47" s="68">
        <v>-7113.333333333333</v>
      </c>
      <c r="J47" s="67">
        <v>6.8181818181818177E-2</v>
      </c>
      <c r="K47" s="67">
        <v>6.8181818181818177E-2</v>
      </c>
      <c r="L47" s="67">
        <v>0.29539295392953929</v>
      </c>
      <c r="M47" s="67">
        <v>0.18157181571815717</v>
      </c>
      <c r="N47" s="67">
        <v>0.64220183486238536</v>
      </c>
      <c r="O47" s="67">
        <v>0.2537313432835821</v>
      </c>
      <c r="P47" s="67">
        <v>0.4107142857142857</v>
      </c>
    </row>
    <row r="48" spans="1:16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0.296875</v>
      </c>
      <c r="G48" s="67">
        <v>0.16145833333333334</v>
      </c>
      <c r="H48" s="68">
        <v>8982.4561403508778</v>
      </c>
      <c r="I48" s="68">
        <v>-7075.8064516129034</v>
      </c>
      <c r="J48" s="67">
        <v>8.8888888888888892E-2</v>
      </c>
      <c r="K48" s="67">
        <v>6.6666666666666666E-2</v>
      </c>
      <c r="L48" s="67">
        <v>0.28645833333333331</v>
      </c>
      <c r="M48" s="67">
        <v>0.17708333333333334</v>
      </c>
      <c r="N48" s="67">
        <v>0.6454545454545455</v>
      </c>
      <c r="O48" s="67">
        <v>0.25</v>
      </c>
      <c r="P48" s="67">
        <v>0.40350877192982454</v>
      </c>
    </row>
    <row r="49" spans="1:16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0.29411764705882354</v>
      </c>
      <c r="G49" s="67">
        <v>0.16624040920716113</v>
      </c>
      <c r="H49" s="68">
        <v>9008.6956521739139</v>
      </c>
      <c r="I49" s="68">
        <v>-7395.3846153846152</v>
      </c>
      <c r="J49" s="67">
        <v>0.10869565217391304</v>
      </c>
      <c r="K49" s="67">
        <v>6.5217391304347824E-2</v>
      </c>
      <c r="L49" s="67">
        <v>0.28644501278772377</v>
      </c>
      <c r="M49" s="67">
        <v>0.17391304347826086</v>
      </c>
      <c r="N49" s="67">
        <v>0.6428571428571429</v>
      </c>
      <c r="O49" s="67">
        <v>0.25</v>
      </c>
      <c r="P49" s="67">
        <v>0.4</v>
      </c>
    </row>
    <row r="50" spans="1:16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0.2907268170426065</v>
      </c>
      <c r="G50" s="67">
        <v>0.16791979949874686</v>
      </c>
      <c r="H50" s="68">
        <v>8953.4482758620688</v>
      </c>
      <c r="I50" s="68">
        <v>-7468.6567164179105</v>
      </c>
      <c r="J50" s="67">
        <v>0.1276595744680851</v>
      </c>
      <c r="K50" s="67">
        <v>6.3829787234042548E-2</v>
      </c>
      <c r="L50" s="67">
        <v>0.2832080200501253</v>
      </c>
      <c r="M50" s="67">
        <v>0.17794486215538846</v>
      </c>
      <c r="N50" s="67">
        <v>0.64601769911504425</v>
      </c>
      <c r="O50" s="67">
        <v>0.23943661971830985</v>
      </c>
      <c r="P50" s="67">
        <v>0.39655172413793105</v>
      </c>
    </row>
    <row r="51" spans="1:16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0.29280397022332505</v>
      </c>
      <c r="G51" s="67">
        <v>0.16625310173697269</v>
      </c>
      <c r="H51" s="68">
        <v>9089.8305084745771</v>
      </c>
      <c r="I51" s="68">
        <v>-7468.6567164179105</v>
      </c>
      <c r="J51" s="67">
        <v>0.125</v>
      </c>
      <c r="K51" s="67">
        <v>8.3333333333333329E-2</v>
      </c>
      <c r="L51" s="67">
        <v>0.28287841191066998</v>
      </c>
      <c r="M51" s="67">
        <v>0.17617866004962779</v>
      </c>
      <c r="N51" s="67">
        <v>0.64912280701754388</v>
      </c>
      <c r="O51" s="67">
        <v>0.23943661971830985</v>
      </c>
      <c r="P51" s="67">
        <v>0.38983050847457629</v>
      </c>
    </row>
    <row r="52" spans="1:16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0.28850855745721271</v>
      </c>
      <c r="G52" s="67">
        <v>0.1687041564792176</v>
      </c>
      <c r="H52" s="68">
        <v>9089.8305084745771</v>
      </c>
      <c r="I52" s="68">
        <v>-7600</v>
      </c>
      <c r="J52" s="67">
        <v>0.14285714285714285</v>
      </c>
      <c r="K52" s="67">
        <v>8.1632653061224483E-2</v>
      </c>
      <c r="L52" s="67">
        <v>0.27872860635696822</v>
      </c>
      <c r="M52" s="67">
        <v>0.17603911980440098</v>
      </c>
      <c r="N52" s="67">
        <v>0.64912280701754388</v>
      </c>
      <c r="O52" s="67">
        <v>0.2361111111111111</v>
      </c>
      <c r="P52" s="67">
        <v>0.38983050847457629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66A3-35EE-4CFD-B4A4-73902A5854E7}">
  <sheetPr codeName="Sheet8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  <row r="46" spans="1:16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0.33724340175953077</v>
      </c>
      <c r="M46" s="67">
        <v>0.2404692082111437</v>
      </c>
      <c r="N46" s="67">
        <v>0.63478260869565217</v>
      </c>
      <c r="O46" s="67">
        <v>0.56097560975609762</v>
      </c>
      <c r="P46" s="67">
        <v>0.40559440559440557</v>
      </c>
    </row>
    <row r="47" spans="1:16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0.42241379310344829</v>
      </c>
      <c r="G47" s="67">
        <v>0.14655172413793102</v>
      </c>
      <c r="H47" s="68">
        <v>9407.4829931972781</v>
      </c>
      <c r="I47" s="68">
        <v>-7925.4901960784309</v>
      </c>
      <c r="J47" s="67">
        <v>2.2727272727272728E-2</v>
      </c>
      <c r="K47" s="67">
        <v>0.22727272727272727</v>
      </c>
      <c r="L47" s="67">
        <v>0.33908045977011492</v>
      </c>
      <c r="M47" s="67">
        <v>0.2413793103448276</v>
      </c>
      <c r="N47" s="67">
        <v>0.64406779661016944</v>
      </c>
      <c r="O47" s="67">
        <v>0.55952380952380953</v>
      </c>
      <c r="P47" s="67">
        <v>0.39455782312925169</v>
      </c>
    </row>
    <row r="48" spans="1:16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0.42134831460674155</v>
      </c>
      <c r="G48" s="67">
        <v>0.14606741573033707</v>
      </c>
      <c r="H48" s="68">
        <v>9310.6666666666661</v>
      </c>
      <c r="I48" s="68">
        <v>-7823.0769230769229</v>
      </c>
      <c r="J48" s="67">
        <v>2.2222222222222223E-2</v>
      </c>
      <c r="K48" s="67">
        <v>0.22222222222222221</v>
      </c>
      <c r="L48" s="67">
        <v>0.3398876404494382</v>
      </c>
      <c r="M48" s="67">
        <v>0.2443820224719101</v>
      </c>
      <c r="N48" s="67">
        <v>0.64462809917355368</v>
      </c>
      <c r="O48" s="67">
        <v>0.55172413793103448</v>
      </c>
      <c r="P48" s="67">
        <v>0.39333333333333331</v>
      </c>
    </row>
    <row r="49" spans="1:16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0.41944444444444445</v>
      </c>
      <c r="G49" s="67">
        <v>0.14722222222222223</v>
      </c>
      <c r="H49" s="68">
        <v>9407.9470198675499</v>
      </c>
      <c r="I49" s="68">
        <v>-8015.0943396226412</v>
      </c>
      <c r="J49" s="67">
        <v>2.1739130434782608E-2</v>
      </c>
      <c r="K49" s="67">
        <v>0.21739130434782608</v>
      </c>
      <c r="L49" s="67">
        <v>0.33888888888888891</v>
      </c>
      <c r="M49" s="67">
        <v>0.25</v>
      </c>
      <c r="N49" s="67">
        <v>0.64754098360655743</v>
      </c>
      <c r="O49" s="67">
        <v>0.53333333333333333</v>
      </c>
      <c r="P49" s="67">
        <v>0.39072847682119205</v>
      </c>
    </row>
    <row r="50" spans="1:16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0.42349726775956287</v>
      </c>
      <c r="G50" s="67">
        <v>0.1448087431693989</v>
      </c>
      <c r="H50" s="68">
        <v>9387.0967741935492</v>
      </c>
      <c r="I50" s="68">
        <v>-8015.0943396226412</v>
      </c>
      <c r="J50" s="67">
        <v>2.1276595744680851E-2</v>
      </c>
      <c r="K50" s="67">
        <v>0.23404255319148937</v>
      </c>
      <c r="L50" s="67">
        <v>0.33606557377049179</v>
      </c>
      <c r="M50" s="67">
        <v>0.25409836065573771</v>
      </c>
      <c r="N50" s="67">
        <v>0.65040650406504064</v>
      </c>
      <c r="O50" s="67">
        <v>0.54838709677419351</v>
      </c>
      <c r="P50" s="67">
        <v>0.3935483870967742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839BF-D06F-4CE8-8C77-7A28FF052826}">
  <sheetPr codeName="Sheet6"/>
  <dimension ref="A1:Q7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  <row r="67" spans="1:16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0.30044275774826057</v>
      </c>
      <c r="G67" s="67">
        <v>0.17773561037318153</v>
      </c>
      <c r="H67" s="68">
        <v>8209.4736842105267</v>
      </c>
      <c r="I67" s="68">
        <v>-7880.7829181494662</v>
      </c>
      <c r="J67" s="67">
        <v>8.3333333333333329E-2</v>
      </c>
      <c r="K67" s="67">
        <v>8.3333333333333329E-2</v>
      </c>
      <c r="L67" s="67">
        <v>0.25932953826691968</v>
      </c>
      <c r="M67" s="67">
        <v>0.21125869702719799</v>
      </c>
      <c r="N67" s="67">
        <v>0.59268292682926826</v>
      </c>
      <c r="O67" s="67">
        <v>0.38622754491017963</v>
      </c>
      <c r="P67" s="67">
        <v>0.40210526315789474</v>
      </c>
    </row>
    <row r="68" spans="1:16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0.30012300123001229</v>
      </c>
      <c r="G68" s="67">
        <v>0.17712177121771217</v>
      </c>
      <c r="H68" s="68">
        <v>8204.7131147540986</v>
      </c>
      <c r="I68" s="68">
        <v>-7851.7361111111113</v>
      </c>
      <c r="J68" s="67">
        <v>8.7179487179487175E-2</v>
      </c>
      <c r="K68" s="67">
        <v>8.7179487179487175E-2</v>
      </c>
      <c r="L68" s="67">
        <v>0.25645756457564578</v>
      </c>
      <c r="M68" s="67">
        <v>0.21217712177121772</v>
      </c>
      <c r="N68" s="67">
        <v>0.59472422062350117</v>
      </c>
      <c r="O68" s="67">
        <v>0.38550724637681161</v>
      </c>
      <c r="P68" s="67">
        <v>0.40163934426229508</v>
      </c>
    </row>
    <row r="69" spans="1:16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0.30054644808743169</v>
      </c>
      <c r="G69" s="67">
        <v>0.17789921068609593</v>
      </c>
      <c r="H69" s="68">
        <v>8227.878787878788</v>
      </c>
      <c r="I69" s="68">
        <v>-7928.3276450511948</v>
      </c>
      <c r="J69" s="67">
        <v>9.0909090909090912E-2</v>
      </c>
      <c r="K69" s="67">
        <v>9.0909090909090912E-2</v>
      </c>
      <c r="L69" s="67">
        <v>0.25622343655130542</v>
      </c>
      <c r="M69" s="67">
        <v>0.21250758955676988</v>
      </c>
      <c r="N69" s="67">
        <v>0.59715639810426535</v>
      </c>
      <c r="O69" s="67">
        <v>0.38857142857142857</v>
      </c>
      <c r="P69" s="67">
        <v>0.4</v>
      </c>
    </row>
    <row r="70" spans="1:16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0.2994047619047619</v>
      </c>
      <c r="G70" s="67">
        <v>0.1767857142857143</v>
      </c>
      <c r="H70" s="68">
        <v>8229.224652087476</v>
      </c>
      <c r="I70" s="68">
        <v>-7890.5723905723908</v>
      </c>
      <c r="J70" s="67">
        <v>8.9552238805970144E-2</v>
      </c>
      <c r="K70" s="67">
        <v>8.9552238805970144E-2</v>
      </c>
      <c r="L70" s="67">
        <v>0.25535714285714284</v>
      </c>
      <c r="M70" s="67">
        <v>0.21309523809523809</v>
      </c>
      <c r="N70" s="67">
        <v>0.5990675990675991</v>
      </c>
      <c r="O70" s="67">
        <v>0.38547486033519551</v>
      </c>
      <c r="P70" s="67">
        <v>0.40159045725646125</v>
      </c>
    </row>
    <row r="71" spans="1:16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0.29929577464788731</v>
      </c>
      <c r="G71" s="67">
        <v>0.17664319248826291</v>
      </c>
      <c r="H71" s="68">
        <v>8230.5882352941171</v>
      </c>
      <c r="I71" s="68">
        <v>-7872.7574750830563</v>
      </c>
      <c r="J71" s="67">
        <v>9.3137254901960786E-2</v>
      </c>
      <c r="K71" s="67">
        <v>9.3137254901960786E-2</v>
      </c>
      <c r="L71" s="67">
        <v>0.25586854460093894</v>
      </c>
      <c r="M71" s="67">
        <v>0.21478873239436619</v>
      </c>
      <c r="N71" s="67">
        <v>0.60321100917431192</v>
      </c>
      <c r="O71" s="67">
        <v>0.3797814207650273</v>
      </c>
      <c r="P71" s="67">
        <v>0.40196078431372551</v>
      </c>
    </row>
    <row r="72" spans="1:16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0.29895104895104896</v>
      </c>
      <c r="G72" s="67">
        <v>0.17715617715617715</v>
      </c>
      <c r="H72" s="68">
        <v>8295.5165692007795</v>
      </c>
      <c r="I72" s="68">
        <v>-7985.855263157895</v>
      </c>
      <c r="J72" s="67">
        <v>9.6618357487922704E-2</v>
      </c>
      <c r="K72" s="67">
        <v>9.6618357487922704E-2</v>
      </c>
      <c r="L72" s="67">
        <v>0.25524475524475526</v>
      </c>
      <c r="M72" s="67">
        <v>0.21561771561771562</v>
      </c>
      <c r="N72" s="67">
        <v>0.60502283105022836</v>
      </c>
      <c r="O72" s="67">
        <v>0.37567567567567567</v>
      </c>
      <c r="P72" s="67">
        <v>0.39961013645224169</v>
      </c>
    </row>
    <row r="73" spans="1:16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0.29873125720876587</v>
      </c>
      <c r="G73" s="67">
        <v>0.17647058823529413</v>
      </c>
      <c r="H73" s="68">
        <v>8297.2972972972966</v>
      </c>
      <c r="I73" s="68">
        <v>-8012.0915032679741</v>
      </c>
      <c r="J73" s="67">
        <v>0.1</v>
      </c>
      <c r="K73" s="67">
        <v>0.1</v>
      </c>
      <c r="L73" s="67">
        <v>0.25490196078431371</v>
      </c>
      <c r="M73" s="67">
        <v>0.21626297577854672</v>
      </c>
      <c r="N73" s="67">
        <v>0.60407239819004521</v>
      </c>
      <c r="O73" s="67">
        <v>0.37866666666666665</v>
      </c>
      <c r="P73" s="67">
        <v>0.40154440154440152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</vt:vector>
  </HeadingPairs>
  <TitlesOfParts>
    <vt:vector size="42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2019-04-18T11:23:40Z</dcterms:modified>
</cp:coreProperties>
</file>