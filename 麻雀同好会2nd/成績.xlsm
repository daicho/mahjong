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D7178D1-4016-48D1-913A-58EA5F29330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97" r:id="rId6"/>
    <sheet name="だいち" sheetId="4999" r:id="rId7"/>
    <sheet name="りくと" sheetId="5001" r:id="rId8"/>
    <sheet name="ただ" sheetId="5003" r:id="rId9"/>
    <sheet name="れんたろう" sheetId="5005" r:id="rId10"/>
    <sheet name="たかの" sheetId="5007" r:id="rId11"/>
    <sheet name="ぱぱ" sheetId="5009" r:id="rId12"/>
    <sheet name="まっつん" sheetId="5011" r:id="rId13"/>
    <sheet name="あさひ" sheetId="5013" r:id="rId14"/>
    <sheet name="いっしー" sheetId="5015" r:id="rId15"/>
    <sheet name="ほたに" sheetId="5017" r:id="rId16"/>
    <sheet name="ほたに2" sheetId="5018" state="hidden" r:id="rId17"/>
    <sheet name="いっしー2" sheetId="5016" state="hidden" r:id="rId18"/>
    <sheet name="あさひ2" sheetId="5014" state="hidden" r:id="rId19"/>
    <sheet name="まっつん2" sheetId="5012" state="hidden" r:id="rId20"/>
    <sheet name="ぱぱ2" sheetId="5010" state="hidden" r:id="rId21"/>
    <sheet name="たかの2" sheetId="5008" state="hidden" r:id="rId22"/>
    <sheet name="れんたろう2" sheetId="5006" state="hidden" r:id="rId23"/>
    <sheet name="ただ2" sheetId="5004" state="hidden" r:id="rId24"/>
    <sheet name="りくと2" sheetId="5002" state="hidden" r:id="rId25"/>
    <sheet name="だいち2" sheetId="5000" state="hidden" r:id="rId26"/>
    <sheet name="全体2" sheetId="4998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999" l="1"/>
  <c r="O18" i="5017"/>
  <c r="O21" i="5009"/>
  <c r="O16" i="5017"/>
  <c r="O15" i="5017" l="1"/>
  <c r="O17" i="5017"/>
  <c r="H36" i="5017"/>
  <c r="H35" i="5017"/>
  <c r="C27" i="5017"/>
  <c r="H27" i="5017"/>
  <c r="B24" i="5017"/>
  <c r="C20" i="5017"/>
  <c r="B17" i="5017"/>
  <c r="H50" i="5017" s="1"/>
  <c r="H11" i="5017"/>
  <c r="C16" i="5017"/>
  <c r="C15" i="5017"/>
  <c r="C14" i="5017"/>
  <c r="C13" i="5017"/>
  <c r="O12" i="5017"/>
  <c r="C12" i="5017"/>
  <c r="O11" i="5017"/>
  <c r="C11" i="5017"/>
  <c r="O10" i="5017"/>
  <c r="C10" i="5017"/>
  <c r="H14" i="5017"/>
  <c r="C9" i="5017"/>
  <c r="C8" i="5017"/>
  <c r="O7" i="5017"/>
  <c r="C7" i="5017"/>
  <c r="O6" i="5017"/>
  <c r="H6" i="5017"/>
  <c r="B6" i="5017"/>
  <c r="O5" i="5017"/>
  <c r="B5" i="5017"/>
  <c r="O4" i="5017"/>
  <c r="H2" i="5017"/>
  <c r="O3" i="5017"/>
  <c r="H10" i="5017"/>
  <c r="O2" i="5017"/>
  <c r="O22" i="5005"/>
  <c r="O16" i="5007"/>
  <c r="O22" i="4997"/>
  <c r="H44" i="5017" l="1"/>
  <c r="H37" i="5017"/>
  <c r="H16" i="5017"/>
  <c r="H22" i="5017"/>
  <c r="H45" i="5017"/>
  <c r="H25" i="5017"/>
  <c r="H24" i="5017"/>
  <c r="H8" i="5017"/>
  <c r="H47" i="5017"/>
  <c r="H20" i="5017"/>
  <c r="H30" i="5017"/>
  <c r="H5" i="5017"/>
  <c r="H18" i="5017"/>
  <c r="H31" i="5017"/>
  <c r="H49" i="5017"/>
  <c r="H4" i="5017"/>
  <c r="C17" i="5017"/>
  <c r="H38" i="5017"/>
  <c r="B23" i="5017"/>
  <c r="H39" i="5017"/>
  <c r="H15" i="5017"/>
  <c r="H26" i="5017"/>
  <c r="H3" i="5017"/>
  <c r="H21" i="5017"/>
  <c r="H41" i="5017"/>
  <c r="H51" i="5017"/>
  <c r="H9" i="5017"/>
  <c r="H46" i="5017"/>
  <c r="H17" i="5017"/>
  <c r="H29" i="5017"/>
  <c r="H48" i="5017"/>
  <c r="C18" i="5017"/>
  <c r="H40" i="5017"/>
  <c r="H13" i="5017"/>
  <c r="H32" i="5017"/>
  <c r="H19" i="5017"/>
  <c r="C19" i="5017"/>
  <c r="H12" i="5017"/>
  <c r="H33" i="5017"/>
  <c r="H43" i="5017"/>
  <c r="H7" i="5017"/>
  <c r="H23" i="5017"/>
  <c r="H28" i="5017"/>
  <c r="H34" i="5017"/>
  <c r="H42" i="5017"/>
  <c r="O17" i="5007" l="1"/>
  <c r="O15" i="5003"/>
  <c r="O19" i="5011"/>
  <c r="O22" i="5011"/>
  <c r="O19" i="4999" l="1"/>
  <c r="O17" i="5015"/>
  <c r="O16" i="5015" l="1"/>
  <c r="O15" i="5015"/>
  <c r="O16" i="5005"/>
  <c r="O19" i="5003"/>
  <c r="O17" i="5013" l="1"/>
  <c r="O22" i="5009"/>
  <c r="O15" i="5013"/>
  <c r="O20" i="5015"/>
  <c r="O15" i="5001"/>
  <c r="O15" i="5011"/>
  <c r="O16" i="4997"/>
  <c r="O18" i="5015"/>
  <c r="O19" i="5015"/>
  <c r="C27" i="5015"/>
  <c r="B24" i="5015"/>
  <c r="C20" i="5015"/>
  <c r="B17" i="5015"/>
  <c r="H50" i="5015" s="1"/>
  <c r="C16" i="5015"/>
  <c r="C15" i="5015"/>
  <c r="C14" i="5015"/>
  <c r="C13" i="5015"/>
  <c r="O12" i="5015"/>
  <c r="C12" i="5015"/>
  <c r="O11" i="5015"/>
  <c r="C11" i="5015"/>
  <c r="O10" i="5015"/>
  <c r="C10" i="5015"/>
  <c r="C9" i="5015"/>
  <c r="C8" i="5015"/>
  <c r="O7" i="5015"/>
  <c r="C7" i="5015"/>
  <c r="O6" i="5015"/>
  <c r="B6" i="5015"/>
  <c r="O5" i="5015"/>
  <c r="B5" i="5015"/>
  <c r="O4" i="5015"/>
  <c r="O3" i="5015"/>
  <c r="O2" i="5015"/>
  <c r="O16" i="5013"/>
  <c r="O18" i="5013"/>
  <c r="H48" i="5013"/>
  <c r="C27" i="5013"/>
  <c r="B24" i="5013"/>
  <c r="C20" i="5013"/>
  <c r="B17" i="5013"/>
  <c r="H50" i="5013" s="1"/>
  <c r="C16" i="5013"/>
  <c r="C15" i="5013"/>
  <c r="C14" i="5013"/>
  <c r="C13" i="5013"/>
  <c r="O12" i="5013"/>
  <c r="C12" i="5013"/>
  <c r="O11" i="5013"/>
  <c r="C11" i="5013"/>
  <c r="O10" i="5013"/>
  <c r="C10" i="5013"/>
  <c r="C9" i="5013"/>
  <c r="C8" i="5013"/>
  <c r="O7" i="5013"/>
  <c r="C7" i="5013"/>
  <c r="O6" i="5013"/>
  <c r="B6" i="5013"/>
  <c r="O5" i="5013"/>
  <c r="B5" i="5013"/>
  <c r="O4" i="5013"/>
  <c r="O3" i="5013"/>
  <c r="O2" i="5013"/>
  <c r="O20" i="5011"/>
  <c r="O21" i="5011"/>
  <c r="O15" i="4999"/>
  <c r="O17" i="4999"/>
  <c r="O24" i="4997"/>
  <c r="H36" i="5015" l="1"/>
  <c r="H35" i="5015"/>
  <c r="H17" i="5015"/>
  <c r="H5" i="5015"/>
  <c r="H12" i="5013"/>
  <c r="H51" i="5013"/>
  <c r="H10" i="5013"/>
  <c r="H22" i="5013"/>
  <c r="H11" i="5013"/>
  <c r="H7" i="5013"/>
  <c r="H2" i="5013"/>
  <c r="H8" i="5013"/>
  <c r="H18" i="5013"/>
  <c r="H36" i="5013"/>
  <c r="H37" i="5013"/>
  <c r="H13" i="5013"/>
  <c r="H15" i="5013"/>
  <c r="H21" i="5013"/>
  <c r="C19" i="5013"/>
  <c r="H38" i="5013"/>
  <c r="H40" i="5013"/>
  <c r="H6" i="5013"/>
  <c r="H3" i="5013"/>
  <c r="C17" i="5013"/>
  <c r="H44" i="5013"/>
  <c r="H19" i="5013"/>
  <c r="H4" i="5013"/>
  <c r="H24" i="5013"/>
  <c r="H43" i="5013"/>
  <c r="H16" i="5013"/>
  <c r="H30" i="5013"/>
  <c r="H20" i="5013"/>
  <c r="H32" i="5013"/>
  <c r="H45" i="5013"/>
  <c r="H29" i="5013"/>
  <c r="H9" i="5013"/>
  <c r="H25" i="5013"/>
  <c r="B23" i="5013"/>
  <c r="H5" i="5013"/>
  <c r="H14" i="5013"/>
  <c r="H17" i="5013"/>
  <c r="C18" i="5013"/>
  <c r="H26" i="5013"/>
  <c r="H35" i="5013"/>
  <c r="H46" i="5013"/>
  <c r="H21" i="5015"/>
  <c r="H16" i="5015"/>
  <c r="H27" i="5015"/>
  <c r="H44" i="5015"/>
  <c r="H18" i="5015"/>
  <c r="H15" i="5015"/>
  <c r="H45" i="5015"/>
  <c r="H37" i="5015"/>
  <c r="H13" i="5015"/>
  <c r="H47" i="5015"/>
  <c r="H6" i="5015"/>
  <c r="H24" i="5015"/>
  <c r="H30" i="5015"/>
  <c r="H39" i="5015"/>
  <c r="H48" i="5015"/>
  <c r="C17" i="5015"/>
  <c r="H49" i="5015"/>
  <c r="H3" i="5015"/>
  <c r="H10" i="5015"/>
  <c r="H9" i="5015"/>
  <c r="H38" i="5015"/>
  <c r="H14" i="5015"/>
  <c r="C18" i="5015"/>
  <c r="H40" i="5015"/>
  <c r="H11" i="5015"/>
  <c r="H22" i="5015"/>
  <c r="H41" i="5015"/>
  <c r="H51" i="5015"/>
  <c r="H2" i="5015"/>
  <c r="H46" i="5015"/>
  <c r="H29" i="5015"/>
  <c r="B23" i="5015"/>
  <c r="H8" i="5015"/>
  <c r="H12" i="5015"/>
  <c r="H19" i="5015"/>
  <c r="H25" i="5015"/>
  <c r="H31" i="5015"/>
  <c r="H4" i="5015"/>
  <c r="H32" i="5015"/>
  <c r="H20" i="5015"/>
  <c r="C19" i="5015"/>
  <c r="H26" i="5015"/>
  <c r="H33" i="5015"/>
  <c r="H43" i="5015"/>
  <c r="H7" i="5015"/>
  <c r="H23" i="5015"/>
  <c r="H28" i="5015"/>
  <c r="H34" i="5015"/>
  <c r="H42" i="5015"/>
  <c r="H31" i="5013"/>
  <c r="H39" i="5013"/>
  <c r="H47" i="5013"/>
  <c r="H27" i="5013"/>
  <c r="H33" i="5013"/>
  <c r="H41" i="5013"/>
  <c r="H49" i="5013"/>
  <c r="H23" i="5013"/>
  <c r="H28" i="5013"/>
  <c r="H34" i="5013"/>
  <c r="H42" i="5013"/>
  <c r="O16" i="5011" l="1"/>
  <c r="O19" i="5009"/>
  <c r="O16" i="5009"/>
  <c r="O20" i="5001"/>
  <c r="O18" i="5007" l="1"/>
  <c r="O17" i="5005"/>
  <c r="O17" i="5009"/>
  <c r="O18" i="5009"/>
  <c r="O15" i="5007" l="1"/>
  <c r="O15" i="5005"/>
  <c r="O20" i="5003"/>
  <c r="O21" i="5003"/>
  <c r="O17" i="5011"/>
  <c r="O18" i="5011"/>
  <c r="H35" i="5011"/>
  <c r="C27" i="5011"/>
  <c r="B24" i="5011"/>
  <c r="C20" i="5011"/>
  <c r="B17" i="5011"/>
  <c r="H50" i="5011" s="1"/>
  <c r="C16" i="5011"/>
  <c r="C15" i="5011"/>
  <c r="C14" i="5011"/>
  <c r="C13" i="5011"/>
  <c r="O12" i="5011"/>
  <c r="C12" i="5011"/>
  <c r="O11" i="5011"/>
  <c r="C11" i="5011"/>
  <c r="O10" i="5011"/>
  <c r="C10" i="5011"/>
  <c r="H14" i="5011"/>
  <c r="C9" i="5011"/>
  <c r="C8" i="5011"/>
  <c r="O7" i="5011"/>
  <c r="C7" i="5011"/>
  <c r="O6" i="5011"/>
  <c r="B6" i="5011"/>
  <c r="O5" i="5011"/>
  <c r="B5" i="5011"/>
  <c r="O4" i="5011"/>
  <c r="O3" i="5011"/>
  <c r="O2" i="5011"/>
  <c r="O20" i="5005"/>
  <c r="O17" i="5001"/>
  <c r="O17" i="4997"/>
  <c r="H7" i="5011" l="1"/>
  <c r="H9" i="5011"/>
  <c r="H28" i="5011"/>
  <c r="H22" i="5011"/>
  <c r="H36" i="5011"/>
  <c r="H44" i="5011"/>
  <c r="H19" i="5011"/>
  <c r="H16" i="5011"/>
  <c r="H45" i="5011"/>
  <c r="H2" i="5011"/>
  <c r="H37" i="5011"/>
  <c r="H26" i="5011"/>
  <c r="C17" i="5011"/>
  <c r="H46" i="5011"/>
  <c r="H8" i="5011"/>
  <c r="H30" i="5011"/>
  <c r="H12" i="5011"/>
  <c r="H6" i="5011"/>
  <c r="C18" i="5011"/>
  <c r="H31" i="5011"/>
  <c r="H49" i="5011"/>
  <c r="H10" i="5011"/>
  <c r="H38" i="5011"/>
  <c r="H23" i="5011"/>
  <c r="H48" i="5011"/>
  <c r="H20" i="5011"/>
  <c r="H40" i="5011"/>
  <c r="H24" i="5011"/>
  <c r="H32" i="5011"/>
  <c r="H51" i="5011"/>
  <c r="H3" i="5011"/>
  <c r="H11" i="5011"/>
  <c r="H15" i="5011"/>
  <c r="H47" i="5011"/>
  <c r="B23" i="5011"/>
  <c r="H39" i="5011"/>
  <c r="H18" i="5011"/>
  <c r="H17" i="5011"/>
  <c r="H4" i="5011"/>
  <c r="H13" i="5011"/>
  <c r="H41" i="5011"/>
  <c r="H21" i="5011"/>
  <c r="C19" i="5011"/>
  <c r="H27" i="5011"/>
  <c r="H33" i="5011"/>
  <c r="H43" i="5011"/>
  <c r="H5" i="5011"/>
  <c r="H25" i="5011"/>
  <c r="H29" i="5011"/>
  <c r="H34" i="5011"/>
  <c r="H42" i="5011"/>
  <c r="O17" i="5003" l="1"/>
  <c r="O20" i="5009"/>
  <c r="O15" i="5009"/>
  <c r="C27" i="5009"/>
  <c r="B24" i="5009"/>
  <c r="C20" i="5009"/>
  <c r="B17" i="5009"/>
  <c r="H51" i="5009" s="1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20" i="4999"/>
  <c r="O18" i="4997"/>
  <c r="O20" i="5007"/>
  <c r="O18" i="5001"/>
  <c r="O19" i="5001"/>
  <c r="O19" i="5005"/>
  <c r="O19" i="5007"/>
  <c r="O21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21" i="5005"/>
  <c r="O18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O18" i="4999"/>
  <c r="O23" i="4999"/>
  <c r="O21" i="4997"/>
  <c r="O19" i="4997"/>
  <c r="H4" i="5005" l="1"/>
  <c r="H11" i="5009"/>
  <c r="H37" i="5009"/>
  <c r="H46" i="5009"/>
  <c r="C19" i="5009"/>
  <c r="H25" i="5009"/>
  <c r="H5" i="5009"/>
  <c r="H45" i="5009"/>
  <c r="H13" i="5009"/>
  <c r="H29" i="5009"/>
  <c r="H20" i="5009"/>
  <c r="H36" i="5009"/>
  <c r="H44" i="5009"/>
  <c r="H3" i="5009"/>
  <c r="H12" i="5009"/>
  <c r="H23" i="5009"/>
  <c r="H2" i="5009"/>
  <c r="H16" i="5009"/>
  <c r="H34" i="5009"/>
  <c r="H14" i="5009"/>
  <c r="H8" i="5009"/>
  <c r="H38" i="5009"/>
  <c r="H47" i="5009"/>
  <c r="H31" i="5009"/>
  <c r="H18" i="5009"/>
  <c r="H10" i="5009"/>
  <c r="H21" i="5009"/>
  <c r="H27" i="5009"/>
  <c r="H49" i="5009"/>
  <c r="B23" i="5009"/>
  <c r="H40" i="5009"/>
  <c r="H7" i="5009"/>
  <c r="H15" i="5009"/>
  <c r="H22" i="5009"/>
  <c r="C18" i="5009"/>
  <c r="H28" i="5009"/>
  <c r="H32" i="5009"/>
  <c r="H41" i="5009"/>
  <c r="H19" i="5009"/>
  <c r="C17" i="5009"/>
  <c r="H39" i="5009"/>
  <c r="H17" i="5009"/>
  <c r="H50" i="5009"/>
  <c r="H4" i="5009"/>
  <c r="H9" i="5009"/>
  <c r="H24" i="5009"/>
  <c r="H33" i="5009"/>
  <c r="H42" i="5009"/>
  <c r="H6" i="5009"/>
  <c r="H48" i="5009"/>
  <c r="H26" i="5009"/>
  <c r="H30" i="5009"/>
  <c r="H35" i="5009"/>
  <c r="H43" i="5009"/>
  <c r="H5" i="5007"/>
  <c r="H19" i="5007"/>
  <c r="H2" i="5007"/>
  <c r="H37" i="5007"/>
  <c r="H26" i="5007"/>
  <c r="H4" i="5007"/>
  <c r="H36" i="5007"/>
  <c r="H14" i="5007"/>
  <c r="H11" i="5007"/>
  <c r="H7" i="5007"/>
  <c r="B23" i="5007"/>
  <c r="H30" i="5007"/>
  <c r="C17" i="5005"/>
  <c r="H22" i="5007"/>
  <c r="H32" i="5007"/>
  <c r="H15" i="5007"/>
  <c r="H20" i="5007"/>
  <c r="H44" i="5007"/>
  <c r="C17" i="5007"/>
  <c r="H6" i="5007"/>
  <c r="H17" i="5007"/>
  <c r="H45" i="5007"/>
  <c r="H40" i="5007"/>
  <c r="H13" i="5007"/>
  <c r="H9" i="5007"/>
  <c r="H3" i="5007"/>
  <c r="C18" i="5007"/>
  <c r="H10" i="5007"/>
  <c r="H48" i="5007"/>
  <c r="H46" i="5007"/>
  <c r="H24" i="5007"/>
  <c r="H27" i="5007"/>
  <c r="H18" i="5007"/>
  <c r="H38" i="5007"/>
  <c r="H23" i="5007"/>
  <c r="C19" i="5007"/>
  <c r="H31" i="5007"/>
  <c r="H39" i="5007"/>
  <c r="H47" i="5007"/>
  <c r="H16" i="5007"/>
  <c r="H28" i="5007"/>
  <c r="H33" i="5007"/>
  <c r="H41" i="5007"/>
  <c r="H49" i="5007"/>
  <c r="H25" i="5007"/>
  <c r="H29" i="5007"/>
  <c r="H34" i="5007"/>
  <c r="H42" i="5007"/>
  <c r="H50" i="5007"/>
  <c r="H8" i="5007"/>
  <c r="H21" i="5007"/>
  <c r="H12" i="5007"/>
  <c r="H35" i="5007"/>
  <c r="H43" i="5007"/>
  <c r="H2" i="5005"/>
  <c r="H26" i="5005"/>
  <c r="H30" i="5005"/>
  <c r="H35" i="5005"/>
  <c r="H43" i="5005"/>
  <c r="H51" i="5005"/>
  <c r="H8" i="5005"/>
  <c r="H16" i="5005"/>
  <c r="H14" i="5005"/>
  <c r="H36" i="5005"/>
  <c r="H44" i="5005"/>
  <c r="H18" i="5005"/>
  <c r="H24" i="5005"/>
  <c r="H27" i="5005"/>
  <c r="H10" i="5005"/>
  <c r="H37" i="5005"/>
  <c r="H45" i="5005"/>
  <c r="H5" i="5005"/>
  <c r="H6" i="5005"/>
  <c r="H20" i="5005"/>
  <c r="H22" i="5005"/>
  <c r="C18" i="5005"/>
  <c r="B23" i="5005"/>
  <c r="H31" i="5005"/>
  <c r="H38" i="5005"/>
  <c r="H46" i="5005"/>
  <c r="H3" i="5005"/>
  <c r="H11" i="5005"/>
  <c r="H25" i="5005"/>
  <c r="H28" i="5005"/>
  <c r="H32" i="5005"/>
  <c r="H39" i="5005"/>
  <c r="H47" i="5005"/>
  <c r="H23" i="5005"/>
  <c r="C19" i="5005"/>
  <c r="H17" i="5005"/>
  <c r="H40" i="5005"/>
  <c r="H48" i="5005"/>
  <c r="H9" i="5005"/>
  <c r="H7" i="5005"/>
  <c r="H13" i="5005"/>
  <c r="H21" i="5005"/>
  <c r="H19" i="5005"/>
  <c r="H12" i="5005"/>
  <c r="H33" i="5005"/>
  <c r="H41" i="5005"/>
  <c r="H49" i="5005"/>
  <c r="H15" i="5005"/>
  <c r="H29" i="5005"/>
  <c r="H34" i="5005"/>
  <c r="H42" i="5005"/>
  <c r="O16" i="5003" l="1"/>
  <c r="O18" i="5003"/>
  <c r="C27" i="5003"/>
  <c r="B24" i="5003"/>
  <c r="C20" i="5003"/>
  <c r="B17" i="5003"/>
  <c r="H5" i="5003" s="1"/>
  <c r="H14" i="5003"/>
  <c r="C16" i="5003"/>
  <c r="C15" i="5003"/>
  <c r="C14" i="5003"/>
  <c r="C13" i="5003"/>
  <c r="O12" i="5003"/>
  <c r="C12" i="5003"/>
  <c r="O11" i="5003"/>
  <c r="C11" i="5003"/>
  <c r="O10" i="5003"/>
  <c r="C10" i="5003"/>
  <c r="C9" i="5003"/>
  <c r="C8" i="5003"/>
  <c r="O7" i="5003"/>
  <c r="C7" i="5003"/>
  <c r="O6" i="5003"/>
  <c r="B6" i="5003"/>
  <c r="O5" i="5003"/>
  <c r="B5" i="5003"/>
  <c r="O4" i="5003"/>
  <c r="O3" i="5003"/>
  <c r="O2" i="5003"/>
  <c r="O21" i="5001"/>
  <c r="O16" i="5001"/>
  <c r="C27" i="5001"/>
  <c r="B24" i="5001"/>
  <c r="C20" i="5001"/>
  <c r="B17" i="5001"/>
  <c r="H18" i="5001" s="1"/>
  <c r="C16" i="5001"/>
  <c r="C15" i="5001"/>
  <c r="C14" i="5001"/>
  <c r="C13" i="5001"/>
  <c r="O12" i="5001"/>
  <c r="C12" i="5001"/>
  <c r="O11" i="5001"/>
  <c r="C11" i="5001"/>
  <c r="O10" i="5001"/>
  <c r="C10" i="5001"/>
  <c r="C9" i="5001"/>
  <c r="C8" i="5001"/>
  <c r="O7" i="5001"/>
  <c r="C7" i="5001"/>
  <c r="O6" i="5001"/>
  <c r="B6" i="5001"/>
  <c r="O5" i="5001"/>
  <c r="B5" i="5001"/>
  <c r="O4" i="5001"/>
  <c r="O3" i="5001"/>
  <c r="O2" i="5001"/>
  <c r="O23" i="4997"/>
  <c r="O16" i="4999"/>
  <c r="O22" i="4999"/>
  <c r="C27" i="4999"/>
  <c r="B24" i="4999"/>
  <c r="C20" i="4999"/>
  <c r="B17" i="4999"/>
  <c r="H16" i="4999" s="1"/>
  <c r="C16" i="4999"/>
  <c r="C15" i="4999"/>
  <c r="C14" i="4999"/>
  <c r="C13" i="4999"/>
  <c r="O12" i="4999"/>
  <c r="C12" i="4999"/>
  <c r="O11" i="4999"/>
  <c r="C11" i="4999"/>
  <c r="O10" i="4999"/>
  <c r="C10" i="4999"/>
  <c r="C9" i="4999"/>
  <c r="C8" i="4999"/>
  <c r="O7" i="4999"/>
  <c r="C7" i="4999"/>
  <c r="O6" i="4999"/>
  <c r="B6" i="4999"/>
  <c r="O5" i="4999"/>
  <c r="B5" i="4999"/>
  <c r="O4" i="4999"/>
  <c r="O3" i="4999"/>
  <c r="O2" i="4999"/>
  <c r="O15" i="4997"/>
  <c r="O20" i="4997"/>
  <c r="C27" i="4997"/>
  <c r="B24" i="4997"/>
  <c r="C20" i="4997"/>
  <c r="B17" i="4997"/>
  <c r="H5" i="4997" s="1"/>
  <c r="C16" i="4997"/>
  <c r="C15" i="4997"/>
  <c r="C14" i="4997"/>
  <c r="C13" i="4997"/>
  <c r="O12" i="4997"/>
  <c r="C12" i="4997"/>
  <c r="O11" i="4997"/>
  <c r="C11" i="4997"/>
  <c r="O10" i="4997"/>
  <c r="C10" i="4997"/>
  <c r="C9" i="4997"/>
  <c r="C8" i="4997"/>
  <c r="O7" i="4997"/>
  <c r="C7" i="4997"/>
  <c r="O6" i="4997"/>
  <c r="B6" i="4997"/>
  <c r="O5" i="4997"/>
  <c r="B5" i="4997"/>
  <c r="O4" i="4997"/>
  <c r="O3" i="4997"/>
  <c r="O2" i="4997"/>
  <c r="H4" i="4999" l="1"/>
  <c r="H22" i="4999"/>
  <c r="H25" i="4999"/>
  <c r="H26" i="4999"/>
  <c r="H19" i="4999"/>
  <c r="H21" i="5003"/>
  <c r="H10" i="5003"/>
  <c r="H30" i="5003"/>
  <c r="H39" i="5003"/>
  <c r="H22" i="5003"/>
  <c r="H41" i="5003"/>
  <c r="C17" i="5003"/>
  <c r="H12" i="5003"/>
  <c r="H15" i="5003"/>
  <c r="H8" i="5003"/>
  <c r="H16" i="5003"/>
  <c r="H31" i="5003"/>
  <c r="H4" i="5003"/>
  <c r="H6" i="5003"/>
  <c r="H40" i="5003"/>
  <c r="H2" i="5003"/>
  <c r="H24" i="5003"/>
  <c r="H6" i="4999"/>
  <c r="H35" i="4999"/>
  <c r="H11" i="4999"/>
  <c r="H15" i="4999"/>
  <c r="H13" i="4999"/>
  <c r="B23" i="4999"/>
  <c r="B23" i="5003"/>
  <c r="H32" i="5003"/>
  <c r="H45" i="5003"/>
  <c r="C18" i="5003"/>
  <c r="H47" i="5003"/>
  <c r="H29" i="5003"/>
  <c r="H19" i="5003"/>
  <c r="H46" i="5003"/>
  <c r="H33" i="5003"/>
  <c r="H7" i="5003"/>
  <c r="H20" i="5003"/>
  <c r="H23" i="5003"/>
  <c r="H26" i="5003"/>
  <c r="H13" i="5003"/>
  <c r="H37" i="5003"/>
  <c r="H48" i="5003"/>
  <c r="H3" i="5003"/>
  <c r="H9" i="5003"/>
  <c r="C19" i="5003"/>
  <c r="H17" i="5003"/>
  <c r="H38" i="5003"/>
  <c r="H49" i="5003"/>
  <c r="H27" i="5003"/>
  <c r="H18" i="5003"/>
  <c r="H34" i="5003"/>
  <c r="H42" i="5003"/>
  <c r="H50" i="5003"/>
  <c r="H35" i="5003"/>
  <c r="H43" i="5003"/>
  <c r="H51" i="5003"/>
  <c r="H25" i="5003"/>
  <c r="H28" i="5003"/>
  <c r="H11" i="5003"/>
  <c r="H36" i="5003"/>
  <c r="H44" i="5003"/>
  <c r="H31" i="5001"/>
  <c r="H10" i="5001"/>
  <c r="H19" i="5001"/>
  <c r="H3" i="5001"/>
  <c r="H37" i="5001"/>
  <c r="H6" i="5001"/>
  <c r="H23" i="5001"/>
  <c r="H34" i="5001"/>
  <c r="H21" i="5001"/>
  <c r="H38" i="5001"/>
  <c r="C18" i="5001"/>
  <c r="H9" i="5001"/>
  <c r="H13" i="5001"/>
  <c r="H12" i="5001"/>
  <c r="H7" i="5001"/>
  <c r="H45" i="5001"/>
  <c r="H29" i="5001"/>
  <c r="H2" i="5001"/>
  <c r="H28" i="5001"/>
  <c r="C19" i="5001"/>
  <c r="H26" i="5001"/>
  <c r="H47" i="5001"/>
  <c r="H42" i="5001"/>
  <c r="H32" i="5001"/>
  <c r="H46" i="5001"/>
  <c r="H22" i="5001"/>
  <c r="H14" i="5001"/>
  <c r="H27" i="5001"/>
  <c r="H48" i="5001"/>
  <c r="H39" i="5001"/>
  <c r="H4" i="5001"/>
  <c r="H15" i="5001"/>
  <c r="H8" i="5001"/>
  <c r="C17" i="5001"/>
  <c r="H24" i="5001"/>
  <c r="H33" i="5001"/>
  <c r="H40" i="5001"/>
  <c r="H50" i="5001"/>
  <c r="H11" i="5001"/>
  <c r="H49" i="5001"/>
  <c r="H20" i="5001"/>
  <c r="H17" i="5001"/>
  <c r="B23" i="5001"/>
  <c r="H16" i="5001"/>
  <c r="H41" i="5001"/>
  <c r="H5" i="5001"/>
  <c r="H30" i="5001"/>
  <c r="H25" i="5001"/>
  <c r="H35" i="5001"/>
  <c r="H43" i="5001"/>
  <c r="H51" i="5001"/>
  <c r="H36" i="5001"/>
  <c r="H44" i="5001"/>
  <c r="H17" i="4997"/>
  <c r="H8" i="4997"/>
  <c r="H24" i="4997"/>
  <c r="H41" i="4999"/>
  <c r="H45" i="4999"/>
  <c r="H10" i="4999"/>
  <c r="H42" i="4999"/>
  <c r="C18" i="4999"/>
  <c r="H30" i="4999"/>
  <c r="H46" i="4999"/>
  <c r="H28" i="4999"/>
  <c r="H33" i="4999"/>
  <c r="H7" i="4999"/>
  <c r="H20" i="4999"/>
  <c r="H3" i="4999"/>
  <c r="H12" i="4999"/>
  <c r="H2" i="4999"/>
  <c r="H29" i="4999"/>
  <c r="C19" i="4999"/>
  <c r="H18" i="4999"/>
  <c r="H5" i="4999"/>
  <c r="H23" i="4999"/>
  <c r="H37" i="4999"/>
  <c r="H47" i="4999"/>
  <c r="H17" i="4999"/>
  <c r="H38" i="4999"/>
  <c r="H48" i="4999"/>
  <c r="H14" i="4999"/>
  <c r="H9" i="4999"/>
  <c r="H39" i="4999"/>
  <c r="H49" i="4999"/>
  <c r="H8" i="4999"/>
  <c r="H21" i="4999"/>
  <c r="C17" i="4999"/>
  <c r="H32" i="4999"/>
  <c r="H24" i="4999"/>
  <c r="H40" i="4999"/>
  <c r="H50" i="4999"/>
  <c r="H31" i="4999"/>
  <c r="H34" i="4999"/>
  <c r="H27" i="4999"/>
  <c r="H43" i="4999"/>
  <c r="H51" i="4999"/>
  <c r="H36" i="4999"/>
  <c r="H44" i="4999"/>
  <c r="H7" i="4997"/>
  <c r="H11" i="4997"/>
  <c r="H14" i="4997"/>
  <c r="H4" i="4997"/>
  <c r="H10" i="4997"/>
  <c r="H25" i="4997"/>
  <c r="H22" i="4997"/>
  <c r="C17" i="4997"/>
  <c r="H40" i="4997"/>
  <c r="H6" i="4997"/>
  <c r="H13" i="4997"/>
  <c r="H36" i="4997"/>
  <c r="H2" i="4997"/>
  <c r="H3" i="4997"/>
  <c r="H20" i="4997"/>
  <c r="C19" i="4997"/>
  <c r="H44" i="4997"/>
  <c r="H21" i="4997"/>
  <c r="H32" i="4997"/>
  <c r="C18" i="4997"/>
  <c r="B23" i="4997"/>
  <c r="H30" i="4997"/>
  <c r="H38" i="4997"/>
  <c r="H46" i="4997"/>
  <c r="H33" i="4997"/>
  <c r="H29" i="4997"/>
  <c r="H18" i="4997"/>
  <c r="H39" i="4997"/>
  <c r="H47" i="4997"/>
  <c r="H48" i="4997"/>
  <c r="H15" i="4997"/>
  <c r="H12" i="4997"/>
  <c r="H23" i="4997"/>
  <c r="H41" i="4997"/>
  <c r="H49" i="4997"/>
  <c r="H26" i="4997"/>
  <c r="H35" i="4997"/>
  <c r="H42" i="4997"/>
  <c r="H50" i="4997"/>
  <c r="H34" i="4997"/>
  <c r="H27" i="4997"/>
  <c r="H31" i="4997"/>
  <c r="H43" i="4997"/>
  <c r="H51" i="4997"/>
  <c r="H16" i="4997"/>
  <c r="H19" i="4997"/>
  <c r="H28" i="4997"/>
  <c r="H9" i="4997"/>
  <c r="H37" i="4997"/>
  <c r="H45" i="499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<sst xmlns="http://schemas.openxmlformats.org/spreadsheetml/2006/main" count="2696" uniqueCount="215">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</sst>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全体!$L$2:$L$338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-0.99999999999997868</c:v>
                </c:pt>
                <c:pt idx="328">
                  <c:v>31.500000000000021</c:v>
                </c:pt>
                <c:pt idx="329">
                  <c:v>37.600000000000023</c:v>
                </c:pt>
                <c:pt idx="330">
                  <c:v>-0.99999999999997868</c:v>
                </c:pt>
                <c:pt idx="331">
                  <c:v>-37.799999999999976</c:v>
                </c:pt>
                <c:pt idx="332">
                  <c:v>0.400000000000027</c:v>
                </c:pt>
                <c:pt idx="333">
                  <c:v>-0.99999999999997291</c:v>
                </c:pt>
                <c:pt idx="334">
                  <c:v>9.0000000000000266</c:v>
                </c:pt>
                <c:pt idx="335">
                  <c:v>-40.699999999999974</c:v>
                </c:pt>
                <c:pt idx="336">
                  <c:v>-0.99999999999997158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E5-47B8-90CC-CA125B018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-14.880952380952381</c:v>
                </c:pt>
                <c:pt idx="1">
                  <c:v>-15.015015015015015</c:v>
                </c:pt>
                <c:pt idx="2">
                  <c:v>19.23076923076923</c:v>
                </c:pt>
                <c:pt idx="3">
                  <c:v>10.416666666666666</c:v>
                </c:pt>
                <c:pt idx="4">
                  <c:v>-19.379844961240309</c:v>
                </c:pt>
                <c:pt idx="5">
                  <c:v>20.5761316872428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8-465F-B42A-7B6291296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だいち!$L$2:$L$81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1534.1000000000006</c:v>
                </c:pt>
                <c:pt idx="77">
                  <c:v>1495.5000000000007</c:v>
                </c:pt>
                <c:pt idx="78">
                  <c:v>1533.7000000000007</c:v>
                </c:pt>
                <c:pt idx="79">
                  <c:v>1484.0000000000007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90-4DE5-9879-970479EDB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2435.4430379746836</c:v>
                </c:pt>
                <c:pt idx="1">
                  <c:v>2738.4615384615386</c:v>
                </c:pt>
                <c:pt idx="2">
                  <c:v>2868.9189189189187</c:v>
                </c:pt>
                <c:pt idx="3">
                  <c:v>3010.4477611940297</c:v>
                </c:pt>
                <c:pt idx="4">
                  <c:v>-254.23728813559322</c:v>
                </c:pt>
                <c:pt idx="5">
                  <c:v>1345.4545454545455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5-48A4-9B7B-F510ABB16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りくと!$L$2:$L$84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E-4482-9746-317D98B2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1063.4146341463415</c:v>
                </c:pt>
                <c:pt idx="1">
                  <c:v>-1953.0864197530864</c:v>
                </c:pt>
                <c:pt idx="2">
                  <c:v>-1024.3589743589744</c:v>
                </c:pt>
                <c:pt idx="3">
                  <c:v>1351.3888888888889</c:v>
                </c:pt>
                <c:pt idx="4">
                  <c:v>737.5</c:v>
                </c:pt>
                <c:pt idx="5">
                  <c:v>308.19672131147541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7-487C-936F-44FCCAFE5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7-4FED-A47D-41E6EBF4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-2690.625</c:v>
                </c:pt>
                <c:pt idx="1">
                  <c:v>-3865.625</c:v>
                </c:pt>
                <c:pt idx="2">
                  <c:v>-3548.2758620689656</c:v>
                </c:pt>
                <c:pt idx="3">
                  <c:v>-6323.0769230769229</c:v>
                </c:pt>
                <c:pt idx="4">
                  <c:v>-3345.4545454545455</c:v>
                </c:pt>
                <c:pt idx="5">
                  <c:v>-1814.2857142857142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1E1-A7BC-885271CD5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れんたろう!$L$2:$L$42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4-4564-9990-DA62D2038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-492.5</c:v>
                </c:pt>
                <c:pt idx="1">
                  <c:v>660</c:v>
                </c:pt>
                <c:pt idx="2">
                  <c:v>1028.9473684210527</c:v>
                </c:pt>
                <c:pt idx="3">
                  <c:v>-200</c:v>
                </c:pt>
                <c:pt idx="4">
                  <c:v>-741.93548387096769</c:v>
                </c:pt>
                <c:pt idx="5">
                  <c:v>234.48275862068965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9-4644-9F18-DCF89D577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A-41CA-9DF5-066A4A3DB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1808.1081081081081</c:v>
                </c:pt>
                <c:pt idx="1">
                  <c:v>170.27027027027026</c:v>
                </c:pt>
                <c:pt idx="2">
                  <c:v>421.875</c:v>
                </c:pt>
                <c:pt idx="3">
                  <c:v>686.66666666666663</c:v>
                </c:pt>
                <c:pt idx="4">
                  <c:v>-1234.4827586206898</c:v>
                </c:pt>
                <c:pt idx="5">
                  <c:v>-1369.2307692307693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6-4BA9-8792-A0911D197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B-41B3-8A4B-3892EFAFD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-2981.25</c:v>
                </c:pt>
                <c:pt idx="1">
                  <c:v>1634.375</c:v>
                </c:pt>
                <c:pt idx="2">
                  <c:v>-1513.3333333333333</c:v>
                </c:pt>
                <c:pt idx="3">
                  <c:v>-4092.8571428571427</c:v>
                </c:pt>
                <c:pt idx="4">
                  <c:v>1528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935-9106-C75A3D59C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9-49A7-AA30-8A687CC1E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1213.3333333333333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C-4A50-975C-660635C0C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D-4F83-A112-F53BCBF92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4-4AE5-A0E7-61E39D8C4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9-41BA-93ED-6D108151D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5-4A07-A893-3DE13A297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D-45D9-A4E3-A6D8FA183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8-4718-8BC7-CBDE417A5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71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761904761903915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768788205681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0827040632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5.27315914489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0.5285412262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19047619047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19047619047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60841423948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26681049982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3038821954484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220757825370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741092636579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43590.993449074071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43592.018321759257</v>
      </c>
      <c r="C29" s="30" t="s">
        <v>130</v>
      </c>
      <c r="D29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0.76642946552300761</v>
      </c>
      <c r="G2" s="155"/>
      <c r="H2" s="154">
        <v>0.827658190793922</v>
      </c>
      <c r="I2" s="155"/>
      <c r="J2" s="154">
        <v>0.64113910856057255</v>
      </c>
      <c r="K2" s="155"/>
      <c r="L2" s="154">
        <v>0.60769293679926828</v>
      </c>
      <c r="M2" s="155"/>
      <c r="N2" s="154">
        <v>0.31717689006156979</v>
      </c>
      <c r="O2" s="155"/>
      <c r="P2" s="154">
        <v>0.7085842424870582</v>
      </c>
      <c r="Q2" s="155"/>
      <c r="R2" s="154">
        <v>-2.922465948620474E-2</v>
      </c>
      <c r="S2" s="155"/>
      <c r="T2" s="154">
        <v>0.37165242842549817</v>
      </c>
      <c r="U2" s="155"/>
      <c r="V2" s="154">
        <v>0.71790268523574485</v>
      </c>
      <c r="W2" s="155"/>
      <c r="X2" s="154">
        <v>0.95076953683982657</v>
      </c>
      <c r="Y2" s="155"/>
      <c r="Z2" s="154">
        <v>-6.0486174250983828E-2</v>
      </c>
      <c r="AA2" s="155"/>
      <c r="AB2" s="154">
        <v>0.44351072938310798</v>
      </c>
      <c r="AC2" s="155"/>
      <c r="AD2" s="154">
        <v>0.53947395480539773</v>
      </c>
      <c r="AE2" s="155"/>
      <c r="AF2" s="154">
        <v>-5.6302863565762674E-2</v>
      </c>
      <c r="AG2" s="155"/>
      <c r="AH2" s="154">
        <v>0.86002385760548328</v>
      </c>
      <c r="AI2" s="155"/>
    </row>
    <row r="3" spans="1:35" x14ac:dyDescent="0.4">
      <c r="A3" s="74">
        <v>1</v>
      </c>
      <c r="B3" s="75" t="s">
        <v>127</v>
      </c>
      <c r="C3" s="76">
        <v>1484.0000000000007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0.3854660347551343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0.17721518987341772</v>
      </c>
      <c r="X3" s="77" t="s">
        <v>127</v>
      </c>
      <c r="Y3" s="80">
        <v>0.33175355450236965</v>
      </c>
      <c r="Z3" s="77" t="s">
        <v>172</v>
      </c>
      <c r="AA3" s="80">
        <v>0.30448717948717946</v>
      </c>
      <c r="AB3" s="77" t="s">
        <v>186</v>
      </c>
      <c r="AC3" s="80">
        <v>0.66666666666666663</v>
      </c>
      <c r="AD3" s="77" t="s">
        <v>127</v>
      </c>
      <c r="AE3" s="80">
        <v>0.53642384105960261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18.784810126582286</v>
      </c>
      <c r="F4" s="85" t="s">
        <v>127</v>
      </c>
      <c r="G4" s="86">
        <v>1.620253164556962</v>
      </c>
      <c r="H4" s="85" t="s">
        <v>127</v>
      </c>
      <c r="I4" s="87">
        <v>0.569620253164557</v>
      </c>
      <c r="J4" s="85" t="s">
        <v>202</v>
      </c>
      <c r="K4" s="87">
        <v>0</v>
      </c>
      <c r="L4" s="85" t="s">
        <v>172</v>
      </c>
      <c r="M4" s="88">
        <v>0.35576923076923078</v>
      </c>
      <c r="N4" s="85" t="s">
        <v>172</v>
      </c>
      <c r="O4" s="88">
        <v>0.14102564102564102</v>
      </c>
      <c r="P4" s="85" t="s">
        <v>127</v>
      </c>
      <c r="Q4" s="89">
        <v>9309.0163934426237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0.13513513513513514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0.64102564102564108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30.000000000000007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0.189873417721519</v>
      </c>
      <c r="L5" s="85" t="s">
        <v>173</v>
      </c>
      <c r="M5" s="88">
        <v>0.30960854092526691</v>
      </c>
      <c r="N5" s="85" t="s">
        <v>171</v>
      </c>
      <c r="O5" s="88">
        <v>0.15269461077844312</v>
      </c>
      <c r="P5" s="85" t="s">
        <v>128</v>
      </c>
      <c r="Q5" s="89">
        <v>8974.3718592964833</v>
      </c>
      <c r="R5" s="85" t="s">
        <v>177</v>
      </c>
      <c r="S5" s="89">
        <v>-7093.1034482758623</v>
      </c>
      <c r="T5" s="85" t="s">
        <v>171</v>
      </c>
      <c r="U5" s="87">
        <v>2.5000000000000001E-2</v>
      </c>
      <c r="V5" s="85" t="s">
        <v>171</v>
      </c>
      <c r="W5" s="87">
        <v>0.125</v>
      </c>
      <c r="X5" s="85" t="s">
        <v>128</v>
      </c>
      <c r="Y5" s="88">
        <v>0.28550512445095166</v>
      </c>
      <c r="Z5" s="85" t="s">
        <v>177</v>
      </c>
      <c r="AA5" s="88">
        <v>0.25503355704697989</v>
      </c>
      <c r="AB5" s="85" t="s">
        <v>127</v>
      </c>
      <c r="AC5" s="88">
        <v>0.60476190476190472</v>
      </c>
      <c r="AD5" s="85" t="s">
        <v>186</v>
      </c>
      <c r="AE5" s="88">
        <v>0.46666666666666667</v>
      </c>
      <c r="AF5" s="85" t="s">
        <v>129</v>
      </c>
      <c r="AG5" s="88">
        <v>0.51923076923076927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0.81081081081081097</v>
      </c>
      <c r="F6" s="85" t="s">
        <v>145</v>
      </c>
      <c r="G6" s="86">
        <v>2</v>
      </c>
      <c r="H6" s="85" t="s">
        <v>172</v>
      </c>
      <c r="I6" s="87">
        <v>0.29729729729729731</v>
      </c>
      <c r="J6" s="85" t="s">
        <v>128</v>
      </c>
      <c r="K6" s="87">
        <v>0.31707317073170732</v>
      </c>
      <c r="L6" s="85" t="s">
        <v>145</v>
      </c>
      <c r="M6" s="88">
        <v>0.30276878820568143</v>
      </c>
      <c r="N6" s="85" t="s">
        <v>127</v>
      </c>
      <c r="O6" s="88">
        <v>0.16113744075829384</v>
      </c>
      <c r="P6" s="85" t="s">
        <v>171</v>
      </c>
      <c r="Q6" s="89">
        <v>8744.5783132530123</v>
      </c>
      <c r="R6" s="85" t="s">
        <v>171</v>
      </c>
      <c r="S6" s="89">
        <v>-7225.4901960784309</v>
      </c>
      <c r="T6" s="85" t="s">
        <v>172</v>
      </c>
      <c r="U6" s="87">
        <v>5.4054054054054057E-2</v>
      </c>
      <c r="V6" s="85" t="s">
        <v>145</v>
      </c>
      <c r="W6" s="87">
        <v>0.10119047619047619</v>
      </c>
      <c r="X6" s="85" t="s">
        <v>145</v>
      </c>
      <c r="Y6" s="88">
        <v>0.26860841423948217</v>
      </c>
      <c r="Z6" s="85" t="s">
        <v>127</v>
      </c>
      <c r="AA6" s="88">
        <v>0.23854660347551343</v>
      </c>
      <c r="AB6" s="85" t="s">
        <v>185</v>
      </c>
      <c r="AC6" s="88">
        <v>0.6</v>
      </c>
      <c r="AD6" s="85" t="s">
        <v>172</v>
      </c>
      <c r="AE6" s="88">
        <v>0.42105263157894735</v>
      </c>
      <c r="AF6" s="85" t="s">
        <v>173</v>
      </c>
      <c r="AG6" s="88">
        <v>0.51724137931034486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-0.99999999999997158</v>
      </c>
      <c r="D7" s="85" t="s">
        <v>145</v>
      </c>
      <c r="E7" s="97">
        <v>-2.9761904761903915E-3</v>
      </c>
      <c r="F7" s="85" t="s">
        <v>128</v>
      </c>
      <c r="G7" s="86">
        <v>2.0487804878048781</v>
      </c>
      <c r="H7" s="85" t="s">
        <v>173</v>
      </c>
      <c r="I7" s="87">
        <v>0.28125</v>
      </c>
      <c r="J7" s="85" t="s">
        <v>145</v>
      </c>
      <c r="K7" s="87">
        <v>0.33333333333333331</v>
      </c>
      <c r="L7" s="85" t="s">
        <v>128</v>
      </c>
      <c r="M7" s="88">
        <v>0.29136163982430452</v>
      </c>
      <c r="N7" s="85" t="s">
        <v>202</v>
      </c>
      <c r="O7" s="88">
        <v>0.16666666666666666</v>
      </c>
      <c r="P7" s="85" t="s">
        <v>129</v>
      </c>
      <c r="Q7" s="89">
        <v>8513.461538461539</v>
      </c>
      <c r="R7" s="85" t="s">
        <v>128</v>
      </c>
      <c r="S7" s="89">
        <v>-7416.521739130435</v>
      </c>
      <c r="T7" s="85" t="s">
        <v>127</v>
      </c>
      <c r="U7" s="87">
        <v>6.3291139240506333E-2</v>
      </c>
      <c r="V7" s="85" t="s">
        <v>128</v>
      </c>
      <c r="W7" s="87">
        <v>8.5365853658536592E-2</v>
      </c>
      <c r="X7" s="85" t="s">
        <v>185</v>
      </c>
      <c r="Y7" s="88">
        <v>0.26315789473684209</v>
      </c>
      <c r="Z7" s="85" t="s">
        <v>173</v>
      </c>
      <c r="AA7" s="88">
        <v>0.23487544483985764</v>
      </c>
      <c r="AB7" s="85" t="s">
        <v>173</v>
      </c>
      <c r="AC7" s="88">
        <v>0.59701492537313428</v>
      </c>
      <c r="AD7" s="85" t="s">
        <v>145</v>
      </c>
      <c r="AE7" s="88">
        <v>0.38220757825370677</v>
      </c>
      <c r="AF7" s="85" t="s">
        <v>145</v>
      </c>
      <c r="AG7" s="88">
        <v>0.42874109263657956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-65.2</v>
      </c>
      <c r="D8" s="85" t="s">
        <v>128</v>
      </c>
      <c r="E8" s="97">
        <v>-1.1170731707317079</v>
      </c>
      <c r="F8" s="85" t="s">
        <v>173</v>
      </c>
      <c r="G8" s="86">
        <v>2.0625</v>
      </c>
      <c r="H8" s="85" t="s">
        <v>128</v>
      </c>
      <c r="I8" s="87">
        <v>0.26829268292682928</v>
      </c>
      <c r="J8" s="85" t="s">
        <v>173</v>
      </c>
      <c r="K8" s="87">
        <v>0.34375</v>
      </c>
      <c r="L8" s="85" t="s">
        <v>185</v>
      </c>
      <c r="M8" s="88">
        <v>0.26315789473684209</v>
      </c>
      <c r="N8" s="85" t="s">
        <v>128</v>
      </c>
      <c r="O8" s="88">
        <v>0.16837481698389459</v>
      </c>
      <c r="P8" s="85" t="s">
        <v>145</v>
      </c>
      <c r="Q8" s="89">
        <v>8435.2731591448937</v>
      </c>
      <c r="R8" s="85" t="s">
        <v>127</v>
      </c>
      <c r="S8" s="89">
        <v>-7916.666666666667</v>
      </c>
      <c r="T8" s="85" t="s">
        <v>145</v>
      </c>
      <c r="U8" s="87">
        <v>0.10119047619047619</v>
      </c>
      <c r="V8" s="85" t="s">
        <v>173</v>
      </c>
      <c r="W8" s="87">
        <v>6.25E-2</v>
      </c>
      <c r="X8" s="85" t="s">
        <v>171</v>
      </c>
      <c r="Y8" s="88">
        <v>0.24850299401197604</v>
      </c>
      <c r="Z8" s="85" t="s">
        <v>186</v>
      </c>
      <c r="AA8" s="88">
        <v>0.22058823529411764</v>
      </c>
      <c r="AB8" s="85" t="s">
        <v>145</v>
      </c>
      <c r="AC8" s="88">
        <v>0.59303882195448465</v>
      </c>
      <c r="AD8" s="85" t="s">
        <v>177</v>
      </c>
      <c r="AE8" s="88">
        <v>0.36842105263157893</v>
      </c>
      <c r="AF8" s="85" t="s">
        <v>172</v>
      </c>
      <c r="AG8" s="88">
        <v>0.42342342342342343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128</v>
      </c>
      <c r="C9" s="84">
        <v>-91.600000000000037</v>
      </c>
      <c r="D9" s="85" t="s">
        <v>171</v>
      </c>
      <c r="E9" s="97">
        <v>-1.6300000000000001</v>
      </c>
      <c r="F9" s="85" t="s">
        <v>172</v>
      </c>
      <c r="G9" s="86">
        <v>2.0810810810810811</v>
      </c>
      <c r="H9" s="85" t="s">
        <v>177</v>
      </c>
      <c r="I9" s="87">
        <v>0.26315789473684209</v>
      </c>
      <c r="J9" s="85" t="s">
        <v>171</v>
      </c>
      <c r="K9" s="87">
        <v>0.35</v>
      </c>
      <c r="L9" s="85" t="s">
        <v>186</v>
      </c>
      <c r="M9" s="88">
        <v>0.25</v>
      </c>
      <c r="N9" s="85" t="s">
        <v>145</v>
      </c>
      <c r="O9" s="88">
        <v>0.1700827040632866</v>
      </c>
      <c r="P9" s="85" t="s">
        <v>185</v>
      </c>
      <c r="Q9" s="89">
        <v>7860</v>
      </c>
      <c r="R9" s="85" t="s">
        <v>145</v>
      </c>
      <c r="S9" s="89">
        <v>-7950.5285412262156</v>
      </c>
      <c r="T9" s="85" t="s">
        <v>128</v>
      </c>
      <c r="U9" s="87">
        <v>0.10975609756097561</v>
      </c>
      <c r="V9" s="85" t="s">
        <v>129</v>
      </c>
      <c r="W9" s="87">
        <v>3.125E-2</v>
      </c>
      <c r="X9" s="85" t="s">
        <v>129</v>
      </c>
      <c r="Y9" s="88">
        <v>0.24436090225563908</v>
      </c>
      <c r="Z9" s="85" t="s">
        <v>145</v>
      </c>
      <c r="AA9" s="88">
        <v>0.21826681049982022</v>
      </c>
      <c r="AB9" s="85" t="s">
        <v>172</v>
      </c>
      <c r="AC9" s="88">
        <v>0.58333333333333337</v>
      </c>
      <c r="AD9" s="85" t="s">
        <v>171</v>
      </c>
      <c r="AE9" s="88">
        <v>0.33333333333333331</v>
      </c>
      <c r="AF9" s="85" t="s">
        <v>127</v>
      </c>
      <c r="AG9" s="88">
        <v>0.42213114754098363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-170.5</v>
      </c>
      <c r="D10" s="85" t="s">
        <v>173</v>
      </c>
      <c r="E10" s="97">
        <v>-6.0562499999999995</v>
      </c>
      <c r="F10" s="85" t="s">
        <v>171</v>
      </c>
      <c r="G10" s="86">
        <v>2.1</v>
      </c>
      <c r="H10" s="85" t="s">
        <v>171</v>
      </c>
      <c r="I10" s="87">
        <v>0.25</v>
      </c>
      <c r="J10" s="85" t="s">
        <v>172</v>
      </c>
      <c r="K10" s="87">
        <v>0.3783783783783784</v>
      </c>
      <c r="L10" s="85" t="s">
        <v>202</v>
      </c>
      <c r="M10" s="88">
        <v>0.25</v>
      </c>
      <c r="N10" s="85" t="s">
        <v>173</v>
      </c>
      <c r="O10" s="88">
        <v>0.19217081850533807</v>
      </c>
      <c r="P10" s="85" t="s">
        <v>177</v>
      </c>
      <c r="Q10" s="89">
        <v>7431.4285714285716</v>
      </c>
      <c r="R10" s="85" t="s">
        <v>173</v>
      </c>
      <c r="S10" s="89">
        <v>-8177.7777777777774</v>
      </c>
      <c r="T10" s="85" t="s">
        <v>173</v>
      </c>
      <c r="U10" s="87">
        <v>0.125</v>
      </c>
      <c r="V10" s="85" t="s">
        <v>177</v>
      </c>
      <c r="W10" s="87">
        <v>0</v>
      </c>
      <c r="X10" s="85" t="s">
        <v>173</v>
      </c>
      <c r="Y10" s="88">
        <v>0.23843416370106763</v>
      </c>
      <c r="Z10" s="85" t="s">
        <v>185</v>
      </c>
      <c r="AA10" s="88">
        <v>0.21052631578947367</v>
      </c>
      <c r="AB10" s="85" t="s">
        <v>171</v>
      </c>
      <c r="AC10" s="88">
        <v>0.5662650602409639</v>
      </c>
      <c r="AD10" s="85" t="s">
        <v>173</v>
      </c>
      <c r="AE10" s="88">
        <v>0.33333333333333331</v>
      </c>
      <c r="AF10" s="85" t="s">
        <v>128</v>
      </c>
      <c r="AG10" s="88">
        <v>0.40703517587939697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-193.79999999999998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171</v>
      </c>
      <c r="M11" s="88">
        <v>0.24850299401197604</v>
      </c>
      <c r="N11" s="85" t="s">
        <v>177</v>
      </c>
      <c r="O11" s="88">
        <v>0.19463087248322147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186</v>
      </c>
      <c r="U11" s="87">
        <v>0.125</v>
      </c>
      <c r="V11" s="85" t="s">
        <v>185</v>
      </c>
      <c r="W11" s="87">
        <v>0</v>
      </c>
      <c r="X11" s="85" t="s">
        <v>172</v>
      </c>
      <c r="Y11" s="88">
        <v>0.23076923076923078</v>
      </c>
      <c r="Z11" s="85" t="s">
        <v>128</v>
      </c>
      <c r="AA11" s="88">
        <v>0.19619326500732065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186</v>
      </c>
      <c r="G12" s="86">
        <v>2.375</v>
      </c>
      <c r="H12" s="85" t="s">
        <v>202</v>
      </c>
      <c r="I12" s="87">
        <v>0.25</v>
      </c>
      <c r="J12" s="85" t="s">
        <v>129</v>
      </c>
      <c r="K12" s="87">
        <v>0.59375</v>
      </c>
      <c r="L12" s="85" t="s">
        <v>177</v>
      </c>
      <c r="M12" s="88">
        <v>0.2348993288590604</v>
      </c>
      <c r="N12" s="85" t="s">
        <v>129</v>
      </c>
      <c r="O12" s="88">
        <v>0.19924812030075187</v>
      </c>
      <c r="P12" s="85" t="s">
        <v>172</v>
      </c>
      <c r="Q12" s="89">
        <v>7009.9099099099103</v>
      </c>
      <c r="R12" s="85" t="s">
        <v>172</v>
      </c>
      <c r="S12" s="89">
        <v>-8481.818181818182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0.17065868263473055</v>
      </c>
      <c r="AB12" s="85" t="s">
        <v>177</v>
      </c>
      <c r="AC12" s="88">
        <v>0.51851851851851849</v>
      </c>
      <c r="AD12" s="85" t="s">
        <v>128</v>
      </c>
      <c r="AE12" s="88">
        <v>0.27611940298507465</v>
      </c>
      <c r="AF12" s="85" t="s">
        <v>171</v>
      </c>
      <c r="AG12" s="88">
        <v>0.33734939759036142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-838.69999999999993</v>
      </c>
      <c r="D13" s="85" t="s">
        <v>129</v>
      </c>
      <c r="E13" s="97">
        <v>-26.209374999999998</v>
      </c>
      <c r="F13" s="85" t="s">
        <v>129</v>
      </c>
      <c r="G13" s="86">
        <v>2.4375</v>
      </c>
      <c r="H13" s="85" t="s">
        <v>129</v>
      </c>
      <c r="I13" s="87">
        <v>0.15625</v>
      </c>
      <c r="J13" s="85" t="s">
        <v>186</v>
      </c>
      <c r="K13" s="87">
        <v>0.625</v>
      </c>
      <c r="L13" s="85" t="s">
        <v>129</v>
      </c>
      <c r="M13" s="88">
        <v>0.19548872180451127</v>
      </c>
      <c r="N13" s="85" t="s">
        <v>186</v>
      </c>
      <c r="O13" s="88">
        <v>0.25</v>
      </c>
      <c r="P13" s="85" t="s">
        <v>173</v>
      </c>
      <c r="Q13" s="89">
        <v>6758.6206896551721</v>
      </c>
      <c r="R13" s="85" t="s">
        <v>129</v>
      </c>
      <c r="S13" s="89">
        <v>-9890.566037735849</v>
      </c>
      <c r="T13" s="85" t="s">
        <v>129</v>
      </c>
      <c r="U13" s="87">
        <v>0.25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0.13909774436090225</v>
      </c>
      <c r="AB13" s="85" t="s">
        <v>129</v>
      </c>
      <c r="AC13" s="88">
        <v>0.47692307692307695</v>
      </c>
      <c r="AD13" s="85" t="s">
        <v>129</v>
      </c>
      <c r="AE13" s="88">
        <v>0.1891891891891892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CEDE6-DD26-409B-8D45-EB377606C54C}">
  <sheetPr codeName="Sheet4"/>
  <dimension ref="A1:Q33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336</v>
      </c>
      <c r="C2" s="147"/>
      <c r="E2" s="62" t="s">
        <v>67</v>
      </c>
      <c r="F2" s="59" t="s">
        <v>23</v>
      </c>
      <c r="G2" s="46">
        <v>622</v>
      </c>
      <c r="H2" s="132">
        <f>IF(B$17=0,0,G2/B$17)</f>
        <v>0.73871733966745845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-14.880952380952381</v>
      </c>
      <c r="P2" s="118">
        <v>336</v>
      </c>
      <c r="Q2" s="102">
        <v>-5000</v>
      </c>
    </row>
    <row r="3" spans="1:17" x14ac:dyDescent="0.4">
      <c r="A3" s="55" t="s">
        <v>8</v>
      </c>
      <c r="B3" s="148">
        <v>2781</v>
      </c>
      <c r="C3" s="149"/>
      <c r="E3" s="63" t="s">
        <v>73</v>
      </c>
      <c r="F3" s="60" t="s">
        <v>28</v>
      </c>
      <c r="G3" s="47">
        <v>440</v>
      </c>
      <c r="H3" s="133">
        <f>IF(B$17=0,0,G3/B$17)</f>
        <v>0.5225653206650831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-15.015015015015015</v>
      </c>
      <c r="P3" s="119">
        <v>333</v>
      </c>
      <c r="Q3" s="103">
        <v>-5000</v>
      </c>
    </row>
    <row r="4" spans="1:17" x14ac:dyDescent="0.4">
      <c r="A4" s="55" t="s">
        <v>6</v>
      </c>
      <c r="B4" s="150">
        <v>-0.99999999999997158</v>
      </c>
      <c r="C4" s="151"/>
      <c r="E4" s="63" t="s">
        <v>65</v>
      </c>
      <c r="F4" s="60" t="s">
        <v>21</v>
      </c>
      <c r="G4" s="47">
        <v>420</v>
      </c>
      <c r="H4" s="133">
        <f>IF(B$17=0,0,G4/B$17)</f>
        <v>0.49881235154394299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19.23076923076923</v>
      </c>
      <c r="P4" s="119">
        <v>312</v>
      </c>
      <c r="Q4" s="103">
        <v>6000</v>
      </c>
    </row>
    <row r="5" spans="1:17" x14ac:dyDescent="0.4">
      <c r="A5" s="55" t="s">
        <v>7</v>
      </c>
      <c r="B5" s="152">
        <f>IF(B$2=0,0,B$4/B$2)</f>
        <v>-2.9761904761903915E-3</v>
      </c>
      <c r="C5" s="153"/>
      <c r="E5" s="63" t="s">
        <v>181</v>
      </c>
      <c r="F5" s="60" t="s">
        <v>182</v>
      </c>
      <c r="G5" s="47">
        <v>325</v>
      </c>
      <c r="H5" s="133">
        <f>IF(B$17=0,0,G5/B$17)</f>
        <v>0.38598574821852732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10.416666666666666</v>
      </c>
      <c r="P5" s="119">
        <v>288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248</v>
      </c>
      <c r="H6" s="133">
        <f>IF(B$17=0,0,G6/B$17)</f>
        <v>0.29453681710213775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-19.379844961240309</v>
      </c>
      <c r="P6" s="119">
        <v>258</v>
      </c>
      <c r="Q6" s="103">
        <v>-5000</v>
      </c>
    </row>
    <row r="7" spans="1:17" x14ac:dyDescent="0.4">
      <c r="A7" s="55" t="s">
        <v>2</v>
      </c>
      <c r="B7" s="47">
        <v>112</v>
      </c>
      <c r="C7" s="39">
        <f>IF(B$2=0,0,B7/B$2)</f>
        <v>0.33333333333333331</v>
      </c>
      <c r="E7" s="63" t="s">
        <v>68</v>
      </c>
      <c r="F7" s="60" t="s">
        <v>24</v>
      </c>
      <c r="G7" s="47">
        <v>245</v>
      </c>
      <c r="H7" s="133">
        <f>IF(B$17=0,0,G7/B$17)</f>
        <v>0.29097387173396677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20.5761316872428</v>
      </c>
      <c r="P7" s="120">
        <v>243</v>
      </c>
      <c r="Q7" s="104">
        <v>5000</v>
      </c>
    </row>
    <row r="8" spans="1:17" x14ac:dyDescent="0.4">
      <c r="A8" s="55" t="s">
        <v>3</v>
      </c>
      <c r="B8" s="47">
        <v>112</v>
      </c>
      <c r="C8" s="39">
        <f>IF(B$2=0,0,B8/B$2)</f>
        <v>0.33333333333333331</v>
      </c>
      <c r="E8" s="63" t="s">
        <v>70</v>
      </c>
      <c r="F8" s="60" t="s">
        <v>25</v>
      </c>
      <c r="G8" s="47">
        <v>151</v>
      </c>
      <c r="H8" s="133">
        <f>IF(B$17=0,0,G8/B$17)</f>
        <v>0.17933491686460806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113</v>
      </c>
      <c r="H9" s="133">
        <f>IF(B$17=0,0,G9/B$17)</f>
        <v>0.13420427553444181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34</v>
      </c>
      <c r="C10" s="40">
        <f>IF(B$2=0,0,B10/B$2)</f>
        <v>0.10119047619047619</v>
      </c>
      <c r="E10" s="63" t="s">
        <v>66</v>
      </c>
      <c r="F10" s="60" t="s">
        <v>22</v>
      </c>
      <c r="G10" s="47">
        <v>106</v>
      </c>
      <c r="H10" s="133">
        <f>IF(B$17=0,0,G10/B$17)</f>
        <v>0.12589073634204276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-1.4598214285714286</v>
      </c>
      <c r="P10" s="118">
        <v>112</v>
      </c>
      <c r="Q10" s="106">
        <v>-163.5</v>
      </c>
    </row>
    <row r="11" spans="1:17" x14ac:dyDescent="0.4">
      <c r="A11" s="56" t="s">
        <v>140</v>
      </c>
      <c r="B11" s="48">
        <v>34</v>
      </c>
      <c r="C11" s="40">
        <f>IF(B$2=0,0,B11/B$2)</f>
        <v>0.10119047619047619</v>
      </c>
      <c r="E11" s="63" t="s">
        <v>71</v>
      </c>
      <c r="F11" s="60" t="s">
        <v>26</v>
      </c>
      <c r="G11" s="47">
        <v>85</v>
      </c>
      <c r="H11" s="133">
        <f>IF(B$17=0,0,G11/B$17)</f>
        <v>0.10095011876484561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-3.0785714285714287</v>
      </c>
      <c r="P11" s="119">
        <v>112</v>
      </c>
      <c r="Q11" s="107">
        <v>-344.8</v>
      </c>
    </row>
    <row r="12" spans="1:17" x14ac:dyDescent="0.4">
      <c r="A12" s="57" t="s">
        <v>160</v>
      </c>
      <c r="B12" s="49">
        <v>34</v>
      </c>
      <c r="C12" s="42">
        <f>IF(B$2=0,0,B12/B$2)</f>
        <v>0.10119047619047619</v>
      </c>
      <c r="E12" s="63" t="s">
        <v>87</v>
      </c>
      <c r="F12" s="60" t="s">
        <v>42</v>
      </c>
      <c r="G12" s="47">
        <v>52</v>
      </c>
      <c r="H12" s="133">
        <f>IF(B$17=0,0,G12/B$17)</f>
        <v>6.1757719714964368E-2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4.5294642857142842</v>
      </c>
      <c r="P12" s="120">
        <v>112</v>
      </c>
      <c r="Q12" s="108">
        <v>507.29999999999984</v>
      </c>
    </row>
    <row r="13" spans="1:17" x14ac:dyDescent="0.4">
      <c r="A13" s="58" t="s">
        <v>122</v>
      </c>
      <c r="B13" s="50">
        <v>747</v>
      </c>
      <c r="C13" s="44">
        <f>IF(B$3=0,0,B13/B$3)</f>
        <v>0.26860841423948217</v>
      </c>
      <c r="E13" s="63" t="s">
        <v>72</v>
      </c>
      <c r="F13" s="60" t="s">
        <v>27</v>
      </c>
      <c r="G13" s="47">
        <v>46</v>
      </c>
      <c r="H13" s="133">
        <f>IF(B$17=0,0,G13/B$17)</f>
        <v>5.4631828978622329E-2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607</v>
      </c>
      <c r="C14" s="39">
        <f>IF(B$3=0,0,B14/B$3)</f>
        <v>0.21826681049982022</v>
      </c>
      <c r="E14" s="63" t="s">
        <v>84</v>
      </c>
      <c r="F14" s="60" t="s">
        <v>39</v>
      </c>
      <c r="G14" s="47">
        <v>37</v>
      </c>
      <c r="H14" s="133">
        <f>IF(B$17=0,0,G14/B$17)</f>
        <v>4.3942992874109264E-2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443</v>
      </c>
      <c r="C15" s="37">
        <f>IF(B$13=0,0,B15/B$13)</f>
        <v>0.59303882195448465</v>
      </c>
      <c r="E15" s="63" t="s">
        <v>82</v>
      </c>
      <c r="F15" s="60" t="s">
        <v>37</v>
      </c>
      <c r="G15" s="47">
        <v>25</v>
      </c>
      <c r="H15" s="133">
        <f>IF(B$17=0,0,G15/B$17)</f>
        <v>2.9691211401425176E-2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39.298437499999991</v>
      </c>
      <c r="P15" s="118">
        <v>64</v>
      </c>
      <c r="Q15" s="106">
        <v>2515.0999999999995</v>
      </c>
    </row>
    <row r="16" spans="1:17" x14ac:dyDescent="0.4">
      <c r="A16" s="54" t="s">
        <v>125</v>
      </c>
      <c r="B16" s="46">
        <v>232</v>
      </c>
      <c r="C16" s="37">
        <f>IF(B$14=0,0,B16/B$14)</f>
        <v>0.38220757825370677</v>
      </c>
      <c r="E16" s="63" t="s">
        <v>180</v>
      </c>
      <c r="F16" s="60" t="s">
        <v>183</v>
      </c>
      <c r="G16" s="47">
        <v>15</v>
      </c>
      <c r="H16" s="133">
        <f>IF(B$17=0,0,G16/B$17)</f>
        <v>1.7814726840855107E-2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842</v>
      </c>
      <c r="C17" s="37">
        <f>IF(B$3=0,0,B17/B$3)</f>
        <v>0.30276878820568143</v>
      </c>
      <c r="E17" s="63" t="s">
        <v>79</v>
      </c>
      <c r="F17" s="60" t="s">
        <v>34</v>
      </c>
      <c r="G17" s="47">
        <v>14</v>
      </c>
      <c r="H17" s="133">
        <f>IF(B$17=0,0,G17/B$17)</f>
        <v>1.66270783847981E-2</v>
      </c>
      <c r="I17" s="94">
        <v>5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361</v>
      </c>
      <c r="C18" s="39">
        <f>IF(B$17=0,0,B18/B$17)</f>
        <v>0.42874109263657956</v>
      </c>
      <c r="E18" s="63" t="s">
        <v>92</v>
      </c>
      <c r="F18" s="60" t="s">
        <v>47</v>
      </c>
      <c r="G18" s="47">
        <v>14</v>
      </c>
      <c r="H18" s="133">
        <f>IF(B$17=0,0,G18/B$17)</f>
        <v>1.66270783847981E-2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9.0843749999999996</v>
      </c>
      <c r="P18" s="119">
        <v>64</v>
      </c>
      <c r="Q18" s="107">
        <v>581.4</v>
      </c>
    </row>
    <row r="19" spans="1:17" x14ac:dyDescent="0.4">
      <c r="A19" s="55" t="s">
        <v>11</v>
      </c>
      <c r="B19" s="47">
        <v>481</v>
      </c>
      <c r="C19" s="39">
        <f>IF(B$17=0,0,B19/B$17)</f>
        <v>0.57125890736342044</v>
      </c>
      <c r="E19" s="63" t="s">
        <v>80</v>
      </c>
      <c r="F19" s="60" t="s">
        <v>35</v>
      </c>
      <c r="G19" s="47">
        <v>10</v>
      </c>
      <c r="H19" s="133">
        <f>IF(B$17=0,0,G19/B$17)</f>
        <v>1.1876484560570071E-2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2.4450000000000025</v>
      </c>
      <c r="P19" s="119">
        <v>80</v>
      </c>
      <c r="Q19" s="107">
        <v>195.60000000000019</v>
      </c>
    </row>
    <row r="20" spans="1:17" x14ac:dyDescent="0.4">
      <c r="A20" s="55" t="s">
        <v>13</v>
      </c>
      <c r="B20" s="47">
        <v>473</v>
      </c>
      <c r="C20" s="39">
        <f>IF(B$3=0,0,B20/B$3)</f>
        <v>0.1700827040632866</v>
      </c>
      <c r="E20" s="63" t="s">
        <v>76</v>
      </c>
      <c r="F20" s="60" t="s">
        <v>31</v>
      </c>
      <c r="G20" s="47">
        <v>7</v>
      </c>
      <c r="H20" s="133">
        <f>IF(B$17=0,0,G20/B$17)</f>
        <v>8.3135391923990498E-3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1.6695121951219498</v>
      </c>
      <c r="P20" s="119">
        <v>164</v>
      </c>
      <c r="Q20" s="107">
        <v>273.79999999999978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5</v>
      </c>
      <c r="H21" s="133">
        <f>IF(B$17=0,0,G21/B$17)</f>
        <v>5.9382422802850355E-3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-1.2162162162162178</v>
      </c>
      <c r="P21" s="119">
        <v>74</v>
      </c>
      <c r="Q21" s="107">
        <v>-90.000000000000114</v>
      </c>
    </row>
    <row r="22" spans="1:17" x14ac:dyDescent="0.4">
      <c r="A22" s="55" t="s">
        <v>194</v>
      </c>
      <c r="B22" s="47">
        <v>31</v>
      </c>
      <c r="C22" s="135">
        <v>8</v>
      </c>
      <c r="E22" s="63" t="s">
        <v>93</v>
      </c>
      <c r="F22" s="60" t="s">
        <v>48</v>
      </c>
      <c r="G22" s="47">
        <v>4</v>
      </c>
      <c r="H22" s="133">
        <f>IF(B$17=0,0,G22/B$17)</f>
        <v>4.7505938242280287E-3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8435.2731591448937</v>
      </c>
      <c r="C23" s="41">
        <v>7102500</v>
      </c>
      <c r="E23" s="63" t="s">
        <v>94</v>
      </c>
      <c r="F23" s="60" t="s">
        <v>49</v>
      </c>
      <c r="G23" s="47">
        <v>3</v>
      </c>
      <c r="H23" s="133">
        <f>IF(B$17=0,0,G23/B$17)</f>
        <v>3.5629453681710215E-3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-28.183544303797433</v>
      </c>
      <c r="P23" s="119">
        <v>158</v>
      </c>
      <c r="Q23" s="107">
        <v>-4452.9999999999945</v>
      </c>
    </row>
    <row r="24" spans="1:17" x14ac:dyDescent="0.4">
      <c r="A24" s="57" t="s">
        <v>14</v>
      </c>
      <c r="B24" s="52">
        <f>IF(B$20=0,0,C24/B$20)</f>
        <v>-7950.5285412262156</v>
      </c>
      <c r="C24" s="45">
        <v>-3760600</v>
      </c>
      <c r="E24" s="63" t="s">
        <v>75</v>
      </c>
      <c r="F24" s="60" t="s">
        <v>30</v>
      </c>
      <c r="G24" s="47">
        <v>2</v>
      </c>
      <c r="H24" s="133">
        <f>IF(B$17=0,0,G24/B$17)</f>
        <v>2.3752969121140144E-3</v>
      </c>
      <c r="I24" s="94">
        <v>2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2</v>
      </c>
      <c r="H25" s="133">
        <f>IF(B$17=0,0,G25/B$17)</f>
        <v>2.3752969121140144E-3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2</v>
      </c>
      <c r="H26" s="133">
        <f>IF(B$17=0,0,G26/B$17)</f>
        <v>2.3752969121140144E-3</v>
      </c>
      <c r="I26" s="94">
        <v>3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3.5958288385472851E-3</v>
      </c>
      <c r="E27" s="63" t="s">
        <v>89</v>
      </c>
      <c r="F27" s="60" t="s">
        <v>44</v>
      </c>
      <c r="G27" s="47">
        <v>2</v>
      </c>
      <c r="H27" s="133">
        <f>IF(B$17=0,0,G27/B$17)</f>
        <v>2.3752969121140144E-3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1.1876484560570072E-3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1.1876484560570072E-3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1.1876484560570072E-3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1.1876484560570072E-3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-0.99999999999997868</v>
      </c>
    </row>
    <row r="330" spans="11:12" x14ac:dyDescent="0.4">
      <c r="K330" s="38">
        <v>328</v>
      </c>
      <c r="L330" s="99">
        <v>31.500000000000021</v>
      </c>
    </row>
    <row r="331" spans="11:12" x14ac:dyDescent="0.4">
      <c r="K331" s="38">
        <v>329</v>
      </c>
      <c r="L331" s="99">
        <v>37.600000000000023</v>
      </c>
    </row>
    <row r="332" spans="11:12" x14ac:dyDescent="0.4">
      <c r="K332" s="38">
        <v>330</v>
      </c>
      <c r="L332" s="99">
        <v>-0.99999999999997868</v>
      </c>
    </row>
    <row r="333" spans="11:12" x14ac:dyDescent="0.4">
      <c r="K333" s="38">
        <v>331</v>
      </c>
      <c r="L333" s="99">
        <v>-37.799999999999976</v>
      </c>
    </row>
    <row r="334" spans="11:12" x14ac:dyDescent="0.4">
      <c r="K334" s="38">
        <v>332</v>
      </c>
      <c r="L334" s="99">
        <v>0.400000000000027</v>
      </c>
    </row>
    <row r="335" spans="11:12" x14ac:dyDescent="0.4">
      <c r="K335" s="38">
        <v>333</v>
      </c>
      <c r="L335" s="99">
        <v>-0.99999999999997291</v>
      </c>
    </row>
    <row r="336" spans="11:12" x14ac:dyDescent="0.4">
      <c r="K336" s="38">
        <v>334</v>
      </c>
      <c r="L336" s="99">
        <v>9.0000000000000266</v>
      </c>
    </row>
    <row r="337" spans="11:12" x14ac:dyDescent="0.4">
      <c r="K337" s="38">
        <v>335</v>
      </c>
      <c r="L337" s="99">
        <v>-40.699999999999974</v>
      </c>
    </row>
    <row r="338" spans="11:12" x14ac:dyDescent="0.4">
      <c r="K338" s="38">
        <v>336</v>
      </c>
      <c r="L338" s="99">
        <v>-0.99999999999997158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BBD0-E14B-40E6-B197-6666F3C48543}">
  <sheetPr codeName="Sheet7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79</v>
      </c>
      <c r="C2" s="147"/>
      <c r="E2" s="62" t="s">
        <v>67</v>
      </c>
      <c r="F2" s="59" t="s">
        <v>23</v>
      </c>
      <c r="G2" s="46">
        <v>182</v>
      </c>
      <c r="H2" s="132">
        <f>IF(B$17=0,0,G2/B$17)</f>
        <v>0.74590163934426235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2435.4430379746836</v>
      </c>
      <c r="P2" s="118">
        <v>79</v>
      </c>
      <c r="Q2" s="102">
        <v>192400</v>
      </c>
    </row>
    <row r="3" spans="1:17" x14ac:dyDescent="0.4">
      <c r="A3" s="55" t="s">
        <v>8</v>
      </c>
      <c r="B3" s="148">
        <v>633</v>
      </c>
      <c r="C3" s="149"/>
      <c r="E3" s="63" t="s">
        <v>73</v>
      </c>
      <c r="F3" s="60" t="s">
        <v>28</v>
      </c>
      <c r="G3" s="47">
        <v>130</v>
      </c>
      <c r="H3" s="133">
        <f>IF(B$17=0,0,G3/B$17)</f>
        <v>0.53278688524590168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2738.4615384615386</v>
      </c>
      <c r="P3" s="119">
        <v>78</v>
      </c>
      <c r="Q3" s="103">
        <v>213600</v>
      </c>
    </row>
    <row r="4" spans="1:17" x14ac:dyDescent="0.4">
      <c r="A4" s="55" t="s">
        <v>6</v>
      </c>
      <c r="B4" s="150">
        <v>1484.0000000000007</v>
      </c>
      <c r="C4" s="151"/>
      <c r="E4" s="63" t="s">
        <v>65</v>
      </c>
      <c r="F4" s="60" t="s">
        <v>21</v>
      </c>
      <c r="G4" s="47">
        <v>117</v>
      </c>
      <c r="H4" s="133">
        <f>IF(B$17=0,0,G4/B$17)</f>
        <v>0.47950819672131145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2868.9189189189187</v>
      </c>
      <c r="P4" s="119">
        <v>74</v>
      </c>
      <c r="Q4" s="103">
        <v>212300</v>
      </c>
    </row>
    <row r="5" spans="1:17" x14ac:dyDescent="0.4">
      <c r="A5" s="55" t="s">
        <v>7</v>
      </c>
      <c r="B5" s="152">
        <f>IF(B$2=0,0,B$4/B$2)</f>
        <v>18.784810126582286</v>
      </c>
      <c r="C5" s="153"/>
      <c r="E5" s="63" t="s">
        <v>181</v>
      </c>
      <c r="F5" s="60" t="s">
        <v>182</v>
      </c>
      <c r="G5" s="47">
        <v>102</v>
      </c>
      <c r="H5" s="133">
        <f>IF(B$17=0,0,G5/B$17)</f>
        <v>0.41803278688524592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3010.4477611940297</v>
      </c>
      <c r="P5" s="119">
        <v>67</v>
      </c>
      <c r="Q5" s="103">
        <v>201700</v>
      </c>
    </row>
    <row r="6" spans="1:17" x14ac:dyDescent="0.4">
      <c r="A6" s="55" t="s">
        <v>1</v>
      </c>
      <c r="B6" s="142">
        <f>IF(B$2=0,0,(B$7*1+B$8*2+B$9*3)/B$2)</f>
        <v>1.620253164556962</v>
      </c>
      <c r="C6" s="143"/>
      <c r="E6" s="63" t="s">
        <v>68</v>
      </c>
      <c r="F6" s="60" t="s">
        <v>24</v>
      </c>
      <c r="G6" s="47">
        <v>79</v>
      </c>
      <c r="H6" s="133">
        <f>IF(B$17=0,0,G6/B$17)</f>
        <v>0.32377049180327871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-254.23728813559322</v>
      </c>
      <c r="P6" s="119">
        <v>59</v>
      </c>
      <c r="Q6" s="103">
        <v>-15000</v>
      </c>
    </row>
    <row r="7" spans="1:17" x14ac:dyDescent="0.4">
      <c r="A7" s="55" t="s">
        <v>2</v>
      </c>
      <c r="B7" s="47">
        <v>45</v>
      </c>
      <c r="C7" s="39">
        <f>IF(B$2=0,0,B7/B$2)</f>
        <v>0.569620253164557</v>
      </c>
      <c r="E7" s="63" t="s">
        <v>69</v>
      </c>
      <c r="F7" s="60" t="s">
        <v>12</v>
      </c>
      <c r="G7" s="47">
        <v>61</v>
      </c>
      <c r="H7" s="133">
        <f>IF(B$17=0,0,G7/B$17)</f>
        <v>0.25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1345.4545454545455</v>
      </c>
      <c r="P7" s="120">
        <v>55</v>
      </c>
      <c r="Q7" s="104">
        <v>74000</v>
      </c>
    </row>
    <row r="8" spans="1:17" x14ac:dyDescent="0.4">
      <c r="A8" s="55" t="s">
        <v>3</v>
      </c>
      <c r="B8" s="47">
        <v>19</v>
      </c>
      <c r="C8" s="39">
        <f>IF(B$2=0,0,B8/B$2)</f>
        <v>0.24050632911392406</v>
      </c>
      <c r="E8" s="63" t="s">
        <v>70</v>
      </c>
      <c r="F8" s="60" t="s">
        <v>25</v>
      </c>
      <c r="G8" s="47">
        <v>45</v>
      </c>
      <c r="H8" s="133">
        <f>IF(B$17=0,0,G8/B$17)</f>
        <v>0.18442622950819673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0.189873417721519</v>
      </c>
      <c r="E9" s="63" t="s">
        <v>90</v>
      </c>
      <c r="F9" s="60" t="s">
        <v>45</v>
      </c>
      <c r="G9" s="47">
        <v>43</v>
      </c>
      <c r="H9" s="133">
        <f>IF(B$17=0,0,G9/B$17)</f>
        <v>0.17622950819672131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6.3291139240506333E-2</v>
      </c>
      <c r="E10" s="63" t="s">
        <v>66</v>
      </c>
      <c r="F10" s="60" t="s">
        <v>22</v>
      </c>
      <c r="G10" s="47">
        <v>37</v>
      </c>
      <c r="H10" s="133">
        <f>IF(B$17=0,0,G10/B$17)</f>
        <v>0.15163934426229508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0.17721518987341772</v>
      </c>
      <c r="E11" s="63" t="s">
        <v>71</v>
      </c>
      <c r="F11" s="60" t="s">
        <v>26</v>
      </c>
      <c r="G11" s="47">
        <v>20</v>
      </c>
      <c r="H11" s="133">
        <f>IF(B$17=0,0,G11/B$17)</f>
        <v>8.1967213114754092E-2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13.799999999999999</v>
      </c>
      <c r="P11" s="119">
        <v>24</v>
      </c>
      <c r="Q11" s="107">
        <v>331.2</v>
      </c>
    </row>
    <row r="12" spans="1:17" x14ac:dyDescent="0.4">
      <c r="A12" s="57" t="s">
        <v>160</v>
      </c>
      <c r="B12" s="49">
        <v>16</v>
      </c>
      <c r="C12" s="42">
        <f>IF(B$2=0,0,B12/B$2)</f>
        <v>0.20253164556962025</v>
      </c>
      <c r="E12" s="63" t="s">
        <v>87</v>
      </c>
      <c r="F12" s="60" t="s">
        <v>42</v>
      </c>
      <c r="G12" s="47">
        <v>20</v>
      </c>
      <c r="H12" s="133">
        <f>IF(B$17=0,0,G12/B$17)</f>
        <v>8.1967213114754092E-2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20.646875000000005</v>
      </c>
      <c r="P12" s="120">
        <v>32</v>
      </c>
      <c r="Q12" s="108">
        <v>660.70000000000016</v>
      </c>
    </row>
    <row r="13" spans="1:17" x14ac:dyDescent="0.4">
      <c r="A13" s="58" t="s">
        <v>122</v>
      </c>
      <c r="B13" s="50">
        <v>210</v>
      </c>
      <c r="C13" s="44">
        <f>IF(B$3=0,0,B13/B$3)</f>
        <v>0.33175355450236965</v>
      </c>
      <c r="E13" s="63" t="s">
        <v>72</v>
      </c>
      <c r="F13" s="60" t="s">
        <v>27</v>
      </c>
      <c r="G13" s="47">
        <v>15</v>
      </c>
      <c r="H13" s="133">
        <f>IF(B$17=0,0,G13/B$17)</f>
        <v>6.1475409836065573E-2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151</v>
      </c>
      <c r="C14" s="39">
        <f>IF(B$3=0,0,B14/B$3)</f>
        <v>0.23854660347551343</v>
      </c>
      <c r="E14" s="63" t="s">
        <v>84</v>
      </c>
      <c r="F14" s="60" t="s">
        <v>39</v>
      </c>
      <c r="G14" s="47">
        <v>14</v>
      </c>
      <c r="H14" s="133">
        <f>IF(B$17=0,0,G14/B$17)</f>
        <v>5.737704918032787E-2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127</v>
      </c>
      <c r="C15" s="37">
        <f>IF(B$13=0,0,B15/B$13)</f>
        <v>0.60476190476190472</v>
      </c>
      <c r="E15" s="63" t="s">
        <v>82</v>
      </c>
      <c r="F15" s="60" t="s">
        <v>37</v>
      </c>
      <c r="G15" s="47">
        <v>8</v>
      </c>
      <c r="H15" s="133">
        <f>IF(B$17=0,0,G15/B$17)</f>
        <v>3.2786885245901641E-2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81</v>
      </c>
      <c r="C16" s="37">
        <f>IF(B$14=0,0,B16/B$14)</f>
        <v>0.53642384105960261</v>
      </c>
      <c r="E16" s="63" t="s">
        <v>180</v>
      </c>
      <c r="F16" s="60" t="s">
        <v>183</v>
      </c>
      <c r="G16" s="47">
        <v>8</v>
      </c>
      <c r="H16" s="133">
        <f>IF(B$17=0,0,G16/B$17)</f>
        <v>3.2786885245901641E-2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56.223809523809535</v>
      </c>
      <c r="P16" s="119">
        <v>21</v>
      </c>
      <c r="Q16" s="107">
        <v>1180.7000000000003</v>
      </c>
    </row>
    <row r="17" spans="1:17" x14ac:dyDescent="0.4">
      <c r="A17" s="54" t="s">
        <v>10</v>
      </c>
      <c r="B17" s="46">
        <f>B19+B18</f>
        <v>244</v>
      </c>
      <c r="C17" s="37">
        <f>IF(B$3=0,0,B17/B$3)</f>
        <v>0.3854660347551343</v>
      </c>
      <c r="E17" s="63" t="s">
        <v>79</v>
      </c>
      <c r="F17" s="60" t="s">
        <v>34</v>
      </c>
      <c r="G17" s="47">
        <v>4</v>
      </c>
      <c r="H17" s="133">
        <f>IF(B$17=0,0,G17/B$17)</f>
        <v>1.6393442622950821E-2</v>
      </c>
      <c r="I17" s="94">
        <v>6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103</v>
      </c>
      <c r="C18" s="39">
        <f>IF(B$17=0,0,B18/B$17)</f>
        <v>0.42213114754098363</v>
      </c>
      <c r="E18" s="63" t="s">
        <v>92</v>
      </c>
      <c r="F18" s="60" t="s">
        <v>47</v>
      </c>
      <c r="G18" s="47">
        <v>4</v>
      </c>
      <c r="H18" s="133">
        <f>IF(B$17=0,0,G18/B$17)</f>
        <v>1.6393442622950821E-2</v>
      </c>
      <c r="I18" s="94">
        <v>5</v>
      </c>
      <c r="K18" s="38">
        <v>16</v>
      </c>
      <c r="L18" s="99">
        <v>425.50000000000006</v>
      </c>
      <c r="N18" s="115" t="s">
        <v>172</v>
      </c>
      <c r="O18" s="125">
        <f>IF(P18=0,0,Q18/P18)</f>
        <v>31.768421052631584</v>
      </c>
      <c r="P18" s="119">
        <v>19</v>
      </c>
      <c r="Q18" s="107">
        <v>603.60000000000014</v>
      </c>
    </row>
    <row r="19" spans="1:17" x14ac:dyDescent="0.4">
      <c r="A19" s="55" t="s">
        <v>11</v>
      </c>
      <c r="B19" s="47">
        <v>141</v>
      </c>
      <c r="C19" s="39">
        <f>IF(B$17=0,0,B19/B$17)</f>
        <v>0.57786885245901642</v>
      </c>
      <c r="E19" s="63" t="s">
        <v>74</v>
      </c>
      <c r="F19" s="60" t="s">
        <v>29</v>
      </c>
      <c r="G19" s="47">
        <v>2</v>
      </c>
      <c r="H19" s="133">
        <f>IF(B$17=0,0,G19/B$17)</f>
        <v>8.1967213114754103E-3</v>
      </c>
      <c r="I19" s="94">
        <v>3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102</v>
      </c>
      <c r="C20" s="39">
        <f>IF(B$3=0,0,B20/B$3)</f>
        <v>0.16113744075829384</v>
      </c>
      <c r="E20" s="63" t="s">
        <v>80</v>
      </c>
      <c r="F20" s="60" t="s">
        <v>35</v>
      </c>
      <c r="G20" s="47">
        <v>2</v>
      </c>
      <c r="H20" s="133">
        <f>IF(B$17=0,0,G20/B$17)</f>
        <v>8.1967213114754103E-3</v>
      </c>
      <c r="I20" s="94">
        <v>6</v>
      </c>
      <c r="K20" s="38">
        <v>18</v>
      </c>
      <c r="L20" s="99">
        <v>429.3</v>
      </c>
      <c r="N20" s="115" t="s">
        <v>173</v>
      </c>
      <c r="O20" s="125">
        <f>IF(P20=0,0,Q20/P20)</f>
        <v>26.206666666666663</v>
      </c>
      <c r="P20" s="119">
        <v>15</v>
      </c>
      <c r="Q20" s="107">
        <v>393.09999999999997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4.0983606557377051E-3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0</v>
      </c>
      <c r="E22" s="63" t="s">
        <v>78</v>
      </c>
      <c r="F22" s="60" t="s">
        <v>33</v>
      </c>
      <c r="G22" s="47">
        <v>1</v>
      </c>
      <c r="H22" s="133">
        <f>IF(B$17=0,0,G22/B$17)</f>
        <v>4.0983606557377051E-3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19.650000000000006</v>
      </c>
      <c r="P22" s="119">
        <v>62</v>
      </c>
      <c r="Q22" s="107">
        <v>1218.3000000000004</v>
      </c>
    </row>
    <row r="23" spans="1:17" x14ac:dyDescent="0.4">
      <c r="A23" s="55" t="s">
        <v>5</v>
      </c>
      <c r="B23" s="51">
        <f>IF(B$17=0,0,C23/B$17)</f>
        <v>9309.0163934426237</v>
      </c>
      <c r="C23" s="41">
        <v>2271400</v>
      </c>
      <c r="E23" s="63" t="s">
        <v>88</v>
      </c>
      <c r="F23" s="60" t="s">
        <v>43</v>
      </c>
      <c r="G23" s="47">
        <v>1</v>
      </c>
      <c r="H23" s="133">
        <f>IF(B$17=0,0,G23/B$17)</f>
        <v>4.0983606557377051E-3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18.399999999999991</v>
      </c>
      <c r="P23" s="119">
        <v>25</v>
      </c>
      <c r="Q23" s="107">
        <v>459.99999999999977</v>
      </c>
    </row>
    <row r="24" spans="1:17" x14ac:dyDescent="0.4">
      <c r="A24" s="57" t="s">
        <v>14</v>
      </c>
      <c r="B24" s="52">
        <f>IF(B$20=0,0,C24/B$20)</f>
        <v>-7916.666666666667</v>
      </c>
      <c r="C24" s="45">
        <v>-807500</v>
      </c>
      <c r="E24" s="63" t="s">
        <v>91</v>
      </c>
      <c r="F24" s="60" t="s">
        <v>46</v>
      </c>
      <c r="G24" s="47">
        <v>1</v>
      </c>
      <c r="H24" s="133">
        <f>IF(B$17=0,0,G24/B$17)</f>
        <v>4.0983606557377051E-3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4.0983606557377051E-3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4.0983606557377051E-3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4.0983606557377051E-3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1534.1000000000006</v>
      </c>
    </row>
    <row r="79" spans="11:12" x14ac:dyDescent="0.4">
      <c r="K79" s="38">
        <v>77</v>
      </c>
      <c r="L79" s="99">
        <v>1495.5000000000007</v>
      </c>
    </row>
    <row r="80" spans="11:12" x14ac:dyDescent="0.4">
      <c r="K80" s="38">
        <v>78</v>
      </c>
      <c r="L80" s="99">
        <v>1533.7000000000007</v>
      </c>
    </row>
    <row r="81" spans="11:12" x14ac:dyDescent="0.4">
      <c r="K81" s="38">
        <v>79</v>
      </c>
      <c r="L81" s="99">
        <v>1484.0000000000007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C517-6584-4A50-A5AE-5EC15FAE0D64}">
  <sheetPr codeName="Sheet9"/>
  <dimension ref="A1:Q8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82</v>
      </c>
      <c r="C2" s="147"/>
      <c r="E2" s="62" t="s">
        <v>67</v>
      </c>
      <c r="F2" s="59" t="s">
        <v>23</v>
      </c>
      <c r="G2" s="46">
        <v>143</v>
      </c>
      <c r="H2" s="132">
        <f>IF(B$17=0,0,G2/B$17)</f>
        <v>0.71859296482412061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1063.4146341463415</v>
      </c>
      <c r="P2" s="118">
        <v>82</v>
      </c>
      <c r="Q2" s="102">
        <v>87200</v>
      </c>
    </row>
    <row r="3" spans="1:17" x14ac:dyDescent="0.4">
      <c r="A3" s="55" t="s">
        <v>8</v>
      </c>
      <c r="B3" s="148">
        <v>683</v>
      </c>
      <c r="C3" s="149"/>
      <c r="E3" s="63" t="s">
        <v>65</v>
      </c>
      <c r="F3" s="60" t="s">
        <v>21</v>
      </c>
      <c r="G3" s="47">
        <v>117</v>
      </c>
      <c r="H3" s="133">
        <f>IF(B$17=0,0,G3/B$17)</f>
        <v>0.5879396984924623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-1953.0864197530864</v>
      </c>
      <c r="P3" s="119">
        <v>81</v>
      </c>
      <c r="Q3" s="103">
        <v>-158200</v>
      </c>
    </row>
    <row r="4" spans="1:17" x14ac:dyDescent="0.4">
      <c r="A4" s="55" t="s">
        <v>6</v>
      </c>
      <c r="B4" s="150">
        <v>-91.600000000000037</v>
      </c>
      <c r="C4" s="151"/>
      <c r="E4" s="63" t="s">
        <v>73</v>
      </c>
      <c r="F4" s="60" t="s">
        <v>28</v>
      </c>
      <c r="G4" s="47">
        <v>92</v>
      </c>
      <c r="H4" s="133">
        <f>IF(B$17=0,0,G4/B$17)</f>
        <v>0.46231155778894473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-1024.3589743589744</v>
      </c>
      <c r="P4" s="119">
        <v>78</v>
      </c>
      <c r="Q4" s="103">
        <v>-79900</v>
      </c>
    </row>
    <row r="5" spans="1:17" x14ac:dyDescent="0.4">
      <c r="A5" s="55" t="s">
        <v>7</v>
      </c>
      <c r="B5" s="152">
        <f>IF(B$2=0,0,B$4/B$2)</f>
        <v>-1.1170731707317079</v>
      </c>
      <c r="C5" s="153"/>
      <c r="E5" s="63" t="s">
        <v>181</v>
      </c>
      <c r="F5" s="60" t="s">
        <v>182</v>
      </c>
      <c r="G5" s="47">
        <v>86</v>
      </c>
      <c r="H5" s="133">
        <f>IF(B$17=0,0,G5/B$17)</f>
        <v>0.43216080402010049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1351.3888888888889</v>
      </c>
      <c r="P5" s="119">
        <v>72</v>
      </c>
      <c r="Q5" s="103">
        <v>97300</v>
      </c>
    </row>
    <row r="6" spans="1:17" x14ac:dyDescent="0.4">
      <c r="A6" s="55" t="s">
        <v>1</v>
      </c>
      <c r="B6" s="142">
        <f>IF(B$2=0,0,(B$7*1+B$8*2+B$9*3)/B$2)</f>
        <v>2.0487804878048781</v>
      </c>
      <c r="C6" s="143"/>
      <c r="E6" s="63" t="s">
        <v>68</v>
      </c>
      <c r="F6" s="60" t="s">
        <v>24</v>
      </c>
      <c r="G6" s="47">
        <v>68</v>
      </c>
      <c r="H6" s="133">
        <f>IF(B$17=0,0,G6/B$17)</f>
        <v>0.34170854271356782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737.5</v>
      </c>
      <c r="P6" s="119">
        <v>64</v>
      </c>
      <c r="Q6" s="103">
        <v>47200</v>
      </c>
    </row>
    <row r="7" spans="1:17" x14ac:dyDescent="0.4">
      <c r="A7" s="55" t="s">
        <v>2</v>
      </c>
      <c r="B7" s="47">
        <v>22</v>
      </c>
      <c r="C7" s="39">
        <f>IF(B$2=0,0,B7/B$2)</f>
        <v>0.26829268292682928</v>
      </c>
      <c r="E7" s="63" t="s">
        <v>69</v>
      </c>
      <c r="F7" s="60" t="s">
        <v>12</v>
      </c>
      <c r="G7" s="47">
        <v>65</v>
      </c>
      <c r="H7" s="133">
        <f>IF(B$17=0,0,G7/B$17)</f>
        <v>0.32663316582914576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308.19672131147541</v>
      </c>
      <c r="P7" s="120">
        <v>61</v>
      </c>
      <c r="Q7" s="104">
        <v>18800</v>
      </c>
    </row>
    <row r="8" spans="1:17" x14ac:dyDescent="0.4">
      <c r="A8" s="55" t="s">
        <v>3</v>
      </c>
      <c r="B8" s="47">
        <v>34</v>
      </c>
      <c r="C8" s="39">
        <f>IF(B$2=0,0,B8/B$2)</f>
        <v>0.41463414634146339</v>
      </c>
      <c r="E8" s="63" t="s">
        <v>70</v>
      </c>
      <c r="F8" s="60" t="s">
        <v>25</v>
      </c>
      <c r="G8" s="47">
        <v>43</v>
      </c>
      <c r="H8" s="133">
        <f>IF(B$17=0,0,G8/B$17)</f>
        <v>0.21608040201005024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0.31707317073170732</v>
      </c>
      <c r="E9" s="63" t="s">
        <v>66</v>
      </c>
      <c r="F9" s="60" t="s">
        <v>22</v>
      </c>
      <c r="G9" s="47">
        <v>34</v>
      </c>
      <c r="H9" s="133">
        <f>IF(B$17=0,0,G9/B$17)</f>
        <v>0.17085427135678391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0.10975609756097561</v>
      </c>
      <c r="E10" s="63" t="s">
        <v>71</v>
      </c>
      <c r="F10" s="60" t="s">
        <v>26</v>
      </c>
      <c r="G10" s="47">
        <v>25</v>
      </c>
      <c r="H10" s="133">
        <f>IF(B$17=0,0,G10/B$17)</f>
        <v>0.12562814070351758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-0.89534883720930281</v>
      </c>
      <c r="P10" s="118">
        <v>43</v>
      </c>
      <c r="Q10" s="106">
        <v>-38.500000000000021</v>
      </c>
    </row>
    <row r="11" spans="1:17" x14ac:dyDescent="0.4">
      <c r="A11" s="56" t="s">
        <v>140</v>
      </c>
      <c r="B11" s="48">
        <v>7</v>
      </c>
      <c r="C11" s="40">
        <f>IF(B$2=0,0,B11/B$2)</f>
        <v>8.5365853658536592E-2</v>
      </c>
      <c r="E11" s="63" t="s">
        <v>90</v>
      </c>
      <c r="F11" s="60" t="s">
        <v>45</v>
      </c>
      <c r="G11" s="47">
        <v>19</v>
      </c>
      <c r="H11" s="133">
        <f>IF(B$17=0,0,G11/B$17)</f>
        <v>9.5477386934673364E-2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6</v>
      </c>
      <c r="C12" s="42">
        <f>IF(B$2=0,0,B12/B$2)</f>
        <v>7.3170731707317069E-2</v>
      </c>
      <c r="E12" s="63" t="s">
        <v>87</v>
      </c>
      <c r="F12" s="60" t="s">
        <v>42</v>
      </c>
      <c r="G12" s="47">
        <v>11</v>
      </c>
      <c r="H12" s="133">
        <f>IF(B$17=0,0,G12/B$17)</f>
        <v>5.5276381909547742E-2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4.5052631578947366</v>
      </c>
      <c r="P12" s="120">
        <v>19</v>
      </c>
      <c r="Q12" s="108">
        <v>85.6</v>
      </c>
    </row>
    <row r="13" spans="1:17" x14ac:dyDescent="0.4">
      <c r="A13" s="58" t="s">
        <v>122</v>
      </c>
      <c r="B13" s="50">
        <v>195</v>
      </c>
      <c r="C13" s="44">
        <f>IF(B$3=0,0,B13/B$3)</f>
        <v>0.28550512445095166</v>
      </c>
      <c r="E13" s="63" t="s">
        <v>72</v>
      </c>
      <c r="F13" s="60" t="s">
        <v>27</v>
      </c>
      <c r="G13" s="47">
        <v>9</v>
      </c>
      <c r="H13" s="133">
        <f>IF(B$17=0,0,G13/B$17)</f>
        <v>4.5226130653266333E-2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0.19619326500732065</v>
      </c>
      <c r="E14" s="63" t="s">
        <v>82</v>
      </c>
      <c r="F14" s="60" t="s">
        <v>37</v>
      </c>
      <c r="G14" s="47">
        <v>8</v>
      </c>
      <c r="H14" s="133">
        <f>IF(B$17=0,0,G14/B$17)</f>
        <v>4.0201005025125629E-2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0.64102564102564108</v>
      </c>
      <c r="E15" s="63" t="s">
        <v>84</v>
      </c>
      <c r="F15" s="60" t="s">
        <v>39</v>
      </c>
      <c r="G15" s="47">
        <v>5</v>
      </c>
      <c r="H15" s="133">
        <f>IF(B$17=0,0,G15/B$17)</f>
        <v>2.5125628140703519E-2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37</v>
      </c>
      <c r="C16" s="37">
        <f>IF(B$14=0,0,B16/B$14)</f>
        <v>0.27611940298507465</v>
      </c>
      <c r="E16" s="63" t="s">
        <v>92</v>
      </c>
      <c r="F16" s="60" t="s">
        <v>47</v>
      </c>
      <c r="G16" s="47">
        <v>5</v>
      </c>
      <c r="H16" s="133">
        <f>IF(B$17=0,0,G16/B$17)</f>
        <v>2.5125628140703519E-2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15.172727272727268</v>
      </c>
      <c r="P16" s="119">
        <v>22</v>
      </c>
      <c r="Q16" s="107">
        <v>333.7999999999999</v>
      </c>
    </row>
    <row r="17" spans="1:17" x14ac:dyDescent="0.4">
      <c r="A17" s="54" t="s">
        <v>10</v>
      </c>
      <c r="B17" s="46">
        <f>B19+B18</f>
        <v>199</v>
      </c>
      <c r="C17" s="37">
        <f>IF(B$3=0,0,B17/B$3)</f>
        <v>0.29136163982430452</v>
      </c>
      <c r="E17" s="63" t="s">
        <v>80</v>
      </c>
      <c r="F17" s="60" t="s">
        <v>35</v>
      </c>
      <c r="G17" s="47">
        <v>4</v>
      </c>
      <c r="H17" s="133">
        <f>IF(B$17=0,0,G17/B$17)</f>
        <v>2.0100502512562814E-2</v>
      </c>
      <c r="I17" s="94">
        <v>2</v>
      </c>
      <c r="K17" s="38">
        <v>15</v>
      </c>
      <c r="L17" s="99">
        <v>47.999999999999986</v>
      </c>
      <c r="N17" s="115" t="s">
        <v>177</v>
      </c>
      <c r="O17" s="125">
        <f>IF(P17=0,0,Q17/P17)</f>
        <v>10.178571428571429</v>
      </c>
      <c r="P17" s="119">
        <v>14</v>
      </c>
      <c r="Q17" s="107">
        <v>142.5</v>
      </c>
    </row>
    <row r="18" spans="1:17" x14ac:dyDescent="0.4">
      <c r="A18" s="55" t="s">
        <v>12</v>
      </c>
      <c r="B18" s="47">
        <v>81</v>
      </c>
      <c r="C18" s="39">
        <f>IF(B$17=0,0,B18/B$17)</f>
        <v>0.40703517587939697</v>
      </c>
      <c r="E18" s="63" t="s">
        <v>180</v>
      </c>
      <c r="F18" s="60" t="s">
        <v>183</v>
      </c>
      <c r="G18" s="47">
        <v>4</v>
      </c>
      <c r="H18" s="133">
        <f>IF(B$17=0,0,G18/B$17)</f>
        <v>2.0100502512562814E-2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10.050000000000008</v>
      </c>
      <c r="P18" s="119">
        <v>20</v>
      </c>
      <c r="Q18" s="107">
        <v>201.00000000000017</v>
      </c>
    </row>
    <row r="19" spans="1:17" x14ac:dyDescent="0.4">
      <c r="A19" s="55" t="s">
        <v>11</v>
      </c>
      <c r="B19" s="47">
        <v>118</v>
      </c>
      <c r="C19" s="39">
        <f>IF(B$17=0,0,B19/B$17)</f>
        <v>0.59296482412060303</v>
      </c>
      <c r="E19" s="63" t="s">
        <v>75</v>
      </c>
      <c r="F19" s="60" t="s">
        <v>30</v>
      </c>
      <c r="G19" s="47">
        <v>2</v>
      </c>
      <c r="H19" s="133">
        <f>IF(B$17=0,0,G19/B$17)</f>
        <v>1.0050251256281407E-2</v>
      </c>
      <c r="I19" s="94">
        <v>1</v>
      </c>
      <c r="K19" s="38">
        <v>17</v>
      </c>
      <c r="L19" s="99">
        <v>94.6</v>
      </c>
      <c r="N19" s="115" t="s">
        <v>172</v>
      </c>
      <c r="O19" s="125">
        <f>IF(P19=0,0,Q19/P19)</f>
        <v>4.9727272727272727</v>
      </c>
      <c r="P19" s="119">
        <v>22</v>
      </c>
      <c r="Q19" s="107">
        <v>109.39999999999999</v>
      </c>
    </row>
    <row r="20" spans="1:17" x14ac:dyDescent="0.4">
      <c r="A20" s="55" t="s">
        <v>13</v>
      </c>
      <c r="B20" s="47">
        <v>115</v>
      </c>
      <c r="C20" s="39">
        <f>IF(B$3=0,0,B20/B$3)</f>
        <v>0.16837481698389459</v>
      </c>
      <c r="E20" s="63" t="s">
        <v>76</v>
      </c>
      <c r="F20" s="60" t="s">
        <v>31</v>
      </c>
      <c r="G20" s="47">
        <v>2</v>
      </c>
      <c r="H20" s="133">
        <f>IF(B$17=0,0,G20/B$17)</f>
        <v>1.0050251256281407E-2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-2.0842105263157902</v>
      </c>
      <c r="P20" s="119">
        <v>19</v>
      </c>
      <c r="Q20" s="107">
        <v>-39.600000000000016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1.0050251256281407E-2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-19.650000000000006</v>
      </c>
      <c r="P21" s="119">
        <v>62</v>
      </c>
      <c r="Q21" s="107">
        <v>-1218.3000000000004</v>
      </c>
    </row>
    <row r="22" spans="1:17" x14ac:dyDescent="0.4">
      <c r="A22" s="55" t="s">
        <v>194</v>
      </c>
      <c r="B22" s="47">
        <v>24</v>
      </c>
      <c r="C22" s="135">
        <v>8</v>
      </c>
      <c r="E22" s="63" t="s">
        <v>74</v>
      </c>
      <c r="F22" s="60" t="s">
        <v>29</v>
      </c>
      <c r="G22" s="47">
        <v>1</v>
      </c>
      <c r="H22" s="133">
        <f>IF(B$17=0,0,G22/B$17)</f>
        <v>5.0251256281407036E-3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8974.3718592964833</v>
      </c>
      <c r="C23" s="41">
        <v>1785900</v>
      </c>
      <c r="E23" s="63" t="s">
        <v>78</v>
      </c>
      <c r="F23" s="60" t="s">
        <v>33</v>
      </c>
      <c r="G23" s="47">
        <v>1</v>
      </c>
      <c r="H23" s="133">
        <f>IF(B$17=0,0,G23/B$17)</f>
        <v>5.0251256281407036E-3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-7416.521739130435</v>
      </c>
      <c r="C24" s="45">
        <v>-852900</v>
      </c>
      <c r="E24" s="63" t="s">
        <v>85</v>
      </c>
      <c r="F24" s="60" t="s">
        <v>40</v>
      </c>
      <c r="G24" s="47">
        <v>1</v>
      </c>
      <c r="H24" s="133">
        <f>IF(B$17=0,0,G24/B$17)</f>
        <v>5.0251256281407036E-3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5.0251256281407036E-3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5.0251256281407036E-3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7.320644216691069E-3</v>
      </c>
      <c r="E27" s="63" t="s">
        <v>94</v>
      </c>
      <c r="F27" s="60" t="s">
        <v>49</v>
      </c>
      <c r="G27" s="47">
        <v>1</v>
      </c>
      <c r="H27" s="133">
        <f>IF(B$17=0,0,G27/B$17)</f>
        <v>5.0251256281407036E-3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99AC-C717-444E-8339-6CA9E8556F9E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32</v>
      </c>
      <c r="C2" s="147"/>
      <c r="E2" s="62" t="s">
        <v>67</v>
      </c>
      <c r="F2" s="59" t="s">
        <v>23</v>
      </c>
      <c r="G2" s="46">
        <v>45</v>
      </c>
      <c r="H2" s="132">
        <f>IF(B$17=0,0,G2/B$17)</f>
        <v>0.86538461538461542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-2690.625</v>
      </c>
      <c r="P2" s="118">
        <v>32</v>
      </c>
      <c r="Q2" s="102">
        <v>-86100</v>
      </c>
    </row>
    <row r="3" spans="1:17" x14ac:dyDescent="0.4">
      <c r="A3" s="55" t="s">
        <v>8</v>
      </c>
      <c r="B3" s="148">
        <v>266</v>
      </c>
      <c r="C3" s="149"/>
      <c r="E3" s="63" t="s">
        <v>65</v>
      </c>
      <c r="F3" s="60" t="s">
        <v>21</v>
      </c>
      <c r="G3" s="47">
        <v>30</v>
      </c>
      <c r="H3" s="133">
        <f>IF(B$17=0,0,G3/B$17)</f>
        <v>0.57692307692307687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-3865.625</v>
      </c>
      <c r="P3" s="119">
        <v>32</v>
      </c>
      <c r="Q3" s="103">
        <v>-123700</v>
      </c>
    </row>
    <row r="4" spans="1:17" x14ac:dyDescent="0.4">
      <c r="A4" s="55" t="s">
        <v>6</v>
      </c>
      <c r="B4" s="150">
        <v>-838.69999999999993</v>
      </c>
      <c r="C4" s="151"/>
      <c r="E4" s="63" t="s">
        <v>69</v>
      </c>
      <c r="F4" s="60" t="s">
        <v>12</v>
      </c>
      <c r="G4" s="47">
        <v>21</v>
      </c>
      <c r="H4" s="133">
        <f>IF(B$17=0,0,G4/B$17)</f>
        <v>0.40384615384615385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-3548.2758620689656</v>
      </c>
      <c r="P4" s="119">
        <v>29</v>
      </c>
      <c r="Q4" s="103">
        <v>-102900</v>
      </c>
    </row>
    <row r="5" spans="1:17" x14ac:dyDescent="0.4">
      <c r="A5" s="55" t="s">
        <v>7</v>
      </c>
      <c r="B5" s="152">
        <f>IF(B$2=0,0,B$4/B$2)</f>
        <v>-26.209374999999998</v>
      </c>
      <c r="C5" s="153"/>
      <c r="E5" s="63" t="s">
        <v>181</v>
      </c>
      <c r="F5" s="60" t="s">
        <v>182</v>
      </c>
      <c r="G5" s="47">
        <v>21</v>
      </c>
      <c r="H5" s="133">
        <f>IF(B$17=0,0,G5/B$17)</f>
        <v>0.40384615384615385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-6323.0769230769229</v>
      </c>
      <c r="P5" s="119">
        <v>26</v>
      </c>
      <c r="Q5" s="103">
        <v>-164400</v>
      </c>
    </row>
    <row r="6" spans="1:17" x14ac:dyDescent="0.4">
      <c r="A6" s="55" t="s">
        <v>1</v>
      </c>
      <c r="B6" s="142">
        <f>IF(B$2=0,0,(B$7*1+B$8*2+B$9*3)/B$2)</f>
        <v>2.4375</v>
      </c>
      <c r="C6" s="143"/>
      <c r="E6" s="63" t="s">
        <v>73</v>
      </c>
      <c r="F6" s="60" t="s">
        <v>28</v>
      </c>
      <c r="G6" s="47">
        <v>18</v>
      </c>
      <c r="H6" s="133">
        <f>IF(B$17=0,0,G6/B$17)</f>
        <v>0.34615384615384615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-3345.4545454545455</v>
      </c>
      <c r="P6" s="119">
        <v>22</v>
      </c>
      <c r="Q6" s="103">
        <v>-73600</v>
      </c>
    </row>
    <row r="7" spans="1:17" x14ac:dyDescent="0.4">
      <c r="A7" s="55" t="s">
        <v>2</v>
      </c>
      <c r="B7" s="47">
        <v>5</v>
      </c>
      <c r="C7" s="39">
        <f>IF(B$2=0,0,B7/B$2)</f>
        <v>0.15625</v>
      </c>
      <c r="E7" s="63" t="s">
        <v>68</v>
      </c>
      <c r="F7" s="60" t="s">
        <v>24</v>
      </c>
      <c r="G7" s="47">
        <v>17</v>
      </c>
      <c r="H7" s="133">
        <f>IF(B$17=0,0,G7/B$17)</f>
        <v>0.32692307692307693</v>
      </c>
      <c r="I7" s="94">
        <v>4</v>
      </c>
      <c r="K7" s="38">
        <v>5</v>
      </c>
      <c r="L7" s="99">
        <v>-32.199999999999996</v>
      </c>
      <c r="N7" s="116" t="s">
        <v>137</v>
      </c>
      <c r="O7" s="123">
        <f t="shared" si="0"/>
        <v>-1814.2857142857142</v>
      </c>
      <c r="P7" s="120">
        <v>21</v>
      </c>
      <c r="Q7" s="104">
        <v>-38100</v>
      </c>
    </row>
    <row r="8" spans="1:17" x14ac:dyDescent="0.4">
      <c r="A8" s="55" t="s">
        <v>3</v>
      </c>
      <c r="B8" s="47">
        <v>8</v>
      </c>
      <c r="C8" s="39">
        <f>IF(B$2=0,0,B8/B$2)</f>
        <v>0.25</v>
      </c>
      <c r="E8" s="63" t="s">
        <v>70</v>
      </c>
      <c r="F8" s="60" t="s">
        <v>25</v>
      </c>
      <c r="G8" s="47">
        <v>11</v>
      </c>
      <c r="H8" s="133">
        <f>IF(B$17=0,0,G8/B$17)</f>
        <v>0.21153846153846154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0.59375</v>
      </c>
      <c r="E9" s="63" t="s">
        <v>71</v>
      </c>
      <c r="F9" s="60" t="s">
        <v>26</v>
      </c>
      <c r="G9" s="47">
        <v>9</v>
      </c>
      <c r="H9" s="133">
        <f>IF(B$17=0,0,G9/B$17)</f>
        <v>0.17307692307692307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0.25</v>
      </c>
      <c r="E10" s="63" t="s">
        <v>72</v>
      </c>
      <c r="F10" s="60" t="s">
        <v>27</v>
      </c>
      <c r="G10" s="47">
        <v>5</v>
      </c>
      <c r="H10" s="133">
        <f>IF(B$17=0,0,G10/B$17)</f>
        <v>9.6153846153846159E-2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-27.736363636363635</v>
      </c>
      <c r="P10" s="118">
        <v>11</v>
      </c>
      <c r="Q10" s="106">
        <v>-305.09999999999997</v>
      </c>
    </row>
    <row r="11" spans="1:17" x14ac:dyDescent="0.4">
      <c r="A11" s="56" t="s">
        <v>140</v>
      </c>
      <c r="B11" s="48">
        <v>1</v>
      </c>
      <c r="C11" s="40">
        <f>IF(B$2=0,0,B11/B$2)</f>
        <v>3.125E-2</v>
      </c>
      <c r="E11" s="63" t="s">
        <v>90</v>
      </c>
      <c r="F11" s="60" t="s">
        <v>45</v>
      </c>
      <c r="G11" s="47">
        <v>5</v>
      </c>
      <c r="H11" s="133">
        <f>IF(B$17=0,0,G11/B$17)</f>
        <v>9.6153846153846159E-2</v>
      </c>
      <c r="I11" s="94">
        <v>9</v>
      </c>
      <c r="K11" s="38">
        <v>9</v>
      </c>
      <c r="L11" s="99">
        <v>-127.6</v>
      </c>
      <c r="N11" s="115" t="s">
        <v>165</v>
      </c>
      <c r="O11" s="125">
        <f>IF(P11=0,0,Q11/P11)</f>
        <v>-18.530769230769234</v>
      </c>
      <c r="P11" s="119">
        <v>13</v>
      </c>
      <c r="Q11" s="107">
        <v>-240.90000000000003</v>
      </c>
    </row>
    <row r="12" spans="1:17" x14ac:dyDescent="0.4">
      <c r="A12" s="57" t="s">
        <v>160</v>
      </c>
      <c r="B12" s="49">
        <v>3</v>
      </c>
      <c r="C12" s="42">
        <f>IF(B$2=0,0,B12/B$2)</f>
        <v>9.375E-2</v>
      </c>
      <c r="E12" s="63" t="s">
        <v>66</v>
      </c>
      <c r="F12" s="60" t="s">
        <v>22</v>
      </c>
      <c r="G12" s="47">
        <v>4</v>
      </c>
      <c r="H12" s="133">
        <f>IF(B$17=0,0,G12/B$17)</f>
        <v>7.6923076923076927E-2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65</v>
      </c>
      <c r="C13" s="44">
        <f>IF(B$3=0,0,B13/B$3)</f>
        <v>0.24436090225563908</v>
      </c>
      <c r="E13" s="63" t="s">
        <v>87</v>
      </c>
      <c r="F13" s="60" t="s">
        <v>42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0.13909774436090225</v>
      </c>
      <c r="E14" s="63" t="s">
        <v>79</v>
      </c>
      <c r="F14" s="60" t="s">
        <v>34</v>
      </c>
      <c r="G14" s="47">
        <v>1</v>
      </c>
      <c r="H14" s="133">
        <f>IF(B$17=0,0,G14/B$17)</f>
        <v>1.9230769230769232E-2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</v>
      </c>
      <c r="C15" s="37">
        <f>IF(B$13=0,0,B15/B$13)</f>
        <v>0.47692307692307695</v>
      </c>
      <c r="E15" s="63" t="s">
        <v>82</v>
      </c>
      <c r="F15" s="60" t="s">
        <v>37</v>
      </c>
      <c r="G15" s="47">
        <v>1</v>
      </c>
      <c r="H15" s="133">
        <f>IF(B$17=0,0,G15/B$17)</f>
        <v>1.9230769230769232E-2</v>
      </c>
      <c r="I15" s="94">
        <v>7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7</v>
      </c>
      <c r="C16" s="37">
        <f>IF(B$14=0,0,B16/B$14)</f>
        <v>0.1891891891891892</v>
      </c>
      <c r="E16" s="63" t="s">
        <v>84</v>
      </c>
      <c r="F16" s="60" t="s">
        <v>39</v>
      </c>
      <c r="G16" s="47">
        <v>1</v>
      </c>
      <c r="H16" s="133">
        <f>IF(B$17=0,0,G16/B$17)</f>
        <v>1.9230769230769232E-2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-15.172727272727265</v>
      </c>
      <c r="P16" s="119">
        <v>22</v>
      </c>
      <c r="Q16" s="107">
        <v>-333.79999999999984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0.19548872180451127</v>
      </c>
      <c r="E17" s="63" t="s">
        <v>88</v>
      </c>
      <c r="F17" s="60" t="s">
        <v>43</v>
      </c>
      <c r="G17" s="47">
        <v>1</v>
      </c>
      <c r="H17" s="133">
        <f>IF(B$17=0,0,G17/B$17)</f>
        <v>1.9230769230769232E-2</v>
      </c>
      <c r="I17" s="94">
        <v>1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27</v>
      </c>
      <c r="C18" s="39">
        <f>IF(B$17=0,0,B18/B$17)</f>
        <v>0.51923076923076927</v>
      </c>
      <c r="E18" s="63" t="s">
        <v>89</v>
      </c>
      <c r="F18" s="60" t="s">
        <v>44</v>
      </c>
      <c r="G18" s="47">
        <v>1</v>
      </c>
      <c r="H18" s="133">
        <f>IF(B$17=0,0,G18/B$17)</f>
        <v>1.9230769230769232E-2</v>
      </c>
      <c r="I18" s="94">
        <v>1</v>
      </c>
      <c r="K18" s="38">
        <v>16</v>
      </c>
      <c r="L18" s="99">
        <v>-472</v>
      </c>
      <c r="N18" s="115" t="s">
        <v>127</v>
      </c>
      <c r="O18" s="125">
        <f>IF(P18=0,0,Q18/P18)</f>
        <v>-56.22380952380955</v>
      </c>
      <c r="P18" s="119">
        <v>21</v>
      </c>
      <c r="Q18" s="107">
        <v>-1180.7000000000005</v>
      </c>
    </row>
    <row r="19" spans="1:17" x14ac:dyDescent="0.4">
      <c r="A19" s="55" t="s">
        <v>11</v>
      </c>
      <c r="B19" s="47">
        <v>25</v>
      </c>
      <c r="C19" s="39">
        <f>IF(B$17=0,0,B19/B$17)</f>
        <v>0.48076923076923078</v>
      </c>
      <c r="E19" s="63" t="s">
        <v>94</v>
      </c>
      <c r="F19" s="60" t="s">
        <v>49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53</v>
      </c>
      <c r="C20" s="39">
        <f>IF(B$3=0,0,B20/B$3)</f>
        <v>0.19924812030075187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28</v>
      </c>
      <c r="C22" s="135">
        <v>28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8513.461538461539</v>
      </c>
      <c r="C23" s="41">
        <v>442700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-9890.566037735849</v>
      </c>
      <c r="C24" s="45">
        <v>-524200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3.7593984962406013E-3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D88B-F3FB-4888-8591-3D1E7994940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58</v>
      </c>
      <c r="H2" s="132">
        <f>IF(B$17=0,0,G2/B$17)</f>
        <v>0.6987951807228916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-492.5</v>
      </c>
      <c r="P2" s="118">
        <v>40</v>
      </c>
      <c r="Q2" s="102">
        <v>-19700</v>
      </c>
    </row>
    <row r="3" spans="1:17" x14ac:dyDescent="0.4">
      <c r="A3" s="55" t="s">
        <v>8</v>
      </c>
      <c r="B3" s="148">
        <v>334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0.53012048192771088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660</v>
      </c>
      <c r="P3" s="119">
        <v>40</v>
      </c>
      <c r="Q3" s="103">
        <v>26400</v>
      </c>
    </row>
    <row r="4" spans="1:17" x14ac:dyDescent="0.4">
      <c r="A4" s="55" t="s">
        <v>6</v>
      </c>
      <c r="B4" s="150">
        <v>-65.2</v>
      </c>
      <c r="C4" s="151"/>
      <c r="E4" s="63" t="s">
        <v>73</v>
      </c>
      <c r="F4" s="60" t="s">
        <v>28</v>
      </c>
      <c r="G4" s="47">
        <v>41</v>
      </c>
      <c r="H4" s="133">
        <f>IF(B$17=0,0,G4/B$17)</f>
        <v>0.49397590361445781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1028.9473684210527</v>
      </c>
      <c r="P4" s="119">
        <v>38</v>
      </c>
      <c r="Q4" s="103">
        <v>39100</v>
      </c>
    </row>
    <row r="5" spans="1:17" x14ac:dyDescent="0.4">
      <c r="A5" s="55" t="s">
        <v>7</v>
      </c>
      <c r="B5" s="152">
        <f>IF(B$2=0,0,B$4/B$2)</f>
        <v>-1.6300000000000001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0.30120481927710846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-200</v>
      </c>
      <c r="P5" s="119">
        <v>34</v>
      </c>
      <c r="Q5" s="103">
        <v>-6800</v>
      </c>
    </row>
    <row r="6" spans="1:17" x14ac:dyDescent="0.4">
      <c r="A6" s="55" t="s">
        <v>1</v>
      </c>
      <c r="B6" s="142">
        <f>IF(B$2=0,0,(B$7*1+B$8*2+B$9*3)/B$2)</f>
        <v>2.1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0.24096385542168675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-741.93548387096769</v>
      </c>
      <c r="P6" s="119">
        <v>31</v>
      </c>
      <c r="Q6" s="103">
        <v>-23000</v>
      </c>
    </row>
    <row r="7" spans="1:17" x14ac:dyDescent="0.4">
      <c r="A7" s="55" t="s">
        <v>2</v>
      </c>
      <c r="B7" s="47">
        <v>10</v>
      </c>
      <c r="C7" s="39">
        <f>IF(B$2=0,0,B7/B$2)</f>
        <v>0.25</v>
      </c>
      <c r="E7" s="63" t="s">
        <v>69</v>
      </c>
      <c r="F7" s="60" t="s">
        <v>12</v>
      </c>
      <c r="G7" s="47">
        <v>20</v>
      </c>
      <c r="H7" s="133">
        <f>IF(B$17=0,0,G7/B$17)</f>
        <v>0.24096385542168675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234.48275862068965</v>
      </c>
      <c r="P7" s="120">
        <v>29</v>
      </c>
      <c r="Q7" s="104">
        <v>6800</v>
      </c>
    </row>
    <row r="8" spans="1:17" x14ac:dyDescent="0.4">
      <c r="A8" s="55" t="s">
        <v>3</v>
      </c>
      <c r="B8" s="47">
        <v>16</v>
      </c>
      <c r="C8" s="39">
        <f>IF(B$2=0,0,B8/B$2)</f>
        <v>0.4</v>
      </c>
      <c r="E8" s="63" t="s">
        <v>70</v>
      </c>
      <c r="F8" s="60" t="s">
        <v>25</v>
      </c>
      <c r="G8" s="47">
        <v>18</v>
      </c>
      <c r="H8" s="133">
        <f>IF(B$17=0,0,G8/B$17)</f>
        <v>0.21686746987951808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66</v>
      </c>
      <c r="F9" s="60" t="s">
        <v>22</v>
      </c>
      <c r="G9" s="47">
        <v>13</v>
      </c>
      <c r="H9" s="133">
        <f>IF(B$17=0,0,G9/B$17)</f>
        <v>0.15662650602409639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2.5000000000000001E-2</v>
      </c>
      <c r="E10" s="63" t="s">
        <v>90</v>
      </c>
      <c r="F10" s="60" t="s">
        <v>45</v>
      </c>
      <c r="G10" s="47">
        <v>13</v>
      </c>
      <c r="H10" s="133">
        <f>IF(B$17=0,0,G10/B$17)</f>
        <v>0.15662650602409639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0.125</v>
      </c>
      <c r="E11" s="63" t="s">
        <v>71</v>
      </c>
      <c r="F11" s="60" t="s">
        <v>26</v>
      </c>
      <c r="G11" s="47">
        <v>11</v>
      </c>
      <c r="H11" s="133">
        <f>IF(B$17=0,0,G11/B$17)</f>
        <v>0.13253012048192772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-7.9999999999999982</v>
      </c>
      <c r="P11" s="119">
        <v>17</v>
      </c>
      <c r="Q11" s="107">
        <v>-135.99999999999997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87</v>
      </c>
      <c r="F12" s="60" t="s">
        <v>42</v>
      </c>
      <c r="G12" s="47">
        <v>7</v>
      </c>
      <c r="H12" s="133">
        <f>IF(B$17=0,0,G12/B$17)</f>
        <v>8.4337349397590355E-2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83</v>
      </c>
      <c r="C13" s="44">
        <f>IF(B$3=0,0,B13/B$3)</f>
        <v>0.24850299401197604</v>
      </c>
      <c r="E13" s="63" t="s">
        <v>72</v>
      </c>
      <c r="F13" s="60" t="s">
        <v>27</v>
      </c>
      <c r="G13" s="47">
        <v>6</v>
      </c>
      <c r="H13" s="133">
        <f>IF(B$17=0,0,G13/B$17)</f>
        <v>7.2289156626506021E-2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0.17065868263473055</v>
      </c>
      <c r="E14" s="63" t="s">
        <v>84</v>
      </c>
      <c r="F14" s="60" t="s">
        <v>39</v>
      </c>
      <c r="G14" s="47">
        <v>4</v>
      </c>
      <c r="H14" s="133">
        <f>IF(B$17=0,0,G14/B$17)</f>
        <v>4.8192771084337352E-2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0.5662650602409639</v>
      </c>
      <c r="E15" s="63" t="s">
        <v>79</v>
      </c>
      <c r="F15" s="60" t="s">
        <v>34</v>
      </c>
      <c r="G15" s="47">
        <v>3</v>
      </c>
      <c r="H15" s="133">
        <f>IF(B$17=0,0,G15/B$17)</f>
        <v>3.614457831325301E-2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19</v>
      </c>
      <c r="C16" s="37">
        <f>IF(B$14=0,0,B16/B$14)</f>
        <v>0.33333333333333331</v>
      </c>
      <c r="E16" s="63" t="s">
        <v>76</v>
      </c>
      <c r="F16" s="60" t="s">
        <v>31</v>
      </c>
      <c r="G16" s="47">
        <v>2</v>
      </c>
      <c r="H16" s="133">
        <f>IF(B$17=0,0,G16/B$17)</f>
        <v>2.4096385542168676E-2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83</v>
      </c>
      <c r="C17" s="37">
        <f>IF(B$3=0,0,B17/B$3)</f>
        <v>0.24850299401197604</v>
      </c>
      <c r="E17" s="63" t="s">
        <v>93</v>
      </c>
      <c r="F17" s="60" t="s">
        <v>48</v>
      </c>
      <c r="G17" s="47">
        <v>2</v>
      </c>
      <c r="H17" s="133">
        <f>IF(B$17=0,0,G17/B$17)</f>
        <v>2.4096385542168676E-2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11.7</v>
      </c>
      <c r="P17" s="119">
        <v>13</v>
      </c>
      <c r="Q17" s="107">
        <v>152.1</v>
      </c>
    </row>
    <row r="18" spans="1:17" x14ac:dyDescent="0.4">
      <c r="A18" s="55" t="s">
        <v>12</v>
      </c>
      <c r="B18" s="47">
        <v>28</v>
      </c>
      <c r="C18" s="39">
        <f>IF(B$17=0,0,B18/B$17)</f>
        <v>0.33734939759036142</v>
      </c>
      <c r="E18" s="63" t="s">
        <v>180</v>
      </c>
      <c r="F18" s="60" t="s">
        <v>183</v>
      </c>
      <c r="G18" s="47">
        <v>2</v>
      </c>
      <c r="H18" s="133">
        <f>IF(B$17=0,0,G18/B$17)</f>
        <v>2.4096385542168676E-2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55</v>
      </c>
      <c r="C19" s="39">
        <f>IF(B$17=0,0,B19/B$17)</f>
        <v>0.66265060240963858</v>
      </c>
      <c r="E19" s="63" t="s">
        <v>82</v>
      </c>
      <c r="F19" s="60" t="s">
        <v>37</v>
      </c>
      <c r="G19" s="47">
        <v>1</v>
      </c>
      <c r="H19" s="133">
        <f>IF(B$17=0,0,G19/B$17)</f>
        <v>1.2048192771084338E-2</v>
      </c>
      <c r="I19" s="94">
        <v>8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0.15269461077844312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-18.399999999999995</v>
      </c>
      <c r="P21" s="119">
        <v>25</v>
      </c>
      <c r="Q21" s="107">
        <v>-459.99999999999989</v>
      </c>
    </row>
    <row r="22" spans="1:17" x14ac:dyDescent="0.4">
      <c r="A22" s="55" t="s">
        <v>194</v>
      </c>
      <c r="B22" s="47">
        <v>20</v>
      </c>
      <c r="C22" s="135">
        <v>15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8744.5783132530123</v>
      </c>
      <c r="C23" s="41">
        <v>725800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2.9940119760479044E-3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6AD8-A3BF-41F1-987A-B446393EB3B0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83</v>
      </c>
      <c r="H2" s="132">
        <f>IF(B$17=0,0,G2/B$17)</f>
        <v>0.74774774774774777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1808.1081081081081</v>
      </c>
      <c r="P2" s="118">
        <v>37</v>
      </c>
      <c r="Q2" s="102">
        <v>66900</v>
      </c>
    </row>
    <row r="3" spans="1:17" x14ac:dyDescent="0.4">
      <c r="A3" s="55" t="s">
        <v>8</v>
      </c>
      <c r="B3" s="148">
        <v>312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0.60360360360360366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170.27027027027026</v>
      </c>
      <c r="P3" s="119">
        <v>37</v>
      </c>
      <c r="Q3" s="103">
        <v>6300</v>
      </c>
    </row>
    <row r="4" spans="1:17" x14ac:dyDescent="0.4">
      <c r="A4" s="55" t="s">
        <v>6</v>
      </c>
      <c r="B4" s="150">
        <v>30.000000000000007</v>
      </c>
      <c r="C4" s="151"/>
      <c r="E4" s="63" t="s">
        <v>65</v>
      </c>
      <c r="F4" s="60" t="s">
        <v>21</v>
      </c>
      <c r="G4" s="47">
        <v>41</v>
      </c>
      <c r="H4" s="133">
        <f>IF(B$17=0,0,G4/B$17)</f>
        <v>0.36936936936936937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421.875</v>
      </c>
      <c r="P4" s="119">
        <v>32</v>
      </c>
      <c r="Q4" s="103">
        <v>13500</v>
      </c>
    </row>
    <row r="5" spans="1:17" x14ac:dyDescent="0.4">
      <c r="A5" s="55" t="s">
        <v>7</v>
      </c>
      <c r="B5" s="152">
        <f>IF(B$2=0,0,B$4/B$2)</f>
        <v>0.81081081081081097</v>
      </c>
      <c r="C5" s="153"/>
      <c r="E5" s="63" t="s">
        <v>181</v>
      </c>
      <c r="F5" s="60" t="s">
        <v>182</v>
      </c>
      <c r="G5" s="47">
        <v>40</v>
      </c>
      <c r="H5" s="133">
        <f>IF(B$17=0,0,G5/B$17)</f>
        <v>0.36036036036036034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686.66666666666663</v>
      </c>
      <c r="P5" s="119">
        <v>30</v>
      </c>
      <c r="Q5" s="103">
        <v>20600</v>
      </c>
    </row>
    <row r="6" spans="1:17" x14ac:dyDescent="0.4">
      <c r="A6" s="55" t="s">
        <v>1</v>
      </c>
      <c r="B6" s="142">
        <f>IF(B$2=0,0,(B$7*1+B$8*2+B$9*3)/B$2)</f>
        <v>2.0810810810810811</v>
      </c>
      <c r="C6" s="143"/>
      <c r="E6" s="63" t="s">
        <v>69</v>
      </c>
      <c r="F6" s="60" t="s">
        <v>12</v>
      </c>
      <c r="G6" s="47">
        <v>30</v>
      </c>
      <c r="H6" s="133">
        <f>IF(B$17=0,0,G6/B$17)</f>
        <v>0.27027027027027029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-1234.4827586206898</v>
      </c>
      <c r="P6" s="119">
        <v>29</v>
      </c>
      <c r="Q6" s="103">
        <v>-35800</v>
      </c>
    </row>
    <row r="7" spans="1:17" x14ac:dyDescent="0.4">
      <c r="A7" s="55" t="s">
        <v>2</v>
      </c>
      <c r="B7" s="47">
        <v>11</v>
      </c>
      <c r="C7" s="39">
        <f>IF(B$2=0,0,B7/B$2)</f>
        <v>0.29729729729729731</v>
      </c>
      <c r="E7" s="63" t="s">
        <v>68</v>
      </c>
      <c r="F7" s="60" t="s">
        <v>24</v>
      </c>
      <c r="G7" s="47">
        <v>22</v>
      </c>
      <c r="H7" s="133">
        <f>IF(B$17=0,0,G7/B$17)</f>
        <v>0.1981981981981982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-1369.2307692307693</v>
      </c>
      <c r="P7" s="120">
        <v>26</v>
      </c>
      <c r="Q7" s="104">
        <v>-35600</v>
      </c>
    </row>
    <row r="8" spans="1:17" x14ac:dyDescent="0.4">
      <c r="A8" s="55" t="s">
        <v>3</v>
      </c>
      <c r="B8" s="47">
        <v>12</v>
      </c>
      <c r="C8" s="39">
        <f>IF(B$2=0,0,B8/B$2)</f>
        <v>0.32432432432432434</v>
      </c>
      <c r="E8" s="63" t="s">
        <v>70</v>
      </c>
      <c r="F8" s="60" t="s">
        <v>25</v>
      </c>
      <c r="G8" s="47">
        <v>15</v>
      </c>
      <c r="H8" s="133">
        <f>IF(B$17=0,0,G8/B$17)</f>
        <v>0.13513513513513514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0.3783783783783784</v>
      </c>
      <c r="E9" s="63" t="s">
        <v>66</v>
      </c>
      <c r="F9" s="60" t="s">
        <v>22</v>
      </c>
      <c r="G9" s="47">
        <v>9</v>
      </c>
      <c r="H9" s="133">
        <f>IF(B$17=0,0,G9/B$17)</f>
        <v>8.1081081081081086E-2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5.4054054054054057E-2</v>
      </c>
      <c r="E10" s="63" t="s">
        <v>90</v>
      </c>
      <c r="F10" s="60" t="s">
        <v>45</v>
      </c>
      <c r="G10" s="47">
        <v>9</v>
      </c>
      <c r="H10" s="133">
        <f>IF(B$17=0,0,G10/B$17)</f>
        <v>8.1081081081081086E-2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0.13513513513513514</v>
      </c>
      <c r="E11" s="63" t="s">
        <v>71</v>
      </c>
      <c r="F11" s="60" t="s">
        <v>26</v>
      </c>
      <c r="G11" s="47">
        <v>8</v>
      </c>
      <c r="H11" s="133">
        <f>IF(B$17=0,0,G11/B$17)</f>
        <v>7.2072072072072071E-2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5.4054054054054057E-2</v>
      </c>
      <c r="E12" s="63" t="s">
        <v>84</v>
      </c>
      <c r="F12" s="60" t="s">
        <v>39</v>
      </c>
      <c r="G12" s="47">
        <v>7</v>
      </c>
      <c r="H12" s="133">
        <f>IF(B$17=0,0,G12/B$17)</f>
        <v>6.3063063063063057E-2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1.6600000000000004</v>
      </c>
      <c r="P12" s="120">
        <v>15</v>
      </c>
      <c r="Q12" s="108">
        <v>24.900000000000006</v>
      </c>
    </row>
    <row r="13" spans="1:17" x14ac:dyDescent="0.4">
      <c r="A13" s="58" t="s">
        <v>122</v>
      </c>
      <c r="B13" s="50">
        <v>72</v>
      </c>
      <c r="C13" s="44">
        <f>IF(B$3=0,0,B13/B$3)</f>
        <v>0.23076923076923078</v>
      </c>
      <c r="E13" s="63" t="s">
        <v>87</v>
      </c>
      <c r="F13" s="60" t="s">
        <v>42</v>
      </c>
      <c r="G13" s="47">
        <v>6</v>
      </c>
      <c r="H13" s="133">
        <f>IF(B$17=0,0,G13/B$17)</f>
        <v>5.4054054054054057E-2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0.30448717948717946</v>
      </c>
      <c r="E14" s="63" t="s">
        <v>82</v>
      </c>
      <c r="F14" s="60" t="s">
        <v>37</v>
      </c>
      <c r="G14" s="47">
        <v>5</v>
      </c>
      <c r="H14" s="133">
        <f>IF(B$17=0,0,G14/B$17)</f>
        <v>4.5045045045045043E-2</v>
      </c>
      <c r="I14" s="94">
        <v>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42</v>
      </c>
      <c r="C15" s="37">
        <f>IF(B$13=0,0,B15/B$13)</f>
        <v>0.58333333333333337</v>
      </c>
      <c r="E15" s="63" t="s">
        <v>72</v>
      </c>
      <c r="F15" s="60" t="s">
        <v>27</v>
      </c>
      <c r="G15" s="47">
        <v>4</v>
      </c>
      <c r="H15" s="133">
        <f>IF(B$17=0,0,G15/B$17)</f>
        <v>3.6036036036036036E-2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1.8018018018018018E-2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0.35576923076923078</v>
      </c>
      <c r="E17" s="63" t="s">
        <v>80</v>
      </c>
      <c r="F17" s="60" t="s">
        <v>35</v>
      </c>
      <c r="G17" s="47">
        <v>2</v>
      </c>
      <c r="H17" s="133">
        <f>IF(B$17=0,0,G17/B$17)</f>
        <v>1.8018018018018018E-2</v>
      </c>
      <c r="I17" s="94">
        <v>3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47</v>
      </c>
      <c r="C18" s="39">
        <f>IF(B$17=0,0,B18/B$17)</f>
        <v>0.42342342342342343</v>
      </c>
      <c r="E18" s="63" t="s">
        <v>92</v>
      </c>
      <c r="F18" s="60" t="s">
        <v>47</v>
      </c>
      <c r="G18" s="47">
        <v>2</v>
      </c>
      <c r="H18" s="133">
        <f>IF(B$17=0,0,G18/B$17)</f>
        <v>1.8018018018018018E-2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64</v>
      </c>
      <c r="C19" s="39">
        <f>IF(B$17=0,0,B19/B$17)</f>
        <v>0.57657657657657657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0.14102564102564102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-4.9727272727272736</v>
      </c>
      <c r="P20" s="119">
        <v>22</v>
      </c>
      <c r="Q20" s="107">
        <v>-109.40000000000002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-31.768421052631584</v>
      </c>
      <c r="P21" s="119">
        <v>19</v>
      </c>
      <c r="Q21" s="107">
        <v>-603.60000000000014</v>
      </c>
    </row>
    <row r="22" spans="1:17" x14ac:dyDescent="0.4">
      <c r="A22" s="55" t="s">
        <v>194</v>
      </c>
      <c r="B22" s="47">
        <v>23</v>
      </c>
      <c r="C22" s="135">
        <v>19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7009.9099099099103</v>
      </c>
      <c r="C23" s="41">
        <v>778100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3.205128205128205E-3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C1CFC-8797-4781-B536-922436C5DDC1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32</v>
      </c>
      <c r="C2" s="147"/>
      <c r="E2" s="62" t="s">
        <v>67</v>
      </c>
      <c r="F2" s="59" t="s">
        <v>23</v>
      </c>
      <c r="G2" s="46">
        <v>65</v>
      </c>
      <c r="H2" s="132">
        <f>IF(B$17=0,0,G2/B$17)</f>
        <v>0.74712643678160917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-2981.25</v>
      </c>
      <c r="P2" s="118">
        <v>32</v>
      </c>
      <c r="Q2" s="102">
        <v>-95400</v>
      </c>
    </row>
    <row r="3" spans="1:17" x14ac:dyDescent="0.4">
      <c r="A3" s="55" t="s">
        <v>8</v>
      </c>
      <c r="B3" s="148">
        <v>281</v>
      </c>
      <c r="C3" s="149"/>
      <c r="E3" s="63" t="s">
        <v>73</v>
      </c>
      <c r="F3" s="60" t="s">
        <v>28</v>
      </c>
      <c r="G3" s="47">
        <v>44</v>
      </c>
      <c r="H3" s="133">
        <f>IF(B$17=0,0,G3/B$17)</f>
        <v>0.50574712643678166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1634.375</v>
      </c>
      <c r="P3" s="119">
        <v>32</v>
      </c>
      <c r="Q3" s="103">
        <v>52300</v>
      </c>
    </row>
    <row r="4" spans="1:17" x14ac:dyDescent="0.4">
      <c r="A4" s="55" t="s">
        <v>6</v>
      </c>
      <c r="B4" s="150">
        <v>-193.79999999999998</v>
      </c>
      <c r="C4" s="151"/>
      <c r="E4" s="63" t="s">
        <v>65</v>
      </c>
      <c r="F4" s="60" t="s">
        <v>21</v>
      </c>
      <c r="G4" s="47">
        <v>39</v>
      </c>
      <c r="H4" s="133">
        <f>IF(B$17=0,0,G4/B$17)</f>
        <v>0.44827586206896552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-1513.3333333333333</v>
      </c>
      <c r="P4" s="119">
        <v>30</v>
      </c>
      <c r="Q4" s="103">
        <v>-45400</v>
      </c>
    </row>
    <row r="5" spans="1:17" x14ac:dyDescent="0.4">
      <c r="A5" s="55" t="s">
        <v>7</v>
      </c>
      <c r="B5" s="152">
        <f>IF(B$2=0,0,B$4/B$2)</f>
        <v>-6.0562499999999995</v>
      </c>
      <c r="C5" s="153"/>
      <c r="E5" s="63" t="s">
        <v>69</v>
      </c>
      <c r="F5" s="60" t="s">
        <v>12</v>
      </c>
      <c r="G5" s="47">
        <v>35</v>
      </c>
      <c r="H5" s="133">
        <f>IF(B$17=0,0,G5/B$17)</f>
        <v>0.40229885057471265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-4092.8571428571427</v>
      </c>
      <c r="P5" s="119">
        <v>28</v>
      </c>
      <c r="Q5" s="103">
        <v>-114600</v>
      </c>
    </row>
    <row r="6" spans="1:17" x14ac:dyDescent="0.4">
      <c r="A6" s="55" t="s">
        <v>1</v>
      </c>
      <c r="B6" s="142">
        <f>IF(B$2=0,0,(B$7*1+B$8*2+B$9*3)/B$2)</f>
        <v>2.0625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0.33333333333333331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1528</v>
      </c>
      <c r="P6" s="119">
        <v>25</v>
      </c>
      <c r="Q6" s="103">
        <v>38200</v>
      </c>
    </row>
    <row r="7" spans="1:17" x14ac:dyDescent="0.4">
      <c r="A7" s="55" t="s">
        <v>2</v>
      </c>
      <c r="B7" s="47">
        <v>9</v>
      </c>
      <c r="C7" s="39">
        <f>IF(B$2=0,0,B7/B$2)</f>
        <v>0.28125</v>
      </c>
      <c r="E7" s="63" t="s">
        <v>68</v>
      </c>
      <c r="F7" s="60" t="s">
        <v>24</v>
      </c>
      <c r="G7" s="47">
        <v>21</v>
      </c>
      <c r="H7" s="133">
        <f>IF(B$17=0,0,G7/B$17)</f>
        <v>0.2413793103448276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462.5</v>
      </c>
      <c r="P7" s="120">
        <v>24</v>
      </c>
      <c r="Q7" s="104">
        <v>11100</v>
      </c>
    </row>
    <row r="8" spans="1:17" x14ac:dyDescent="0.4">
      <c r="A8" s="55" t="s">
        <v>3</v>
      </c>
      <c r="B8" s="47">
        <v>12</v>
      </c>
      <c r="C8" s="39">
        <f>IF(B$2=0,0,B8/B$2)</f>
        <v>0.375</v>
      </c>
      <c r="E8" s="63" t="s">
        <v>90</v>
      </c>
      <c r="F8" s="60" t="s">
        <v>45</v>
      </c>
      <c r="G8" s="47">
        <v>12</v>
      </c>
      <c r="H8" s="133">
        <f>IF(B$17=0,0,G8/B$17)</f>
        <v>0.13793103448275862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0.34375</v>
      </c>
      <c r="E9" s="63" t="s">
        <v>71</v>
      </c>
      <c r="F9" s="60" t="s">
        <v>26</v>
      </c>
      <c r="G9" s="47">
        <v>10</v>
      </c>
      <c r="H9" s="133">
        <f>IF(B$17=0,0,G9/B$17)</f>
        <v>0.11494252873563218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0.125</v>
      </c>
      <c r="E10" s="63" t="s">
        <v>70</v>
      </c>
      <c r="F10" s="60" t="s">
        <v>25</v>
      </c>
      <c r="G10" s="47">
        <v>8</v>
      </c>
      <c r="H10" s="133">
        <f>IF(B$17=0,0,G10/B$17)</f>
        <v>9.1954022988505746E-2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6.25E-2</v>
      </c>
      <c r="E11" s="63" t="s">
        <v>72</v>
      </c>
      <c r="F11" s="60" t="s">
        <v>27</v>
      </c>
      <c r="G11" s="47">
        <v>5</v>
      </c>
      <c r="H11" s="133">
        <f>IF(B$17=0,0,G11/B$17)</f>
        <v>5.7471264367816091E-2</v>
      </c>
      <c r="I11" s="94">
        <v>5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3.125E-2</v>
      </c>
      <c r="E12" s="63" t="s">
        <v>66</v>
      </c>
      <c r="F12" s="60" t="s">
        <v>22</v>
      </c>
      <c r="G12" s="47">
        <v>4</v>
      </c>
      <c r="H12" s="133">
        <f>IF(B$17=0,0,G12/B$17)</f>
        <v>4.5977011494252873E-2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67</v>
      </c>
      <c r="C13" s="44">
        <f>IF(B$3=0,0,B13/B$3)</f>
        <v>0.23843416370106763</v>
      </c>
      <c r="E13" s="63" t="s">
        <v>87</v>
      </c>
      <c r="F13" s="60" t="s">
        <v>42</v>
      </c>
      <c r="G13" s="47">
        <v>4</v>
      </c>
      <c r="H13" s="133">
        <f>IF(B$17=0,0,G13/B$17)</f>
        <v>4.5977011494252873E-2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66</v>
      </c>
      <c r="C14" s="39">
        <f>IF(B$3=0,0,B14/B$3)</f>
        <v>0.23487544483985764</v>
      </c>
      <c r="E14" s="63" t="s">
        <v>84</v>
      </c>
      <c r="F14" s="60" t="s">
        <v>39</v>
      </c>
      <c r="G14" s="47">
        <v>2</v>
      </c>
      <c r="H14" s="133">
        <f>IF(B$17=0,0,G14/B$17)</f>
        <v>2.2988505747126436E-2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</v>
      </c>
      <c r="C15" s="37">
        <f>IF(B$13=0,0,B15/B$13)</f>
        <v>0.59701492537313428</v>
      </c>
      <c r="E15" s="63" t="s">
        <v>74</v>
      </c>
      <c r="F15" s="60" t="s">
        <v>29</v>
      </c>
      <c r="G15" s="47">
        <v>1</v>
      </c>
      <c r="H15" s="133">
        <f>IF(B$17=0,0,G15/B$17)</f>
        <v>1.1494252873563218E-2</v>
      </c>
      <c r="I15" s="94">
        <v>2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1.1494252873563218E-2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2.0842105263157902</v>
      </c>
      <c r="P16" s="119">
        <v>19</v>
      </c>
      <c r="Q16" s="107">
        <v>39.600000000000016</v>
      </c>
    </row>
    <row r="17" spans="1:17" x14ac:dyDescent="0.4">
      <c r="A17" s="54" t="s">
        <v>10</v>
      </c>
      <c r="B17" s="46">
        <f>B19+B18</f>
        <v>87</v>
      </c>
      <c r="C17" s="37">
        <f>IF(B$3=0,0,B17/B$3)</f>
        <v>0.30960854092526691</v>
      </c>
      <c r="E17" s="63" t="s">
        <v>80</v>
      </c>
      <c r="F17" s="60" t="s">
        <v>35</v>
      </c>
      <c r="G17" s="47">
        <v>1</v>
      </c>
      <c r="H17" s="133">
        <f>IF(B$17=0,0,G17/B$17)</f>
        <v>1.1494252873563218E-2</v>
      </c>
      <c r="I17" s="94">
        <v>5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45</v>
      </c>
      <c r="C18" s="39">
        <f>IF(B$17=0,0,B18/B$17)</f>
        <v>0.51724137931034486</v>
      </c>
      <c r="E18" s="63" t="s">
        <v>92</v>
      </c>
      <c r="F18" s="60" t="s">
        <v>47</v>
      </c>
      <c r="G18" s="47">
        <v>1</v>
      </c>
      <c r="H18" s="133">
        <f>IF(B$17=0,0,G18/B$17)</f>
        <v>1.1494252873563218E-2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-11.699999999999998</v>
      </c>
      <c r="P18" s="119">
        <v>13</v>
      </c>
      <c r="Q18" s="107">
        <v>-152.09999999999997</v>
      </c>
    </row>
    <row r="19" spans="1:17" x14ac:dyDescent="0.4">
      <c r="A19" s="55" t="s">
        <v>11</v>
      </c>
      <c r="B19" s="47">
        <v>42</v>
      </c>
      <c r="C19" s="39">
        <f>IF(B$17=0,0,B19/B$17)</f>
        <v>0.48275862068965519</v>
      </c>
      <c r="E19" s="63" t="s">
        <v>180</v>
      </c>
      <c r="F19" s="60" t="s">
        <v>183</v>
      </c>
      <c r="G19" s="47">
        <v>1</v>
      </c>
      <c r="H19" s="133">
        <f>IF(B$17=0,0,G19/B$17)</f>
        <v>1.1494252873563218E-2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54</v>
      </c>
      <c r="C20" s="39">
        <f>IF(B$3=0,0,B20/B$3)</f>
        <v>0.19217081850533807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-26.20666666666666</v>
      </c>
      <c r="P20" s="119">
        <v>15</v>
      </c>
      <c r="Q20" s="107">
        <v>-393.09999999999991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6758.6206896551721</v>
      </c>
      <c r="C23" s="41">
        <v>588000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-8177.7777777777774</v>
      </c>
      <c r="C24" s="45">
        <v>-441600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3.5587188612099642E-3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00343-0C37-472A-8E6A-87E4362CFCE7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1213.3333333333333</v>
      </c>
      <c r="P6" s="119">
        <v>15</v>
      </c>
      <c r="Q6" s="103">
        <v>18200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4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E6903-D113-4174-A84E-D9636DDE923A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9FF1-CA2D-4842-AB54-3204710A2DBC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CDB2-8589-47FE-A641-47184071389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3277-CFE9-4205-9A34-8D6C3F978859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76E1-CD80-4936-AE69-33C326A6DB2E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BBC7-72E6-4EEB-8453-811CAD8109C6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2841-E990-466C-B393-683A77ACC74B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E728-0862-4822-9B6E-50BF9A36E1B4}">
  <sheetPr codeName="Sheet18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E94DE-BE4C-415F-85E0-83916193017E}">
  <sheetPr codeName="Sheet16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13B8C-0743-460A-A7F7-6C24E6EFCE26}">
  <sheetPr codeName="Sheet14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5954-7AC0-41DF-8808-D40E9BC93E6D}">
  <sheetPr codeName="Sheet12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3A8EF-3927-4C57-B554-BA94B35E736E}">
  <sheetPr codeName="Sheet10"/>
  <dimension ref="A1:Q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805BE-1C37-4B09-B565-12F741003F18}">
  <sheetPr codeName="Sheet8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1534.1000000000006</v>
      </c>
      <c r="C79" s="66">
        <v>20.185526315789481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1495.5000000000007</v>
      </c>
      <c r="C80" s="66">
        <v>19.422077922077932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1533.7000000000007</v>
      </c>
      <c r="C81" s="66">
        <v>19.662820512820524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1484.0000000000007</v>
      </c>
      <c r="C82" s="66">
        <v>18.784810126582286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0483-8214-43B8-AF83-546D4D71CA57}">
  <sheetPr codeName="Sheet6"/>
  <dimension ref="A1:Q1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-0.99999999999997868</v>
      </c>
      <c r="C112" s="66">
        <v>-3.0581039755351032E-3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-0.99999999999997868</v>
      </c>
      <c r="C113" s="66">
        <v>-3.0303030303029657E-3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-0.99999999999997291</v>
      </c>
      <c r="C114" s="66">
        <v>-3.0030030030029214E-3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-0.99999999999997158</v>
      </c>
      <c r="C115" s="66">
        <v>-2.9761904761903915E-3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2019-05-06T15:29:03Z</dcterms:modified>
</cp:coreProperties>
</file>