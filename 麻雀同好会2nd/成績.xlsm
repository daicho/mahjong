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7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8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9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0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1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2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9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14FD6638-730C-4201-A16B-E29BA54608B5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4975" r:id="rId6"/>
    <sheet name="だいち" sheetId="4977" r:id="rId7"/>
    <sheet name="りくと" sheetId="4979" r:id="rId8"/>
    <sheet name="ただ" sheetId="4981" r:id="rId9"/>
    <sheet name="れんたろう" sheetId="4983" r:id="rId10"/>
    <sheet name="たかの" sheetId="4985" r:id="rId11"/>
    <sheet name="ぱぱ" sheetId="4987" r:id="rId12"/>
    <sheet name="まっつん" sheetId="4989" r:id="rId13"/>
    <sheet name="あさひ" sheetId="4991" r:id="rId14"/>
    <sheet name="いっしー" sheetId="4993" r:id="rId15"/>
    <sheet name="ほたに" sheetId="4995" r:id="rId16"/>
    <sheet name="ほたに2" sheetId="4996" state="hidden" r:id="rId17"/>
    <sheet name="いっしー2" sheetId="4994" state="hidden" r:id="rId18"/>
    <sheet name="あさひ2" sheetId="4992" state="hidden" r:id="rId19"/>
    <sheet name="まっつん2" sheetId="4990" state="hidden" r:id="rId20"/>
    <sheet name="ぱぱ2" sheetId="4988" state="hidden" r:id="rId21"/>
    <sheet name="たかの2" sheetId="4986" state="hidden" r:id="rId22"/>
    <sheet name="れんたろう2" sheetId="4984" state="hidden" r:id="rId23"/>
    <sheet name="ただ2" sheetId="4982" state="hidden" r:id="rId24"/>
    <sheet name="りくと2" sheetId="4980" state="hidden" r:id="rId25"/>
    <sheet name="だいち2" sheetId="4978" state="hidden" r:id="rId26"/>
    <sheet name="全体2" sheetId="4976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ふっとばし率" sheetId="3523" state="hidden" r:id="rId38"/>
    <sheet name="リーチ率" sheetId="3524" state="hidden" r:id="rId39"/>
    <sheet name="副露率" sheetId="3525" state="hidden" r:id="rId40"/>
    <sheet name="リーチ成功率" sheetId="4841" state="hidden" r:id="rId41"/>
    <sheet name="副露成功率" sheetId="3527" state="hidden" r:id="rId42"/>
    <sheet name="ツモ率" sheetId="3528" state="hidden" r:id="rId43"/>
  </sheets>
  <definedNames>
    <definedName name="アガリ数" localSheetId="13">あさひ!$B$17</definedName>
    <definedName name="アガリ数" localSheetId="14">いっしー!$B$17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22" i="4977" l="1"/>
  <c r="O18" i="4995"/>
  <c r="O21" i="4987"/>
  <c r="O16" i="4995"/>
  <c r="O15" i="4995" l="1"/>
  <c r="O17" i="4995"/>
  <c r="C27" i="4995"/>
  <c r="B24" i="4995"/>
  <c r="C20" i="4995"/>
  <c r="B17" i="4995"/>
  <c r="H49" i="4995" s="1"/>
  <c r="C16" i="4995"/>
  <c r="C15" i="4995"/>
  <c r="C14" i="4995"/>
  <c r="C13" i="4995"/>
  <c r="O12" i="4995"/>
  <c r="C12" i="4995"/>
  <c r="O11" i="4995"/>
  <c r="C11" i="4995"/>
  <c r="O10" i="4995"/>
  <c r="H4" i="4995"/>
  <c r="C10" i="4995"/>
  <c r="C9" i="4995"/>
  <c r="H13" i="4995"/>
  <c r="C8" i="4995"/>
  <c r="O7" i="4995"/>
  <c r="C7" i="4995"/>
  <c r="O6" i="4995"/>
  <c r="B6" i="4995"/>
  <c r="O5" i="4995"/>
  <c r="B5" i="4995"/>
  <c r="O4" i="4995"/>
  <c r="H2" i="4995"/>
  <c r="O3" i="4995"/>
  <c r="O2" i="4995"/>
  <c r="H3" i="4995"/>
  <c r="O22" i="4983"/>
  <c r="O16" i="4985"/>
  <c r="O22" i="4975"/>
  <c r="C17" i="4995" l="1"/>
  <c r="H21" i="4995"/>
  <c r="H23" i="4995"/>
  <c r="H26" i="4995"/>
  <c r="H28" i="4995"/>
  <c r="H30" i="4995"/>
  <c r="H34" i="4995"/>
  <c r="H38" i="4995"/>
  <c r="H42" i="4995"/>
  <c r="H46" i="4995"/>
  <c r="H50" i="4995"/>
  <c r="H8" i="4995"/>
  <c r="H17" i="4995"/>
  <c r="H19" i="4995"/>
  <c r="C19" i="4995"/>
  <c r="H24" i="4995"/>
  <c r="H31" i="4995"/>
  <c r="H35" i="4995"/>
  <c r="H39" i="4995"/>
  <c r="H43" i="4995"/>
  <c r="H47" i="4995"/>
  <c r="H51" i="4995"/>
  <c r="H10" i="4995"/>
  <c r="H6" i="4995"/>
  <c r="H14" i="4995"/>
  <c r="H16" i="4995"/>
  <c r="H20" i="4995"/>
  <c r="H22" i="4995"/>
  <c r="H25" i="4995"/>
  <c r="H12" i="4995"/>
  <c r="H9" i="4995"/>
  <c r="H32" i="4995"/>
  <c r="H36" i="4995"/>
  <c r="H40" i="4995"/>
  <c r="H44" i="4995"/>
  <c r="H48" i="4995"/>
  <c r="H7" i="4995"/>
  <c r="H5" i="4995"/>
  <c r="H15" i="4995"/>
  <c r="H18" i="4995"/>
  <c r="H11" i="4995"/>
  <c r="C18" i="4995"/>
  <c r="B23" i="4995"/>
  <c r="H27" i="4995"/>
  <c r="H29" i="4995"/>
  <c r="H33" i="4995"/>
  <c r="H37" i="4995"/>
  <c r="H41" i="4995"/>
  <c r="H45" i="4995"/>
  <c r="O17" i="4985" l="1"/>
  <c r="O15" i="4981"/>
  <c r="O19" i="4989"/>
  <c r="O20" i="4989"/>
  <c r="O17" i="4977" l="1"/>
  <c r="O17" i="4993"/>
  <c r="O16" i="4993" l="1"/>
  <c r="O15" i="4993"/>
  <c r="O16" i="4983"/>
  <c r="O19" i="4981"/>
  <c r="O17" i="4991" l="1"/>
  <c r="O22" i="4987"/>
  <c r="O15" i="4991"/>
  <c r="O20" i="4993"/>
  <c r="O15" i="4979"/>
  <c r="O15" i="4989"/>
  <c r="O16" i="4975"/>
  <c r="O19" i="4993"/>
  <c r="O18" i="4993"/>
  <c r="C27" i="4993"/>
  <c r="B24" i="4993"/>
  <c r="C20" i="4993"/>
  <c r="B17" i="4993"/>
  <c r="H50" i="4993" s="1"/>
  <c r="H20" i="4993"/>
  <c r="C16" i="4993"/>
  <c r="C15" i="4993"/>
  <c r="C14" i="4993"/>
  <c r="C13" i="4993"/>
  <c r="O12" i="4993"/>
  <c r="C12" i="4993"/>
  <c r="O11" i="4993"/>
  <c r="H15" i="4993"/>
  <c r="C11" i="4993"/>
  <c r="O10" i="4993"/>
  <c r="C10" i="4993"/>
  <c r="C9" i="4993"/>
  <c r="C8" i="4993"/>
  <c r="O7" i="4993"/>
  <c r="C7" i="4993"/>
  <c r="O6" i="4993"/>
  <c r="B6" i="4993"/>
  <c r="O5" i="4993"/>
  <c r="B5" i="4993"/>
  <c r="O4" i="4993"/>
  <c r="O3" i="4993"/>
  <c r="O2" i="4993"/>
  <c r="O16" i="4991"/>
  <c r="O18" i="4991"/>
  <c r="C27" i="4991"/>
  <c r="B24" i="4991"/>
  <c r="C20" i="4991"/>
  <c r="B17" i="4991"/>
  <c r="H7" i="4991" s="1"/>
  <c r="C16" i="4991"/>
  <c r="C15" i="4991"/>
  <c r="C14" i="4991"/>
  <c r="C13" i="4991"/>
  <c r="O12" i="4991"/>
  <c r="C12" i="4991"/>
  <c r="O11" i="4991"/>
  <c r="C11" i="4991"/>
  <c r="O10" i="4991"/>
  <c r="C10" i="4991"/>
  <c r="C9" i="4991"/>
  <c r="C8" i="4991"/>
  <c r="O7" i="4991"/>
  <c r="C7" i="4991"/>
  <c r="O6" i="4991"/>
  <c r="B6" i="4991"/>
  <c r="O5" i="4991"/>
  <c r="B5" i="4991"/>
  <c r="O4" i="4991"/>
  <c r="O3" i="4991"/>
  <c r="O2" i="4991"/>
  <c r="O21" i="4989"/>
  <c r="O22" i="4989"/>
  <c r="O15" i="4977"/>
  <c r="O18" i="4977"/>
  <c r="O23" i="4975"/>
  <c r="H4" i="4993" l="1"/>
  <c r="H13" i="4993"/>
  <c r="H2" i="4993"/>
  <c r="H2" i="4991"/>
  <c r="H13" i="4991"/>
  <c r="H3" i="4991"/>
  <c r="C17" i="4991"/>
  <c r="H4" i="4991"/>
  <c r="H18" i="4993"/>
  <c r="H9" i="4993"/>
  <c r="C18" i="4993"/>
  <c r="H32" i="4993"/>
  <c r="H43" i="4993"/>
  <c r="H3" i="4993"/>
  <c r="C17" i="4993"/>
  <c r="H39" i="4993"/>
  <c r="H48" i="4993"/>
  <c r="H10" i="4993"/>
  <c r="H26" i="4993"/>
  <c r="H35" i="4993"/>
  <c r="H47" i="4993"/>
  <c r="H8" i="4993"/>
  <c r="H17" i="4993"/>
  <c r="H19" i="4993"/>
  <c r="H12" i="4993"/>
  <c r="H7" i="4993"/>
  <c r="H14" i="4993"/>
  <c r="H16" i="4993"/>
  <c r="H21" i="4993"/>
  <c r="H11" i="4993"/>
  <c r="H31" i="4993"/>
  <c r="H40" i="4993"/>
  <c r="H51" i="4993"/>
  <c r="C19" i="4993"/>
  <c r="H24" i="4993"/>
  <c r="H6" i="4993"/>
  <c r="H36" i="4993"/>
  <c r="H44" i="4993"/>
  <c r="H5" i="4993"/>
  <c r="B23" i="4993"/>
  <c r="H27" i="4993"/>
  <c r="H29" i="4993"/>
  <c r="H33" i="4993"/>
  <c r="H37" i="4993"/>
  <c r="H41" i="4993"/>
  <c r="H45" i="4993"/>
  <c r="H49" i="4993"/>
  <c r="H22" i="4993"/>
  <c r="H23" i="4993"/>
  <c r="H25" i="4993"/>
  <c r="H28" i="4993"/>
  <c r="H30" i="4993"/>
  <c r="H34" i="4993"/>
  <c r="H38" i="4993"/>
  <c r="H42" i="4993"/>
  <c r="H46" i="4993"/>
  <c r="H21" i="4991"/>
  <c r="H26" i="4991"/>
  <c r="H30" i="4991"/>
  <c r="H34" i="4991"/>
  <c r="H38" i="4991"/>
  <c r="H42" i="4991"/>
  <c r="H50" i="4991"/>
  <c r="H18" i="4991"/>
  <c r="C19" i="4991"/>
  <c r="H31" i="4991"/>
  <c r="H35" i="4991"/>
  <c r="H39" i="4991"/>
  <c r="H47" i="4991"/>
  <c r="H51" i="4991"/>
  <c r="H12" i="4991"/>
  <c r="H8" i="4991"/>
  <c r="H5" i="4991"/>
  <c r="H14" i="4991"/>
  <c r="H17" i="4991"/>
  <c r="H19" i="4991"/>
  <c r="C18" i="4991"/>
  <c r="B23" i="4991"/>
  <c r="H27" i="4991"/>
  <c r="H29" i="4991"/>
  <c r="H33" i="4991"/>
  <c r="H37" i="4991"/>
  <c r="H41" i="4991"/>
  <c r="H45" i="4991"/>
  <c r="H49" i="4991"/>
  <c r="H23" i="4991"/>
  <c r="H28" i="4991"/>
  <c r="H46" i="4991"/>
  <c r="H9" i="4991"/>
  <c r="H16" i="4991"/>
  <c r="H24" i="4991"/>
  <c r="H43" i="4991"/>
  <c r="H10" i="4991"/>
  <c r="H15" i="4991"/>
  <c r="H20" i="4991"/>
  <c r="H22" i="4991"/>
  <c r="H25" i="4991"/>
  <c r="H11" i="4991"/>
  <c r="H6" i="4991"/>
  <c r="H32" i="4991"/>
  <c r="H36" i="4991"/>
  <c r="H40" i="4991"/>
  <c r="H44" i="4991"/>
  <c r="H48" i="4991"/>
  <c r="O16" i="4989" l="1"/>
  <c r="O19" i="4987"/>
  <c r="O16" i="4987"/>
  <c r="O20" i="4979"/>
  <c r="O18" i="4985" l="1"/>
  <c r="O17" i="4983"/>
  <c r="O17" i="4987"/>
  <c r="O18" i="4987"/>
  <c r="O15" i="4985" l="1"/>
  <c r="O15" i="4983"/>
  <c r="O20" i="4981"/>
  <c r="O21" i="4981"/>
  <c r="O17" i="4989"/>
  <c r="O18" i="4989"/>
  <c r="C27" i="4989"/>
  <c r="B24" i="4989"/>
  <c r="C20" i="4989"/>
  <c r="B17" i="4989"/>
  <c r="H51" i="4989" s="1"/>
  <c r="C16" i="4989"/>
  <c r="C15" i="4989"/>
  <c r="C14" i="4989"/>
  <c r="C13" i="4989"/>
  <c r="O12" i="4989"/>
  <c r="C12" i="4989"/>
  <c r="O11" i="4989"/>
  <c r="C11" i="4989"/>
  <c r="O10" i="4989"/>
  <c r="C10" i="4989"/>
  <c r="C9" i="4989"/>
  <c r="C8" i="4989"/>
  <c r="O7" i="4989"/>
  <c r="C7" i="4989"/>
  <c r="O6" i="4989"/>
  <c r="B6" i="4989"/>
  <c r="O5" i="4989"/>
  <c r="B5" i="4989"/>
  <c r="O4" i="4989"/>
  <c r="O3" i="4989"/>
  <c r="O2" i="4989"/>
  <c r="O20" i="4983"/>
  <c r="O19" i="4979"/>
  <c r="O17" i="4975"/>
  <c r="H3" i="4989" l="1"/>
  <c r="H4" i="4989"/>
  <c r="H40" i="4989"/>
  <c r="H13" i="4989"/>
  <c r="H2" i="4989"/>
  <c r="H7" i="4989"/>
  <c r="H26" i="4989"/>
  <c r="H32" i="4989"/>
  <c r="H48" i="4989"/>
  <c r="C17" i="4989"/>
  <c r="H10" i="4989"/>
  <c r="H44" i="4989"/>
  <c r="H8" i="4989"/>
  <c r="H6" i="4989"/>
  <c r="H14" i="4989"/>
  <c r="H18" i="4989"/>
  <c r="H22" i="4989"/>
  <c r="H9" i="4989"/>
  <c r="H17" i="4989"/>
  <c r="H24" i="4989"/>
  <c r="H27" i="4989"/>
  <c r="H36" i="4989"/>
  <c r="H5" i="4989"/>
  <c r="H19" i="4989"/>
  <c r="H21" i="4989"/>
  <c r="C18" i="4989"/>
  <c r="B23" i="4989"/>
  <c r="H28" i="4989"/>
  <c r="H30" i="4989"/>
  <c r="H33" i="4989"/>
  <c r="H37" i="4989"/>
  <c r="H41" i="4989"/>
  <c r="H45" i="4989"/>
  <c r="H49" i="4989"/>
  <c r="H23" i="4989"/>
  <c r="H25" i="4989"/>
  <c r="H16" i="4989"/>
  <c r="H29" i="4989"/>
  <c r="H12" i="4989"/>
  <c r="H34" i="4989"/>
  <c r="H38" i="4989"/>
  <c r="H42" i="4989"/>
  <c r="H46" i="4989"/>
  <c r="H50" i="4989"/>
  <c r="H15" i="4989"/>
  <c r="H20" i="4989"/>
  <c r="C19" i="4989"/>
  <c r="H11" i="4989"/>
  <c r="H31" i="4989"/>
  <c r="H35" i="4989"/>
  <c r="H39" i="4989"/>
  <c r="H43" i="4989"/>
  <c r="H47" i="4989"/>
  <c r="O17" i="4981" l="1"/>
  <c r="O20" i="4987"/>
  <c r="O15" i="4987"/>
  <c r="C27" i="4987"/>
  <c r="B24" i="4987"/>
  <c r="C20" i="4987"/>
  <c r="B17" i="4987"/>
  <c r="H6" i="4987" s="1"/>
  <c r="C16" i="4987"/>
  <c r="C15" i="4987"/>
  <c r="C14" i="4987"/>
  <c r="C13" i="4987"/>
  <c r="O12" i="4987"/>
  <c r="C12" i="4987"/>
  <c r="O11" i="4987"/>
  <c r="C11" i="4987"/>
  <c r="O10" i="4987"/>
  <c r="C10" i="4987"/>
  <c r="C9" i="4987"/>
  <c r="C8" i="4987"/>
  <c r="O7" i="4987"/>
  <c r="C7" i="4987"/>
  <c r="O6" i="4987"/>
  <c r="B6" i="4987"/>
  <c r="O5" i="4987"/>
  <c r="B5" i="4987"/>
  <c r="O4" i="4987"/>
  <c r="O3" i="4987"/>
  <c r="O2" i="4987"/>
  <c r="O19" i="4977"/>
  <c r="O18" i="4975"/>
  <c r="O20" i="4985"/>
  <c r="O17" i="4979"/>
  <c r="O18" i="4979"/>
  <c r="O19" i="4983"/>
  <c r="O19" i="4985"/>
  <c r="O21" i="4985"/>
  <c r="C27" i="4985"/>
  <c r="B24" i="4985"/>
  <c r="C20" i="4985"/>
  <c r="B17" i="4985"/>
  <c r="H5" i="4985" s="1"/>
  <c r="C16" i="4985"/>
  <c r="C15" i="4985"/>
  <c r="C14" i="4985"/>
  <c r="C13" i="4985"/>
  <c r="O12" i="4985"/>
  <c r="C12" i="4985"/>
  <c r="O11" i="4985"/>
  <c r="C11" i="4985"/>
  <c r="O10" i="4985"/>
  <c r="C10" i="4985"/>
  <c r="C9" i="4985"/>
  <c r="C8" i="4985"/>
  <c r="O7" i="4985"/>
  <c r="C7" i="4985"/>
  <c r="O6" i="4985"/>
  <c r="B6" i="4985"/>
  <c r="O5" i="4985"/>
  <c r="B5" i="4985"/>
  <c r="O4" i="4985"/>
  <c r="O3" i="4985"/>
  <c r="O2" i="4985"/>
  <c r="O21" i="4983"/>
  <c r="O18" i="4983"/>
  <c r="C27" i="4983"/>
  <c r="B24" i="4983"/>
  <c r="C20" i="4983"/>
  <c r="B17" i="4983"/>
  <c r="H5" i="4983" s="1"/>
  <c r="C16" i="4983"/>
  <c r="C15" i="4983"/>
  <c r="C14" i="4983"/>
  <c r="C13" i="4983"/>
  <c r="O12" i="4983"/>
  <c r="C12" i="4983"/>
  <c r="O11" i="4983"/>
  <c r="C11" i="4983"/>
  <c r="O10" i="4983"/>
  <c r="C10" i="4983"/>
  <c r="C9" i="4983"/>
  <c r="C8" i="4983"/>
  <c r="O7" i="4983"/>
  <c r="C7" i="4983"/>
  <c r="O6" i="4983"/>
  <c r="B6" i="4983"/>
  <c r="O5" i="4983"/>
  <c r="B5" i="4983"/>
  <c r="O4" i="4983"/>
  <c r="O3" i="4983"/>
  <c r="O2" i="4983"/>
  <c r="O20" i="4977"/>
  <c r="O23" i="4977"/>
  <c r="O21" i="4975"/>
  <c r="O20" i="4975"/>
  <c r="H4" i="4987" l="1"/>
  <c r="H10" i="4987"/>
  <c r="H2" i="4987"/>
  <c r="H3" i="4987"/>
  <c r="H19" i="4985"/>
  <c r="H22" i="4985"/>
  <c r="H7" i="4985"/>
  <c r="H11" i="4985"/>
  <c r="H2" i="4985"/>
  <c r="H8" i="4985"/>
  <c r="H4" i="4985"/>
  <c r="H16" i="4985"/>
  <c r="H2" i="4983"/>
  <c r="H4" i="4983"/>
  <c r="H3" i="4983"/>
  <c r="H10" i="4983"/>
  <c r="H29" i="4987"/>
  <c r="H38" i="4987"/>
  <c r="H9" i="4987"/>
  <c r="H23" i="4987"/>
  <c r="C17" i="4987"/>
  <c r="H14" i="4987"/>
  <c r="H42" i="4987"/>
  <c r="H20" i="4987"/>
  <c r="C18" i="4987"/>
  <c r="B23" i="4987"/>
  <c r="H31" i="4987"/>
  <c r="H46" i="4987"/>
  <c r="H21" i="4987"/>
  <c r="H11" i="4987"/>
  <c r="H5" i="4987"/>
  <c r="H12" i="4987"/>
  <c r="H7" i="4987"/>
  <c r="H15" i="4987"/>
  <c r="H22" i="4987"/>
  <c r="H16" i="4987"/>
  <c r="C19" i="4987"/>
  <c r="H34" i="4987"/>
  <c r="H50" i="4987"/>
  <c r="H24" i="4987"/>
  <c r="H26" i="4987"/>
  <c r="H28" i="4987"/>
  <c r="H30" i="4987"/>
  <c r="H18" i="4987"/>
  <c r="H35" i="4987"/>
  <c r="H39" i="4987"/>
  <c r="H43" i="4987"/>
  <c r="H47" i="4987"/>
  <c r="H51" i="4987"/>
  <c r="H32" i="4987"/>
  <c r="H36" i="4987"/>
  <c r="H40" i="4987"/>
  <c r="H44" i="4987"/>
  <c r="H48" i="4987"/>
  <c r="H19" i="4987"/>
  <c r="H17" i="4987"/>
  <c r="H25" i="4987"/>
  <c r="H27" i="4987"/>
  <c r="H13" i="4987"/>
  <c r="H8" i="4987"/>
  <c r="H33" i="4987"/>
  <c r="H37" i="4987"/>
  <c r="H41" i="4987"/>
  <c r="H45" i="4987"/>
  <c r="H49" i="4987"/>
  <c r="H3" i="4985"/>
  <c r="H21" i="4985"/>
  <c r="H23" i="4985"/>
  <c r="C19" i="4985"/>
  <c r="C17" i="4983"/>
  <c r="C17" i="4985"/>
  <c r="H12" i="4985"/>
  <c r="H9" i="4985"/>
  <c r="H6" i="4985"/>
  <c r="H14" i="4985"/>
  <c r="H20" i="4985"/>
  <c r="C18" i="4985"/>
  <c r="B23" i="4985"/>
  <c r="H28" i="4985"/>
  <c r="H30" i="4985"/>
  <c r="H33" i="4985"/>
  <c r="H37" i="4985"/>
  <c r="H41" i="4985"/>
  <c r="H45" i="4985"/>
  <c r="H49" i="4985"/>
  <c r="H24" i="4985"/>
  <c r="H25" i="4985"/>
  <c r="H27" i="4985"/>
  <c r="H29" i="4985"/>
  <c r="H18" i="4985"/>
  <c r="H34" i="4985"/>
  <c r="H38" i="4985"/>
  <c r="H42" i="4985"/>
  <c r="H46" i="4985"/>
  <c r="H50" i="4985"/>
  <c r="H31" i="4985"/>
  <c r="H35" i="4985"/>
  <c r="H39" i="4985"/>
  <c r="H43" i="4985"/>
  <c r="H47" i="4985"/>
  <c r="H51" i="4985"/>
  <c r="H17" i="4985"/>
  <c r="H13" i="4985"/>
  <c r="H26" i="4985"/>
  <c r="H15" i="4985"/>
  <c r="H10" i="4985"/>
  <c r="H32" i="4985"/>
  <c r="H36" i="4985"/>
  <c r="H40" i="4985"/>
  <c r="H44" i="4985"/>
  <c r="H48" i="4985"/>
  <c r="H6" i="4983"/>
  <c r="H20" i="4983"/>
  <c r="H22" i="4983"/>
  <c r="H15" i="4983"/>
  <c r="C18" i="4983"/>
  <c r="B23" i="4983"/>
  <c r="H29" i="4983"/>
  <c r="H31" i="4983"/>
  <c r="H34" i="4983"/>
  <c r="H38" i="4983"/>
  <c r="H42" i="4983"/>
  <c r="H46" i="4983"/>
  <c r="H50" i="4983"/>
  <c r="H25" i="4983"/>
  <c r="H26" i="4983"/>
  <c r="H28" i="4983"/>
  <c r="H30" i="4983"/>
  <c r="H32" i="4983"/>
  <c r="H35" i="4983"/>
  <c r="H39" i="4983"/>
  <c r="H43" i="4983"/>
  <c r="H47" i="4983"/>
  <c r="H51" i="4983"/>
  <c r="H8" i="4983"/>
  <c r="H16" i="4983"/>
  <c r="H23" i="4983"/>
  <c r="C19" i="4983"/>
  <c r="H14" i="4983"/>
  <c r="H17" i="4983"/>
  <c r="H36" i="4983"/>
  <c r="H40" i="4983"/>
  <c r="H44" i="4983"/>
  <c r="H48" i="4983"/>
  <c r="H18" i="4983"/>
  <c r="H9" i="4983"/>
  <c r="H7" i="4983"/>
  <c r="H13" i="4983"/>
  <c r="H21" i="4983"/>
  <c r="H24" i="4983"/>
  <c r="H19" i="4983"/>
  <c r="H27" i="4983"/>
  <c r="H12" i="4983"/>
  <c r="H11" i="4983"/>
  <c r="H33" i="4983"/>
  <c r="H37" i="4983"/>
  <c r="H41" i="4983"/>
  <c r="H45" i="4983"/>
  <c r="H49" i="4983"/>
  <c r="O16" i="4981" l="1"/>
  <c r="O18" i="4981"/>
  <c r="C27" i="4981"/>
  <c r="B24" i="4981"/>
  <c r="C20" i="4981"/>
  <c r="B17" i="4981"/>
  <c r="H6" i="4981" s="1"/>
  <c r="C16" i="4981"/>
  <c r="C15" i="4981"/>
  <c r="C14" i="4981"/>
  <c r="C13" i="4981"/>
  <c r="O12" i="4981"/>
  <c r="C12" i="4981"/>
  <c r="O11" i="4981"/>
  <c r="C11" i="4981"/>
  <c r="O10" i="4981"/>
  <c r="C10" i="4981"/>
  <c r="C9" i="4981"/>
  <c r="C8" i="4981"/>
  <c r="O7" i="4981"/>
  <c r="C7" i="4981"/>
  <c r="O6" i="4981"/>
  <c r="B6" i="4981"/>
  <c r="O5" i="4981"/>
  <c r="B5" i="4981"/>
  <c r="O4" i="4981"/>
  <c r="O3" i="4981"/>
  <c r="O2" i="4981"/>
  <c r="O21" i="4979"/>
  <c r="O16" i="4979"/>
  <c r="C27" i="4979"/>
  <c r="B24" i="4979"/>
  <c r="C20" i="4979"/>
  <c r="B17" i="4979"/>
  <c r="H5" i="4979" s="1"/>
  <c r="C16" i="4979"/>
  <c r="C15" i="4979"/>
  <c r="C14" i="4979"/>
  <c r="C13" i="4979"/>
  <c r="O12" i="4979"/>
  <c r="C12" i="4979"/>
  <c r="O11" i="4979"/>
  <c r="C11" i="4979"/>
  <c r="O10" i="4979"/>
  <c r="C10" i="4979"/>
  <c r="C9" i="4979"/>
  <c r="C8" i="4979"/>
  <c r="O7" i="4979"/>
  <c r="C7" i="4979"/>
  <c r="O6" i="4979"/>
  <c r="B6" i="4979"/>
  <c r="O5" i="4979"/>
  <c r="B5" i="4979"/>
  <c r="O4" i="4979"/>
  <c r="O3" i="4979"/>
  <c r="O2" i="4979"/>
  <c r="O24" i="4975"/>
  <c r="O16" i="4977"/>
  <c r="O21" i="4977"/>
  <c r="C27" i="4977"/>
  <c r="B24" i="4977"/>
  <c r="C20" i="4977"/>
  <c r="B17" i="4977"/>
  <c r="H5" i="4977" s="1"/>
  <c r="C16" i="4977"/>
  <c r="C15" i="4977"/>
  <c r="C14" i="4977"/>
  <c r="C13" i="4977"/>
  <c r="O12" i="4977"/>
  <c r="C12" i="4977"/>
  <c r="O11" i="4977"/>
  <c r="C11" i="4977"/>
  <c r="O10" i="4977"/>
  <c r="C10" i="4977"/>
  <c r="C9" i="4977"/>
  <c r="C8" i="4977"/>
  <c r="O7" i="4977"/>
  <c r="C7" i="4977"/>
  <c r="O6" i="4977"/>
  <c r="B6" i="4977"/>
  <c r="O5" i="4977"/>
  <c r="B5" i="4977"/>
  <c r="O4" i="4977"/>
  <c r="O3" i="4977"/>
  <c r="O2" i="4977"/>
  <c r="O15" i="4975"/>
  <c r="O19" i="4975"/>
  <c r="C27" i="4975"/>
  <c r="B24" i="4975"/>
  <c r="C20" i="4975"/>
  <c r="B17" i="4975"/>
  <c r="H5" i="4975" s="1"/>
  <c r="C16" i="4975"/>
  <c r="C15" i="4975"/>
  <c r="C14" i="4975"/>
  <c r="C13" i="4975"/>
  <c r="O12" i="4975"/>
  <c r="C12" i="4975"/>
  <c r="O11" i="4975"/>
  <c r="C11" i="4975"/>
  <c r="O10" i="4975"/>
  <c r="C10" i="4975"/>
  <c r="C9" i="4975"/>
  <c r="C8" i="4975"/>
  <c r="O7" i="4975"/>
  <c r="C7" i="4975"/>
  <c r="O6" i="4975"/>
  <c r="B6" i="4975"/>
  <c r="O5" i="4975"/>
  <c r="B5" i="4975"/>
  <c r="O4" i="4975"/>
  <c r="O3" i="4975"/>
  <c r="O2" i="4975"/>
  <c r="H10" i="4981" l="1"/>
  <c r="H17" i="4981"/>
  <c r="H14" i="4981"/>
  <c r="H4" i="4981"/>
  <c r="H12" i="4981"/>
  <c r="H5" i="4981"/>
  <c r="H18" i="4981"/>
  <c r="H3" i="4981"/>
  <c r="H7" i="4981"/>
  <c r="C19" i="4981"/>
  <c r="H20" i="4981"/>
  <c r="H2" i="4981"/>
  <c r="H8" i="4981"/>
  <c r="H9" i="4981"/>
  <c r="H19" i="4981"/>
  <c r="H29" i="4977"/>
  <c r="H11" i="4977"/>
  <c r="H6" i="4977"/>
  <c r="H17" i="4977"/>
  <c r="H21" i="4981"/>
  <c r="C17" i="4981"/>
  <c r="C18" i="4981"/>
  <c r="B23" i="4981"/>
  <c r="H28" i="4981"/>
  <c r="H29" i="4981"/>
  <c r="H33" i="4981"/>
  <c r="H37" i="4981"/>
  <c r="H41" i="4981"/>
  <c r="H45" i="4981"/>
  <c r="H49" i="4981"/>
  <c r="H23" i="4981"/>
  <c r="H25" i="4981"/>
  <c r="H27" i="4981"/>
  <c r="H16" i="4981"/>
  <c r="H30" i="4981"/>
  <c r="H34" i="4981"/>
  <c r="H38" i="4981"/>
  <c r="H42" i="4981"/>
  <c r="H46" i="4981"/>
  <c r="H50" i="4981"/>
  <c r="H15" i="4981"/>
  <c r="H31" i="4981"/>
  <c r="H35" i="4981"/>
  <c r="H39" i="4981"/>
  <c r="H43" i="4981"/>
  <c r="H47" i="4981"/>
  <c r="H51" i="4981"/>
  <c r="H22" i="4981"/>
  <c r="H24" i="4981"/>
  <c r="H26" i="4981"/>
  <c r="H13" i="4981"/>
  <c r="H11" i="4981"/>
  <c r="H32" i="4981"/>
  <c r="H36" i="4981"/>
  <c r="H40" i="4981"/>
  <c r="H44" i="4981"/>
  <c r="H48" i="4981"/>
  <c r="H10" i="4979"/>
  <c r="H3" i="4979"/>
  <c r="H2" i="4979"/>
  <c r="H4" i="4979"/>
  <c r="H38" i="4979"/>
  <c r="H8" i="4979"/>
  <c r="H19" i="4979"/>
  <c r="H23" i="4979"/>
  <c r="H15" i="4979"/>
  <c r="H42" i="4979"/>
  <c r="H31" i="4979"/>
  <c r="C17" i="4979"/>
  <c r="H9" i="4979"/>
  <c r="H7" i="4979"/>
  <c r="H14" i="4979"/>
  <c r="H18" i="4979"/>
  <c r="C18" i="4979"/>
  <c r="B23" i="4979"/>
  <c r="H32" i="4979"/>
  <c r="H46" i="4979"/>
  <c r="H6" i="4979"/>
  <c r="H22" i="4979"/>
  <c r="H27" i="4979"/>
  <c r="H20" i="4979"/>
  <c r="C19" i="4979"/>
  <c r="H34" i="4979"/>
  <c r="H50" i="4979"/>
  <c r="H28" i="4979"/>
  <c r="H29" i="4979"/>
  <c r="H30" i="4979"/>
  <c r="H25" i="4979"/>
  <c r="H16" i="4979"/>
  <c r="H35" i="4979"/>
  <c r="H39" i="4979"/>
  <c r="H43" i="4979"/>
  <c r="H47" i="4979"/>
  <c r="H51" i="4979"/>
  <c r="H26" i="4979"/>
  <c r="H36" i="4979"/>
  <c r="H40" i="4979"/>
  <c r="H44" i="4979"/>
  <c r="H48" i="4979"/>
  <c r="H17" i="4979"/>
  <c r="H21" i="4979"/>
  <c r="H13" i="4979"/>
  <c r="H24" i="4979"/>
  <c r="H12" i="4979"/>
  <c r="H11" i="4979"/>
  <c r="H33" i="4979"/>
  <c r="H37" i="4979"/>
  <c r="H41" i="4979"/>
  <c r="H45" i="4979"/>
  <c r="H49" i="4979"/>
  <c r="H11" i="4975"/>
  <c r="H4" i="4975"/>
  <c r="H2" i="4977"/>
  <c r="H19" i="4977"/>
  <c r="C19" i="4977"/>
  <c r="H35" i="4977"/>
  <c r="H4" i="4977"/>
  <c r="H3" i="4977"/>
  <c r="H20" i="4977"/>
  <c r="H50" i="4977"/>
  <c r="H23" i="4977"/>
  <c r="H38" i="4977"/>
  <c r="H8" i="4977"/>
  <c r="H21" i="4977"/>
  <c r="C17" i="4977"/>
  <c r="H14" i="4977"/>
  <c r="H42" i="4977"/>
  <c r="H10" i="4977"/>
  <c r="H7" i="4977"/>
  <c r="H13" i="4977"/>
  <c r="H28" i="4977"/>
  <c r="C18" i="4977"/>
  <c r="B23" i="4977"/>
  <c r="H24" i="4977"/>
  <c r="H46" i="4977"/>
  <c r="H30" i="4977"/>
  <c r="H31" i="4977"/>
  <c r="H33" i="4977"/>
  <c r="H34" i="4977"/>
  <c r="H18" i="4977"/>
  <c r="H27" i="4977"/>
  <c r="H39" i="4977"/>
  <c r="H43" i="4977"/>
  <c r="H47" i="4977"/>
  <c r="H51" i="4977"/>
  <c r="H25" i="4977"/>
  <c r="H36" i="4977"/>
  <c r="H40" i="4977"/>
  <c r="H44" i="4977"/>
  <c r="H48" i="4977"/>
  <c r="H16" i="4977"/>
  <c r="H22" i="4977"/>
  <c r="H15" i="4977"/>
  <c r="H32" i="4977"/>
  <c r="H12" i="4977"/>
  <c r="H9" i="4977"/>
  <c r="H26" i="4977"/>
  <c r="H37" i="4977"/>
  <c r="H41" i="4977"/>
  <c r="H45" i="4977"/>
  <c r="H49" i="4977"/>
  <c r="H2" i="4975"/>
  <c r="H3" i="4975"/>
  <c r="C17" i="4975"/>
  <c r="H14" i="4975"/>
  <c r="H10" i="4975"/>
  <c r="H6" i="4975"/>
  <c r="H13" i="4975"/>
  <c r="H23" i="4975"/>
  <c r="C18" i="4975"/>
  <c r="H8" i="4975"/>
  <c r="H19" i="4975"/>
  <c r="H24" i="4975"/>
  <c r="H7" i="4975"/>
  <c r="H21" i="4975"/>
  <c r="H32" i="4975"/>
  <c r="H16" i="4975"/>
  <c r="C19" i="4975"/>
  <c r="B23" i="4975"/>
  <c r="H28" i="4975"/>
  <c r="H29" i="4975"/>
  <c r="H35" i="4975"/>
  <c r="H38" i="4975"/>
  <c r="H42" i="4975"/>
  <c r="H46" i="4975"/>
  <c r="H50" i="4975"/>
  <c r="H33" i="4975"/>
  <c r="H34" i="4975"/>
  <c r="H27" i="4975"/>
  <c r="H25" i="4975"/>
  <c r="H17" i="4975"/>
  <c r="H31" i="4975"/>
  <c r="H39" i="4975"/>
  <c r="H43" i="4975"/>
  <c r="H47" i="4975"/>
  <c r="H51" i="4975"/>
  <c r="H22" i="4975"/>
  <c r="H36" i="4975"/>
  <c r="H40" i="4975"/>
  <c r="H44" i="4975"/>
  <c r="H48" i="4975"/>
  <c r="H18" i="4975"/>
  <c r="H20" i="4975"/>
  <c r="H15" i="4975"/>
  <c r="H26" i="4975"/>
  <c r="H12" i="4975"/>
  <c r="H9" i="4975"/>
  <c r="H30" i="4975"/>
  <c r="H37" i="4975"/>
  <c r="H41" i="4975"/>
  <c r="H45" i="4975"/>
  <c r="H49" i="4975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51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<sst xmlns="http://schemas.openxmlformats.org/spreadsheetml/2006/main" count="2682" uniqueCount="211">
  <si>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</si>
  <si>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</si>
  <si>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</si>
  <si>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</si>
  <si>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</si>
  <si>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</si>
  <si>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</si>
  <si>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</si>
  <si>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</si>
  <si>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</si>
  <si>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</si>
  <si>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</si>
  <si>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</si>
  <si>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</si>
  <si>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</si>
  <si>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</si>
  <si>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</si>
  <si>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</si>
  <si>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</si>
  <si>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</si>
  <si>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</si>
  <si>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</si>
  <si>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</si>
  <si>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</si>
  <si>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</si>
  <si>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</si>
  <si>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</si>
  <si>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</si>
  <si>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</si>
  <si>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</si>
  <si>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</si>
  <si>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</si>
  <si>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</si>
  <si>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</si>
  <si>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</si>
  <si>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</si>
  <si>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</si>
  <si>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</si>
  <si>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</si>
  <si>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</si>
  <si>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</si>
  <si>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</si>
  <si>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</si>
  <si>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</si>
  <si>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</si>
  <si>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</si>
  <si>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</si>
  <si>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</si>
  <si>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</si>
  <si>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</si>
  <si>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</si>
  <si>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</si>
  <si>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</si>
  <si>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</si>
  <si>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</si>
  <si>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</si>
  <si>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</si>
  <si>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</si>
  <si>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</si>
  <si>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</si>
  <si>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</si>
  <si>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</si>
  <si>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</si>
  <si>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</si>
  <si>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</si>
  <si>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</si>
  <si>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</si>
  <si>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</si>
  <si>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</si>
  <si>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</si>
  <si>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</si>
  <si>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</si>
  <si>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</si>
  <si>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</si>
  <si>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</si>
  <si>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</si>
  <si>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</si>
  <si>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</si>
  <si>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</si>
  <si>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</si>
  <si>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</si>
  <si>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</si>
  <si>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</si>
  <si>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</si>
  <si>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</si>
  <si>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</si>
  <si>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</si>
  <si>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</si>
  <si>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</si>
  <si>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</si>
  <si>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</si>
  <si>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</si>
  <si>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</si>
  <si>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</si>
  <si>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</si>
  <si>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</si>
  <si>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</si>
  <si>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</si>
  <si>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</si>
  <si>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</si>
  <si>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</si>
  <si>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</si>
  <si>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</si>
  <si>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</si>
  <si>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</si>
  <si>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</si>
  <si>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</si>
  <si>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</si>
  <si>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</si>
  <si>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</si>
  <si>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</si>
  <si>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</si>
  <si>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</si>
  <si>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</si>
  <si>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</si>
  <si>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</si>
  <si>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</si>
  <si>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</si>
  <si>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</si>
  <si>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</si>
  <si>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</si>
  <si>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</si>
  <si>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</si>
  <si>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</si>
  <si>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</si>
  <si>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</si>
  <si>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</si>
  <si>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</si>
  <si>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</si>
  <si>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</si>
  <si>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</si>
  <si>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</si>
  <si>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</si>
  <si>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</si>
  <si>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</si>
  <si>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</si>
  <si>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</si>
  <si>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</si>
  <si>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</si>
  <si>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</si>
  <si>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</si>
  <si>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</si>
  <si>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</si>
  <si>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</si>
  <si>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</si>
  <si>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</si>
  <si>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</si>
  <si>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</si>
  <si>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</si>
  <si>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</si>
  <si>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</si>
  <si>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</si>
  <si>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</si>
  <si>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</si>
  <si>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</si>
  <si>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</si>
  <si>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</si>
  <si>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</si>
  <si>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</si>
  <si>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</si>
  <si>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</si>
  <si>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</si>
  <si>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</si>
  <si>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</si>
  <si>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</si>
  <si>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</si>
  <si>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</si>
  <si>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</si>
  <si>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</si>
  <si>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</si>
  <si>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</si>
  <si>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</si>
  <si>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</si>
  <si>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</si>
  <si>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</si>
  <si>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</si>
  <si>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</si>
  <si>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</si>
  <si>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</si>
  <si>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</si>
  <si>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</si>
  <si>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52</t>
    <phoneticPr fontId="1"/>
  </si>
  <si>
    <t>赤ドラ</t>
    <rPh sb="0" eb="1">
      <t>アカ</t>
    </rPh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</si>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</sst>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0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chartsheet" Target="chartsheets/sheet16.xml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全体!$K$2:$K$308</c:f>
              <c:numCache>
                <c:formatCode>General</c:formatCode>
                <c:ptCount val="3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</c:numCache>
            </c:numRef>
          </c:xVal>
          <c:yVal>
            <c:numRef>
              <c:f>全体!$L$2:$L$308</c:f>
              <c:numCache>
                <c:formatCode>\+0.0;\-0.0;\±0</c:formatCode>
                <c:ptCount val="307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0E-44C5-872F-D26B2C72C5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-16.33986928104575</c:v>
                </c:pt>
                <c:pt idx="1">
                  <c:v>-13.201320132013201</c:v>
                </c:pt>
                <c:pt idx="2">
                  <c:v>17.921146953405017</c:v>
                </c:pt>
                <c:pt idx="3">
                  <c:v>11.627906976744185</c:v>
                </c:pt>
                <c:pt idx="4">
                  <c:v>-21.09704641350211</c:v>
                </c:pt>
                <c:pt idx="5">
                  <c:v>27.397260273972602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66-422B-B9F3-AACB561C3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だいち!$K$2:$K$73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</c:numCache>
            </c:numRef>
          </c:xVal>
          <c:yVal>
            <c:numRef>
              <c:f>だいち!$L$2:$L$73</c:f>
              <c:numCache>
                <c:formatCode>\+0.0;\-0.0;\±0</c:formatCode>
                <c:ptCount val="72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64-4C3B-9CCF-0D74E4D524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2756.3380281690143</c:v>
                </c:pt>
                <c:pt idx="1">
                  <c:v>2900</c:v>
                </c:pt>
                <c:pt idx="2">
                  <c:v>3387.878787878788</c:v>
                </c:pt>
                <c:pt idx="3">
                  <c:v>4230.5084745762715</c:v>
                </c:pt>
                <c:pt idx="4">
                  <c:v>603.77358490566041</c:v>
                </c:pt>
                <c:pt idx="5">
                  <c:v>1544.8979591836735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E0-4BE9-9C9E-302281A571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りくと!$K$2:$K$75</c:f>
              <c:numCache>
                <c:formatCode>General</c:formatCode>
                <c:ptCount val="7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</c:numCache>
            </c:numRef>
          </c:xVal>
          <c:yVal>
            <c:numRef>
              <c:f>りくと!$L$2:$L$75</c:f>
              <c:numCache>
                <c:formatCode>\+0.0;\-0.0;\±0</c:formatCode>
                <c:ptCount val="74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FF-4475-8379-11B977829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1172.6027397260275</c:v>
                </c:pt>
                <c:pt idx="1">
                  <c:v>-1784.7222222222222</c:v>
                </c:pt>
                <c:pt idx="2">
                  <c:v>-1837.6811594202898</c:v>
                </c:pt>
                <c:pt idx="3">
                  <c:v>438.09523809523807</c:v>
                </c:pt>
                <c:pt idx="4">
                  <c:v>806.89655172413791</c:v>
                </c:pt>
                <c:pt idx="5">
                  <c:v>435.18518518518516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5C-4AB9-8F63-B00EA4F55F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ただ!$L$2:$L$30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61-4C5A-B264-00C5751618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-3264.2857142857142</c:v>
                </c:pt>
                <c:pt idx="1">
                  <c:v>-4703.5714285714284</c:v>
                </c:pt>
                <c:pt idx="2">
                  <c:v>-3648</c:v>
                </c:pt>
                <c:pt idx="3">
                  <c:v>-7163.636363636364</c:v>
                </c:pt>
                <c:pt idx="4">
                  <c:v>-3610</c:v>
                </c:pt>
                <c:pt idx="5">
                  <c:v>-2531.5789473684213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1-4F44-AF24-3DE0CC93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れんたろう!$L$2:$L$41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C7-4653-96E9-36EB523C62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-505.12820512820514</c:v>
                </c:pt>
                <c:pt idx="1">
                  <c:v>676.92307692307691</c:v>
                </c:pt>
                <c:pt idx="2">
                  <c:v>1058.3333333333333</c:v>
                </c:pt>
                <c:pt idx="3">
                  <c:v>-324.24242424242425</c:v>
                </c:pt>
                <c:pt idx="4">
                  <c:v>-970</c:v>
                </c:pt>
                <c:pt idx="5">
                  <c:v>242.85714285714286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A4-4AF6-8E30-7582B5E84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たかの!$K$2:$K$37</c:f>
              <c:numCache>
                <c:formatCode>General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たかの!$L$2:$L$37</c:f>
              <c:numCache>
                <c:formatCode>\+0.0;\-0.0;\±0</c:formatCode>
                <c:ptCount val="36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DB-4819-9704-5701CDA3C9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1657.1428571428571</c:v>
                </c:pt>
                <c:pt idx="1">
                  <c:v>145.71428571428572</c:v>
                </c:pt>
                <c:pt idx="2">
                  <c:v>724.13793103448279</c:v>
                </c:pt>
                <c:pt idx="3">
                  <c:v>396.42857142857144</c:v>
                </c:pt>
                <c:pt idx="4">
                  <c:v>-1233.3333333333333</c:v>
                </c:pt>
                <c:pt idx="5">
                  <c:v>-1673.9130434782608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BB-4CD1-A0E1-774FC0895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ぱぱ!$L$2:$L$31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61-4E05-8721-EF915A53C5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-3220.6896551724139</c:v>
                </c:pt>
                <c:pt idx="1">
                  <c:v>1672.4137931034484</c:v>
                </c:pt>
                <c:pt idx="2">
                  <c:v>-1880.7692307692307</c:v>
                </c:pt>
                <c:pt idx="3">
                  <c:v>-3564</c:v>
                </c:pt>
                <c:pt idx="4">
                  <c:v>1747.8260869565217</c:v>
                </c:pt>
                <c:pt idx="5">
                  <c:v>-61.904761904761905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54-4EEC-B88E-C8630B615A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まっつん!$K$2:$K$19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まっつん!$L$2:$L$19</c:f>
              <c:numCache>
                <c:formatCode>\+0.0;\-0.0;\±0</c:formatCode>
                <c:ptCount val="18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12-49C6-8729-FF375865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-5794.1176470588234</c:v>
                </c:pt>
                <c:pt idx="1">
                  <c:v>-1168.75</c:v>
                </c:pt>
                <c:pt idx="2">
                  <c:v>421.42857142857144</c:v>
                </c:pt>
                <c:pt idx="3">
                  <c:v>26.666666666666668</c:v>
                </c:pt>
                <c:pt idx="4">
                  <c:v>-414.28571428571428</c:v>
                </c:pt>
                <c:pt idx="5">
                  <c:v>2130.7692307692309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50-49B0-8043-2FED626582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02-49AE-AA25-10DF922CC9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B6-4710-9CB3-E61B67700A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7C-4FCF-A74D-769A097982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-3742.8571428571427</c:v>
                </c:pt>
                <c:pt idx="1">
                  <c:v>-4085.7142857142858</c:v>
                </c:pt>
                <c:pt idx="2">
                  <c:v>128.57142857142858</c:v>
                </c:pt>
                <c:pt idx="3">
                  <c:v>-7000</c:v>
                </c:pt>
                <c:pt idx="4">
                  <c:v>-2950</c:v>
                </c:pt>
                <c:pt idx="5">
                  <c:v>-4100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D3-4C48-96B1-4396D22EFE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95-4253-B7D8-B752C2B353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-6025</c:v>
                </c:pt>
                <c:pt idx="1">
                  <c:v>3450</c:v>
                </c:pt>
                <c:pt idx="2">
                  <c:v>-3650</c:v>
                </c:pt>
                <c:pt idx="3">
                  <c:v>-1250</c:v>
                </c:pt>
                <c:pt idx="4">
                  <c:v>11266.666666666666</c:v>
                </c:pt>
                <c:pt idx="5">
                  <c:v>-1500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A7-4C6B-8365-83DE8B9CCB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ほたに2!$B$1:$B$2</c:f>
              <c:strCache>
                <c:ptCount val="2"/>
                <c:pt idx="0">
                  <c:v>ほたに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ほたに2!$B$3:$B$7</c:f>
              <c:numCache>
                <c:formatCode>\+0.0;\-0.0;\±0</c:formatCode>
                <c:ptCount val="5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ほたに2!$C$1:$C$2</c:f>
              <c:strCache>
                <c:ptCount val="2"/>
                <c:pt idx="0">
                  <c:v>ほたに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ほたに2!$C$3:$C$7</c:f>
              <c:numCache>
                <c:formatCode>\+0.0;\-0.0;\±0</c:formatCode>
                <c:ptCount val="5"/>
                <c:pt idx="1">
                  <c:v>-12.5</c:v>
                </c:pt>
                <c:pt idx="2">
                  <c:v>-14.05</c:v>
                </c:pt>
                <c:pt idx="3">
                  <c:v>-6.8000000000000007</c:v>
                </c:pt>
                <c:pt idx="4">
                  <c:v>4.8499999999999988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ほたに2!$D$1:$D$2</c:f>
              <c:strCache>
                <c:ptCount val="2"/>
                <c:pt idx="0">
                  <c:v>ほたに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ほたに2!$D$3:$D$7</c:f>
              <c:numCache>
                <c:formatCode>0.00\ "位"</c:formatCode>
                <c:ptCount val="5"/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1.75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ほたに2!$E$1:$E$2</c:f>
              <c:strCache>
                <c:ptCount val="2"/>
                <c:pt idx="0">
                  <c:v>ほたに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ほたに2!$E$3:$E$7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ほたに2!$F$1:$F$2</c:f>
              <c:strCache>
                <c:ptCount val="2"/>
                <c:pt idx="0">
                  <c:v>ほたに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ほたに2!$F$3:$F$7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ほたに2!$G$1:$G$2</c:f>
              <c:strCache>
                <c:ptCount val="2"/>
                <c:pt idx="0">
                  <c:v>ほたに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ほたに2!$G$3:$G$7</c:f>
              <c:numCache>
                <c:formatCode>0.0%</c:formatCode>
                <c:ptCount val="5"/>
                <c:pt idx="1">
                  <c:v>0.18181818181818182</c:v>
                </c:pt>
                <c:pt idx="2">
                  <c:v>0.17647058823529413</c:v>
                </c:pt>
                <c:pt idx="3">
                  <c:v>0.17857142857142858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0249110320284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ほたに2!$H$1:$H$2</c:f>
              <c:strCache>
                <c:ptCount val="2"/>
                <c:pt idx="0">
                  <c:v>ほたに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ほたに2!$H$3:$H$7</c:f>
              <c:numCache>
                <c:formatCode>0.0%</c:formatCode>
                <c:ptCount val="5"/>
                <c:pt idx="1">
                  <c:v>0.18181818181818182</c:v>
                </c:pt>
                <c:pt idx="2">
                  <c:v>0.17647058823529413</c:v>
                </c:pt>
                <c:pt idx="3">
                  <c:v>0.17857142857142858</c:v>
                </c:pt>
                <c:pt idx="4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71609331751680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ほたに2!$I$1:$I$2</c:f>
              <c:strCache>
                <c:ptCount val="2"/>
                <c:pt idx="0">
                  <c:v>ほたに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ほたに2!$I$3:$I$7</c:f>
              <c:numCache>
                <c:formatCode>0</c:formatCode>
                <c:ptCount val="5"/>
                <c:pt idx="1">
                  <c:v>12000</c:v>
                </c:pt>
                <c:pt idx="2">
                  <c:v>10566.666666666666</c:v>
                </c:pt>
                <c:pt idx="3">
                  <c:v>12340</c:v>
                </c:pt>
                <c:pt idx="4">
                  <c:v>9555.5555555555547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341.04575163398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ほたに2!$J$1:$J$2</c:f>
              <c:strCache>
                <c:ptCount val="2"/>
                <c:pt idx="0">
                  <c:v>ほたに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ほたに2!$J$3:$J$7</c:f>
              <c:numCache>
                <c:formatCode>0</c:formatCode>
                <c:ptCount val="5"/>
                <c:pt idx="1">
                  <c:v>-3250</c:v>
                </c:pt>
                <c:pt idx="2">
                  <c:v>-6166.666666666667</c:v>
                </c:pt>
                <c:pt idx="3">
                  <c:v>-5880</c:v>
                </c:pt>
                <c:pt idx="4">
                  <c:v>-5866.666666666667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011.981566820276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ほたに2!$K$1:$K$2</c:f>
              <c:strCache>
                <c:ptCount val="2"/>
                <c:pt idx="0">
                  <c:v>ほたに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ほたに2!$K$3:$K$7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1307189542483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ほたに2!$L$1:$L$2</c:f>
              <c:strCache>
                <c:ptCount val="2"/>
                <c:pt idx="0">
                  <c:v>ほたに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ほたに2!$L$3:$L$7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1307189542483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ほたに2!$M$1:$M$2</c:f>
              <c:strCache>
                <c:ptCount val="2"/>
                <c:pt idx="0">
                  <c:v>ほたに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ほたに2!$M$3:$M$7</c:f>
              <c:numCache>
                <c:formatCode>0.0%</c:formatCode>
                <c:ptCount val="5"/>
                <c:pt idx="1">
                  <c:v>0.18181818181818182</c:v>
                </c:pt>
                <c:pt idx="2">
                  <c:v>0.17647058823529413</c:v>
                </c:pt>
                <c:pt idx="3">
                  <c:v>0.17857142857142858</c:v>
                </c:pt>
                <c:pt idx="4">
                  <c:v>0.30555555555555558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645314353499406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ほたに2!$N$1:$N$2</c:f>
              <c:strCache>
                <c:ptCount val="2"/>
                <c:pt idx="0">
                  <c:v>ほたに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ほたに2!$N$3:$N$7</c:f>
              <c:numCache>
                <c:formatCode>0.0%</c:formatCode>
                <c:ptCount val="5"/>
                <c:pt idx="1">
                  <c:v>0.18181818181818182</c:v>
                </c:pt>
                <c:pt idx="2">
                  <c:v>0.35294117647058826</c:v>
                </c:pt>
                <c:pt idx="3">
                  <c:v>0.32142857142857145</c:v>
                </c:pt>
                <c:pt idx="4">
                  <c:v>0.27777777777777779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94543297746144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ほたに2!$O$1:$O$2</c:f>
              <c:strCache>
                <c:ptCount val="2"/>
                <c:pt idx="0">
                  <c:v>ほたに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ほたに2!$O$3:$O$7</c:f>
              <c:numCache>
                <c:formatCode>0.0%</c:formatCode>
                <c:ptCount val="5"/>
                <c:pt idx="1">
                  <c:v>0.5</c:v>
                </c:pt>
                <c:pt idx="2">
                  <c:v>0.33333333333333331</c:v>
                </c:pt>
                <c:pt idx="3">
                  <c:v>0.4</c:v>
                </c:pt>
                <c:pt idx="4">
                  <c:v>0.54545454545454541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949177877428998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ほたに2!$P$1:$P$2</c:f>
              <c:strCache>
                <c:ptCount val="2"/>
                <c:pt idx="0">
                  <c:v>ほたに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ほたに2!$P$3:$P$7</c:f>
              <c:numCache>
                <c:formatCode>0.0%</c:formatCode>
                <c:ptCount val="5"/>
                <c:pt idx="1">
                  <c:v>0.5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801801801801801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ほたに2!$Q$1:$Q$2</c:f>
              <c:strCache>
                <c:ptCount val="2"/>
                <c:pt idx="0">
                  <c:v>ほたに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ほたに2!$Q$3:$Q$7</c:f>
              <c:numCache>
                <c:formatCode>0.0%</c:formatCode>
                <c:ptCount val="5"/>
                <c:pt idx="1">
                  <c:v>0.5</c:v>
                </c:pt>
                <c:pt idx="2">
                  <c:v>0.66666666666666663</c:v>
                </c:pt>
                <c:pt idx="3">
                  <c:v>0.6</c:v>
                </c:pt>
                <c:pt idx="4">
                  <c:v>0.66666666666666663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35294117647058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4"/>
      <c r="C1" s="145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46">
        <v>0</v>
      </c>
      <c r="C2" s="147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48">
        <v>0</v>
      </c>
      <c r="C3" s="149"/>
      <c r="E3" s="63" t="s">
        <v>66</v>
      </c>
      <c r="F3" s="28" t="s">
        <v>22</v>
      </c>
      <c r="G3" s="15">
        <v>0</v>
      </c>
      <c r="H3" s="133">
        <f t="shared" ref="H3:H51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0">
        <v>0</v>
      </c>
      <c r="C4" s="151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2">
        <f>IF(B$2=0,0,B$4/B$2)</f>
        <v>0</v>
      </c>
      <c r="C5" s="153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2">
        <f>IF(B$2=0,0,(B$7*1+B$8*2+B$9*3)/B$2)</f>
        <v>0</v>
      </c>
      <c r="C6" s="143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193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194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0">
        <v>0</v>
      </c>
      <c r="C25" s="141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38">
        <v>0</v>
      </c>
      <c r="C26" s="139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183</v>
      </c>
      <c r="G50" s="47">
        <v>0</v>
      </c>
      <c r="H50" s="133">
        <f t="shared" si="1"/>
        <v>0</v>
      </c>
      <c r="I50" s="94"/>
    </row>
    <row r="51" spans="5:9" x14ac:dyDescent="0.4">
      <c r="E51" s="64" t="s">
        <v>181</v>
      </c>
      <c r="F51" s="61" t="s">
        <v>182</v>
      </c>
      <c r="G51" s="49">
        <v>0</v>
      </c>
      <c r="H51" s="134">
        <f t="shared" si="1"/>
        <v>0</v>
      </c>
      <c r="I51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J25"/>
  <sheetViews>
    <sheetView workbookViewId="0"/>
  </sheetViews>
  <sheetFormatPr defaultColWidth="9" defaultRowHeight="18.75" x14ac:dyDescent="0.4"/>
  <cols>
    <col min="1" max="1" width="16.375" style="30" bestFit="1" customWidth="1"/>
    <col min="2" max="2" width="16.875" style="31" bestFit="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43555.865243055552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43557.861886574072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43559.023634259262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43560.077002314814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43561.108229166668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184</v>
      </c>
      <c r="B7" s="31">
        <v>43562.38486111111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187</v>
      </c>
      <c r="I7" s="30" t="s">
        <v>188</v>
      </c>
      <c r="J7" s="30" t="s">
        <v>189</v>
      </c>
    </row>
    <row r="8" spans="1:10" x14ac:dyDescent="0.4">
      <c r="A8" s="30" t="s">
        <v>190</v>
      </c>
      <c r="B8" s="31">
        <v>43566.4999537037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187</v>
      </c>
      <c r="I8" s="30" t="s">
        <v>188</v>
      </c>
    </row>
    <row r="9" spans="1:10" x14ac:dyDescent="0.4">
      <c r="A9" s="30" t="s">
        <v>191</v>
      </c>
      <c r="B9" s="31">
        <v>43564.018368055556</v>
      </c>
      <c r="C9" s="30" t="s">
        <v>130</v>
      </c>
      <c r="D9" s="30" t="s">
        <v>131</v>
      </c>
    </row>
    <row r="10" spans="1:10" x14ac:dyDescent="0.4">
      <c r="A10" s="30" t="s">
        <v>192</v>
      </c>
      <c r="B10" s="31">
        <v>43565.03292824074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195</v>
      </c>
      <c r="B11" s="31">
        <v>43566.030462962961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196</v>
      </c>
      <c r="B12" s="31">
        <v>43567.091620370367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197</v>
      </c>
      <c r="B13" s="31">
        <v>43568.067812499998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198</v>
      </c>
      <c r="B14" s="31">
        <v>43569.100613425922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199</v>
      </c>
      <c r="B15" s="31">
        <v>43570.006145833337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187</v>
      </c>
    </row>
    <row r="16" spans="1:10" x14ac:dyDescent="0.4">
      <c r="A16" s="30" t="s">
        <v>200</v>
      </c>
      <c r="B16" s="31">
        <v>43571.043113425927</v>
      </c>
      <c r="C16" s="30" t="s">
        <v>130</v>
      </c>
      <c r="D16" s="30" t="s">
        <v>131</v>
      </c>
    </row>
    <row r="17" spans="1:10" x14ac:dyDescent="0.4">
      <c r="A17" s="30" t="s">
        <v>201</v>
      </c>
      <c r="B17" s="31">
        <v>43573.057604166665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203</v>
      </c>
      <c r="B18" s="31">
        <v>43574.063946759263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204</v>
      </c>
      <c r="B19" s="31">
        <v>43575.082013888888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205</v>
      </c>
      <c r="B20" s="31">
        <v>43576.05164351852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187</v>
      </c>
    </row>
    <row r="21" spans="1:10" x14ac:dyDescent="0.4">
      <c r="A21" s="30" t="s">
        <v>206</v>
      </c>
      <c r="B21" s="31">
        <v>43577.022303240738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187</v>
      </c>
      <c r="I21" s="30" t="s">
        <v>188</v>
      </c>
      <c r="J21" s="30" t="s">
        <v>189</v>
      </c>
    </row>
    <row r="22" spans="1:10" x14ac:dyDescent="0.4">
      <c r="A22" s="30" t="s">
        <v>207</v>
      </c>
      <c r="B22" s="31">
        <v>43579.04246527778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208</v>
      </c>
      <c r="B23" s="31">
        <v>43580.060023148151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209</v>
      </c>
      <c r="B24" s="31">
        <v>43581.023761574077</v>
      </c>
      <c r="C24" s="30" t="s">
        <v>130</v>
      </c>
      <c r="D24" s="30" t="s">
        <v>131</v>
      </c>
    </row>
    <row r="25" spans="1:10" x14ac:dyDescent="0.4">
      <c r="A25" s="30" t="s">
        <v>210</v>
      </c>
      <c r="B25" s="31">
        <v>43582.04179398148</v>
      </c>
      <c r="C25" s="30" t="s">
        <v>130</v>
      </c>
      <c r="D25" s="30" t="s">
        <v>131</v>
      </c>
      <c r="E25" s="30" t="s">
        <v>169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1"/>
  <sheetViews>
    <sheetView workbookViewId="0"/>
  </sheetViews>
  <sheetFormatPr defaultRowHeight="18.75" x14ac:dyDescent="0.4"/>
  <sheetData>
    <row r="1" spans="1:1" x14ac:dyDescent="0.4">
      <c r="A1" t="s">
        <v>145</v>
      </c>
    </row>
    <row r="2" spans="1:1" x14ac:dyDescent="0.4">
      <c r="A2" t="s">
        <v>127</v>
      </c>
    </row>
    <row r="3" spans="1:1" x14ac:dyDescent="0.4">
      <c r="A3" t="s">
        <v>128</v>
      </c>
    </row>
    <row r="4" spans="1:1" x14ac:dyDescent="0.4">
      <c r="A4" t="s">
        <v>129</v>
      </c>
    </row>
    <row r="5" spans="1:1" x14ac:dyDescent="0.4">
      <c r="A5" t="s">
        <v>171</v>
      </c>
    </row>
    <row r="6" spans="1:1" x14ac:dyDescent="0.4">
      <c r="A6" t="s">
        <v>172</v>
      </c>
    </row>
    <row r="7" spans="1:1" x14ac:dyDescent="0.4">
      <c r="A7" t="s">
        <v>173</v>
      </c>
    </row>
    <row r="8" spans="1:1" x14ac:dyDescent="0.4">
      <c r="A8" t="s">
        <v>177</v>
      </c>
    </row>
    <row r="9" spans="1:1" x14ac:dyDescent="0.4">
      <c r="A9" t="s">
        <v>185</v>
      </c>
    </row>
    <row r="10" spans="1:1" x14ac:dyDescent="0.4">
      <c r="A10" t="s">
        <v>186</v>
      </c>
    </row>
    <row r="11" spans="1:1" x14ac:dyDescent="0.4">
      <c r="A11" t="s">
        <v>202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3"/>
  <sheetViews>
    <sheetView showGridLines="0" tabSelected="1" topLeftCell="B1" zoomScale="150" zoomScaleNormal="15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54" t="s">
        <v>6</v>
      </c>
      <c r="C1" s="155"/>
      <c r="D1" s="154" t="s">
        <v>7</v>
      </c>
      <c r="E1" s="155"/>
      <c r="F1" s="154" t="s">
        <v>16</v>
      </c>
      <c r="G1" s="155"/>
      <c r="H1" s="154" t="s">
        <v>15</v>
      </c>
      <c r="I1" s="155"/>
      <c r="J1" s="154" t="s">
        <v>162</v>
      </c>
      <c r="K1" s="155"/>
      <c r="L1" s="154" t="s">
        <v>149</v>
      </c>
      <c r="M1" s="155"/>
      <c r="N1" s="154" t="s">
        <v>150</v>
      </c>
      <c r="O1" s="155"/>
      <c r="P1" s="154" t="s">
        <v>5</v>
      </c>
      <c r="Q1" s="155"/>
      <c r="R1" s="154" t="s">
        <v>17</v>
      </c>
      <c r="S1" s="155"/>
      <c r="T1" s="154" t="s">
        <v>18</v>
      </c>
      <c r="U1" s="155"/>
      <c r="V1" s="154" t="s">
        <v>141</v>
      </c>
      <c r="W1" s="155"/>
      <c r="X1" s="154" t="s">
        <v>123</v>
      </c>
      <c r="Y1" s="155"/>
      <c r="Z1" s="154" t="s">
        <v>120</v>
      </c>
      <c r="AA1" s="155"/>
      <c r="AB1" s="154" t="s">
        <v>126</v>
      </c>
      <c r="AC1" s="155"/>
      <c r="AD1" s="154" t="s">
        <v>151</v>
      </c>
      <c r="AE1" s="155"/>
      <c r="AF1" s="154" t="s">
        <v>144</v>
      </c>
      <c r="AG1" s="155"/>
      <c r="AH1" s="154" t="s">
        <v>153</v>
      </c>
      <c r="AI1" s="155"/>
    </row>
    <row r="2" spans="1:35" x14ac:dyDescent="0.4">
      <c r="A2" s="72" t="s">
        <v>161</v>
      </c>
      <c r="B2" s="156"/>
      <c r="C2" s="157"/>
      <c r="D2" s="156"/>
      <c r="E2" s="157"/>
      <c r="F2" s="158">
        <v>0.73450756170780129</v>
      </c>
      <c r="G2" s="159"/>
      <c r="H2" s="158">
        <v>0.79218372870900777</v>
      </c>
      <c r="I2" s="159"/>
      <c r="J2" s="158">
        <v>0.63755569053260341</v>
      </c>
      <c r="K2" s="159"/>
      <c r="L2" s="158">
        <v>0.60041633499686287</v>
      </c>
      <c r="M2" s="159"/>
      <c r="N2" s="158">
        <v>0.52673741342421732</v>
      </c>
      <c r="O2" s="159"/>
      <c r="P2" s="158">
        <v>0.79705600039389934</v>
      </c>
      <c r="Q2" s="159"/>
      <c r="R2" s="158">
        <v>-8.7309840049969948E-3</v>
      </c>
      <c r="S2" s="159"/>
      <c r="T2" s="158">
        <v>0.38578795868933541</v>
      </c>
      <c r="U2" s="159"/>
      <c r="V2" s="158">
        <v>0.68075902416768874</v>
      </c>
      <c r="W2" s="159"/>
      <c r="X2" s="158">
        <v>0.93698101532400857</v>
      </c>
      <c r="Y2" s="159"/>
      <c r="Z2" s="158">
        <v>-4.7949962018798246E-2</v>
      </c>
      <c r="AA2" s="159"/>
      <c r="AB2" s="158">
        <v>0.55538730527009239</v>
      </c>
      <c r="AC2" s="159"/>
      <c r="AD2" s="158">
        <v>0.47191356728445399</v>
      </c>
      <c r="AE2" s="159"/>
      <c r="AF2" s="158">
        <v>-0.16239797974098658</v>
      </c>
      <c r="AG2" s="159"/>
      <c r="AH2" s="158">
        <v>0.68216311803851903</v>
      </c>
      <c r="AI2" s="159"/>
    </row>
    <row r="3" spans="1:35" x14ac:dyDescent="0.4">
      <c r="A3" s="74">
        <v>1</v>
      </c>
      <c r="B3" s="75" t="s">
        <v>127</v>
      </c>
      <c r="C3" s="76">
        <v>1644.6000000000006</v>
      </c>
      <c r="D3" s="77" t="s">
        <v>127</v>
      </c>
      <c r="E3" s="96">
        <v>23.163380281690149</v>
      </c>
      <c r="F3" s="77" t="s">
        <v>185</v>
      </c>
      <c r="G3" s="78">
        <v>1.3333333333333333</v>
      </c>
      <c r="H3" s="77" t="s">
        <v>185</v>
      </c>
      <c r="I3" s="79">
        <v>0.66666666666666663</v>
      </c>
      <c r="J3" s="77" t="s">
        <v>185</v>
      </c>
      <c r="K3" s="79">
        <v>0</v>
      </c>
      <c r="L3" s="77" t="s">
        <v>127</v>
      </c>
      <c r="M3" s="80">
        <v>0.3985890652557319</v>
      </c>
      <c r="N3" s="77" t="s">
        <v>185</v>
      </c>
      <c r="O3" s="80">
        <v>0.10526315789473684</v>
      </c>
      <c r="P3" s="77" t="s">
        <v>202</v>
      </c>
      <c r="Q3" s="81">
        <v>9555.5555555555547</v>
      </c>
      <c r="R3" s="77" t="s">
        <v>185</v>
      </c>
      <c r="S3" s="81">
        <v>-5150</v>
      </c>
      <c r="T3" s="77" t="s">
        <v>185</v>
      </c>
      <c r="U3" s="79">
        <v>0</v>
      </c>
      <c r="V3" s="77" t="s">
        <v>127</v>
      </c>
      <c r="W3" s="79">
        <v>0.19718309859154928</v>
      </c>
      <c r="X3" s="77" t="s">
        <v>127</v>
      </c>
      <c r="Y3" s="80">
        <v>0.33156966490299822</v>
      </c>
      <c r="Z3" s="77" t="s">
        <v>172</v>
      </c>
      <c r="AA3" s="80">
        <v>0.3164983164983165</v>
      </c>
      <c r="AB3" s="77" t="s">
        <v>186</v>
      </c>
      <c r="AC3" s="80">
        <v>0.7142857142857143</v>
      </c>
      <c r="AD3" s="77" t="s">
        <v>127</v>
      </c>
      <c r="AE3" s="80">
        <v>0.53237410071942448</v>
      </c>
      <c r="AF3" s="77" t="s">
        <v>202</v>
      </c>
      <c r="AG3" s="80">
        <v>0.66666666666666663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185</v>
      </c>
      <c r="C4" s="84">
        <v>61</v>
      </c>
      <c r="D4" s="85" t="s">
        <v>185</v>
      </c>
      <c r="E4" s="97">
        <v>20.333333333333332</v>
      </c>
      <c r="F4" s="85" t="s">
        <v>127</v>
      </c>
      <c r="G4" s="86">
        <v>1.5352112676056338</v>
      </c>
      <c r="H4" s="85" t="s">
        <v>127</v>
      </c>
      <c r="I4" s="87">
        <v>0.60563380281690138</v>
      </c>
      <c r="J4" s="85" t="s">
        <v>202</v>
      </c>
      <c r="K4" s="87">
        <v>0</v>
      </c>
      <c r="L4" s="85" t="s">
        <v>172</v>
      </c>
      <c r="M4" s="88">
        <v>0.35016835016835018</v>
      </c>
      <c r="N4" s="85" t="s">
        <v>127</v>
      </c>
      <c r="O4" s="88">
        <v>0.14638447971781304</v>
      </c>
      <c r="P4" s="85" t="s">
        <v>127</v>
      </c>
      <c r="Q4" s="89">
        <v>9378.7610619469033</v>
      </c>
      <c r="R4" s="85" t="s">
        <v>202</v>
      </c>
      <c r="S4" s="89">
        <v>-5866.666666666667</v>
      </c>
      <c r="T4" s="85" t="s">
        <v>202</v>
      </c>
      <c r="U4" s="87">
        <v>0</v>
      </c>
      <c r="V4" s="85" t="s">
        <v>172</v>
      </c>
      <c r="W4" s="87">
        <v>0.14285714285714285</v>
      </c>
      <c r="X4" s="85" t="s">
        <v>202</v>
      </c>
      <c r="Y4" s="88">
        <v>0.30555555555555558</v>
      </c>
      <c r="Z4" s="85" t="s">
        <v>202</v>
      </c>
      <c r="AA4" s="88">
        <v>0.27777777777777779</v>
      </c>
      <c r="AB4" s="85" t="s">
        <v>128</v>
      </c>
      <c r="AC4" s="88">
        <v>0.63690476190476186</v>
      </c>
      <c r="AD4" s="85" t="s">
        <v>185</v>
      </c>
      <c r="AE4" s="88">
        <v>0.5</v>
      </c>
      <c r="AF4" s="85" t="s">
        <v>173</v>
      </c>
      <c r="AG4" s="88">
        <v>0.51851851851851849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202</v>
      </c>
      <c r="C5" s="84">
        <v>19.399999999999995</v>
      </c>
      <c r="D5" s="85" t="s">
        <v>202</v>
      </c>
      <c r="E5" s="97">
        <v>4.8499999999999988</v>
      </c>
      <c r="F5" s="85" t="s">
        <v>202</v>
      </c>
      <c r="G5" s="86">
        <v>1.75</v>
      </c>
      <c r="H5" s="85" t="s">
        <v>145</v>
      </c>
      <c r="I5" s="87">
        <v>0.33333333333333331</v>
      </c>
      <c r="J5" s="85" t="s">
        <v>127</v>
      </c>
      <c r="K5" s="87">
        <v>0.14084507042253522</v>
      </c>
      <c r="L5" s="85" t="s">
        <v>173</v>
      </c>
      <c r="M5" s="88">
        <v>0.31395348837209303</v>
      </c>
      <c r="N5" s="85" t="s">
        <v>172</v>
      </c>
      <c r="O5" s="88">
        <v>0.14814814814814814</v>
      </c>
      <c r="P5" s="85" t="s">
        <v>171</v>
      </c>
      <c r="Q5" s="89">
        <v>8769.1358024691363</v>
      </c>
      <c r="R5" s="85" t="s">
        <v>177</v>
      </c>
      <c r="S5" s="89">
        <v>-7029.6296296296296</v>
      </c>
      <c r="T5" s="85" t="s">
        <v>171</v>
      </c>
      <c r="U5" s="87">
        <v>2.564102564102564E-2</v>
      </c>
      <c r="V5" s="85" t="s">
        <v>171</v>
      </c>
      <c r="W5" s="87">
        <v>0.12820512820512819</v>
      </c>
      <c r="X5" s="85" t="s">
        <v>128</v>
      </c>
      <c r="Y5" s="88">
        <v>0.27722772277227725</v>
      </c>
      <c r="Z5" s="85" t="s">
        <v>177</v>
      </c>
      <c r="AA5" s="88">
        <v>0.27480916030534353</v>
      </c>
      <c r="AB5" s="85" t="s">
        <v>127</v>
      </c>
      <c r="AC5" s="88">
        <v>0.62234042553191493</v>
      </c>
      <c r="AD5" s="85" t="s">
        <v>172</v>
      </c>
      <c r="AE5" s="88">
        <v>0.42553191489361702</v>
      </c>
      <c r="AF5" s="85" t="s">
        <v>129</v>
      </c>
      <c r="AG5" s="88">
        <v>0.51219512195121952</v>
      </c>
      <c r="AH5" s="85" t="s">
        <v>172</v>
      </c>
      <c r="AI5" s="92">
        <v>97500</v>
      </c>
    </row>
    <row r="6" spans="1:35" x14ac:dyDescent="0.4">
      <c r="A6" s="82">
        <v>4</v>
      </c>
      <c r="B6" s="83" t="s">
        <v>145</v>
      </c>
      <c r="C6" s="84">
        <v>0</v>
      </c>
      <c r="D6" s="85" t="s">
        <v>145</v>
      </c>
      <c r="E6" s="97">
        <v>0</v>
      </c>
      <c r="F6" s="85" t="s">
        <v>145</v>
      </c>
      <c r="G6" s="86">
        <v>2</v>
      </c>
      <c r="H6" s="85" t="s">
        <v>177</v>
      </c>
      <c r="I6" s="87">
        <v>0.29411764705882354</v>
      </c>
      <c r="J6" s="85" t="s">
        <v>128</v>
      </c>
      <c r="K6" s="87">
        <v>0.31506849315068491</v>
      </c>
      <c r="L6" s="85" t="s">
        <v>145</v>
      </c>
      <c r="M6" s="88">
        <v>0.302491103202847</v>
      </c>
      <c r="N6" s="85" t="s">
        <v>171</v>
      </c>
      <c r="O6" s="88">
        <v>0.15596330275229359</v>
      </c>
      <c r="P6" s="85" t="s">
        <v>128</v>
      </c>
      <c r="Q6" s="89">
        <v>8750.2890173410397</v>
      </c>
      <c r="R6" s="85" t="s">
        <v>171</v>
      </c>
      <c r="S6" s="89">
        <v>-7225.4901960784309</v>
      </c>
      <c r="T6" s="85" t="s">
        <v>127</v>
      </c>
      <c r="U6" s="87">
        <v>4.2253521126760563E-2</v>
      </c>
      <c r="V6" s="85" t="s">
        <v>145</v>
      </c>
      <c r="W6" s="87">
        <v>0.10130718954248366</v>
      </c>
      <c r="X6" s="85" t="s">
        <v>145</v>
      </c>
      <c r="Y6" s="88">
        <v>0.26453143534994067</v>
      </c>
      <c r="Z6" s="85" t="s">
        <v>127</v>
      </c>
      <c r="AA6" s="88">
        <v>0.24514991181657847</v>
      </c>
      <c r="AB6" s="85" t="s">
        <v>185</v>
      </c>
      <c r="AC6" s="88">
        <v>0.6</v>
      </c>
      <c r="AD6" s="85" t="s">
        <v>177</v>
      </c>
      <c r="AE6" s="88">
        <v>0.3888888888888889</v>
      </c>
      <c r="AF6" s="85" t="s">
        <v>186</v>
      </c>
      <c r="AG6" s="88">
        <v>0.5</v>
      </c>
      <c r="AH6" s="85" t="s">
        <v>128</v>
      </c>
      <c r="AI6" s="92">
        <v>94000</v>
      </c>
    </row>
    <row r="7" spans="1:35" x14ac:dyDescent="0.4">
      <c r="A7" s="82">
        <v>5</v>
      </c>
      <c r="B7" s="83" t="s">
        <v>172</v>
      </c>
      <c r="C7" s="84">
        <v>-8.2999999999999972</v>
      </c>
      <c r="D7" s="85" t="s">
        <v>172</v>
      </c>
      <c r="E7" s="97">
        <v>-0.23714285714285707</v>
      </c>
      <c r="F7" s="85" t="s">
        <v>128</v>
      </c>
      <c r="G7" s="86">
        <v>2.0547945205479454</v>
      </c>
      <c r="H7" s="85" t="s">
        <v>172</v>
      </c>
      <c r="I7" s="87">
        <v>0.2857142857142857</v>
      </c>
      <c r="J7" s="85" t="s">
        <v>145</v>
      </c>
      <c r="K7" s="87">
        <v>0.33333333333333331</v>
      </c>
      <c r="L7" s="85" t="s">
        <v>128</v>
      </c>
      <c r="M7" s="88">
        <v>0.28547854785478549</v>
      </c>
      <c r="N7" s="85" t="s">
        <v>202</v>
      </c>
      <c r="O7" s="88">
        <v>0.16666666666666666</v>
      </c>
      <c r="P7" s="85" t="s">
        <v>145</v>
      </c>
      <c r="Q7" s="89">
        <v>8341.0457516339866</v>
      </c>
      <c r="R7" s="85" t="s">
        <v>128</v>
      </c>
      <c r="S7" s="89">
        <v>-7432.6923076923076</v>
      </c>
      <c r="T7" s="85" t="s">
        <v>172</v>
      </c>
      <c r="U7" s="87">
        <v>5.7142857142857141E-2</v>
      </c>
      <c r="V7" s="85" t="s">
        <v>173</v>
      </c>
      <c r="W7" s="87">
        <v>6.8965517241379309E-2</v>
      </c>
      <c r="X7" s="85" t="s">
        <v>185</v>
      </c>
      <c r="Y7" s="88">
        <v>0.26315789473684209</v>
      </c>
      <c r="Z7" s="85" t="s">
        <v>186</v>
      </c>
      <c r="AA7" s="88">
        <v>0.22807017543859648</v>
      </c>
      <c r="AB7" s="85" t="s">
        <v>173</v>
      </c>
      <c r="AC7" s="88">
        <v>0.59677419354838712</v>
      </c>
      <c r="AD7" s="85" t="s">
        <v>186</v>
      </c>
      <c r="AE7" s="88">
        <v>0.38461538461538464</v>
      </c>
      <c r="AF7" s="85" t="s">
        <v>172</v>
      </c>
      <c r="AG7" s="88">
        <v>0.44230769230769229</v>
      </c>
      <c r="AH7" s="85" t="s">
        <v>171</v>
      </c>
      <c r="AI7" s="92">
        <v>91700</v>
      </c>
    </row>
    <row r="8" spans="1:35" x14ac:dyDescent="0.4">
      <c r="A8" s="82">
        <v>6</v>
      </c>
      <c r="B8" s="83" t="s">
        <v>171</v>
      </c>
      <c r="C8" s="84">
        <v>-71.3</v>
      </c>
      <c r="D8" s="85" t="s">
        <v>171</v>
      </c>
      <c r="E8" s="97">
        <v>-1.8282051282051281</v>
      </c>
      <c r="F8" s="85" t="s">
        <v>173</v>
      </c>
      <c r="G8" s="86">
        <v>2.0689655172413794</v>
      </c>
      <c r="H8" s="85" t="s">
        <v>173</v>
      </c>
      <c r="I8" s="87">
        <v>0.27586206896551724</v>
      </c>
      <c r="J8" s="85" t="s">
        <v>173</v>
      </c>
      <c r="K8" s="87">
        <v>0.34482758620689657</v>
      </c>
      <c r="L8" s="85" t="s">
        <v>185</v>
      </c>
      <c r="M8" s="88">
        <v>0.26315789473684209</v>
      </c>
      <c r="N8" s="85" t="s">
        <v>145</v>
      </c>
      <c r="O8" s="88">
        <v>0.1716093317516805</v>
      </c>
      <c r="P8" s="85" t="s">
        <v>185</v>
      </c>
      <c r="Q8" s="89">
        <v>7860</v>
      </c>
      <c r="R8" s="85" t="s">
        <v>127</v>
      </c>
      <c r="S8" s="89">
        <v>-7969.8795180722891</v>
      </c>
      <c r="T8" s="85" t="s">
        <v>145</v>
      </c>
      <c r="U8" s="87">
        <v>0.10130718954248366</v>
      </c>
      <c r="V8" s="85" t="s">
        <v>128</v>
      </c>
      <c r="W8" s="87">
        <v>6.8493150684931503E-2</v>
      </c>
      <c r="X8" s="85" t="s">
        <v>171</v>
      </c>
      <c r="Y8" s="88">
        <v>0.25076452599388377</v>
      </c>
      <c r="Z8" s="85" t="s">
        <v>173</v>
      </c>
      <c r="AA8" s="88">
        <v>0.22480620155038761</v>
      </c>
      <c r="AB8" s="85" t="s">
        <v>145</v>
      </c>
      <c r="AC8" s="88">
        <v>0.59491778774289983</v>
      </c>
      <c r="AD8" s="85" t="s">
        <v>145</v>
      </c>
      <c r="AE8" s="88">
        <v>0.38018018018018018</v>
      </c>
      <c r="AF8" s="85" t="s">
        <v>145</v>
      </c>
      <c r="AG8" s="88">
        <v>0.42352941176470588</v>
      </c>
      <c r="AH8" s="85" t="s">
        <v>173</v>
      </c>
      <c r="AI8" s="92">
        <v>85900</v>
      </c>
    </row>
    <row r="9" spans="1:35" x14ac:dyDescent="0.4">
      <c r="A9" s="82">
        <v>7</v>
      </c>
      <c r="B9" s="83" t="s">
        <v>128</v>
      </c>
      <c r="C9" s="84">
        <v>-157.60000000000005</v>
      </c>
      <c r="D9" s="85" t="s">
        <v>128</v>
      </c>
      <c r="E9" s="97">
        <v>-2.158904109589042</v>
      </c>
      <c r="F9" s="85" t="s">
        <v>171</v>
      </c>
      <c r="G9" s="86">
        <v>2.1025641025641026</v>
      </c>
      <c r="H9" s="85" t="s">
        <v>128</v>
      </c>
      <c r="I9" s="87">
        <v>0.26027397260273971</v>
      </c>
      <c r="J9" s="85" t="s">
        <v>171</v>
      </c>
      <c r="K9" s="87">
        <v>0.35897435897435898</v>
      </c>
      <c r="L9" s="85" t="s">
        <v>177</v>
      </c>
      <c r="M9" s="88">
        <v>0.25190839694656486</v>
      </c>
      <c r="N9" s="85" t="s">
        <v>128</v>
      </c>
      <c r="O9" s="88">
        <v>0.17161716171617161</v>
      </c>
      <c r="P9" s="85" t="s">
        <v>129</v>
      </c>
      <c r="Q9" s="89">
        <v>7680.4878048780483</v>
      </c>
      <c r="R9" s="85" t="s">
        <v>145</v>
      </c>
      <c r="S9" s="89">
        <v>-8011.9815668202764</v>
      </c>
      <c r="T9" s="85" t="s">
        <v>128</v>
      </c>
      <c r="U9" s="87">
        <v>0.12328767123287671</v>
      </c>
      <c r="V9" s="85" t="s">
        <v>129</v>
      </c>
      <c r="W9" s="87">
        <v>0</v>
      </c>
      <c r="X9" s="85" t="s">
        <v>173</v>
      </c>
      <c r="Y9" s="88">
        <v>0.24031007751937986</v>
      </c>
      <c r="Z9" s="85" t="s">
        <v>145</v>
      </c>
      <c r="AA9" s="88">
        <v>0.21945432977461446</v>
      </c>
      <c r="AB9" s="85" t="s">
        <v>171</v>
      </c>
      <c r="AC9" s="88">
        <v>0.57317073170731703</v>
      </c>
      <c r="AD9" s="85" t="s">
        <v>173</v>
      </c>
      <c r="AE9" s="88">
        <v>0.34482758620689657</v>
      </c>
      <c r="AF9" s="85" t="s">
        <v>127</v>
      </c>
      <c r="AG9" s="88">
        <v>0.41150442477876104</v>
      </c>
      <c r="AH9" s="85" t="s">
        <v>177</v>
      </c>
      <c r="AI9" s="92">
        <v>65000</v>
      </c>
    </row>
    <row r="10" spans="1:35" x14ac:dyDescent="0.4">
      <c r="A10" s="82">
        <v>8</v>
      </c>
      <c r="B10" s="83" t="s">
        <v>177</v>
      </c>
      <c r="C10" s="84">
        <v>-161.19999999999999</v>
      </c>
      <c r="D10" s="85" t="s">
        <v>173</v>
      </c>
      <c r="E10" s="97">
        <v>-6.1137931034482751</v>
      </c>
      <c r="F10" s="85" t="s">
        <v>172</v>
      </c>
      <c r="G10" s="86">
        <v>2.1142857142857143</v>
      </c>
      <c r="H10" s="85" t="s">
        <v>171</v>
      </c>
      <c r="I10" s="87">
        <v>0.25641025641025639</v>
      </c>
      <c r="J10" s="85" t="s">
        <v>172</v>
      </c>
      <c r="K10" s="87">
        <v>0.4</v>
      </c>
      <c r="L10" s="85" t="s">
        <v>202</v>
      </c>
      <c r="M10" s="88">
        <v>0.25</v>
      </c>
      <c r="N10" s="85" t="s">
        <v>173</v>
      </c>
      <c r="O10" s="88">
        <v>0.19379844961240311</v>
      </c>
      <c r="P10" s="85" t="s">
        <v>172</v>
      </c>
      <c r="Q10" s="89">
        <v>7118.2692307692305</v>
      </c>
      <c r="R10" s="85" t="s">
        <v>173</v>
      </c>
      <c r="S10" s="89">
        <v>-8208</v>
      </c>
      <c r="T10" s="85" t="s">
        <v>173</v>
      </c>
      <c r="U10" s="87">
        <v>0.13793103448275862</v>
      </c>
      <c r="V10" s="85" t="s">
        <v>177</v>
      </c>
      <c r="W10" s="87">
        <v>0</v>
      </c>
      <c r="X10" s="85" t="s">
        <v>129</v>
      </c>
      <c r="Y10" s="88">
        <v>0.23809523809523808</v>
      </c>
      <c r="Z10" s="85" t="s">
        <v>185</v>
      </c>
      <c r="AA10" s="88">
        <v>0.21052631578947367</v>
      </c>
      <c r="AB10" s="85" t="s">
        <v>172</v>
      </c>
      <c r="AC10" s="88">
        <v>0.55882352941176472</v>
      </c>
      <c r="AD10" s="85" t="s">
        <v>171</v>
      </c>
      <c r="AE10" s="88">
        <v>0.30909090909090908</v>
      </c>
      <c r="AF10" s="85" t="s">
        <v>177</v>
      </c>
      <c r="AG10" s="88">
        <v>0.39393939393939392</v>
      </c>
      <c r="AH10" s="85" t="s">
        <v>202</v>
      </c>
      <c r="AI10" s="92">
        <v>54800</v>
      </c>
    </row>
    <row r="11" spans="1:35" x14ac:dyDescent="0.4">
      <c r="A11" s="82">
        <v>9</v>
      </c>
      <c r="B11" s="83" t="s">
        <v>173</v>
      </c>
      <c r="C11" s="84">
        <v>-177.29999999999998</v>
      </c>
      <c r="D11" s="85" t="s">
        <v>177</v>
      </c>
      <c r="E11" s="97">
        <v>-9.4823529411764707</v>
      </c>
      <c r="F11" s="85" t="s">
        <v>177</v>
      </c>
      <c r="G11" s="86">
        <v>2.1176470588235294</v>
      </c>
      <c r="H11" s="85" t="s">
        <v>202</v>
      </c>
      <c r="I11" s="87">
        <v>0.25</v>
      </c>
      <c r="J11" s="85" t="s">
        <v>177</v>
      </c>
      <c r="K11" s="87">
        <v>0.41176470588235292</v>
      </c>
      <c r="L11" s="85" t="s">
        <v>171</v>
      </c>
      <c r="M11" s="88">
        <v>0.24770642201834864</v>
      </c>
      <c r="N11" s="85" t="s">
        <v>177</v>
      </c>
      <c r="O11" s="88">
        <v>0.20610687022900764</v>
      </c>
      <c r="P11" s="85" t="s">
        <v>177</v>
      </c>
      <c r="Q11" s="89">
        <v>7036.363636363636</v>
      </c>
      <c r="R11" s="85" t="s">
        <v>172</v>
      </c>
      <c r="S11" s="89">
        <v>-8481.818181818182</v>
      </c>
      <c r="T11" s="85" t="s">
        <v>186</v>
      </c>
      <c r="U11" s="87">
        <v>0.14285714285714285</v>
      </c>
      <c r="V11" s="85" t="s">
        <v>185</v>
      </c>
      <c r="W11" s="87">
        <v>0</v>
      </c>
      <c r="X11" s="85" t="s">
        <v>172</v>
      </c>
      <c r="Y11" s="88">
        <v>0.22895622895622897</v>
      </c>
      <c r="Z11" s="85" t="s">
        <v>128</v>
      </c>
      <c r="AA11" s="88">
        <v>0.19141914191419143</v>
      </c>
      <c r="AB11" s="85" t="s">
        <v>202</v>
      </c>
      <c r="AC11" s="88">
        <v>0.54545454545454541</v>
      </c>
      <c r="AD11" s="85" t="s">
        <v>202</v>
      </c>
      <c r="AE11" s="88">
        <v>0.3</v>
      </c>
      <c r="AF11" s="85" t="s">
        <v>128</v>
      </c>
      <c r="AG11" s="88">
        <v>0.39306358381502893</v>
      </c>
      <c r="AH11" s="85" t="s">
        <v>185</v>
      </c>
      <c r="AI11" s="92">
        <v>53500</v>
      </c>
    </row>
    <row r="12" spans="1:35" x14ac:dyDescent="0.4">
      <c r="A12" s="82">
        <v>10</v>
      </c>
      <c r="B12" s="83" t="s">
        <v>186</v>
      </c>
      <c r="C12" s="84">
        <v>-218.2</v>
      </c>
      <c r="D12" s="85" t="s">
        <v>186</v>
      </c>
      <c r="E12" s="97">
        <v>-31.171428571428571</v>
      </c>
      <c r="F12" s="85" t="s">
        <v>129</v>
      </c>
      <c r="G12" s="86">
        <v>2.5714285714285716</v>
      </c>
      <c r="H12" s="85" t="s">
        <v>186</v>
      </c>
      <c r="I12" s="87">
        <v>0.14285714285714285</v>
      </c>
      <c r="J12" s="85" t="s">
        <v>129</v>
      </c>
      <c r="K12" s="87">
        <v>0.6785714285714286</v>
      </c>
      <c r="L12" s="85" t="s">
        <v>186</v>
      </c>
      <c r="M12" s="88">
        <v>0.21052631578947367</v>
      </c>
      <c r="N12" s="85" t="s">
        <v>129</v>
      </c>
      <c r="O12" s="88">
        <v>0.22077922077922077</v>
      </c>
      <c r="P12" s="85" t="s">
        <v>173</v>
      </c>
      <c r="Q12" s="89">
        <v>6746.9135802469136</v>
      </c>
      <c r="R12" s="85" t="s">
        <v>186</v>
      </c>
      <c r="S12" s="89">
        <v>-8762.5</v>
      </c>
      <c r="T12" s="85" t="s">
        <v>177</v>
      </c>
      <c r="U12" s="87">
        <v>0.17647058823529413</v>
      </c>
      <c r="V12" s="85" t="s">
        <v>186</v>
      </c>
      <c r="W12" s="87">
        <v>0</v>
      </c>
      <c r="X12" s="85" t="s">
        <v>177</v>
      </c>
      <c r="Y12" s="88">
        <v>0.17557251908396945</v>
      </c>
      <c r="Z12" s="85" t="s">
        <v>171</v>
      </c>
      <c r="AA12" s="88">
        <v>0.16819571865443425</v>
      </c>
      <c r="AB12" s="85" t="s">
        <v>177</v>
      </c>
      <c r="AC12" s="88">
        <v>0.52173913043478259</v>
      </c>
      <c r="AD12" s="85" t="s">
        <v>128</v>
      </c>
      <c r="AE12" s="88">
        <v>0.27586206896551724</v>
      </c>
      <c r="AF12" s="85" t="s">
        <v>171</v>
      </c>
      <c r="AG12" s="88">
        <v>0.34567901234567899</v>
      </c>
      <c r="AH12" s="85" t="s">
        <v>129</v>
      </c>
      <c r="AI12" s="92">
        <v>52200</v>
      </c>
    </row>
    <row r="13" spans="1:35" x14ac:dyDescent="0.4">
      <c r="A13" s="82">
        <v>11</v>
      </c>
      <c r="B13" s="83" t="s">
        <v>129</v>
      </c>
      <c r="C13" s="84">
        <v>-931.09999999999991</v>
      </c>
      <c r="D13" s="85" t="s">
        <v>129</v>
      </c>
      <c r="E13" s="97">
        <v>-33.253571428571426</v>
      </c>
      <c r="F13" s="85" t="s">
        <v>186</v>
      </c>
      <c r="G13" s="86">
        <v>2.5714285714285716</v>
      </c>
      <c r="H13" s="85" t="s">
        <v>129</v>
      </c>
      <c r="I13" s="87">
        <v>0.10714285714285714</v>
      </c>
      <c r="J13" s="85" t="s">
        <v>186</v>
      </c>
      <c r="K13" s="87">
        <v>0.7142857142857143</v>
      </c>
      <c r="L13" s="85" t="s">
        <v>129</v>
      </c>
      <c r="M13" s="88">
        <v>0.1774891774891775</v>
      </c>
      <c r="N13" s="85" t="s">
        <v>186</v>
      </c>
      <c r="O13" s="88">
        <v>0.2807017543859649</v>
      </c>
      <c r="P13" s="85" t="s">
        <v>186</v>
      </c>
      <c r="Q13" s="89">
        <v>6500</v>
      </c>
      <c r="R13" s="85" t="s">
        <v>129</v>
      </c>
      <c r="S13" s="89">
        <v>-10100</v>
      </c>
      <c r="T13" s="85" t="s">
        <v>129</v>
      </c>
      <c r="U13" s="87">
        <v>0.2857142857142857</v>
      </c>
      <c r="V13" s="85" t="s">
        <v>202</v>
      </c>
      <c r="W13" s="87">
        <v>0</v>
      </c>
      <c r="X13" s="85" t="s">
        <v>186</v>
      </c>
      <c r="Y13" s="88">
        <v>0.12280701754385964</v>
      </c>
      <c r="Z13" s="85" t="s">
        <v>129</v>
      </c>
      <c r="AA13" s="88">
        <v>0.12987012987012986</v>
      </c>
      <c r="AB13" s="85" t="s">
        <v>129</v>
      </c>
      <c r="AC13" s="88">
        <v>0.47272727272727272</v>
      </c>
      <c r="AD13" s="85" t="s">
        <v>129</v>
      </c>
      <c r="AE13" s="88">
        <v>0.13333333333333333</v>
      </c>
      <c r="AF13" s="85" t="s">
        <v>185</v>
      </c>
      <c r="AG13" s="88">
        <v>0.2</v>
      </c>
      <c r="AH13" s="85" t="s">
        <v>186</v>
      </c>
      <c r="AI13" s="92">
        <v>43600</v>
      </c>
    </row>
  </sheetData>
  <sortState ref="AH3:AI41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D75D8-072A-4355-A00A-9D7F1D05B62A}">
  <sheetPr codeName="Sheet4"/>
  <dimension ref="A1:Q308"/>
  <sheetViews>
    <sheetView showGridLines="0" topLeftCell="A14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145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306</v>
      </c>
      <c r="C2" s="147"/>
      <c r="E2" s="62" t="s">
        <v>67</v>
      </c>
      <c r="F2" s="59" t="s">
        <v>23</v>
      </c>
      <c r="G2" s="46">
        <v>558</v>
      </c>
      <c r="H2" s="132">
        <f>IF(B$17=0,0,G2/B$17)</f>
        <v>0.72941176470588232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-16.33986928104575</v>
      </c>
      <c r="P2" s="118">
        <v>306</v>
      </c>
      <c r="Q2" s="102">
        <v>-5000</v>
      </c>
    </row>
    <row r="3" spans="1:17" x14ac:dyDescent="0.4">
      <c r="A3" s="55" t="s">
        <v>8</v>
      </c>
      <c r="B3" s="148">
        <v>2529</v>
      </c>
      <c r="C3" s="149"/>
      <c r="E3" s="63" t="s">
        <v>73</v>
      </c>
      <c r="F3" s="60" t="s">
        <v>28</v>
      </c>
      <c r="G3" s="47">
        <v>402</v>
      </c>
      <c r="H3" s="133">
        <f>IF(B$17=0,0,G3/B$17)</f>
        <v>0.52549019607843139</v>
      </c>
      <c r="I3" s="94">
        <v>7</v>
      </c>
      <c r="K3" s="38">
        <v>1</v>
      </c>
      <c r="L3" s="99">
        <v>-5.0999999999999996</v>
      </c>
      <c r="N3" s="115" t="s">
        <v>133</v>
      </c>
      <c r="O3" s="122">
        <f t="shared" si="0"/>
        <v>-13.201320132013201</v>
      </c>
      <c r="P3" s="119">
        <v>303</v>
      </c>
      <c r="Q3" s="103">
        <v>-4000</v>
      </c>
    </row>
    <row r="4" spans="1:17" x14ac:dyDescent="0.4">
      <c r="A4" s="55" t="s">
        <v>6</v>
      </c>
      <c r="B4" s="150">
        <v>0</v>
      </c>
      <c r="C4" s="151"/>
      <c r="E4" s="63" t="s">
        <v>65</v>
      </c>
      <c r="F4" s="60" t="s">
        <v>21</v>
      </c>
      <c r="G4" s="47">
        <v>379</v>
      </c>
      <c r="H4" s="133">
        <f>IF(B$17=0,0,G4/B$17)</f>
        <v>0.49542483660130721</v>
      </c>
      <c r="I4" s="94">
        <v>6</v>
      </c>
      <c r="K4" s="38">
        <v>2</v>
      </c>
      <c r="L4" s="99">
        <v>40.4</v>
      </c>
      <c r="N4" s="115" t="s">
        <v>134</v>
      </c>
      <c r="O4" s="122">
        <f t="shared" si="0"/>
        <v>17.921146953405017</v>
      </c>
      <c r="P4" s="119">
        <v>279</v>
      </c>
      <c r="Q4" s="103">
        <v>5000</v>
      </c>
    </row>
    <row r="5" spans="1:17" x14ac:dyDescent="0.4">
      <c r="A5" s="55" t="s">
        <v>7</v>
      </c>
      <c r="B5" s="152">
        <f>IF(B$2=0,0,B$4/B$2)</f>
        <v>0</v>
      </c>
      <c r="C5" s="153"/>
      <c r="E5" s="63" t="s">
        <v>181</v>
      </c>
      <c r="F5" s="60" t="s">
        <v>182</v>
      </c>
      <c r="G5" s="47">
        <v>291</v>
      </c>
      <c r="H5" s="133">
        <f>IF(B$17=0,0,G5/B$17)</f>
        <v>0.38039215686274508</v>
      </c>
      <c r="I5" s="94">
        <v>5</v>
      </c>
      <c r="K5" s="38">
        <v>3</v>
      </c>
      <c r="L5" s="99">
        <v>0</v>
      </c>
      <c r="N5" s="115" t="s">
        <v>135</v>
      </c>
      <c r="O5" s="122">
        <f t="shared" si="0"/>
        <v>11.627906976744185</v>
      </c>
      <c r="P5" s="119">
        <v>258</v>
      </c>
      <c r="Q5" s="103">
        <v>3000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223</v>
      </c>
      <c r="H6" s="133">
        <f>IF(B$17=0,0,G6/B$17)</f>
        <v>0.29150326797385623</v>
      </c>
      <c r="I6" s="94">
        <v>5</v>
      </c>
      <c r="K6" s="38">
        <v>4</v>
      </c>
      <c r="L6" s="99">
        <v>2.2000000000000002</v>
      </c>
      <c r="N6" s="115" t="s">
        <v>136</v>
      </c>
      <c r="O6" s="122">
        <f t="shared" si="0"/>
        <v>-21.09704641350211</v>
      </c>
      <c r="P6" s="119">
        <v>237</v>
      </c>
      <c r="Q6" s="103">
        <v>-5000</v>
      </c>
    </row>
    <row r="7" spans="1:17" x14ac:dyDescent="0.4">
      <c r="A7" s="55" t="s">
        <v>2</v>
      </c>
      <c r="B7" s="47">
        <v>102</v>
      </c>
      <c r="C7" s="39">
        <f>IF(B$2=0,0,B7/B$2)</f>
        <v>0.33333333333333331</v>
      </c>
      <c r="E7" s="63" t="s">
        <v>68</v>
      </c>
      <c r="F7" s="60" t="s">
        <v>24</v>
      </c>
      <c r="G7" s="47">
        <v>216</v>
      </c>
      <c r="H7" s="133">
        <f>IF(B$17=0,0,G7/B$17)</f>
        <v>0.28235294117647058</v>
      </c>
      <c r="I7" s="94">
        <v>6</v>
      </c>
      <c r="K7" s="38">
        <v>5</v>
      </c>
      <c r="L7" s="99">
        <v>-37</v>
      </c>
      <c r="N7" s="116" t="s">
        <v>137</v>
      </c>
      <c r="O7" s="123">
        <f t="shared" si="0"/>
        <v>27.397260273972602</v>
      </c>
      <c r="P7" s="120">
        <v>219</v>
      </c>
      <c r="Q7" s="104">
        <v>6000</v>
      </c>
    </row>
    <row r="8" spans="1:17" x14ac:dyDescent="0.4">
      <c r="A8" s="55" t="s">
        <v>3</v>
      </c>
      <c r="B8" s="47">
        <v>102</v>
      </c>
      <c r="C8" s="39">
        <f>IF(B$2=0,0,B8/B$2)</f>
        <v>0.33333333333333331</v>
      </c>
      <c r="E8" s="63" t="s">
        <v>70</v>
      </c>
      <c r="F8" s="60" t="s">
        <v>25</v>
      </c>
      <c r="G8" s="47">
        <v>138</v>
      </c>
      <c r="H8" s="133">
        <f>IF(B$17=0,0,G8/B$17)</f>
        <v>0.1803921568627451</v>
      </c>
      <c r="I8" s="94">
        <v>7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102</v>
      </c>
      <c r="C9" s="40">
        <f t="shared" ref="C9" si="1">IF(B$2=0,0,B9/B$2)</f>
        <v>0.33333333333333331</v>
      </c>
      <c r="E9" s="63" t="s">
        <v>90</v>
      </c>
      <c r="F9" s="60" t="s">
        <v>45</v>
      </c>
      <c r="G9" s="47">
        <v>105</v>
      </c>
      <c r="H9" s="133">
        <f>IF(B$17=0,0,G9/B$17)</f>
        <v>0.13725490196078433</v>
      </c>
      <c r="I9" s="94">
        <v>5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31</v>
      </c>
      <c r="C10" s="40">
        <f>IF(B$2=0,0,B10/B$2)</f>
        <v>0.10130718954248366</v>
      </c>
      <c r="E10" s="63" t="s">
        <v>66</v>
      </c>
      <c r="F10" s="60" t="s">
        <v>22</v>
      </c>
      <c r="G10" s="47">
        <v>95</v>
      </c>
      <c r="H10" s="133">
        <f>IF(B$17=0,0,G10/B$17)</f>
        <v>0.12418300653594772</v>
      </c>
      <c r="I10" s="94">
        <v>4</v>
      </c>
      <c r="K10" s="38">
        <v>8</v>
      </c>
      <c r="L10" s="99">
        <v>19.699999999999996</v>
      </c>
      <c r="N10" s="114" t="s">
        <v>164</v>
      </c>
      <c r="O10" s="124">
        <f>IF(P10=0,0,Q10/P10)</f>
        <v>-3.0294117647058827</v>
      </c>
      <c r="P10" s="118">
        <v>102</v>
      </c>
      <c r="Q10" s="106">
        <v>-309.00000000000006</v>
      </c>
    </row>
    <row r="11" spans="1:17" x14ac:dyDescent="0.4">
      <c r="A11" s="56" t="s">
        <v>140</v>
      </c>
      <c r="B11" s="48">
        <v>31</v>
      </c>
      <c r="C11" s="40">
        <f>IF(B$2=0,0,B11/B$2)</f>
        <v>0.10130718954248366</v>
      </c>
      <c r="E11" s="63" t="s">
        <v>71</v>
      </c>
      <c r="F11" s="60" t="s">
        <v>26</v>
      </c>
      <c r="G11" s="47">
        <v>81</v>
      </c>
      <c r="H11" s="133">
        <f>IF(B$17=0,0,G11/B$17)</f>
        <v>0.10588235294117647</v>
      </c>
      <c r="I11" s="94">
        <v>4</v>
      </c>
      <c r="K11" s="38">
        <v>9</v>
      </c>
      <c r="L11" s="99">
        <v>-3.5527136788005009E-15</v>
      </c>
      <c r="N11" s="115" t="s">
        <v>165</v>
      </c>
      <c r="O11" s="125">
        <f>IF(P11=0,0,Q11/P11)</f>
        <v>-3.9568627450980398</v>
      </c>
      <c r="P11" s="119">
        <v>102</v>
      </c>
      <c r="Q11" s="107">
        <v>-403.60000000000008</v>
      </c>
    </row>
    <row r="12" spans="1:17" x14ac:dyDescent="0.4">
      <c r="A12" s="57" t="s">
        <v>160</v>
      </c>
      <c r="B12" s="49">
        <v>31</v>
      </c>
      <c r="C12" s="42">
        <f>IF(B$2=0,0,B12/B$2)</f>
        <v>0.10130718954248366</v>
      </c>
      <c r="E12" s="63" t="s">
        <v>87</v>
      </c>
      <c r="F12" s="60" t="s">
        <v>42</v>
      </c>
      <c r="G12" s="47">
        <v>49</v>
      </c>
      <c r="H12" s="133">
        <f>IF(B$17=0,0,G12/B$17)</f>
        <v>6.4052287581699341E-2</v>
      </c>
      <c r="I12" s="94">
        <v>5</v>
      </c>
      <c r="K12" s="38">
        <v>10</v>
      </c>
      <c r="L12" s="99">
        <v>40.099999999999994</v>
      </c>
      <c r="N12" s="116" t="s">
        <v>166</v>
      </c>
      <c r="O12" s="126">
        <f>IF(P12=0,0,Q12/P12)</f>
        <v>6.9862745098039207</v>
      </c>
      <c r="P12" s="120">
        <v>102</v>
      </c>
      <c r="Q12" s="108">
        <v>712.59999999999991</v>
      </c>
    </row>
    <row r="13" spans="1:17" x14ac:dyDescent="0.4">
      <c r="A13" s="58" t="s">
        <v>122</v>
      </c>
      <c r="B13" s="50">
        <v>669</v>
      </c>
      <c r="C13" s="44">
        <f>IF(B$3=0,0,B13/B$3)</f>
        <v>0.26453143534994067</v>
      </c>
      <c r="E13" s="63" t="s">
        <v>72</v>
      </c>
      <c r="F13" s="60" t="s">
        <v>27</v>
      </c>
      <c r="G13" s="47">
        <v>41</v>
      </c>
      <c r="H13" s="133">
        <f>IF(B$17=0,0,G13/B$17)</f>
        <v>5.3594771241830062E-2</v>
      </c>
      <c r="I13" s="94">
        <v>5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555</v>
      </c>
      <c r="C14" s="39">
        <f>IF(B$3=0,0,B14/B$3)</f>
        <v>0.21945432977461446</v>
      </c>
      <c r="E14" s="63" t="s">
        <v>84</v>
      </c>
      <c r="F14" s="60" t="s">
        <v>39</v>
      </c>
      <c r="G14" s="47">
        <v>35</v>
      </c>
      <c r="H14" s="133">
        <f>IF(B$17=0,0,G14/B$17)</f>
        <v>4.5751633986928102E-2</v>
      </c>
      <c r="I14" s="94">
        <v>6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398</v>
      </c>
      <c r="C15" s="37">
        <f>IF(B$13=0,0,B15/B$13)</f>
        <v>0.59491778774289983</v>
      </c>
      <c r="E15" s="63" t="s">
        <v>82</v>
      </c>
      <c r="F15" s="60" t="s">
        <v>37</v>
      </c>
      <c r="G15" s="47">
        <v>22</v>
      </c>
      <c r="H15" s="133">
        <f>IF(B$17=0,0,G15/B$17)</f>
        <v>2.8758169934640521E-2</v>
      </c>
      <c r="I15" s="94">
        <v>5</v>
      </c>
      <c r="K15" s="38">
        <v>13</v>
      </c>
      <c r="L15" s="99">
        <v>-42.100000000000009</v>
      </c>
      <c r="N15" s="114" t="s">
        <v>129</v>
      </c>
      <c r="O15" s="124">
        <f>IF(P15=0,0,Q15/P15)</f>
        <v>49.880357142857143</v>
      </c>
      <c r="P15" s="118">
        <v>56</v>
      </c>
      <c r="Q15" s="106">
        <v>2793.3</v>
      </c>
    </row>
    <row r="16" spans="1:17" x14ac:dyDescent="0.4">
      <c r="A16" s="54" t="s">
        <v>125</v>
      </c>
      <c r="B16" s="46">
        <v>211</v>
      </c>
      <c r="C16" s="37">
        <f>IF(B$14=0,0,B16/B$14)</f>
        <v>0.38018018018018018</v>
      </c>
      <c r="E16" s="63" t="s">
        <v>79</v>
      </c>
      <c r="F16" s="60" t="s">
        <v>34</v>
      </c>
      <c r="G16" s="47">
        <v>14</v>
      </c>
      <c r="H16" s="133">
        <f>IF(B$17=0,0,G16/B$17)</f>
        <v>1.8300653594771243E-2</v>
      </c>
      <c r="I16" s="94">
        <v>5</v>
      </c>
      <c r="K16" s="38">
        <v>14</v>
      </c>
      <c r="L16" s="99">
        <v>18.79999999999999</v>
      </c>
      <c r="N16" s="115" t="s">
        <v>186</v>
      </c>
      <c r="O16" s="125">
        <f>IF(P16=0,0,Q16/P16)</f>
        <v>46.75714285714286</v>
      </c>
      <c r="P16" s="119">
        <v>14</v>
      </c>
      <c r="Q16" s="107">
        <v>654.6</v>
      </c>
    </row>
    <row r="17" spans="1:17" x14ac:dyDescent="0.4">
      <c r="A17" s="54" t="s">
        <v>10</v>
      </c>
      <c r="B17" s="46">
        <f>B19+B18</f>
        <v>765</v>
      </c>
      <c r="C17" s="37">
        <f>IF(B$3=0,0,B17/B$3)</f>
        <v>0.302491103202847</v>
      </c>
      <c r="E17" s="63" t="s">
        <v>92</v>
      </c>
      <c r="F17" s="60" t="s">
        <v>47</v>
      </c>
      <c r="G17" s="47">
        <v>13</v>
      </c>
      <c r="H17" s="133">
        <f>IF(B$17=0,0,G17/B$17)</f>
        <v>1.699346405228758E-2</v>
      </c>
      <c r="I17" s="94">
        <v>4</v>
      </c>
      <c r="K17" s="38">
        <v>15</v>
      </c>
      <c r="L17" s="99">
        <v>-1.0658141036401503E-14</v>
      </c>
      <c r="N17" s="115" t="s">
        <v>177</v>
      </c>
      <c r="O17" s="125">
        <f>IF(P17=0,0,Q17/P17)</f>
        <v>14.223529411764703</v>
      </c>
      <c r="P17" s="119">
        <v>34</v>
      </c>
      <c r="Q17" s="107">
        <v>483.59999999999991</v>
      </c>
    </row>
    <row r="18" spans="1:17" x14ac:dyDescent="0.4">
      <c r="A18" s="55" t="s">
        <v>12</v>
      </c>
      <c r="B18" s="47">
        <v>324</v>
      </c>
      <c r="C18" s="39">
        <f>IF(B$17=0,0,B18/B$17)</f>
        <v>0.42352941176470588</v>
      </c>
      <c r="E18" s="63" t="s">
        <v>180</v>
      </c>
      <c r="F18" s="60" t="s">
        <v>183</v>
      </c>
      <c r="G18" s="47">
        <v>12</v>
      </c>
      <c r="H18" s="133">
        <f>IF(B$17=0,0,G18/B$17)</f>
        <v>1.5686274509803921E-2</v>
      </c>
      <c r="I18" s="94">
        <v>4</v>
      </c>
      <c r="K18" s="38">
        <v>16</v>
      </c>
      <c r="L18" s="99">
        <v>90.899999999999991</v>
      </c>
      <c r="N18" s="115" t="s">
        <v>173</v>
      </c>
      <c r="O18" s="125">
        <f>IF(P18=0,0,Q18/P18)</f>
        <v>9.1706896551724135</v>
      </c>
      <c r="P18" s="119">
        <v>58</v>
      </c>
      <c r="Q18" s="107">
        <v>531.9</v>
      </c>
    </row>
    <row r="19" spans="1:17" x14ac:dyDescent="0.4">
      <c r="A19" s="55" t="s">
        <v>11</v>
      </c>
      <c r="B19" s="47">
        <v>441</v>
      </c>
      <c r="C19" s="39">
        <f>IF(B$17=0,0,B19/B$17)</f>
        <v>0.57647058823529407</v>
      </c>
      <c r="E19" s="63" t="s">
        <v>76</v>
      </c>
      <c r="F19" s="60" t="s">
        <v>31</v>
      </c>
      <c r="G19" s="47">
        <v>6</v>
      </c>
      <c r="H19" s="133">
        <f>IF(B$17=0,0,G19/B$17)</f>
        <v>7.8431372549019607E-3</v>
      </c>
      <c r="I19" s="94">
        <v>4</v>
      </c>
      <c r="K19" s="38">
        <v>17</v>
      </c>
      <c r="L19" s="99">
        <v>8.2999999999999972</v>
      </c>
      <c r="N19" s="115" t="s">
        <v>128</v>
      </c>
      <c r="O19" s="125">
        <f>IF(P19=0,0,Q19/P19)</f>
        <v>3.2383561643835592</v>
      </c>
      <c r="P19" s="119">
        <v>146</v>
      </c>
      <c r="Q19" s="107">
        <v>472.79999999999967</v>
      </c>
    </row>
    <row r="20" spans="1:17" x14ac:dyDescent="0.4">
      <c r="A20" s="55" t="s">
        <v>13</v>
      </c>
      <c r="B20" s="47">
        <v>434</v>
      </c>
      <c r="C20" s="39">
        <f>IF(B$3=0,0,B20/B$3)</f>
        <v>0.1716093317516805</v>
      </c>
      <c r="E20" s="63" t="s">
        <v>80</v>
      </c>
      <c r="F20" s="60" t="s">
        <v>35</v>
      </c>
      <c r="G20" s="47">
        <v>6</v>
      </c>
      <c r="H20" s="133">
        <f>IF(B$17=0,0,G20/B$17)</f>
        <v>7.8431372549019607E-3</v>
      </c>
      <c r="I20" s="94">
        <v>4</v>
      </c>
      <c r="K20" s="38">
        <v>18</v>
      </c>
      <c r="L20" s="99">
        <v>-3.5527136788005009E-15</v>
      </c>
      <c r="N20" s="115" t="s">
        <v>171</v>
      </c>
      <c r="O20" s="125">
        <f>IF(P20=0,0,Q20/P20)</f>
        <v>2.7423076923076946</v>
      </c>
      <c r="P20" s="119">
        <v>78</v>
      </c>
      <c r="Q20" s="107">
        <v>213.90000000000018</v>
      </c>
    </row>
    <row r="21" spans="1:17" x14ac:dyDescent="0.4">
      <c r="A21" s="55" t="s">
        <v>193</v>
      </c>
      <c r="B21" s="47">
        <v>7</v>
      </c>
      <c r="C21" s="135">
        <v>2</v>
      </c>
      <c r="E21" s="63" t="s">
        <v>74</v>
      </c>
      <c r="F21" s="60" t="s">
        <v>29</v>
      </c>
      <c r="G21" s="47">
        <v>4</v>
      </c>
      <c r="H21" s="133">
        <f>IF(B$17=0,0,G21/B$17)</f>
        <v>5.2287581699346402E-3</v>
      </c>
      <c r="I21" s="94">
        <v>4</v>
      </c>
      <c r="K21" s="38">
        <v>19</v>
      </c>
      <c r="L21" s="99">
        <v>30.999999999999996</v>
      </c>
      <c r="N21" s="115" t="s">
        <v>172</v>
      </c>
      <c r="O21" s="125">
        <f>IF(P21=0,0,Q21/P21)</f>
        <v>0.35571428571428426</v>
      </c>
      <c r="P21" s="119">
        <v>70</v>
      </c>
      <c r="Q21" s="107">
        <v>24.899999999999899</v>
      </c>
    </row>
    <row r="22" spans="1:17" x14ac:dyDescent="0.4">
      <c r="A22" s="55" t="s">
        <v>194</v>
      </c>
      <c r="B22" s="47">
        <v>31</v>
      </c>
      <c r="C22" s="135">
        <v>12</v>
      </c>
      <c r="E22" s="63" t="s">
        <v>93</v>
      </c>
      <c r="F22" s="60" t="s">
        <v>48</v>
      </c>
      <c r="G22" s="47">
        <v>4</v>
      </c>
      <c r="H22" s="133">
        <f>IF(B$17=0,0,G22/B$17)</f>
        <v>5.2287581699346402E-3</v>
      </c>
      <c r="I22" s="94">
        <v>3</v>
      </c>
      <c r="K22" s="38">
        <v>20</v>
      </c>
      <c r="L22" s="99">
        <v>0.79999999999999716</v>
      </c>
      <c r="N22" s="115" t="s">
        <v>202</v>
      </c>
      <c r="O22" s="125">
        <f>IF(P22=0,0,Q22/P22)</f>
        <v>-7.2750000000000021</v>
      </c>
      <c r="P22" s="119">
        <v>8</v>
      </c>
      <c r="Q22" s="107">
        <v>-58.200000000000017</v>
      </c>
    </row>
    <row r="23" spans="1:17" x14ac:dyDescent="0.4">
      <c r="A23" s="55" t="s">
        <v>5</v>
      </c>
      <c r="B23" s="51">
        <f>IF(B$17=0,0,C23/B$17)</f>
        <v>8341.0457516339866</v>
      </c>
      <c r="C23" s="41">
        <v>6380900</v>
      </c>
      <c r="E23" s="63" t="s">
        <v>75</v>
      </c>
      <c r="F23" s="60" t="s">
        <v>30</v>
      </c>
      <c r="G23" s="47">
        <v>2</v>
      </c>
      <c r="H23" s="133">
        <f>IF(B$17=0,0,G23/B$17)</f>
        <v>2.6143790849673201E-3</v>
      </c>
      <c r="I23" s="94">
        <v>2</v>
      </c>
      <c r="K23" s="38">
        <v>21</v>
      </c>
      <c r="L23" s="99">
        <v>-2.886579864025407E-15</v>
      </c>
      <c r="N23" s="115" t="s">
        <v>185</v>
      </c>
      <c r="O23" s="125">
        <f>IF(P23=0,0,Q23/P23)</f>
        <v>-30.5</v>
      </c>
      <c r="P23" s="119">
        <v>6</v>
      </c>
      <c r="Q23" s="107">
        <v>-183</v>
      </c>
    </row>
    <row r="24" spans="1:17" x14ac:dyDescent="0.4">
      <c r="A24" s="57" t="s">
        <v>14</v>
      </c>
      <c r="B24" s="52">
        <f>IF(B$20=0,0,C24/B$20)</f>
        <v>-8011.9815668202764</v>
      </c>
      <c r="C24" s="45">
        <v>-3477200</v>
      </c>
      <c r="E24" s="63" t="s">
        <v>78</v>
      </c>
      <c r="F24" s="60" t="s">
        <v>33</v>
      </c>
      <c r="G24" s="47">
        <v>2</v>
      </c>
      <c r="H24" s="133">
        <f>IF(B$17=0,0,G24/B$17)</f>
        <v>2.6143790849673201E-3</v>
      </c>
      <c r="I24" s="94">
        <v>3</v>
      </c>
      <c r="K24" s="38">
        <v>22</v>
      </c>
      <c r="L24" s="99">
        <v>23.699999999999996</v>
      </c>
      <c r="N24" s="115" t="s">
        <v>127</v>
      </c>
      <c r="O24" s="125">
        <f>IF(P24=0,0,Q24/P24)</f>
        <v>-34.745070422535171</v>
      </c>
      <c r="P24" s="119">
        <v>142</v>
      </c>
      <c r="Q24" s="107">
        <v>-4933.7999999999947</v>
      </c>
    </row>
    <row r="25" spans="1:17" x14ac:dyDescent="0.4">
      <c r="A25" s="90" t="s">
        <v>142</v>
      </c>
      <c r="B25" s="140">
        <v>7</v>
      </c>
      <c r="C25" s="141"/>
      <c r="E25" s="63" t="s">
        <v>89</v>
      </c>
      <c r="F25" s="60" t="s">
        <v>44</v>
      </c>
      <c r="G25" s="47">
        <v>2</v>
      </c>
      <c r="H25" s="133">
        <f>IF(B$17=0,0,G25/B$17)</f>
        <v>2.6143790849673201E-3</v>
      </c>
      <c r="I25" s="94">
        <v>3</v>
      </c>
      <c r="K25" s="38">
        <v>23</v>
      </c>
      <c r="L25" s="99">
        <v>26.299999999999997</v>
      </c>
    </row>
    <row r="26" spans="1:17" x14ac:dyDescent="0.4">
      <c r="A26" s="58" t="s">
        <v>152</v>
      </c>
      <c r="B26" s="138">
        <v>116000</v>
      </c>
      <c r="C26" s="139"/>
      <c r="E26" s="63" t="s">
        <v>85</v>
      </c>
      <c r="F26" s="60" t="s">
        <v>40</v>
      </c>
      <c r="G26" s="47">
        <v>1</v>
      </c>
      <c r="H26" s="133">
        <f>IF(B$17=0,0,G26/B$17)</f>
        <v>1.30718954248366E-3</v>
      </c>
      <c r="I26" s="94">
        <v>2</v>
      </c>
      <c r="K26" s="38">
        <v>24</v>
      </c>
      <c r="L26" s="99">
        <v>-3.5527136788005009E-15</v>
      </c>
    </row>
    <row r="27" spans="1:17" x14ac:dyDescent="0.4">
      <c r="A27" s="57" t="s">
        <v>143</v>
      </c>
      <c r="B27" s="65">
        <v>9</v>
      </c>
      <c r="C27" s="42">
        <f>IF(B$3=0,0,B27/B$3)</f>
        <v>3.5587188612099642E-3</v>
      </c>
      <c r="E27" s="63" t="s">
        <v>86</v>
      </c>
      <c r="F27" s="60" t="s">
        <v>41</v>
      </c>
      <c r="G27" s="47">
        <v>1</v>
      </c>
      <c r="H27" s="133">
        <f>IF(B$17=0,0,G27/B$17)</f>
        <v>1.30718954248366E-3</v>
      </c>
      <c r="I27" s="94">
        <v>2</v>
      </c>
      <c r="K27" s="38">
        <v>25</v>
      </c>
      <c r="L27" s="99">
        <v>-31.300000000000004</v>
      </c>
    </row>
    <row r="28" spans="1:17" x14ac:dyDescent="0.4">
      <c r="E28" s="63" t="s">
        <v>88</v>
      </c>
      <c r="F28" s="60" t="s">
        <v>43</v>
      </c>
      <c r="G28" s="47">
        <v>1</v>
      </c>
      <c r="H28" s="133">
        <f>IF(B$17=0,0,G28/B$17)</f>
        <v>1.30718954248366E-3</v>
      </c>
      <c r="I28" s="94">
        <v>2</v>
      </c>
      <c r="K28" s="38">
        <v>26</v>
      </c>
      <c r="L28" s="99">
        <v>1.8999999999999986</v>
      </c>
    </row>
    <row r="29" spans="1:17" x14ac:dyDescent="0.4">
      <c r="E29" s="63" t="s">
        <v>91</v>
      </c>
      <c r="F29" s="60" t="s">
        <v>46</v>
      </c>
      <c r="G29" s="47">
        <v>1</v>
      </c>
      <c r="H29" s="133">
        <f>IF(B$17=0,0,G29/B$17)</f>
        <v>1.30718954248366E-3</v>
      </c>
      <c r="I29" s="94">
        <v>2</v>
      </c>
      <c r="K29" s="38">
        <v>27</v>
      </c>
      <c r="L29" s="99">
        <v>-1.3322676295501878E-15</v>
      </c>
    </row>
    <row r="30" spans="1:17" x14ac:dyDescent="0.4">
      <c r="E30" s="63" t="s">
        <v>94</v>
      </c>
      <c r="F30" s="60" t="s">
        <v>49</v>
      </c>
      <c r="G30" s="47">
        <v>1</v>
      </c>
      <c r="H30" s="133">
        <f>IF(B$17=0,0,G30/B$17)</f>
        <v>1.30718954248366E-3</v>
      </c>
      <c r="I30" s="94">
        <v>2</v>
      </c>
      <c r="K30" s="38">
        <v>28</v>
      </c>
      <c r="L30" s="99">
        <v>-58.3</v>
      </c>
    </row>
    <row r="31" spans="1:17" x14ac:dyDescent="0.4">
      <c r="E31" s="63" t="s">
        <v>96</v>
      </c>
      <c r="F31" s="60" t="s">
        <v>51</v>
      </c>
      <c r="G31" s="47">
        <v>1</v>
      </c>
      <c r="H31" s="133">
        <f>IF(B$17=0,0,G31/B$17)</f>
        <v>1.30718954248366E-3</v>
      </c>
      <c r="I31" s="94">
        <v>2</v>
      </c>
      <c r="K31" s="38">
        <v>29</v>
      </c>
      <c r="L31" s="99">
        <v>-9.5</v>
      </c>
    </row>
    <row r="32" spans="1:17" x14ac:dyDescent="0.4">
      <c r="E32" s="63" t="s">
        <v>77</v>
      </c>
      <c r="F32" s="60" t="s">
        <v>32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0</v>
      </c>
    </row>
    <row r="33" spans="5:12" x14ac:dyDescent="0.4">
      <c r="E33" s="63" t="s">
        <v>81</v>
      </c>
      <c r="F33" s="60" t="s">
        <v>36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29.1</v>
      </c>
    </row>
    <row r="34" spans="5:12" x14ac:dyDescent="0.4">
      <c r="E34" s="63" t="s">
        <v>83</v>
      </c>
      <c r="F34" s="60" t="s">
        <v>38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4.3000000000000007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38.399999999999991</v>
      </c>
    </row>
    <row r="52" spans="5:12" x14ac:dyDescent="0.4"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</sheetData>
  <sortState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AF3C7-718A-4B12-AD91-410A3D295C7C}">
  <sheetPr codeName="Sheet7"/>
  <dimension ref="A1:Q73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71</v>
      </c>
      <c r="C2" s="147"/>
      <c r="E2" s="62" t="s">
        <v>67</v>
      </c>
      <c r="F2" s="59" t="s">
        <v>23</v>
      </c>
      <c r="G2" s="46">
        <v>171</v>
      </c>
      <c r="H2" s="132">
        <f>IF(B$17=0,0,G2/B$17)</f>
        <v>0.75663716814159288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2756.3380281690143</v>
      </c>
      <c r="P2" s="118">
        <v>71</v>
      </c>
      <c r="Q2" s="102">
        <v>195700</v>
      </c>
    </row>
    <row r="3" spans="1:17" x14ac:dyDescent="0.4">
      <c r="A3" s="55" t="s">
        <v>8</v>
      </c>
      <c r="B3" s="148">
        <v>567</v>
      </c>
      <c r="C3" s="149"/>
      <c r="E3" s="63" t="s">
        <v>73</v>
      </c>
      <c r="F3" s="60" t="s">
        <v>28</v>
      </c>
      <c r="G3" s="47">
        <v>124</v>
      </c>
      <c r="H3" s="133">
        <f>IF(B$17=0,0,G3/B$17)</f>
        <v>0.54867256637168138</v>
      </c>
      <c r="I3" s="94">
        <v>6</v>
      </c>
      <c r="K3" s="38">
        <v>1</v>
      </c>
      <c r="L3" s="99">
        <v>-5.0999999999999996</v>
      </c>
      <c r="N3" s="115" t="s">
        <v>133</v>
      </c>
      <c r="O3" s="122">
        <f t="shared" si="0"/>
        <v>2900</v>
      </c>
      <c r="P3" s="119">
        <v>70</v>
      </c>
      <c r="Q3" s="103">
        <v>203000</v>
      </c>
    </row>
    <row r="4" spans="1:17" x14ac:dyDescent="0.4">
      <c r="A4" s="55" t="s">
        <v>6</v>
      </c>
      <c r="B4" s="150">
        <v>1644.6000000000006</v>
      </c>
      <c r="C4" s="151"/>
      <c r="E4" s="63" t="s">
        <v>65</v>
      </c>
      <c r="F4" s="60" t="s">
        <v>21</v>
      </c>
      <c r="G4" s="47">
        <v>109</v>
      </c>
      <c r="H4" s="133">
        <f>IF(B$17=0,0,G4/B$17)</f>
        <v>0.48230088495575218</v>
      </c>
      <c r="I4" s="94">
        <v>7</v>
      </c>
      <c r="K4" s="38">
        <v>2</v>
      </c>
      <c r="L4" s="99">
        <v>-2.8999999999999995</v>
      </c>
      <c r="N4" s="115" t="s">
        <v>134</v>
      </c>
      <c r="O4" s="122">
        <f t="shared" si="0"/>
        <v>3387.878787878788</v>
      </c>
      <c r="P4" s="119">
        <v>66</v>
      </c>
      <c r="Q4" s="103">
        <v>223600</v>
      </c>
    </row>
    <row r="5" spans="1:17" x14ac:dyDescent="0.4">
      <c r="A5" s="55" t="s">
        <v>7</v>
      </c>
      <c r="B5" s="152">
        <f>IF(B$2=0,0,B$4/B$2)</f>
        <v>23.163380281690149</v>
      </c>
      <c r="C5" s="153"/>
      <c r="E5" s="63" t="s">
        <v>181</v>
      </c>
      <c r="F5" s="60" t="s">
        <v>182</v>
      </c>
      <c r="G5" s="47">
        <v>92</v>
      </c>
      <c r="H5" s="133">
        <f>IF(B$17=0,0,G5/B$17)</f>
        <v>0.40707964601769914</v>
      </c>
      <c r="I5" s="94">
        <v>3</v>
      </c>
      <c r="K5" s="38">
        <v>3</v>
      </c>
      <c r="L5" s="99">
        <v>70.399999999999991</v>
      </c>
      <c r="N5" s="115" t="s">
        <v>135</v>
      </c>
      <c r="O5" s="122">
        <f t="shared" si="0"/>
        <v>4230.5084745762715</v>
      </c>
      <c r="P5" s="119">
        <v>59</v>
      </c>
      <c r="Q5" s="103">
        <v>249600</v>
      </c>
    </row>
    <row r="6" spans="1:17" x14ac:dyDescent="0.4">
      <c r="A6" s="55" t="s">
        <v>1</v>
      </c>
      <c r="B6" s="142">
        <f>IF(B$2=0,0,(B$7*1+B$8*2+B$9*3)/B$2)</f>
        <v>1.5352112676056338</v>
      </c>
      <c r="C6" s="143"/>
      <c r="E6" s="63" t="s">
        <v>68</v>
      </c>
      <c r="F6" s="60" t="s">
        <v>24</v>
      </c>
      <c r="G6" s="47">
        <v>74</v>
      </c>
      <c r="H6" s="133">
        <f>IF(B$17=0,0,G6/B$17)</f>
        <v>0.32743362831858408</v>
      </c>
      <c r="I6" s="94">
        <v>5</v>
      </c>
      <c r="K6" s="38">
        <v>4</v>
      </c>
      <c r="L6" s="99">
        <v>110.5</v>
      </c>
      <c r="N6" s="115" t="s">
        <v>136</v>
      </c>
      <c r="O6" s="122">
        <f t="shared" si="0"/>
        <v>603.77358490566041</v>
      </c>
      <c r="P6" s="119">
        <v>53</v>
      </c>
      <c r="Q6" s="103">
        <v>32000</v>
      </c>
    </row>
    <row r="7" spans="1:17" x14ac:dyDescent="0.4">
      <c r="A7" s="55" t="s">
        <v>2</v>
      </c>
      <c r="B7" s="47">
        <v>43</v>
      </c>
      <c r="C7" s="39">
        <f>IF(B$2=0,0,B7/B$2)</f>
        <v>0.60563380281690138</v>
      </c>
      <c r="E7" s="63" t="s">
        <v>69</v>
      </c>
      <c r="F7" s="60" t="s">
        <v>12</v>
      </c>
      <c r="G7" s="47">
        <v>55</v>
      </c>
      <c r="H7" s="133">
        <f>IF(B$17=0,0,G7/B$17)</f>
        <v>0.24336283185840707</v>
      </c>
      <c r="I7" s="94">
        <v>8</v>
      </c>
      <c r="K7" s="38">
        <v>5</v>
      </c>
      <c r="L7" s="99">
        <v>201.4</v>
      </c>
      <c r="N7" s="116" t="s">
        <v>137</v>
      </c>
      <c r="O7" s="123">
        <f t="shared" si="0"/>
        <v>1544.8979591836735</v>
      </c>
      <c r="P7" s="120">
        <v>49</v>
      </c>
      <c r="Q7" s="104">
        <v>75700</v>
      </c>
    </row>
    <row r="8" spans="1:17" x14ac:dyDescent="0.4">
      <c r="A8" s="55" t="s">
        <v>3</v>
      </c>
      <c r="B8" s="47">
        <v>18</v>
      </c>
      <c r="C8" s="39">
        <f>IF(B$2=0,0,B8/B$2)</f>
        <v>0.25352112676056338</v>
      </c>
      <c r="E8" s="63" t="s">
        <v>70</v>
      </c>
      <c r="F8" s="60" t="s">
        <v>25</v>
      </c>
      <c r="G8" s="47">
        <v>42</v>
      </c>
      <c r="H8" s="133">
        <f>IF(B$17=0,0,G8/B$17)</f>
        <v>0.18584070796460178</v>
      </c>
      <c r="I8" s="94">
        <v>6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10</v>
      </c>
      <c r="C9" s="40">
        <f t="shared" ref="C9" si="1">IF(B$2=0,0,B9/B$2)</f>
        <v>0.14084507042253522</v>
      </c>
      <c r="E9" s="63" t="s">
        <v>90</v>
      </c>
      <c r="F9" s="60" t="s">
        <v>45</v>
      </c>
      <c r="G9" s="47">
        <v>42</v>
      </c>
      <c r="H9" s="133">
        <f>IF(B$17=0,0,G9/B$17)</f>
        <v>0.18584070796460178</v>
      </c>
      <c r="I9" s="94">
        <v>4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4.2253521126760563E-2</v>
      </c>
      <c r="E10" s="63" t="s">
        <v>66</v>
      </c>
      <c r="F10" s="60" t="s">
        <v>22</v>
      </c>
      <c r="G10" s="47">
        <v>32</v>
      </c>
      <c r="H10" s="133">
        <f>IF(B$17=0,0,G10/B$17)</f>
        <v>0.1415929203539823</v>
      </c>
      <c r="I10" s="94">
        <v>3</v>
      </c>
      <c r="K10" s="38">
        <v>8</v>
      </c>
      <c r="L10" s="99">
        <v>285.20000000000005</v>
      </c>
      <c r="N10" s="114" t="s">
        <v>164</v>
      </c>
      <c r="O10" s="124">
        <f>IF(P10=0,0,Q10/P10)</f>
        <v>21.395652173913042</v>
      </c>
      <c r="P10" s="118">
        <v>23</v>
      </c>
      <c r="Q10" s="106">
        <v>492.09999999999997</v>
      </c>
    </row>
    <row r="11" spans="1:17" x14ac:dyDescent="0.4">
      <c r="A11" s="56" t="s">
        <v>140</v>
      </c>
      <c r="B11" s="48">
        <v>14</v>
      </c>
      <c r="C11" s="40">
        <f>IF(B$2=0,0,B11/B$2)</f>
        <v>0.19718309859154928</v>
      </c>
      <c r="E11" s="63" t="s">
        <v>71</v>
      </c>
      <c r="F11" s="60" t="s">
        <v>26</v>
      </c>
      <c r="G11" s="47">
        <v>20</v>
      </c>
      <c r="H11" s="133">
        <f>IF(B$17=0,0,G11/B$17)</f>
        <v>8.8495575221238937E-2</v>
      </c>
      <c r="I11" s="94">
        <v>6</v>
      </c>
      <c r="K11" s="38">
        <v>9</v>
      </c>
      <c r="L11" s="99">
        <v>277.90000000000003</v>
      </c>
      <c r="N11" s="115" t="s">
        <v>165</v>
      </c>
      <c r="O11" s="125">
        <f>IF(P11=0,0,Q11/P11)</f>
        <v>19.919999999999998</v>
      </c>
      <c r="P11" s="119">
        <v>20</v>
      </c>
      <c r="Q11" s="107">
        <v>398.4</v>
      </c>
    </row>
    <row r="12" spans="1:17" x14ac:dyDescent="0.4">
      <c r="A12" s="57" t="s">
        <v>160</v>
      </c>
      <c r="B12" s="49">
        <v>16</v>
      </c>
      <c r="C12" s="42">
        <f>IF(B$2=0,0,B12/B$2)</f>
        <v>0.22535211267605634</v>
      </c>
      <c r="E12" s="63" t="s">
        <v>87</v>
      </c>
      <c r="F12" s="60" t="s">
        <v>42</v>
      </c>
      <c r="G12" s="47">
        <v>19</v>
      </c>
      <c r="H12" s="133">
        <f>IF(B$17=0,0,G12/B$17)</f>
        <v>8.4070796460176997E-2</v>
      </c>
      <c r="I12" s="94">
        <v>4</v>
      </c>
      <c r="K12" s="38">
        <v>10</v>
      </c>
      <c r="L12" s="99">
        <v>246.20000000000005</v>
      </c>
      <c r="N12" s="116" t="s">
        <v>166</v>
      </c>
      <c r="O12" s="126">
        <f>IF(P12=0,0,Q12/P12)</f>
        <v>26.93214285714286</v>
      </c>
      <c r="P12" s="120">
        <v>28</v>
      </c>
      <c r="Q12" s="108">
        <v>754.10000000000014</v>
      </c>
    </row>
    <row r="13" spans="1:17" x14ac:dyDescent="0.4">
      <c r="A13" s="58" t="s">
        <v>122</v>
      </c>
      <c r="B13" s="50">
        <v>188</v>
      </c>
      <c r="C13" s="44">
        <f>IF(B$3=0,0,B13/B$3)</f>
        <v>0.33156966490299822</v>
      </c>
      <c r="E13" s="63" t="s">
        <v>72</v>
      </c>
      <c r="F13" s="60" t="s">
        <v>27</v>
      </c>
      <c r="G13" s="47">
        <v>13</v>
      </c>
      <c r="H13" s="133">
        <f>IF(B$17=0,0,G13/B$17)</f>
        <v>5.7522123893805309E-2</v>
      </c>
      <c r="I13" s="94">
        <v>4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139</v>
      </c>
      <c r="C14" s="39">
        <f>IF(B$3=0,0,B14/B$3)</f>
        <v>0.24514991181657847</v>
      </c>
      <c r="E14" s="63" t="s">
        <v>84</v>
      </c>
      <c r="F14" s="60" t="s">
        <v>39</v>
      </c>
      <c r="G14" s="47">
        <v>13</v>
      </c>
      <c r="H14" s="133">
        <f>IF(B$17=0,0,G14/B$17)</f>
        <v>5.7522123893805309E-2</v>
      </c>
      <c r="I14" s="94">
        <v>4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117</v>
      </c>
      <c r="C15" s="37">
        <f>IF(B$13=0,0,B15/B$13)</f>
        <v>0.62234042553191493</v>
      </c>
      <c r="E15" s="63" t="s">
        <v>82</v>
      </c>
      <c r="F15" s="60" t="s">
        <v>37</v>
      </c>
      <c r="G15" s="47">
        <v>7</v>
      </c>
      <c r="H15" s="133">
        <f>IF(B$17=0,0,G15/B$17)</f>
        <v>3.0973451327433628E-2</v>
      </c>
      <c r="I15" s="94">
        <v>4</v>
      </c>
      <c r="K15" s="38">
        <v>13</v>
      </c>
      <c r="L15" s="99">
        <v>418.90000000000003</v>
      </c>
      <c r="N15" s="114" t="s">
        <v>185</v>
      </c>
      <c r="O15" s="124">
        <f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74</v>
      </c>
      <c r="C16" s="37">
        <f>IF(B$14=0,0,B16/B$14)</f>
        <v>0.53237410071942448</v>
      </c>
      <c r="E16" s="63" t="s">
        <v>180</v>
      </c>
      <c r="F16" s="60" t="s">
        <v>183</v>
      </c>
      <c r="G16" s="47">
        <v>5</v>
      </c>
      <c r="H16" s="133">
        <f>IF(B$17=0,0,G16/B$17)</f>
        <v>2.2123893805309734E-2</v>
      </c>
      <c r="I16" s="94">
        <v>3</v>
      </c>
      <c r="K16" s="38">
        <v>14</v>
      </c>
      <c r="L16" s="99">
        <v>473.50000000000006</v>
      </c>
      <c r="N16" s="115" t="s">
        <v>129</v>
      </c>
      <c r="O16" s="125">
        <f>IF(P16=0,0,Q16/P16)</f>
        <v>62.552631578947377</v>
      </c>
      <c r="P16" s="119">
        <v>19</v>
      </c>
      <c r="Q16" s="107">
        <v>1188.5000000000002</v>
      </c>
    </row>
    <row r="17" spans="1:17" x14ac:dyDescent="0.4">
      <c r="A17" s="54" t="s">
        <v>10</v>
      </c>
      <c r="B17" s="46">
        <f>B19+B18</f>
        <v>226</v>
      </c>
      <c r="C17" s="37">
        <f>IF(B$3=0,0,B17/B$3)</f>
        <v>0.3985890652557319</v>
      </c>
      <c r="E17" s="63" t="s">
        <v>79</v>
      </c>
      <c r="F17" s="60" t="s">
        <v>34</v>
      </c>
      <c r="G17" s="47">
        <v>4</v>
      </c>
      <c r="H17" s="133">
        <f>IF(B$17=0,0,G17/B$17)</f>
        <v>1.7699115044247787E-2</v>
      </c>
      <c r="I17" s="94">
        <v>6</v>
      </c>
      <c r="K17" s="38">
        <v>15</v>
      </c>
      <c r="L17" s="99">
        <v>481.50000000000006</v>
      </c>
      <c r="N17" s="115" t="s">
        <v>186</v>
      </c>
      <c r="O17" s="125">
        <f>IF(P17=0,0,Q17/P17)</f>
        <v>56.8</v>
      </c>
      <c r="P17" s="119">
        <v>4</v>
      </c>
      <c r="Q17" s="107">
        <v>227.2</v>
      </c>
    </row>
    <row r="18" spans="1:17" x14ac:dyDescent="0.4">
      <c r="A18" s="55" t="s">
        <v>12</v>
      </c>
      <c r="B18" s="47">
        <v>93</v>
      </c>
      <c r="C18" s="39">
        <f>IF(B$17=0,0,B18/B$17)</f>
        <v>0.41150442477876104</v>
      </c>
      <c r="E18" s="63" t="s">
        <v>92</v>
      </c>
      <c r="F18" s="60" t="s">
        <v>47</v>
      </c>
      <c r="G18" s="47">
        <v>3</v>
      </c>
      <c r="H18" s="133">
        <f>IF(B$17=0,0,G18/B$17)</f>
        <v>1.3274336283185841E-2</v>
      </c>
      <c r="I18" s="94">
        <v>5</v>
      </c>
      <c r="K18" s="38">
        <v>16</v>
      </c>
      <c r="L18" s="99">
        <v>425.50000000000006</v>
      </c>
      <c r="N18" s="115" t="s">
        <v>177</v>
      </c>
      <c r="O18" s="125">
        <f>IF(P18=0,0,Q18/P18)</f>
        <v>40.06666666666667</v>
      </c>
      <c r="P18" s="119">
        <v>9</v>
      </c>
      <c r="Q18" s="107">
        <v>360.6</v>
      </c>
    </row>
    <row r="19" spans="1:17" x14ac:dyDescent="0.4">
      <c r="A19" s="55" t="s">
        <v>11</v>
      </c>
      <c r="B19" s="47">
        <v>133</v>
      </c>
      <c r="C19" s="39">
        <f>IF(B$17=0,0,B19/B$17)</f>
        <v>0.58849557522123896</v>
      </c>
      <c r="E19" s="63" t="s">
        <v>74</v>
      </c>
      <c r="F19" s="60" t="s">
        <v>29</v>
      </c>
      <c r="G19" s="47">
        <v>2</v>
      </c>
      <c r="H19" s="133">
        <f>IF(B$17=0,0,G19/B$17)</f>
        <v>8.8495575221238937E-3</v>
      </c>
      <c r="I19" s="94">
        <v>2</v>
      </c>
      <c r="K19" s="38">
        <v>17</v>
      </c>
      <c r="L19" s="99">
        <v>427.40000000000003</v>
      </c>
      <c r="N19" s="115" t="s">
        <v>173</v>
      </c>
      <c r="O19" s="125">
        <f>IF(P19=0,0,Q19/P19)</f>
        <v>39.241666666666667</v>
      </c>
      <c r="P19" s="119">
        <v>12</v>
      </c>
      <c r="Q19" s="107">
        <v>470.9</v>
      </c>
    </row>
    <row r="20" spans="1:17" x14ac:dyDescent="0.4">
      <c r="A20" s="55" t="s">
        <v>13</v>
      </c>
      <c r="B20" s="47">
        <v>83</v>
      </c>
      <c r="C20" s="39">
        <f>IF(B$3=0,0,B20/B$3)</f>
        <v>0.14638447971781304</v>
      </c>
      <c r="E20" s="63" t="s">
        <v>76</v>
      </c>
      <c r="F20" s="60" t="s">
        <v>31</v>
      </c>
      <c r="G20" s="47">
        <v>1</v>
      </c>
      <c r="H20" s="133">
        <f>IF(B$17=0,0,G20/B$17)</f>
        <v>4.4247787610619468E-3</v>
      </c>
      <c r="I20" s="94">
        <v>5</v>
      </c>
      <c r="K20" s="38">
        <v>18</v>
      </c>
      <c r="L20" s="99">
        <v>429.3</v>
      </c>
      <c r="N20" s="115" t="s">
        <v>172</v>
      </c>
      <c r="O20" s="125">
        <f>IF(P20=0,0,Q20/P20)</f>
        <v>38.435294117647068</v>
      </c>
      <c r="P20" s="119">
        <v>17</v>
      </c>
      <c r="Q20" s="107">
        <v>653.4000000000002</v>
      </c>
    </row>
    <row r="21" spans="1:17" x14ac:dyDescent="0.4">
      <c r="A21" s="55" t="s">
        <v>193</v>
      </c>
      <c r="B21" s="47">
        <v>7</v>
      </c>
      <c r="C21" s="135">
        <v>0</v>
      </c>
      <c r="E21" s="63" t="s">
        <v>78</v>
      </c>
      <c r="F21" s="60" t="s">
        <v>33</v>
      </c>
      <c r="G21" s="47">
        <v>1</v>
      </c>
      <c r="H21" s="133">
        <f>IF(B$17=0,0,G21/B$17)</f>
        <v>4.4247787610619468E-3</v>
      </c>
      <c r="I21" s="94">
        <v>2</v>
      </c>
      <c r="K21" s="38">
        <v>19</v>
      </c>
      <c r="L21" s="99">
        <v>405.40000000000003</v>
      </c>
      <c r="N21" s="115" t="s">
        <v>128</v>
      </c>
      <c r="O21" s="125">
        <f>IF(P21=0,0,Q21/P21)</f>
        <v>26.112727272727287</v>
      </c>
      <c r="P21" s="119">
        <v>55</v>
      </c>
      <c r="Q21" s="107">
        <v>1436.2000000000007</v>
      </c>
    </row>
    <row r="22" spans="1:17" x14ac:dyDescent="0.4">
      <c r="A22" s="55" t="s">
        <v>194</v>
      </c>
      <c r="B22" s="47">
        <v>27</v>
      </c>
      <c r="C22" s="135">
        <v>3</v>
      </c>
      <c r="E22" s="63" t="s">
        <v>80</v>
      </c>
      <c r="F22" s="60" t="s">
        <v>35</v>
      </c>
      <c r="G22" s="47">
        <v>1</v>
      </c>
      <c r="H22" s="133">
        <f>IF(B$17=0,0,G22/B$17)</f>
        <v>4.4247787610619468E-3</v>
      </c>
      <c r="I22" s="94">
        <v>5</v>
      </c>
      <c r="K22" s="38">
        <v>20</v>
      </c>
      <c r="L22" s="99">
        <v>469.6</v>
      </c>
      <c r="N22" s="115" t="s">
        <v>202</v>
      </c>
      <c r="O22" s="125">
        <f>IF(P22=0,0,Q22/P22)</f>
        <v>23.1</v>
      </c>
      <c r="P22" s="119">
        <v>1</v>
      </c>
      <c r="Q22" s="107">
        <v>23.1</v>
      </c>
    </row>
    <row r="23" spans="1:17" x14ac:dyDescent="0.4">
      <c r="A23" s="55" t="s">
        <v>5</v>
      </c>
      <c r="B23" s="51">
        <f>IF(B$17=0,0,C23/B$17)</f>
        <v>9378.7610619469033</v>
      </c>
      <c r="C23" s="41">
        <v>2119600</v>
      </c>
      <c r="E23" s="63" t="s">
        <v>88</v>
      </c>
      <c r="F23" s="60" t="s">
        <v>43</v>
      </c>
      <c r="G23" s="47">
        <v>1</v>
      </c>
      <c r="H23" s="133">
        <f>IF(B$17=0,0,G23/B$17)</f>
        <v>4.4247787610619468E-3</v>
      </c>
      <c r="I23" s="94">
        <v>1</v>
      </c>
      <c r="K23" s="38">
        <v>21</v>
      </c>
      <c r="L23" s="99">
        <v>468.3</v>
      </c>
      <c r="N23" s="115" t="s">
        <v>171</v>
      </c>
      <c r="O23" s="125">
        <f>IF(P23=0,0,Q23/P23)</f>
        <v>21.029166666666658</v>
      </c>
      <c r="P23" s="119">
        <v>24</v>
      </c>
      <c r="Q23" s="107">
        <v>504.69999999999982</v>
      </c>
    </row>
    <row r="24" spans="1:17" x14ac:dyDescent="0.4">
      <c r="A24" s="57" t="s">
        <v>14</v>
      </c>
      <c r="B24" s="52">
        <f>IF(B$20=0,0,C24/B$20)</f>
        <v>-7969.8795180722891</v>
      </c>
      <c r="C24" s="45">
        <v>-661500</v>
      </c>
      <c r="E24" s="63" t="s">
        <v>91</v>
      </c>
      <c r="F24" s="60" t="s">
        <v>46</v>
      </c>
      <c r="G24" s="47">
        <v>1</v>
      </c>
      <c r="H24" s="133">
        <f>IF(B$17=0,0,G24/B$17)</f>
        <v>4.4247787610619468E-3</v>
      </c>
      <c r="I24" s="94">
        <v>1</v>
      </c>
      <c r="K24" s="38">
        <v>22</v>
      </c>
      <c r="L24" s="99">
        <v>519.20000000000005</v>
      </c>
    </row>
    <row r="25" spans="1:17" x14ac:dyDescent="0.4">
      <c r="A25" s="90" t="s">
        <v>142</v>
      </c>
      <c r="B25" s="140">
        <v>7</v>
      </c>
      <c r="C25" s="141"/>
      <c r="E25" s="63" t="s">
        <v>93</v>
      </c>
      <c r="F25" s="60" t="s">
        <v>48</v>
      </c>
      <c r="G25" s="47">
        <v>1</v>
      </c>
      <c r="H25" s="133">
        <f>IF(B$17=0,0,G25/B$17)</f>
        <v>4.4247787610619468E-3</v>
      </c>
      <c r="I25" s="94">
        <v>4</v>
      </c>
      <c r="K25" s="38">
        <v>23</v>
      </c>
      <c r="L25" s="99">
        <v>555.90000000000009</v>
      </c>
    </row>
    <row r="26" spans="1:17" x14ac:dyDescent="0.4">
      <c r="A26" s="58" t="s">
        <v>152</v>
      </c>
      <c r="B26" s="138">
        <v>116000</v>
      </c>
      <c r="C26" s="139"/>
      <c r="E26" s="63" t="s">
        <v>94</v>
      </c>
      <c r="F26" s="60" t="s">
        <v>49</v>
      </c>
      <c r="G26" s="47">
        <v>1</v>
      </c>
      <c r="H26" s="133">
        <f>IF(B$17=0,0,G26/B$17)</f>
        <v>4.4247787610619468E-3</v>
      </c>
      <c r="I26" s="94">
        <v>1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96</v>
      </c>
      <c r="F27" s="60" t="s">
        <v>51</v>
      </c>
      <c r="G27" s="47">
        <v>1</v>
      </c>
      <c r="H27" s="133">
        <f>IF(B$17=0,0,G27/B$17)</f>
        <v>4.4247787610619468E-3</v>
      </c>
      <c r="I27" s="94">
        <v>1</v>
      </c>
      <c r="K27" s="38">
        <v>25</v>
      </c>
      <c r="L27" s="99">
        <v>655.20000000000005</v>
      </c>
    </row>
    <row r="28" spans="1:17" x14ac:dyDescent="0.4">
      <c r="E28" s="63" t="s">
        <v>75</v>
      </c>
      <c r="F28" s="60" t="s">
        <v>30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625.40000000000009</v>
      </c>
    </row>
    <row r="29" spans="1:17" x14ac:dyDescent="0.4">
      <c r="E29" s="63" t="s">
        <v>77</v>
      </c>
      <c r="F29" s="60" t="s">
        <v>32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596.30000000000007</v>
      </c>
    </row>
    <row r="30" spans="1:17" x14ac:dyDescent="0.4">
      <c r="E30" s="63" t="s">
        <v>81</v>
      </c>
      <c r="F30" s="60" t="s">
        <v>36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655.6</v>
      </c>
    </row>
    <row r="31" spans="1:17" x14ac:dyDescent="0.4">
      <c r="E31" s="63" t="s">
        <v>83</v>
      </c>
      <c r="F31" s="60" t="s">
        <v>38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703.1</v>
      </c>
    </row>
    <row r="32" spans="1:17" x14ac:dyDescent="0.4">
      <c r="E32" s="63" t="s">
        <v>85</v>
      </c>
      <c r="F32" s="60" t="s">
        <v>40</v>
      </c>
      <c r="G32" s="47">
        <v>0</v>
      </c>
      <c r="H32" s="133">
        <f>IF(B$17=0,0,G32/B$17)</f>
        <v>0</v>
      </c>
      <c r="I32" s="94">
        <v>3</v>
      </c>
      <c r="K32" s="38">
        <v>30</v>
      </c>
      <c r="L32" s="99">
        <v>733.6</v>
      </c>
    </row>
    <row r="33" spans="5:12" x14ac:dyDescent="0.4">
      <c r="E33" s="63" t="s">
        <v>86</v>
      </c>
      <c r="F33" s="60" t="s">
        <v>41</v>
      </c>
      <c r="G33" s="47">
        <v>0</v>
      </c>
      <c r="H33" s="133">
        <f>IF(B$17=0,0,G33/B$17)</f>
        <v>0</v>
      </c>
      <c r="I33" s="94">
        <v>3</v>
      </c>
      <c r="K33" s="38">
        <v>31</v>
      </c>
      <c r="L33" s="99">
        <v>796.80000000000007</v>
      </c>
    </row>
    <row r="34" spans="5:12" x14ac:dyDescent="0.4">
      <c r="E34" s="63" t="s">
        <v>89</v>
      </c>
      <c r="F34" s="60" t="s">
        <v>44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788.30000000000007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907.3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1013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1131.0999999999999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1208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1259.3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1289.8999999999999</v>
      </c>
    </row>
    <row r="52" spans="5:12" x14ac:dyDescent="0.4"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CA727-DF41-40D9-AD6B-6479B9B6C2F4}">
  <sheetPr codeName="Sheet9"/>
  <dimension ref="A1:Q75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128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73</v>
      </c>
      <c r="C2" s="147"/>
      <c r="E2" s="62" t="s">
        <v>67</v>
      </c>
      <c r="F2" s="59" t="s">
        <v>23</v>
      </c>
      <c r="G2" s="46">
        <v>114</v>
      </c>
      <c r="H2" s="132">
        <f>IF(B$17=0,0,G2/B$17)</f>
        <v>0.65895953757225434</v>
      </c>
      <c r="I2" s="93">
        <v>10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1172.6027397260275</v>
      </c>
      <c r="P2" s="118">
        <v>73</v>
      </c>
      <c r="Q2" s="102">
        <v>85600</v>
      </c>
    </row>
    <row r="3" spans="1:17" x14ac:dyDescent="0.4">
      <c r="A3" s="55" t="s">
        <v>8</v>
      </c>
      <c r="B3" s="148">
        <v>606</v>
      </c>
      <c r="C3" s="149"/>
      <c r="E3" s="63" t="s">
        <v>65</v>
      </c>
      <c r="F3" s="60" t="s">
        <v>21</v>
      </c>
      <c r="G3" s="47">
        <v>101</v>
      </c>
      <c r="H3" s="133">
        <f>IF(B$17=0,0,G3/B$17)</f>
        <v>0.58381502890173409</v>
      </c>
      <c r="I3" s="94">
        <v>4</v>
      </c>
      <c r="K3" s="38">
        <v>1</v>
      </c>
      <c r="L3" s="99">
        <v>45.5</v>
      </c>
      <c r="N3" s="115" t="s">
        <v>133</v>
      </c>
      <c r="O3" s="122">
        <f t="shared" si="0"/>
        <v>-1784.7222222222222</v>
      </c>
      <c r="P3" s="119">
        <v>72</v>
      </c>
      <c r="Q3" s="103">
        <v>-128500</v>
      </c>
    </row>
    <row r="4" spans="1:17" x14ac:dyDescent="0.4">
      <c r="A4" s="55" t="s">
        <v>6</v>
      </c>
      <c r="B4" s="150">
        <v>-157.60000000000005</v>
      </c>
      <c r="C4" s="151"/>
      <c r="E4" s="63" t="s">
        <v>73</v>
      </c>
      <c r="F4" s="60" t="s">
        <v>28</v>
      </c>
      <c r="G4" s="47">
        <v>76</v>
      </c>
      <c r="H4" s="133">
        <f>IF(B$17=0,0,G4/B$17)</f>
        <v>0.43930635838150289</v>
      </c>
      <c r="I4" s="94">
        <v>10</v>
      </c>
      <c r="K4" s="38">
        <v>2</v>
      </c>
      <c r="L4" s="99">
        <v>6.2999999999999972</v>
      </c>
      <c r="N4" s="115" t="s">
        <v>134</v>
      </c>
      <c r="O4" s="122">
        <f t="shared" si="0"/>
        <v>-1837.6811594202898</v>
      </c>
      <c r="P4" s="119">
        <v>69</v>
      </c>
      <c r="Q4" s="103">
        <v>-126800</v>
      </c>
    </row>
    <row r="5" spans="1:17" x14ac:dyDescent="0.4">
      <c r="A5" s="55" t="s">
        <v>7</v>
      </c>
      <c r="B5" s="152">
        <f>IF(B$2=0,0,B$4/B$2)</f>
        <v>-2.158904109589042</v>
      </c>
      <c r="C5" s="153"/>
      <c r="E5" s="63" t="s">
        <v>181</v>
      </c>
      <c r="F5" s="60" t="s">
        <v>182</v>
      </c>
      <c r="G5" s="47">
        <v>74</v>
      </c>
      <c r="H5" s="133">
        <f>IF(B$17=0,0,G5/B$17)</f>
        <v>0.4277456647398844</v>
      </c>
      <c r="I5" s="94">
        <v>2</v>
      </c>
      <c r="K5" s="38">
        <v>3</v>
      </c>
      <c r="L5" s="99">
        <v>-47.300000000000004</v>
      </c>
      <c r="N5" s="115" t="s">
        <v>135</v>
      </c>
      <c r="O5" s="122">
        <f t="shared" si="0"/>
        <v>438.09523809523807</v>
      </c>
      <c r="P5" s="119">
        <v>63</v>
      </c>
      <c r="Q5" s="103">
        <v>27600</v>
      </c>
    </row>
    <row r="6" spans="1:17" x14ac:dyDescent="0.4">
      <c r="A6" s="55" t="s">
        <v>1</v>
      </c>
      <c r="B6" s="142">
        <f>IF(B$2=0,0,(B$7*1+B$8*2+B$9*3)/B$2)</f>
        <v>2.0547945205479454</v>
      </c>
      <c r="C6" s="143"/>
      <c r="E6" s="63" t="s">
        <v>68</v>
      </c>
      <c r="F6" s="60" t="s">
        <v>24</v>
      </c>
      <c r="G6" s="47">
        <v>60</v>
      </c>
      <c r="H6" s="133">
        <f>IF(B$17=0,0,G6/B$17)</f>
        <v>0.34682080924855491</v>
      </c>
      <c r="I6" s="94">
        <v>4</v>
      </c>
      <c r="K6" s="38">
        <v>4</v>
      </c>
      <c r="L6" s="99">
        <v>13.599999999999994</v>
      </c>
      <c r="N6" s="115" t="s">
        <v>136</v>
      </c>
      <c r="O6" s="122">
        <f t="shared" si="0"/>
        <v>806.89655172413791</v>
      </c>
      <c r="P6" s="119">
        <v>58</v>
      </c>
      <c r="Q6" s="103">
        <v>46800</v>
      </c>
    </row>
    <row r="7" spans="1:17" x14ac:dyDescent="0.4">
      <c r="A7" s="55" t="s">
        <v>2</v>
      </c>
      <c r="B7" s="47">
        <v>19</v>
      </c>
      <c r="C7" s="39">
        <f>IF(B$2=0,0,B7/B$2)</f>
        <v>0.26027397260273971</v>
      </c>
      <c r="E7" s="63" t="s">
        <v>69</v>
      </c>
      <c r="F7" s="60" t="s">
        <v>12</v>
      </c>
      <c r="G7" s="47">
        <v>56</v>
      </c>
      <c r="H7" s="133">
        <f>IF(B$17=0,0,G7/B$17)</f>
        <v>0.32369942196531792</v>
      </c>
      <c r="I7" s="94">
        <v>4</v>
      </c>
      <c r="K7" s="38">
        <v>5</v>
      </c>
      <c r="L7" s="99">
        <v>-16.600000000000005</v>
      </c>
      <c r="N7" s="116" t="s">
        <v>137</v>
      </c>
      <c r="O7" s="123">
        <f t="shared" si="0"/>
        <v>435.18518518518516</v>
      </c>
      <c r="P7" s="120">
        <v>54</v>
      </c>
      <c r="Q7" s="104">
        <v>23500</v>
      </c>
    </row>
    <row r="8" spans="1:17" x14ac:dyDescent="0.4">
      <c r="A8" s="55" t="s">
        <v>3</v>
      </c>
      <c r="B8" s="47">
        <v>31</v>
      </c>
      <c r="C8" s="39">
        <f>IF(B$2=0,0,B8/B$2)</f>
        <v>0.42465753424657532</v>
      </c>
      <c r="E8" s="63" t="s">
        <v>70</v>
      </c>
      <c r="F8" s="60" t="s">
        <v>25</v>
      </c>
      <c r="G8" s="47">
        <v>37</v>
      </c>
      <c r="H8" s="133">
        <f>IF(B$17=0,0,G8/B$17)</f>
        <v>0.2138728323699422</v>
      </c>
      <c r="I8" s="94">
        <v>3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23</v>
      </c>
      <c r="C9" s="40">
        <f t="shared" ref="C9" si="1">IF(B$2=0,0,B9/B$2)</f>
        <v>0.31506849315068491</v>
      </c>
      <c r="E9" s="63" t="s">
        <v>66</v>
      </c>
      <c r="F9" s="60" t="s">
        <v>22</v>
      </c>
      <c r="G9" s="47">
        <v>28</v>
      </c>
      <c r="H9" s="133">
        <f>IF(B$17=0,0,G9/B$17)</f>
        <v>0.16184971098265896</v>
      </c>
      <c r="I9" s="94">
        <v>1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9</v>
      </c>
      <c r="C10" s="40">
        <f>IF(B$2=0,0,B10/B$2)</f>
        <v>0.12328767123287671</v>
      </c>
      <c r="E10" s="63" t="s">
        <v>71</v>
      </c>
      <c r="F10" s="60" t="s">
        <v>26</v>
      </c>
      <c r="G10" s="47">
        <v>23</v>
      </c>
      <c r="H10" s="133">
        <f>IF(B$17=0,0,G10/B$17)</f>
        <v>0.13294797687861271</v>
      </c>
      <c r="I10" s="94">
        <v>3</v>
      </c>
      <c r="K10" s="38">
        <v>8</v>
      </c>
      <c r="L10" s="99">
        <v>-49.6</v>
      </c>
      <c r="N10" s="114" t="s">
        <v>164</v>
      </c>
      <c r="O10" s="124">
        <f>IF(P10=0,0,Q10/P10)</f>
        <v>-3.6885714285714291</v>
      </c>
      <c r="P10" s="118">
        <v>35</v>
      </c>
      <c r="Q10" s="106">
        <v>-129.10000000000002</v>
      </c>
    </row>
    <row r="11" spans="1:17" x14ac:dyDescent="0.4">
      <c r="A11" s="56" t="s">
        <v>140</v>
      </c>
      <c r="B11" s="48">
        <v>5</v>
      </c>
      <c r="C11" s="40">
        <f>IF(B$2=0,0,B11/B$2)</f>
        <v>6.8493150684931503E-2</v>
      </c>
      <c r="E11" s="63" t="s">
        <v>90</v>
      </c>
      <c r="F11" s="60" t="s">
        <v>45</v>
      </c>
      <c r="G11" s="47">
        <v>16</v>
      </c>
      <c r="H11" s="133">
        <f>IF(B$17=0,0,G11/B$17)</f>
        <v>9.2485549132947972E-2</v>
      </c>
      <c r="I11" s="94">
        <v>10</v>
      </c>
      <c r="K11" s="38">
        <v>9</v>
      </c>
      <c r="L11" s="99">
        <v>-79.5</v>
      </c>
      <c r="N11" s="115" t="s">
        <v>165</v>
      </c>
      <c r="O11" s="125">
        <f>IF(P11=0,0,Q11/P11)</f>
        <v>-6.9349999999999978</v>
      </c>
      <c r="P11" s="119">
        <v>20</v>
      </c>
      <c r="Q11" s="107">
        <v>-138.69999999999996</v>
      </c>
    </row>
    <row r="12" spans="1:17" x14ac:dyDescent="0.4">
      <c r="A12" s="57" t="s">
        <v>160</v>
      </c>
      <c r="B12" s="49">
        <v>5</v>
      </c>
      <c r="C12" s="42">
        <f>IF(B$2=0,0,B12/B$2)</f>
        <v>6.8493150684931503E-2</v>
      </c>
      <c r="E12" s="63" t="s">
        <v>87</v>
      </c>
      <c r="F12" s="60" t="s">
        <v>42</v>
      </c>
      <c r="G12" s="47">
        <v>11</v>
      </c>
      <c r="H12" s="133">
        <f>IF(B$17=0,0,G12/B$17)</f>
        <v>6.358381502890173E-2</v>
      </c>
      <c r="I12" s="94">
        <v>6</v>
      </c>
      <c r="K12" s="38">
        <v>10</v>
      </c>
      <c r="L12" s="99">
        <v>-80.900000000000006</v>
      </c>
      <c r="N12" s="116" t="s">
        <v>166</v>
      </c>
      <c r="O12" s="126">
        <f>IF(P12=0,0,Q12/P12)</f>
        <v>6.1222222222222227</v>
      </c>
      <c r="P12" s="120">
        <v>18</v>
      </c>
      <c r="Q12" s="108">
        <v>110.2</v>
      </c>
    </row>
    <row r="13" spans="1:17" x14ac:dyDescent="0.4">
      <c r="A13" s="58" t="s">
        <v>122</v>
      </c>
      <c r="B13" s="50">
        <v>168</v>
      </c>
      <c r="C13" s="44">
        <f>IF(B$3=0,0,B13/B$3)</f>
        <v>0.27722772277227725</v>
      </c>
      <c r="E13" s="63" t="s">
        <v>82</v>
      </c>
      <c r="F13" s="60" t="s">
        <v>37</v>
      </c>
      <c r="G13" s="47">
        <v>8</v>
      </c>
      <c r="H13" s="133">
        <f>IF(B$17=0,0,G13/B$17)</f>
        <v>4.6242774566473986E-2</v>
      </c>
      <c r="I13" s="94">
        <v>3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116</v>
      </c>
      <c r="C14" s="39">
        <f>IF(B$3=0,0,B14/B$3)</f>
        <v>0.19141914191419143</v>
      </c>
      <c r="E14" s="63" t="s">
        <v>72</v>
      </c>
      <c r="F14" s="60" t="s">
        <v>27</v>
      </c>
      <c r="G14" s="47">
        <v>7</v>
      </c>
      <c r="H14" s="133">
        <f>IF(B$17=0,0,G14/B$17)</f>
        <v>4.046242774566474E-2</v>
      </c>
      <c r="I14" s="94">
        <v>7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107</v>
      </c>
      <c r="C15" s="37">
        <f>IF(B$13=0,0,B15/B$13)</f>
        <v>0.63690476190476186</v>
      </c>
      <c r="E15" s="63" t="s">
        <v>84</v>
      </c>
      <c r="F15" s="60" t="s">
        <v>39</v>
      </c>
      <c r="G15" s="47">
        <v>5</v>
      </c>
      <c r="H15" s="133">
        <f>IF(B$17=0,0,G15/B$17)</f>
        <v>2.8901734104046242E-2</v>
      </c>
      <c r="I15" s="94">
        <v>7</v>
      </c>
      <c r="K15" s="38">
        <v>13</v>
      </c>
      <c r="L15" s="99">
        <v>-81.900000000000006</v>
      </c>
      <c r="N15" s="114" t="s">
        <v>186</v>
      </c>
      <c r="O15" s="124">
        <f>IF(P15=0,0,Q15/P15)</f>
        <v>64.425000000000011</v>
      </c>
      <c r="P15" s="118">
        <v>4</v>
      </c>
      <c r="Q15" s="106">
        <v>257.70000000000005</v>
      </c>
    </row>
    <row r="16" spans="1:17" x14ac:dyDescent="0.4">
      <c r="A16" s="54" t="s">
        <v>125</v>
      </c>
      <c r="B16" s="46">
        <v>32</v>
      </c>
      <c r="C16" s="37">
        <f>IF(B$14=0,0,B16/B$14)</f>
        <v>0.27586206896551724</v>
      </c>
      <c r="E16" s="63" t="s">
        <v>92</v>
      </c>
      <c r="F16" s="60" t="s">
        <v>47</v>
      </c>
      <c r="G16" s="47">
        <v>5</v>
      </c>
      <c r="H16" s="133">
        <f>IF(B$17=0,0,G16/B$17)</f>
        <v>2.8901734104046242E-2</v>
      </c>
      <c r="I16" s="94">
        <v>2</v>
      </c>
      <c r="K16" s="38">
        <v>14</v>
      </c>
      <c r="L16" s="99">
        <v>-25.600000000000009</v>
      </c>
      <c r="N16" s="115" t="s">
        <v>129</v>
      </c>
      <c r="O16" s="125">
        <f>IF(P16=0,0,Q16/P16)</f>
        <v>23.638888888888886</v>
      </c>
      <c r="P16" s="119">
        <v>18</v>
      </c>
      <c r="Q16" s="107">
        <v>425.49999999999994</v>
      </c>
    </row>
    <row r="17" spans="1:17" x14ac:dyDescent="0.4">
      <c r="A17" s="54" t="s">
        <v>10</v>
      </c>
      <c r="B17" s="46">
        <f>B19+B18</f>
        <v>173</v>
      </c>
      <c r="C17" s="37">
        <f>IF(B$3=0,0,B17/B$3)</f>
        <v>0.28547854785478549</v>
      </c>
      <c r="E17" s="63" t="s">
        <v>180</v>
      </c>
      <c r="F17" s="60" t="s">
        <v>183</v>
      </c>
      <c r="G17" s="47">
        <v>4</v>
      </c>
      <c r="H17" s="133">
        <f>IF(B$17=0,0,G17/B$17)</f>
        <v>2.3121387283236993E-2</v>
      </c>
      <c r="I17" s="94">
        <v>2</v>
      </c>
      <c r="K17" s="38">
        <v>15</v>
      </c>
      <c r="L17" s="99">
        <v>47.999999999999986</v>
      </c>
      <c r="N17" s="115" t="s">
        <v>171</v>
      </c>
      <c r="O17" s="125">
        <f>IF(P17=0,0,Q17/P17)</f>
        <v>10.050000000000008</v>
      </c>
      <c r="P17" s="119">
        <v>20</v>
      </c>
      <c r="Q17" s="107">
        <v>201.00000000000017</v>
      </c>
    </row>
    <row r="18" spans="1:17" x14ac:dyDescent="0.4">
      <c r="A18" s="55" t="s">
        <v>12</v>
      </c>
      <c r="B18" s="47">
        <v>68</v>
      </c>
      <c r="C18" s="39">
        <f>IF(B$17=0,0,B18/B$17)</f>
        <v>0.39306358381502893</v>
      </c>
      <c r="E18" s="63" t="s">
        <v>75</v>
      </c>
      <c r="F18" s="60" t="s">
        <v>30</v>
      </c>
      <c r="G18" s="47">
        <v>2</v>
      </c>
      <c r="H18" s="133">
        <f>IF(B$17=0,0,G18/B$17)</f>
        <v>1.1560693641618497E-2</v>
      </c>
      <c r="I18" s="94">
        <v>1</v>
      </c>
      <c r="K18" s="38">
        <v>16</v>
      </c>
      <c r="L18" s="99">
        <v>41.699999999999989</v>
      </c>
      <c r="N18" s="115" t="s">
        <v>172</v>
      </c>
      <c r="O18" s="125">
        <f>IF(P18=0,0,Q18/P18)</f>
        <v>8.7249999999999979</v>
      </c>
      <c r="P18" s="119">
        <v>20</v>
      </c>
      <c r="Q18" s="107">
        <v>174.49999999999997</v>
      </c>
    </row>
    <row r="19" spans="1:17" x14ac:dyDescent="0.4">
      <c r="A19" s="55" t="s">
        <v>11</v>
      </c>
      <c r="B19" s="47">
        <v>105</v>
      </c>
      <c r="C19" s="39">
        <f>IF(B$17=0,0,B19/B$17)</f>
        <v>0.60693641618497107</v>
      </c>
      <c r="E19" s="63" t="s">
        <v>76</v>
      </c>
      <c r="F19" s="60" t="s">
        <v>31</v>
      </c>
      <c r="G19" s="47">
        <v>2</v>
      </c>
      <c r="H19" s="133">
        <f>IF(B$17=0,0,G19/B$17)</f>
        <v>1.1560693641618497E-2</v>
      </c>
      <c r="I19" s="94">
        <v>3</v>
      </c>
      <c r="K19" s="38">
        <v>17</v>
      </c>
      <c r="L19" s="99">
        <v>94.6</v>
      </c>
      <c r="N19" s="115" t="s">
        <v>177</v>
      </c>
      <c r="O19" s="125">
        <f>IF(P19=0,0,Q19/P19)</f>
        <v>8.1666666666666661</v>
      </c>
      <c r="P19" s="119">
        <v>12</v>
      </c>
      <c r="Q19" s="107">
        <v>98</v>
      </c>
    </row>
    <row r="20" spans="1:17" x14ac:dyDescent="0.4">
      <c r="A20" s="55" t="s">
        <v>13</v>
      </c>
      <c r="B20" s="47">
        <v>104</v>
      </c>
      <c r="C20" s="39">
        <f>IF(B$3=0,0,B20/B$3)</f>
        <v>0.17161716171617161</v>
      </c>
      <c r="E20" s="63" t="s">
        <v>79</v>
      </c>
      <c r="F20" s="60" t="s">
        <v>34</v>
      </c>
      <c r="G20" s="47">
        <v>2</v>
      </c>
      <c r="H20" s="133">
        <f>IF(B$17=0,0,G20/B$17)</f>
        <v>1.1560693641618497E-2</v>
      </c>
      <c r="I20" s="94">
        <v>8</v>
      </c>
      <c r="K20" s="38">
        <v>18</v>
      </c>
      <c r="L20" s="99">
        <v>116.69999999999999</v>
      </c>
      <c r="N20" s="115" t="s">
        <v>173</v>
      </c>
      <c r="O20" s="125">
        <f>IF(P20=0,0,Q20/P20)</f>
        <v>-11.370588235294118</v>
      </c>
      <c r="P20" s="119">
        <v>17</v>
      </c>
      <c r="Q20" s="107">
        <v>-193.3</v>
      </c>
    </row>
    <row r="21" spans="1:17" x14ac:dyDescent="0.4">
      <c r="A21" s="55" t="s">
        <v>193</v>
      </c>
      <c r="B21" s="47">
        <v>5</v>
      </c>
      <c r="C21" s="135">
        <v>0</v>
      </c>
      <c r="E21" s="63" t="s">
        <v>80</v>
      </c>
      <c r="F21" s="60" t="s">
        <v>35</v>
      </c>
      <c r="G21" s="47">
        <v>2</v>
      </c>
      <c r="H21" s="133">
        <f>IF(B$17=0,0,G21/B$17)</f>
        <v>1.1560693641618497E-2</v>
      </c>
      <c r="I21" s="94">
        <v>3</v>
      </c>
      <c r="K21" s="38">
        <v>19</v>
      </c>
      <c r="L21" s="99">
        <v>138.79999999999998</v>
      </c>
      <c r="N21" s="115" t="s">
        <v>127</v>
      </c>
      <c r="O21" s="125">
        <f>IF(P21=0,0,Q21/P21)</f>
        <v>-26.112727272727287</v>
      </c>
      <c r="P21" s="119">
        <v>55</v>
      </c>
      <c r="Q21" s="107">
        <v>-1436.2000000000007</v>
      </c>
    </row>
    <row r="22" spans="1:17" x14ac:dyDescent="0.4">
      <c r="A22" s="55" t="s">
        <v>194</v>
      </c>
      <c r="B22" s="47">
        <v>24</v>
      </c>
      <c r="C22" s="135">
        <v>6</v>
      </c>
      <c r="E22" s="63" t="s">
        <v>74</v>
      </c>
      <c r="F22" s="60" t="s">
        <v>29</v>
      </c>
      <c r="G22" s="47">
        <v>1</v>
      </c>
      <c r="H22" s="133">
        <f>IF(B$17=0,0,G22/B$17)</f>
        <v>5.7803468208092483E-3</v>
      </c>
      <c r="I22" s="94">
        <v>3</v>
      </c>
      <c r="K22" s="38">
        <v>20</v>
      </c>
      <c r="L22" s="99">
        <v>164.49999999999997</v>
      </c>
    </row>
    <row r="23" spans="1:17" x14ac:dyDescent="0.4">
      <c r="A23" s="55" t="s">
        <v>5</v>
      </c>
      <c r="B23" s="51">
        <f>IF(B$17=0,0,C23/B$17)</f>
        <v>8750.2890173410397</v>
      </c>
      <c r="C23" s="41">
        <v>1513800</v>
      </c>
      <c r="E23" s="63" t="s">
        <v>78</v>
      </c>
      <c r="F23" s="60" t="s">
        <v>33</v>
      </c>
      <c r="G23" s="47">
        <v>1</v>
      </c>
      <c r="H23" s="133">
        <f>IF(B$17=0,0,G23/B$17)</f>
        <v>5.7803468208092483E-3</v>
      </c>
      <c r="I23" s="94">
        <v>1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-7432.6923076923076</v>
      </c>
      <c r="C24" s="45">
        <v>-773000</v>
      </c>
      <c r="E24" s="63" t="s">
        <v>85</v>
      </c>
      <c r="F24" s="60" t="s">
        <v>40</v>
      </c>
      <c r="G24" s="47">
        <v>1</v>
      </c>
      <c r="H24" s="133">
        <f>IF(B$17=0,0,G24/B$17)</f>
        <v>5.7803468208092483E-3</v>
      </c>
      <c r="I24" s="94">
        <v>1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0">
        <v>7</v>
      </c>
      <c r="C25" s="141"/>
      <c r="E25" s="63" t="s">
        <v>89</v>
      </c>
      <c r="F25" s="60" t="s">
        <v>44</v>
      </c>
      <c r="G25" s="47">
        <v>1</v>
      </c>
      <c r="H25" s="133">
        <f>IF(B$17=0,0,G25/B$17)</f>
        <v>5.7803468208092483E-3</v>
      </c>
      <c r="I25" s="94">
        <v>2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38">
        <v>94000</v>
      </c>
      <c r="C26" s="139"/>
      <c r="E26" s="63" t="s">
        <v>93</v>
      </c>
      <c r="F26" s="60" t="s">
        <v>48</v>
      </c>
      <c r="G26" s="47">
        <v>1</v>
      </c>
      <c r="H26" s="133">
        <f>IF(B$17=0,0,G26/B$17)</f>
        <v>5.7803468208092483E-3</v>
      </c>
      <c r="I26" s="94">
        <v>2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4</v>
      </c>
      <c r="C27" s="42">
        <f>IF(B$3=0,0,B27/B$3)</f>
        <v>6.6006600660066007E-3</v>
      </c>
      <c r="E27" s="63" t="s">
        <v>77</v>
      </c>
      <c r="F27" s="60" t="s">
        <v>32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245.59999999999997</v>
      </c>
    </row>
    <row r="28" spans="1:17" x14ac:dyDescent="0.4">
      <c r="E28" s="63" t="s">
        <v>81</v>
      </c>
      <c r="F28" s="60" t="s">
        <v>36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237.69999999999996</v>
      </c>
    </row>
    <row r="29" spans="1:17" x14ac:dyDescent="0.4">
      <c r="E29" s="63" t="s">
        <v>83</v>
      </c>
      <c r="F29" s="60" t="s">
        <v>38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236.69999999999996</v>
      </c>
    </row>
    <row r="30" spans="1:17" x14ac:dyDescent="0.4">
      <c r="E30" s="63" t="s">
        <v>86</v>
      </c>
      <c r="F30" s="60" t="s">
        <v>41</v>
      </c>
      <c r="G30" s="47">
        <v>0</v>
      </c>
      <c r="H30" s="133">
        <f>IF(B$17=0,0,G30/B$17)</f>
        <v>0</v>
      </c>
      <c r="I30" s="94">
        <v>3</v>
      </c>
      <c r="K30" s="38">
        <v>28</v>
      </c>
      <c r="L30" s="99">
        <v>191.39999999999998</v>
      </c>
    </row>
    <row r="31" spans="1:17" x14ac:dyDescent="0.4">
      <c r="E31" s="63" t="s">
        <v>88</v>
      </c>
      <c r="F31" s="60" t="s">
        <v>43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182.49999999999997</v>
      </c>
    </row>
    <row r="32" spans="1:17" x14ac:dyDescent="0.4">
      <c r="E32" s="63" t="s">
        <v>91</v>
      </c>
      <c r="F32" s="60" t="s">
        <v>46</v>
      </c>
      <c r="G32" s="47">
        <v>0</v>
      </c>
      <c r="H32" s="133">
        <f>IF(B$17=0,0,G32/B$17)</f>
        <v>0</v>
      </c>
      <c r="I32" s="94">
        <v>3</v>
      </c>
      <c r="K32" s="38">
        <v>30</v>
      </c>
      <c r="L32" s="99">
        <v>178.99999999999997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3</v>
      </c>
      <c r="K33" s="38">
        <v>31</v>
      </c>
      <c r="L33" s="99">
        <v>186.99999999999997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241.49999999999997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230.89999999999998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232.99999999999997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189.39999999999998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127.59999999999997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169.19999999999996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50.599999999999959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-4.8000000000000398</v>
      </c>
    </row>
    <row r="52" spans="5:12" x14ac:dyDescent="0.4"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81263-7A8A-4424-9157-3FDDE8AB073C}">
  <sheetPr codeName="Sheet1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129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28</v>
      </c>
      <c r="C2" s="147"/>
      <c r="E2" s="62" t="s">
        <v>67</v>
      </c>
      <c r="F2" s="59" t="s">
        <v>23</v>
      </c>
      <c r="G2" s="46">
        <v>36</v>
      </c>
      <c r="H2" s="132">
        <f>IF(B$17=0,0,G2/B$17)</f>
        <v>0.87804878048780488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-3264.2857142857142</v>
      </c>
      <c r="P2" s="118">
        <v>28</v>
      </c>
      <c r="Q2" s="102">
        <v>-91400</v>
      </c>
    </row>
    <row r="3" spans="1:17" x14ac:dyDescent="0.4">
      <c r="A3" s="55" t="s">
        <v>8</v>
      </c>
      <c r="B3" s="148">
        <v>231</v>
      </c>
      <c r="C3" s="149"/>
      <c r="E3" s="63" t="s">
        <v>65</v>
      </c>
      <c r="F3" s="60" t="s">
        <v>21</v>
      </c>
      <c r="G3" s="47">
        <v>25</v>
      </c>
      <c r="H3" s="133">
        <f>IF(B$17=0,0,G3/B$17)</f>
        <v>0.6097560975609756</v>
      </c>
      <c r="I3" s="94">
        <v>2</v>
      </c>
      <c r="K3" s="38">
        <v>1</v>
      </c>
      <c r="L3" s="99">
        <v>-40.4</v>
      </c>
      <c r="N3" s="115" t="s">
        <v>133</v>
      </c>
      <c r="O3" s="122">
        <f t="shared" si="0"/>
        <v>-4703.5714285714284</v>
      </c>
      <c r="P3" s="119">
        <v>28</v>
      </c>
      <c r="Q3" s="103">
        <v>-131700</v>
      </c>
    </row>
    <row r="4" spans="1:17" x14ac:dyDescent="0.4">
      <c r="A4" s="55" t="s">
        <v>6</v>
      </c>
      <c r="B4" s="150">
        <v>-931.09999999999991</v>
      </c>
      <c r="C4" s="151"/>
      <c r="E4" s="63" t="s">
        <v>69</v>
      </c>
      <c r="F4" s="60" t="s">
        <v>12</v>
      </c>
      <c r="G4" s="47">
        <v>17</v>
      </c>
      <c r="H4" s="133">
        <f>IF(B$17=0,0,G4/B$17)</f>
        <v>0.41463414634146339</v>
      </c>
      <c r="I4" s="94">
        <v>2</v>
      </c>
      <c r="K4" s="38">
        <v>2</v>
      </c>
      <c r="L4" s="99">
        <v>-3.3999999999999986</v>
      </c>
      <c r="N4" s="115" t="s">
        <v>134</v>
      </c>
      <c r="O4" s="122">
        <f t="shared" si="0"/>
        <v>-3648</v>
      </c>
      <c r="P4" s="119">
        <v>25</v>
      </c>
      <c r="Q4" s="103">
        <v>-91200</v>
      </c>
    </row>
    <row r="5" spans="1:17" x14ac:dyDescent="0.4">
      <c r="A5" s="55" t="s">
        <v>7</v>
      </c>
      <c r="B5" s="152">
        <f>IF(B$2=0,0,B$4/B$2)</f>
        <v>-33.253571428571426</v>
      </c>
      <c r="C5" s="153"/>
      <c r="E5" s="63" t="s">
        <v>68</v>
      </c>
      <c r="F5" s="60" t="s">
        <v>24</v>
      </c>
      <c r="G5" s="47">
        <v>15</v>
      </c>
      <c r="H5" s="133">
        <f>IF(B$17=0,0,G5/B$17)</f>
        <v>0.36585365853658536</v>
      </c>
      <c r="I5" s="94">
        <v>3</v>
      </c>
      <c r="K5" s="38">
        <v>3</v>
      </c>
      <c r="L5" s="99">
        <v>-23.099999999999998</v>
      </c>
      <c r="N5" s="115" t="s">
        <v>135</v>
      </c>
      <c r="O5" s="122">
        <f t="shared" si="0"/>
        <v>-7163.636363636364</v>
      </c>
      <c r="P5" s="119">
        <v>22</v>
      </c>
      <c r="Q5" s="103">
        <v>-157600</v>
      </c>
    </row>
    <row r="6" spans="1:17" x14ac:dyDescent="0.4">
      <c r="A6" s="55" t="s">
        <v>1</v>
      </c>
      <c r="B6" s="142">
        <f>IF(B$2=0,0,(B$7*1+B$8*2+B$9*3)/B$2)</f>
        <v>2.5714285714285716</v>
      </c>
      <c r="C6" s="143"/>
      <c r="E6" s="63" t="s">
        <v>181</v>
      </c>
      <c r="F6" s="60" t="s">
        <v>182</v>
      </c>
      <c r="G6" s="47">
        <v>14</v>
      </c>
      <c r="H6" s="133">
        <f>IF(B$17=0,0,G6/B$17)</f>
        <v>0.34146341463414637</v>
      </c>
      <c r="I6" s="94">
        <v>7</v>
      </c>
      <c r="K6" s="38">
        <v>4</v>
      </c>
      <c r="L6" s="99">
        <v>-31.4</v>
      </c>
      <c r="N6" s="115" t="s">
        <v>136</v>
      </c>
      <c r="O6" s="122">
        <f t="shared" si="0"/>
        <v>-3610</v>
      </c>
      <c r="P6" s="119">
        <v>20</v>
      </c>
      <c r="Q6" s="103">
        <v>-72200</v>
      </c>
    </row>
    <row r="7" spans="1:17" x14ac:dyDescent="0.4">
      <c r="A7" s="55" t="s">
        <v>2</v>
      </c>
      <c r="B7" s="47">
        <v>3</v>
      </c>
      <c r="C7" s="39">
        <f>IF(B$2=0,0,B7/B$2)</f>
        <v>0.10714285714285714</v>
      </c>
      <c r="E7" s="63" t="s">
        <v>73</v>
      </c>
      <c r="F7" s="60" t="s">
        <v>28</v>
      </c>
      <c r="G7" s="47">
        <v>12</v>
      </c>
      <c r="H7" s="133">
        <f>IF(B$17=0,0,G7/B$17)</f>
        <v>0.29268292682926828</v>
      </c>
      <c r="I7" s="94">
        <v>11</v>
      </c>
      <c r="K7" s="38">
        <v>5</v>
      </c>
      <c r="L7" s="99">
        <v>-32.199999999999996</v>
      </c>
      <c r="N7" s="116" t="s">
        <v>137</v>
      </c>
      <c r="O7" s="123">
        <f t="shared" si="0"/>
        <v>-2531.5789473684213</v>
      </c>
      <c r="P7" s="120">
        <v>19</v>
      </c>
      <c r="Q7" s="104">
        <v>-48100</v>
      </c>
    </row>
    <row r="8" spans="1:17" x14ac:dyDescent="0.4">
      <c r="A8" s="55" t="s">
        <v>3</v>
      </c>
      <c r="B8" s="47">
        <v>6</v>
      </c>
      <c r="C8" s="39">
        <f>IF(B$2=0,0,B8/B$2)</f>
        <v>0.21428571428571427</v>
      </c>
      <c r="E8" s="63" t="s">
        <v>71</v>
      </c>
      <c r="F8" s="60" t="s">
        <v>26</v>
      </c>
      <c r="G8" s="47">
        <v>9</v>
      </c>
      <c r="H8" s="133">
        <f>IF(B$17=0,0,G8/B$17)</f>
        <v>0.21951219512195122</v>
      </c>
      <c r="I8" s="94">
        <v>1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19</v>
      </c>
      <c r="C9" s="40">
        <f t="shared" ref="C9" si="1">IF(B$2=0,0,B9/B$2)</f>
        <v>0.6785714285714286</v>
      </c>
      <c r="E9" s="63" t="s">
        <v>70</v>
      </c>
      <c r="F9" s="60" t="s">
        <v>25</v>
      </c>
      <c r="G9" s="47">
        <v>8</v>
      </c>
      <c r="H9" s="133">
        <f>IF(B$17=0,0,G9/B$17)</f>
        <v>0.1951219512195122</v>
      </c>
      <c r="I9" s="94">
        <v>5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8</v>
      </c>
      <c r="C10" s="40">
        <f>IF(B$2=0,0,B10/B$2)</f>
        <v>0.2857142857142857</v>
      </c>
      <c r="E10" s="63" t="s">
        <v>72</v>
      </c>
      <c r="F10" s="60" t="s">
        <v>27</v>
      </c>
      <c r="G10" s="47">
        <v>5</v>
      </c>
      <c r="H10" s="133">
        <f>IF(B$17=0,0,G10/B$17)</f>
        <v>0.12195121951219512</v>
      </c>
      <c r="I10" s="94">
        <v>2</v>
      </c>
      <c r="K10" s="38">
        <v>8</v>
      </c>
      <c r="L10" s="99">
        <v>-79.599999999999994</v>
      </c>
      <c r="N10" s="114" t="s">
        <v>164</v>
      </c>
      <c r="O10" s="124">
        <f>IF(P10=0,0,Q10/P10)</f>
        <v>-32.749999999999993</v>
      </c>
      <c r="P10" s="118">
        <v>10</v>
      </c>
      <c r="Q10" s="106">
        <v>-327.49999999999994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90</v>
      </c>
      <c r="F11" s="60" t="s">
        <v>45</v>
      </c>
      <c r="G11" s="47">
        <v>5</v>
      </c>
      <c r="H11" s="133">
        <f>IF(B$17=0,0,G11/B$17)</f>
        <v>0.12195121951219512</v>
      </c>
      <c r="I11" s="94">
        <v>8</v>
      </c>
      <c r="K11" s="38">
        <v>9</v>
      </c>
      <c r="L11" s="99">
        <v>-127.6</v>
      </c>
      <c r="N11" s="115" t="s">
        <v>165</v>
      </c>
      <c r="O11" s="125">
        <f>IF(P11=0,0,Q11/P11)</f>
        <v>-31.090000000000003</v>
      </c>
      <c r="P11" s="119">
        <v>10</v>
      </c>
      <c r="Q11" s="107">
        <v>-310.90000000000003</v>
      </c>
    </row>
    <row r="12" spans="1:17" x14ac:dyDescent="0.4">
      <c r="A12" s="57" t="s">
        <v>160</v>
      </c>
      <c r="B12" s="49">
        <v>1</v>
      </c>
      <c r="C12" s="42">
        <f>IF(B$2=0,0,B12/B$2)</f>
        <v>3.5714285714285712E-2</v>
      </c>
      <c r="E12" s="63" t="s">
        <v>66</v>
      </c>
      <c r="F12" s="60" t="s">
        <v>22</v>
      </c>
      <c r="G12" s="47">
        <v>4</v>
      </c>
      <c r="H12" s="133">
        <f>IF(B$17=0,0,G12/B$17)</f>
        <v>9.7560975609756101E-2</v>
      </c>
      <c r="I12" s="94">
        <v>7</v>
      </c>
      <c r="K12" s="38">
        <v>10</v>
      </c>
      <c r="L12" s="99">
        <v>-231.39999999999998</v>
      </c>
      <c r="N12" s="116" t="s">
        <v>166</v>
      </c>
      <c r="O12" s="126">
        <f>IF(P12=0,0,Q12/P12)</f>
        <v>-36.587499999999999</v>
      </c>
      <c r="P12" s="120">
        <v>8</v>
      </c>
      <c r="Q12" s="108">
        <v>-292.7</v>
      </c>
    </row>
    <row r="13" spans="1:17" x14ac:dyDescent="0.4">
      <c r="A13" s="58" t="s">
        <v>122</v>
      </c>
      <c r="B13" s="50">
        <v>55</v>
      </c>
      <c r="C13" s="44">
        <f>IF(B$3=0,0,B13/B$3)</f>
        <v>0.23809523809523808</v>
      </c>
      <c r="E13" s="63" t="s">
        <v>87</v>
      </c>
      <c r="F13" s="60" t="s">
        <v>42</v>
      </c>
      <c r="G13" s="47">
        <v>2</v>
      </c>
      <c r="H13" s="133">
        <f>IF(B$17=0,0,G13/B$17)</f>
        <v>4.878048780487805E-2</v>
      </c>
      <c r="I13" s="94">
        <v>8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30</v>
      </c>
      <c r="C14" s="39">
        <f>IF(B$3=0,0,B14/B$3)</f>
        <v>0.12987012987012986</v>
      </c>
      <c r="E14" s="63" t="s">
        <v>79</v>
      </c>
      <c r="F14" s="60" t="s">
        <v>34</v>
      </c>
      <c r="G14" s="47">
        <v>1</v>
      </c>
      <c r="H14" s="133">
        <f>IF(B$17=0,0,G14/B$17)</f>
        <v>2.4390243902439025E-2</v>
      </c>
      <c r="I14" s="94">
        <v>3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26</v>
      </c>
      <c r="C15" s="37">
        <f>IF(B$13=0,0,B15/B$13)</f>
        <v>0.47272727272727272</v>
      </c>
      <c r="E15" s="63" t="s">
        <v>84</v>
      </c>
      <c r="F15" s="60" t="s">
        <v>39</v>
      </c>
      <c r="G15" s="47">
        <v>1</v>
      </c>
      <c r="H15" s="133">
        <f>IF(B$17=0,0,G15/B$17)</f>
        <v>2.4390243902439025E-2</v>
      </c>
      <c r="I15" s="94">
        <v>9</v>
      </c>
      <c r="K15" s="38">
        <v>13</v>
      </c>
      <c r="L15" s="99">
        <v>-369.1</v>
      </c>
      <c r="N15" s="114" t="s">
        <v>177</v>
      </c>
      <c r="O15" s="124">
        <f>IF(P15=0,0,Q15/P15)</f>
        <v>29.700000000000003</v>
      </c>
      <c r="P15" s="118">
        <v>1</v>
      </c>
      <c r="Q15" s="106">
        <v>29.700000000000003</v>
      </c>
    </row>
    <row r="16" spans="1:17" x14ac:dyDescent="0.4">
      <c r="A16" s="54" t="s">
        <v>125</v>
      </c>
      <c r="B16" s="46">
        <v>4</v>
      </c>
      <c r="C16" s="37">
        <f>IF(B$14=0,0,B16/B$14)</f>
        <v>0.13333333333333333</v>
      </c>
      <c r="E16" s="63" t="s">
        <v>89</v>
      </c>
      <c r="F16" s="60" t="s">
        <v>44</v>
      </c>
      <c r="G16" s="47">
        <v>1</v>
      </c>
      <c r="H16" s="133">
        <f>IF(B$17=0,0,G16/B$17)</f>
        <v>2.4390243902439025E-2</v>
      </c>
      <c r="I16" s="94">
        <v>1</v>
      </c>
      <c r="K16" s="38">
        <v>14</v>
      </c>
      <c r="L16" s="99">
        <v>-394.6</v>
      </c>
      <c r="N16" s="115" t="s">
        <v>128</v>
      </c>
      <c r="O16" s="125">
        <f>IF(P16=0,0,Q16/P16)</f>
        <v>-23.638888888888886</v>
      </c>
      <c r="P16" s="119">
        <v>18</v>
      </c>
      <c r="Q16" s="107">
        <v>-425.49999999999994</v>
      </c>
    </row>
    <row r="17" spans="1:17" x14ac:dyDescent="0.4">
      <c r="A17" s="54" t="s">
        <v>10</v>
      </c>
      <c r="B17" s="46">
        <f>B19+B18</f>
        <v>41</v>
      </c>
      <c r="C17" s="37">
        <f>IF(B$3=0,0,B17/B$3)</f>
        <v>0.1774891774891775</v>
      </c>
      <c r="E17" s="63" t="s">
        <v>74</v>
      </c>
      <c r="F17" s="60" t="s">
        <v>29</v>
      </c>
      <c r="G17" s="47">
        <v>0</v>
      </c>
      <c r="H17" s="133">
        <f>IF(B$17=0,0,G17/B$17)</f>
        <v>0</v>
      </c>
      <c r="I17" s="94">
        <v>5</v>
      </c>
      <c r="K17" s="38">
        <v>15</v>
      </c>
      <c r="L17" s="99">
        <v>-424.5</v>
      </c>
      <c r="N17" s="115" t="s">
        <v>173</v>
      </c>
      <c r="O17" s="125">
        <f>IF(P17=0,0,Q17/P17)</f>
        <v>-28.259999999999998</v>
      </c>
      <c r="P17" s="119">
        <v>5</v>
      </c>
      <c r="Q17" s="107">
        <v>-141.29999999999998</v>
      </c>
    </row>
    <row r="18" spans="1:17" x14ac:dyDescent="0.4">
      <c r="A18" s="55" t="s">
        <v>12</v>
      </c>
      <c r="B18" s="47">
        <v>21</v>
      </c>
      <c r="C18" s="39">
        <f>IF(B$17=0,0,B18/B$17)</f>
        <v>0.51219512195121952</v>
      </c>
      <c r="E18" s="63" t="s">
        <v>75</v>
      </c>
      <c r="F18" s="60" t="s">
        <v>30</v>
      </c>
      <c r="G18" s="47">
        <v>0</v>
      </c>
      <c r="H18" s="133">
        <f>IF(B$17=0,0,G18/B$17)</f>
        <v>0</v>
      </c>
      <c r="I18" s="94">
        <v>3</v>
      </c>
      <c r="K18" s="38">
        <v>16</v>
      </c>
      <c r="L18" s="99">
        <v>-472</v>
      </c>
      <c r="N18" s="115" t="s">
        <v>127</v>
      </c>
      <c r="O18" s="125">
        <f>IF(P18=0,0,Q18/P18)</f>
        <v>-62.552631578947391</v>
      </c>
      <c r="P18" s="119">
        <v>19</v>
      </c>
      <c r="Q18" s="107">
        <v>-1188.5000000000005</v>
      </c>
    </row>
    <row r="19" spans="1:17" x14ac:dyDescent="0.4">
      <c r="A19" s="55" t="s">
        <v>11</v>
      </c>
      <c r="B19" s="47">
        <v>20</v>
      </c>
      <c r="C19" s="39">
        <f>IF(B$17=0,0,B19/B$17)</f>
        <v>0.48780487804878048</v>
      </c>
      <c r="E19" s="63" t="s">
        <v>76</v>
      </c>
      <c r="F19" s="60" t="s">
        <v>31</v>
      </c>
      <c r="G19" s="47">
        <v>0</v>
      </c>
      <c r="H19" s="133">
        <f>IF(B$17=0,0,G19/B$17)</f>
        <v>0</v>
      </c>
      <c r="I19" s="94">
        <v>6</v>
      </c>
      <c r="K19" s="38">
        <v>17</v>
      </c>
      <c r="L19" s="99">
        <v>-538.29999999999995</v>
      </c>
      <c r="N19" s="115" t="s">
        <v>186</v>
      </c>
      <c r="O19" s="125">
        <f>IF(P19=0,0,Q19/P19)</f>
        <v>-72.3</v>
      </c>
      <c r="P19" s="119">
        <v>1</v>
      </c>
      <c r="Q19" s="107">
        <v>-72.3</v>
      </c>
    </row>
    <row r="20" spans="1:17" x14ac:dyDescent="0.4">
      <c r="A20" s="55" t="s">
        <v>13</v>
      </c>
      <c r="B20" s="47">
        <v>51</v>
      </c>
      <c r="C20" s="39">
        <f>IF(B$3=0,0,B20/B$3)</f>
        <v>0.22077922077922077</v>
      </c>
      <c r="E20" s="63" t="s">
        <v>77</v>
      </c>
      <c r="F20" s="60" t="s">
        <v>32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-537.19999999999993</v>
      </c>
      <c r="N20" s="115" t="s">
        <v>172</v>
      </c>
      <c r="O20" s="125">
        <f>IF(P20=0,0,Q20/P20)</f>
        <v>-80.185714285714283</v>
      </c>
      <c r="P20" s="119">
        <v>7</v>
      </c>
      <c r="Q20" s="107">
        <v>-561.29999999999995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78</v>
      </c>
      <c r="F21" s="60" t="s">
        <v>33</v>
      </c>
      <c r="G21" s="47">
        <v>0</v>
      </c>
      <c r="H21" s="133">
        <f>IF(B$17=0,0,G21/B$17)</f>
        <v>0</v>
      </c>
      <c r="I21" s="94">
        <v>4</v>
      </c>
      <c r="K21" s="38">
        <v>19</v>
      </c>
      <c r="L21" s="99">
        <v>-569.49999999999989</v>
      </c>
      <c r="N21" s="115" t="s">
        <v>171</v>
      </c>
      <c r="O21" s="125">
        <f>IF(P21=0,0,Q21/P21)</f>
        <v>-86.820000000000007</v>
      </c>
      <c r="P21" s="119">
        <v>5</v>
      </c>
      <c r="Q21" s="107">
        <v>-434.1</v>
      </c>
    </row>
    <row r="22" spans="1:17" x14ac:dyDescent="0.4">
      <c r="A22" s="55" t="s">
        <v>194</v>
      </c>
      <c r="B22" s="47">
        <v>19</v>
      </c>
      <c r="C22" s="135">
        <v>13</v>
      </c>
      <c r="E22" s="63" t="s">
        <v>80</v>
      </c>
      <c r="F22" s="60" t="s">
        <v>35</v>
      </c>
      <c r="G22" s="47">
        <v>0</v>
      </c>
      <c r="H22" s="133">
        <f>IF(B$17=0,0,G22/B$17)</f>
        <v>0</v>
      </c>
      <c r="I22" s="94">
        <v>6</v>
      </c>
      <c r="K22" s="38">
        <v>20</v>
      </c>
      <c r="L22" s="99">
        <v>-632.99999999999989</v>
      </c>
    </row>
    <row r="23" spans="1:17" x14ac:dyDescent="0.4">
      <c r="A23" s="55" t="s">
        <v>5</v>
      </c>
      <c r="B23" s="51">
        <f>IF(B$17=0,0,C23/B$17)</f>
        <v>7680.4878048780483</v>
      </c>
      <c r="C23" s="41">
        <v>314900</v>
      </c>
      <c r="E23" s="63" t="s">
        <v>81</v>
      </c>
      <c r="F23" s="60" t="s">
        <v>36</v>
      </c>
      <c r="G23" s="47">
        <v>0</v>
      </c>
      <c r="H23" s="133">
        <f>IF(B$17=0,0,G23/B$17)</f>
        <v>0</v>
      </c>
      <c r="I23" s="94">
        <v>1</v>
      </c>
      <c r="K23" s="38">
        <v>21</v>
      </c>
      <c r="L23" s="99">
        <v>-629.49999999999989</v>
      </c>
    </row>
    <row r="24" spans="1:17" x14ac:dyDescent="0.4">
      <c r="A24" s="57" t="s">
        <v>14</v>
      </c>
      <c r="B24" s="52">
        <f>IF(B$20=0,0,C24/B$20)</f>
        <v>-10100</v>
      </c>
      <c r="C24" s="45">
        <v>-515100</v>
      </c>
      <c r="E24" s="63" t="s">
        <v>82</v>
      </c>
      <c r="F24" s="60" t="s">
        <v>37</v>
      </c>
      <c r="G24" s="47">
        <v>0</v>
      </c>
      <c r="H24" s="133">
        <f>IF(B$17=0,0,G24/B$17)</f>
        <v>0</v>
      </c>
      <c r="I24" s="94">
        <v>7</v>
      </c>
      <c r="K24" s="38">
        <v>22</v>
      </c>
      <c r="L24" s="99">
        <v>-670.19999999999993</v>
      </c>
    </row>
    <row r="25" spans="1:17" x14ac:dyDescent="0.4">
      <c r="A25" s="90" t="s">
        <v>142</v>
      </c>
      <c r="B25" s="140">
        <v>7</v>
      </c>
      <c r="C25" s="141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38">
        <v>52200</v>
      </c>
      <c r="C26" s="139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3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1</v>
      </c>
      <c r="C27" s="42">
        <f>IF(B$3=0,0,B27/B$3)</f>
        <v>4.329004329004329E-3</v>
      </c>
      <c r="E27" s="63" t="s">
        <v>86</v>
      </c>
      <c r="F27" s="60" t="s">
        <v>41</v>
      </c>
      <c r="G27" s="47">
        <v>0</v>
      </c>
      <c r="H27" s="133">
        <f>IF(B$17=0,0,G27/B$17)</f>
        <v>0</v>
      </c>
      <c r="I27" s="94">
        <v>3</v>
      </c>
      <c r="K27" s="38">
        <v>25</v>
      </c>
      <c r="L27" s="99">
        <v>-783.69999999999993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-818.49999999999989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  <c r="K29" s="38">
        <v>27</v>
      </c>
      <c r="L29" s="99">
        <v>-876.19999999999993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7</v>
      </c>
      <c r="K30" s="38">
        <v>28</v>
      </c>
      <c r="L30" s="99">
        <v>-931.09999999999991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B9F1E5-1B4E-4DD0-BD00-E98E072E44D1}">
  <sheetPr codeName="Sheet1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171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39</v>
      </c>
      <c r="C2" s="147"/>
      <c r="E2" s="62" t="s">
        <v>67</v>
      </c>
      <c r="F2" s="59" t="s">
        <v>23</v>
      </c>
      <c r="G2" s="46">
        <v>57</v>
      </c>
      <c r="H2" s="132">
        <f>IF(B$17=0,0,G2/B$17)</f>
        <v>0.70370370370370372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-505.12820512820514</v>
      </c>
      <c r="P2" s="118">
        <v>39</v>
      </c>
      <c r="Q2" s="102">
        <v>-19700</v>
      </c>
    </row>
    <row r="3" spans="1:17" x14ac:dyDescent="0.4">
      <c r="A3" s="55" t="s">
        <v>8</v>
      </c>
      <c r="B3" s="148">
        <v>327</v>
      </c>
      <c r="C3" s="149"/>
      <c r="E3" s="63" t="s">
        <v>65</v>
      </c>
      <c r="F3" s="60" t="s">
        <v>21</v>
      </c>
      <c r="G3" s="47">
        <v>44</v>
      </c>
      <c r="H3" s="133">
        <f>IF(B$17=0,0,G3/B$17)</f>
        <v>0.54320987654320985</v>
      </c>
      <c r="I3" s="94">
        <v>5</v>
      </c>
      <c r="K3" s="38">
        <v>1</v>
      </c>
      <c r="L3" s="99">
        <v>-51.2</v>
      </c>
      <c r="N3" s="115" t="s">
        <v>133</v>
      </c>
      <c r="O3" s="122">
        <f t="shared" si="0"/>
        <v>676.92307692307691</v>
      </c>
      <c r="P3" s="119">
        <v>39</v>
      </c>
      <c r="Q3" s="103">
        <v>26400</v>
      </c>
    </row>
    <row r="4" spans="1:17" x14ac:dyDescent="0.4">
      <c r="A4" s="55" t="s">
        <v>6</v>
      </c>
      <c r="B4" s="150">
        <v>-71.3</v>
      </c>
      <c r="C4" s="151"/>
      <c r="E4" s="63" t="s">
        <v>73</v>
      </c>
      <c r="F4" s="60" t="s">
        <v>28</v>
      </c>
      <c r="G4" s="47">
        <v>39</v>
      </c>
      <c r="H4" s="133">
        <f>IF(B$17=0,0,G4/B$17)</f>
        <v>0.48148148148148145</v>
      </c>
      <c r="I4" s="94">
        <v>9</v>
      </c>
      <c r="K4" s="38">
        <v>2</v>
      </c>
      <c r="L4" s="99">
        <v>-93.300000000000011</v>
      </c>
      <c r="N4" s="115" t="s">
        <v>134</v>
      </c>
      <c r="O4" s="122">
        <f t="shared" si="0"/>
        <v>1058.3333333333333</v>
      </c>
      <c r="P4" s="119">
        <v>36</v>
      </c>
      <c r="Q4" s="103">
        <v>38100</v>
      </c>
    </row>
    <row r="5" spans="1:17" x14ac:dyDescent="0.4">
      <c r="A5" s="55" t="s">
        <v>7</v>
      </c>
      <c r="B5" s="152">
        <f>IF(B$2=0,0,B$4/B$2)</f>
        <v>-1.8282051282051281</v>
      </c>
      <c r="C5" s="153"/>
      <c r="E5" s="63" t="s">
        <v>181</v>
      </c>
      <c r="F5" s="60" t="s">
        <v>182</v>
      </c>
      <c r="G5" s="47">
        <v>25</v>
      </c>
      <c r="H5" s="133">
        <f>IF(B$17=0,0,G5/B$17)</f>
        <v>0.30864197530864196</v>
      </c>
      <c r="I5" s="94">
        <v>11</v>
      </c>
      <c r="K5" s="38">
        <v>3</v>
      </c>
      <c r="L5" s="99">
        <v>-60.100000000000009</v>
      </c>
      <c r="N5" s="115" t="s">
        <v>135</v>
      </c>
      <c r="O5" s="122">
        <f t="shared" si="0"/>
        <v>-324.24242424242425</v>
      </c>
      <c r="P5" s="119">
        <v>33</v>
      </c>
      <c r="Q5" s="103">
        <v>-10700</v>
      </c>
    </row>
    <row r="6" spans="1:17" x14ac:dyDescent="0.4">
      <c r="A6" s="55" t="s">
        <v>1</v>
      </c>
      <c r="B6" s="142">
        <f>IF(B$2=0,0,(B$7*1+B$8*2+B$9*3)/B$2)</f>
        <v>2.1025641025641026</v>
      </c>
      <c r="C6" s="143"/>
      <c r="E6" s="63" t="s">
        <v>68</v>
      </c>
      <c r="F6" s="60" t="s">
        <v>24</v>
      </c>
      <c r="G6" s="47">
        <v>20</v>
      </c>
      <c r="H6" s="133">
        <f>IF(B$17=0,0,G6/B$17)</f>
        <v>0.24691358024691357</v>
      </c>
      <c r="I6" s="94">
        <v>7</v>
      </c>
      <c r="K6" s="38">
        <v>4</v>
      </c>
      <c r="L6" s="99">
        <v>-11.300000000000011</v>
      </c>
      <c r="N6" s="115" t="s">
        <v>136</v>
      </c>
      <c r="O6" s="122">
        <f t="shared" si="0"/>
        <v>-970</v>
      </c>
      <c r="P6" s="119">
        <v>30</v>
      </c>
      <c r="Q6" s="103">
        <v>-29100</v>
      </c>
    </row>
    <row r="7" spans="1:17" x14ac:dyDescent="0.4">
      <c r="A7" s="55" t="s">
        <v>2</v>
      </c>
      <c r="B7" s="47">
        <v>10</v>
      </c>
      <c r="C7" s="39">
        <f>IF(B$2=0,0,B7/B$2)</f>
        <v>0.25641025641025639</v>
      </c>
      <c r="E7" s="63" t="s">
        <v>69</v>
      </c>
      <c r="F7" s="60" t="s">
        <v>12</v>
      </c>
      <c r="G7" s="47">
        <v>20</v>
      </c>
      <c r="H7" s="133">
        <f>IF(B$17=0,0,G7/B$17)</f>
        <v>0.24691358024691357</v>
      </c>
      <c r="I7" s="94">
        <v>7</v>
      </c>
      <c r="K7" s="38">
        <v>5</v>
      </c>
      <c r="L7" s="99">
        <v>-36.100000000000009</v>
      </c>
      <c r="N7" s="116" t="s">
        <v>137</v>
      </c>
      <c r="O7" s="123">
        <f t="shared" si="0"/>
        <v>242.85714285714286</v>
      </c>
      <c r="P7" s="120">
        <v>28</v>
      </c>
      <c r="Q7" s="104">
        <v>6800</v>
      </c>
    </row>
    <row r="8" spans="1:17" x14ac:dyDescent="0.4">
      <c r="A8" s="55" t="s">
        <v>3</v>
      </c>
      <c r="B8" s="47">
        <v>15</v>
      </c>
      <c r="C8" s="39">
        <f>IF(B$2=0,0,B8/B$2)</f>
        <v>0.38461538461538464</v>
      </c>
      <c r="E8" s="63" t="s">
        <v>70</v>
      </c>
      <c r="F8" s="60" t="s">
        <v>25</v>
      </c>
      <c r="G8" s="47">
        <v>18</v>
      </c>
      <c r="H8" s="133">
        <f>IF(B$17=0,0,G8/B$17)</f>
        <v>0.22222222222222221</v>
      </c>
      <c r="I8" s="94">
        <v>2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14</v>
      </c>
      <c r="C9" s="40">
        <f t="shared" ref="C9" si="1">IF(B$2=0,0,B9/B$2)</f>
        <v>0.35897435897435898</v>
      </c>
      <c r="E9" s="63" t="s">
        <v>66</v>
      </c>
      <c r="F9" s="60" t="s">
        <v>22</v>
      </c>
      <c r="G9" s="47">
        <v>13</v>
      </c>
      <c r="H9" s="133">
        <f>IF(B$17=0,0,G9/B$17)</f>
        <v>0.16049382716049382</v>
      </c>
      <c r="I9" s="94">
        <v>2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</v>
      </c>
      <c r="C10" s="40">
        <f>IF(B$2=0,0,B10/B$2)</f>
        <v>2.564102564102564E-2</v>
      </c>
      <c r="E10" s="63" t="s">
        <v>71</v>
      </c>
      <c r="F10" s="60" t="s">
        <v>26</v>
      </c>
      <c r="G10" s="47">
        <v>11</v>
      </c>
      <c r="H10" s="133">
        <f>IF(B$17=0,0,G10/B$17)</f>
        <v>0.13580246913580246</v>
      </c>
      <c r="I10" s="94">
        <v>2</v>
      </c>
      <c r="K10" s="38">
        <v>8</v>
      </c>
      <c r="L10" s="99">
        <v>-1.7000000000000028</v>
      </c>
      <c r="N10" s="114" t="s">
        <v>164</v>
      </c>
      <c r="O10" s="124">
        <f>IF(P10=0,0,Q10/P10)</f>
        <v>9.3999999999999986</v>
      </c>
      <c r="P10" s="118">
        <v>8</v>
      </c>
      <c r="Q10" s="106">
        <v>75.199999999999989</v>
      </c>
    </row>
    <row r="11" spans="1:17" x14ac:dyDescent="0.4">
      <c r="A11" s="56" t="s">
        <v>140</v>
      </c>
      <c r="B11" s="48">
        <v>5</v>
      </c>
      <c r="C11" s="40">
        <f>IF(B$2=0,0,B11/B$2)</f>
        <v>0.12820512820512819</v>
      </c>
      <c r="E11" s="63" t="s">
        <v>90</v>
      </c>
      <c r="F11" s="60" t="s">
        <v>45</v>
      </c>
      <c r="G11" s="47">
        <v>11</v>
      </c>
      <c r="H11" s="133">
        <f>IF(B$17=0,0,G11/B$17)</f>
        <v>0.13580246913580246</v>
      </c>
      <c r="I11" s="94">
        <v>6</v>
      </c>
      <c r="K11" s="38">
        <v>9</v>
      </c>
      <c r="L11" s="99">
        <v>-5.8000000000000025</v>
      </c>
      <c r="N11" s="115" t="s">
        <v>165</v>
      </c>
      <c r="O11" s="125">
        <f>IF(P11=0,0,Q11/P11)</f>
        <v>-8.8812499999999979</v>
      </c>
      <c r="P11" s="119">
        <v>16</v>
      </c>
      <c r="Q11" s="107">
        <v>-142.09999999999997</v>
      </c>
    </row>
    <row r="12" spans="1:17" x14ac:dyDescent="0.4">
      <c r="A12" s="57" t="s">
        <v>160</v>
      </c>
      <c r="B12" s="49">
        <v>4</v>
      </c>
      <c r="C12" s="42">
        <f>IF(B$2=0,0,B12/B$2)</f>
        <v>0.10256410256410256</v>
      </c>
      <c r="E12" s="63" t="s">
        <v>87</v>
      </c>
      <c r="F12" s="60" t="s">
        <v>42</v>
      </c>
      <c r="G12" s="47">
        <v>7</v>
      </c>
      <c r="H12" s="133">
        <f>IF(B$17=0,0,G12/B$17)</f>
        <v>8.6419753086419748E-2</v>
      </c>
      <c r="I12" s="94">
        <v>3</v>
      </c>
      <c r="K12" s="38">
        <v>10</v>
      </c>
      <c r="L12" s="99">
        <v>-56.500000000000007</v>
      </c>
      <c r="N12" s="116" t="s">
        <v>166</v>
      </c>
      <c r="O12" s="126">
        <f>IF(P12=0,0,Q12/P12)</f>
        <v>-0.29333333333333367</v>
      </c>
      <c r="P12" s="120">
        <v>15</v>
      </c>
      <c r="Q12" s="108">
        <v>-4.4000000000000048</v>
      </c>
    </row>
    <row r="13" spans="1:17" x14ac:dyDescent="0.4">
      <c r="A13" s="58" t="s">
        <v>122</v>
      </c>
      <c r="B13" s="50">
        <v>82</v>
      </c>
      <c r="C13" s="44">
        <f>IF(B$3=0,0,B13/B$3)</f>
        <v>0.25076452599388377</v>
      </c>
      <c r="E13" s="63" t="s">
        <v>72</v>
      </c>
      <c r="F13" s="60" t="s">
        <v>27</v>
      </c>
      <c r="G13" s="47">
        <v>6</v>
      </c>
      <c r="H13" s="133">
        <f>IF(B$17=0,0,G13/B$17)</f>
        <v>7.407407407407407E-2</v>
      </c>
      <c r="I13" s="94">
        <v>3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55</v>
      </c>
      <c r="C14" s="39">
        <f>IF(B$3=0,0,B14/B$3)</f>
        <v>0.16819571865443425</v>
      </c>
      <c r="E14" s="63" t="s">
        <v>84</v>
      </c>
      <c r="F14" s="60" t="s">
        <v>39</v>
      </c>
      <c r="G14" s="47">
        <v>4</v>
      </c>
      <c r="H14" s="133">
        <f>IF(B$17=0,0,G14/B$17)</f>
        <v>4.9382716049382713E-2</v>
      </c>
      <c r="I14" s="94">
        <v>5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47</v>
      </c>
      <c r="C15" s="37">
        <f>IF(B$13=0,0,B15/B$13)</f>
        <v>0.57317073170731703</v>
      </c>
      <c r="E15" s="63" t="s">
        <v>79</v>
      </c>
      <c r="F15" s="60" t="s">
        <v>34</v>
      </c>
      <c r="G15" s="47">
        <v>3</v>
      </c>
      <c r="H15" s="133">
        <f>IF(B$17=0,0,G15/B$17)</f>
        <v>3.7037037037037035E-2</v>
      </c>
      <c r="I15" s="94">
        <v>2</v>
      </c>
      <c r="K15" s="38">
        <v>13</v>
      </c>
      <c r="L15" s="99">
        <v>-58.7</v>
      </c>
      <c r="N15" s="114" t="s">
        <v>129</v>
      </c>
      <c r="O15" s="124">
        <f>IF(P15=0,0,Q15/P15)</f>
        <v>86.820000000000007</v>
      </c>
      <c r="P15" s="118">
        <v>5</v>
      </c>
      <c r="Q15" s="106">
        <v>434.1</v>
      </c>
    </row>
    <row r="16" spans="1:17" x14ac:dyDescent="0.4">
      <c r="A16" s="54" t="s">
        <v>125</v>
      </c>
      <c r="B16" s="46">
        <v>17</v>
      </c>
      <c r="C16" s="37">
        <f>IF(B$14=0,0,B16/B$14)</f>
        <v>0.30909090909090908</v>
      </c>
      <c r="E16" s="63" t="s">
        <v>76</v>
      </c>
      <c r="F16" s="60" t="s">
        <v>31</v>
      </c>
      <c r="G16" s="47">
        <v>2</v>
      </c>
      <c r="H16" s="133">
        <f>IF(B$17=0,0,G16/B$17)</f>
        <v>2.4691358024691357E-2</v>
      </c>
      <c r="I16" s="94">
        <v>2</v>
      </c>
      <c r="K16" s="38">
        <v>14</v>
      </c>
      <c r="L16" s="99">
        <v>-29.400000000000002</v>
      </c>
      <c r="N16" s="115" t="s">
        <v>186</v>
      </c>
      <c r="O16" s="125">
        <f>IF(P16=0,0,Q16/P16)</f>
        <v>25.400000000000002</v>
      </c>
      <c r="P16" s="119">
        <v>2</v>
      </c>
      <c r="Q16" s="107">
        <v>50.800000000000004</v>
      </c>
    </row>
    <row r="17" spans="1:17" x14ac:dyDescent="0.4">
      <c r="A17" s="54" t="s">
        <v>10</v>
      </c>
      <c r="B17" s="46">
        <f>B19+B18</f>
        <v>81</v>
      </c>
      <c r="C17" s="37">
        <f>IF(B$3=0,0,B17/B$3)</f>
        <v>0.24770642201834864</v>
      </c>
      <c r="E17" s="63" t="s">
        <v>93</v>
      </c>
      <c r="F17" s="60" t="s">
        <v>48</v>
      </c>
      <c r="G17" s="47">
        <v>2</v>
      </c>
      <c r="H17" s="133">
        <f>IF(B$17=0,0,G17/B$17)</f>
        <v>2.4691358024691357E-2</v>
      </c>
      <c r="I17" s="94">
        <v>1</v>
      </c>
      <c r="K17" s="38">
        <v>15</v>
      </c>
      <c r="L17" s="99">
        <v>-26.3</v>
      </c>
      <c r="N17" s="115" t="s">
        <v>173</v>
      </c>
      <c r="O17" s="125">
        <f>IF(P17=0,0,Q17/P17)</f>
        <v>14.875</v>
      </c>
      <c r="P17" s="119">
        <v>12</v>
      </c>
      <c r="Q17" s="107">
        <v>178.5</v>
      </c>
    </row>
    <row r="18" spans="1:17" x14ac:dyDescent="0.4">
      <c r="A18" s="55" t="s">
        <v>12</v>
      </c>
      <c r="B18" s="47">
        <v>28</v>
      </c>
      <c r="C18" s="39">
        <f>IF(B$17=0,0,B18/B$17)</f>
        <v>0.34567901234567899</v>
      </c>
      <c r="E18" s="63" t="s">
        <v>180</v>
      </c>
      <c r="F18" s="60" t="s">
        <v>183</v>
      </c>
      <c r="G18" s="47">
        <v>2</v>
      </c>
      <c r="H18" s="133">
        <f>IF(B$17=0,0,G18/B$17)</f>
        <v>2.4691358024691357E-2</v>
      </c>
      <c r="I18" s="94">
        <v>1</v>
      </c>
      <c r="K18" s="38">
        <v>16</v>
      </c>
      <c r="L18" s="99">
        <v>-50.3</v>
      </c>
      <c r="N18" s="115" t="s">
        <v>172</v>
      </c>
      <c r="O18" s="125">
        <f>IF(P18=0,0,Q18/P18)</f>
        <v>-3.9363636363636374</v>
      </c>
      <c r="P18" s="119">
        <v>11</v>
      </c>
      <c r="Q18" s="107">
        <v>-43.300000000000011</v>
      </c>
    </row>
    <row r="19" spans="1:17" x14ac:dyDescent="0.4">
      <c r="A19" s="55" t="s">
        <v>11</v>
      </c>
      <c r="B19" s="47">
        <v>53</v>
      </c>
      <c r="C19" s="39">
        <f>IF(B$17=0,0,B19/B$17)</f>
        <v>0.65432098765432101</v>
      </c>
      <c r="E19" s="63" t="s">
        <v>82</v>
      </c>
      <c r="F19" s="60" t="s">
        <v>37</v>
      </c>
      <c r="G19" s="47">
        <v>1</v>
      </c>
      <c r="H19" s="133">
        <f>IF(B$17=0,0,G19/B$17)</f>
        <v>1.2345679012345678E-2</v>
      </c>
      <c r="I19" s="94">
        <v>6</v>
      </c>
      <c r="K19" s="38">
        <v>17</v>
      </c>
      <c r="L19" s="99">
        <v>-74.3</v>
      </c>
      <c r="N19" s="115" t="s">
        <v>128</v>
      </c>
      <c r="O19" s="125">
        <f>IF(P19=0,0,Q19/P19)</f>
        <v>-10.050000000000008</v>
      </c>
      <c r="P19" s="119">
        <v>20</v>
      </c>
      <c r="Q19" s="107">
        <v>-201.00000000000017</v>
      </c>
    </row>
    <row r="20" spans="1:17" x14ac:dyDescent="0.4">
      <c r="A20" s="55" t="s">
        <v>13</v>
      </c>
      <c r="B20" s="47">
        <v>51</v>
      </c>
      <c r="C20" s="39">
        <f>IF(B$3=0,0,B20/B$3)</f>
        <v>0.15596330275229359</v>
      </c>
      <c r="E20" s="63" t="s">
        <v>74</v>
      </c>
      <c r="F20" s="60" t="s">
        <v>29</v>
      </c>
      <c r="G20" s="47">
        <v>0</v>
      </c>
      <c r="H20" s="133">
        <f>IF(B$17=0,0,G20/B$17)</f>
        <v>0</v>
      </c>
      <c r="I20" s="94">
        <v>5</v>
      </c>
      <c r="K20" s="38">
        <v>18</v>
      </c>
      <c r="L20" s="99">
        <v>-76.099999999999994</v>
      </c>
      <c r="N20" s="115" t="s">
        <v>177</v>
      </c>
      <c r="O20" s="125">
        <f>IF(P20=0,0,Q20/P20)</f>
        <v>-12.149999999999999</v>
      </c>
      <c r="P20" s="119">
        <v>2</v>
      </c>
      <c r="Q20" s="107">
        <v>-24.299999999999997</v>
      </c>
    </row>
    <row r="21" spans="1:17" x14ac:dyDescent="0.4">
      <c r="A21" s="55" t="s">
        <v>193</v>
      </c>
      <c r="B21" s="47">
        <v>4</v>
      </c>
      <c r="C21" s="135">
        <v>2</v>
      </c>
      <c r="E21" s="63" t="s">
        <v>75</v>
      </c>
      <c r="F21" s="60" t="s">
        <v>30</v>
      </c>
      <c r="G21" s="47">
        <v>0</v>
      </c>
      <c r="H21" s="133">
        <f>IF(B$17=0,0,G21/B$17)</f>
        <v>0</v>
      </c>
      <c r="I21" s="94">
        <v>3</v>
      </c>
      <c r="K21" s="38">
        <v>19</v>
      </c>
      <c r="L21" s="99">
        <v>0.60000000000000853</v>
      </c>
      <c r="N21" s="115" t="s">
        <v>127</v>
      </c>
      <c r="O21" s="125">
        <f>IF(P21=0,0,Q21/P21)</f>
        <v>-21.029166666666665</v>
      </c>
      <c r="P21" s="119">
        <v>24</v>
      </c>
      <c r="Q21" s="107">
        <v>-504.69999999999993</v>
      </c>
    </row>
    <row r="22" spans="1:17" x14ac:dyDescent="0.4">
      <c r="A22" s="55" t="s">
        <v>194</v>
      </c>
      <c r="B22" s="47">
        <v>20</v>
      </c>
      <c r="C22" s="135">
        <v>8</v>
      </c>
      <c r="E22" s="63" t="s">
        <v>77</v>
      </c>
      <c r="F22" s="60" t="s">
        <v>32</v>
      </c>
      <c r="G22" s="47">
        <v>0</v>
      </c>
      <c r="H22" s="133">
        <f>IF(B$17=0,0,G22/B$17)</f>
        <v>0</v>
      </c>
      <c r="I22" s="94">
        <v>1</v>
      </c>
      <c r="K22" s="38">
        <v>20</v>
      </c>
      <c r="L22" s="99">
        <v>-3.5999999999999917</v>
      </c>
      <c r="N22" s="115" t="s">
        <v>202</v>
      </c>
      <c r="O22" s="125">
        <f>IF(P22=0,0,Q22/P22)</f>
        <v>-51.999999999999993</v>
      </c>
      <c r="P22" s="119">
        <v>2</v>
      </c>
      <c r="Q22" s="107">
        <v>-103.99999999999999</v>
      </c>
    </row>
    <row r="23" spans="1:17" x14ac:dyDescent="0.4">
      <c r="A23" s="55" t="s">
        <v>5</v>
      </c>
      <c r="B23" s="51">
        <f>IF(B$17=0,0,C23/B$17)</f>
        <v>8769.1358024691363</v>
      </c>
      <c r="C23" s="41">
        <v>710300</v>
      </c>
      <c r="E23" s="63" t="s">
        <v>78</v>
      </c>
      <c r="F23" s="60" t="s">
        <v>33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-3.0999999999999917</v>
      </c>
    </row>
    <row r="24" spans="1:17" x14ac:dyDescent="0.4">
      <c r="A24" s="57" t="s">
        <v>14</v>
      </c>
      <c r="B24" s="52">
        <f>IF(B$20=0,0,C24/B$20)</f>
        <v>-7225.4901960784309</v>
      </c>
      <c r="C24" s="45">
        <v>-368500</v>
      </c>
      <c r="E24" s="63" t="s">
        <v>80</v>
      </c>
      <c r="F24" s="60" t="s">
        <v>35</v>
      </c>
      <c r="G24" s="47">
        <v>0</v>
      </c>
      <c r="H24" s="133">
        <f>IF(B$17=0,0,G24/B$17)</f>
        <v>0</v>
      </c>
      <c r="I24" s="94">
        <v>6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0">
        <v>4</v>
      </c>
      <c r="C25" s="141"/>
      <c r="E25" s="63" t="s">
        <v>81</v>
      </c>
      <c r="F25" s="60" t="s">
        <v>36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38">
        <v>91700</v>
      </c>
      <c r="C26" s="139"/>
      <c r="E26" s="63" t="s">
        <v>83</v>
      </c>
      <c r="F26" s="60" t="s">
        <v>38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1</v>
      </c>
      <c r="C27" s="42">
        <f>IF(B$3=0,0,B27/B$3)</f>
        <v>3.0581039755351682E-3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3</v>
      </c>
      <c r="K27" s="38">
        <v>25</v>
      </c>
      <c r="L27" s="99">
        <v>-39.999999999999986</v>
      </c>
    </row>
    <row r="28" spans="1:17" x14ac:dyDescent="0.4">
      <c r="E28" s="63" t="s">
        <v>86</v>
      </c>
      <c r="F28" s="60" t="s">
        <v>41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-71.099999999999994</v>
      </c>
    </row>
    <row r="29" spans="1:17" x14ac:dyDescent="0.4">
      <c r="E29" s="63" t="s">
        <v>88</v>
      </c>
      <c r="F29" s="60" t="s">
        <v>43</v>
      </c>
      <c r="G29" s="47">
        <v>0</v>
      </c>
      <c r="H29" s="133">
        <f>IF(B$17=0,0,G29/B$17)</f>
        <v>0</v>
      </c>
      <c r="I29" s="94">
        <v>3</v>
      </c>
      <c r="K29" s="38">
        <v>27</v>
      </c>
      <c r="L29" s="99">
        <v>-66.199999999999989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-116.49999999999999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-121.79999999999998</v>
      </c>
    </row>
    <row r="32" spans="1:17" x14ac:dyDescent="0.4">
      <c r="E32" s="63" t="s">
        <v>92</v>
      </c>
      <c r="F32" s="60" t="s">
        <v>47</v>
      </c>
      <c r="G32" s="47">
        <v>0</v>
      </c>
      <c r="H32" s="133">
        <f>IF(B$17=0,0,G32/B$17)</f>
        <v>0</v>
      </c>
      <c r="I32" s="94">
        <v>7</v>
      </c>
      <c r="K32" s="38">
        <v>30</v>
      </c>
      <c r="L32" s="99">
        <v>-156.19999999999999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3</v>
      </c>
      <c r="K33" s="38">
        <v>31</v>
      </c>
      <c r="L33" s="99">
        <v>-91.899999999999991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-108.9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-88.4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-64.099999999999994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-71.3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38383-63F5-4EE4-9C94-835B55F58CFE}">
  <sheetPr codeName="Sheet1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35</v>
      </c>
      <c r="C2" s="147"/>
      <c r="E2" s="62" t="s">
        <v>67</v>
      </c>
      <c r="F2" s="59" t="s">
        <v>23</v>
      </c>
      <c r="G2" s="46">
        <v>76</v>
      </c>
      <c r="H2" s="132">
        <f>IF(B$17=0,0,G2/B$17)</f>
        <v>0.73076923076923073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1657.1428571428571</v>
      </c>
      <c r="P2" s="118">
        <v>35</v>
      </c>
      <c r="Q2" s="102">
        <v>58000</v>
      </c>
    </row>
    <row r="3" spans="1:17" x14ac:dyDescent="0.4">
      <c r="A3" s="55" t="s">
        <v>8</v>
      </c>
      <c r="B3" s="148">
        <v>297</v>
      </c>
      <c r="C3" s="149"/>
      <c r="E3" s="63" t="s">
        <v>73</v>
      </c>
      <c r="F3" s="60" t="s">
        <v>28</v>
      </c>
      <c r="G3" s="47">
        <v>67</v>
      </c>
      <c r="H3" s="133">
        <f>IF(B$17=0,0,G3/B$17)</f>
        <v>0.64423076923076927</v>
      </c>
      <c r="I3" s="94">
        <v>4</v>
      </c>
      <c r="K3" s="38">
        <v>1</v>
      </c>
      <c r="L3" s="99">
        <v>11.1</v>
      </c>
      <c r="N3" s="115" t="s">
        <v>133</v>
      </c>
      <c r="O3" s="122">
        <f t="shared" si="0"/>
        <v>145.71428571428572</v>
      </c>
      <c r="P3" s="119">
        <v>35</v>
      </c>
      <c r="Q3" s="103">
        <v>5100</v>
      </c>
    </row>
    <row r="4" spans="1:17" x14ac:dyDescent="0.4">
      <c r="A4" s="55" t="s">
        <v>6</v>
      </c>
      <c r="B4" s="150">
        <v>-8.2999999999999972</v>
      </c>
      <c r="C4" s="151"/>
      <c r="E4" s="63" t="s">
        <v>65</v>
      </c>
      <c r="F4" s="60" t="s">
        <v>21</v>
      </c>
      <c r="G4" s="47">
        <v>37</v>
      </c>
      <c r="H4" s="133">
        <f>IF(B$17=0,0,G4/B$17)</f>
        <v>0.35576923076923078</v>
      </c>
      <c r="I4" s="94">
        <v>11</v>
      </c>
      <c r="K4" s="38">
        <v>2</v>
      </c>
      <c r="L4" s="99">
        <v>-7.7000000000000011</v>
      </c>
      <c r="N4" s="115" t="s">
        <v>134</v>
      </c>
      <c r="O4" s="122">
        <f t="shared" si="0"/>
        <v>724.13793103448279</v>
      </c>
      <c r="P4" s="119">
        <v>29</v>
      </c>
      <c r="Q4" s="103">
        <v>21000</v>
      </c>
    </row>
    <row r="5" spans="1:17" x14ac:dyDescent="0.4">
      <c r="A5" s="55" t="s">
        <v>7</v>
      </c>
      <c r="B5" s="152">
        <f>IF(B$2=0,0,B$4/B$2)</f>
        <v>-0.23714285714285707</v>
      </c>
      <c r="C5" s="153"/>
      <c r="E5" s="63" t="s">
        <v>181</v>
      </c>
      <c r="F5" s="60" t="s">
        <v>182</v>
      </c>
      <c r="G5" s="47">
        <v>37</v>
      </c>
      <c r="H5" s="133">
        <f>IF(B$17=0,0,G5/B$17)</f>
        <v>0.35576923076923078</v>
      </c>
      <c r="I5" s="94">
        <v>6</v>
      </c>
      <c r="K5" s="38">
        <v>3</v>
      </c>
      <c r="L5" s="99">
        <v>1.7999999999999989</v>
      </c>
      <c r="N5" s="115" t="s">
        <v>135</v>
      </c>
      <c r="O5" s="122">
        <f t="shared" si="0"/>
        <v>396.42857142857144</v>
      </c>
      <c r="P5" s="119">
        <v>28</v>
      </c>
      <c r="Q5" s="103">
        <v>11100</v>
      </c>
    </row>
    <row r="6" spans="1:17" x14ac:dyDescent="0.4">
      <c r="A6" s="55" t="s">
        <v>1</v>
      </c>
      <c r="B6" s="142">
        <f>IF(B$2=0,0,(B$7*1+B$8*2+B$9*3)/B$2)</f>
        <v>2.1142857142857143</v>
      </c>
      <c r="C6" s="143"/>
      <c r="E6" s="63" t="s">
        <v>69</v>
      </c>
      <c r="F6" s="60" t="s">
        <v>12</v>
      </c>
      <c r="G6" s="47">
        <v>29</v>
      </c>
      <c r="H6" s="133">
        <f>IF(B$17=0,0,G6/B$17)</f>
        <v>0.27884615384615385</v>
      </c>
      <c r="I6" s="94">
        <v>6</v>
      </c>
      <c r="K6" s="38">
        <v>4</v>
      </c>
      <c r="L6" s="99">
        <v>34.9</v>
      </c>
      <c r="N6" s="115" t="s">
        <v>136</v>
      </c>
      <c r="O6" s="122">
        <f t="shared" si="0"/>
        <v>-1233.3333333333333</v>
      </c>
      <c r="P6" s="119">
        <v>27</v>
      </c>
      <c r="Q6" s="103">
        <v>-33300</v>
      </c>
    </row>
    <row r="7" spans="1:17" x14ac:dyDescent="0.4">
      <c r="A7" s="55" t="s">
        <v>2</v>
      </c>
      <c r="B7" s="47">
        <v>10</v>
      </c>
      <c r="C7" s="39">
        <f>IF(B$2=0,0,B7/B$2)</f>
        <v>0.2857142857142857</v>
      </c>
      <c r="E7" s="63" t="s">
        <v>68</v>
      </c>
      <c r="F7" s="60" t="s">
        <v>24</v>
      </c>
      <c r="G7" s="47">
        <v>19</v>
      </c>
      <c r="H7" s="133">
        <f>IF(B$17=0,0,G7/B$17)</f>
        <v>0.18269230769230768</v>
      </c>
      <c r="I7" s="94">
        <v>9</v>
      </c>
      <c r="K7" s="38">
        <v>5</v>
      </c>
      <c r="L7" s="99">
        <v>29.4</v>
      </c>
      <c r="N7" s="116" t="s">
        <v>137</v>
      </c>
      <c r="O7" s="123">
        <f t="shared" si="0"/>
        <v>-1673.9130434782608</v>
      </c>
      <c r="P7" s="120">
        <v>23</v>
      </c>
      <c r="Q7" s="104">
        <v>-38500</v>
      </c>
    </row>
    <row r="8" spans="1:17" x14ac:dyDescent="0.4">
      <c r="A8" s="55" t="s">
        <v>3</v>
      </c>
      <c r="B8" s="47">
        <v>11</v>
      </c>
      <c r="C8" s="39">
        <f>IF(B$2=0,0,B8/B$2)</f>
        <v>0.31428571428571428</v>
      </c>
      <c r="E8" s="63" t="s">
        <v>70</v>
      </c>
      <c r="F8" s="60" t="s">
        <v>25</v>
      </c>
      <c r="G8" s="47">
        <v>14</v>
      </c>
      <c r="H8" s="133">
        <f>IF(B$17=0,0,G8/B$17)</f>
        <v>0.13461538461538461</v>
      </c>
      <c r="I8" s="94">
        <v>10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14</v>
      </c>
      <c r="C9" s="40">
        <f t="shared" ref="C9" si="1">IF(B$2=0,0,B9/B$2)</f>
        <v>0.4</v>
      </c>
      <c r="E9" s="63" t="s">
        <v>66</v>
      </c>
      <c r="F9" s="60" t="s">
        <v>22</v>
      </c>
      <c r="G9" s="47">
        <v>9</v>
      </c>
      <c r="H9" s="133">
        <f>IF(B$17=0,0,G9/B$17)</f>
        <v>8.6538461538461536E-2</v>
      </c>
      <c r="I9" s="94">
        <v>8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5.7142857142857141E-2</v>
      </c>
      <c r="E10" s="63" t="s">
        <v>90</v>
      </c>
      <c r="F10" s="60" t="s">
        <v>45</v>
      </c>
      <c r="G10" s="47">
        <v>9</v>
      </c>
      <c r="H10" s="133">
        <f>IF(B$17=0,0,G10/B$17)</f>
        <v>8.6538461538461536E-2</v>
      </c>
      <c r="I10" s="94">
        <v>11</v>
      </c>
      <c r="K10" s="38">
        <v>8</v>
      </c>
      <c r="L10" s="99">
        <v>-29.5</v>
      </c>
      <c r="N10" s="114" t="s">
        <v>164</v>
      </c>
      <c r="O10" s="124">
        <f>IF(P10=0,0,Q10/P10)</f>
        <v>-13.050000000000002</v>
      </c>
      <c r="P10" s="118">
        <v>12</v>
      </c>
      <c r="Q10" s="106">
        <v>-156.60000000000002</v>
      </c>
    </row>
    <row r="11" spans="1:17" x14ac:dyDescent="0.4">
      <c r="A11" s="56" t="s">
        <v>140</v>
      </c>
      <c r="B11" s="48">
        <v>5</v>
      </c>
      <c r="C11" s="40">
        <f>IF(B$2=0,0,B11/B$2)</f>
        <v>0.14285714285714285</v>
      </c>
      <c r="E11" s="63" t="s">
        <v>71</v>
      </c>
      <c r="F11" s="60" t="s">
        <v>26</v>
      </c>
      <c r="G11" s="47">
        <v>8</v>
      </c>
      <c r="H11" s="133">
        <f>IF(B$17=0,0,G11/B$17)</f>
        <v>7.6923076923076927E-2</v>
      </c>
      <c r="I11" s="94">
        <v>8</v>
      </c>
      <c r="K11" s="38">
        <v>9</v>
      </c>
      <c r="L11" s="99">
        <v>-56.5</v>
      </c>
      <c r="N11" s="115" t="s">
        <v>165</v>
      </c>
      <c r="O11" s="125">
        <f>IF(P11=0,0,Q11/P11)</f>
        <v>16.169999999999998</v>
      </c>
      <c r="P11" s="119">
        <v>10</v>
      </c>
      <c r="Q11" s="107">
        <v>161.69999999999999</v>
      </c>
    </row>
    <row r="12" spans="1:17" x14ac:dyDescent="0.4">
      <c r="A12" s="57" t="s">
        <v>160</v>
      </c>
      <c r="B12" s="49">
        <v>2</v>
      </c>
      <c r="C12" s="42">
        <f>IF(B$2=0,0,B12/B$2)</f>
        <v>5.7142857142857141E-2</v>
      </c>
      <c r="E12" s="63" t="s">
        <v>84</v>
      </c>
      <c r="F12" s="60" t="s">
        <v>39</v>
      </c>
      <c r="G12" s="47">
        <v>7</v>
      </c>
      <c r="H12" s="133">
        <f>IF(B$17=0,0,G12/B$17)</f>
        <v>6.7307692307692304E-2</v>
      </c>
      <c r="I12" s="94">
        <v>2</v>
      </c>
      <c r="K12" s="38">
        <v>10</v>
      </c>
      <c r="L12" s="99">
        <v>24.200000000000003</v>
      </c>
      <c r="N12" s="116" t="s">
        <v>166</v>
      </c>
      <c r="O12" s="126">
        <f>IF(P12=0,0,Q12/P12)</f>
        <v>-1.0307692307692307</v>
      </c>
      <c r="P12" s="120">
        <v>13</v>
      </c>
      <c r="Q12" s="108">
        <v>-13.399999999999999</v>
      </c>
    </row>
    <row r="13" spans="1:17" x14ac:dyDescent="0.4">
      <c r="A13" s="58" t="s">
        <v>122</v>
      </c>
      <c r="B13" s="50">
        <v>68</v>
      </c>
      <c r="C13" s="44">
        <f>IF(B$3=0,0,B13/B$3)</f>
        <v>0.22895622895622897</v>
      </c>
      <c r="E13" s="63" t="s">
        <v>82</v>
      </c>
      <c r="F13" s="60" t="s">
        <v>37</v>
      </c>
      <c r="G13" s="47">
        <v>5</v>
      </c>
      <c r="H13" s="133">
        <f>IF(B$17=0,0,G13/B$17)</f>
        <v>4.807692307692308E-2</v>
      </c>
      <c r="I13" s="94">
        <v>2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94</v>
      </c>
      <c r="C14" s="39">
        <f>IF(B$3=0,0,B14/B$3)</f>
        <v>0.3164983164983165</v>
      </c>
      <c r="E14" s="63" t="s">
        <v>72</v>
      </c>
      <c r="F14" s="60" t="s">
        <v>27</v>
      </c>
      <c r="G14" s="47">
        <v>4</v>
      </c>
      <c r="H14" s="133">
        <f>IF(B$17=0,0,G14/B$17)</f>
        <v>3.8461538461538464E-2</v>
      </c>
      <c r="I14" s="94">
        <v>8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38</v>
      </c>
      <c r="C15" s="37">
        <f>IF(B$13=0,0,B15/B$13)</f>
        <v>0.55882352941176472</v>
      </c>
      <c r="E15" s="63" t="s">
        <v>87</v>
      </c>
      <c r="F15" s="60" t="s">
        <v>42</v>
      </c>
      <c r="G15" s="47">
        <v>4</v>
      </c>
      <c r="H15" s="133">
        <f>IF(B$17=0,0,G15/B$17)</f>
        <v>3.8461538461538464E-2</v>
      </c>
      <c r="I15" s="94">
        <v>9</v>
      </c>
      <c r="K15" s="38">
        <v>13</v>
      </c>
      <c r="L15" s="99">
        <v>-3</v>
      </c>
      <c r="N15" s="114" t="s">
        <v>129</v>
      </c>
      <c r="O15" s="124">
        <f>IF(P15=0,0,Q15/P15)</f>
        <v>80.185714285714283</v>
      </c>
      <c r="P15" s="118">
        <v>7</v>
      </c>
      <c r="Q15" s="106">
        <v>561.29999999999995</v>
      </c>
    </row>
    <row r="16" spans="1:17" x14ac:dyDescent="0.4">
      <c r="A16" s="54" t="s">
        <v>125</v>
      </c>
      <c r="B16" s="46">
        <v>40</v>
      </c>
      <c r="C16" s="37">
        <f>IF(B$14=0,0,B16/B$14)</f>
        <v>0.42553191489361702</v>
      </c>
      <c r="E16" s="63" t="s">
        <v>79</v>
      </c>
      <c r="F16" s="60" t="s">
        <v>34</v>
      </c>
      <c r="G16" s="47">
        <v>2</v>
      </c>
      <c r="H16" s="133">
        <f>IF(B$17=0,0,G16/B$17)</f>
        <v>1.9230769230769232E-2</v>
      </c>
      <c r="I16" s="94">
        <v>4</v>
      </c>
      <c r="K16" s="38">
        <v>14</v>
      </c>
      <c r="L16" s="99">
        <v>-12.3</v>
      </c>
      <c r="N16" s="115" t="s">
        <v>202</v>
      </c>
      <c r="O16" s="125">
        <f>IF(P16=0,0,Q16/P16)</f>
        <v>16.449999999999996</v>
      </c>
      <c r="P16" s="119">
        <v>4</v>
      </c>
      <c r="Q16" s="107">
        <v>65.799999999999983</v>
      </c>
    </row>
    <row r="17" spans="1:17" x14ac:dyDescent="0.4">
      <c r="A17" s="54" t="s">
        <v>10</v>
      </c>
      <c r="B17" s="46">
        <f>B19+B18</f>
        <v>104</v>
      </c>
      <c r="C17" s="37">
        <f>IF(B$3=0,0,B17/B$3)</f>
        <v>0.35016835016835018</v>
      </c>
      <c r="E17" s="63" t="s">
        <v>80</v>
      </c>
      <c r="F17" s="60" t="s">
        <v>35</v>
      </c>
      <c r="G17" s="47">
        <v>2</v>
      </c>
      <c r="H17" s="133">
        <f>IF(B$17=0,0,G17/B$17)</f>
        <v>1.9230769230769232E-2</v>
      </c>
      <c r="I17" s="94">
        <v>1</v>
      </c>
      <c r="K17" s="38">
        <v>15</v>
      </c>
      <c r="L17" s="99">
        <v>-80.3</v>
      </c>
      <c r="N17" s="115" t="s">
        <v>177</v>
      </c>
      <c r="O17" s="125">
        <f>IF(P17=0,0,Q17/P17)</f>
        <v>13.33333333333333</v>
      </c>
      <c r="P17" s="119">
        <v>3</v>
      </c>
      <c r="Q17" s="107">
        <v>39.999999999999993</v>
      </c>
    </row>
    <row r="18" spans="1:17" x14ac:dyDescent="0.4">
      <c r="A18" s="55" t="s">
        <v>12</v>
      </c>
      <c r="B18" s="47">
        <v>46</v>
      </c>
      <c r="C18" s="39">
        <f>IF(B$17=0,0,B18/B$17)</f>
        <v>0.44230769230769229</v>
      </c>
      <c r="E18" s="63" t="s">
        <v>92</v>
      </c>
      <c r="F18" s="60" t="s">
        <v>47</v>
      </c>
      <c r="G18" s="47">
        <v>2</v>
      </c>
      <c r="H18" s="133">
        <f>IF(B$17=0,0,G18/B$17)</f>
        <v>1.9230769230769232E-2</v>
      </c>
      <c r="I18" s="94">
        <v>3</v>
      </c>
      <c r="K18" s="38">
        <v>16</v>
      </c>
      <c r="L18" s="99">
        <v>-87.6</v>
      </c>
      <c r="N18" s="115" t="s">
        <v>173</v>
      </c>
      <c r="O18" s="125">
        <f>IF(P18=0,0,Q18/P18)</f>
        <v>11.574999999999999</v>
      </c>
      <c r="P18" s="119">
        <v>8</v>
      </c>
      <c r="Q18" s="107">
        <v>92.6</v>
      </c>
    </row>
    <row r="19" spans="1:17" x14ac:dyDescent="0.4">
      <c r="A19" s="55" t="s">
        <v>11</v>
      </c>
      <c r="B19" s="47">
        <v>58</v>
      </c>
      <c r="C19" s="39">
        <f>IF(B$17=0,0,B19/B$17)</f>
        <v>0.55769230769230771</v>
      </c>
      <c r="E19" s="63" t="s">
        <v>74</v>
      </c>
      <c r="F19" s="60" t="s">
        <v>29</v>
      </c>
      <c r="G19" s="47">
        <v>0</v>
      </c>
      <c r="H19" s="133">
        <f>IF(B$17=0,0,G19/B$17)</f>
        <v>0</v>
      </c>
      <c r="I19" s="94">
        <v>5</v>
      </c>
      <c r="K19" s="38">
        <v>17</v>
      </c>
      <c r="L19" s="99">
        <v>-55.099999999999994</v>
      </c>
      <c r="N19" s="115" t="s">
        <v>171</v>
      </c>
      <c r="O19" s="125">
        <f>IF(P19=0,0,Q19/P19)</f>
        <v>3.9363636363636347</v>
      </c>
      <c r="P19" s="119">
        <v>11</v>
      </c>
      <c r="Q19" s="107">
        <v>43.299999999999983</v>
      </c>
    </row>
    <row r="20" spans="1:17" x14ac:dyDescent="0.4">
      <c r="A20" s="55" t="s">
        <v>13</v>
      </c>
      <c r="B20" s="47">
        <v>44</v>
      </c>
      <c r="C20" s="39">
        <f>IF(B$3=0,0,B20/B$3)</f>
        <v>0.14814814814814814</v>
      </c>
      <c r="E20" s="63" t="s">
        <v>75</v>
      </c>
      <c r="F20" s="60" t="s">
        <v>30</v>
      </c>
      <c r="G20" s="47">
        <v>0</v>
      </c>
      <c r="H20" s="133">
        <f>IF(B$17=0,0,G20/B$17)</f>
        <v>0</v>
      </c>
      <c r="I20" s="94">
        <v>3</v>
      </c>
      <c r="K20" s="38">
        <v>18</v>
      </c>
      <c r="L20" s="99">
        <v>-28.199999999999996</v>
      </c>
      <c r="N20" s="115" t="s">
        <v>128</v>
      </c>
      <c r="O20" s="125">
        <f>IF(P20=0,0,Q20/P20)</f>
        <v>-8.7249999999999996</v>
      </c>
      <c r="P20" s="119">
        <v>20</v>
      </c>
      <c r="Q20" s="107">
        <v>-174.5</v>
      </c>
    </row>
    <row r="21" spans="1:17" x14ac:dyDescent="0.4">
      <c r="A21" s="55" t="s">
        <v>193</v>
      </c>
      <c r="B21" s="47">
        <v>10</v>
      </c>
      <c r="C21" s="135">
        <v>0</v>
      </c>
      <c r="E21" s="63" t="s">
        <v>76</v>
      </c>
      <c r="F21" s="60" t="s">
        <v>31</v>
      </c>
      <c r="G21" s="47">
        <v>0</v>
      </c>
      <c r="H21" s="133">
        <f>IF(B$17=0,0,G21/B$17)</f>
        <v>0</v>
      </c>
      <c r="I21" s="94">
        <v>6</v>
      </c>
      <c r="K21" s="38">
        <v>19</v>
      </c>
      <c r="L21" s="99">
        <v>29.200000000000003</v>
      </c>
      <c r="N21" s="115" t="s">
        <v>127</v>
      </c>
      <c r="O21" s="125">
        <f>IF(P21=0,0,Q21/P21)</f>
        <v>-38.435294117647068</v>
      </c>
      <c r="P21" s="119">
        <v>17</v>
      </c>
      <c r="Q21" s="107">
        <v>-653.4000000000002</v>
      </c>
    </row>
    <row r="22" spans="1:17" x14ac:dyDescent="0.4">
      <c r="A22" s="55" t="s">
        <v>194</v>
      </c>
      <c r="B22" s="47">
        <v>23</v>
      </c>
      <c r="C22" s="135">
        <v>4</v>
      </c>
      <c r="E22" s="63" t="s">
        <v>77</v>
      </c>
      <c r="F22" s="60" t="s">
        <v>32</v>
      </c>
      <c r="G22" s="47">
        <v>0</v>
      </c>
      <c r="H22" s="133">
        <f>IF(B$17=0,0,G22/B$17)</f>
        <v>0</v>
      </c>
      <c r="I22" s="94">
        <v>1</v>
      </c>
      <c r="K22" s="38">
        <v>20</v>
      </c>
      <c r="L22" s="99">
        <v>43</v>
      </c>
    </row>
    <row r="23" spans="1:17" x14ac:dyDescent="0.4">
      <c r="A23" s="55" t="s">
        <v>5</v>
      </c>
      <c r="B23" s="51">
        <f>IF(B$17=0,0,C23/B$17)</f>
        <v>7118.2692307692305</v>
      </c>
      <c r="C23" s="41">
        <v>740300</v>
      </c>
      <c r="E23" s="63" t="s">
        <v>78</v>
      </c>
      <c r="F23" s="60" t="s">
        <v>33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89.9</v>
      </c>
    </row>
    <row r="24" spans="1:17" x14ac:dyDescent="0.4">
      <c r="A24" s="57" t="s">
        <v>14</v>
      </c>
      <c r="B24" s="52">
        <f>IF(B$20=0,0,C24/B$20)</f>
        <v>-8481.818181818182</v>
      </c>
      <c r="C24" s="45">
        <v>-373200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54.7</v>
      </c>
    </row>
    <row r="25" spans="1:17" x14ac:dyDescent="0.4">
      <c r="A25" s="90" t="s">
        <v>142</v>
      </c>
      <c r="B25" s="140">
        <v>7</v>
      </c>
      <c r="C25" s="141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38">
        <v>97500</v>
      </c>
      <c r="C26" s="139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3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3.3670033670033669E-3</v>
      </c>
      <c r="E27" s="63" t="s">
        <v>86</v>
      </c>
      <c r="F27" s="60" t="s">
        <v>41</v>
      </c>
      <c r="G27" s="47">
        <v>0</v>
      </c>
      <c r="H27" s="133">
        <f>IF(B$17=0,0,G27/B$17)</f>
        <v>0</v>
      </c>
      <c r="I27" s="94">
        <v>3</v>
      </c>
      <c r="K27" s="38">
        <v>25</v>
      </c>
      <c r="L27" s="99">
        <v>30.400000000000006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32.900000000000006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40.400000000000006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3</v>
      </c>
      <c r="K30" s="38">
        <v>28</v>
      </c>
      <c r="L30" s="99">
        <v>8.3000000000000043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  <c r="K31" s="38">
        <v>29</v>
      </c>
      <c r="L31" s="99">
        <v>90.800000000000011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3</v>
      </c>
      <c r="K32" s="38">
        <v>30</v>
      </c>
      <c r="L32" s="99">
        <v>63.300000000000011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114.4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  <c r="K34" s="38">
        <v>32</v>
      </c>
      <c r="L34" s="99">
        <v>76.900000000000006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42.500000000000007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9.8000000000000043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D09C84-C3E3-4625-BE4A-4205D5F4A3F0}">
  <sheetPr codeName="Sheet17"/>
  <dimension ref="A1:Q51"/>
  <sheetViews>
    <sheetView showGridLines="0" topLeftCell="A2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173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29</v>
      </c>
      <c r="C2" s="147"/>
      <c r="E2" s="62" t="s">
        <v>67</v>
      </c>
      <c r="F2" s="59" t="s">
        <v>23</v>
      </c>
      <c r="G2" s="46">
        <v>61</v>
      </c>
      <c r="H2" s="132">
        <f>IF(B$17=0,0,G2/B$17)</f>
        <v>0.75308641975308643</v>
      </c>
      <c r="I2" s="93">
        <v>5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-3220.6896551724139</v>
      </c>
      <c r="P2" s="118">
        <v>29</v>
      </c>
      <c r="Q2" s="102">
        <v>-93400</v>
      </c>
    </row>
    <row r="3" spans="1:17" x14ac:dyDescent="0.4">
      <c r="A3" s="55" t="s">
        <v>8</v>
      </c>
      <c r="B3" s="148">
        <v>258</v>
      </c>
      <c r="C3" s="149"/>
      <c r="E3" s="63" t="s">
        <v>73</v>
      </c>
      <c r="F3" s="60" t="s">
        <v>28</v>
      </c>
      <c r="G3" s="47">
        <v>41</v>
      </c>
      <c r="H3" s="133">
        <f>IF(B$17=0,0,G3/B$17)</f>
        <v>0.50617283950617287</v>
      </c>
      <c r="I3" s="94">
        <v>8</v>
      </c>
      <c r="K3" s="38">
        <v>1</v>
      </c>
      <c r="L3" s="99">
        <v>-82.6</v>
      </c>
      <c r="N3" s="115" t="s">
        <v>133</v>
      </c>
      <c r="O3" s="122">
        <f t="shared" si="0"/>
        <v>1672.4137931034484</v>
      </c>
      <c r="P3" s="119">
        <v>29</v>
      </c>
      <c r="Q3" s="103">
        <v>48500</v>
      </c>
    </row>
    <row r="4" spans="1:17" x14ac:dyDescent="0.4">
      <c r="A4" s="55" t="s">
        <v>6</v>
      </c>
      <c r="B4" s="150">
        <v>-177.29999999999998</v>
      </c>
      <c r="C4" s="151"/>
      <c r="E4" s="63" t="s">
        <v>65</v>
      </c>
      <c r="F4" s="60" t="s">
        <v>21</v>
      </c>
      <c r="G4" s="47">
        <v>36</v>
      </c>
      <c r="H4" s="133">
        <f>IF(B$17=0,0,G4/B$17)</f>
        <v>0.44444444444444442</v>
      </c>
      <c r="I4" s="94">
        <v>8</v>
      </c>
      <c r="K4" s="38">
        <v>2</v>
      </c>
      <c r="L4" s="99">
        <v>-122.3</v>
      </c>
      <c r="N4" s="115" t="s">
        <v>134</v>
      </c>
      <c r="O4" s="122">
        <f t="shared" si="0"/>
        <v>-1880.7692307692307</v>
      </c>
      <c r="P4" s="119">
        <v>26</v>
      </c>
      <c r="Q4" s="103">
        <v>-48900</v>
      </c>
    </row>
    <row r="5" spans="1:17" x14ac:dyDescent="0.4">
      <c r="A5" s="55" t="s">
        <v>7</v>
      </c>
      <c r="B5" s="152">
        <f>IF(B$2=0,0,B$4/B$2)</f>
        <v>-6.1137931034482751</v>
      </c>
      <c r="C5" s="153"/>
      <c r="E5" s="63" t="s">
        <v>69</v>
      </c>
      <c r="F5" s="60" t="s">
        <v>12</v>
      </c>
      <c r="G5" s="47">
        <v>33</v>
      </c>
      <c r="H5" s="133">
        <f>IF(B$17=0,0,G5/B$17)</f>
        <v>0.40740740740740738</v>
      </c>
      <c r="I5" s="94">
        <v>3</v>
      </c>
      <c r="K5" s="38">
        <v>3</v>
      </c>
      <c r="L5" s="99">
        <v>-149</v>
      </c>
      <c r="N5" s="115" t="s">
        <v>135</v>
      </c>
      <c r="O5" s="122">
        <f t="shared" si="0"/>
        <v>-3564</v>
      </c>
      <c r="P5" s="119">
        <v>25</v>
      </c>
      <c r="Q5" s="103">
        <v>-89100</v>
      </c>
    </row>
    <row r="6" spans="1:17" x14ac:dyDescent="0.4">
      <c r="A6" s="55" t="s">
        <v>1</v>
      </c>
      <c r="B6" s="142">
        <f>IF(B$2=0,0,(B$7*1+B$8*2+B$9*3)/B$2)</f>
        <v>2.0689655172413794</v>
      </c>
      <c r="C6" s="143"/>
      <c r="E6" s="63" t="s">
        <v>181</v>
      </c>
      <c r="F6" s="60" t="s">
        <v>182</v>
      </c>
      <c r="G6" s="47">
        <v>27</v>
      </c>
      <c r="H6" s="133">
        <f>IF(B$17=0,0,G6/B$17)</f>
        <v>0.33333333333333331</v>
      </c>
      <c r="I6" s="94">
        <v>8</v>
      </c>
      <c r="K6" s="38">
        <v>4</v>
      </c>
      <c r="L6" s="99">
        <v>-150.6</v>
      </c>
      <c r="N6" s="115" t="s">
        <v>136</v>
      </c>
      <c r="O6" s="122">
        <f t="shared" si="0"/>
        <v>1747.8260869565217</v>
      </c>
      <c r="P6" s="119">
        <v>23</v>
      </c>
      <c r="Q6" s="103">
        <v>40200</v>
      </c>
    </row>
    <row r="7" spans="1:17" x14ac:dyDescent="0.4">
      <c r="A7" s="55" t="s">
        <v>2</v>
      </c>
      <c r="B7" s="47">
        <v>8</v>
      </c>
      <c r="C7" s="39">
        <f>IF(B$2=0,0,B7/B$2)</f>
        <v>0.27586206896551724</v>
      </c>
      <c r="E7" s="63" t="s">
        <v>68</v>
      </c>
      <c r="F7" s="60" t="s">
        <v>24</v>
      </c>
      <c r="G7" s="47">
        <v>17</v>
      </c>
      <c r="H7" s="133">
        <f>IF(B$17=0,0,G7/B$17)</f>
        <v>0.20987654320987653</v>
      </c>
      <c r="I7" s="94">
        <v>8</v>
      </c>
      <c r="K7" s="38">
        <v>5</v>
      </c>
      <c r="L7" s="99">
        <v>-184.89999999999998</v>
      </c>
      <c r="N7" s="116" t="s">
        <v>137</v>
      </c>
      <c r="O7" s="123">
        <f t="shared" si="0"/>
        <v>-61.904761904761905</v>
      </c>
      <c r="P7" s="120">
        <v>21</v>
      </c>
      <c r="Q7" s="104">
        <v>-1300</v>
      </c>
    </row>
    <row r="8" spans="1:17" x14ac:dyDescent="0.4">
      <c r="A8" s="55" t="s">
        <v>3</v>
      </c>
      <c r="B8" s="47">
        <v>11</v>
      </c>
      <c r="C8" s="39">
        <f>IF(B$2=0,0,B8/B$2)</f>
        <v>0.37931034482758619</v>
      </c>
      <c r="E8" s="63" t="s">
        <v>90</v>
      </c>
      <c r="F8" s="60" t="s">
        <v>45</v>
      </c>
      <c r="G8" s="47">
        <v>11</v>
      </c>
      <c r="H8" s="133">
        <f>IF(B$17=0,0,G8/B$17)</f>
        <v>0.13580246913580246</v>
      </c>
      <c r="I8" s="94">
        <v>6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10</v>
      </c>
      <c r="C9" s="40">
        <f t="shared" ref="C9" si="1">IF(B$2=0,0,B9/B$2)</f>
        <v>0.34482758620689657</v>
      </c>
      <c r="E9" s="63" t="s">
        <v>70</v>
      </c>
      <c r="F9" s="60" t="s">
        <v>25</v>
      </c>
      <c r="G9" s="47">
        <v>8</v>
      </c>
      <c r="H9" s="133">
        <f>IF(B$17=0,0,G9/B$17)</f>
        <v>9.8765432098765427E-2</v>
      </c>
      <c r="I9" s="94">
        <v>11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4</v>
      </c>
      <c r="C10" s="40">
        <f>IF(B$2=0,0,B10/B$2)</f>
        <v>0.13793103448275862</v>
      </c>
      <c r="E10" s="63" t="s">
        <v>71</v>
      </c>
      <c r="F10" s="60" t="s">
        <v>26</v>
      </c>
      <c r="G10" s="47">
        <v>8</v>
      </c>
      <c r="H10" s="133">
        <f>IF(B$17=0,0,G10/B$17)</f>
        <v>9.8765432098765427E-2</v>
      </c>
      <c r="I10" s="94">
        <v>5</v>
      </c>
      <c r="K10" s="38">
        <v>8</v>
      </c>
      <c r="L10" s="99">
        <v>-219.59999999999997</v>
      </c>
      <c r="N10" s="114" t="s">
        <v>164</v>
      </c>
      <c r="O10" s="124">
        <f>IF(P10=0,0,Q10/P10)</f>
        <v>-13.285714285714286</v>
      </c>
      <c r="P10" s="118">
        <v>7</v>
      </c>
      <c r="Q10" s="106">
        <v>-93</v>
      </c>
    </row>
    <row r="11" spans="1:17" x14ac:dyDescent="0.4">
      <c r="A11" s="56" t="s">
        <v>140</v>
      </c>
      <c r="B11" s="48">
        <v>2</v>
      </c>
      <c r="C11" s="40">
        <f>IF(B$2=0,0,B11/B$2)</f>
        <v>6.8965517241379309E-2</v>
      </c>
      <c r="E11" s="63" t="s">
        <v>66</v>
      </c>
      <c r="F11" s="60" t="s">
        <v>22</v>
      </c>
      <c r="G11" s="47">
        <v>4</v>
      </c>
      <c r="H11" s="133">
        <f>IF(B$17=0,0,G11/B$17)</f>
        <v>4.9382716049382713E-2</v>
      </c>
      <c r="I11" s="94">
        <v>9</v>
      </c>
      <c r="K11" s="38">
        <v>9</v>
      </c>
      <c r="L11" s="99">
        <v>-260.59999999999997</v>
      </c>
      <c r="N11" s="115" t="s">
        <v>165</v>
      </c>
      <c r="O11" s="125">
        <f>IF(P11=0,0,Q11/P11)</f>
        <v>-7.2749999999999986</v>
      </c>
      <c r="P11" s="119">
        <v>16</v>
      </c>
      <c r="Q11" s="107">
        <v>-116.39999999999998</v>
      </c>
    </row>
    <row r="12" spans="1:17" x14ac:dyDescent="0.4">
      <c r="A12" s="57" t="s">
        <v>160</v>
      </c>
      <c r="B12" s="49">
        <v>1</v>
      </c>
      <c r="C12" s="42">
        <f>IF(B$2=0,0,B12/B$2)</f>
        <v>3.4482758620689655E-2</v>
      </c>
      <c r="E12" s="63" t="s">
        <v>72</v>
      </c>
      <c r="F12" s="60" t="s">
        <v>27</v>
      </c>
      <c r="G12" s="47">
        <v>4</v>
      </c>
      <c r="H12" s="133">
        <f>IF(B$17=0,0,G12/B$17)</f>
        <v>4.9382716049382713E-2</v>
      </c>
      <c r="I12" s="94">
        <v>6</v>
      </c>
      <c r="K12" s="38">
        <v>10</v>
      </c>
      <c r="L12" s="99">
        <v>-318.39999999999998</v>
      </c>
      <c r="N12" s="116" t="s">
        <v>166</v>
      </c>
      <c r="O12" s="126">
        <f>IF(P12=0,0,Q12/P12)</f>
        <v>5.3500000000000014</v>
      </c>
      <c r="P12" s="120">
        <v>6</v>
      </c>
      <c r="Q12" s="108">
        <v>32.100000000000009</v>
      </c>
    </row>
    <row r="13" spans="1:17" x14ac:dyDescent="0.4">
      <c r="A13" s="58" t="s">
        <v>122</v>
      </c>
      <c r="B13" s="50">
        <v>62</v>
      </c>
      <c r="C13" s="44">
        <f>IF(B$3=0,0,B13/B$3)</f>
        <v>0.24031007751937986</v>
      </c>
      <c r="E13" s="63" t="s">
        <v>87</v>
      </c>
      <c r="F13" s="60" t="s">
        <v>42</v>
      </c>
      <c r="G13" s="47">
        <v>4</v>
      </c>
      <c r="H13" s="133">
        <f>IF(B$17=0,0,G13/B$17)</f>
        <v>4.9382716049382713E-2</v>
      </c>
      <c r="I13" s="94">
        <v>7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58</v>
      </c>
      <c r="C14" s="39">
        <f>IF(B$3=0,0,B14/B$3)</f>
        <v>0.22480620155038761</v>
      </c>
      <c r="E14" s="63" t="s">
        <v>84</v>
      </c>
      <c r="F14" s="60" t="s">
        <v>39</v>
      </c>
      <c r="G14" s="47">
        <v>2</v>
      </c>
      <c r="H14" s="133">
        <f>IF(B$17=0,0,G14/B$17)</f>
        <v>2.4691358024691357E-2</v>
      </c>
      <c r="I14" s="94">
        <v>8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37</v>
      </c>
      <c r="C15" s="37">
        <f>IF(B$13=0,0,B15/B$13)</f>
        <v>0.59677419354838712</v>
      </c>
      <c r="E15" s="63" t="s">
        <v>74</v>
      </c>
      <c r="F15" s="60" t="s">
        <v>29</v>
      </c>
      <c r="G15" s="47">
        <v>1</v>
      </c>
      <c r="H15" s="133">
        <f>IF(B$17=0,0,G15/B$17)</f>
        <v>1.2345679012345678E-2</v>
      </c>
      <c r="I15" s="94">
        <v>1</v>
      </c>
      <c r="K15" s="38">
        <v>13</v>
      </c>
      <c r="L15" s="99">
        <v>-302.59999999999997</v>
      </c>
      <c r="N15" s="114" t="s">
        <v>129</v>
      </c>
      <c r="O15" s="124">
        <f>IF(P15=0,0,Q15/P15)</f>
        <v>28.26</v>
      </c>
      <c r="P15" s="118">
        <v>5</v>
      </c>
      <c r="Q15" s="106">
        <v>141.30000000000001</v>
      </c>
    </row>
    <row r="16" spans="1:17" x14ac:dyDescent="0.4">
      <c r="A16" s="54" t="s">
        <v>125</v>
      </c>
      <c r="B16" s="46">
        <v>20</v>
      </c>
      <c r="C16" s="37">
        <f>IF(B$14=0,0,B16/B$14)</f>
        <v>0.34482758620689657</v>
      </c>
      <c r="E16" s="63" t="s">
        <v>79</v>
      </c>
      <c r="F16" s="60" t="s">
        <v>34</v>
      </c>
      <c r="G16" s="47">
        <v>1</v>
      </c>
      <c r="H16" s="133">
        <f>IF(B$17=0,0,G16/B$17)</f>
        <v>1.2345679012345678E-2</v>
      </c>
      <c r="I16" s="94">
        <v>7</v>
      </c>
      <c r="K16" s="38">
        <v>14</v>
      </c>
      <c r="L16" s="99">
        <v>-269.99999999999994</v>
      </c>
      <c r="N16" s="115" t="s">
        <v>128</v>
      </c>
      <c r="O16" s="125">
        <f>IF(P16=0,0,Q16/P16)</f>
        <v>11.370588235294118</v>
      </c>
      <c r="P16" s="119">
        <v>17</v>
      </c>
      <c r="Q16" s="107">
        <v>193.3</v>
      </c>
    </row>
    <row r="17" spans="1:17" x14ac:dyDescent="0.4">
      <c r="A17" s="54" t="s">
        <v>10</v>
      </c>
      <c r="B17" s="46">
        <f>B19+B18</f>
        <v>81</v>
      </c>
      <c r="C17" s="37">
        <f>IF(B$3=0,0,B17/B$3)</f>
        <v>0.31395348837209303</v>
      </c>
      <c r="E17" s="63" t="s">
        <v>80</v>
      </c>
      <c r="F17" s="60" t="s">
        <v>35</v>
      </c>
      <c r="G17" s="47">
        <v>1</v>
      </c>
      <c r="H17" s="133">
        <f>IF(B$17=0,0,G17/B$17)</f>
        <v>1.2345679012345678E-2</v>
      </c>
      <c r="I17" s="94">
        <v>2</v>
      </c>
      <c r="K17" s="38">
        <v>15</v>
      </c>
      <c r="L17" s="99">
        <v>-264.59999999999997</v>
      </c>
      <c r="N17" s="115" t="s">
        <v>172</v>
      </c>
      <c r="O17" s="125">
        <f>IF(P17=0,0,Q17/P17)</f>
        <v>-11.574999999999999</v>
      </c>
      <c r="P17" s="119">
        <v>8</v>
      </c>
      <c r="Q17" s="107">
        <v>-92.6</v>
      </c>
    </row>
    <row r="18" spans="1:17" x14ac:dyDescent="0.4">
      <c r="A18" s="55" t="s">
        <v>12</v>
      </c>
      <c r="B18" s="47">
        <v>42</v>
      </c>
      <c r="C18" s="39">
        <f>IF(B$17=0,0,B18/B$17)</f>
        <v>0.51851851851851849</v>
      </c>
      <c r="E18" s="63" t="s">
        <v>92</v>
      </c>
      <c r="F18" s="60" t="s">
        <v>47</v>
      </c>
      <c r="G18" s="47">
        <v>1</v>
      </c>
      <c r="H18" s="133">
        <f>IF(B$17=0,0,G18/B$17)</f>
        <v>1.2345679012345678E-2</v>
      </c>
      <c r="I18" s="94">
        <v>6</v>
      </c>
      <c r="K18" s="38">
        <v>16</v>
      </c>
      <c r="L18" s="99">
        <v>-292.79999999999995</v>
      </c>
      <c r="N18" s="115" t="s">
        <v>171</v>
      </c>
      <c r="O18" s="125">
        <f>IF(P18=0,0,Q18/P18)</f>
        <v>-14.874999999999998</v>
      </c>
      <c r="P18" s="119">
        <v>12</v>
      </c>
      <c r="Q18" s="107">
        <v>-178.49999999999997</v>
      </c>
    </row>
    <row r="19" spans="1:17" x14ac:dyDescent="0.4">
      <c r="A19" s="55" t="s">
        <v>11</v>
      </c>
      <c r="B19" s="47">
        <v>39</v>
      </c>
      <c r="C19" s="39">
        <f>IF(B$17=0,0,B19/B$17)</f>
        <v>0.48148148148148145</v>
      </c>
      <c r="E19" s="63" t="s">
        <v>180</v>
      </c>
      <c r="F19" s="60" t="s">
        <v>183</v>
      </c>
      <c r="G19" s="47">
        <v>1</v>
      </c>
      <c r="H19" s="133">
        <f>IF(B$17=0,0,G19/B$17)</f>
        <v>1.2345679012345678E-2</v>
      </c>
      <c r="I19" s="94">
        <v>5</v>
      </c>
      <c r="K19" s="38">
        <v>17</v>
      </c>
      <c r="L19" s="99">
        <v>-248.89999999999995</v>
      </c>
      <c r="N19" s="115" t="s">
        <v>177</v>
      </c>
      <c r="O19" s="125">
        <f>IF(P19=0,0,Q19/P19)</f>
        <v>-17.950000000000003</v>
      </c>
      <c r="P19" s="119">
        <v>2</v>
      </c>
      <c r="Q19" s="107">
        <v>-35.900000000000006</v>
      </c>
    </row>
    <row r="20" spans="1:17" x14ac:dyDescent="0.4">
      <c r="A20" s="55" t="s">
        <v>13</v>
      </c>
      <c r="B20" s="47">
        <v>50</v>
      </c>
      <c r="C20" s="39">
        <f>IF(B$3=0,0,B20/B$3)</f>
        <v>0.19379844961240311</v>
      </c>
      <c r="E20" s="63" t="s">
        <v>75</v>
      </c>
      <c r="F20" s="60" t="s">
        <v>30</v>
      </c>
      <c r="G20" s="47">
        <v>0</v>
      </c>
      <c r="H20" s="133">
        <f>IF(B$17=0,0,G20/B$17)</f>
        <v>0</v>
      </c>
      <c r="I20" s="94">
        <v>3</v>
      </c>
      <c r="K20" s="38">
        <v>18</v>
      </c>
      <c r="L20" s="99">
        <v>-218.99999999999994</v>
      </c>
      <c r="N20" s="115" t="s">
        <v>127</v>
      </c>
      <c r="O20" s="125">
        <f>IF(P20=0,0,Q20/P20)</f>
        <v>-39.24166666666666</v>
      </c>
      <c r="P20" s="119">
        <v>12</v>
      </c>
      <c r="Q20" s="107">
        <v>-470.89999999999992</v>
      </c>
    </row>
    <row r="21" spans="1:17" x14ac:dyDescent="0.4">
      <c r="A21" s="55" t="s">
        <v>193</v>
      </c>
      <c r="B21" s="47">
        <v>4</v>
      </c>
      <c r="C21" s="135">
        <v>2</v>
      </c>
      <c r="E21" s="63" t="s">
        <v>76</v>
      </c>
      <c r="F21" s="60" t="s">
        <v>31</v>
      </c>
      <c r="G21" s="47">
        <v>0</v>
      </c>
      <c r="H21" s="133">
        <f>IF(B$17=0,0,G21/B$17)</f>
        <v>0</v>
      </c>
      <c r="I21" s="94">
        <v>6</v>
      </c>
      <c r="K21" s="38">
        <v>19</v>
      </c>
      <c r="L21" s="99">
        <v>-188.59999999999994</v>
      </c>
      <c r="N21" s="115" t="s">
        <v>202</v>
      </c>
      <c r="O21" s="125">
        <f>IF(P21=0,0,Q21/P21)</f>
        <v>-43.1</v>
      </c>
      <c r="P21" s="119">
        <v>1</v>
      </c>
      <c r="Q21" s="107">
        <v>-43.1</v>
      </c>
    </row>
    <row r="22" spans="1:17" x14ac:dyDescent="0.4">
      <c r="A22" s="55" t="s">
        <v>194</v>
      </c>
      <c r="B22" s="47">
        <v>18</v>
      </c>
      <c r="C22" s="135">
        <v>17</v>
      </c>
      <c r="E22" s="63" t="s">
        <v>77</v>
      </c>
      <c r="F22" s="60" t="s">
        <v>32</v>
      </c>
      <c r="G22" s="47">
        <v>0</v>
      </c>
      <c r="H22" s="133">
        <f>IF(B$17=0,0,G22/B$17)</f>
        <v>0</v>
      </c>
      <c r="I22" s="94">
        <v>1</v>
      </c>
      <c r="K22" s="38">
        <v>20</v>
      </c>
      <c r="L22" s="99">
        <v>-182.79999999999993</v>
      </c>
      <c r="N22" s="115" t="s">
        <v>185</v>
      </c>
      <c r="O22" s="125">
        <f>IF(P22=0,0,Q22/P22)</f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6746.9135802469136</v>
      </c>
      <c r="C23" s="41">
        <v>546500</v>
      </c>
      <c r="E23" s="63" t="s">
        <v>78</v>
      </c>
      <c r="F23" s="60" t="s">
        <v>33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-203.79999999999993</v>
      </c>
    </row>
    <row r="24" spans="1:17" x14ac:dyDescent="0.4">
      <c r="A24" s="57" t="s">
        <v>14</v>
      </c>
      <c r="B24" s="52">
        <f>IF(B$20=0,0,C24/B$20)</f>
        <v>-8208</v>
      </c>
      <c r="C24" s="45">
        <v>-410400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-262.49999999999994</v>
      </c>
    </row>
    <row r="25" spans="1:17" x14ac:dyDescent="0.4">
      <c r="A25" s="90" t="s">
        <v>142</v>
      </c>
      <c r="B25" s="140">
        <v>6</v>
      </c>
      <c r="C25" s="141"/>
      <c r="E25" s="63" t="s">
        <v>82</v>
      </c>
      <c r="F25" s="60" t="s">
        <v>37</v>
      </c>
      <c r="G25" s="47">
        <v>0</v>
      </c>
      <c r="H25" s="133">
        <f>IF(B$17=0,0,G25/B$17)</f>
        <v>0</v>
      </c>
      <c r="I25" s="94">
        <v>7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38">
        <v>85900</v>
      </c>
      <c r="C26" s="139"/>
      <c r="E26" s="63" t="s">
        <v>83</v>
      </c>
      <c r="F26" s="60" t="s">
        <v>38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1</v>
      </c>
      <c r="C27" s="42">
        <f>IF(B$3=0,0,B27/B$3)</f>
        <v>3.875968992248062E-3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3</v>
      </c>
      <c r="K27" s="38">
        <v>25</v>
      </c>
      <c r="L27" s="99">
        <v>-344.29999999999995</v>
      </c>
    </row>
    <row r="28" spans="1:17" x14ac:dyDescent="0.4">
      <c r="E28" s="63" t="s">
        <v>86</v>
      </c>
      <c r="F28" s="60" t="s">
        <v>41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-285.09999999999997</v>
      </c>
    </row>
    <row r="29" spans="1:17" x14ac:dyDescent="0.4">
      <c r="E29" s="63" t="s">
        <v>88</v>
      </c>
      <c r="F29" s="60" t="s">
        <v>43</v>
      </c>
      <c r="G29" s="47">
        <v>0</v>
      </c>
      <c r="H29" s="133">
        <f>IF(B$17=0,0,G29/B$17)</f>
        <v>0</v>
      </c>
      <c r="I29" s="94">
        <v>3</v>
      </c>
      <c r="K29" s="38">
        <v>27</v>
      </c>
      <c r="L29" s="99">
        <v>-257.39999999999998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-248.2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-177.29999999999998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3</v>
      </c>
    </row>
    <row r="34" spans="5:9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B6048-F477-4A35-82CB-520BE6AA0359}">
  <sheetPr codeName="Sheet1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17</v>
      </c>
      <c r="C2" s="147"/>
      <c r="E2" s="62" t="s">
        <v>73</v>
      </c>
      <c r="F2" s="59" t="s">
        <v>28</v>
      </c>
      <c r="G2" s="46">
        <v>24</v>
      </c>
      <c r="H2" s="132">
        <f>IF(B$17=0,0,G2/B$17)</f>
        <v>0.72727272727272729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-5794.1176470588234</v>
      </c>
      <c r="P2" s="118">
        <v>17</v>
      </c>
      <c r="Q2" s="102">
        <v>-98500</v>
      </c>
    </row>
    <row r="3" spans="1:17" x14ac:dyDescent="0.4">
      <c r="A3" s="55" t="s">
        <v>8</v>
      </c>
      <c r="B3" s="148">
        <v>131</v>
      </c>
      <c r="C3" s="149"/>
      <c r="E3" s="63" t="s">
        <v>67</v>
      </c>
      <c r="F3" s="60" t="s">
        <v>23</v>
      </c>
      <c r="G3" s="47">
        <v>23</v>
      </c>
      <c r="H3" s="133">
        <f>IF(B$17=0,0,G3/B$17)</f>
        <v>0.69696969696969702</v>
      </c>
      <c r="I3" s="94">
        <v>9</v>
      </c>
      <c r="K3" s="38">
        <v>1</v>
      </c>
      <c r="L3" s="99">
        <v>-1.9</v>
      </c>
      <c r="N3" s="115" t="s">
        <v>133</v>
      </c>
      <c r="O3" s="122">
        <f t="shared" si="0"/>
        <v>-1168.75</v>
      </c>
      <c r="P3" s="119">
        <v>16</v>
      </c>
      <c r="Q3" s="103">
        <v>-18700</v>
      </c>
    </row>
    <row r="4" spans="1:17" x14ac:dyDescent="0.4">
      <c r="A4" s="55" t="s">
        <v>6</v>
      </c>
      <c r="B4" s="150">
        <v>-161.19999999999999</v>
      </c>
      <c r="C4" s="151"/>
      <c r="E4" s="63" t="s">
        <v>65</v>
      </c>
      <c r="F4" s="60" t="s">
        <v>21</v>
      </c>
      <c r="G4" s="47">
        <v>13</v>
      </c>
      <c r="H4" s="133">
        <f>IF(B$17=0,0,G4/B$17)</f>
        <v>0.39393939393939392</v>
      </c>
      <c r="I4" s="94">
        <v>10</v>
      </c>
      <c r="K4" s="38">
        <v>2</v>
      </c>
      <c r="L4" s="99">
        <v>30</v>
      </c>
      <c r="N4" s="115" t="s">
        <v>134</v>
      </c>
      <c r="O4" s="122">
        <f t="shared" si="0"/>
        <v>421.42857142857144</v>
      </c>
      <c r="P4" s="119">
        <v>14</v>
      </c>
      <c r="Q4" s="103">
        <v>5900</v>
      </c>
    </row>
    <row r="5" spans="1:17" x14ac:dyDescent="0.4">
      <c r="A5" s="55" t="s">
        <v>7</v>
      </c>
      <c r="B5" s="152">
        <f>IF(B$2=0,0,B$4/B$2)</f>
        <v>-9.4823529411764707</v>
      </c>
      <c r="C5" s="153"/>
      <c r="E5" s="63" t="s">
        <v>181</v>
      </c>
      <c r="F5" s="60" t="s">
        <v>182</v>
      </c>
      <c r="G5" s="47">
        <v>11</v>
      </c>
      <c r="H5" s="133">
        <f>IF(B$17=0,0,G5/B$17)</f>
        <v>0.33333333333333331</v>
      </c>
      <c r="I5" s="94">
        <v>8</v>
      </c>
      <c r="K5" s="38">
        <v>3</v>
      </c>
      <c r="L5" s="99">
        <v>-10</v>
      </c>
      <c r="N5" s="115" t="s">
        <v>135</v>
      </c>
      <c r="O5" s="122">
        <f t="shared" si="0"/>
        <v>26.666666666666668</v>
      </c>
      <c r="P5" s="119">
        <v>15</v>
      </c>
      <c r="Q5" s="103">
        <v>400</v>
      </c>
    </row>
    <row r="6" spans="1:17" x14ac:dyDescent="0.4">
      <c r="A6" s="55" t="s">
        <v>1</v>
      </c>
      <c r="B6" s="142">
        <f>IF(B$2=0,0,(B$7*1+B$8*2+B$9*3)/B$2)</f>
        <v>2.1176470588235294</v>
      </c>
      <c r="C6" s="143"/>
      <c r="E6" s="63" t="s">
        <v>69</v>
      </c>
      <c r="F6" s="60" t="s">
        <v>12</v>
      </c>
      <c r="G6" s="47">
        <v>5</v>
      </c>
      <c r="H6" s="133">
        <f>IF(B$17=0,0,G6/B$17)</f>
        <v>0.15151515151515152</v>
      </c>
      <c r="I6" s="94">
        <v>11</v>
      </c>
      <c r="K6" s="38">
        <v>4</v>
      </c>
      <c r="L6" s="99">
        <v>40</v>
      </c>
      <c r="N6" s="115" t="s">
        <v>136</v>
      </c>
      <c r="O6" s="122">
        <f t="shared" si="0"/>
        <v>-414.28571428571428</v>
      </c>
      <c r="P6" s="119">
        <v>14</v>
      </c>
      <c r="Q6" s="103">
        <v>-5800</v>
      </c>
    </row>
    <row r="7" spans="1:17" x14ac:dyDescent="0.4">
      <c r="A7" s="55" t="s">
        <v>2</v>
      </c>
      <c r="B7" s="47">
        <v>5</v>
      </c>
      <c r="C7" s="39">
        <f>IF(B$2=0,0,B7/B$2)</f>
        <v>0.29411764705882354</v>
      </c>
      <c r="E7" s="63" t="s">
        <v>70</v>
      </c>
      <c r="F7" s="60" t="s">
        <v>25</v>
      </c>
      <c r="G7" s="47">
        <v>5</v>
      </c>
      <c r="H7" s="133">
        <f>IF(B$17=0,0,G7/B$17)</f>
        <v>0.15151515151515152</v>
      </c>
      <c r="I7" s="94">
        <v>9</v>
      </c>
      <c r="K7" s="38">
        <v>5</v>
      </c>
      <c r="L7" s="99">
        <v>35.4</v>
      </c>
      <c r="N7" s="116" t="s">
        <v>137</v>
      </c>
      <c r="O7" s="123">
        <f t="shared" si="0"/>
        <v>2130.7692307692309</v>
      </c>
      <c r="P7" s="120">
        <v>13</v>
      </c>
      <c r="Q7" s="104">
        <v>27700</v>
      </c>
    </row>
    <row r="8" spans="1:17" x14ac:dyDescent="0.4">
      <c r="A8" s="55" t="s">
        <v>3</v>
      </c>
      <c r="B8" s="47">
        <v>5</v>
      </c>
      <c r="C8" s="39">
        <f>IF(B$2=0,0,B8/B$2)</f>
        <v>0.29411764705882354</v>
      </c>
      <c r="E8" s="63" t="s">
        <v>66</v>
      </c>
      <c r="F8" s="60" t="s">
        <v>22</v>
      </c>
      <c r="G8" s="47">
        <v>4</v>
      </c>
      <c r="H8" s="133">
        <f>IF(B$17=0,0,G8/B$17)</f>
        <v>0.12121212121212122</v>
      </c>
      <c r="I8" s="94">
        <v>5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7</v>
      </c>
      <c r="C9" s="40">
        <f t="shared" ref="C9" si="1">IF(B$2=0,0,B9/B$2)</f>
        <v>0.41176470588235292</v>
      </c>
      <c r="E9" s="63" t="s">
        <v>68</v>
      </c>
      <c r="F9" s="60" t="s">
        <v>24</v>
      </c>
      <c r="G9" s="47">
        <v>4</v>
      </c>
      <c r="H9" s="133">
        <f>IF(B$17=0,0,G9/B$17)</f>
        <v>0.12121212121212122</v>
      </c>
      <c r="I9" s="94">
        <v>10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0.17647058823529413</v>
      </c>
      <c r="E10" s="63" t="s">
        <v>90</v>
      </c>
      <c r="F10" s="60" t="s">
        <v>45</v>
      </c>
      <c r="G10" s="47">
        <v>4</v>
      </c>
      <c r="H10" s="133">
        <f>IF(B$17=0,0,G10/B$17)</f>
        <v>0.12121212121212122</v>
      </c>
      <c r="I10" s="94">
        <v>9</v>
      </c>
      <c r="K10" s="38">
        <v>8</v>
      </c>
      <c r="L10" s="99">
        <v>-87.1</v>
      </c>
      <c r="N10" s="114" t="s">
        <v>164</v>
      </c>
      <c r="O10" s="124">
        <f>IF(P10=0,0,Q10/P10)</f>
        <v>-8.2666666666666675</v>
      </c>
      <c r="P10" s="118">
        <v>3</v>
      </c>
      <c r="Q10" s="106">
        <v>-24.800000000000004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84</v>
      </c>
      <c r="F11" s="60" t="s">
        <v>39</v>
      </c>
      <c r="G11" s="47">
        <v>2</v>
      </c>
      <c r="H11" s="133">
        <f>IF(B$17=0,0,G11/B$17)</f>
        <v>6.0606060606060608E-2</v>
      </c>
      <c r="I11" s="94">
        <v>3</v>
      </c>
      <c r="K11" s="38">
        <v>9</v>
      </c>
      <c r="L11" s="99">
        <v>-128.6</v>
      </c>
      <c r="N11" s="115" t="s">
        <v>165</v>
      </c>
      <c r="O11" s="125">
        <f>IF(P11=0,0,Q11/P11)</f>
        <v>-24.366666666666664</v>
      </c>
      <c r="P11" s="119">
        <v>6</v>
      </c>
      <c r="Q11" s="107">
        <v>-146.19999999999999</v>
      </c>
    </row>
    <row r="12" spans="1:17" x14ac:dyDescent="0.4">
      <c r="A12" s="57" t="s">
        <v>160</v>
      </c>
      <c r="B12" s="49">
        <v>2</v>
      </c>
      <c r="C12" s="42">
        <f>IF(B$2=0,0,B12/B$2)</f>
        <v>0.11764705882352941</v>
      </c>
      <c r="E12" s="63" t="s">
        <v>92</v>
      </c>
      <c r="F12" s="60" t="s">
        <v>47</v>
      </c>
      <c r="G12" s="47">
        <v>2</v>
      </c>
      <c r="H12" s="133">
        <f>IF(B$17=0,0,G12/B$17)</f>
        <v>6.0606060606060608E-2</v>
      </c>
      <c r="I12" s="94">
        <v>1</v>
      </c>
      <c r="K12" s="38">
        <v>10</v>
      </c>
      <c r="L12" s="99">
        <v>-183.7</v>
      </c>
      <c r="N12" s="116" t="s">
        <v>166</v>
      </c>
      <c r="O12" s="126">
        <f>IF(P12=0,0,Q12/P12)</f>
        <v>1.225000000000001</v>
      </c>
      <c r="P12" s="120">
        <v>8</v>
      </c>
      <c r="Q12" s="108">
        <v>9.8000000000000078</v>
      </c>
    </row>
    <row r="13" spans="1:17" x14ac:dyDescent="0.4">
      <c r="A13" s="58" t="s">
        <v>122</v>
      </c>
      <c r="B13" s="50">
        <v>23</v>
      </c>
      <c r="C13" s="44">
        <f>IF(B$3=0,0,B13/B$3)</f>
        <v>0.17557251908396945</v>
      </c>
      <c r="E13" s="63" t="s">
        <v>71</v>
      </c>
      <c r="F13" s="60" t="s">
        <v>26</v>
      </c>
      <c r="G13" s="47">
        <v>1</v>
      </c>
      <c r="H13" s="133">
        <f>IF(B$17=0,0,G13/B$17)</f>
        <v>3.0303030303030304E-2</v>
      </c>
      <c r="I13" s="94">
        <v>9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36</v>
      </c>
      <c r="C14" s="39">
        <f>IF(B$3=0,0,B14/B$3)</f>
        <v>0.27480916030534353</v>
      </c>
      <c r="E14" s="63" t="s">
        <v>72</v>
      </c>
      <c r="F14" s="60" t="s">
        <v>27</v>
      </c>
      <c r="G14" s="47">
        <v>1</v>
      </c>
      <c r="H14" s="133">
        <f>IF(B$17=0,0,G14/B$17)</f>
        <v>3.0303030303030304E-2</v>
      </c>
      <c r="I14" s="94">
        <v>9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12</v>
      </c>
      <c r="C15" s="37">
        <f>IF(B$13=0,0,B15/B$13)</f>
        <v>0.52173913043478259</v>
      </c>
      <c r="E15" s="63" t="s">
        <v>76</v>
      </c>
      <c r="F15" s="60" t="s">
        <v>31</v>
      </c>
      <c r="G15" s="47">
        <v>1</v>
      </c>
      <c r="H15" s="133">
        <f>IF(B$17=0,0,G15/B$17)</f>
        <v>3.0303030303030304E-2</v>
      </c>
      <c r="I15" s="94">
        <v>1</v>
      </c>
      <c r="K15" s="38">
        <v>13</v>
      </c>
      <c r="L15" s="99">
        <v>-209.59999999999997</v>
      </c>
      <c r="N15" s="114" t="s">
        <v>186</v>
      </c>
      <c r="O15" s="124">
        <f>IF(P15=0,0,Q15/P15)</f>
        <v>60.800000000000004</v>
      </c>
      <c r="P15" s="118">
        <v>2</v>
      </c>
      <c r="Q15" s="106">
        <v>121.60000000000001</v>
      </c>
    </row>
    <row r="16" spans="1:17" x14ac:dyDescent="0.4">
      <c r="A16" s="54" t="s">
        <v>125</v>
      </c>
      <c r="B16" s="46">
        <v>14</v>
      </c>
      <c r="C16" s="37">
        <f>IF(B$14=0,0,B16/B$14)</f>
        <v>0.3888888888888889</v>
      </c>
      <c r="E16" s="63" t="s">
        <v>86</v>
      </c>
      <c r="F16" s="60" t="s">
        <v>41</v>
      </c>
      <c r="G16" s="47">
        <v>1</v>
      </c>
      <c r="H16" s="133">
        <f>IF(B$17=0,0,G16/B$17)</f>
        <v>3.0303030303030304E-2</v>
      </c>
      <c r="I16" s="94">
        <v>1</v>
      </c>
      <c r="K16" s="38">
        <v>14</v>
      </c>
      <c r="L16" s="99">
        <v>-178.49999999999997</v>
      </c>
      <c r="N16" s="115" t="s">
        <v>173</v>
      </c>
      <c r="O16" s="125">
        <f>IF(P16=0,0,Q16/P16)</f>
        <v>17.95</v>
      </c>
      <c r="P16" s="119">
        <v>2</v>
      </c>
      <c r="Q16" s="107">
        <v>35.9</v>
      </c>
    </row>
    <row r="17" spans="1:17" x14ac:dyDescent="0.4">
      <c r="A17" s="54" t="s">
        <v>10</v>
      </c>
      <c r="B17" s="46">
        <f>B19+B18</f>
        <v>33</v>
      </c>
      <c r="C17" s="37">
        <f>IF(B$3=0,0,B17/B$3)</f>
        <v>0.25190839694656486</v>
      </c>
      <c r="E17" s="63" t="s">
        <v>74</v>
      </c>
      <c r="F17" s="60" t="s">
        <v>29</v>
      </c>
      <c r="G17" s="47">
        <v>0</v>
      </c>
      <c r="H17" s="133">
        <f>IF(B$17=0,0,G17/B$17)</f>
        <v>0</v>
      </c>
      <c r="I17" s="94">
        <v>5</v>
      </c>
      <c r="K17" s="38">
        <v>15</v>
      </c>
      <c r="L17" s="99">
        <v>-146.19999999999999</v>
      </c>
      <c r="N17" s="115" t="s">
        <v>171</v>
      </c>
      <c r="O17" s="125">
        <f>IF(P17=0,0,Q17/P17)</f>
        <v>12.149999999999999</v>
      </c>
      <c r="P17" s="119">
        <v>2</v>
      </c>
      <c r="Q17" s="107">
        <v>24.299999999999997</v>
      </c>
    </row>
    <row r="18" spans="1:17" x14ac:dyDescent="0.4">
      <c r="A18" s="55" t="s">
        <v>12</v>
      </c>
      <c r="B18" s="47">
        <v>13</v>
      </c>
      <c r="C18" s="39">
        <f>IF(B$17=0,0,B18/B$17)</f>
        <v>0.39393939393939392</v>
      </c>
      <c r="E18" s="63" t="s">
        <v>75</v>
      </c>
      <c r="F18" s="60" t="s">
        <v>30</v>
      </c>
      <c r="G18" s="47">
        <v>0</v>
      </c>
      <c r="H18" s="133">
        <f>IF(B$17=0,0,G18/B$17)</f>
        <v>0</v>
      </c>
      <c r="I18" s="94">
        <v>3</v>
      </c>
      <c r="K18" s="38">
        <v>16</v>
      </c>
      <c r="L18" s="99">
        <v>-153.29999999999998</v>
      </c>
      <c r="N18" s="115" t="s">
        <v>128</v>
      </c>
      <c r="O18" s="125">
        <f>IF(P18=0,0,Q18/P18)</f>
        <v>-8.1666666666666661</v>
      </c>
      <c r="P18" s="119">
        <v>12</v>
      </c>
      <c r="Q18" s="107">
        <v>-98</v>
      </c>
    </row>
    <row r="19" spans="1:17" x14ac:dyDescent="0.4">
      <c r="A19" s="55" t="s">
        <v>11</v>
      </c>
      <c r="B19" s="47">
        <v>20</v>
      </c>
      <c r="C19" s="39">
        <f>IF(B$17=0,0,B19/B$17)</f>
        <v>0.60606060606060608</v>
      </c>
      <c r="E19" s="63" t="s">
        <v>77</v>
      </c>
      <c r="F19" s="60" t="s">
        <v>32</v>
      </c>
      <c r="G19" s="47">
        <v>0</v>
      </c>
      <c r="H19" s="133">
        <f>IF(B$17=0,0,G19/B$17)</f>
        <v>0</v>
      </c>
      <c r="I19" s="94">
        <v>1</v>
      </c>
      <c r="K19" s="38">
        <v>17</v>
      </c>
      <c r="L19" s="99">
        <v>-161.19999999999999</v>
      </c>
      <c r="N19" s="115" t="s">
        <v>172</v>
      </c>
      <c r="O19" s="125">
        <f>IF(P19=0,0,Q19/P19)</f>
        <v>-13.333333333333337</v>
      </c>
      <c r="P19" s="119">
        <v>3</v>
      </c>
      <c r="Q19" s="107">
        <v>-40.000000000000014</v>
      </c>
    </row>
    <row r="20" spans="1:17" x14ac:dyDescent="0.4">
      <c r="A20" s="55" t="s">
        <v>13</v>
      </c>
      <c r="B20" s="47">
        <v>27</v>
      </c>
      <c r="C20" s="39">
        <f>IF(B$3=0,0,B20/B$3)</f>
        <v>0.20610687022900764</v>
      </c>
      <c r="E20" s="63" t="s">
        <v>78</v>
      </c>
      <c r="F20" s="60" t="s">
        <v>33</v>
      </c>
      <c r="G20" s="47">
        <v>0</v>
      </c>
      <c r="H20" s="133">
        <f>IF(B$17=0,0,G20/B$17)</f>
        <v>0</v>
      </c>
      <c r="I20" s="94">
        <v>4</v>
      </c>
      <c r="N20" s="115" t="s">
        <v>129</v>
      </c>
      <c r="O20" s="125">
        <f>IF(P20=0,0,Q20/P20)</f>
        <v>-29.700000000000003</v>
      </c>
      <c r="P20" s="119">
        <v>1</v>
      </c>
      <c r="Q20" s="107">
        <v>-29.700000000000003</v>
      </c>
    </row>
    <row r="21" spans="1:17" x14ac:dyDescent="0.4">
      <c r="A21" s="55" t="s">
        <v>193</v>
      </c>
      <c r="B21" s="47">
        <v>4</v>
      </c>
      <c r="C21" s="135">
        <v>1</v>
      </c>
      <c r="E21" s="63" t="s">
        <v>79</v>
      </c>
      <c r="F21" s="60" t="s">
        <v>34</v>
      </c>
      <c r="G21" s="47">
        <v>0</v>
      </c>
      <c r="H21" s="133">
        <f>IF(B$17=0,0,G21/B$17)</f>
        <v>0</v>
      </c>
      <c r="I21" s="94">
        <v>9</v>
      </c>
      <c r="N21" s="115" t="s">
        <v>127</v>
      </c>
      <c r="O21" s="125">
        <f>IF(P21=0,0,Q21/P21)</f>
        <v>-40.066666666666677</v>
      </c>
      <c r="P21" s="119">
        <v>9</v>
      </c>
      <c r="Q21" s="107">
        <v>-360.60000000000008</v>
      </c>
    </row>
    <row r="22" spans="1:17" x14ac:dyDescent="0.4">
      <c r="A22" s="55" t="s">
        <v>194</v>
      </c>
      <c r="B22" s="47">
        <v>16</v>
      </c>
      <c r="C22" s="135">
        <v>3</v>
      </c>
      <c r="E22" s="63" t="s">
        <v>80</v>
      </c>
      <c r="F22" s="60" t="s">
        <v>35</v>
      </c>
      <c r="G22" s="47">
        <v>0</v>
      </c>
      <c r="H22" s="133">
        <f>IF(B$17=0,0,G22/B$17)</f>
        <v>0</v>
      </c>
      <c r="I22" s="94">
        <v>6</v>
      </c>
      <c r="N22" s="115" t="s">
        <v>185</v>
      </c>
      <c r="O22" s="125">
        <f>IF(P22=0,0,Q22/P22)</f>
        <v>-45.699999999999996</v>
      </c>
      <c r="P22" s="119">
        <v>3</v>
      </c>
      <c r="Q22" s="107">
        <v>-137.1</v>
      </c>
    </row>
    <row r="23" spans="1:17" x14ac:dyDescent="0.4">
      <c r="A23" s="55" t="s">
        <v>5</v>
      </c>
      <c r="B23" s="51">
        <f>IF(B$17=0,0,C23/B$17)</f>
        <v>7036.363636363636</v>
      </c>
      <c r="C23" s="41">
        <v>232200</v>
      </c>
      <c r="E23" s="63" t="s">
        <v>81</v>
      </c>
      <c r="F23" s="60" t="s">
        <v>36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-7029.6296296296296</v>
      </c>
      <c r="C24" s="45">
        <v>-189800</v>
      </c>
      <c r="E24" s="63" t="s">
        <v>82</v>
      </c>
      <c r="F24" s="60" t="s">
        <v>37</v>
      </c>
      <c r="G24" s="47">
        <v>0</v>
      </c>
      <c r="H24" s="133">
        <f>IF(B$17=0,0,G24/B$17)</f>
        <v>0</v>
      </c>
      <c r="I24" s="94">
        <v>7</v>
      </c>
    </row>
    <row r="25" spans="1:17" x14ac:dyDescent="0.4">
      <c r="A25" s="90" t="s">
        <v>142</v>
      </c>
      <c r="B25" s="140">
        <v>7</v>
      </c>
      <c r="C25" s="141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</row>
    <row r="26" spans="1:17" x14ac:dyDescent="0.4">
      <c r="A26" s="58" t="s">
        <v>152</v>
      </c>
      <c r="B26" s="138">
        <v>65000</v>
      </c>
      <c r="C26" s="139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143</v>
      </c>
      <c r="B27" s="65">
        <v>1</v>
      </c>
      <c r="C27" s="42">
        <f>IF(B$3=0,0,B27/B$3)</f>
        <v>7.6335877862595417E-3</v>
      </c>
      <c r="E27" s="63" t="s">
        <v>87</v>
      </c>
      <c r="F27" s="60" t="s">
        <v>42</v>
      </c>
      <c r="G27" s="47">
        <v>0</v>
      </c>
      <c r="H27" s="133">
        <f>IF(B$17=0,0,G27/B$17)</f>
        <v>0</v>
      </c>
      <c r="I27" s="94">
        <v>10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4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1D03F-BF2A-4712-9B61-2DB9613197BE}">
  <sheetPr codeName="Sheet2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</v>
      </c>
      <c r="C2" s="147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48">
        <v>19</v>
      </c>
      <c r="C3" s="149"/>
      <c r="E3" s="63" t="s">
        <v>67</v>
      </c>
      <c r="F3" s="60" t="s">
        <v>23</v>
      </c>
      <c r="G3" s="47">
        <v>3</v>
      </c>
      <c r="H3" s="133">
        <f>IF(B$17=0,0,G3/B$17)</f>
        <v>0.6</v>
      </c>
      <c r="I3" s="94">
        <v>11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0">
        <v>61</v>
      </c>
      <c r="C4" s="151"/>
      <c r="E4" s="63" t="s">
        <v>73</v>
      </c>
      <c r="F4" s="60" t="s">
        <v>28</v>
      </c>
      <c r="G4" s="47">
        <v>3</v>
      </c>
      <c r="H4" s="133">
        <f>IF(B$17=0,0,G4/B$17)</f>
        <v>0.6</v>
      </c>
      <c r="I4" s="94">
        <v>5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2">
        <f>IF(B$2=0,0,B$4/B$2)</f>
        <v>20.333333333333332</v>
      </c>
      <c r="C5" s="153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2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2">
        <f>IF(B$2=0,0,(B$7*1+B$8*2+B$9*3)/B$2)</f>
        <v>1.3333333333333333</v>
      </c>
      <c r="C6" s="143"/>
      <c r="E6" s="63" t="s">
        <v>90</v>
      </c>
      <c r="F6" s="60" t="s">
        <v>45</v>
      </c>
      <c r="G6" s="47">
        <v>2</v>
      </c>
      <c r="H6" s="133">
        <f>IF(B$17=0,0,G6/B$17)</f>
        <v>0.4</v>
      </c>
      <c r="I6" s="94">
        <v>1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181</v>
      </c>
      <c r="F7" s="60" t="s">
        <v>182</v>
      </c>
      <c r="G7" s="47">
        <v>2</v>
      </c>
      <c r="H7" s="133">
        <f>IF(B$17=0,0,G7/B$17)</f>
        <v>0.4</v>
      </c>
      <c r="I7" s="94">
        <v>4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69</v>
      </c>
      <c r="F8" s="60" t="s">
        <v>12</v>
      </c>
      <c r="G8" s="47">
        <v>1</v>
      </c>
      <c r="H8" s="133">
        <f>IF(B$17=0,0,G8/B$17)</f>
        <v>0.2</v>
      </c>
      <c r="I8" s="94">
        <v>9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70</v>
      </c>
      <c r="F9" s="60" t="s">
        <v>25</v>
      </c>
      <c r="G9" s="47">
        <v>1</v>
      </c>
      <c r="H9" s="133">
        <f>IF(B$17=0,0,G9/B$17)</f>
        <v>0.2</v>
      </c>
      <c r="I9" s="94">
        <v>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72</v>
      </c>
      <c r="F10" s="60" t="s">
        <v>27</v>
      </c>
      <c r="G10" s="47">
        <v>1</v>
      </c>
      <c r="H10" s="133">
        <f>IF(B$17=0,0,G10/B$17)</f>
        <v>0.2</v>
      </c>
      <c r="I10" s="94">
        <v>1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87</v>
      </c>
      <c r="F11" s="60" t="s">
        <v>42</v>
      </c>
      <c r="G11" s="47">
        <v>1</v>
      </c>
      <c r="H11" s="133">
        <f>IF(B$17=0,0,G11/B$17)</f>
        <v>0.2</v>
      </c>
      <c r="I11" s="94">
        <v>1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66</v>
      </c>
      <c r="F12" s="60" t="s">
        <v>22</v>
      </c>
      <c r="G12" s="47">
        <v>0</v>
      </c>
      <c r="H12" s="133">
        <f>IF(B$17=0,0,G12/B$17)</f>
        <v>0</v>
      </c>
      <c r="I12" s="94">
        <v>10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71</v>
      </c>
      <c r="F13" s="60" t="s">
        <v>26</v>
      </c>
      <c r="G13" s="47">
        <v>0</v>
      </c>
      <c r="H13" s="133">
        <f>IF(B$17=0,0,G13/B$17)</f>
        <v>0</v>
      </c>
      <c r="I13" s="94">
        <v>10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74</v>
      </c>
      <c r="F14" s="60" t="s">
        <v>29</v>
      </c>
      <c r="G14" s="47">
        <v>0</v>
      </c>
      <c r="H14" s="133">
        <f>IF(B$17=0,0,G14/B$17)</f>
        <v>0</v>
      </c>
      <c r="I14" s="94">
        <v>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75</v>
      </c>
      <c r="F15" s="60" t="s">
        <v>30</v>
      </c>
      <c r="G15" s="47">
        <v>0</v>
      </c>
      <c r="H15" s="133">
        <f>IF(B$17=0,0,G15/B$17)</f>
        <v>0</v>
      </c>
      <c r="I15" s="94">
        <v>3</v>
      </c>
      <c r="N15" s="114" t="s">
        <v>186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76</v>
      </c>
      <c r="F16" s="60" t="s">
        <v>31</v>
      </c>
      <c r="G16" s="47">
        <v>0</v>
      </c>
      <c r="H16" s="133">
        <f>IF(B$17=0,0,G16/B$17)</f>
        <v>0</v>
      </c>
      <c r="I16" s="94">
        <v>6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77</v>
      </c>
      <c r="F17" s="60" t="s">
        <v>32</v>
      </c>
      <c r="G17" s="47">
        <v>0</v>
      </c>
      <c r="H17" s="133">
        <f>IF(B$17=0,0,G17/B$17)</f>
        <v>0</v>
      </c>
      <c r="I17" s="94">
        <v>1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78</v>
      </c>
      <c r="F18" s="60" t="s">
        <v>33</v>
      </c>
      <c r="G18" s="47">
        <v>0</v>
      </c>
      <c r="H18" s="133">
        <f>IF(B$17=0,0,G18/B$17)</f>
        <v>0</v>
      </c>
      <c r="I18" s="94">
        <v>4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79</v>
      </c>
      <c r="F19" s="60" t="s">
        <v>34</v>
      </c>
      <c r="G19" s="47">
        <v>0</v>
      </c>
      <c r="H19" s="133">
        <f>IF(B$17=0,0,G19/B$17)</f>
        <v>0</v>
      </c>
      <c r="I19" s="94">
        <v>9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80</v>
      </c>
      <c r="F20" s="60" t="s">
        <v>35</v>
      </c>
      <c r="G20" s="47">
        <v>0</v>
      </c>
      <c r="H20" s="133">
        <f>IF(B$17=0,0,G20/B$17)</f>
        <v>0</v>
      </c>
      <c r="I20" s="94">
        <v>6</v>
      </c>
    </row>
    <row r="21" spans="1:17" x14ac:dyDescent="0.4">
      <c r="A21" s="55" t="s">
        <v>193</v>
      </c>
      <c r="B21" s="47">
        <v>2</v>
      </c>
      <c r="C21" s="135">
        <v>0</v>
      </c>
      <c r="E21" s="63" t="s">
        <v>81</v>
      </c>
      <c r="F21" s="60" t="s">
        <v>36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194</v>
      </c>
      <c r="B22" s="47">
        <v>12</v>
      </c>
      <c r="C22" s="135">
        <v>12</v>
      </c>
      <c r="E22" s="63" t="s">
        <v>82</v>
      </c>
      <c r="F22" s="60" t="s">
        <v>37</v>
      </c>
      <c r="G22" s="47">
        <v>0</v>
      </c>
      <c r="H22" s="133">
        <f>IF(B$17=0,0,G22/B$17)</f>
        <v>0</v>
      </c>
      <c r="I22" s="94">
        <v>7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84</v>
      </c>
      <c r="F24" s="60" t="s">
        <v>39</v>
      </c>
      <c r="G24" s="47">
        <v>0</v>
      </c>
      <c r="H24" s="133">
        <f>IF(B$17=0,0,G24/B$17)</f>
        <v>0</v>
      </c>
      <c r="I24" s="94">
        <v>10</v>
      </c>
    </row>
    <row r="25" spans="1:17" x14ac:dyDescent="0.4">
      <c r="A25" s="90" t="s">
        <v>142</v>
      </c>
      <c r="B25" s="140">
        <v>3</v>
      </c>
      <c r="C25" s="141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152</v>
      </c>
      <c r="B26" s="138">
        <v>53500</v>
      </c>
      <c r="C26" s="139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6A6B0-05E4-4CF0-9DE9-E31725DB4109}">
  <sheetPr codeName="Sheet2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186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7</v>
      </c>
      <c r="C2" s="147"/>
      <c r="E2" s="62" t="s">
        <v>67</v>
      </c>
      <c r="F2" s="59" t="s">
        <v>23</v>
      </c>
      <c r="G2" s="46">
        <v>10</v>
      </c>
      <c r="H2" s="132">
        <f>IF(B$17=0,0,G2/B$17)</f>
        <v>0.83333333333333337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-3742.8571428571427</v>
      </c>
      <c r="P2" s="118">
        <v>7</v>
      </c>
      <c r="Q2" s="102">
        <v>-26200</v>
      </c>
    </row>
    <row r="3" spans="1:17" x14ac:dyDescent="0.4">
      <c r="A3" s="55" t="s">
        <v>8</v>
      </c>
      <c r="B3" s="148">
        <v>57</v>
      </c>
      <c r="C3" s="149"/>
      <c r="E3" s="63" t="s">
        <v>73</v>
      </c>
      <c r="F3" s="60" t="s">
        <v>28</v>
      </c>
      <c r="G3" s="47">
        <v>10</v>
      </c>
      <c r="H3" s="133">
        <f>IF(B$17=0,0,G3/B$17)</f>
        <v>0.83333333333333337</v>
      </c>
      <c r="I3" s="94">
        <v>1</v>
      </c>
      <c r="K3" s="38">
        <v>1</v>
      </c>
      <c r="L3" s="99">
        <v>-43.7</v>
      </c>
      <c r="N3" s="115" t="s">
        <v>133</v>
      </c>
      <c r="O3" s="122">
        <f t="shared" si="0"/>
        <v>-4085.7142857142858</v>
      </c>
      <c r="P3" s="119">
        <v>7</v>
      </c>
      <c r="Q3" s="103">
        <v>-28600</v>
      </c>
    </row>
    <row r="4" spans="1:17" x14ac:dyDescent="0.4">
      <c r="A4" s="55" t="s">
        <v>6</v>
      </c>
      <c r="B4" s="150">
        <v>-218.2</v>
      </c>
      <c r="C4" s="151"/>
      <c r="E4" s="63" t="s">
        <v>65</v>
      </c>
      <c r="F4" s="60" t="s">
        <v>21</v>
      </c>
      <c r="G4" s="47">
        <v>5</v>
      </c>
      <c r="H4" s="133">
        <f>IF(B$17=0,0,G4/B$17)</f>
        <v>0.41666666666666669</v>
      </c>
      <c r="I4" s="94">
        <v>9</v>
      </c>
      <c r="K4" s="38">
        <v>2</v>
      </c>
      <c r="L4" s="99">
        <v>-76.2</v>
      </c>
      <c r="N4" s="115" t="s">
        <v>134</v>
      </c>
      <c r="O4" s="122">
        <f t="shared" si="0"/>
        <v>128.57142857142858</v>
      </c>
      <c r="P4" s="119">
        <v>7</v>
      </c>
      <c r="Q4" s="103">
        <v>900</v>
      </c>
    </row>
    <row r="5" spans="1:17" x14ac:dyDescent="0.4">
      <c r="A5" s="55" t="s">
        <v>7</v>
      </c>
      <c r="B5" s="152">
        <f>IF(B$2=0,0,B$4/B$2)</f>
        <v>-31.171428571428571</v>
      </c>
      <c r="C5" s="153"/>
      <c r="E5" s="63" t="s">
        <v>181</v>
      </c>
      <c r="F5" s="60" t="s">
        <v>182</v>
      </c>
      <c r="G5" s="47">
        <v>4</v>
      </c>
      <c r="H5" s="133">
        <f>IF(B$17=0,0,G5/B$17)</f>
        <v>0.33333333333333331</v>
      </c>
      <c r="I5" s="94">
        <v>8</v>
      </c>
      <c r="K5" s="38">
        <v>3</v>
      </c>
      <c r="L5" s="99">
        <v>-78.400000000000006</v>
      </c>
      <c r="N5" s="115" t="s">
        <v>135</v>
      </c>
      <c r="O5" s="122">
        <f t="shared" si="0"/>
        <v>-7000</v>
      </c>
      <c r="P5" s="119">
        <v>6</v>
      </c>
      <c r="Q5" s="103">
        <v>-42000</v>
      </c>
    </row>
    <row r="6" spans="1:17" x14ac:dyDescent="0.4">
      <c r="A6" s="55" t="s">
        <v>1</v>
      </c>
      <c r="B6" s="142">
        <f>IF(B$2=0,0,(B$7*1+B$8*2+B$9*3)/B$2)</f>
        <v>2.5714285714285716</v>
      </c>
      <c r="C6" s="143"/>
      <c r="E6" s="63" t="s">
        <v>90</v>
      </c>
      <c r="F6" s="60" t="s">
        <v>45</v>
      </c>
      <c r="G6" s="47">
        <v>3</v>
      </c>
      <c r="H6" s="133">
        <f>IF(B$17=0,0,G6/B$17)</f>
        <v>0.25</v>
      </c>
      <c r="I6" s="94">
        <v>2</v>
      </c>
      <c r="K6" s="38">
        <v>4</v>
      </c>
      <c r="L6" s="99">
        <v>-49.800000000000004</v>
      </c>
      <c r="N6" s="115" t="s">
        <v>136</v>
      </c>
      <c r="O6" s="122">
        <f t="shared" si="0"/>
        <v>-2950</v>
      </c>
      <c r="P6" s="119">
        <v>6</v>
      </c>
      <c r="Q6" s="103">
        <v>-17700</v>
      </c>
    </row>
    <row r="7" spans="1:17" x14ac:dyDescent="0.4">
      <c r="A7" s="55" t="s">
        <v>2</v>
      </c>
      <c r="B7" s="47">
        <v>1</v>
      </c>
      <c r="C7" s="39">
        <f>IF(B$2=0,0,B7/B$2)</f>
        <v>0.14285714285714285</v>
      </c>
      <c r="E7" s="63" t="s">
        <v>69</v>
      </c>
      <c r="F7" s="60" t="s">
        <v>12</v>
      </c>
      <c r="G7" s="47">
        <v>2</v>
      </c>
      <c r="H7" s="133">
        <f>IF(B$17=0,0,G7/B$17)</f>
        <v>0.16666666666666666</v>
      </c>
      <c r="I7" s="94">
        <v>10</v>
      </c>
      <c r="K7" s="38">
        <v>5</v>
      </c>
      <c r="L7" s="99">
        <v>-121</v>
      </c>
      <c r="N7" s="116" t="s">
        <v>137</v>
      </c>
      <c r="O7" s="123">
        <f t="shared" si="0"/>
        <v>-4100</v>
      </c>
      <c r="P7" s="120">
        <v>6</v>
      </c>
      <c r="Q7" s="104">
        <v>-24600</v>
      </c>
    </row>
    <row r="8" spans="1:17" x14ac:dyDescent="0.4">
      <c r="A8" s="55" t="s">
        <v>3</v>
      </c>
      <c r="B8" s="47">
        <v>1</v>
      </c>
      <c r="C8" s="39">
        <f>IF(B$2=0,0,B8/B$2)</f>
        <v>0.14285714285714285</v>
      </c>
      <c r="E8" s="63" t="s">
        <v>70</v>
      </c>
      <c r="F8" s="60" t="s">
        <v>25</v>
      </c>
      <c r="G8" s="47">
        <v>2</v>
      </c>
      <c r="H8" s="133">
        <f>IF(B$17=0,0,G8/B$17)</f>
        <v>0.16666666666666666</v>
      </c>
      <c r="I8" s="94">
        <v>8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5</v>
      </c>
      <c r="C9" s="40">
        <f t="shared" ref="C9" si="1">IF(B$2=0,0,B9/B$2)</f>
        <v>0.7142857142857143</v>
      </c>
      <c r="E9" s="63" t="s">
        <v>71</v>
      </c>
      <c r="F9" s="60" t="s">
        <v>26</v>
      </c>
      <c r="G9" s="47">
        <v>1</v>
      </c>
      <c r="H9" s="133">
        <f>IF(B$17=0,0,G9/B$17)</f>
        <v>8.3333333333333329E-2</v>
      </c>
      <c r="I9" s="94">
        <v>7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</v>
      </c>
      <c r="C10" s="40">
        <f>IF(B$2=0,0,B10/B$2)</f>
        <v>0.14285714285714285</v>
      </c>
      <c r="E10" s="63" t="s">
        <v>82</v>
      </c>
      <c r="F10" s="60" t="s">
        <v>37</v>
      </c>
      <c r="G10" s="47">
        <v>1</v>
      </c>
      <c r="H10" s="133">
        <f>IF(B$17=0,0,G10/B$17)</f>
        <v>8.3333333333333329E-2</v>
      </c>
      <c r="I10" s="94">
        <v>1</v>
      </c>
      <c r="N10" s="114" t="s">
        <v>164</v>
      </c>
      <c r="O10" s="124">
        <f>IF(P10=0,0,Q10/P10)</f>
        <v>-43.233333333333327</v>
      </c>
      <c r="P10" s="118">
        <v>3</v>
      </c>
      <c r="Q10" s="106">
        <v>-129.69999999999999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84</v>
      </c>
      <c r="F11" s="60" t="s">
        <v>39</v>
      </c>
      <c r="G11" s="47">
        <v>1</v>
      </c>
      <c r="H11" s="133">
        <f>IF(B$17=0,0,G11/B$17)</f>
        <v>8.3333333333333329E-2</v>
      </c>
      <c r="I11" s="94">
        <v>1</v>
      </c>
      <c r="N11" s="115" t="s">
        <v>165</v>
      </c>
      <c r="O11" s="125">
        <f>IF(P11=0,0,Q11/P11)</f>
        <v>-39.033333333333339</v>
      </c>
      <c r="P11" s="119">
        <v>3</v>
      </c>
      <c r="Q11" s="107">
        <v>-117.10000000000001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66</v>
      </c>
      <c r="F12" s="60" t="s">
        <v>22</v>
      </c>
      <c r="G12" s="47">
        <v>0</v>
      </c>
      <c r="H12" s="133">
        <f>IF(B$17=0,0,G12/B$17)</f>
        <v>0</v>
      </c>
      <c r="I12" s="94">
        <v>10</v>
      </c>
      <c r="N12" s="116" t="s">
        <v>166</v>
      </c>
      <c r="O12" s="126">
        <f>IF(P12=0,0,Q12/P12)</f>
        <v>28.6</v>
      </c>
      <c r="P12" s="120">
        <v>1</v>
      </c>
      <c r="Q12" s="108">
        <v>28.6</v>
      </c>
    </row>
    <row r="13" spans="1:17" x14ac:dyDescent="0.4">
      <c r="A13" s="58" t="s">
        <v>122</v>
      </c>
      <c r="B13" s="50">
        <v>7</v>
      </c>
      <c r="C13" s="44">
        <f>IF(B$3=0,0,B13/B$3)</f>
        <v>0.12280701754385964</v>
      </c>
      <c r="E13" s="63" t="s">
        <v>68</v>
      </c>
      <c r="F13" s="60" t="s">
        <v>24</v>
      </c>
      <c r="G13" s="47">
        <v>0</v>
      </c>
      <c r="H13" s="133">
        <f>IF(B$17=0,0,G13/B$17)</f>
        <v>0</v>
      </c>
      <c r="I13" s="94">
        <v>11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13</v>
      </c>
      <c r="C14" s="39">
        <f>IF(B$3=0,0,B14/B$3)</f>
        <v>0.22807017543859648</v>
      </c>
      <c r="E14" s="63" t="s">
        <v>72</v>
      </c>
      <c r="F14" s="60" t="s">
        <v>27</v>
      </c>
      <c r="G14" s="47">
        <v>0</v>
      </c>
      <c r="H14" s="133">
        <f>IF(B$17=0,0,G14/B$17)</f>
        <v>0</v>
      </c>
      <c r="I14" s="94">
        <v>10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</v>
      </c>
      <c r="C15" s="37">
        <f>IF(B$13=0,0,B15/B$13)</f>
        <v>0.7142857142857143</v>
      </c>
      <c r="E15" s="63" t="s">
        <v>74</v>
      </c>
      <c r="F15" s="60" t="s">
        <v>29</v>
      </c>
      <c r="G15" s="47">
        <v>0</v>
      </c>
      <c r="H15" s="133">
        <f>IF(B$17=0,0,G15/B$17)</f>
        <v>0</v>
      </c>
      <c r="I15" s="94">
        <v>5</v>
      </c>
      <c r="N15" s="114" t="s">
        <v>129</v>
      </c>
      <c r="O15" s="124">
        <f>IF(P15=0,0,Q15/P15)</f>
        <v>72.3</v>
      </c>
      <c r="P15" s="118">
        <v>1</v>
      </c>
      <c r="Q15" s="106">
        <v>72.3</v>
      </c>
    </row>
    <row r="16" spans="1:17" x14ac:dyDescent="0.4">
      <c r="A16" s="54" t="s">
        <v>125</v>
      </c>
      <c r="B16" s="46">
        <v>5</v>
      </c>
      <c r="C16" s="37">
        <f>IF(B$14=0,0,B16/B$14)</f>
        <v>0.38461538461538464</v>
      </c>
      <c r="E16" s="63" t="s">
        <v>75</v>
      </c>
      <c r="F16" s="60" t="s">
        <v>30</v>
      </c>
      <c r="G16" s="47">
        <v>0</v>
      </c>
      <c r="H16" s="133">
        <f>IF(B$17=0,0,G16/B$17)</f>
        <v>0</v>
      </c>
      <c r="I16" s="94">
        <v>3</v>
      </c>
      <c r="N16" s="115" t="s">
        <v>171</v>
      </c>
      <c r="O16" s="125">
        <f>IF(P16=0,0,Q16/P16)</f>
        <v>-25.400000000000002</v>
      </c>
      <c r="P16" s="119">
        <v>2</v>
      </c>
      <c r="Q16" s="107">
        <v>-50.800000000000004</v>
      </c>
    </row>
    <row r="17" spans="1:17" x14ac:dyDescent="0.4">
      <c r="A17" s="54" t="s">
        <v>10</v>
      </c>
      <c r="B17" s="46">
        <f>B19+B18</f>
        <v>12</v>
      </c>
      <c r="C17" s="37">
        <f>IF(B$3=0,0,B17/B$3)</f>
        <v>0.21052631578947367</v>
      </c>
      <c r="E17" s="63" t="s">
        <v>76</v>
      </c>
      <c r="F17" s="60" t="s">
        <v>31</v>
      </c>
      <c r="G17" s="47">
        <v>0</v>
      </c>
      <c r="H17" s="133">
        <f>IF(B$17=0,0,G17/B$17)</f>
        <v>0</v>
      </c>
      <c r="I17" s="94">
        <v>6</v>
      </c>
      <c r="N17" s="115" t="s">
        <v>127</v>
      </c>
      <c r="O17" s="125">
        <f>IF(P17=0,0,Q17/P17)</f>
        <v>-56.8</v>
      </c>
      <c r="P17" s="119">
        <v>4</v>
      </c>
      <c r="Q17" s="107">
        <v>-227.2</v>
      </c>
    </row>
    <row r="18" spans="1:17" x14ac:dyDescent="0.4">
      <c r="A18" s="55" t="s">
        <v>12</v>
      </c>
      <c r="B18" s="47">
        <v>6</v>
      </c>
      <c r="C18" s="39">
        <f>IF(B$17=0,0,B18/B$17)</f>
        <v>0.5</v>
      </c>
      <c r="E18" s="63" t="s">
        <v>77</v>
      </c>
      <c r="F18" s="60" t="s">
        <v>32</v>
      </c>
      <c r="G18" s="47">
        <v>0</v>
      </c>
      <c r="H18" s="133">
        <f>IF(B$17=0,0,G18/B$17)</f>
        <v>0</v>
      </c>
      <c r="I18" s="94">
        <v>1</v>
      </c>
      <c r="N18" s="115" t="s">
        <v>177</v>
      </c>
      <c r="O18" s="125">
        <f>IF(P18=0,0,Q18/P18)</f>
        <v>-60.800000000000004</v>
      </c>
      <c r="P18" s="119">
        <v>2</v>
      </c>
      <c r="Q18" s="107">
        <v>-121.60000000000001</v>
      </c>
    </row>
    <row r="19" spans="1:17" x14ac:dyDescent="0.4">
      <c r="A19" s="55" t="s">
        <v>11</v>
      </c>
      <c r="B19" s="47">
        <v>6</v>
      </c>
      <c r="C19" s="39">
        <f>IF(B$17=0,0,B19/B$17)</f>
        <v>0.5</v>
      </c>
      <c r="E19" s="63" t="s">
        <v>78</v>
      </c>
      <c r="F19" s="60" t="s">
        <v>33</v>
      </c>
      <c r="G19" s="47">
        <v>0</v>
      </c>
      <c r="H19" s="133">
        <f>IF(B$17=0,0,G19/B$17)</f>
        <v>0</v>
      </c>
      <c r="I19" s="94">
        <v>4</v>
      </c>
      <c r="N19" s="115" t="s">
        <v>128</v>
      </c>
      <c r="O19" s="125">
        <f>IF(P19=0,0,Q19/P19)</f>
        <v>-64.424999999999997</v>
      </c>
      <c r="P19" s="119">
        <v>4</v>
      </c>
      <c r="Q19" s="107">
        <v>-257.7</v>
      </c>
    </row>
    <row r="20" spans="1:17" x14ac:dyDescent="0.4">
      <c r="A20" s="55" t="s">
        <v>13</v>
      </c>
      <c r="B20" s="47">
        <v>16</v>
      </c>
      <c r="C20" s="39">
        <f>IF(B$3=0,0,B20/B$3)</f>
        <v>0.2807017543859649</v>
      </c>
      <c r="E20" s="63" t="s">
        <v>79</v>
      </c>
      <c r="F20" s="60" t="s">
        <v>34</v>
      </c>
      <c r="G20" s="47">
        <v>0</v>
      </c>
      <c r="H20" s="133">
        <f>IF(B$17=0,0,G20/B$17)</f>
        <v>0</v>
      </c>
      <c r="I20" s="94">
        <v>9</v>
      </c>
      <c r="N20" s="115" t="s">
        <v>185</v>
      </c>
      <c r="O20" s="125">
        <f>IF(P20=0,0,Q20/P20)</f>
        <v>-69.599999999999994</v>
      </c>
      <c r="P20" s="119">
        <v>1</v>
      </c>
      <c r="Q20" s="107">
        <v>-69.599999999999994</v>
      </c>
    </row>
    <row r="21" spans="1:17" x14ac:dyDescent="0.4">
      <c r="A21" s="55" t="s">
        <v>193</v>
      </c>
      <c r="B21" s="47">
        <v>2</v>
      </c>
      <c r="C21" s="135">
        <v>0</v>
      </c>
      <c r="E21" s="63" t="s">
        <v>80</v>
      </c>
      <c r="F21" s="60" t="s">
        <v>35</v>
      </c>
      <c r="G21" s="47">
        <v>0</v>
      </c>
      <c r="H21" s="133">
        <f>IF(B$17=0,0,G21/B$17)</f>
        <v>0</v>
      </c>
      <c r="I21" s="94">
        <v>6</v>
      </c>
    </row>
    <row r="22" spans="1:17" x14ac:dyDescent="0.4">
      <c r="A22" s="55" t="s">
        <v>194</v>
      </c>
      <c r="B22" s="47">
        <v>10</v>
      </c>
      <c r="C22" s="135">
        <v>4</v>
      </c>
      <c r="E22" s="63" t="s">
        <v>81</v>
      </c>
      <c r="F22" s="60" t="s">
        <v>36</v>
      </c>
      <c r="G22" s="47">
        <v>0</v>
      </c>
      <c r="H22" s="133">
        <f>IF(B$17=0,0,G22/B$17)</f>
        <v>0</v>
      </c>
      <c r="I22" s="94">
        <v>1</v>
      </c>
    </row>
    <row r="23" spans="1:17" x14ac:dyDescent="0.4">
      <c r="A23" s="55" t="s">
        <v>5</v>
      </c>
      <c r="B23" s="51">
        <f>IF(B$17=0,0,C23/B$17)</f>
        <v>6500</v>
      </c>
      <c r="C23" s="41">
        <v>78000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-8762.5</v>
      </c>
      <c r="C24" s="45">
        <v>-140200</v>
      </c>
      <c r="E24" s="63" t="s">
        <v>85</v>
      </c>
      <c r="F24" s="60" t="s">
        <v>40</v>
      </c>
      <c r="G24" s="47">
        <v>0</v>
      </c>
      <c r="H24" s="133">
        <f>IF(B$17=0,0,G24/B$17)</f>
        <v>0</v>
      </c>
      <c r="I24" s="94">
        <v>3</v>
      </c>
    </row>
    <row r="25" spans="1:17" x14ac:dyDescent="0.4">
      <c r="A25" s="90" t="s">
        <v>142</v>
      </c>
      <c r="B25" s="140">
        <v>5</v>
      </c>
      <c r="C25" s="141"/>
      <c r="E25" s="63" t="s">
        <v>86</v>
      </c>
      <c r="F25" s="60" t="s">
        <v>41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152</v>
      </c>
      <c r="B26" s="138">
        <v>43600</v>
      </c>
      <c r="C26" s="139"/>
      <c r="E26" s="63" t="s">
        <v>87</v>
      </c>
      <c r="F26" s="60" t="s">
        <v>42</v>
      </c>
      <c r="G26" s="47">
        <v>0</v>
      </c>
      <c r="H26" s="133">
        <f>IF(B$17=0,0,G26/B$17)</f>
        <v>0</v>
      </c>
      <c r="I26" s="94">
        <v>10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94CA3-E8AD-42C8-B1F7-E85D2D19DC6E}">
  <sheetPr codeName="Sheet2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202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4</v>
      </c>
      <c r="C2" s="147"/>
      <c r="E2" s="62" t="s">
        <v>67</v>
      </c>
      <c r="F2" s="59" t="s">
        <v>23</v>
      </c>
      <c r="G2" s="46">
        <v>7</v>
      </c>
      <c r="H2" s="132">
        <f>IF(B$17=0,0,G2/B$17)</f>
        <v>0.77777777777777779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-6025</v>
      </c>
      <c r="P2" s="118">
        <v>4</v>
      </c>
      <c r="Q2" s="102">
        <v>-24100</v>
      </c>
    </row>
    <row r="3" spans="1:17" x14ac:dyDescent="0.4">
      <c r="A3" s="55" t="s">
        <v>8</v>
      </c>
      <c r="B3" s="148">
        <v>36</v>
      </c>
      <c r="C3" s="149"/>
      <c r="E3" s="63" t="s">
        <v>65</v>
      </c>
      <c r="F3" s="60" t="s">
        <v>21</v>
      </c>
      <c r="G3" s="47">
        <v>6</v>
      </c>
      <c r="H3" s="133">
        <f>IF(B$17=0,0,G3/B$17)</f>
        <v>0.66666666666666663</v>
      </c>
      <c r="I3" s="94">
        <v>1</v>
      </c>
      <c r="K3" s="38">
        <v>1</v>
      </c>
      <c r="L3" s="99">
        <v>-12.5</v>
      </c>
      <c r="N3" s="115" t="s">
        <v>133</v>
      </c>
      <c r="O3" s="122">
        <f t="shared" si="0"/>
        <v>3450</v>
      </c>
      <c r="P3" s="119">
        <v>4</v>
      </c>
      <c r="Q3" s="103">
        <v>13800</v>
      </c>
    </row>
    <row r="4" spans="1:17" x14ac:dyDescent="0.4">
      <c r="A4" s="55" t="s">
        <v>6</v>
      </c>
      <c r="B4" s="150">
        <v>19.399999999999995</v>
      </c>
      <c r="C4" s="151"/>
      <c r="E4" s="63" t="s">
        <v>73</v>
      </c>
      <c r="F4" s="60" t="s">
        <v>28</v>
      </c>
      <c r="G4" s="47">
        <v>6</v>
      </c>
      <c r="H4" s="133">
        <f>IF(B$17=0,0,G4/B$17)</f>
        <v>0.66666666666666663</v>
      </c>
      <c r="I4" s="94">
        <v>3</v>
      </c>
      <c r="K4" s="38">
        <v>2</v>
      </c>
      <c r="L4" s="99">
        <v>-28.1</v>
      </c>
      <c r="N4" s="115" t="s">
        <v>134</v>
      </c>
      <c r="O4" s="122">
        <f t="shared" si="0"/>
        <v>-3650</v>
      </c>
      <c r="P4" s="119">
        <v>4</v>
      </c>
      <c r="Q4" s="103">
        <v>-14600</v>
      </c>
    </row>
    <row r="5" spans="1:17" x14ac:dyDescent="0.4">
      <c r="A5" s="55" t="s">
        <v>7</v>
      </c>
      <c r="B5" s="152">
        <f>IF(B$2=0,0,B$4/B$2)</f>
        <v>4.8499999999999988</v>
      </c>
      <c r="C5" s="153"/>
      <c r="E5" s="63" t="s">
        <v>68</v>
      </c>
      <c r="F5" s="60" t="s">
        <v>24</v>
      </c>
      <c r="G5" s="47">
        <v>5</v>
      </c>
      <c r="H5" s="133">
        <f>IF(B$17=0,0,G5/B$17)</f>
        <v>0.55555555555555558</v>
      </c>
      <c r="I5" s="94">
        <v>1</v>
      </c>
      <c r="K5" s="38">
        <v>3</v>
      </c>
      <c r="L5" s="99">
        <v>-20.400000000000002</v>
      </c>
      <c r="N5" s="115" t="s">
        <v>135</v>
      </c>
      <c r="O5" s="122">
        <f t="shared" si="0"/>
        <v>-1250</v>
      </c>
      <c r="P5" s="119">
        <v>4</v>
      </c>
      <c r="Q5" s="103">
        <v>-5000</v>
      </c>
    </row>
    <row r="6" spans="1:17" x14ac:dyDescent="0.4">
      <c r="A6" s="55" t="s">
        <v>1</v>
      </c>
      <c r="B6" s="142">
        <f>IF(B$2=0,0,(B$7*1+B$8*2+B$9*3)/B$2)</f>
        <v>1.75</v>
      </c>
      <c r="C6" s="143"/>
      <c r="E6" s="63" t="s">
        <v>69</v>
      </c>
      <c r="F6" s="60" t="s">
        <v>12</v>
      </c>
      <c r="G6" s="47">
        <v>5</v>
      </c>
      <c r="H6" s="133">
        <f>IF(B$17=0,0,G6/B$17)</f>
        <v>0.55555555555555558</v>
      </c>
      <c r="I6" s="94">
        <v>1</v>
      </c>
      <c r="K6" s="38">
        <v>4</v>
      </c>
      <c r="L6" s="99">
        <v>19.399999999999995</v>
      </c>
      <c r="N6" s="115" t="s">
        <v>136</v>
      </c>
      <c r="O6" s="122">
        <f t="shared" si="0"/>
        <v>11266.666666666666</v>
      </c>
      <c r="P6" s="119">
        <v>3</v>
      </c>
      <c r="Q6" s="103">
        <v>33800</v>
      </c>
    </row>
    <row r="7" spans="1:17" x14ac:dyDescent="0.4">
      <c r="A7" s="55" t="s">
        <v>2</v>
      </c>
      <c r="B7" s="47">
        <v>1</v>
      </c>
      <c r="C7" s="39">
        <f>IF(B$2=0,0,B7/B$2)</f>
        <v>0.25</v>
      </c>
      <c r="E7" s="63" t="s">
        <v>181</v>
      </c>
      <c r="F7" s="60" t="s">
        <v>182</v>
      </c>
      <c r="G7" s="47">
        <v>5</v>
      </c>
      <c r="H7" s="133">
        <f>IF(B$17=0,0,G7/B$17)</f>
        <v>0.55555555555555558</v>
      </c>
      <c r="I7" s="94">
        <v>1</v>
      </c>
      <c r="N7" s="116" t="s">
        <v>137</v>
      </c>
      <c r="O7" s="123">
        <f t="shared" si="0"/>
        <v>-1500</v>
      </c>
      <c r="P7" s="120">
        <v>3</v>
      </c>
      <c r="Q7" s="104">
        <v>-4500</v>
      </c>
    </row>
    <row r="8" spans="1:17" x14ac:dyDescent="0.4">
      <c r="A8" s="55" t="s">
        <v>3</v>
      </c>
      <c r="B8" s="47">
        <v>3</v>
      </c>
      <c r="C8" s="39">
        <f>IF(B$2=0,0,B8/B$2)</f>
        <v>0.75</v>
      </c>
      <c r="E8" s="63" t="s">
        <v>70</v>
      </c>
      <c r="F8" s="60" t="s">
        <v>25</v>
      </c>
      <c r="G8" s="47">
        <v>3</v>
      </c>
      <c r="H8" s="133">
        <f>IF(B$17=0,0,G8/B$17)</f>
        <v>0.33333333333333331</v>
      </c>
      <c r="I8" s="94">
        <v>1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90</v>
      </c>
      <c r="F9" s="60" t="s">
        <v>45</v>
      </c>
      <c r="G9" s="47">
        <v>2</v>
      </c>
      <c r="H9" s="133">
        <f>IF(B$17=0,0,G9/B$17)</f>
        <v>0.22222222222222221</v>
      </c>
      <c r="I9" s="94">
        <v>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66</v>
      </c>
      <c r="F10" s="60" t="s">
        <v>22</v>
      </c>
      <c r="G10" s="47">
        <v>1</v>
      </c>
      <c r="H10" s="133">
        <f>IF(B$17=0,0,G10/B$17)</f>
        <v>0.1111111111111111</v>
      </c>
      <c r="I10" s="94">
        <v>6</v>
      </c>
      <c r="N10" s="114" t="s">
        <v>164</v>
      </c>
      <c r="O10" s="124">
        <f>IF(P10=0,0,Q10/P10)</f>
        <v>-15.6</v>
      </c>
      <c r="P10" s="118">
        <v>1</v>
      </c>
      <c r="Q10" s="106">
        <v>-15.6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79</v>
      </c>
      <c r="F11" s="60" t="s">
        <v>34</v>
      </c>
      <c r="G11" s="47">
        <v>1</v>
      </c>
      <c r="H11" s="133">
        <f>IF(B$17=0,0,G11/B$17)</f>
        <v>0.1111111111111111</v>
      </c>
      <c r="I11" s="94">
        <v>1</v>
      </c>
      <c r="N11" s="115" t="s">
        <v>165</v>
      </c>
      <c r="O11" s="125">
        <f>IF(P11=0,0,Q11/P11)</f>
        <v>7.7</v>
      </c>
      <c r="P11" s="119">
        <v>1</v>
      </c>
      <c r="Q11" s="107">
        <v>7.7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87</v>
      </c>
      <c r="F12" s="60" t="s">
        <v>42</v>
      </c>
      <c r="G12" s="47">
        <v>1</v>
      </c>
      <c r="H12" s="133">
        <f>IF(B$17=0,0,G12/B$17)</f>
        <v>0.1111111111111111</v>
      </c>
      <c r="I12" s="94">
        <v>2</v>
      </c>
      <c r="N12" s="116" t="s">
        <v>166</v>
      </c>
      <c r="O12" s="126">
        <f>IF(P12=0,0,Q12/P12)</f>
        <v>13.649999999999999</v>
      </c>
      <c r="P12" s="120">
        <v>2</v>
      </c>
      <c r="Q12" s="108">
        <v>27.299999999999997</v>
      </c>
    </row>
    <row r="13" spans="1:17" x14ac:dyDescent="0.4">
      <c r="A13" s="58" t="s">
        <v>122</v>
      </c>
      <c r="B13" s="50">
        <v>11</v>
      </c>
      <c r="C13" s="44">
        <f>IF(B$3=0,0,B13/B$3)</f>
        <v>0.30555555555555558</v>
      </c>
      <c r="E13" s="63" t="s">
        <v>71</v>
      </c>
      <c r="F13" s="60" t="s">
        <v>26</v>
      </c>
      <c r="G13" s="47">
        <v>0</v>
      </c>
      <c r="H13" s="133">
        <f>IF(B$17=0,0,G13/B$17)</f>
        <v>0</v>
      </c>
      <c r="I13" s="94">
        <v>10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10</v>
      </c>
      <c r="C14" s="39">
        <f>IF(B$3=0,0,B14/B$3)</f>
        <v>0.27777777777777779</v>
      </c>
      <c r="E14" s="63" t="s">
        <v>72</v>
      </c>
      <c r="F14" s="60" t="s">
        <v>27</v>
      </c>
      <c r="G14" s="47">
        <v>0</v>
      </c>
      <c r="H14" s="133">
        <f>IF(B$17=0,0,G14/B$17)</f>
        <v>0</v>
      </c>
      <c r="I14" s="94">
        <v>10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</v>
      </c>
      <c r="C15" s="37">
        <f>IF(B$13=0,0,B15/B$13)</f>
        <v>0.54545454545454541</v>
      </c>
      <c r="E15" s="63" t="s">
        <v>74</v>
      </c>
      <c r="F15" s="60" t="s">
        <v>29</v>
      </c>
      <c r="G15" s="47">
        <v>0</v>
      </c>
      <c r="H15" s="133">
        <f>IF(B$17=0,0,G15/B$17)</f>
        <v>0</v>
      </c>
      <c r="I15" s="94">
        <v>5</v>
      </c>
      <c r="N15" s="114" t="s">
        <v>171</v>
      </c>
      <c r="O15" s="124">
        <f>IF(P15=0,0,Q15/P15)</f>
        <v>52</v>
      </c>
      <c r="P15" s="118">
        <v>2</v>
      </c>
      <c r="Q15" s="106">
        <v>104</v>
      </c>
    </row>
    <row r="16" spans="1:17" x14ac:dyDescent="0.4">
      <c r="A16" s="54" t="s">
        <v>125</v>
      </c>
      <c r="B16" s="46">
        <v>3</v>
      </c>
      <c r="C16" s="37">
        <f>IF(B$14=0,0,B16/B$14)</f>
        <v>0.3</v>
      </c>
      <c r="E16" s="63" t="s">
        <v>75</v>
      </c>
      <c r="F16" s="60" t="s">
        <v>30</v>
      </c>
      <c r="G16" s="47">
        <v>0</v>
      </c>
      <c r="H16" s="133">
        <f>IF(B$17=0,0,G16/B$17)</f>
        <v>0</v>
      </c>
      <c r="I16" s="94">
        <v>3</v>
      </c>
      <c r="N16" s="115" t="s">
        <v>173</v>
      </c>
      <c r="O16" s="125">
        <f>IF(P16=0,0,Q16/P16)</f>
        <v>43.1</v>
      </c>
      <c r="P16" s="119">
        <v>1</v>
      </c>
      <c r="Q16" s="107">
        <v>43.1</v>
      </c>
    </row>
    <row r="17" spans="1:17" x14ac:dyDescent="0.4">
      <c r="A17" s="54" t="s">
        <v>10</v>
      </c>
      <c r="B17" s="46">
        <f>B19+B18</f>
        <v>9</v>
      </c>
      <c r="C17" s="37">
        <f>IF(B$3=0,0,B17/B$3)</f>
        <v>0.25</v>
      </c>
      <c r="E17" s="63" t="s">
        <v>76</v>
      </c>
      <c r="F17" s="60" t="s">
        <v>31</v>
      </c>
      <c r="G17" s="47">
        <v>0</v>
      </c>
      <c r="H17" s="133">
        <f>IF(B$17=0,0,G17/B$17)</f>
        <v>0</v>
      </c>
      <c r="I17" s="94">
        <v>6</v>
      </c>
      <c r="N17" s="115" t="s">
        <v>172</v>
      </c>
      <c r="O17" s="125">
        <f>IF(P17=0,0,Q17/P17)</f>
        <v>-16.450000000000006</v>
      </c>
      <c r="P17" s="119">
        <v>4</v>
      </c>
      <c r="Q17" s="107">
        <v>-65.800000000000026</v>
      </c>
    </row>
    <row r="18" spans="1:17" x14ac:dyDescent="0.4">
      <c r="A18" s="55" t="s">
        <v>12</v>
      </c>
      <c r="B18" s="47">
        <v>6</v>
      </c>
      <c r="C18" s="39">
        <f>IF(B$17=0,0,B18/B$17)</f>
        <v>0.66666666666666663</v>
      </c>
      <c r="E18" s="63" t="s">
        <v>77</v>
      </c>
      <c r="F18" s="60" t="s">
        <v>32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-23.1</v>
      </c>
      <c r="P18" s="119">
        <v>1</v>
      </c>
      <c r="Q18" s="107">
        <v>-23.1</v>
      </c>
    </row>
    <row r="19" spans="1:17" x14ac:dyDescent="0.4">
      <c r="A19" s="55" t="s">
        <v>11</v>
      </c>
      <c r="B19" s="47">
        <v>3</v>
      </c>
      <c r="C19" s="39">
        <f>IF(B$17=0,0,B19/B$17)</f>
        <v>0.33333333333333331</v>
      </c>
      <c r="E19" s="63" t="s">
        <v>78</v>
      </c>
      <c r="F19" s="60" t="s">
        <v>33</v>
      </c>
      <c r="G19" s="47">
        <v>0</v>
      </c>
      <c r="H19" s="133">
        <f>IF(B$17=0,0,G19/B$17)</f>
        <v>0</v>
      </c>
      <c r="I19" s="94">
        <v>4</v>
      </c>
    </row>
    <row r="20" spans="1:17" x14ac:dyDescent="0.4">
      <c r="A20" s="55" t="s">
        <v>13</v>
      </c>
      <c r="B20" s="47">
        <v>6</v>
      </c>
      <c r="C20" s="39">
        <f>IF(B$3=0,0,B20/B$3)</f>
        <v>0.16666666666666666</v>
      </c>
      <c r="E20" s="63" t="s">
        <v>80</v>
      </c>
      <c r="F20" s="60" t="s">
        <v>35</v>
      </c>
      <c r="G20" s="47">
        <v>0</v>
      </c>
      <c r="H20" s="133">
        <f>IF(B$17=0,0,G20/B$17)</f>
        <v>0</v>
      </c>
      <c r="I20" s="94">
        <v>6</v>
      </c>
    </row>
    <row r="21" spans="1:17" x14ac:dyDescent="0.4">
      <c r="A21" s="55" t="s">
        <v>193</v>
      </c>
      <c r="B21" s="47">
        <v>3</v>
      </c>
      <c r="C21" s="135">
        <v>3</v>
      </c>
      <c r="E21" s="63" t="s">
        <v>81</v>
      </c>
      <c r="F21" s="60" t="s">
        <v>36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194</v>
      </c>
      <c r="B22" s="47">
        <v>8</v>
      </c>
      <c r="C22" s="135">
        <v>4</v>
      </c>
      <c r="E22" s="63" t="s">
        <v>82</v>
      </c>
      <c r="F22" s="60" t="s">
        <v>37</v>
      </c>
      <c r="G22" s="47">
        <v>0</v>
      </c>
      <c r="H22" s="133">
        <f>IF(B$17=0,0,G22/B$17)</f>
        <v>0</v>
      </c>
      <c r="I22" s="94">
        <v>7</v>
      </c>
    </row>
    <row r="23" spans="1:17" x14ac:dyDescent="0.4">
      <c r="A23" s="55" t="s">
        <v>5</v>
      </c>
      <c r="B23" s="51">
        <f>IF(B$17=0,0,C23/B$17)</f>
        <v>9555.5555555555547</v>
      </c>
      <c r="C23" s="41">
        <v>86000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-5866.666666666667</v>
      </c>
      <c r="C24" s="45">
        <v>-35200</v>
      </c>
      <c r="E24" s="63" t="s">
        <v>84</v>
      </c>
      <c r="F24" s="60" t="s">
        <v>39</v>
      </c>
      <c r="G24" s="47">
        <v>0</v>
      </c>
      <c r="H24" s="133">
        <f>IF(B$17=0,0,G24/B$17)</f>
        <v>0</v>
      </c>
      <c r="I24" s="94">
        <v>10</v>
      </c>
    </row>
    <row r="25" spans="1:17" x14ac:dyDescent="0.4">
      <c r="A25" s="90" t="s">
        <v>142</v>
      </c>
      <c r="B25" s="140">
        <v>4</v>
      </c>
      <c r="C25" s="141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152</v>
      </c>
      <c r="B26" s="138">
        <v>54800</v>
      </c>
      <c r="C26" s="139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61C06C-F6B1-4408-B78C-98E0FA7A30E7}">
  <sheetPr codeName="Sheet26"/>
  <dimension ref="A1:Q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202</v>
      </c>
      <c r="B1" s="70" t="s">
        <v>202</v>
      </c>
      <c r="C1" s="70" t="s">
        <v>202</v>
      </c>
      <c r="D1" s="71" t="s">
        <v>202</v>
      </c>
      <c r="E1" s="70" t="s">
        <v>202</v>
      </c>
      <c r="F1" s="70" t="s">
        <v>202</v>
      </c>
      <c r="G1" s="70" t="s">
        <v>202</v>
      </c>
      <c r="H1" s="70" t="s">
        <v>202</v>
      </c>
      <c r="I1" s="70" t="s">
        <v>202</v>
      </c>
      <c r="J1" s="70" t="s">
        <v>202</v>
      </c>
      <c r="K1" s="70" t="s">
        <v>202</v>
      </c>
      <c r="L1" s="70" t="s">
        <v>202</v>
      </c>
      <c r="M1" s="70" t="s">
        <v>202</v>
      </c>
      <c r="N1" s="70" t="s">
        <v>202</v>
      </c>
      <c r="O1" s="70" t="s">
        <v>202</v>
      </c>
      <c r="P1" s="70" t="s">
        <v>202</v>
      </c>
      <c r="Q1" s="70" t="s">
        <v>202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31849-9C80-4C49-A5FF-CB4E8C0E271E}">
  <sheetPr codeName="Sheet24"/>
  <dimension ref="A1:Q1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186</v>
      </c>
      <c r="B1" s="70" t="s">
        <v>186</v>
      </c>
      <c r="C1" s="70" t="s">
        <v>186</v>
      </c>
      <c r="D1" s="71" t="s">
        <v>186</v>
      </c>
      <c r="E1" s="70" t="s">
        <v>186</v>
      </c>
      <c r="F1" s="70" t="s">
        <v>186</v>
      </c>
      <c r="G1" s="70" t="s">
        <v>186</v>
      </c>
      <c r="H1" s="70" t="s">
        <v>186</v>
      </c>
      <c r="I1" s="70" t="s">
        <v>186</v>
      </c>
      <c r="J1" s="70" t="s">
        <v>186</v>
      </c>
      <c r="K1" s="70" t="s">
        <v>186</v>
      </c>
      <c r="L1" s="70" t="s">
        <v>186</v>
      </c>
      <c r="M1" s="70" t="s">
        <v>186</v>
      </c>
      <c r="N1" s="70" t="s">
        <v>186</v>
      </c>
      <c r="O1" s="70" t="s">
        <v>186</v>
      </c>
      <c r="P1" s="70" t="s">
        <v>186</v>
      </c>
      <c r="Q1" s="70" t="s">
        <v>186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B15205-B04A-4346-9B15-95D4663AD99C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185</v>
      </c>
      <c r="B1" s="70" t="s">
        <v>185</v>
      </c>
      <c r="C1" s="70" t="s">
        <v>185</v>
      </c>
      <c r="D1" s="71" t="s">
        <v>185</v>
      </c>
      <c r="E1" s="70" t="s">
        <v>185</v>
      </c>
      <c r="F1" s="70" t="s">
        <v>185</v>
      </c>
      <c r="G1" s="70" t="s">
        <v>185</v>
      </c>
      <c r="H1" s="70" t="s">
        <v>185</v>
      </c>
      <c r="I1" s="70" t="s">
        <v>185</v>
      </c>
      <c r="J1" s="70" t="s">
        <v>185</v>
      </c>
      <c r="K1" s="70" t="s">
        <v>185</v>
      </c>
      <c r="L1" s="70" t="s">
        <v>185</v>
      </c>
      <c r="M1" s="70" t="s">
        <v>185</v>
      </c>
      <c r="N1" s="70" t="s">
        <v>185</v>
      </c>
      <c r="O1" s="70" t="s">
        <v>185</v>
      </c>
      <c r="P1" s="70" t="s">
        <v>185</v>
      </c>
      <c r="Q1" s="70" t="s">
        <v>185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B08B5-7DE7-4BCD-A0B9-DEE0293F913F}">
  <sheetPr codeName="Sheet20"/>
  <dimension ref="A1:Q2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52799-FB6F-4282-96EA-D744AAC8D56A}">
  <sheetPr codeName="Sheet18"/>
  <dimension ref="A1:Q3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FD9C8-82D5-46F6-BA49-BB5C118D33E2}">
  <sheetPr codeName="Sheet16"/>
  <dimension ref="A1:Q3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64E43-3195-4878-A523-F23FC291FF83}">
  <sheetPr codeName="Sheet14"/>
  <dimension ref="A1:Q4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1FC7F-9A79-4979-B59B-115D0EDA25D8}">
  <sheetPr codeName="Sheet12"/>
  <dimension ref="A1:Q3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AF85A-E00F-4FE3-9F31-1CE446517B48}">
  <sheetPr codeName="Sheet10"/>
  <dimension ref="A1:Q7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E87DDB-B7FA-4789-92CD-BFCA376B0F87}">
  <sheetPr codeName="Sheet8"/>
  <dimension ref="A1:Q7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098F4C-17A9-4C3F-9171-AB6A25CF1137}">
  <sheetPr codeName="Sheet6"/>
  <dimension ref="A1:Q10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468</vt:i4>
      </vt:variant>
    </vt:vector>
  </HeadingPairs>
  <TitlesOfParts>
    <vt:vector size="511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だいち!アガリ数</vt:lpstr>
      <vt:lpstr>たかの!アガリ数</vt:lpstr>
      <vt:lpstr>ただ!アガリ数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だいち!アガリ率</vt:lpstr>
      <vt:lpstr>たかの!アガリ率</vt:lpstr>
      <vt:lpstr>ただ!アガリ率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だいち!チョンボ数</vt:lpstr>
      <vt:lpstr>たかの!チョンボ数</vt:lpstr>
      <vt:lpstr>ただ!チョンボ数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だいち!チョンボ率</vt:lpstr>
      <vt:lpstr>たかの!チョンボ率</vt:lpstr>
      <vt:lpstr>ただ!チョンボ率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だいち!ツモ数</vt:lpstr>
      <vt:lpstr>たかの!ツモ数</vt:lpstr>
      <vt:lpstr>ただ!ツモ数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だいち!ツモ率</vt:lpstr>
      <vt:lpstr>たかの!ツモ率</vt:lpstr>
      <vt:lpstr>ただ!ツモ率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だいち!トップ数</vt:lpstr>
      <vt:lpstr>たかの!トップ数</vt:lpstr>
      <vt:lpstr>ただ!トップ数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だいち!トップ率</vt:lpstr>
      <vt:lpstr>たかの!トップ率</vt:lpstr>
      <vt:lpstr>ただ!トップ率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だいち!ふっとばし数</vt:lpstr>
      <vt:lpstr>たかの!ふっとばし数</vt:lpstr>
      <vt:lpstr>ただ!ふっとばし数</vt:lpstr>
      <vt:lpstr>ぱぱ!ふっとばし数</vt:lpstr>
      <vt:lpstr>ほたに!ふっとばし数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だいち!ふっとばし率</vt:lpstr>
      <vt:lpstr>たかの!ふっとばし率</vt:lpstr>
      <vt:lpstr>ただ!ふっとばし率</vt:lpstr>
      <vt:lpstr>ぱぱ!ふっとばし率</vt:lpstr>
      <vt:lpstr>ほたに!ふっとばし率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だいち!ふっとび数</vt:lpstr>
      <vt:lpstr>たかの!ふっとび数</vt:lpstr>
      <vt:lpstr>ただ!ふっとび数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だいち!ふっとび率</vt:lpstr>
      <vt:lpstr>たかの!ふっとび率</vt:lpstr>
      <vt:lpstr>ただ!ふっとび率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だいち!ラス数</vt:lpstr>
      <vt:lpstr>たかの!ラス数</vt:lpstr>
      <vt:lpstr>ただ!ラス数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だいち!ラス率</vt:lpstr>
      <vt:lpstr>たかの!ラス率</vt:lpstr>
      <vt:lpstr>ただ!ラス率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だいち!リーチ数</vt:lpstr>
      <vt:lpstr>たかの!リーチ数</vt:lpstr>
      <vt:lpstr>ただ!リーチ数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だいち!リーチ成功数</vt:lpstr>
      <vt:lpstr>たかの!リーチ成功数</vt:lpstr>
      <vt:lpstr>ただ!リーチ成功数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だいち!リーチ成功率</vt:lpstr>
      <vt:lpstr>たかの!リーチ成功率</vt:lpstr>
      <vt:lpstr>ただ!リーチ成功率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だいち!リーチ率</vt:lpstr>
      <vt:lpstr>たかの!リーチ率</vt:lpstr>
      <vt:lpstr>ただ!リーチ率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だいち!ロン数</vt:lpstr>
      <vt:lpstr>たかの!ロン数</vt:lpstr>
      <vt:lpstr>ただ!ロン数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だいち!ロン率</vt:lpstr>
      <vt:lpstr>たかの!ロン率</vt:lpstr>
      <vt:lpstr>ただ!ロン率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だいち!逆転数</vt:lpstr>
      <vt:lpstr>たかの!逆転数</vt:lpstr>
      <vt:lpstr>ただ!逆転数</vt:lpstr>
      <vt:lpstr>ぱぱ!逆転数</vt:lpstr>
      <vt:lpstr>ほたに!逆転数</vt:lpstr>
      <vt:lpstr>まっつん!逆転数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だいち!逆転率</vt:lpstr>
      <vt:lpstr>たかの!逆転率</vt:lpstr>
      <vt:lpstr>ただ!逆転率</vt:lpstr>
      <vt:lpstr>ぱぱ!逆転率</vt:lpstr>
      <vt:lpstr>ほたに!逆転率</vt:lpstr>
      <vt:lpstr>まっつん!逆転率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だいち!最大ドラ数</vt:lpstr>
      <vt:lpstr>たかの!最大ドラ数</vt:lpstr>
      <vt:lpstr>ただ!最大ドラ数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だいち!最大点数</vt:lpstr>
      <vt:lpstr>たかの!最大点数</vt:lpstr>
      <vt:lpstr>ただ!最大点数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だいち!総局数</vt:lpstr>
      <vt:lpstr>たかの!総局数</vt:lpstr>
      <vt:lpstr>ただ!総局数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だいち!対戦数</vt:lpstr>
      <vt:lpstr>たかの!対戦数</vt:lpstr>
      <vt:lpstr>ただ!対戦数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だいち!通算スコア</vt:lpstr>
      <vt:lpstr>たかの!通算スコア</vt:lpstr>
      <vt:lpstr>ただ!通算スコア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だいち!副露数</vt:lpstr>
      <vt:lpstr>たかの!副露数</vt:lpstr>
      <vt:lpstr>ただ!副露数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だいち!副露成功数</vt:lpstr>
      <vt:lpstr>たかの!副露成功数</vt:lpstr>
      <vt:lpstr>ただ!副露成功数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だいち!副露成功率</vt:lpstr>
      <vt:lpstr>たかの!副露成功率</vt:lpstr>
      <vt:lpstr>ただ!副露成功率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だいち!副露率</vt:lpstr>
      <vt:lpstr>たかの!副露率</vt:lpstr>
      <vt:lpstr>ただ!副露率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だいち!平均アガリ点</vt:lpstr>
      <vt:lpstr>たかの!平均アガリ点</vt:lpstr>
      <vt:lpstr>ただ!平均アガリ点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だいち!平均スコア</vt:lpstr>
      <vt:lpstr>たかの!平均スコア</vt:lpstr>
      <vt:lpstr>ただ!平均スコア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だいち!平均順位</vt:lpstr>
      <vt:lpstr>たかの!平均順位</vt:lpstr>
      <vt:lpstr>ただ!平均順位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だいち!平均放銃点</vt:lpstr>
      <vt:lpstr>たかの!平均放銃点</vt:lpstr>
      <vt:lpstr>ただ!平均放銃点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だいち!放銃数</vt:lpstr>
      <vt:lpstr>たかの!放銃数</vt:lpstr>
      <vt:lpstr>ただ!放銃数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だいち!放銃率</vt:lpstr>
      <vt:lpstr>たかの!放銃率</vt:lpstr>
      <vt:lpstr>ただ!放銃率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だいち!連続アガリ</vt:lpstr>
      <vt:lpstr>たかの!連続アガリ</vt:lpstr>
      <vt:lpstr>ただ!連続アガリ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だいち!連続無放銃</vt:lpstr>
      <vt:lpstr>たかの!連続無放銃</vt:lpstr>
      <vt:lpstr>ただ!連続無放銃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2019-04-26T16:27:27Z</dcterms:modified>
</cp:coreProperties>
</file>