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83D9A27-1937-4AC3-BF91-B0FD5309E01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49" r:id="rId6"/>
    <sheet name="だいち" sheetId="5351" r:id="rId7"/>
    <sheet name="りくと" sheetId="5353" r:id="rId8"/>
    <sheet name="ただ" sheetId="5355" r:id="rId9"/>
    <sheet name="れんたろう" sheetId="5357" r:id="rId10"/>
    <sheet name="たかの" sheetId="5359" r:id="rId11"/>
    <sheet name="ぱぱ" sheetId="5361" r:id="rId12"/>
    <sheet name="まっつん" sheetId="5363" r:id="rId13"/>
    <sheet name="あさひ" sheetId="5365" r:id="rId14"/>
    <sheet name="いっしー" sheetId="5367" r:id="rId15"/>
    <sheet name="ほたに" sheetId="5369" r:id="rId16"/>
    <sheet name="かわたつ" sheetId="5371" r:id="rId17"/>
    <sheet name="やがさき" sheetId="5373" r:id="rId18"/>
    <sheet name="やがさき2" sheetId="5374" state="hidden" r:id="rId19"/>
    <sheet name="かわたつ2" sheetId="5372" state="hidden" r:id="rId20"/>
    <sheet name="ほたに2" sheetId="5370" state="hidden" r:id="rId21"/>
    <sheet name="いっしー2" sheetId="5368" state="hidden" r:id="rId22"/>
    <sheet name="あさひ2" sheetId="5366" state="hidden" r:id="rId23"/>
    <sheet name="まっつん2" sheetId="5364" state="hidden" r:id="rId24"/>
    <sheet name="ぱぱ2" sheetId="5362" state="hidden" r:id="rId25"/>
    <sheet name="たかの2" sheetId="5360" state="hidden" r:id="rId26"/>
    <sheet name="れんたろう2" sheetId="5358" state="hidden" r:id="rId27"/>
    <sheet name="ただ2" sheetId="5356" state="hidden" r:id="rId28"/>
    <sheet name="りくと2" sheetId="5354" state="hidden" r:id="rId29"/>
    <sheet name="だいち2" sheetId="5352" state="hidden" r:id="rId30"/>
    <sheet name="全体2" sheetId="535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55" l="1"/>
  <c r="O16" i="5359"/>
  <c r="O15" i="5349"/>
  <c r="O16" i="5373"/>
  <c r="O15" i="5373"/>
  <c r="C27" i="5373"/>
  <c r="B24" i="5373"/>
  <c r="C20" i="5373"/>
  <c r="C17" i="5373"/>
  <c r="B17" i="5373"/>
  <c r="H49" i="5373" s="1"/>
  <c r="C16" i="5373"/>
  <c r="C15" i="5373"/>
  <c r="C14" i="5373"/>
  <c r="C13" i="5373"/>
  <c r="O12" i="5373"/>
  <c r="C12" i="5373"/>
  <c r="O11" i="5373"/>
  <c r="C11" i="5373"/>
  <c r="O10" i="5373"/>
  <c r="H5" i="5373"/>
  <c r="C10" i="5373"/>
  <c r="C9" i="5373"/>
  <c r="H12" i="5373"/>
  <c r="C8" i="5373"/>
  <c r="O7" i="5373"/>
  <c r="C7" i="5373"/>
  <c r="O6" i="5373"/>
  <c r="B6" i="5373"/>
  <c r="O5" i="5373"/>
  <c r="B5" i="5373"/>
  <c r="O4" i="5373"/>
  <c r="H10" i="5373"/>
  <c r="O3" i="5373"/>
  <c r="O2" i="5373"/>
  <c r="H2" i="5373"/>
  <c r="O15" i="5371"/>
  <c r="O16" i="5371"/>
  <c r="H49" i="5371"/>
  <c r="H33" i="5371"/>
  <c r="C27" i="5371"/>
  <c r="B24" i="5371"/>
  <c r="C20" i="5371"/>
  <c r="C18" i="5371"/>
  <c r="B17" i="5371"/>
  <c r="H7" i="5371" s="1"/>
  <c r="H18" i="5371"/>
  <c r="C16" i="5371"/>
  <c r="C15" i="5371"/>
  <c r="H16" i="5371"/>
  <c r="C14" i="5371"/>
  <c r="C13" i="5371"/>
  <c r="O12" i="5371"/>
  <c r="C12" i="5371"/>
  <c r="O11" i="5371"/>
  <c r="H13" i="5371"/>
  <c r="C11" i="5371"/>
  <c r="O10" i="5371"/>
  <c r="H12" i="5371"/>
  <c r="C10" i="5371"/>
  <c r="C9" i="5371"/>
  <c r="H10" i="5371"/>
  <c r="C8" i="5371"/>
  <c r="O7" i="5371"/>
  <c r="C7" i="5371"/>
  <c r="O6" i="5371"/>
  <c r="B6" i="5371"/>
  <c r="O5" i="5371"/>
  <c r="B5" i="5371"/>
  <c r="O4" i="5371"/>
  <c r="H2" i="5371"/>
  <c r="O3" i="5371"/>
  <c r="O2" i="5371"/>
  <c r="H3" i="5371"/>
  <c r="O23" i="5357"/>
  <c r="O18" i="5351"/>
  <c r="O25" i="5349"/>
  <c r="H20" i="5373" l="1"/>
  <c r="H22" i="5373"/>
  <c r="H25" i="5373"/>
  <c r="H28" i="5373"/>
  <c r="H30" i="5373"/>
  <c r="H34" i="5373"/>
  <c r="H38" i="5373"/>
  <c r="H42" i="5373"/>
  <c r="H46" i="5373"/>
  <c r="H50" i="5373"/>
  <c r="H11" i="5373"/>
  <c r="H16" i="5373"/>
  <c r="H18" i="5373"/>
  <c r="C19" i="5373"/>
  <c r="H23" i="5373"/>
  <c r="H31" i="5373"/>
  <c r="H35" i="5373"/>
  <c r="H39" i="5373"/>
  <c r="H43" i="5373"/>
  <c r="H47" i="5373"/>
  <c r="H51" i="5373"/>
  <c r="H9" i="5373"/>
  <c r="H4" i="5373"/>
  <c r="H13" i="5373"/>
  <c r="H15" i="5373"/>
  <c r="H19" i="5373"/>
  <c r="H21" i="5373"/>
  <c r="H24" i="5373"/>
  <c r="H26" i="5373"/>
  <c r="H7" i="5373"/>
  <c r="H32" i="5373"/>
  <c r="H36" i="5373"/>
  <c r="H40" i="5373"/>
  <c r="H44" i="5373"/>
  <c r="H48" i="5373"/>
  <c r="H8" i="5373"/>
  <c r="H3" i="5373"/>
  <c r="H14" i="5373"/>
  <c r="H17" i="5373"/>
  <c r="H6" i="5373"/>
  <c r="C18" i="5373"/>
  <c r="B23" i="5373"/>
  <c r="H27" i="5373"/>
  <c r="H29" i="5373"/>
  <c r="H33" i="5373"/>
  <c r="H37" i="5373"/>
  <c r="H41" i="5373"/>
  <c r="H45" i="5373"/>
  <c r="H37" i="5371"/>
  <c r="H4" i="5371"/>
  <c r="C17" i="5371"/>
  <c r="H26" i="5371"/>
  <c r="H41" i="5371"/>
  <c r="B23" i="5371"/>
  <c r="H29" i="5371"/>
  <c r="H45" i="5371"/>
  <c r="H20" i="5371"/>
  <c r="H21" i="5371"/>
  <c r="H27" i="5371"/>
  <c r="H34" i="5371"/>
  <c r="H50" i="5371"/>
  <c r="H9" i="5371"/>
  <c r="H15" i="5371"/>
  <c r="H17" i="5371"/>
  <c r="C19" i="5371"/>
  <c r="H22" i="5371"/>
  <c r="H31" i="5371"/>
  <c r="H35" i="5371"/>
  <c r="H39" i="5371"/>
  <c r="H43" i="5371"/>
  <c r="H47" i="5371"/>
  <c r="H51" i="5371"/>
  <c r="H24" i="5371"/>
  <c r="H30" i="5371"/>
  <c r="H38" i="5371"/>
  <c r="H42" i="5371"/>
  <c r="H46" i="5371"/>
  <c r="H8" i="5371"/>
  <c r="H5" i="5371"/>
  <c r="H11" i="5371"/>
  <c r="H14" i="5371"/>
  <c r="H19" i="5371"/>
  <c r="H6" i="5371"/>
  <c r="H23" i="5371"/>
  <c r="H25" i="5371"/>
  <c r="H28" i="5371"/>
  <c r="H32" i="5371"/>
  <c r="H36" i="5371"/>
  <c r="H40" i="5371"/>
  <c r="H44" i="5371"/>
  <c r="H48" i="5371"/>
  <c r="O17" i="5359" l="1"/>
  <c r="O18" i="5367"/>
  <c r="O20" i="5369" l="1"/>
  <c r="O18" i="5369"/>
  <c r="O15" i="5363"/>
  <c r="O20" i="5353"/>
  <c r="O24" i="5351" l="1"/>
  <c r="O16" i="5369"/>
  <c r="O21" i="5361"/>
  <c r="O15" i="5369"/>
  <c r="O17" i="5369" l="1"/>
  <c r="O19" i="5369"/>
  <c r="C27" i="5369"/>
  <c r="B24" i="5369"/>
  <c r="C20" i="5369"/>
  <c r="B17" i="5369"/>
  <c r="H7" i="5369" s="1"/>
  <c r="C16" i="5369"/>
  <c r="C15" i="5369"/>
  <c r="C14" i="5369"/>
  <c r="C13" i="5369"/>
  <c r="O12" i="5369"/>
  <c r="C12" i="5369"/>
  <c r="O11" i="5369"/>
  <c r="C11" i="5369"/>
  <c r="O10" i="5369"/>
  <c r="C10" i="5369"/>
  <c r="C9" i="5369"/>
  <c r="C8" i="5369"/>
  <c r="O7" i="5369"/>
  <c r="C7" i="5369"/>
  <c r="O6" i="5369"/>
  <c r="B6" i="5369"/>
  <c r="O5" i="5369"/>
  <c r="B5" i="5369"/>
  <c r="O4" i="5369"/>
  <c r="O3" i="5369"/>
  <c r="O2" i="5369"/>
  <c r="H3" i="5369"/>
  <c r="O21" i="5357"/>
  <c r="O18" i="5359"/>
  <c r="O19" i="5349"/>
  <c r="H4" i="5369" l="1"/>
  <c r="H14" i="5369"/>
  <c r="H37" i="5369"/>
  <c r="C17" i="5369"/>
  <c r="H41" i="5369"/>
  <c r="H2" i="5369"/>
  <c r="H27" i="5369"/>
  <c r="H8" i="5369"/>
  <c r="H18" i="5369"/>
  <c r="H20" i="5369"/>
  <c r="H13" i="5369"/>
  <c r="H12" i="5369"/>
  <c r="H6" i="5369"/>
  <c r="H15" i="5369"/>
  <c r="H17" i="5369"/>
  <c r="C18" i="5369"/>
  <c r="B23" i="5369"/>
  <c r="H29" i="5369"/>
  <c r="H45" i="5369"/>
  <c r="H5" i="5369"/>
  <c r="H16" i="5369"/>
  <c r="H19" i="5369"/>
  <c r="H10" i="5369"/>
  <c r="C19" i="5369"/>
  <c r="H33" i="5369"/>
  <c r="H49" i="5369"/>
  <c r="H22" i="5369"/>
  <c r="H24" i="5369"/>
  <c r="H26" i="5369"/>
  <c r="H28" i="5369"/>
  <c r="H30" i="5369"/>
  <c r="H34" i="5369"/>
  <c r="H38" i="5369"/>
  <c r="H42" i="5369"/>
  <c r="H46" i="5369"/>
  <c r="H50" i="5369"/>
  <c r="H31" i="5369"/>
  <c r="H35" i="5369"/>
  <c r="H39" i="5369"/>
  <c r="H43" i="5369"/>
  <c r="H47" i="5369"/>
  <c r="H51" i="5369"/>
  <c r="H21" i="5369"/>
  <c r="H23" i="5369"/>
  <c r="H25" i="5369"/>
  <c r="H11" i="5369"/>
  <c r="H9" i="5369"/>
  <c r="H32" i="5369"/>
  <c r="H36" i="5369"/>
  <c r="H40" i="5369"/>
  <c r="H44" i="5369"/>
  <c r="H48" i="5369"/>
  <c r="O20" i="5359" l="1"/>
  <c r="O16" i="5355"/>
  <c r="O21" i="5363"/>
  <c r="O20" i="5363"/>
  <c r="O22" i="5351" l="1"/>
  <c r="O16" i="5367"/>
  <c r="O20" i="5367" l="1"/>
  <c r="O15" i="5367"/>
  <c r="O15" i="5357"/>
  <c r="O22" i="5355"/>
  <c r="O17" i="5365" l="1"/>
  <c r="O22" i="5361"/>
  <c r="O15" i="5365"/>
  <c r="O21" i="5367"/>
  <c r="O15" i="5353"/>
  <c r="O18" i="5363"/>
  <c r="O17" i="5349"/>
  <c r="O19" i="5367"/>
  <c r="O17" i="5367"/>
  <c r="C27" i="5367"/>
  <c r="B24" i="5367"/>
  <c r="C20" i="5367"/>
  <c r="B17" i="5367"/>
  <c r="H6" i="5367" s="1"/>
  <c r="C16" i="5367"/>
  <c r="C15" i="5367"/>
  <c r="C14" i="5367"/>
  <c r="C13" i="5367"/>
  <c r="O12" i="5367"/>
  <c r="C12" i="5367"/>
  <c r="O11" i="5367"/>
  <c r="C11" i="5367"/>
  <c r="O10" i="5367"/>
  <c r="C10" i="5367"/>
  <c r="C9" i="5367"/>
  <c r="C8" i="5367"/>
  <c r="O7" i="5367"/>
  <c r="C7" i="5367"/>
  <c r="O6" i="5367"/>
  <c r="B6" i="5367"/>
  <c r="O5" i="5367"/>
  <c r="B5" i="5367"/>
  <c r="O4" i="5367"/>
  <c r="O3" i="5367"/>
  <c r="O2" i="5367"/>
  <c r="O16" i="5365"/>
  <c r="O18" i="5365"/>
  <c r="C27" i="5365"/>
  <c r="B24" i="5365"/>
  <c r="C20" i="5365"/>
  <c r="B17" i="5365"/>
  <c r="H7" i="5365" s="1"/>
  <c r="C16" i="5365"/>
  <c r="C15" i="5365"/>
  <c r="C14" i="5365"/>
  <c r="C13" i="5365"/>
  <c r="O12" i="5365"/>
  <c r="C12" i="5365"/>
  <c r="O11" i="5365"/>
  <c r="C11" i="5365"/>
  <c r="O10" i="5365"/>
  <c r="C10" i="5365"/>
  <c r="C9" i="5365"/>
  <c r="C8" i="5365"/>
  <c r="O7" i="5365"/>
  <c r="C7" i="5365"/>
  <c r="O6" i="5365"/>
  <c r="B6" i="5365"/>
  <c r="O5" i="5365"/>
  <c r="B5" i="5365"/>
  <c r="O4" i="5365"/>
  <c r="O3" i="5365"/>
  <c r="O2" i="5365"/>
  <c r="O22" i="5363"/>
  <c r="O23" i="5363"/>
  <c r="O15" i="5351"/>
  <c r="O17" i="5351"/>
  <c r="O26" i="5349"/>
  <c r="H2" i="5367" l="1"/>
  <c r="H13" i="5365"/>
  <c r="H17" i="5365"/>
  <c r="B23" i="5365"/>
  <c r="H29" i="5365"/>
  <c r="H45" i="5365"/>
  <c r="H5" i="5365"/>
  <c r="H3" i="5365"/>
  <c r="H14" i="5365"/>
  <c r="C18" i="5365"/>
  <c r="H27" i="5365"/>
  <c r="H37" i="5365"/>
  <c r="C17" i="5365"/>
  <c r="H33" i="5365"/>
  <c r="H49" i="5365"/>
  <c r="H2" i="5365"/>
  <c r="H4" i="5365"/>
  <c r="H19" i="5365"/>
  <c r="H41" i="5365"/>
  <c r="H3" i="5367"/>
  <c r="H4" i="5367"/>
  <c r="H10" i="5367"/>
  <c r="H7" i="5367"/>
  <c r="H15" i="5367"/>
  <c r="H19" i="5367"/>
  <c r="H21" i="5367"/>
  <c r="C19" i="5367"/>
  <c r="H31" i="5367"/>
  <c r="H39" i="5367"/>
  <c r="H27" i="5367"/>
  <c r="H33" i="5367"/>
  <c r="H41" i="5367"/>
  <c r="H35" i="5367"/>
  <c r="H9" i="5367"/>
  <c r="H16" i="5367"/>
  <c r="H20" i="5367"/>
  <c r="C17" i="5367"/>
  <c r="H11" i="5367"/>
  <c r="H45" i="5367"/>
  <c r="H13" i="5367"/>
  <c r="H5" i="5367"/>
  <c r="H14" i="5367"/>
  <c r="H18" i="5367"/>
  <c r="C18" i="5367"/>
  <c r="B23" i="5367"/>
  <c r="H29" i="5367"/>
  <c r="H37" i="5367"/>
  <c r="H49" i="5367"/>
  <c r="H22" i="5367"/>
  <c r="H23" i="5367"/>
  <c r="H25" i="5367"/>
  <c r="H28" i="5367"/>
  <c r="H30" i="5367"/>
  <c r="H34" i="5367"/>
  <c r="H38" i="5367"/>
  <c r="H42" i="5367"/>
  <c r="H46" i="5367"/>
  <c r="H50" i="5367"/>
  <c r="H43" i="5367"/>
  <c r="H47" i="5367"/>
  <c r="H51" i="5367"/>
  <c r="H12" i="5367"/>
  <c r="H17" i="5367"/>
  <c r="H24" i="5367"/>
  <c r="H26" i="5367"/>
  <c r="H8" i="5367"/>
  <c r="H32" i="5367"/>
  <c r="H36" i="5367"/>
  <c r="H40" i="5367"/>
  <c r="H44" i="5367"/>
  <c r="H48" i="5367"/>
  <c r="H21" i="5365"/>
  <c r="H23" i="5365"/>
  <c r="H26" i="5365"/>
  <c r="H28" i="5365"/>
  <c r="H30" i="5365"/>
  <c r="H34" i="5365"/>
  <c r="H38" i="5365"/>
  <c r="H42" i="5365"/>
  <c r="H46" i="5365"/>
  <c r="H50" i="5365"/>
  <c r="H9" i="5365"/>
  <c r="H16" i="5365"/>
  <c r="H18" i="5365"/>
  <c r="C19" i="5365"/>
  <c r="H24" i="5365"/>
  <c r="H31" i="5365"/>
  <c r="H35" i="5365"/>
  <c r="H39" i="5365"/>
  <c r="H43" i="5365"/>
  <c r="H47" i="5365"/>
  <c r="H51" i="5365"/>
  <c r="H12" i="5365"/>
  <c r="H8" i="5365"/>
  <c r="H10" i="5365"/>
  <c r="H15" i="5365"/>
  <c r="H20" i="5365"/>
  <c r="H22" i="5365"/>
  <c r="H25" i="5365"/>
  <c r="H11" i="5365"/>
  <c r="H6" i="5365"/>
  <c r="H32" i="5365"/>
  <c r="H36" i="5365"/>
  <c r="H40" i="5365"/>
  <c r="H44" i="5365"/>
  <c r="H48" i="5365"/>
  <c r="O16" i="5363" l="1"/>
  <c r="O20" i="5361"/>
  <c r="O16" i="5361"/>
  <c r="O17" i="5353"/>
  <c r="O19" i="5359" l="1"/>
  <c r="O17" i="5357"/>
  <c r="O17" i="5361"/>
  <c r="O18" i="5361"/>
  <c r="O15" i="5359" l="1"/>
  <c r="O16" i="5357"/>
  <c r="O21" i="5355"/>
  <c r="O19" i="5355"/>
  <c r="O17" i="5363"/>
  <c r="O19" i="5363"/>
  <c r="C27" i="5363"/>
  <c r="B24" i="5363"/>
  <c r="C20" i="5363"/>
  <c r="B17" i="5363"/>
  <c r="H5" i="5363" s="1"/>
  <c r="C16" i="5363"/>
  <c r="C15" i="5363"/>
  <c r="C14" i="5363"/>
  <c r="C13" i="5363"/>
  <c r="O12" i="5363"/>
  <c r="C12" i="5363"/>
  <c r="O11" i="5363"/>
  <c r="C11" i="5363"/>
  <c r="O10" i="5363"/>
  <c r="C10" i="5363"/>
  <c r="C9" i="5363"/>
  <c r="C8" i="5363"/>
  <c r="O7" i="5363"/>
  <c r="C7" i="5363"/>
  <c r="O6" i="5363"/>
  <c r="B6" i="5363"/>
  <c r="O5" i="5363"/>
  <c r="B5" i="5363"/>
  <c r="O4" i="5363"/>
  <c r="O3" i="5363"/>
  <c r="O2" i="5363"/>
  <c r="O22" i="5357"/>
  <c r="O21" i="5353"/>
  <c r="O22" i="5349"/>
  <c r="H21" i="5363" l="1"/>
  <c r="H3" i="5363"/>
  <c r="H2" i="5363"/>
  <c r="H10" i="5363"/>
  <c r="H31" i="5363"/>
  <c r="H38" i="5363"/>
  <c r="H4" i="5363"/>
  <c r="H9" i="5363"/>
  <c r="H27" i="5363"/>
  <c r="H12" i="5363"/>
  <c r="H14" i="5363"/>
  <c r="H20" i="5363"/>
  <c r="C18" i="5363"/>
  <c r="B23" i="5363"/>
  <c r="H22" i="5363"/>
  <c r="H45" i="5363"/>
  <c r="C17" i="5363"/>
  <c r="H41" i="5363"/>
  <c r="H11" i="5363"/>
  <c r="H7" i="5363"/>
  <c r="H6" i="5363"/>
  <c r="H25" i="5363"/>
  <c r="H26" i="5363"/>
  <c r="H15" i="5363"/>
  <c r="C19" i="5363"/>
  <c r="H34" i="5363"/>
  <c r="H49" i="5363"/>
  <c r="H28" i="5363"/>
  <c r="H29" i="5363"/>
  <c r="H18" i="5363"/>
  <c r="H32" i="5363"/>
  <c r="H13" i="5363"/>
  <c r="H35" i="5363"/>
  <c r="H39" i="5363"/>
  <c r="H42" i="5363"/>
  <c r="H46" i="5363"/>
  <c r="H50" i="5363"/>
  <c r="H23" i="5363"/>
  <c r="H36" i="5363"/>
  <c r="H40" i="5363"/>
  <c r="H43" i="5363"/>
  <c r="H47" i="5363"/>
  <c r="H51" i="5363"/>
  <c r="H17" i="5363"/>
  <c r="H16" i="5363"/>
  <c r="H30" i="5363"/>
  <c r="H19" i="5363"/>
  <c r="H8" i="5363"/>
  <c r="H33" i="5363"/>
  <c r="H37" i="5363"/>
  <c r="H24" i="5363"/>
  <c r="H44" i="5363"/>
  <c r="H48" i="5363"/>
  <c r="O18" i="5355" l="1"/>
  <c r="O19" i="5361"/>
  <c r="O15" i="5361"/>
  <c r="C27" i="5361"/>
  <c r="B24" i="5361"/>
  <c r="C20" i="5361"/>
  <c r="B17" i="5361"/>
  <c r="H6" i="5361" s="1"/>
  <c r="C16" i="5361"/>
  <c r="C15" i="5361"/>
  <c r="C14" i="5361"/>
  <c r="C13" i="5361"/>
  <c r="O12" i="5361"/>
  <c r="C12" i="5361"/>
  <c r="O11" i="5361"/>
  <c r="C11" i="5361"/>
  <c r="O10" i="5361"/>
  <c r="C10" i="5361"/>
  <c r="C9" i="5361"/>
  <c r="C8" i="5361"/>
  <c r="O7" i="5361"/>
  <c r="C7" i="5361"/>
  <c r="O6" i="5361"/>
  <c r="B6" i="5361"/>
  <c r="O5" i="5361"/>
  <c r="B5" i="5361"/>
  <c r="O4" i="5361"/>
  <c r="O3" i="5361"/>
  <c r="O2" i="5361"/>
  <c r="O20" i="5351"/>
  <c r="O18" i="5349"/>
  <c r="O21" i="5359"/>
  <c r="O18" i="5353"/>
  <c r="O19" i="5353"/>
  <c r="O20" i="5357"/>
  <c r="O22" i="5359"/>
  <c r="O23" i="5359"/>
  <c r="C27" i="5359"/>
  <c r="B24" i="5359"/>
  <c r="C20" i="5359"/>
  <c r="B17" i="5359"/>
  <c r="H4" i="5359" s="1"/>
  <c r="C16" i="5359"/>
  <c r="C15" i="5359"/>
  <c r="C14" i="5359"/>
  <c r="C13" i="5359"/>
  <c r="O12" i="5359"/>
  <c r="C12" i="5359"/>
  <c r="O11" i="5359"/>
  <c r="C11" i="5359"/>
  <c r="O10" i="5359"/>
  <c r="C10" i="5359"/>
  <c r="C9" i="5359"/>
  <c r="C8" i="5359"/>
  <c r="O7" i="5359"/>
  <c r="C7" i="5359"/>
  <c r="O6" i="5359"/>
  <c r="B6" i="5359"/>
  <c r="O5" i="5359"/>
  <c r="B5" i="5359"/>
  <c r="O4" i="5359"/>
  <c r="O3" i="5359"/>
  <c r="O2" i="5359"/>
  <c r="O19" i="5357"/>
  <c r="O18" i="5357"/>
  <c r="C27" i="5357"/>
  <c r="B24" i="5357"/>
  <c r="C20" i="5357"/>
  <c r="B17" i="5357"/>
  <c r="H5" i="5357" s="1"/>
  <c r="C16" i="5357"/>
  <c r="C15" i="5357"/>
  <c r="C14" i="5357"/>
  <c r="C13" i="5357"/>
  <c r="O12" i="5357"/>
  <c r="C12" i="5357"/>
  <c r="O11" i="5357"/>
  <c r="C11" i="5357"/>
  <c r="O10" i="5357"/>
  <c r="C10" i="5357"/>
  <c r="C9" i="5357"/>
  <c r="C8" i="5357"/>
  <c r="O7" i="5357"/>
  <c r="C7" i="5357"/>
  <c r="O6" i="5357"/>
  <c r="B6" i="5357"/>
  <c r="O5" i="5357"/>
  <c r="B5" i="5357"/>
  <c r="O4" i="5357"/>
  <c r="O3" i="5357"/>
  <c r="O2" i="5357"/>
  <c r="O19" i="5351"/>
  <c r="O23" i="5351"/>
  <c r="O21" i="5349"/>
  <c r="O23" i="5349"/>
  <c r="H5" i="5359" l="1"/>
  <c r="H23" i="5359"/>
  <c r="H12" i="5359"/>
  <c r="C18" i="5359"/>
  <c r="H37" i="5359"/>
  <c r="H21" i="5359"/>
  <c r="H41" i="5359"/>
  <c r="H2" i="5359"/>
  <c r="H3" i="5359"/>
  <c r="H16" i="5359"/>
  <c r="B23" i="5361"/>
  <c r="H31" i="5361"/>
  <c r="H46" i="5361"/>
  <c r="H2" i="5361"/>
  <c r="H14" i="5361"/>
  <c r="C18" i="5361"/>
  <c r="H29" i="5361"/>
  <c r="H38" i="5361"/>
  <c r="H4" i="5361"/>
  <c r="H3" i="5361"/>
  <c r="H15" i="5361"/>
  <c r="H42" i="5361"/>
  <c r="H8" i="5361"/>
  <c r="H22" i="5361"/>
  <c r="H7" i="5361"/>
  <c r="C17" i="5361"/>
  <c r="H34" i="5361"/>
  <c r="H50" i="5361"/>
  <c r="H26" i="5361"/>
  <c r="H30" i="5361"/>
  <c r="H35" i="5361"/>
  <c r="H39" i="5361"/>
  <c r="H43" i="5361"/>
  <c r="H47" i="5361"/>
  <c r="H10" i="5361"/>
  <c r="H21" i="5361"/>
  <c r="H23" i="5361"/>
  <c r="C19" i="5361"/>
  <c r="H17" i="5361"/>
  <c r="H32" i="5361"/>
  <c r="H36" i="5361"/>
  <c r="H40" i="5361"/>
  <c r="H44" i="5361"/>
  <c r="H48" i="5361"/>
  <c r="H19" i="5361"/>
  <c r="H24" i="5361"/>
  <c r="H28" i="5361"/>
  <c r="H18" i="5361"/>
  <c r="H51" i="5361"/>
  <c r="H11" i="5361"/>
  <c r="H5" i="5361"/>
  <c r="H12" i="5361"/>
  <c r="H20" i="5361"/>
  <c r="H16" i="5361"/>
  <c r="H25" i="5361"/>
  <c r="H27" i="5361"/>
  <c r="H13" i="5361"/>
  <c r="H9" i="5361"/>
  <c r="H33" i="5361"/>
  <c r="H37" i="5361"/>
  <c r="H41" i="5361"/>
  <c r="H45" i="5361"/>
  <c r="H49" i="5361"/>
  <c r="H20" i="5359"/>
  <c r="H38" i="5357"/>
  <c r="H10" i="5357"/>
  <c r="H11" i="5357"/>
  <c r="H27" i="5357"/>
  <c r="H24" i="5357"/>
  <c r="H6" i="5357"/>
  <c r="C18" i="5357"/>
  <c r="H3" i="5357"/>
  <c r="H2" i="5357"/>
  <c r="H23" i="5357"/>
  <c r="H4" i="5357"/>
  <c r="H14" i="5357"/>
  <c r="H42" i="5357"/>
  <c r="B23" i="5359"/>
  <c r="H30" i="5359"/>
  <c r="H45" i="5359"/>
  <c r="H7" i="5359"/>
  <c r="C17" i="5359"/>
  <c r="H33" i="5359"/>
  <c r="H49" i="5359"/>
  <c r="H25" i="5359"/>
  <c r="H28" i="5359"/>
  <c r="H18" i="5359"/>
  <c r="H38" i="5359"/>
  <c r="H42" i="5359"/>
  <c r="H46" i="5359"/>
  <c r="H8" i="5359"/>
  <c r="H19" i="5359"/>
  <c r="H24" i="5359"/>
  <c r="C19" i="5359"/>
  <c r="H13" i="5359"/>
  <c r="H31" i="5359"/>
  <c r="H35" i="5359"/>
  <c r="H39" i="5359"/>
  <c r="H43" i="5359"/>
  <c r="H47" i="5359"/>
  <c r="H51" i="5359"/>
  <c r="H26" i="5359"/>
  <c r="H29" i="5359"/>
  <c r="H34" i="5359"/>
  <c r="H50" i="5359"/>
  <c r="H9" i="5359"/>
  <c r="H6" i="5359"/>
  <c r="H10" i="5359"/>
  <c r="H22" i="5359"/>
  <c r="H17" i="5359"/>
  <c r="H15" i="5359"/>
  <c r="H27" i="5359"/>
  <c r="H14" i="5359"/>
  <c r="H11" i="5359"/>
  <c r="H32" i="5359"/>
  <c r="H36" i="5359"/>
  <c r="H40" i="5359"/>
  <c r="H44" i="5359"/>
  <c r="H48" i="5359"/>
  <c r="B23" i="5357"/>
  <c r="H33" i="5357"/>
  <c r="H46" i="5357"/>
  <c r="H8" i="5357"/>
  <c r="C17" i="5357"/>
  <c r="H34" i="5357"/>
  <c r="H50" i="5357"/>
  <c r="H29" i="5357"/>
  <c r="H30" i="5357"/>
  <c r="H31" i="5357"/>
  <c r="H32" i="5357"/>
  <c r="H19" i="5357"/>
  <c r="H35" i="5357"/>
  <c r="H39" i="5357"/>
  <c r="H43" i="5357"/>
  <c r="H47" i="5357"/>
  <c r="H51" i="5357"/>
  <c r="H17" i="5357"/>
  <c r="H28" i="5357"/>
  <c r="C19" i="5357"/>
  <c r="H16" i="5357"/>
  <c r="H21" i="5357"/>
  <c r="H36" i="5357"/>
  <c r="H40" i="5357"/>
  <c r="H44" i="5357"/>
  <c r="H48" i="5357"/>
  <c r="H22" i="5357"/>
  <c r="H7" i="5357"/>
  <c r="H13" i="5357"/>
  <c r="H26" i="5357"/>
  <c r="H18" i="5357"/>
  <c r="H15" i="5357"/>
  <c r="H20" i="5357"/>
  <c r="H12" i="5357"/>
  <c r="H9" i="5357"/>
  <c r="H25" i="5357"/>
  <c r="H37" i="5357"/>
  <c r="H41" i="5357"/>
  <c r="H45" i="5357"/>
  <c r="H49" i="5357"/>
  <c r="O17" i="5355" l="1"/>
  <c r="O20" i="5355"/>
  <c r="C27" i="5355"/>
  <c r="B24" i="5355"/>
  <c r="C20" i="5355"/>
  <c r="B17" i="5355"/>
  <c r="H51" i="5355" s="1"/>
  <c r="C16" i="5355"/>
  <c r="C15" i="5355"/>
  <c r="C14" i="5355"/>
  <c r="C13" i="5355"/>
  <c r="O12" i="5355"/>
  <c r="C12" i="5355"/>
  <c r="O11" i="5355"/>
  <c r="C11" i="5355"/>
  <c r="O10" i="5355"/>
  <c r="C10" i="5355"/>
  <c r="C9" i="5355"/>
  <c r="C8" i="5355"/>
  <c r="O7" i="5355"/>
  <c r="C7" i="5355"/>
  <c r="O6" i="5355"/>
  <c r="B6" i="5355"/>
  <c r="O5" i="5355"/>
  <c r="B5" i="5355"/>
  <c r="O4" i="5355"/>
  <c r="O3" i="5355"/>
  <c r="O2" i="5355"/>
  <c r="O22" i="5353"/>
  <c r="O16" i="5353"/>
  <c r="C27" i="5353"/>
  <c r="B24" i="5353"/>
  <c r="C20" i="5353"/>
  <c r="B17" i="5353"/>
  <c r="H51" i="5353" s="1"/>
  <c r="C16" i="5353"/>
  <c r="C15" i="5353"/>
  <c r="C14" i="5353"/>
  <c r="C13" i="5353"/>
  <c r="O12" i="5353"/>
  <c r="C12" i="5353"/>
  <c r="O11" i="5353"/>
  <c r="C11" i="5353"/>
  <c r="O10" i="5353"/>
  <c r="C10" i="5353"/>
  <c r="C9" i="5353"/>
  <c r="C8" i="5353"/>
  <c r="O7" i="5353"/>
  <c r="C7" i="5353"/>
  <c r="O6" i="5353"/>
  <c r="B6" i="5353"/>
  <c r="O5" i="5353"/>
  <c r="B5" i="5353"/>
  <c r="O4" i="5353"/>
  <c r="O3" i="5353"/>
  <c r="O2" i="5353"/>
  <c r="O24" i="5349"/>
  <c r="O16" i="5351"/>
  <c r="O21" i="5351"/>
  <c r="C27" i="5351"/>
  <c r="B24" i="5351"/>
  <c r="C20" i="5351"/>
  <c r="B17" i="5351"/>
  <c r="H51" i="5351" s="1"/>
  <c r="C16" i="5351"/>
  <c r="C15" i="5351"/>
  <c r="C14" i="5351"/>
  <c r="C13" i="5351"/>
  <c r="O12" i="5351"/>
  <c r="C12" i="5351"/>
  <c r="O11" i="5351"/>
  <c r="C11" i="5351"/>
  <c r="O10" i="5351"/>
  <c r="C10" i="5351"/>
  <c r="C9" i="5351"/>
  <c r="C8" i="5351"/>
  <c r="O7" i="5351"/>
  <c r="C7" i="5351"/>
  <c r="O6" i="5351"/>
  <c r="B6" i="5351"/>
  <c r="O5" i="5351"/>
  <c r="B5" i="5351"/>
  <c r="O4" i="5351"/>
  <c r="O3" i="5351"/>
  <c r="O2" i="5351"/>
  <c r="O16" i="5349"/>
  <c r="O20" i="5349"/>
  <c r="C27" i="5349"/>
  <c r="B24" i="5349"/>
  <c r="C20" i="5349"/>
  <c r="B17" i="5349"/>
  <c r="H50" i="5349" s="1"/>
  <c r="C16" i="5349"/>
  <c r="C15" i="5349"/>
  <c r="C14" i="5349"/>
  <c r="C13" i="5349"/>
  <c r="O12" i="5349"/>
  <c r="C12" i="5349"/>
  <c r="O11" i="5349"/>
  <c r="C11" i="5349"/>
  <c r="O10" i="5349"/>
  <c r="C10" i="5349"/>
  <c r="C9" i="5349"/>
  <c r="C8" i="5349"/>
  <c r="O7" i="5349"/>
  <c r="C7" i="5349"/>
  <c r="O6" i="5349"/>
  <c r="B6" i="5349"/>
  <c r="O5" i="5349"/>
  <c r="B5" i="5349"/>
  <c r="O4" i="5349"/>
  <c r="O3" i="5349"/>
  <c r="O2" i="5349"/>
  <c r="H21" i="5353" l="1"/>
  <c r="H12" i="5353"/>
  <c r="H2" i="5351"/>
  <c r="H10" i="5355"/>
  <c r="H2" i="5355"/>
  <c r="H17" i="5355"/>
  <c r="H18" i="5355"/>
  <c r="H3" i="5355"/>
  <c r="H4" i="5355"/>
  <c r="H16" i="5355"/>
  <c r="H13" i="5355"/>
  <c r="H9" i="5355"/>
  <c r="H7" i="5355"/>
  <c r="H20" i="5355"/>
  <c r="H12" i="5355"/>
  <c r="H20" i="5353"/>
  <c r="H17" i="5353"/>
  <c r="H7" i="5353"/>
  <c r="H4" i="5353"/>
  <c r="H27" i="5353"/>
  <c r="H29" i="5353"/>
  <c r="H9" i="5353"/>
  <c r="H6" i="5353"/>
  <c r="H10" i="5353"/>
  <c r="C18" i="5353"/>
  <c r="H3" i="5353"/>
  <c r="H2" i="5353"/>
  <c r="H19" i="5353"/>
  <c r="B23" i="5353"/>
  <c r="H35" i="5353"/>
  <c r="H30" i="5351"/>
  <c r="C17" i="5355"/>
  <c r="H29" i="5355"/>
  <c r="H11" i="5355"/>
  <c r="H36" i="5355"/>
  <c r="H40" i="5355"/>
  <c r="H44" i="5355"/>
  <c r="H48" i="5355"/>
  <c r="H5" i="5355"/>
  <c r="H6" i="5355"/>
  <c r="H24" i="5355"/>
  <c r="H26" i="5355"/>
  <c r="H15" i="5355"/>
  <c r="C18" i="5355"/>
  <c r="B23" i="5355"/>
  <c r="H21" i="5355"/>
  <c r="H31" i="5355"/>
  <c r="H33" i="5355"/>
  <c r="H37" i="5355"/>
  <c r="H41" i="5355"/>
  <c r="H45" i="5355"/>
  <c r="H49" i="5355"/>
  <c r="H27" i="5355"/>
  <c r="H28" i="5355"/>
  <c r="H30" i="5355"/>
  <c r="H22" i="5355"/>
  <c r="H23" i="5355"/>
  <c r="H34" i="5355"/>
  <c r="H38" i="5355"/>
  <c r="H42" i="5355"/>
  <c r="H46" i="5355"/>
  <c r="H50" i="5355"/>
  <c r="H8" i="5355"/>
  <c r="H25" i="5355"/>
  <c r="H19" i="5355"/>
  <c r="C19" i="5355"/>
  <c r="H14" i="5355"/>
  <c r="H32" i="5355"/>
  <c r="H35" i="5355"/>
  <c r="H39" i="5355"/>
  <c r="H43" i="5355"/>
  <c r="H47" i="5355"/>
  <c r="H13" i="5353"/>
  <c r="H44" i="5353"/>
  <c r="H8" i="5353"/>
  <c r="H22" i="5353"/>
  <c r="H23" i="5353"/>
  <c r="C17" i="5353"/>
  <c r="H14" i="5353"/>
  <c r="H45" i="5353"/>
  <c r="H11" i="5353"/>
  <c r="H38" i="5353"/>
  <c r="H49" i="5353"/>
  <c r="H15" i="5353"/>
  <c r="H34" i="5353"/>
  <c r="H40" i="5353"/>
  <c r="H50" i="5353"/>
  <c r="H36" i="5353"/>
  <c r="H41" i="5353"/>
  <c r="H46" i="5353"/>
  <c r="H18" i="5353"/>
  <c r="C19" i="5353"/>
  <c r="H24" i="5353"/>
  <c r="H33" i="5353"/>
  <c r="H26" i="5353"/>
  <c r="H37" i="5353"/>
  <c r="H42" i="5353"/>
  <c r="H48" i="5353"/>
  <c r="H5" i="5353"/>
  <c r="H30" i="5353"/>
  <c r="H31" i="5353"/>
  <c r="H32" i="5353"/>
  <c r="H25" i="5353"/>
  <c r="H16" i="5353"/>
  <c r="H28" i="5353"/>
  <c r="H39" i="5353"/>
  <c r="H43" i="5353"/>
  <c r="H47" i="5353"/>
  <c r="C17" i="5349"/>
  <c r="H2" i="5349"/>
  <c r="H4" i="5349"/>
  <c r="H3" i="5349"/>
  <c r="H11" i="5349"/>
  <c r="H36" i="5351"/>
  <c r="H41" i="5351"/>
  <c r="H4" i="5351"/>
  <c r="C18" i="5351"/>
  <c r="H13" i="5351"/>
  <c r="H20" i="5351"/>
  <c r="H46" i="5351"/>
  <c r="H6" i="5351"/>
  <c r="H17" i="5351"/>
  <c r="H14" i="5351"/>
  <c r="H26" i="5351"/>
  <c r="H16" i="5351"/>
  <c r="H25" i="5351"/>
  <c r="H48" i="5351"/>
  <c r="H8" i="5351"/>
  <c r="H22" i="5351"/>
  <c r="H23" i="5351"/>
  <c r="C17" i="5351"/>
  <c r="H15" i="5351"/>
  <c r="B23" i="5351"/>
  <c r="H27" i="5351"/>
  <c r="H38" i="5351"/>
  <c r="H44" i="5351"/>
  <c r="H49" i="5351"/>
  <c r="H11" i="5351"/>
  <c r="H3" i="5351"/>
  <c r="C19" i="5351"/>
  <c r="H33" i="5351"/>
  <c r="H21" i="5351"/>
  <c r="H37" i="5351"/>
  <c r="H42" i="5351"/>
  <c r="H5" i="5351"/>
  <c r="H10" i="5351"/>
  <c r="H7" i="5351"/>
  <c r="H12" i="5351"/>
  <c r="H29" i="5351"/>
  <c r="H19" i="5351"/>
  <c r="H9" i="5351"/>
  <c r="H35" i="5351"/>
  <c r="H40" i="5351"/>
  <c r="H45" i="5351"/>
  <c r="H50" i="5351"/>
  <c r="H31" i="5351"/>
  <c r="H32" i="5351"/>
  <c r="H24" i="5351"/>
  <c r="H34" i="5351"/>
  <c r="H18" i="5351"/>
  <c r="H28" i="5351"/>
  <c r="H39" i="5351"/>
  <c r="H43" i="5351"/>
  <c r="H47" i="5351"/>
  <c r="H34" i="5349"/>
  <c r="H35" i="5349"/>
  <c r="H28" i="5349"/>
  <c r="H29" i="5349"/>
  <c r="H17" i="5349"/>
  <c r="H31" i="5349"/>
  <c r="H40" i="5349"/>
  <c r="H43" i="5349"/>
  <c r="H47" i="5349"/>
  <c r="H51" i="5349"/>
  <c r="H8" i="5349"/>
  <c r="H20" i="5349"/>
  <c r="H26" i="5349"/>
  <c r="C19" i="5349"/>
  <c r="H14" i="5349"/>
  <c r="H22" i="5349"/>
  <c r="H37" i="5349"/>
  <c r="H41" i="5349"/>
  <c r="H44" i="5349"/>
  <c r="H48" i="5349"/>
  <c r="H19" i="5349"/>
  <c r="H10" i="5349"/>
  <c r="H6" i="5349"/>
  <c r="H12" i="5349"/>
  <c r="H23" i="5349"/>
  <c r="H18" i="5349"/>
  <c r="H15" i="5349"/>
  <c r="H27" i="5349"/>
  <c r="H13" i="5349"/>
  <c r="H9" i="5349"/>
  <c r="H24" i="5349"/>
  <c r="H38" i="5349"/>
  <c r="H32" i="5349"/>
  <c r="H45" i="5349"/>
  <c r="H49" i="5349"/>
  <c r="H5" i="5349"/>
  <c r="H7" i="5349"/>
  <c r="H21" i="5349"/>
  <c r="H33" i="5349"/>
  <c r="H16" i="5349"/>
  <c r="C18" i="5349"/>
  <c r="B23" i="5349"/>
  <c r="H25" i="5349"/>
  <c r="H30" i="5349"/>
  <c r="H36" i="5349"/>
  <c r="H39" i="5349"/>
  <c r="H42" i="5349"/>
  <c r="H46" i="534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<sst xmlns="http://schemas.openxmlformats.org/spreadsheetml/2006/main" count="3211" uniqueCount="237">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</sst>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全体!$K$2:$K$530</c:f>
              <c:numCache>
                <c:formatCode>General</c:formatCode>
                <c:ptCount val="5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</c:numCache>
            </c:numRef>
          </c:xVal>
          <c:yVal>
            <c:numRef>
              <c:f>全体!$L$2:$L$530</c:f>
              <c:numCache>
                <c:formatCode>\+0.0;\-0.0;\±0</c:formatCode>
                <c:ptCount val="52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37.400000000000006</c:v>
                </c:pt>
                <c:pt idx="527">
                  <c:v>-5.5999999999999943</c:v>
                </c:pt>
                <c:pt idx="528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2-463D-89A1-B83358BFB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-15.151515151515152</c:v>
                </c:pt>
                <c:pt idx="1">
                  <c:v>-7.7519379844961236</c:v>
                </c:pt>
                <c:pt idx="2">
                  <c:v>12.269938650306749</c:v>
                </c:pt>
                <c:pt idx="3">
                  <c:v>6.8027210884353737</c:v>
                </c:pt>
                <c:pt idx="4">
                  <c:v>-15.151515151515152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C-4F9F-A36B-2D59FF6E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だいち!$L$2:$L$119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1509.3000000000011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6-45A4-9EE3-89C56C633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1703.4188034188035</c:v>
                </c:pt>
                <c:pt idx="1">
                  <c:v>1350</c:v>
                </c:pt>
                <c:pt idx="2">
                  <c:v>1535.7798165137615</c:v>
                </c:pt>
                <c:pt idx="3">
                  <c:v>2415.151515151515</c:v>
                </c:pt>
                <c:pt idx="4">
                  <c:v>871.26436781609198</c:v>
                </c:pt>
                <c:pt idx="5">
                  <c:v>374.02597402597405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3-4297-A561-17FC5A8FB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0-4704-80C0-AA9F69F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7-48E2-8D56-9B22A45E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ただ!$L$2:$L$65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B-4A9F-8FFE-BE65E4F2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-2131.7460317460318</c:v>
                </c:pt>
                <c:pt idx="1">
                  <c:v>-1208.1967213114754</c:v>
                </c:pt>
                <c:pt idx="2">
                  <c:v>-1036.8421052631579</c:v>
                </c:pt>
                <c:pt idx="3">
                  <c:v>-5836.7346938775509</c:v>
                </c:pt>
                <c:pt idx="4">
                  <c:v>-1493.0232558139535</c:v>
                </c:pt>
                <c:pt idx="5">
                  <c:v>-1722.5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C-43B6-A3FE-B1AD94716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6-4A35-A5B5-C39E1C58C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-922.22222222222217</c:v>
                </c:pt>
                <c:pt idx="1">
                  <c:v>638.02816901408448</c:v>
                </c:pt>
                <c:pt idx="2">
                  <c:v>1588.0597014925372</c:v>
                </c:pt>
                <c:pt idx="3">
                  <c:v>2305.2631578947367</c:v>
                </c:pt>
                <c:pt idx="4">
                  <c:v>-1188.2352941176471</c:v>
                </c:pt>
                <c:pt idx="5">
                  <c:v>642.55319148936167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3-4EC1-AE2F-4237D572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A-485E-B112-C8EF44B11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403.44827586206895</c:v>
                </c:pt>
                <c:pt idx="1">
                  <c:v>498.27586206896552</c:v>
                </c:pt>
                <c:pt idx="2">
                  <c:v>-1013.4615384615385</c:v>
                </c:pt>
                <c:pt idx="3">
                  <c:v>216.32653061224491</c:v>
                </c:pt>
                <c:pt idx="4">
                  <c:v>487.5</c:v>
                </c:pt>
                <c:pt idx="5">
                  <c:v>-669.04761904761904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A-479E-834A-60E49059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3-4BCA-A18F-C8CC988DA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8-4B5A-8C1E-20246559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F93-A59E-A54AEE42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962.5</c:v>
                </c:pt>
                <c:pt idx="1">
                  <c:v>618.42105263157896</c:v>
                </c:pt>
                <c:pt idx="2">
                  <c:v>-1642.8571428571429</c:v>
                </c:pt>
                <c:pt idx="3">
                  <c:v>1826.4705882352941</c:v>
                </c:pt>
                <c:pt idx="4">
                  <c:v>-1270</c:v>
                </c:pt>
                <c:pt idx="5">
                  <c:v>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1-47FC-9F4C-EE8E3AC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2-4B80-8709-CAB2929B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A-4A0E-BCDA-FBC9C8598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3BE-9105-224ED6C21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F-4052-B45F-DCA78644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9-4C52-BF0C-3F113019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5-4EEC-A322-F8E81D2A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A-4CE0-B6A2-15564B38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8-4664-8683-A65677997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E-4D0D-805A-ECB2884B9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7-4FDD-8A35-6394E109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290705182007514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09293658750142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90966576332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214995483288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05.64759036144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01.902173913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636363636363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636363636363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777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801264679313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3983739837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7427341227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759036144578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140ACD-629D-4B80-9085-8546A96F8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502EA8-D615-41B8-9F61-2DDC063E6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7E9F32-A2B8-45D8-9F54-BDC98316C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CDDC73-A07B-448F-935B-36DD0D8EA8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20C497-84AB-4410-930E-975B7D20A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518922-BC5C-4154-8202-5233006A7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A7AE9E-C26E-48DD-90E9-97DA6FD9C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45C867-6CDD-4530-B511-130BE898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5BBCBF-E051-4B63-8FA2-19EF2E9E7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FE96D3-109D-4B84-B0FE-B5DA6609B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0657A3-D661-48D3-9B1C-1B3C3CD95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CDA7A0-1647-4483-87DC-43E3C24B8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E0F10F-559F-44A6-BC31-8164344C4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A7CA7C-B34E-4621-B4AE-992FDCE8E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A2BA3B-341A-4152-A7DE-554684D5A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094034-AF4C-46DE-86C7-31477EC32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ECBE67-F6A2-4E72-BD36-6948CC133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2BBDB8-1E4E-4565-8949-4771F01F8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36AAA7-9F64-4752-A2A6-40A553441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0D614A-B7A0-455C-A9E5-89520A24A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20AB2F-9A89-40F6-B44E-31CEB1D54A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430AED-B39E-48DE-96D2-D73D23E6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1AC4B6-A4AC-4A34-951A-21E451C5F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9EC3E8-2124-47E7-853B-6B4BFAAF9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60A251-7B2B-4AB3-AB14-61051C904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E24EC8-650D-4297-B6CC-7899042A6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43607.022546296299</v>
      </c>
      <c r="C44" s="30" t="s">
        <v>130</v>
      </c>
    </row>
    <row r="45" spans="1:11" x14ac:dyDescent="0.4">
      <c r="A45" s="30" t="s">
        <v>232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43608.770729166667</v>
      </c>
      <c r="C47" s="30" t="s">
        <v>130</v>
      </c>
    </row>
    <row r="48" spans="1:11" x14ac:dyDescent="0.4">
      <c r="A48" s="30" t="s">
        <v>236</v>
      </c>
      <c r="B48" s="31">
        <v>43608.868252314816</v>
      </c>
      <c r="C48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528</v>
      </c>
    </row>
    <row r="2" spans="1:2" x14ac:dyDescent="0.4">
      <c r="A2" t="s">
        <v>127</v>
      </c>
      <c r="B2">
        <v>117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63</v>
      </c>
    </row>
    <row r="5" spans="1:2" x14ac:dyDescent="0.4">
      <c r="A5" t="s">
        <v>171</v>
      </c>
      <c r="B5">
        <v>72</v>
      </c>
    </row>
    <row r="6" spans="1:2" x14ac:dyDescent="0.4">
      <c r="A6" t="s">
        <v>172</v>
      </c>
      <c r="B6">
        <v>58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40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0.46458511986361756</v>
      </c>
      <c r="G2" s="155"/>
      <c r="H2" s="154">
        <v>0.12762287702011779</v>
      </c>
      <c r="I2" s="155"/>
      <c r="J2" s="154">
        <v>0.63554559174864056</v>
      </c>
      <c r="K2" s="155"/>
      <c r="L2" s="154">
        <v>0.24758429178350105</v>
      </c>
      <c r="M2" s="155"/>
      <c r="N2" s="154">
        <v>0.46894215780675635</v>
      </c>
      <c r="O2" s="155"/>
      <c r="P2" s="154">
        <v>0.45802267563505533</v>
      </c>
      <c r="Q2" s="155"/>
      <c r="R2" s="154">
        <v>3.8370521382326755E-4</v>
      </c>
      <c r="S2" s="155"/>
      <c r="T2" s="154">
        <v>0.22778435573846745</v>
      </c>
      <c r="U2" s="155"/>
      <c r="V2" s="154">
        <v>0.70048879005809628</v>
      </c>
      <c r="W2" s="155"/>
      <c r="X2" s="154">
        <v>0.85627887383480361</v>
      </c>
      <c r="Y2" s="155"/>
      <c r="Z2" s="154">
        <v>-0.10560998122289365</v>
      </c>
      <c r="AA2" s="155"/>
      <c r="AB2" s="154">
        <v>-0.28790691052112899</v>
      </c>
      <c r="AC2" s="155"/>
      <c r="AD2" s="154">
        <v>6.8835623938861201E-3</v>
      </c>
      <c r="AE2" s="155"/>
      <c r="AF2" s="154">
        <v>-0.47198048943840609</v>
      </c>
      <c r="AG2" s="155"/>
      <c r="AH2" s="154">
        <v>0.70651051151826016</v>
      </c>
      <c r="AI2" s="155"/>
    </row>
    <row r="3" spans="1:35" x14ac:dyDescent="0.4">
      <c r="A3" s="74">
        <v>1</v>
      </c>
      <c r="B3" s="75" t="s">
        <v>127</v>
      </c>
      <c r="C3" s="76">
        <v>1509.3000000000011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0.17948717948717949</v>
      </c>
      <c r="X3" s="77" t="s">
        <v>225</v>
      </c>
      <c r="Y3" s="80">
        <v>0.375</v>
      </c>
      <c r="Z3" s="77" t="s">
        <v>172</v>
      </c>
      <c r="AA3" s="80">
        <v>0.2874015748031496</v>
      </c>
      <c r="AB3" s="77" t="s">
        <v>225</v>
      </c>
      <c r="AC3" s="80">
        <v>1</v>
      </c>
      <c r="AD3" s="77" t="s">
        <v>127</v>
      </c>
      <c r="AE3" s="80">
        <v>0.51184834123222744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98.299999999999983</v>
      </c>
      <c r="D4" s="85" t="s">
        <v>224</v>
      </c>
      <c r="E4" s="97">
        <v>13.3</v>
      </c>
      <c r="F4" s="85" t="s">
        <v>127</v>
      </c>
      <c r="G4" s="86">
        <v>1.7264957264957266</v>
      </c>
      <c r="H4" s="85" t="s">
        <v>127</v>
      </c>
      <c r="I4" s="87">
        <v>0.50427350427350426</v>
      </c>
      <c r="J4" s="85" t="s">
        <v>224</v>
      </c>
      <c r="K4" s="87">
        <v>0</v>
      </c>
      <c r="L4" s="85" t="s">
        <v>172</v>
      </c>
      <c r="M4" s="88">
        <v>0.36220472440944884</v>
      </c>
      <c r="N4" s="85" t="s">
        <v>185</v>
      </c>
      <c r="O4" s="88">
        <v>0.10526315789473684</v>
      </c>
      <c r="P4" s="85" t="s">
        <v>171</v>
      </c>
      <c r="Q4" s="89">
        <v>9761.9883040935674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0.125</v>
      </c>
      <c r="X4" s="85" t="s">
        <v>127</v>
      </c>
      <c r="Y4" s="88">
        <v>0.32774869109947646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12.900000000000009</v>
      </c>
      <c r="F5" s="85" t="s">
        <v>177</v>
      </c>
      <c r="G5" s="86">
        <v>1.95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0.3518324607329843</v>
      </c>
      <c r="N5" s="85" t="s">
        <v>172</v>
      </c>
      <c r="O5" s="88">
        <v>0.12992125984251968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145</v>
      </c>
      <c r="W5" s="87">
        <v>0.11363636363636363</v>
      </c>
      <c r="X5" s="85" t="s">
        <v>128</v>
      </c>
      <c r="Y5" s="88">
        <v>0.29755579171094582</v>
      </c>
      <c r="Z5" s="85" t="s">
        <v>173</v>
      </c>
      <c r="AA5" s="88">
        <v>0.25360230547550433</v>
      </c>
      <c r="AB5" s="85" t="s">
        <v>177</v>
      </c>
      <c r="AC5" s="88">
        <v>0.67948717948717952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39.300000000000011</v>
      </c>
      <c r="D6" s="85" t="s">
        <v>171</v>
      </c>
      <c r="E6" s="97">
        <v>1.3652777777777776</v>
      </c>
      <c r="F6" s="85" t="s">
        <v>145</v>
      </c>
      <c r="G6" s="86">
        <v>2</v>
      </c>
      <c r="H6" s="85" t="s">
        <v>177</v>
      </c>
      <c r="I6" s="87">
        <v>0.4</v>
      </c>
      <c r="J6" s="85" t="s">
        <v>127</v>
      </c>
      <c r="K6" s="87">
        <v>0.23076923076923078</v>
      </c>
      <c r="L6" s="85" t="s">
        <v>202</v>
      </c>
      <c r="M6" s="88">
        <v>0.30434782608695654</v>
      </c>
      <c r="N6" s="85" t="s">
        <v>127</v>
      </c>
      <c r="O6" s="88">
        <v>0.14973821989528796</v>
      </c>
      <c r="P6" s="85" t="s">
        <v>129</v>
      </c>
      <c r="Q6" s="89">
        <v>9178.8135593220341</v>
      </c>
      <c r="R6" s="85" t="s">
        <v>173</v>
      </c>
      <c r="S6" s="89">
        <v>-7625.373134328358</v>
      </c>
      <c r="T6" s="85" t="s">
        <v>225</v>
      </c>
      <c r="U6" s="87">
        <v>0</v>
      </c>
      <c r="V6" s="85" t="s">
        <v>129</v>
      </c>
      <c r="W6" s="87">
        <v>0.1111111111111111</v>
      </c>
      <c r="X6" s="85" t="s">
        <v>171</v>
      </c>
      <c r="Y6" s="88">
        <v>0.28431372549019607</v>
      </c>
      <c r="Z6" s="85" t="s">
        <v>127</v>
      </c>
      <c r="AA6" s="88">
        <v>0.22094240837696336</v>
      </c>
      <c r="AB6" s="85" t="s">
        <v>186</v>
      </c>
      <c r="AC6" s="88">
        <v>0.625</v>
      </c>
      <c r="AD6" s="85" t="s">
        <v>172</v>
      </c>
      <c r="AE6" s="88">
        <v>0.43835616438356162</v>
      </c>
      <c r="AF6" s="85" t="s">
        <v>129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0.98250000000000026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0.31034482758620691</v>
      </c>
      <c r="L7" s="85" t="s">
        <v>177</v>
      </c>
      <c r="M7" s="88">
        <v>0.3</v>
      </c>
      <c r="N7" s="85" t="s">
        <v>177</v>
      </c>
      <c r="O7" s="88">
        <v>0.16060606060606061</v>
      </c>
      <c r="P7" s="85" t="s">
        <v>127</v>
      </c>
      <c r="Q7" s="89">
        <v>9063.6904761904771</v>
      </c>
      <c r="R7" s="85" t="s">
        <v>177</v>
      </c>
      <c r="S7" s="89">
        <v>-7664.1509433962265</v>
      </c>
      <c r="T7" s="85" t="s">
        <v>172</v>
      </c>
      <c r="U7" s="87">
        <v>5.1724137931034482E-2</v>
      </c>
      <c r="V7" s="85" t="s">
        <v>172</v>
      </c>
      <c r="W7" s="87">
        <v>0.10344827586206896</v>
      </c>
      <c r="X7" s="85" t="s">
        <v>145</v>
      </c>
      <c r="Y7" s="88">
        <v>0.27777777777777779</v>
      </c>
      <c r="Z7" s="85" t="s">
        <v>185</v>
      </c>
      <c r="AA7" s="88">
        <v>0.21052631578947367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186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5.3290705182007514E-15</v>
      </c>
      <c r="D8" s="85" t="s">
        <v>145</v>
      </c>
      <c r="E8" s="97">
        <v>1.0092936587501423E-17</v>
      </c>
      <c r="F8" s="85" t="s">
        <v>224</v>
      </c>
      <c r="G8" s="86">
        <v>2</v>
      </c>
      <c r="H8" s="85" t="s">
        <v>171</v>
      </c>
      <c r="I8" s="87">
        <v>0.29166666666666669</v>
      </c>
      <c r="J8" s="85" t="s">
        <v>145</v>
      </c>
      <c r="K8" s="87">
        <v>0.33333333333333331</v>
      </c>
      <c r="L8" s="85" t="s">
        <v>145</v>
      </c>
      <c r="M8" s="88">
        <v>0.29990966576332428</v>
      </c>
      <c r="N8" s="85" t="s">
        <v>145</v>
      </c>
      <c r="O8" s="88">
        <v>0.16621499548328816</v>
      </c>
      <c r="P8" s="85" t="s">
        <v>177</v>
      </c>
      <c r="Q8" s="89">
        <v>8683.8383838383834</v>
      </c>
      <c r="R8" s="85" t="s">
        <v>186</v>
      </c>
      <c r="S8" s="89">
        <v>-7700</v>
      </c>
      <c r="T8" s="85" t="s">
        <v>171</v>
      </c>
      <c r="U8" s="87">
        <v>5.5555555555555552E-2</v>
      </c>
      <c r="V8" s="85" t="s">
        <v>177</v>
      </c>
      <c r="W8" s="87">
        <v>0.1</v>
      </c>
      <c r="X8" s="85" t="s">
        <v>129</v>
      </c>
      <c r="Y8" s="88">
        <v>0.26819923371647508</v>
      </c>
      <c r="Z8" s="85" t="s">
        <v>145</v>
      </c>
      <c r="AA8" s="88">
        <v>0.20980126467931345</v>
      </c>
      <c r="AB8" s="85" t="s">
        <v>185</v>
      </c>
      <c r="AC8" s="88">
        <v>0.6</v>
      </c>
      <c r="AD8" s="85" t="s">
        <v>171</v>
      </c>
      <c r="AE8" s="88">
        <v>0.40707964601769914</v>
      </c>
      <c r="AF8" s="85" t="s">
        <v>224</v>
      </c>
      <c r="AG8" s="88">
        <v>0.5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-0.40000000000001457</v>
      </c>
      <c r="D9" s="85" t="s">
        <v>172</v>
      </c>
      <c r="E9" s="97">
        <v>-6.8965517241381825E-3</v>
      </c>
      <c r="F9" s="85" t="s">
        <v>172</v>
      </c>
      <c r="G9" s="86">
        <v>2.0517241379310347</v>
      </c>
      <c r="H9" s="85" t="s">
        <v>173</v>
      </c>
      <c r="I9" s="87">
        <v>0.27500000000000002</v>
      </c>
      <c r="J9" s="85" t="s">
        <v>128</v>
      </c>
      <c r="K9" s="87">
        <v>0.34210526315789475</v>
      </c>
      <c r="L9" s="85" t="s">
        <v>173</v>
      </c>
      <c r="M9" s="88">
        <v>0.29682997118155618</v>
      </c>
      <c r="N9" s="85" t="s">
        <v>171</v>
      </c>
      <c r="O9" s="88">
        <v>0.16666666666666666</v>
      </c>
      <c r="P9" s="85" t="s">
        <v>225</v>
      </c>
      <c r="Q9" s="89">
        <v>8666.6666666666661</v>
      </c>
      <c r="R9" s="85" t="s">
        <v>171</v>
      </c>
      <c r="S9" s="89">
        <v>-7748.0392156862745</v>
      </c>
      <c r="T9" s="85" t="s">
        <v>127</v>
      </c>
      <c r="U9" s="87">
        <v>0.1111111111111111</v>
      </c>
      <c r="V9" s="85" t="s">
        <v>128</v>
      </c>
      <c r="W9" s="87">
        <v>9.6491228070175433E-2</v>
      </c>
      <c r="X9" s="85" t="s">
        <v>185</v>
      </c>
      <c r="Y9" s="88">
        <v>0.26315789473684209</v>
      </c>
      <c r="Z9" s="85" t="s">
        <v>177</v>
      </c>
      <c r="AA9" s="88">
        <v>0.20909090909090908</v>
      </c>
      <c r="AB9" s="85" t="s">
        <v>128</v>
      </c>
      <c r="AC9" s="88">
        <v>0.5892857142857143</v>
      </c>
      <c r="AD9" s="85" t="s">
        <v>145</v>
      </c>
      <c r="AE9" s="88">
        <v>0.3907427341227126</v>
      </c>
      <c r="AF9" s="85" t="s">
        <v>145</v>
      </c>
      <c r="AG9" s="88">
        <v>0.43975903614457829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2.0555555555555554</v>
      </c>
      <c r="H10" s="85" t="s">
        <v>128</v>
      </c>
      <c r="I10" s="87">
        <v>0.27192982456140352</v>
      </c>
      <c r="J10" s="85" t="s">
        <v>171</v>
      </c>
      <c r="K10" s="87">
        <v>0.34722222222222221</v>
      </c>
      <c r="L10" s="85" t="s">
        <v>171</v>
      </c>
      <c r="M10" s="88">
        <v>0.27941176470588236</v>
      </c>
      <c r="N10" s="85" t="s">
        <v>128</v>
      </c>
      <c r="O10" s="88">
        <v>0.17003188097768332</v>
      </c>
      <c r="P10" s="85" t="s">
        <v>145</v>
      </c>
      <c r="Q10" s="89">
        <v>8605.6475903614464</v>
      </c>
      <c r="R10" s="85" t="s">
        <v>145</v>
      </c>
      <c r="S10" s="89">
        <v>-8201.902173913044</v>
      </c>
      <c r="T10" s="85" t="s">
        <v>145</v>
      </c>
      <c r="U10" s="87">
        <v>0.11363636363636363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145</v>
      </c>
      <c r="AC10" s="88">
        <v>0.58373983739837398</v>
      </c>
      <c r="AD10" s="85" t="s">
        <v>177</v>
      </c>
      <c r="AE10" s="88">
        <v>0.37681159420289856</v>
      </c>
      <c r="AF10" s="85" t="s">
        <v>171</v>
      </c>
      <c r="AG10" s="88">
        <v>0.43274853801169588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172</v>
      </c>
      <c r="I11" s="87">
        <v>0.25862068965517243</v>
      </c>
      <c r="J11" s="85" t="s">
        <v>173</v>
      </c>
      <c r="K11" s="87">
        <v>0.35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-8335.6643356643362</v>
      </c>
      <c r="T11" s="85" t="s">
        <v>128</v>
      </c>
      <c r="U11" s="87">
        <v>0.12280701754385964</v>
      </c>
      <c r="V11" s="85" t="s">
        <v>186</v>
      </c>
      <c r="W11" s="87">
        <v>0</v>
      </c>
      <c r="X11" s="85" t="s">
        <v>177</v>
      </c>
      <c r="Y11" s="88">
        <v>0.23636363636363636</v>
      </c>
      <c r="Z11" s="85" t="s">
        <v>171</v>
      </c>
      <c r="AA11" s="88">
        <v>0.184640522875817</v>
      </c>
      <c r="AB11" s="85" t="s">
        <v>127</v>
      </c>
      <c r="AC11" s="88">
        <v>0.58146964856230032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173</v>
      </c>
      <c r="G12" s="86">
        <v>2.0750000000000002</v>
      </c>
      <c r="H12" s="85" t="s">
        <v>129</v>
      </c>
      <c r="I12" s="87">
        <v>0.23809523809523808</v>
      </c>
      <c r="J12" s="85" t="s">
        <v>177</v>
      </c>
      <c r="K12" s="87">
        <v>0.35</v>
      </c>
      <c r="L12" s="85" t="s">
        <v>186</v>
      </c>
      <c r="M12" s="88">
        <v>0.26923076923076922</v>
      </c>
      <c r="N12" s="85" t="s">
        <v>173</v>
      </c>
      <c r="O12" s="88">
        <v>0.1930835734870317</v>
      </c>
      <c r="P12" s="85" t="s">
        <v>186</v>
      </c>
      <c r="Q12" s="89">
        <v>7700</v>
      </c>
      <c r="R12" s="85" t="s">
        <v>172</v>
      </c>
      <c r="S12" s="89">
        <v>-9269.69696969697</v>
      </c>
      <c r="T12" s="85" t="s">
        <v>173</v>
      </c>
      <c r="U12" s="87">
        <v>0.125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0.18172157279489903</v>
      </c>
      <c r="AB12" s="85" t="s">
        <v>171</v>
      </c>
      <c r="AC12" s="88">
        <v>0.58045977011494254</v>
      </c>
      <c r="AD12" s="85" t="s">
        <v>128</v>
      </c>
      <c r="AE12" s="88">
        <v>0.2982456140350877</v>
      </c>
      <c r="AF12" s="85" t="s">
        <v>172</v>
      </c>
      <c r="AG12" s="88">
        <v>0.41847826086956524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0.49206349206349204</v>
      </c>
      <c r="L13" s="85" t="s">
        <v>185</v>
      </c>
      <c r="M13" s="88">
        <v>0.26315789473684209</v>
      </c>
      <c r="N13" s="85" t="s">
        <v>129</v>
      </c>
      <c r="O13" s="88">
        <v>0.19731800766283525</v>
      </c>
      <c r="P13" s="85" t="s">
        <v>202</v>
      </c>
      <c r="Q13" s="89">
        <v>7438.0952380952385</v>
      </c>
      <c r="R13" s="85" t="s">
        <v>129</v>
      </c>
      <c r="S13" s="89">
        <v>-9572.8155339805817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0.16475095785440613</v>
      </c>
      <c r="AB13" s="85" t="s">
        <v>172</v>
      </c>
      <c r="AC13" s="88">
        <v>0.5752212389380531</v>
      </c>
      <c r="AD13" s="85" t="s">
        <v>129</v>
      </c>
      <c r="AE13" s="88">
        <v>0.23255813953488372</v>
      </c>
      <c r="AF13" s="85" t="s">
        <v>127</v>
      </c>
      <c r="AG13" s="88">
        <v>0.41666666666666669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-279.89999999999998</v>
      </c>
      <c r="D14" s="85" t="s">
        <v>129</v>
      </c>
      <c r="E14" s="97">
        <v>-16.080952380952375</v>
      </c>
      <c r="F14" s="85" t="s">
        <v>129</v>
      </c>
      <c r="G14" s="86">
        <v>2.253968253968254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0.22605363984674329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0.17499999999999999</v>
      </c>
      <c r="V14" s="85" t="s">
        <v>224</v>
      </c>
      <c r="W14" s="87">
        <v>0</v>
      </c>
      <c r="X14" s="85" t="s">
        <v>173</v>
      </c>
      <c r="Y14" s="88">
        <v>0.23054755043227665</v>
      </c>
      <c r="Z14" s="85" t="s">
        <v>225</v>
      </c>
      <c r="AA14" s="88">
        <v>0.125</v>
      </c>
      <c r="AB14" s="85" t="s">
        <v>129</v>
      </c>
      <c r="AC14" s="88">
        <v>0.5</v>
      </c>
      <c r="AD14" s="85" t="s">
        <v>224</v>
      </c>
      <c r="AE14" s="88">
        <v>0</v>
      </c>
      <c r="AF14" s="85" t="s">
        <v>177</v>
      </c>
      <c r="AG14" s="88">
        <v>0.41414141414141414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-1013.0999999999997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6528.260869565217</v>
      </c>
      <c r="R15" s="85" t="s">
        <v>225</v>
      </c>
      <c r="S15" s="89">
        <v>-14000</v>
      </c>
      <c r="T15" s="85" t="s">
        <v>129</v>
      </c>
      <c r="U15" s="87">
        <v>0.19047619047619047</v>
      </c>
      <c r="V15" s="85" t="s">
        <v>225</v>
      </c>
      <c r="W15" s="87">
        <v>0</v>
      </c>
      <c r="X15" s="85" t="s">
        <v>172</v>
      </c>
      <c r="Y15" s="88">
        <v>0.22244094488188976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851A-19D2-48E8-89FC-E1295470DCF3}">
  <sheetPr codeName="Sheet4"/>
  <dimension ref="A1:Q53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528</v>
      </c>
      <c r="C2" s="147"/>
      <c r="E2" s="62" t="s">
        <v>67</v>
      </c>
      <c r="F2" s="59" t="s">
        <v>23</v>
      </c>
      <c r="G2" s="46">
        <v>973</v>
      </c>
      <c r="H2" s="132">
        <f>IF(B$17=0,0,G2/B$17)</f>
        <v>0.73268072289156627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-15.151515151515152</v>
      </c>
      <c r="P2" s="118">
        <v>528</v>
      </c>
      <c r="Q2" s="102">
        <v>-8000</v>
      </c>
    </row>
    <row r="3" spans="1:17" x14ac:dyDescent="0.4">
      <c r="A3" s="55" t="s">
        <v>8</v>
      </c>
      <c r="B3" s="148">
        <v>4428</v>
      </c>
      <c r="C3" s="149"/>
      <c r="E3" s="63" t="s">
        <v>65</v>
      </c>
      <c r="F3" s="60" t="s">
        <v>21</v>
      </c>
      <c r="G3" s="47">
        <v>687</v>
      </c>
      <c r="H3" s="133">
        <f>IF(B$17=0,0,G3/B$17)</f>
        <v>0.51731927710843373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-7.7519379844961236</v>
      </c>
      <c r="P3" s="119">
        <v>516</v>
      </c>
      <c r="Q3" s="103">
        <v>-4000</v>
      </c>
    </row>
    <row r="4" spans="1:17" x14ac:dyDescent="0.4">
      <c r="A4" s="55" t="s">
        <v>6</v>
      </c>
      <c r="B4" s="150">
        <v>5.3290705182007514E-15</v>
      </c>
      <c r="C4" s="151"/>
      <c r="E4" s="63" t="s">
        <v>73</v>
      </c>
      <c r="F4" s="60" t="s">
        <v>28</v>
      </c>
      <c r="G4" s="47">
        <v>679</v>
      </c>
      <c r="H4" s="133">
        <f>IF(B$17=0,0,G4/B$17)</f>
        <v>0.5112951807228916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12.269938650306749</v>
      </c>
      <c r="P4" s="119">
        <v>489</v>
      </c>
      <c r="Q4" s="103">
        <v>6000</v>
      </c>
    </row>
    <row r="5" spans="1:17" x14ac:dyDescent="0.4">
      <c r="A5" s="55" t="s">
        <v>7</v>
      </c>
      <c r="B5" s="152">
        <f>IF(B$2=0,0,B$4/B$2)</f>
        <v>1.0092936587501423E-17</v>
      </c>
      <c r="C5" s="153"/>
      <c r="E5" s="63" t="s">
        <v>181</v>
      </c>
      <c r="F5" s="60" t="s">
        <v>182</v>
      </c>
      <c r="G5" s="47">
        <v>542</v>
      </c>
      <c r="H5" s="133">
        <f>IF(B$17=0,0,G5/B$17)</f>
        <v>0.40813253012048195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6.8027210884353737</v>
      </c>
      <c r="P5" s="119">
        <v>441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419</v>
      </c>
      <c r="H6" s="133">
        <f>IF(B$17=0,0,G6/B$17)</f>
        <v>0.31551204819277107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-15.151515151515152</v>
      </c>
      <c r="P6" s="119">
        <v>396</v>
      </c>
      <c r="Q6" s="103">
        <v>-6000</v>
      </c>
    </row>
    <row r="7" spans="1:17" x14ac:dyDescent="0.4">
      <c r="A7" s="55" t="s">
        <v>2</v>
      </c>
      <c r="B7" s="47">
        <v>176</v>
      </c>
      <c r="C7" s="39">
        <f>IF(B$2=0,0,B7/B$2)</f>
        <v>0.33333333333333331</v>
      </c>
      <c r="E7" s="63" t="s">
        <v>68</v>
      </c>
      <c r="F7" s="60" t="s">
        <v>24</v>
      </c>
      <c r="G7" s="47">
        <v>398</v>
      </c>
      <c r="H7" s="133">
        <f>IF(B$17=0,0,G7/B$17)</f>
        <v>0.2996987951807229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25</v>
      </c>
      <c r="P7" s="120">
        <v>360</v>
      </c>
      <c r="Q7" s="104">
        <v>9000</v>
      </c>
    </row>
    <row r="8" spans="1:17" x14ac:dyDescent="0.4">
      <c r="A8" s="55" t="s">
        <v>3</v>
      </c>
      <c r="B8" s="47">
        <v>176</v>
      </c>
      <c r="C8" s="39">
        <f>IF(B$2=0,0,B8/B$2)</f>
        <v>0.33333333333333331</v>
      </c>
      <c r="E8" s="63" t="s">
        <v>70</v>
      </c>
      <c r="F8" s="60" t="s">
        <v>25</v>
      </c>
      <c r="G8" s="47">
        <v>239</v>
      </c>
      <c r="H8" s="133">
        <f>IF(B$17=0,0,G8/B$17)</f>
        <v>0.17996987951807228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162</v>
      </c>
      <c r="H9" s="133">
        <f>IF(B$17=0,0,G9/B$17)</f>
        <v>0.12198795180722892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60</v>
      </c>
      <c r="C10" s="40">
        <f>IF(B$2=0,0,B10/B$2)</f>
        <v>0.11363636363636363</v>
      </c>
      <c r="E10" s="63" t="s">
        <v>66</v>
      </c>
      <c r="F10" s="60" t="s">
        <v>22</v>
      </c>
      <c r="G10" s="47">
        <v>160</v>
      </c>
      <c r="H10" s="133">
        <f>IF(B$17=0,0,G10/B$17)</f>
        <v>0.12048192771084337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-1.8659090909090912</v>
      </c>
      <c r="P10" s="118">
        <v>176</v>
      </c>
      <c r="Q10" s="106">
        <v>-328.40000000000003</v>
      </c>
    </row>
    <row r="11" spans="1:17" x14ac:dyDescent="0.4">
      <c r="A11" s="56" t="s">
        <v>140</v>
      </c>
      <c r="B11" s="48">
        <v>60</v>
      </c>
      <c r="C11" s="40">
        <f>IF(B$2=0,0,B11/B$2)</f>
        <v>0.11363636363636363</v>
      </c>
      <c r="E11" s="63" t="s">
        <v>71</v>
      </c>
      <c r="F11" s="60" t="s">
        <v>26</v>
      </c>
      <c r="G11" s="47">
        <v>139</v>
      </c>
      <c r="H11" s="133">
        <f>IF(B$17=0,0,G11/B$17)</f>
        <v>0.10466867469879518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-0.96931818181818197</v>
      </c>
      <c r="P11" s="119">
        <v>176</v>
      </c>
      <c r="Q11" s="107">
        <v>-170.60000000000002</v>
      </c>
    </row>
    <row r="12" spans="1:17" x14ac:dyDescent="0.4">
      <c r="A12" s="57" t="s">
        <v>160</v>
      </c>
      <c r="B12" s="49">
        <v>44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88</v>
      </c>
      <c r="H12" s="133">
        <f>IF(B$17=0,0,G12/B$17)</f>
        <v>6.6265060240963861E-2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2.8352272727272729</v>
      </c>
      <c r="P12" s="120">
        <v>176</v>
      </c>
      <c r="Q12" s="108">
        <v>499.00000000000006</v>
      </c>
    </row>
    <row r="13" spans="1:17" x14ac:dyDescent="0.4">
      <c r="A13" s="58" t="s">
        <v>122</v>
      </c>
      <c r="B13" s="50">
        <v>1230</v>
      </c>
      <c r="C13" s="44">
        <f>IF(B$3=0,0,B13/B$3)</f>
        <v>0.27777777777777779</v>
      </c>
      <c r="E13" s="63" t="s">
        <v>87</v>
      </c>
      <c r="F13" s="60" t="s">
        <v>42</v>
      </c>
      <c r="G13" s="47">
        <v>76</v>
      </c>
      <c r="H13" s="133">
        <f>IF(B$17=0,0,G13/B$17)</f>
        <v>5.7228915662650599E-2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929</v>
      </c>
      <c r="C14" s="39">
        <f>IF(B$3=0,0,B14/B$3)</f>
        <v>0.20980126467931345</v>
      </c>
      <c r="E14" s="63" t="s">
        <v>84</v>
      </c>
      <c r="F14" s="60" t="s">
        <v>39</v>
      </c>
      <c r="G14" s="47">
        <v>59</v>
      </c>
      <c r="H14" s="133">
        <f>IF(B$17=0,0,G14/B$17)</f>
        <v>4.4427710843373491E-2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718</v>
      </c>
      <c r="C15" s="37">
        <f>IF(B$13=0,0,B15/B$13)</f>
        <v>0.58373983739837398</v>
      </c>
      <c r="E15" s="63" t="s">
        <v>82</v>
      </c>
      <c r="F15" s="60" t="s">
        <v>37</v>
      </c>
      <c r="G15" s="47">
        <v>39</v>
      </c>
      <c r="H15" s="133">
        <f>IF(B$17=0,0,G15/B$17)</f>
        <v>2.9367469879518073E-2</v>
      </c>
      <c r="I15" s="94">
        <v>8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363</v>
      </c>
      <c r="C16" s="37">
        <f>IF(B$14=0,0,B16/B$14)</f>
        <v>0.3907427341227126</v>
      </c>
      <c r="E16" s="63" t="s">
        <v>79</v>
      </c>
      <c r="F16" s="60" t="s">
        <v>34</v>
      </c>
      <c r="G16" s="47">
        <v>32</v>
      </c>
      <c r="H16" s="133">
        <f>IF(B$17=0,0,G16/B$17)</f>
        <v>2.4096385542168676E-2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24.121428571428591</v>
      </c>
      <c r="P16" s="119">
        <v>126</v>
      </c>
      <c r="Q16" s="107">
        <v>3039.3000000000025</v>
      </c>
    </row>
    <row r="17" spans="1:17" x14ac:dyDescent="0.4">
      <c r="A17" s="54" t="s">
        <v>10</v>
      </c>
      <c r="B17" s="46">
        <f>B19+B18</f>
        <v>1328</v>
      </c>
      <c r="C17" s="37">
        <f>IF(B$3=0,0,B17/B$3)</f>
        <v>0.29990966576332428</v>
      </c>
      <c r="E17" s="63" t="s">
        <v>92</v>
      </c>
      <c r="F17" s="60" t="s">
        <v>47</v>
      </c>
      <c r="G17" s="47">
        <v>23</v>
      </c>
      <c r="H17" s="133">
        <f>IF(B$17=0,0,G17/B$17)</f>
        <v>1.7319277108433735E-2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584</v>
      </c>
      <c r="C18" s="39">
        <f>IF(B$17=0,0,B18/B$17)</f>
        <v>0.43975903614457829</v>
      </c>
      <c r="E18" s="63" t="s">
        <v>80</v>
      </c>
      <c r="F18" s="60" t="s">
        <v>35</v>
      </c>
      <c r="G18" s="47">
        <v>21</v>
      </c>
      <c r="H18" s="133">
        <f>IF(B$17=0,0,G18/B$17)</f>
        <v>1.5813253012048192E-2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744</v>
      </c>
      <c r="C19" s="39">
        <f>IF(B$17=0,0,B19/B$17)</f>
        <v>0.56024096385542166</v>
      </c>
      <c r="E19" s="63" t="s">
        <v>180</v>
      </c>
      <c r="F19" s="60" t="s">
        <v>183</v>
      </c>
      <c r="G19" s="47">
        <v>18</v>
      </c>
      <c r="H19" s="133">
        <f>IF(B$17=0,0,G19/B$17)</f>
        <v>1.355421686746988E-2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736</v>
      </c>
      <c r="C20" s="39">
        <f>IF(B$3=0,0,B20/B$3)</f>
        <v>0.16621499548328816</v>
      </c>
      <c r="E20" s="63" t="s">
        <v>76</v>
      </c>
      <c r="F20" s="60" t="s">
        <v>31</v>
      </c>
      <c r="G20" s="47">
        <v>9</v>
      </c>
      <c r="H20" s="133">
        <f>IF(B$17=0,0,G20/B$17)</f>
        <v>6.7771084337349399E-3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6.024096385542169E-3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1.0344827586205283E-2</v>
      </c>
      <c r="P21" s="119">
        <v>116</v>
      </c>
      <c r="Q21" s="107">
        <v>1.1999999999998128</v>
      </c>
    </row>
    <row r="22" spans="1:17" x14ac:dyDescent="0.4">
      <c r="A22" s="55" t="s">
        <v>194</v>
      </c>
      <c r="B22" s="47">
        <v>31</v>
      </c>
      <c r="C22" s="135">
        <v>7</v>
      </c>
      <c r="E22" s="63" t="s">
        <v>93</v>
      </c>
      <c r="F22" s="60" t="s">
        <v>48</v>
      </c>
      <c r="G22" s="47">
        <v>6</v>
      </c>
      <c r="H22" s="133">
        <f>IF(B$17=0,0,G22/B$17)</f>
        <v>4.5180722891566263E-3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-1.4737500000000019</v>
      </c>
      <c r="P22" s="119">
        <v>80</v>
      </c>
      <c r="Q22" s="107">
        <v>-117.90000000000015</v>
      </c>
    </row>
    <row r="23" spans="1:17" x14ac:dyDescent="0.4">
      <c r="A23" s="55" t="s">
        <v>5</v>
      </c>
      <c r="B23" s="51">
        <f>IF(B$17=0,0,C23/B$17)</f>
        <v>8605.6475903614464</v>
      </c>
      <c r="C23" s="41">
        <v>11428300</v>
      </c>
      <c r="E23" s="63" t="s">
        <v>75</v>
      </c>
      <c r="F23" s="60" t="s">
        <v>30</v>
      </c>
      <c r="G23" s="47">
        <v>5</v>
      </c>
      <c r="H23" s="133">
        <f>IF(B$17=0,0,G23/B$17)</f>
        <v>3.7650602409638554E-3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-2.0479166666666644</v>
      </c>
      <c r="P23" s="119">
        <v>144</v>
      </c>
      <c r="Q23" s="107">
        <v>-294.89999999999969</v>
      </c>
    </row>
    <row r="24" spans="1:17" x14ac:dyDescent="0.4">
      <c r="A24" s="57" t="s">
        <v>14</v>
      </c>
      <c r="B24" s="52">
        <f>IF(B$20=0,0,C24/B$20)</f>
        <v>-8201.902173913044</v>
      </c>
      <c r="C24" s="45">
        <v>-6036600</v>
      </c>
      <c r="E24" s="63" t="s">
        <v>94</v>
      </c>
      <c r="F24" s="60" t="s">
        <v>49</v>
      </c>
      <c r="G24" s="47">
        <v>5</v>
      </c>
      <c r="H24" s="133">
        <f>IF(B$17=0,0,G24/B$17)</f>
        <v>3.7650602409638554E-3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-19.349999999999966</v>
      </c>
      <c r="P24" s="119">
        <v>234</v>
      </c>
      <c r="Q24" s="107">
        <v>-4527.8999999999924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3.0120481927710845E-3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2.2590361445783132E-3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2.935862691960253E-3</v>
      </c>
      <c r="E27" s="63" t="s">
        <v>85</v>
      </c>
      <c r="F27" s="60" t="s">
        <v>40</v>
      </c>
      <c r="G27" s="47">
        <v>3</v>
      </c>
      <c r="H27" s="133">
        <f>IF(B$17=0,0,G27/B$17)</f>
        <v>2.2590361445783132E-3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2.2590361445783132E-3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1.5060240963855422E-3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1.5060240963855422E-3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1.5060240963855422E-3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7.5301204819277112E-4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37.400000000000006</v>
      </c>
    </row>
    <row r="529" spans="11:12" x14ac:dyDescent="0.4">
      <c r="K529" s="38">
        <v>527</v>
      </c>
      <c r="L529" s="99">
        <v>-5.5999999999999943</v>
      </c>
    </row>
    <row r="530" spans="11:12" x14ac:dyDescent="0.4">
      <c r="K530" s="38">
        <v>528</v>
      </c>
      <c r="L530" s="99">
        <v>5.3290705182007514E-15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7C00B-AF70-4F87-A64D-4C3390C25DD6}">
  <sheetPr codeName="Sheet7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67</v>
      </c>
      <c r="F2" s="59" t="s">
        <v>23</v>
      </c>
      <c r="G2" s="46">
        <v>245</v>
      </c>
      <c r="H2" s="132">
        <f>IF(B$17=0,0,G2/B$17)</f>
        <v>0.72916666666666663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1703.4188034188035</v>
      </c>
      <c r="P2" s="118">
        <v>117</v>
      </c>
      <c r="Q2" s="102">
        <v>199300</v>
      </c>
    </row>
    <row r="3" spans="1:17" x14ac:dyDescent="0.4">
      <c r="A3" s="55" t="s">
        <v>8</v>
      </c>
      <c r="B3" s="148">
        <v>955</v>
      </c>
      <c r="C3" s="149"/>
      <c r="E3" s="63" t="s">
        <v>73</v>
      </c>
      <c r="F3" s="60" t="s">
        <v>28</v>
      </c>
      <c r="G3" s="47">
        <v>186</v>
      </c>
      <c r="H3" s="133">
        <f>IF(B$17=0,0,G3/B$17)</f>
        <v>0.5535714285714286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1350</v>
      </c>
      <c r="P3" s="119">
        <v>114</v>
      </c>
      <c r="Q3" s="103">
        <v>153900</v>
      </c>
    </row>
    <row r="4" spans="1:17" x14ac:dyDescent="0.4">
      <c r="A4" s="55" t="s">
        <v>6</v>
      </c>
      <c r="B4" s="150">
        <v>1509.3000000000011</v>
      </c>
      <c r="C4" s="151"/>
      <c r="E4" s="63" t="s">
        <v>65</v>
      </c>
      <c r="F4" s="60" t="s">
        <v>21</v>
      </c>
      <c r="G4" s="47">
        <v>169</v>
      </c>
      <c r="H4" s="133">
        <f>IF(B$17=0,0,G4/B$17)</f>
        <v>0.50297619047619047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1535.7798165137615</v>
      </c>
      <c r="P4" s="119">
        <v>109</v>
      </c>
      <c r="Q4" s="103">
        <v>167400</v>
      </c>
    </row>
    <row r="5" spans="1:17" x14ac:dyDescent="0.4">
      <c r="A5" s="55" t="s">
        <v>7</v>
      </c>
      <c r="B5" s="152">
        <f>IF(B$2=0,0,B$4/B$2)</f>
        <v>12.900000000000009</v>
      </c>
      <c r="C5" s="153"/>
      <c r="E5" s="63" t="s">
        <v>181</v>
      </c>
      <c r="F5" s="60" t="s">
        <v>182</v>
      </c>
      <c r="G5" s="47">
        <v>139</v>
      </c>
      <c r="H5" s="133">
        <f>IF(B$17=0,0,G5/B$17)</f>
        <v>0.41369047619047616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2415.151515151515</v>
      </c>
      <c r="P5" s="119">
        <v>99</v>
      </c>
      <c r="Q5" s="103">
        <v>239100</v>
      </c>
    </row>
    <row r="6" spans="1:17" x14ac:dyDescent="0.4">
      <c r="A6" s="55" t="s">
        <v>1</v>
      </c>
      <c r="B6" s="142">
        <f>IF(B$2=0,0,(B$7*1+B$8*2+B$9*3)/B$2)</f>
        <v>1.7264957264957266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0.29464285714285715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871.26436781609198</v>
      </c>
      <c r="P6" s="119">
        <v>87</v>
      </c>
      <c r="Q6" s="103">
        <v>75800</v>
      </c>
    </row>
    <row r="7" spans="1:17" x14ac:dyDescent="0.4">
      <c r="A7" s="55" t="s">
        <v>2</v>
      </c>
      <c r="B7" s="47">
        <v>59</v>
      </c>
      <c r="C7" s="39">
        <f>IF(B$2=0,0,B7/B$2)</f>
        <v>0.50427350427350426</v>
      </c>
      <c r="E7" s="63" t="s">
        <v>69</v>
      </c>
      <c r="F7" s="60" t="s">
        <v>12</v>
      </c>
      <c r="G7" s="47">
        <v>88</v>
      </c>
      <c r="H7" s="133">
        <f>IF(B$17=0,0,G7/B$17)</f>
        <v>0.26190476190476192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374.02597402597405</v>
      </c>
      <c r="P7" s="120">
        <v>77</v>
      </c>
      <c r="Q7" s="104">
        <v>28800</v>
      </c>
    </row>
    <row r="8" spans="1:17" x14ac:dyDescent="0.4">
      <c r="A8" s="55" t="s">
        <v>3</v>
      </c>
      <c r="B8" s="47">
        <v>31</v>
      </c>
      <c r="C8" s="39">
        <f>IF(B$2=0,0,B8/B$2)</f>
        <v>0.26495726495726496</v>
      </c>
      <c r="E8" s="63" t="s">
        <v>70</v>
      </c>
      <c r="F8" s="60" t="s">
        <v>25</v>
      </c>
      <c r="G8" s="47">
        <v>59</v>
      </c>
      <c r="H8" s="133">
        <f>IF(B$17=0,0,G8/B$17)</f>
        <v>0.17559523809523808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0.23076923076923078</v>
      </c>
      <c r="E9" s="63" t="s">
        <v>90</v>
      </c>
      <c r="F9" s="60" t="s">
        <v>45</v>
      </c>
      <c r="G9" s="47">
        <v>51</v>
      </c>
      <c r="H9" s="133">
        <f>IF(B$17=0,0,G9/B$17)</f>
        <v>0.15178571428571427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0.1111111111111111</v>
      </c>
      <c r="E10" s="63" t="s">
        <v>66</v>
      </c>
      <c r="F10" s="60" t="s">
        <v>22</v>
      </c>
      <c r="G10" s="47">
        <v>49</v>
      </c>
      <c r="H10" s="133">
        <f>IF(B$17=0,0,G10/B$17)</f>
        <v>0.14583333333333334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0.17948717948717949</v>
      </c>
      <c r="E11" s="63" t="s">
        <v>71</v>
      </c>
      <c r="F11" s="60" t="s">
        <v>26</v>
      </c>
      <c r="G11" s="47">
        <v>33</v>
      </c>
      <c r="H11" s="133">
        <f>IF(B$17=0,0,G11/B$17)</f>
        <v>9.8214285714285712E-2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0.15384615384615385</v>
      </c>
      <c r="E12" s="63" t="s">
        <v>72</v>
      </c>
      <c r="F12" s="60" t="s">
        <v>27</v>
      </c>
      <c r="G12" s="47">
        <v>23</v>
      </c>
      <c r="H12" s="133">
        <f>IF(B$17=0,0,G12/B$17)</f>
        <v>6.8452380952380959E-2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13.735555555555559</v>
      </c>
      <c r="P12" s="120">
        <v>45</v>
      </c>
      <c r="Q12" s="108">
        <v>618.10000000000014</v>
      </c>
    </row>
    <row r="13" spans="1:17" x14ac:dyDescent="0.4">
      <c r="A13" s="58" t="s">
        <v>122</v>
      </c>
      <c r="B13" s="50">
        <v>313</v>
      </c>
      <c r="C13" s="44">
        <f>IF(B$3=0,0,B13/B$3)</f>
        <v>0.32774869109947646</v>
      </c>
      <c r="E13" s="63" t="s">
        <v>87</v>
      </c>
      <c r="F13" s="60" t="s">
        <v>42</v>
      </c>
      <c r="G13" s="47">
        <v>23</v>
      </c>
      <c r="H13" s="133">
        <f>IF(B$17=0,0,G13/B$17)</f>
        <v>6.8452380952380959E-2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211</v>
      </c>
      <c r="C14" s="39">
        <f>IF(B$3=0,0,B14/B$3)</f>
        <v>0.22094240837696336</v>
      </c>
      <c r="E14" s="63" t="s">
        <v>84</v>
      </c>
      <c r="F14" s="60" t="s">
        <v>39</v>
      </c>
      <c r="G14" s="47">
        <v>17</v>
      </c>
      <c r="H14" s="133">
        <f>IF(B$17=0,0,G14/B$17)</f>
        <v>5.0595238095238096E-2</v>
      </c>
      <c r="I14" s="94">
        <v>2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182</v>
      </c>
      <c r="C15" s="37">
        <f>IF(B$13=0,0,B15/B$13)</f>
        <v>0.58146964856230032</v>
      </c>
      <c r="E15" s="63" t="s">
        <v>82</v>
      </c>
      <c r="F15" s="60" t="s">
        <v>37</v>
      </c>
      <c r="G15" s="47">
        <v>11</v>
      </c>
      <c r="H15" s="133">
        <f>IF(B$17=0,0,G15/B$17)</f>
        <v>3.273809523809524E-2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108</v>
      </c>
      <c r="C16" s="37">
        <f>IF(B$14=0,0,B16/B$14)</f>
        <v>0.51184834123222744</v>
      </c>
      <c r="E16" s="63" t="s">
        <v>180</v>
      </c>
      <c r="F16" s="60" t="s">
        <v>183</v>
      </c>
      <c r="G16" s="47">
        <v>10</v>
      </c>
      <c r="H16" s="133">
        <f>IF(B$17=0,0,G16/B$17)</f>
        <v>2.976190476190476E-2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36.102702702702715</v>
      </c>
      <c r="P16" s="119">
        <v>37</v>
      </c>
      <c r="Q16" s="107">
        <v>1335.8000000000004</v>
      </c>
    </row>
    <row r="17" spans="1:17" x14ac:dyDescent="0.4">
      <c r="A17" s="54" t="s">
        <v>10</v>
      </c>
      <c r="B17" s="46">
        <f>B19+B18</f>
        <v>336</v>
      </c>
      <c r="C17" s="37">
        <f>IF(B$3=0,0,B17/B$3)</f>
        <v>0.3518324607329843</v>
      </c>
      <c r="E17" s="63" t="s">
        <v>79</v>
      </c>
      <c r="F17" s="60" t="s">
        <v>34</v>
      </c>
      <c r="G17" s="47">
        <v>7</v>
      </c>
      <c r="H17" s="133">
        <f>IF(B$17=0,0,G17/B$17)</f>
        <v>2.0833333333333332E-2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32.806666666666665</v>
      </c>
      <c r="P17" s="119">
        <v>15</v>
      </c>
      <c r="Q17" s="107">
        <v>492.1</v>
      </c>
    </row>
    <row r="18" spans="1:17" x14ac:dyDescent="0.4">
      <c r="A18" s="55" t="s">
        <v>12</v>
      </c>
      <c r="B18" s="47">
        <v>140</v>
      </c>
      <c r="C18" s="39">
        <f>IF(B$17=0,0,B18/B$17)</f>
        <v>0.41666666666666669</v>
      </c>
      <c r="E18" s="63" t="s">
        <v>92</v>
      </c>
      <c r="F18" s="60" t="s">
        <v>47</v>
      </c>
      <c r="G18" s="47">
        <v>5</v>
      </c>
      <c r="H18" s="133">
        <f>IF(B$17=0,0,G18/B$17)</f>
        <v>1.488095238095238E-2</v>
      </c>
      <c r="I18" s="94">
        <v>5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196</v>
      </c>
      <c r="C19" s="39">
        <f>IF(B$17=0,0,B19/B$17)</f>
        <v>0.58333333333333337</v>
      </c>
      <c r="E19" s="63" t="s">
        <v>80</v>
      </c>
      <c r="F19" s="60" t="s">
        <v>35</v>
      </c>
      <c r="G19" s="47">
        <v>4</v>
      </c>
      <c r="H19" s="133">
        <f>IF(B$17=0,0,G19/B$17)</f>
        <v>1.1904761904761904E-2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143</v>
      </c>
      <c r="C20" s="39">
        <f>IF(B$3=0,0,B20/B$3)</f>
        <v>0.14973821989528796</v>
      </c>
      <c r="E20" s="63" t="s">
        <v>74</v>
      </c>
      <c r="F20" s="60" t="s">
        <v>29</v>
      </c>
      <c r="G20" s="47">
        <v>2</v>
      </c>
      <c r="H20" s="133">
        <f>IF(B$17=0,0,G20/B$17)</f>
        <v>5.9523809523809521E-3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5.9523809523809521E-3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3</v>
      </c>
      <c r="E22" s="63" t="s">
        <v>76</v>
      </c>
      <c r="F22" s="60" t="s">
        <v>31</v>
      </c>
      <c r="G22" s="47">
        <v>1</v>
      </c>
      <c r="H22" s="133">
        <f>IF(B$17=0,0,G22/B$17)</f>
        <v>2.976190476190476E-3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9063.6904761904771</v>
      </c>
      <c r="C23" s="41">
        <v>3045400</v>
      </c>
      <c r="E23" s="63" t="s">
        <v>78</v>
      </c>
      <c r="F23" s="60" t="s">
        <v>33</v>
      </c>
      <c r="G23" s="47">
        <v>1</v>
      </c>
      <c r="H23" s="133">
        <f>IF(B$17=0,0,G23/B$17)</f>
        <v>2.976190476190476E-3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-0.43658536585366164</v>
      </c>
      <c r="P23" s="119">
        <v>41</v>
      </c>
      <c r="Q23" s="107">
        <v>-17.900000000000126</v>
      </c>
    </row>
    <row r="24" spans="1:17" x14ac:dyDescent="0.4">
      <c r="A24" s="57" t="s">
        <v>14</v>
      </c>
      <c r="B24" s="52">
        <f>IF(B$20=0,0,C24/B$20)</f>
        <v>-8335.6643356643362</v>
      </c>
      <c r="C24" s="45">
        <v>-1192000</v>
      </c>
      <c r="E24" s="63" t="s">
        <v>86</v>
      </c>
      <c r="F24" s="60" t="s">
        <v>41</v>
      </c>
      <c r="G24" s="47">
        <v>1</v>
      </c>
      <c r="H24" s="133">
        <f>IF(B$17=0,0,G24/B$17)</f>
        <v>2.976190476190476E-3</v>
      </c>
      <c r="I24" s="94">
        <v>2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2.976190476190476E-3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91</v>
      </c>
      <c r="F26" s="60" t="s">
        <v>46</v>
      </c>
      <c r="G26" s="47">
        <v>1</v>
      </c>
      <c r="H26" s="133">
        <f>IF(B$17=0,0,G26/B$17)</f>
        <v>2.976190476190476E-3</v>
      </c>
      <c r="I26" s="94">
        <v>2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1.0471204188481676E-3</v>
      </c>
      <c r="E27" s="63" t="s">
        <v>94</v>
      </c>
      <c r="F27" s="60" t="s">
        <v>49</v>
      </c>
      <c r="G27" s="47">
        <v>1</v>
      </c>
      <c r="H27" s="133">
        <f>IF(B$17=0,0,G27/B$17)</f>
        <v>2.976190476190476E-3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2.976190476190476E-3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1509.3000000000011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8CAAE-90D3-4FE0-ABA1-2DA7876DD811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2</v>
      </c>
      <c r="K18" s="38">
        <v>16</v>
      </c>
      <c r="L18" s="99">
        <v>41.699999999999989</v>
      </c>
      <c r="N18" s="115" t="s">
        <v>171</v>
      </c>
      <c r="O18" s="125">
        <f>IF(P18=0,0,Q18/P18)</f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A6F9-B802-4520-9D4F-8584E8A83314}">
  <sheetPr codeName="Sheet11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63</v>
      </c>
      <c r="C2" s="147"/>
      <c r="E2" s="62" t="s">
        <v>67</v>
      </c>
      <c r="F2" s="59" t="s">
        <v>23</v>
      </c>
      <c r="G2" s="46">
        <v>105</v>
      </c>
      <c r="H2" s="132">
        <f>IF(B$17=0,0,G2/B$17)</f>
        <v>0.88983050847457623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-2131.7460317460318</v>
      </c>
      <c r="P2" s="118">
        <v>63</v>
      </c>
      <c r="Q2" s="102">
        <v>-134300</v>
      </c>
    </row>
    <row r="3" spans="1:17" x14ac:dyDescent="0.4">
      <c r="A3" s="55" t="s">
        <v>8</v>
      </c>
      <c r="B3" s="148">
        <v>522</v>
      </c>
      <c r="C3" s="149"/>
      <c r="E3" s="63" t="s">
        <v>65</v>
      </c>
      <c r="F3" s="60" t="s">
        <v>21</v>
      </c>
      <c r="G3" s="47">
        <v>67</v>
      </c>
      <c r="H3" s="133">
        <f>IF(B$17=0,0,G3/B$17)</f>
        <v>0.56779661016949157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-1208.1967213114754</v>
      </c>
      <c r="P3" s="119">
        <v>61</v>
      </c>
      <c r="Q3" s="103">
        <v>-73700</v>
      </c>
    </row>
    <row r="4" spans="1:17" x14ac:dyDescent="0.4">
      <c r="A4" s="55" t="s">
        <v>6</v>
      </c>
      <c r="B4" s="150">
        <v>-1013.0999999999997</v>
      </c>
      <c r="C4" s="151"/>
      <c r="E4" s="63" t="s">
        <v>69</v>
      </c>
      <c r="F4" s="60" t="s">
        <v>12</v>
      </c>
      <c r="G4" s="47">
        <v>51</v>
      </c>
      <c r="H4" s="133">
        <f>IF(B$17=0,0,G4/B$17)</f>
        <v>0.43220338983050849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-1036.8421052631579</v>
      </c>
      <c r="P4" s="119">
        <v>57</v>
      </c>
      <c r="Q4" s="103">
        <v>-59100</v>
      </c>
    </row>
    <row r="5" spans="1:17" x14ac:dyDescent="0.4">
      <c r="A5" s="55" t="s">
        <v>7</v>
      </c>
      <c r="B5" s="152">
        <f>IF(B$2=0,0,B$4/B$2)</f>
        <v>-16.080952380952375</v>
      </c>
      <c r="C5" s="153"/>
      <c r="E5" s="63" t="s">
        <v>181</v>
      </c>
      <c r="F5" s="60" t="s">
        <v>182</v>
      </c>
      <c r="G5" s="47">
        <v>46</v>
      </c>
      <c r="H5" s="133">
        <f>IF(B$17=0,0,G5/B$17)</f>
        <v>0.38983050847457629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-5836.7346938775509</v>
      </c>
      <c r="P5" s="119">
        <v>49</v>
      </c>
      <c r="Q5" s="103">
        <v>-286000</v>
      </c>
    </row>
    <row r="6" spans="1:17" x14ac:dyDescent="0.4">
      <c r="A6" s="55" t="s">
        <v>1</v>
      </c>
      <c r="B6" s="142">
        <f>IF(B$2=0,0,(B$7*1+B$8*2+B$9*3)/B$2)</f>
        <v>2.253968253968254</v>
      </c>
      <c r="C6" s="143"/>
      <c r="E6" s="63" t="s">
        <v>68</v>
      </c>
      <c r="F6" s="60" t="s">
        <v>24</v>
      </c>
      <c r="G6" s="47">
        <v>41</v>
      </c>
      <c r="H6" s="133">
        <f>IF(B$17=0,0,G6/B$17)</f>
        <v>0.34745762711864409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0"/>
        <v>-1493.0232558139535</v>
      </c>
      <c r="P6" s="119">
        <v>43</v>
      </c>
      <c r="Q6" s="103">
        <v>-64200</v>
      </c>
    </row>
    <row r="7" spans="1:17" x14ac:dyDescent="0.4">
      <c r="A7" s="55" t="s">
        <v>2</v>
      </c>
      <c r="B7" s="47">
        <v>15</v>
      </c>
      <c r="C7" s="39">
        <f>IF(B$2=0,0,B7/B$2)</f>
        <v>0.23809523809523808</v>
      </c>
      <c r="E7" s="63" t="s">
        <v>73</v>
      </c>
      <c r="F7" s="60" t="s">
        <v>28</v>
      </c>
      <c r="G7" s="47">
        <v>41</v>
      </c>
      <c r="H7" s="133">
        <f>IF(B$17=0,0,G7/B$17)</f>
        <v>0.34745762711864409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-1722.5</v>
      </c>
      <c r="P7" s="120">
        <v>40</v>
      </c>
      <c r="Q7" s="104">
        <v>-68900</v>
      </c>
    </row>
    <row r="8" spans="1:17" x14ac:dyDescent="0.4">
      <c r="A8" s="55" t="s">
        <v>3</v>
      </c>
      <c r="B8" s="47">
        <v>17</v>
      </c>
      <c r="C8" s="39">
        <f>IF(B$2=0,0,B8/B$2)</f>
        <v>0.26984126984126983</v>
      </c>
      <c r="E8" s="63" t="s">
        <v>70</v>
      </c>
      <c r="F8" s="60" t="s">
        <v>25</v>
      </c>
      <c r="G8" s="47">
        <v>27</v>
      </c>
      <c r="H8" s="133">
        <f>IF(B$17=0,0,G8/B$17)</f>
        <v>0.2288135593220339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0.49206349206349204</v>
      </c>
      <c r="E9" s="63" t="s">
        <v>71</v>
      </c>
      <c r="F9" s="60" t="s">
        <v>26</v>
      </c>
      <c r="G9" s="47">
        <v>20</v>
      </c>
      <c r="H9" s="133">
        <f>IF(B$17=0,0,G9/B$17)</f>
        <v>0.16949152542372881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0.19047619047619047</v>
      </c>
      <c r="E10" s="63" t="s">
        <v>72</v>
      </c>
      <c r="F10" s="60" t="s">
        <v>27</v>
      </c>
      <c r="G10" s="47">
        <v>13</v>
      </c>
      <c r="H10" s="133">
        <f>IF(B$17=0,0,G10/B$17)</f>
        <v>0.11016949152542373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0.1111111111111111</v>
      </c>
      <c r="E11" s="63" t="s">
        <v>90</v>
      </c>
      <c r="F11" s="60" t="s">
        <v>45</v>
      </c>
      <c r="G11" s="47">
        <v>11</v>
      </c>
      <c r="H11" s="133">
        <f>IF(B$17=0,0,G11/B$17)</f>
        <v>9.3220338983050849E-2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7.9365079365079361E-2</v>
      </c>
      <c r="E12" s="63" t="s">
        <v>87</v>
      </c>
      <c r="F12" s="60" t="s">
        <v>42</v>
      </c>
      <c r="G12" s="47">
        <v>9</v>
      </c>
      <c r="H12" s="133">
        <f>IF(B$17=0,0,G12/B$17)</f>
        <v>7.6271186440677971E-2</v>
      </c>
      <c r="I12" s="94">
        <v>3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140</v>
      </c>
      <c r="C13" s="44">
        <f>IF(B$3=0,0,B13/B$3)</f>
        <v>0.26819923371647508</v>
      </c>
      <c r="E13" s="63" t="s">
        <v>66</v>
      </c>
      <c r="F13" s="60" t="s">
        <v>22</v>
      </c>
      <c r="G13" s="47">
        <v>8</v>
      </c>
      <c r="H13" s="133">
        <f>IF(B$17=0,0,G13/B$17)</f>
        <v>6.7796610169491525E-2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0.16475095785440613</v>
      </c>
      <c r="E14" s="63" t="s">
        <v>84</v>
      </c>
      <c r="F14" s="60" t="s">
        <v>39</v>
      </c>
      <c r="G14" s="47">
        <v>5</v>
      </c>
      <c r="H14" s="133">
        <f>IF(B$17=0,0,G14/B$17)</f>
        <v>4.2372881355932202E-2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70</v>
      </c>
      <c r="C15" s="37">
        <f>IF(B$13=0,0,B15/B$13)</f>
        <v>0.5</v>
      </c>
      <c r="E15" s="63" t="s">
        <v>79</v>
      </c>
      <c r="F15" s="60" t="s">
        <v>34</v>
      </c>
      <c r="G15" s="47">
        <v>4</v>
      </c>
      <c r="H15" s="133">
        <f>IF(B$17=0,0,G15/B$17)</f>
        <v>3.3898305084745763E-2</v>
      </c>
      <c r="I15" s="94">
        <v>4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20</v>
      </c>
      <c r="C16" s="37">
        <f>IF(B$14=0,0,B16/B$14)</f>
        <v>0.23255813953488372</v>
      </c>
      <c r="E16" s="63" t="s">
        <v>75</v>
      </c>
      <c r="F16" s="60" t="s">
        <v>30</v>
      </c>
      <c r="G16" s="47">
        <v>2</v>
      </c>
      <c r="H16" s="133">
        <f>IF(B$17=0,0,G16/B$17)</f>
        <v>1.6949152542372881E-2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118</v>
      </c>
      <c r="C17" s="37">
        <f>IF(B$3=0,0,B17/B$3)</f>
        <v>0.22605363984674329</v>
      </c>
      <c r="E17" s="63" t="s">
        <v>82</v>
      </c>
      <c r="F17" s="60" t="s">
        <v>37</v>
      </c>
      <c r="G17" s="47">
        <v>2</v>
      </c>
      <c r="H17" s="133">
        <f>IF(B$17=0,0,G17/B$17)</f>
        <v>1.6949152542372881E-2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</v>
      </c>
      <c r="E18" s="63" t="s">
        <v>94</v>
      </c>
      <c r="F18" s="60" t="s">
        <v>49</v>
      </c>
      <c r="G18" s="47">
        <v>2</v>
      </c>
      <c r="H18" s="133">
        <f>IF(B$17=0,0,G18/B$17)</f>
        <v>1.6949152542372881E-2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59</v>
      </c>
      <c r="C19" s="39">
        <f>IF(B$17=0,0,B19/B$17)</f>
        <v>0.5</v>
      </c>
      <c r="E19" s="63" t="s">
        <v>78</v>
      </c>
      <c r="F19" s="60" t="s">
        <v>33</v>
      </c>
      <c r="G19" s="47">
        <v>1</v>
      </c>
      <c r="H19" s="133">
        <f>IF(B$17=0,0,G19/B$17)</f>
        <v>8.4745762711864406E-3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-23.099999999999998</v>
      </c>
      <c r="P19" s="119">
        <v>19</v>
      </c>
      <c r="Q19" s="107">
        <v>-438.9</v>
      </c>
    </row>
    <row r="20" spans="1:17" x14ac:dyDescent="0.4">
      <c r="A20" s="55" t="s">
        <v>13</v>
      </c>
      <c r="B20" s="47">
        <v>103</v>
      </c>
      <c r="C20" s="39">
        <f>IF(B$3=0,0,B20/B$3)</f>
        <v>0.19731800766283525</v>
      </c>
      <c r="E20" s="63" t="s">
        <v>80</v>
      </c>
      <c r="F20" s="60" t="s">
        <v>35</v>
      </c>
      <c r="G20" s="47">
        <v>1</v>
      </c>
      <c r="H20" s="133">
        <f>IF(B$17=0,0,G20/B$17)</f>
        <v>8.4745762711864406E-3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-36.102702702702722</v>
      </c>
      <c r="P20" s="119">
        <v>37</v>
      </c>
      <c r="Q20" s="107">
        <v>-1335.8000000000006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8.4745762711864406E-3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89</v>
      </c>
      <c r="F22" s="60" t="s">
        <v>44</v>
      </c>
      <c r="G22" s="47">
        <v>1</v>
      </c>
      <c r="H22" s="133">
        <f>IF(B$17=0,0,G22/B$17)</f>
        <v>8.4745762711864406E-3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9178.8135593220341</v>
      </c>
      <c r="C23" s="41">
        <v>1083100</v>
      </c>
      <c r="E23" s="63" t="s">
        <v>92</v>
      </c>
      <c r="F23" s="60" t="s">
        <v>47</v>
      </c>
      <c r="G23" s="47">
        <v>1</v>
      </c>
      <c r="H23" s="133">
        <f>IF(B$17=0,0,G23/B$17)</f>
        <v>8.4745762711864406E-3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-9572.8155339805817</v>
      </c>
      <c r="C24" s="45">
        <v>-986000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1.9157088122605363E-3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EF8DF-0910-4556-BBB4-E4F01EC90D08}">
  <sheetPr codeName="Sheet13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72</v>
      </c>
      <c r="C2" s="147"/>
      <c r="E2" s="62" t="s">
        <v>67</v>
      </c>
      <c r="F2" s="59" t="s">
        <v>23</v>
      </c>
      <c r="G2" s="46">
        <v>142</v>
      </c>
      <c r="H2" s="132">
        <f>IF(B$17=0,0,G2/B$17)</f>
        <v>0.83040935672514615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-922.22222222222217</v>
      </c>
      <c r="P2" s="118">
        <v>72</v>
      </c>
      <c r="Q2" s="102">
        <v>-66400</v>
      </c>
    </row>
    <row r="3" spans="1:17" x14ac:dyDescent="0.4">
      <c r="A3" s="55" t="s">
        <v>8</v>
      </c>
      <c r="B3" s="148">
        <v>612</v>
      </c>
      <c r="C3" s="149"/>
      <c r="E3" s="63" t="s">
        <v>65</v>
      </c>
      <c r="F3" s="60" t="s">
        <v>21</v>
      </c>
      <c r="G3" s="47">
        <v>96</v>
      </c>
      <c r="H3" s="133">
        <f>IF(B$17=0,0,G3/B$17)</f>
        <v>0.56140350877192979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638.02816901408448</v>
      </c>
      <c r="P3" s="119">
        <v>71</v>
      </c>
      <c r="Q3" s="103">
        <v>45300</v>
      </c>
    </row>
    <row r="4" spans="1:17" x14ac:dyDescent="0.4">
      <c r="A4" s="55" t="s">
        <v>6</v>
      </c>
      <c r="B4" s="150">
        <v>98.299999999999983</v>
      </c>
      <c r="C4" s="151"/>
      <c r="E4" s="63" t="s">
        <v>73</v>
      </c>
      <c r="F4" s="60" t="s">
        <v>28</v>
      </c>
      <c r="G4" s="47">
        <v>87</v>
      </c>
      <c r="H4" s="133">
        <f>IF(B$17=0,0,G4/B$17)</f>
        <v>0.50877192982456143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1588.0597014925372</v>
      </c>
      <c r="P4" s="119">
        <v>67</v>
      </c>
      <c r="Q4" s="103">
        <v>106400</v>
      </c>
    </row>
    <row r="5" spans="1:17" x14ac:dyDescent="0.4">
      <c r="A5" s="55" t="s">
        <v>7</v>
      </c>
      <c r="B5" s="152">
        <f>IF(B$2=0,0,B$4/B$2)</f>
        <v>1.3652777777777776</v>
      </c>
      <c r="C5" s="153"/>
      <c r="E5" s="63" t="s">
        <v>181</v>
      </c>
      <c r="F5" s="60" t="s">
        <v>182</v>
      </c>
      <c r="G5" s="47">
        <v>65</v>
      </c>
      <c r="H5" s="133">
        <f>IF(B$17=0,0,G5/B$17)</f>
        <v>0.38011695906432746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2305.2631578947367</v>
      </c>
      <c r="P5" s="119">
        <v>57</v>
      </c>
      <c r="Q5" s="103">
        <v>131400</v>
      </c>
    </row>
    <row r="6" spans="1:17" x14ac:dyDescent="0.4">
      <c r="A6" s="55" t="s">
        <v>1</v>
      </c>
      <c r="B6" s="142">
        <f>IF(B$2=0,0,(B$7*1+B$8*2+B$9*3)/B$2)</f>
        <v>2.0555555555555554</v>
      </c>
      <c r="C6" s="143"/>
      <c r="E6" s="63" t="s">
        <v>68</v>
      </c>
      <c r="F6" s="60" t="s">
        <v>24</v>
      </c>
      <c r="G6" s="47">
        <v>54</v>
      </c>
      <c r="H6" s="133">
        <f>IF(B$17=0,0,G6/B$17)</f>
        <v>0.31578947368421051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-1188.2352941176471</v>
      </c>
      <c r="P6" s="119">
        <v>51</v>
      </c>
      <c r="Q6" s="103">
        <v>-60600</v>
      </c>
    </row>
    <row r="7" spans="1:17" x14ac:dyDescent="0.4">
      <c r="A7" s="55" t="s">
        <v>2</v>
      </c>
      <c r="B7" s="47">
        <v>21</v>
      </c>
      <c r="C7" s="39">
        <f>IF(B$2=0,0,B7/B$2)</f>
        <v>0.29166666666666669</v>
      </c>
      <c r="E7" s="63" t="s">
        <v>69</v>
      </c>
      <c r="F7" s="60" t="s">
        <v>12</v>
      </c>
      <c r="G7" s="47">
        <v>54</v>
      </c>
      <c r="H7" s="133">
        <f>IF(B$17=0,0,G7/B$17)</f>
        <v>0.31578947368421051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642.55319148936167</v>
      </c>
      <c r="P7" s="120">
        <v>47</v>
      </c>
      <c r="Q7" s="104">
        <v>30200</v>
      </c>
    </row>
    <row r="8" spans="1:17" x14ac:dyDescent="0.4">
      <c r="A8" s="55" t="s">
        <v>3</v>
      </c>
      <c r="B8" s="47">
        <v>26</v>
      </c>
      <c r="C8" s="39">
        <f>IF(B$2=0,0,B8/B$2)</f>
        <v>0.3611111111111111</v>
      </c>
      <c r="E8" s="63" t="s">
        <v>70</v>
      </c>
      <c r="F8" s="60" t="s">
        <v>25</v>
      </c>
      <c r="G8" s="47">
        <v>35</v>
      </c>
      <c r="H8" s="133">
        <f>IF(B$17=0,0,G8/B$17)</f>
        <v>0.2046783625730994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0.34722222222222221</v>
      </c>
      <c r="E9" s="63" t="s">
        <v>90</v>
      </c>
      <c r="F9" s="60" t="s">
        <v>45</v>
      </c>
      <c r="G9" s="47">
        <v>26</v>
      </c>
      <c r="H9" s="133">
        <f>IF(B$17=0,0,G9/B$17)</f>
        <v>0.15204678362573099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5.5555555555555552E-2</v>
      </c>
      <c r="E10" s="63" t="s">
        <v>66</v>
      </c>
      <c r="F10" s="60" t="s">
        <v>22</v>
      </c>
      <c r="G10" s="47">
        <v>24</v>
      </c>
      <c r="H10" s="133">
        <f>IF(B$17=0,0,G10/B$17)</f>
        <v>0.14035087719298245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5.8111111111111109</v>
      </c>
      <c r="P10" s="118">
        <v>18</v>
      </c>
      <c r="Q10" s="106">
        <v>104.6</v>
      </c>
    </row>
    <row r="11" spans="1:17" x14ac:dyDescent="0.4">
      <c r="A11" s="56" t="s">
        <v>140</v>
      </c>
      <c r="B11" s="48">
        <v>9</v>
      </c>
      <c r="C11" s="40">
        <f>IF(B$2=0,0,B11/B$2)</f>
        <v>0.125</v>
      </c>
      <c r="E11" s="63" t="s">
        <v>71</v>
      </c>
      <c r="F11" s="60" t="s">
        <v>26</v>
      </c>
      <c r="G11" s="47">
        <v>20</v>
      </c>
      <c r="H11" s="133">
        <f>IF(B$17=0,0,G11/B$17)</f>
        <v>0.11695906432748537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87</v>
      </c>
      <c r="F12" s="60" t="s">
        <v>42</v>
      </c>
      <c r="G12" s="47">
        <v>13</v>
      </c>
      <c r="H12" s="133">
        <f>IF(B$17=0,0,G12/B$17)</f>
        <v>7.6023391812865493E-2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174</v>
      </c>
      <c r="C13" s="44">
        <f>IF(B$3=0,0,B13/B$3)</f>
        <v>0.28431372549019607</v>
      </c>
      <c r="E13" s="63" t="s">
        <v>72</v>
      </c>
      <c r="F13" s="60" t="s">
        <v>27</v>
      </c>
      <c r="G13" s="47">
        <v>12</v>
      </c>
      <c r="H13" s="133">
        <f>IF(B$17=0,0,G13/B$17)</f>
        <v>7.0175438596491224E-2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0.184640522875817</v>
      </c>
      <c r="E14" s="63" t="s">
        <v>79</v>
      </c>
      <c r="F14" s="60" t="s">
        <v>34</v>
      </c>
      <c r="G14" s="47">
        <v>7</v>
      </c>
      <c r="H14" s="133">
        <f>IF(B$17=0,0,G14/B$17)</f>
        <v>4.0935672514619881E-2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101</v>
      </c>
      <c r="C15" s="37">
        <f>IF(B$13=0,0,B15/B$13)</f>
        <v>0.58045977011494254</v>
      </c>
      <c r="E15" s="63" t="s">
        <v>82</v>
      </c>
      <c r="F15" s="60" t="s">
        <v>37</v>
      </c>
      <c r="G15" s="47">
        <v>7</v>
      </c>
      <c r="H15" s="133">
        <f>IF(B$17=0,0,G15/B$17)</f>
        <v>4.0935672514619881E-2</v>
      </c>
      <c r="I15" s="94">
        <v>2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46</v>
      </c>
      <c r="C16" s="37">
        <f>IF(B$14=0,0,B16/B$14)</f>
        <v>0.40707964601769914</v>
      </c>
      <c r="E16" s="63" t="s">
        <v>84</v>
      </c>
      <c r="F16" s="60" t="s">
        <v>39</v>
      </c>
      <c r="G16" s="47">
        <v>7</v>
      </c>
      <c r="H16" s="133">
        <f>IF(B$17=0,0,G16/B$17)</f>
        <v>4.0935672514619881E-2</v>
      </c>
      <c r="I16" s="94">
        <v>8</v>
      </c>
      <c r="K16" s="38">
        <v>14</v>
      </c>
      <c r="L16" s="99">
        <v>-29.400000000000002</v>
      </c>
      <c r="N16" s="115" t="s">
        <v>129</v>
      </c>
      <c r="O16" s="125">
        <f>IF(P16=0,0,Q16/P16)</f>
        <v>23.099999999999994</v>
      </c>
      <c r="P16" s="119">
        <v>19</v>
      </c>
      <c r="Q16" s="107">
        <v>438.89999999999992</v>
      </c>
    </row>
    <row r="17" spans="1:17" x14ac:dyDescent="0.4">
      <c r="A17" s="54" t="s">
        <v>10</v>
      </c>
      <c r="B17" s="46">
        <f>B19+B18</f>
        <v>171</v>
      </c>
      <c r="C17" s="37">
        <f>IF(B$3=0,0,B17/B$3)</f>
        <v>0.27941176470588236</v>
      </c>
      <c r="E17" s="63" t="s">
        <v>76</v>
      </c>
      <c r="F17" s="60" t="s">
        <v>31</v>
      </c>
      <c r="G17" s="47">
        <v>3</v>
      </c>
      <c r="H17" s="133">
        <f>IF(B$17=0,0,G17/B$17)</f>
        <v>1.7543859649122806E-2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74</v>
      </c>
      <c r="C18" s="39">
        <f>IF(B$17=0,0,B18/B$17)</f>
        <v>0.43274853801169588</v>
      </c>
      <c r="E18" s="63" t="s">
        <v>80</v>
      </c>
      <c r="F18" s="60" t="s">
        <v>35</v>
      </c>
      <c r="G18" s="47">
        <v>3</v>
      </c>
      <c r="H18" s="133">
        <f>IF(B$17=0,0,G18/B$17)</f>
        <v>1.7543859649122806E-2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97</v>
      </c>
      <c r="C19" s="39">
        <f>IF(B$17=0,0,B19/B$17)</f>
        <v>0.56725146198830412</v>
      </c>
      <c r="E19" s="63" t="s">
        <v>92</v>
      </c>
      <c r="F19" s="60" t="s">
        <v>47</v>
      </c>
      <c r="G19" s="47">
        <v>3</v>
      </c>
      <c r="H19" s="133">
        <f>IF(B$17=0,0,G19/B$17)</f>
        <v>1.7543859649122806E-2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>IF(P19=0,0,Q19/P19)</f>
        <v>0.4365853658536637</v>
      </c>
      <c r="P19" s="119">
        <v>41</v>
      </c>
      <c r="Q19" s="107">
        <v>17.900000000000212</v>
      </c>
    </row>
    <row r="20" spans="1:17" x14ac:dyDescent="0.4">
      <c r="A20" s="55" t="s">
        <v>13</v>
      </c>
      <c r="B20" s="47">
        <v>102</v>
      </c>
      <c r="C20" s="39">
        <f>IF(B$3=0,0,B20/B$3)</f>
        <v>0.16666666666666666</v>
      </c>
      <c r="E20" s="63" t="s">
        <v>85</v>
      </c>
      <c r="F20" s="60" t="s">
        <v>40</v>
      </c>
      <c r="G20" s="47">
        <v>2</v>
      </c>
      <c r="H20" s="133">
        <f>IF(B$17=0,0,G20/B$17)</f>
        <v>1.1695906432748537E-2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1.1695906432748537E-2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180</v>
      </c>
      <c r="F22" s="60" t="s">
        <v>183</v>
      </c>
      <c r="G22" s="47">
        <v>2</v>
      </c>
      <c r="H22" s="133">
        <f>IF(B$17=0,0,G22/B$17)</f>
        <v>1.1695906432748537E-2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-28.316666666666666</v>
      </c>
      <c r="P22" s="119">
        <v>12</v>
      </c>
      <c r="Q22" s="107">
        <v>-339.8</v>
      </c>
    </row>
    <row r="23" spans="1:17" x14ac:dyDescent="0.4">
      <c r="A23" s="55" t="s">
        <v>5</v>
      </c>
      <c r="B23" s="51">
        <f>IF(B$17=0,0,C23/B$17)</f>
        <v>9761.9883040935674</v>
      </c>
      <c r="C23" s="41">
        <v>1669300</v>
      </c>
      <c r="E23" s="63" t="s">
        <v>74</v>
      </c>
      <c r="F23" s="60" t="s">
        <v>29</v>
      </c>
      <c r="G23" s="47">
        <v>1</v>
      </c>
      <c r="H23" s="133">
        <f>IF(B$17=0,0,G23/B$17)</f>
        <v>5.8479532163742687E-3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-7748.0392156862745</v>
      </c>
      <c r="C24" s="45">
        <v>-790300</v>
      </c>
      <c r="E24" s="63" t="s">
        <v>88</v>
      </c>
      <c r="F24" s="60" t="s">
        <v>43</v>
      </c>
      <c r="G24" s="47">
        <v>1</v>
      </c>
      <c r="H24" s="133">
        <f>IF(B$17=0,0,G24/B$17)</f>
        <v>5.8479532163742687E-3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5.8479532163742687E-3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1.6339869281045752E-3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AABC9-DCC0-4946-8564-6912072B0AF3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58</v>
      </c>
      <c r="C2" s="147"/>
      <c r="E2" s="62" t="s">
        <v>67</v>
      </c>
      <c r="F2" s="59" t="s">
        <v>23</v>
      </c>
      <c r="G2" s="46">
        <v>119</v>
      </c>
      <c r="H2" s="132">
        <f>IF(B$17=0,0,G2/B$17)</f>
        <v>0.64673913043478259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403.44827586206895</v>
      </c>
      <c r="P2" s="118">
        <v>58</v>
      </c>
      <c r="Q2" s="102">
        <v>23400</v>
      </c>
    </row>
    <row r="3" spans="1:17" x14ac:dyDescent="0.4">
      <c r="A3" s="55" t="s">
        <v>8</v>
      </c>
      <c r="B3" s="148">
        <v>508</v>
      </c>
      <c r="C3" s="149"/>
      <c r="E3" s="63" t="s">
        <v>73</v>
      </c>
      <c r="F3" s="60" t="s">
        <v>28</v>
      </c>
      <c r="G3" s="47">
        <v>105</v>
      </c>
      <c r="H3" s="133">
        <f>IF(B$17=0,0,G3/B$17)</f>
        <v>0.57065217391304346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498.27586206896552</v>
      </c>
      <c r="P3" s="119">
        <v>58</v>
      </c>
      <c r="Q3" s="103">
        <v>28900</v>
      </c>
    </row>
    <row r="4" spans="1:17" x14ac:dyDescent="0.4">
      <c r="A4" s="55" t="s">
        <v>6</v>
      </c>
      <c r="B4" s="150">
        <v>-0.40000000000001457</v>
      </c>
      <c r="C4" s="151"/>
      <c r="E4" s="63" t="s">
        <v>181</v>
      </c>
      <c r="F4" s="60" t="s">
        <v>182</v>
      </c>
      <c r="G4" s="47">
        <v>82</v>
      </c>
      <c r="H4" s="133">
        <f>IF(B$17=0,0,G4/B$17)</f>
        <v>0.44565217391304346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-1013.4615384615385</v>
      </c>
      <c r="P4" s="119">
        <v>52</v>
      </c>
      <c r="Q4" s="103">
        <v>-52700</v>
      </c>
    </row>
    <row r="5" spans="1:17" x14ac:dyDescent="0.4">
      <c r="A5" s="55" t="s">
        <v>7</v>
      </c>
      <c r="B5" s="152">
        <f>IF(B$2=0,0,B$4/B$2)</f>
        <v>-6.8965517241381825E-3</v>
      </c>
      <c r="C5" s="153"/>
      <c r="E5" s="63" t="s">
        <v>65</v>
      </c>
      <c r="F5" s="60" t="s">
        <v>21</v>
      </c>
      <c r="G5" s="47">
        <v>65</v>
      </c>
      <c r="H5" s="133">
        <f>IF(B$17=0,0,G5/B$17)</f>
        <v>0.35326086956521741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216.32653061224491</v>
      </c>
      <c r="P5" s="119">
        <v>49</v>
      </c>
      <c r="Q5" s="103">
        <v>10600</v>
      </c>
    </row>
    <row r="6" spans="1:17" x14ac:dyDescent="0.4">
      <c r="A6" s="55" t="s">
        <v>1</v>
      </c>
      <c r="B6" s="142">
        <f>IF(B$2=0,0,(B$7*1+B$8*2+B$9*3)/B$2)</f>
        <v>2.0517241379310347</v>
      </c>
      <c r="C6" s="143"/>
      <c r="E6" s="63" t="s">
        <v>69</v>
      </c>
      <c r="F6" s="60" t="s">
        <v>12</v>
      </c>
      <c r="G6" s="47">
        <v>50</v>
      </c>
      <c r="H6" s="133">
        <f>IF(B$17=0,0,G6/B$17)</f>
        <v>0.27173913043478259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487.5</v>
      </c>
      <c r="P6" s="119">
        <v>48</v>
      </c>
      <c r="Q6" s="103">
        <v>23400</v>
      </c>
    </row>
    <row r="7" spans="1:17" x14ac:dyDescent="0.4">
      <c r="A7" s="55" t="s">
        <v>2</v>
      </c>
      <c r="B7" s="47">
        <v>15</v>
      </c>
      <c r="C7" s="39">
        <f>IF(B$2=0,0,B7/B$2)</f>
        <v>0.25862068965517243</v>
      </c>
      <c r="E7" s="63" t="s">
        <v>68</v>
      </c>
      <c r="F7" s="60" t="s">
        <v>24</v>
      </c>
      <c r="G7" s="47">
        <v>32</v>
      </c>
      <c r="H7" s="133">
        <f>IF(B$17=0,0,G7/B$17)</f>
        <v>0.17391304347826086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-669.04761904761904</v>
      </c>
      <c r="P7" s="120">
        <v>42</v>
      </c>
      <c r="Q7" s="104">
        <v>-28100</v>
      </c>
    </row>
    <row r="8" spans="1:17" x14ac:dyDescent="0.4">
      <c r="A8" s="55" t="s">
        <v>3</v>
      </c>
      <c r="B8" s="47">
        <v>25</v>
      </c>
      <c r="C8" s="39">
        <f>IF(B$2=0,0,B8/B$2)</f>
        <v>0.43103448275862066</v>
      </c>
      <c r="E8" s="63" t="s">
        <v>70</v>
      </c>
      <c r="F8" s="60" t="s">
        <v>25</v>
      </c>
      <c r="G8" s="47">
        <v>27</v>
      </c>
      <c r="H8" s="133">
        <f>IF(B$17=0,0,G8/B$17)</f>
        <v>0.14673913043478262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0.31034482758620691</v>
      </c>
      <c r="E9" s="63" t="s">
        <v>66</v>
      </c>
      <c r="F9" s="60" t="s">
        <v>22</v>
      </c>
      <c r="G9" s="47">
        <v>21</v>
      </c>
      <c r="H9" s="133">
        <f>IF(B$17=0,0,G9/B$17)</f>
        <v>0.11413043478260869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5.1724137931034482E-2</v>
      </c>
      <c r="E10" s="63" t="s">
        <v>72</v>
      </c>
      <c r="F10" s="60" t="s">
        <v>27</v>
      </c>
      <c r="G10" s="47">
        <v>14</v>
      </c>
      <c r="H10" s="133">
        <f>IF(B$17=0,0,G10/B$17)</f>
        <v>7.6086956521739135E-2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0.10344827586206896</v>
      </c>
      <c r="E11" s="63" t="s">
        <v>90</v>
      </c>
      <c r="F11" s="60" t="s">
        <v>45</v>
      </c>
      <c r="G11" s="47">
        <v>12</v>
      </c>
      <c r="H11" s="133">
        <f>IF(B$17=0,0,G11/B$17)</f>
        <v>6.5217391304347824E-2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2</v>
      </c>
      <c r="C12" s="42">
        <f>IF(B$2=0,0,B12/B$2)</f>
        <v>3.4482758620689655E-2</v>
      </c>
      <c r="E12" s="63" t="s">
        <v>71</v>
      </c>
      <c r="F12" s="60" t="s">
        <v>26</v>
      </c>
      <c r="G12" s="47">
        <v>10</v>
      </c>
      <c r="H12" s="133">
        <f>IF(B$17=0,0,G12/B$17)</f>
        <v>5.434782608695652E-2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1.9095238095238098</v>
      </c>
      <c r="P12" s="120">
        <v>21</v>
      </c>
      <c r="Q12" s="108">
        <v>40.100000000000009</v>
      </c>
    </row>
    <row r="13" spans="1:17" x14ac:dyDescent="0.4">
      <c r="A13" s="58" t="s">
        <v>122</v>
      </c>
      <c r="B13" s="50">
        <v>113</v>
      </c>
      <c r="C13" s="44">
        <f>IF(B$3=0,0,B13/B$3)</f>
        <v>0.22244094488188976</v>
      </c>
      <c r="E13" s="63" t="s">
        <v>84</v>
      </c>
      <c r="F13" s="60" t="s">
        <v>39</v>
      </c>
      <c r="G13" s="47">
        <v>9</v>
      </c>
      <c r="H13" s="133">
        <f>IF(B$17=0,0,G13/B$17)</f>
        <v>4.8913043478260872E-2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146</v>
      </c>
      <c r="C14" s="39">
        <f>IF(B$3=0,0,B14/B$3)</f>
        <v>0.2874015748031496</v>
      </c>
      <c r="E14" s="63" t="s">
        <v>87</v>
      </c>
      <c r="F14" s="60" t="s">
        <v>42</v>
      </c>
      <c r="G14" s="47">
        <v>8</v>
      </c>
      <c r="H14" s="133">
        <f>IF(B$17=0,0,G14/B$17)</f>
        <v>4.3478260869565216E-2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0.5752212389380531</v>
      </c>
      <c r="E15" s="63" t="s">
        <v>82</v>
      </c>
      <c r="F15" s="60" t="s">
        <v>37</v>
      </c>
      <c r="G15" s="47">
        <v>6</v>
      </c>
      <c r="H15" s="133">
        <f>IF(B$17=0,0,G15/B$17)</f>
        <v>3.2608695652173912E-2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64</v>
      </c>
      <c r="C16" s="37">
        <f>IF(B$14=0,0,B16/B$14)</f>
        <v>0.43835616438356162</v>
      </c>
      <c r="E16" s="63" t="s">
        <v>79</v>
      </c>
      <c r="F16" s="60" t="s">
        <v>34</v>
      </c>
      <c r="G16" s="47">
        <v>2</v>
      </c>
      <c r="H16" s="133">
        <f>IF(B$17=0,0,G16/B$17)</f>
        <v>1.0869565217391304E-2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184</v>
      </c>
      <c r="C17" s="37">
        <f>IF(B$3=0,0,B17/B$3)</f>
        <v>0.36220472440944884</v>
      </c>
      <c r="E17" s="63" t="s">
        <v>80</v>
      </c>
      <c r="F17" s="60" t="s">
        <v>35</v>
      </c>
      <c r="G17" s="47">
        <v>2</v>
      </c>
      <c r="H17" s="133">
        <f>IF(B$17=0,0,G17/B$17)</f>
        <v>1.0869565217391304E-2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77</v>
      </c>
      <c r="C18" s="39">
        <f>IF(B$17=0,0,B18/B$17)</f>
        <v>0.41847826086956524</v>
      </c>
      <c r="E18" s="63" t="s">
        <v>92</v>
      </c>
      <c r="F18" s="60" t="s">
        <v>47</v>
      </c>
      <c r="G18" s="47">
        <v>2</v>
      </c>
      <c r="H18" s="133">
        <f>IF(B$17=0,0,G18/B$17)</f>
        <v>1.0869565217391304E-2</v>
      </c>
      <c r="I18" s="94">
        <v>6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107</v>
      </c>
      <c r="C19" s="39">
        <f>IF(B$17=0,0,B19/B$17)</f>
        <v>0.58152173913043481</v>
      </c>
      <c r="E19" s="63" t="s">
        <v>76</v>
      </c>
      <c r="F19" s="60" t="s">
        <v>31</v>
      </c>
      <c r="G19" s="47">
        <v>1</v>
      </c>
      <c r="H19" s="133">
        <f>IF(B$17=0,0,G19/B$17)</f>
        <v>5.434782608695652E-3</v>
      </c>
      <c r="I19" s="94">
        <v>6</v>
      </c>
      <c r="K19" s="38">
        <v>17</v>
      </c>
      <c r="L19" s="99">
        <v>-55.099999999999994</v>
      </c>
      <c r="N19" s="115" t="s">
        <v>173</v>
      </c>
      <c r="O19" s="125">
        <f>IF(P19=0,0,Q19/P19)</f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66</v>
      </c>
      <c r="C20" s="39">
        <f>IF(B$3=0,0,B20/B$3)</f>
        <v>0.12992125984251968</v>
      </c>
      <c r="E20" s="63" t="s">
        <v>88</v>
      </c>
      <c r="F20" s="60" t="s">
        <v>43</v>
      </c>
      <c r="G20" s="47">
        <v>1</v>
      </c>
      <c r="H20" s="133">
        <f>IF(B$17=0,0,G20/B$17)</f>
        <v>5.434782608695652E-3</v>
      </c>
      <c r="I20" s="94">
        <v>3</v>
      </c>
      <c r="K20" s="38">
        <v>18</v>
      </c>
      <c r="L20" s="99">
        <v>-28.199999999999996</v>
      </c>
      <c r="N20" s="115" t="s">
        <v>177</v>
      </c>
      <c r="O20" s="125">
        <f>IF(P20=0,0,Q20/P20)</f>
        <v>6.2444444444444445</v>
      </c>
      <c r="P20" s="119">
        <v>9</v>
      </c>
      <c r="Q20" s="107">
        <v>56.2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7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6528.260869565217</v>
      </c>
      <c r="C23" s="41">
        <v>1201200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1.968503937007874E-3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1F2C-5B6A-4196-8AB8-C6FBD5D4E595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6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8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250E5-CCBE-41FB-B940-E51687679724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53</v>
      </c>
      <c r="H2" s="132">
        <f>IF(B$17=0,0,G2/B$17)</f>
        <v>0.53535353535353536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962.5</v>
      </c>
      <c r="P2" s="118">
        <v>40</v>
      </c>
      <c r="Q2" s="102">
        <v>38500</v>
      </c>
    </row>
    <row r="3" spans="1:17" x14ac:dyDescent="0.4">
      <c r="A3" s="55" t="s">
        <v>8</v>
      </c>
      <c r="B3" s="148">
        <v>330</v>
      </c>
      <c r="C3" s="149"/>
      <c r="E3" s="63" t="s">
        <v>67</v>
      </c>
      <c r="F3" s="60" t="s">
        <v>23</v>
      </c>
      <c r="G3" s="47">
        <v>53</v>
      </c>
      <c r="H3" s="133">
        <f>IF(B$17=0,0,G3/B$17)</f>
        <v>0.53535353535353536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618.42105263157896</v>
      </c>
      <c r="P3" s="119">
        <v>38</v>
      </c>
      <c r="Q3" s="103">
        <v>23500</v>
      </c>
    </row>
    <row r="4" spans="1:17" x14ac:dyDescent="0.4">
      <c r="A4" s="55" t="s">
        <v>6</v>
      </c>
      <c r="B4" s="150">
        <v>39.300000000000011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0.51515151515151514</v>
      </c>
      <c r="I4" s="94">
        <v>6</v>
      </c>
      <c r="K4" s="38">
        <v>2</v>
      </c>
      <c r="L4" s="99">
        <v>30</v>
      </c>
      <c r="N4" s="115" t="s">
        <v>134</v>
      </c>
      <c r="O4" s="122">
        <f t="shared" si="0"/>
        <v>-1642.8571428571429</v>
      </c>
      <c r="P4" s="119">
        <v>35</v>
      </c>
      <c r="Q4" s="103">
        <v>-57500</v>
      </c>
    </row>
    <row r="5" spans="1:17" x14ac:dyDescent="0.4">
      <c r="A5" s="55" t="s">
        <v>7</v>
      </c>
      <c r="B5" s="152">
        <f>IF(B$2=0,0,B$4/B$2)</f>
        <v>0.98250000000000026</v>
      </c>
      <c r="C5" s="153"/>
      <c r="E5" s="63" t="s">
        <v>181</v>
      </c>
      <c r="F5" s="60" t="s">
        <v>182</v>
      </c>
      <c r="G5" s="47">
        <v>39</v>
      </c>
      <c r="H5" s="133">
        <f>IF(B$17=0,0,G5/B$17)</f>
        <v>0.39393939393939392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1826.4705882352941</v>
      </c>
      <c r="P5" s="119">
        <v>34</v>
      </c>
      <c r="Q5" s="103">
        <v>62100</v>
      </c>
    </row>
    <row r="6" spans="1:17" x14ac:dyDescent="0.4">
      <c r="A6" s="55" t="s">
        <v>1</v>
      </c>
      <c r="B6" s="142">
        <f>IF(B$2=0,0,(B$7*1+B$8*2+B$9*3)/B$2)</f>
        <v>1.95</v>
      </c>
      <c r="C6" s="143"/>
      <c r="E6" s="63" t="s">
        <v>68</v>
      </c>
      <c r="F6" s="60" t="s">
        <v>24</v>
      </c>
      <c r="G6" s="47">
        <v>32</v>
      </c>
      <c r="H6" s="133">
        <f>IF(B$17=0,0,G6/B$17)</f>
        <v>0.32323232323232326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-1270</v>
      </c>
      <c r="P6" s="119">
        <v>30</v>
      </c>
      <c r="Q6" s="103">
        <v>-38100</v>
      </c>
    </row>
    <row r="7" spans="1:17" x14ac:dyDescent="0.4">
      <c r="A7" s="55" t="s">
        <v>2</v>
      </c>
      <c r="B7" s="47">
        <v>16</v>
      </c>
      <c r="C7" s="39">
        <f>IF(B$2=0,0,B7/B$2)</f>
        <v>0.4</v>
      </c>
      <c r="E7" s="63" t="s">
        <v>69</v>
      </c>
      <c r="F7" s="60" t="s">
        <v>12</v>
      </c>
      <c r="G7" s="47">
        <v>27</v>
      </c>
      <c r="H7" s="133">
        <f>IF(B$17=0,0,G7/B$17)</f>
        <v>0.27272727272727271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360</v>
      </c>
      <c r="P7" s="120">
        <v>25</v>
      </c>
      <c r="Q7" s="104">
        <v>9000</v>
      </c>
    </row>
    <row r="8" spans="1:17" x14ac:dyDescent="0.4">
      <c r="A8" s="55" t="s">
        <v>3</v>
      </c>
      <c r="B8" s="47">
        <v>10</v>
      </c>
      <c r="C8" s="39">
        <f>IF(B$2=0,0,B8/B$2)</f>
        <v>0.25</v>
      </c>
      <c r="E8" s="63" t="s">
        <v>90</v>
      </c>
      <c r="F8" s="60" t="s">
        <v>45</v>
      </c>
      <c r="G8" s="47">
        <v>13</v>
      </c>
      <c r="H8" s="133">
        <f>IF(B$17=0,0,G8/B$17)</f>
        <v>0.13131313131313133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70</v>
      </c>
      <c r="F9" s="60" t="s">
        <v>25</v>
      </c>
      <c r="G9" s="47">
        <v>12</v>
      </c>
      <c r="H9" s="133">
        <f>IF(B$17=0,0,G9/B$17)</f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0.17499999999999999</v>
      </c>
      <c r="E10" s="63" t="s">
        <v>71</v>
      </c>
      <c r="F10" s="60" t="s">
        <v>26</v>
      </c>
      <c r="G10" s="47">
        <v>8</v>
      </c>
      <c r="H10" s="133">
        <f>IF(B$17=0,0,G10/B$17)</f>
        <v>8.0808080808080815E-2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4</v>
      </c>
      <c r="C11" s="40">
        <f>IF(B$2=0,0,B11/B$2)</f>
        <v>0.1</v>
      </c>
      <c r="E11" s="63" t="s">
        <v>66</v>
      </c>
      <c r="F11" s="60" t="s">
        <v>22</v>
      </c>
      <c r="G11" s="47">
        <v>7</v>
      </c>
      <c r="H11" s="133">
        <f>IF(B$17=0,0,G11/B$17)</f>
        <v>7.0707070707070704E-2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0.72500000000000009</v>
      </c>
      <c r="P11" s="119">
        <v>16</v>
      </c>
      <c r="Q11" s="107">
        <v>11.600000000000001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84</v>
      </c>
      <c r="F12" s="60" t="s">
        <v>39</v>
      </c>
      <c r="G12" s="47">
        <v>5</v>
      </c>
      <c r="H12" s="133">
        <f>IF(B$17=0,0,G12/B$17)</f>
        <v>5.0505050505050504E-2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78</v>
      </c>
      <c r="C13" s="44">
        <f>IF(B$3=0,0,B13/B$3)</f>
        <v>0.23636363636363636</v>
      </c>
      <c r="E13" s="63" t="s">
        <v>92</v>
      </c>
      <c r="F13" s="60" t="s">
        <v>47</v>
      </c>
      <c r="G13" s="47">
        <v>5</v>
      </c>
      <c r="H13" s="133">
        <f>IF(B$17=0,0,G13/B$17)</f>
        <v>5.0505050505050504E-2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0.20909090909090908</v>
      </c>
      <c r="E14" s="63" t="s">
        <v>72</v>
      </c>
      <c r="F14" s="60" t="s">
        <v>27</v>
      </c>
      <c r="G14" s="47">
        <v>4</v>
      </c>
      <c r="H14" s="133">
        <f>IF(B$17=0,0,G14/B$17)</f>
        <v>4.0404040404040407E-2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53</v>
      </c>
      <c r="C15" s="37">
        <f>IF(B$13=0,0,B15/B$13)</f>
        <v>0.67948717948717952</v>
      </c>
      <c r="E15" s="63" t="s">
        <v>79</v>
      </c>
      <c r="F15" s="60" t="s">
        <v>34</v>
      </c>
      <c r="G15" s="47">
        <v>3</v>
      </c>
      <c r="H15" s="133">
        <f>IF(B$17=0,0,G15/B$17)</f>
        <v>3.0303030303030304E-2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0.37681159420289856</v>
      </c>
      <c r="E16" s="63" t="s">
        <v>82</v>
      </c>
      <c r="F16" s="60" t="s">
        <v>37</v>
      </c>
      <c r="G16" s="47">
        <v>3</v>
      </c>
      <c r="H16" s="133">
        <f>IF(B$17=0,0,G16/B$17)</f>
        <v>3.0303030303030304E-2</v>
      </c>
      <c r="I16" s="94">
        <v>7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</v>
      </c>
      <c r="E17" s="63" t="s">
        <v>80</v>
      </c>
      <c r="F17" s="60" t="s">
        <v>35</v>
      </c>
      <c r="G17" s="47">
        <v>2</v>
      </c>
      <c r="H17" s="133">
        <f>IF(B$17=0,0,G17/B$17)</f>
        <v>2.0202020202020204E-2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>IF(P17=0,0,Q17/P17)</f>
        <v>28.316666666666674</v>
      </c>
      <c r="P17" s="119">
        <v>12</v>
      </c>
      <c r="Q17" s="107">
        <v>339.80000000000007</v>
      </c>
    </row>
    <row r="18" spans="1:17" x14ac:dyDescent="0.4">
      <c r="A18" s="55" t="s">
        <v>12</v>
      </c>
      <c r="B18" s="47">
        <v>41</v>
      </c>
      <c r="C18" s="39">
        <f>IF(B$17=0,0,B18/B$17)</f>
        <v>0.41414141414141414</v>
      </c>
      <c r="E18" s="63" t="s">
        <v>86</v>
      </c>
      <c r="F18" s="60" t="s">
        <v>41</v>
      </c>
      <c r="G18" s="47">
        <v>2</v>
      </c>
      <c r="H18" s="133">
        <f>IF(B$17=0,0,G18/B$17)</f>
        <v>2.0202020202020204E-2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58</v>
      </c>
      <c r="C19" s="39">
        <f>IF(B$17=0,0,B19/B$17)</f>
        <v>0.58585858585858586</v>
      </c>
      <c r="E19" s="63" t="s">
        <v>87</v>
      </c>
      <c r="F19" s="60" t="s">
        <v>42</v>
      </c>
      <c r="G19" s="47">
        <v>2</v>
      </c>
      <c r="H19" s="133">
        <f>IF(B$17=0,0,G19/B$17)</f>
        <v>2.0202020202020204E-2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53</v>
      </c>
      <c r="C20" s="39">
        <f>IF(B$3=0,0,B20/B$3)</f>
        <v>0.16060606060606061</v>
      </c>
      <c r="E20" s="63" t="s">
        <v>75</v>
      </c>
      <c r="F20" s="60" t="s">
        <v>30</v>
      </c>
      <c r="G20" s="47">
        <v>1</v>
      </c>
      <c r="H20" s="133">
        <f>IF(B$17=0,0,G20/B$17)</f>
        <v>1.0101010101010102E-2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1.0101010101010102E-2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-6.244444444444448</v>
      </c>
      <c r="P21" s="119">
        <v>9</v>
      </c>
      <c r="Q21" s="107">
        <v>-56.200000000000031</v>
      </c>
    </row>
    <row r="22" spans="1:17" x14ac:dyDescent="0.4">
      <c r="A22" s="55" t="s">
        <v>194</v>
      </c>
      <c r="B22" s="47">
        <v>21</v>
      </c>
      <c r="C22" s="135">
        <v>14</v>
      </c>
      <c r="E22" s="63" t="s">
        <v>91</v>
      </c>
      <c r="F22" s="60" t="s">
        <v>46</v>
      </c>
      <c r="G22" s="47">
        <v>1</v>
      </c>
      <c r="H22" s="133">
        <f>IF(B$17=0,0,G22/B$17)</f>
        <v>1.0101010101010102E-2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-32.806666666666665</v>
      </c>
      <c r="P22" s="119">
        <v>15</v>
      </c>
      <c r="Q22" s="107">
        <v>-492.1</v>
      </c>
    </row>
    <row r="23" spans="1:17" x14ac:dyDescent="0.4">
      <c r="A23" s="55" t="s">
        <v>5</v>
      </c>
      <c r="B23" s="51">
        <f>IF(B$17=0,0,C23/B$17)</f>
        <v>8683.8383838383834</v>
      </c>
      <c r="C23" s="41">
        <v>859700</v>
      </c>
      <c r="E23" s="63" t="s">
        <v>93</v>
      </c>
      <c r="F23" s="60" t="s">
        <v>48</v>
      </c>
      <c r="G23" s="47">
        <v>1</v>
      </c>
      <c r="H23" s="133">
        <f>IF(B$17=0,0,G23/B$17)</f>
        <v>1.0101010101010102E-2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-7664.1509433962265</v>
      </c>
      <c r="C24" s="45">
        <v>-406200</v>
      </c>
      <c r="E24" s="63" t="s">
        <v>102</v>
      </c>
      <c r="F24" s="60" t="s">
        <v>57</v>
      </c>
      <c r="G24" s="47">
        <v>1</v>
      </c>
      <c r="H24" s="133">
        <f>IF(B$17=0,0,G24/B$17)</f>
        <v>1.0101010101010102E-2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6.0606060606060606E-3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9230C-8B14-47EE-B1AD-FF89D6D125A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6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34A0-78EB-4B1D-8DAE-6B288A82B4E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67</v>
      </c>
      <c r="F2" s="59" t="s">
        <v>23</v>
      </c>
      <c r="G2" s="46">
        <v>22</v>
      </c>
      <c r="H2" s="132">
        <f>IF(B$17=0,0,G2/B$17)</f>
        <v>0.7857142857142857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73</v>
      </c>
      <c r="F3" s="60" t="s">
        <v>28</v>
      </c>
      <c r="G3" s="47">
        <v>19</v>
      </c>
      <c r="H3" s="133">
        <f>IF(B$17=0,0,G3/B$17)</f>
        <v>0.6785714285714286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69</v>
      </c>
      <c r="F5" s="60" t="s">
        <v>12</v>
      </c>
      <c r="G5" s="47">
        <v>9</v>
      </c>
      <c r="H5" s="133">
        <f>IF(B$17=0,0,G5/B$17)</f>
        <v>0.32142857142857145</v>
      </c>
      <c r="I5" s="94">
        <v>7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181</v>
      </c>
      <c r="F6" s="60" t="s">
        <v>182</v>
      </c>
      <c r="G6" s="47">
        <v>8</v>
      </c>
      <c r="H6" s="133">
        <f>IF(B$17=0,0,G6/B$17)</f>
        <v>0.2857142857142857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90</v>
      </c>
      <c r="F8" s="60" t="s">
        <v>45</v>
      </c>
      <c r="G8" s="47">
        <v>5</v>
      </c>
      <c r="H8" s="133">
        <f>IF(B$17=0,0,G8/B$17)</f>
        <v>0.17857142857142858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4</v>
      </c>
      <c r="H9" s="133">
        <f>IF(B$17=0,0,G9/B$17)</f>
        <v>0.14285714285714285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71</v>
      </c>
      <c r="F10" s="60" t="s">
        <v>26</v>
      </c>
      <c r="G10" s="47">
        <v>4</v>
      </c>
      <c r="H10" s="133">
        <f>IF(B$17=0,0,G10/B$17)</f>
        <v>0.14285714285714285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80</v>
      </c>
      <c r="F12" s="60" t="s">
        <v>35</v>
      </c>
      <c r="G12" s="47">
        <v>2</v>
      </c>
      <c r="H12" s="133">
        <f>IF(B$17=0,0,G12/B$17)</f>
        <v>7.1428571428571425E-2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66</v>
      </c>
      <c r="F13" s="60" t="s">
        <v>22</v>
      </c>
      <c r="G13" s="47">
        <v>1</v>
      </c>
      <c r="H13" s="133">
        <f>IF(B$17=0,0,G13/B$17)</f>
        <v>3.5714285714285712E-2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72</v>
      </c>
      <c r="F14" s="60" t="s">
        <v>27</v>
      </c>
      <c r="G14" s="47">
        <v>1</v>
      </c>
      <c r="H14" s="133">
        <f>IF(B$17=0,0,G14/B$17)</f>
        <v>3.5714285714285712E-2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74</v>
      </c>
      <c r="F15" s="60" t="s">
        <v>29</v>
      </c>
      <c r="G15" s="47">
        <v>1</v>
      </c>
      <c r="H15" s="133">
        <f>IF(B$17=0,0,G15/B$17)</f>
        <v>3.5714285714285712E-2</v>
      </c>
      <c r="I15" s="94">
        <v>1</v>
      </c>
      <c r="N15" s="114" t="s">
        <v>129</v>
      </c>
      <c r="O15" s="124">
        <f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76</v>
      </c>
      <c r="F16" s="60" t="s">
        <v>31</v>
      </c>
      <c r="G16" s="47">
        <v>1</v>
      </c>
      <c r="H16" s="133">
        <f>IF(B$17=0,0,G16/B$17)</f>
        <v>3.5714285714285712E-2</v>
      </c>
      <c r="I16" s="94">
        <v>1</v>
      </c>
      <c r="N16" s="115" t="s">
        <v>127</v>
      </c>
      <c r="O16" s="125">
        <f>IF(P16=0,0,Q16/P16)</f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82</v>
      </c>
      <c r="F17" s="60" t="s">
        <v>37</v>
      </c>
      <c r="G17" s="47">
        <v>1</v>
      </c>
      <c r="H17" s="133">
        <f>IF(B$17=0,0,G17/B$17)</f>
        <v>3.5714285714285712E-2</v>
      </c>
      <c r="I17" s="94">
        <v>3</v>
      </c>
      <c r="N17" s="115" t="s">
        <v>177</v>
      </c>
      <c r="O17" s="125">
        <f>IF(P17=0,0,Q17/P17)</f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186D0-ECA3-4CCC-BDFB-0B33612F42E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4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181</v>
      </c>
      <c r="F7" s="60" t="s">
        <v>182</v>
      </c>
      <c r="G7" s="47">
        <v>7</v>
      </c>
      <c r="H7" s="133">
        <f>IF(B$17=0,0,G7/B$17)</f>
        <v>0.33333333333333331</v>
      </c>
      <c r="I7" s="94">
        <v>11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E9C-771D-4497-8E74-E44F2B6D047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11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DD29-9EE6-48D4-9713-9C5F05290D5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12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11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DD594-B2B4-44C1-875F-C0B4FCC2FA9F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E170-F72F-49A0-B8C0-5C40D2D5DA5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4BB9A-CC97-4EB6-B853-AC1D2C2653A2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C30D-306E-455F-9363-262DD8FAC836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1E2E-D86D-47C1-B4A1-AFFE198918A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BD27-3E30-47FB-8CDE-6C66DD83DBA6}">
  <sheetPr codeName="Sheet2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8FB7-D367-4399-B702-995A1A0F4294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CB71-1393-41A8-BD7E-2F67D0AB2549}">
  <sheetPr codeName="Sheet16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D54E-B4EC-4787-BD6B-1EAB6DC3A169}">
  <sheetPr codeName="Sheet14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6BA9-A583-4A29-993D-F9BFB59FA2E4}">
  <sheetPr codeName="Sheet12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E632-E302-449B-BCC8-207B96C75A69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E9A5-51DA-4FE9-83F7-6AFFB8C4289C}">
  <sheetPr codeName="Sheet8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1509.3000000000011</v>
      </c>
      <c r="C120" s="66">
        <v>12.900000000000009</v>
      </c>
      <c r="D120" s="71">
        <v>1.7264957264957266</v>
      </c>
      <c r="E120" s="67">
        <v>0.50427350427350426</v>
      </c>
      <c r="F120" s="67">
        <v>0.23076923076923078</v>
      </c>
      <c r="G120" s="67">
        <v>0.3518324607329843</v>
      </c>
      <c r="H120" s="67">
        <v>0.14973821989528796</v>
      </c>
      <c r="I120" s="68">
        <v>9063.6904761904771</v>
      </c>
      <c r="J120" s="68">
        <v>-8335.6643356643362</v>
      </c>
      <c r="K120" s="67">
        <v>0.1111111111111111</v>
      </c>
      <c r="L120" s="67">
        <v>0.17948717948717949</v>
      </c>
      <c r="M120" s="67">
        <v>0.32774869109947646</v>
      </c>
      <c r="N120" s="67">
        <v>0.22094240837696336</v>
      </c>
      <c r="O120" s="67">
        <v>0.58146964856230032</v>
      </c>
      <c r="P120" s="67">
        <v>0.51184834123222744</v>
      </c>
      <c r="Q120" s="67">
        <v>0.41666666666666669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F9B2C-0D0C-4FB0-9463-CE9E2984650F}">
  <sheetPr codeName="Sheet6"/>
  <dimension ref="A1:Q1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5.3290705182007514E-15</v>
      </c>
      <c r="C179" s="66">
        <v>1.0092936587501423E-17</v>
      </c>
      <c r="D179" s="71">
        <v>2</v>
      </c>
      <c r="E179" s="67">
        <v>0.33333333333333331</v>
      </c>
      <c r="F179" s="67">
        <v>0.33333333333333331</v>
      </c>
      <c r="G179" s="67">
        <v>0.29990966576332428</v>
      </c>
      <c r="H179" s="67">
        <v>0.16621499548328816</v>
      </c>
      <c r="I179" s="68">
        <v>8605.6475903614464</v>
      </c>
      <c r="J179" s="68">
        <v>-8201.902173913044</v>
      </c>
      <c r="K179" s="67">
        <v>0.11363636363636363</v>
      </c>
      <c r="L179" s="67">
        <v>0.11363636363636363</v>
      </c>
      <c r="M179" s="67">
        <v>0.27777777777777779</v>
      </c>
      <c r="N179" s="67">
        <v>0.20980126467931345</v>
      </c>
      <c r="O179" s="67">
        <v>0.58373983739837398</v>
      </c>
      <c r="P179" s="67">
        <v>0.3907427341227126</v>
      </c>
      <c r="Q179" s="67">
        <v>0.43975903614457829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2019-05-23T11:52:39Z</dcterms:modified>
</cp:coreProperties>
</file>