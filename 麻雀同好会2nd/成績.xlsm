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6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7411308-750D-43DC-A212-3423BE8988DA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434" r:id="rId6"/>
    <sheet name="だいち" sheetId="4436" r:id="rId7"/>
    <sheet name="りくと" sheetId="4438" r:id="rId8"/>
    <sheet name="ただ" sheetId="4440" r:id="rId9"/>
    <sheet name="れんたろう" sheetId="4442" r:id="rId10"/>
    <sheet name="たかの" sheetId="4444" r:id="rId11"/>
    <sheet name="ぱぱ" sheetId="4446" r:id="rId12"/>
    <sheet name="まっつん" sheetId="4448" r:id="rId13"/>
    <sheet name="まっつん2" sheetId="4449" state="hidden" r:id="rId14"/>
    <sheet name="ぱぱ2" sheetId="4447" state="hidden" r:id="rId15"/>
    <sheet name="たかの2" sheetId="4445" state="hidden" r:id="rId16"/>
    <sheet name="れんたろう2" sheetId="4443" state="hidden" r:id="rId17"/>
    <sheet name="ただ2" sheetId="4441" state="hidden" r:id="rId18"/>
    <sheet name="りくと2" sheetId="4439" state="hidden" r:id="rId19"/>
    <sheet name="だいち2" sheetId="4437" state="hidden" r:id="rId20"/>
    <sheet name="全体2" sheetId="4435" state="hidden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アガリ率" sheetId="3189" state="hidden" r:id="rId26"/>
    <sheet name="放銃率" sheetId="3190" state="hidden" r:id="rId27"/>
    <sheet name="平均アガリ点" sheetId="3520" state="hidden" r:id="rId28"/>
    <sheet name="平均放銃点" sheetId="3521" state="hidden" r:id="rId29"/>
    <sheet name="ふっとび率" sheetId="3522" state="hidden" r:id="rId30"/>
    <sheet name="ふっとばし率" sheetId="3523" state="hidden" r:id="rId31"/>
    <sheet name="リーチ率" sheetId="3524" state="hidden" r:id="rId32"/>
    <sheet name="副露率" sheetId="3525" state="hidden" r:id="rId33"/>
    <sheet name="リーチ成功率" sheetId="3526" state="hidden" r:id="rId34"/>
    <sheet name="副露成功率" sheetId="3527" state="hidden" r:id="rId35"/>
    <sheet name="ツモ率" sheetId="3528" state="hidden" r:id="rId36"/>
    <sheet name="逆転率" sheetId="3529" state="hidden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448" l="1"/>
  <c r="O19" i="4446"/>
  <c r="O17" i="4446"/>
  <c r="O16" i="4438"/>
  <c r="O17" i="4444" l="1"/>
  <c r="O17" i="4442"/>
  <c r="O15" i="4446"/>
  <c r="O18" i="4446"/>
  <c r="O15" i="4444" l="1"/>
  <c r="O15" i="4442"/>
  <c r="O18" i="4440"/>
  <c r="O19" i="4440"/>
  <c r="O17" i="4448"/>
  <c r="O16" i="4448"/>
  <c r="H12" i="4448"/>
  <c r="H52" i="4448"/>
  <c r="H51" i="4448"/>
  <c r="H50" i="4448"/>
  <c r="H49" i="4448"/>
  <c r="H48" i="4448"/>
  <c r="H47" i="4448"/>
  <c r="H46" i="4448"/>
  <c r="H45" i="4448"/>
  <c r="H44" i="4448"/>
  <c r="H43" i="4448"/>
  <c r="H42" i="4448"/>
  <c r="H41" i="4448"/>
  <c r="H40" i="4448"/>
  <c r="H39" i="4448"/>
  <c r="H38" i="4448"/>
  <c r="H37" i="4448"/>
  <c r="H36" i="4448"/>
  <c r="H35" i="4448"/>
  <c r="H34" i="4448"/>
  <c r="H33" i="4448"/>
  <c r="H32" i="4448"/>
  <c r="H11" i="4448"/>
  <c r="H31" i="4448"/>
  <c r="H10" i="4448"/>
  <c r="H30" i="4448"/>
  <c r="H29" i="4448"/>
  <c r="H28" i="4448"/>
  <c r="C25" i="4448"/>
  <c r="H27" i="4448"/>
  <c r="H26" i="4448"/>
  <c r="H25" i="4448"/>
  <c r="B22" i="4448"/>
  <c r="H24" i="4448"/>
  <c r="H23" i="4448"/>
  <c r="C20" i="4448"/>
  <c r="H22" i="4448"/>
  <c r="H21" i="4448"/>
  <c r="H20" i="4448"/>
  <c r="B17" i="4448"/>
  <c r="B21" i="4448" s="1"/>
  <c r="H19" i="4448"/>
  <c r="C16" i="4448"/>
  <c r="H18" i="4448"/>
  <c r="C15" i="4448"/>
  <c r="H17" i="4448"/>
  <c r="C14" i="4448"/>
  <c r="H9" i="4448"/>
  <c r="C13" i="4448"/>
  <c r="O12" i="4448"/>
  <c r="H16" i="4448"/>
  <c r="C12" i="4448"/>
  <c r="O11" i="4448"/>
  <c r="H15" i="4448"/>
  <c r="C11" i="4448"/>
  <c r="O10" i="4448"/>
  <c r="H8" i="4448"/>
  <c r="C10" i="4448"/>
  <c r="H14" i="4448"/>
  <c r="C9" i="4448"/>
  <c r="H13" i="4448"/>
  <c r="C8" i="4448"/>
  <c r="O7" i="4448"/>
  <c r="H7" i="4448"/>
  <c r="C7" i="4448"/>
  <c r="O6" i="4448"/>
  <c r="H5" i="4448"/>
  <c r="B6" i="4448"/>
  <c r="O5" i="4448"/>
  <c r="H4" i="4448"/>
  <c r="B5" i="4448"/>
  <c r="O4" i="4448"/>
  <c r="H3" i="4448"/>
  <c r="O3" i="4448"/>
  <c r="H6" i="4448"/>
  <c r="O2" i="4448"/>
  <c r="H2" i="4448"/>
  <c r="O16" i="4442"/>
  <c r="O20" i="4438"/>
  <c r="O20" i="4434"/>
  <c r="C18" i="4448" l="1"/>
  <c r="C17" i="4448"/>
  <c r="C19" i="4448"/>
  <c r="O16" i="4440" l="1"/>
  <c r="O20" i="4446"/>
  <c r="O16" i="4446"/>
  <c r="H6" i="4446"/>
  <c r="H52" i="4446"/>
  <c r="H51" i="4446"/>
  <c r="H50" i="4446"/>
  <c r="H49" i="4446"/>
  <c r="H48" i="4446"/>
  <c r="H47" i="4446"/>
  <c r="H46" i="4446"/>
  <c r="H45" i="4446"/>
  <c r="H44" i="4446"/>
  <c r="H43" i="4446"/>
  <c r="H42" i="4446"/>
  <c r="H41" i="4446"/>
  <c r="H40" i="4446"/>
  <c r="H39" i="4446"/>
  <c r="H38" i="4446"/>
  <c r="H37" i="4446"/>
  <c r="H36" i="4446"/>
  <c r="H35" i="4446"/>
  <c r="H34" i="4446"/>
  <c r="H33" i="4446"/>
  <c r="H32" i="4446"/>
  <c r="H31" i="4446"/>
  <c r="H30" i="4446"/>
  <c r="H10" i="4446"/>
  <c r="H29" i="4446"/>
  <c r="H28" i="4446"/>
  <c r="H27" i="4446"/>
  <c r="C25" i="4446"/>
  <c r="H26" i="4446"/>
  <c r="H25" i="4446"/>
  <c r="H9" i="4446"/>
  <c r="B22" i="4446"/>
  <c r="H24" i="4446"/>
  <c r="H23" i="4446"/>
  <c r="C20" i="4446"/>
  <c r="H22" i="4446"/>
  <c r="H21" i="4446"/>
  <c r="H20" i="4446"/>
  <c r="B17" i="4446"/>
  <c r="C18" i="4446" s="1"/>
  <c r="H19" i="4446"/>
  <c r="C16" i="4446"/>
  <c r="H18" i="4446"/>
  <c r="C15" i="4446"/>
  <c r="H17" i="4446"/>
  <c r="C14" i="4446"/>
  <c r="H16" i="4446"/>
  <c r="C13" i="4446"/>
  <c r="O12" i="4446"/>
  <c r="H15" i="4446"/>
  <c r="C12" i="4446"/>
  <c r="O11" i="4446"/>
  <c r="H14" i="4446"/>
  <c r="C11" i="4446"/>
  <c r="O10" i="4446"/>
  <c r="H4" i="4446"/>
  <c r="C10" i="4446"/>
  <c r="H13" i="4446"/>
  <c r="C9" i="4446"/>
  <c r="H8" i="4446"/>
  <c r="C8" i="4446"/>
  <c r="O7" i="4446"/>
  <c r="H7" i="4446"/>
  <c r="C7" i="4446"/>
  <c r="O6" i="4446"/>
  <c r="H2" i="4446"/>
  <c r="B6" i="4446"/>
  <c r="O5" i="4446"/>
  <c r="H12" i="4446"/>
  <c r="B5" i="4446"/>
  <c r="O4" i="4446"/>
  <c r="H3" i="4446"/>
  <c r="O3" i="4446"/>
  <c r="H11" i="4446"/>
  <c r="O2" i="4446"/>
  <c r="H5" i="4446"/>
  <c r="O15" i="4436"/>
  <c r="O15" i="4434"/>
  <c r="O19" i="4444"/>
  <c r="O17" i="4438"/>
  <c r="O15" i="4438"/>
  <c r="O19" i="4442"/>
  <c r="O16" i="4444"/>
  <c r="O18" i="4444"/>
  <c r="H3" i="4444"/>
  <c r="H52" i="4444"/>
  <c r="H51" i="4444"/>
  <c r="H50" i="4444"/>
  <c r="H49" i="4444"/>
  <c r="H48" i="4444"/>
  <c r="H47" i="4444"/>
  <c r="H46" i="4444"/>
  <c r="H45" i="4444"/>
  <c r="H44" i="4444"/>
  <c r="H43" i="4444"/>
  <c r="H42" i="4444"/>
  <c r="H41" i="4444"/>
  <c r="H40" i="4444"/>
  <c r="H39" i="4444"/>
  <c r="H38" i="4444"/>
  <c r="H37" i="4444"/>
  <c r="H36" i="4444"/>
  <c r="H35" i="4444"/>
  <c r="H34" i="4444"/>
  <c r="H33" i="4444"/>
  <c r="H32" i="4444"/>
  <c r="H31" i="4444"/>
  <c r="H30" i="4444"/>
  <c r="H9" i="4444"/>
  <c r="H29" i="4444"/>
  <c r="H28" i="4444"/>
  <c r="H13" i="4444"/>
  <c r="C25" i="4444"/>
  <c r="H27" i="4444"/>
  <c r="H26" i="4444"/>
  <c r="H12" i="4444"/>
  <c r="B22" i="4444"/>
  <c r="H25" i="4444"/>
  <c r="H11" i="4444"/>
  <c r="C20" i="4444"/>
  <c r="H24" i="4444"/>
  <c r="H23" i="4444"/>
  <c r="H22" i="4444"/>
  <c r="B17" i="4444"/>
  <c r="B21" i="4444" s="1"/>
  <c r="H21" i="4444"/>
  <c r="C16" i="4444"/>
  <c r="H20" i="4444"/>
  <c r="C15" i="4444"/>
  <c r="H19" i="4444"/>
  <c r="C14" i="4444"/>
  <c r="H18" i="4444"/>
  <c r="C13" i="4444"/>
  <c r="O12" i="4444"/>
  <c r="H17" i="4444"/>
  <c r="C12" i="4444"/>
  <c r="O11" i="4444"/>
  <c r="H16" i="4444"/>
  <c r="C11" i="4444"/>
  <c r="O10" i="4444"/>
  <c r="H2" i="4444"/>
  <c r="C10" i="4444"/>
  <c r="H15" i="4444"/>
  <c r="C9" i="4444"/>
  <c r="H14" i="4444"/>
  <c r="C8" i="4444"/>
  <c r="O7" i="4444"/>
  <c r="H10" i="4444"/>
  <c r="C7" i="4444"/>
  <c r="O6" i="4444"/>
  <c r="H7" i="4444"/>
  <c r="B6" i="4444"/>
  <c r="O5" i="4444"/>
  <c r="H6" i="4444"/>
  <c r="B5" i="4444"/>
  <c r="O4" i="4444"/>
  <c r="H5" i="4444"/>
  <c r="O3" i="4444"/>
  <c r="H8" i="4444"/>
  <c r="O2" i="4444"/>
  <c r="H4" i="4444"/>
  <c r="O20" i="4442"/>
  <c r="O18" i="4442"/>
  <c r="H5" i="4442"/>
  <c r="H52" i="4442"/>
  <c r="H51" i="4442"/>
  <c r="H50" i="4442"/>
  <c r="H49" i="4442"/>
  <c r="H48" i="4442"/>
  <c r="H47" i="4442"/>
  <c r="H46" i="4442"/>
  <c r="H45" i="4442"/>
  <c r="H44" i="4442"/>
  <c r="H43" i="4442"/>
  <c r="H42" i="4442"/>
  <c r="H41" i="4442"/>
  <c r="H40" i="4442"/>
  <c r="H39" i="4442"/>
  <c r="H38" i="4442"/>
  <c r="H37" i="4442"/>
  <c r="H36" i="4442"/>
  <c r="H35" i="4442"/>
  <c r="H34" i="4442"/>
  <c r="H33" i="4442"/>
  <c r="H14" i="4442"/>
  <c r="H32" i="4442"/>
  <c r="H31" i="4442"/>
  <c r="H10" i="4442"/>
  <c r="H30" i="4442"/>
  <c r="H29" i="4442"/>
  <c r="H28" i="4442"/>
  <c r="C25" i="4442"/>
  <c r="H27" i="4442"/>
  <c r="H26" i="4442"/>
  <c r="H13" i="4442"/>
  <c r="B22" i="4442"/>
  <c r="H25" i="4442"/>
  <c r="H24" i="4442"/>
  <c r="C20" i="4442"/>
  <c r="H23" i="4442"/>
  <c r="H22" i="4442"/>
  <c r="H21" i="4442"/>
  <c r="B17" i="4442"/>
  <c r="B21" i="4442" s="1"/>
  <c r="H20" i="4442"/>
  <c r="C16" i="4442"/>
  <c r="H19" i="4442"/>
  <c r="C15" i="4442"/>
  <c r="H18" i="4442"/>
  <c r="C14" i="4442"/>
  <c r="H12" i="4442"/>
  <c r="C13" i="4442"/>
  <c r="O12" i="4442"/>
  <c r="H17" i="4442"/>
  <c r="C12" i="4442"/>
  <c r="O11" i="4442"/>
  <c r="H16" i="4442"/>
  <c r="C11" i="4442"/>
  <c r="O10" i="4442"/>
  <c r="H3" i="4442"/>
  <c r="C10" i="4442"/>
  <c r="H15" i="4442"/>
  <c r="C9" i="4442"/>
  <c r="H9" i="4442"/>
  <c r="C8" i="4442"/>
  <c r="O7" i="4442"/>
  <c r="H6" i="4442"/>
  <c r="C7" i="4442"/>
  <c r="O6" i="4442"/>
  <c r="H7" i="4442"/>
  <c r="B6" i="4442"/>
  <c r="O5" i="4442"/>
  <c r="H11" i="4442"/>
  <c r="B5" i="4442"/>
  <c r="O4" i="4442"/>
  <c r="H2" i="4442"/>
  <c r="O3" i="4442"/>
  <c r="H8" i="4442"/>
  <c r="O2" i="4442"/>
  <c r="H4" i="4442"/>
  <c r="O19" i="4436"/>
  <c r="O16" i="4436"/>
  <c r="O19" i="4434"/>
  <c r="O17" i="4434"/>
  <c r="C18" i="4444" l="1"/>
  <c r="C18" i="4442"/>
  <c r="B21" i="4446"/>
  <c r="C17" i="4446"/>
  <c r="C19" i="4446"/>
  <c r="C17" i="4444"/>
  <c r="C19" i="4444"/>
  <c r="C17" i="4442"/>
  <c r="C19" i="4442"/>
  <c r="O15" i="4440" l="1"/>
  <c r="O17" i="4440"/>
  <c r="H7" i="4440"/>
  <c r="H52" i="4440"/>
  <c r="H51" i="4440"/>
  <c r="H50" i="4440"/>
  <c r="H49" i="4440"/>
  <c r="H48" i="4440"/>
  <c r="H47" i="4440"/>
  <c r="H46" i="4440"/>
  <c r="H45" i="4440"/>
  <c r="H44" i="4440"/>
  <c r="H43" i="4440"/>
  <c r="H42" i="4440"/>
  <c r="H41" i="4440"/>
  <c r="H40" i="4440"/>
  <c r="H39" i="4440"/>
  <c r="H38" i="4440"/>
  <c r="H37" i="4440"/>
  <c r="H36" i="4440"/>
  <c r="H35" i="4440"/>
  <c r="H34" i="4440"/>
  <c r="H33" i="4440"/>
  <c r="H32" i="4440"/>
  <c r="H31" i="4440"/>
  <c r="H30" i="4440"/>
  <c r="H9" i="4440"/>
  <c r="H29" i="4440"/>
  <c r="H28" i="4440"/>
  <c r="H12" i="4440"/>
  <c r="C25" i="4440"/>
  <c r="H27" i="4440"/>
  <c r="H26" i="4440"/>
  <c r="H15" i="4440"/>
  <c r="B22" i="4440"/>
  <c r="H25" i="4440"/>
  <c r="H24" i="4440"/>
  <c r="C20" i="4440"/>
  <c r="H23" i="4440"/>
  <c r="H22" i="4440"/>
  <c r="H21" i="4440"/>
  <c r="B17" i="4440"/>
  <c r="B21" i="4440" s="1"/>
  <c r="H14" i="4440"/>
  <c r="C16" i="4440"/>
  <c r="H20" i="4440"/>
  <c r="C15" i="4440"/>
  <c r="H19" i="4440"/>
  <c r="C14" i="4440"/>
  <c r="H18" i="4440"/>
  <c r="C13" i="4440"/>
  <c r="O12" i="4440"/>
  <c r="H17" i="4440"/>
  <c r="C12" i="4440"/>
  <c r="O11" i="4440"/>
  <c r="H16" i="4440"/>
  <c r="C11" i="4440"/>
  <c r="O10" i="4440"/>
  <c r="H5" i="4440"/>
  <c r="C10" i="4440"/>
  <c r="H8" i="4440"/>
  <c r="C9" i="4440"/>
  <c r="H11" i="4440"/>
  <c r="C8" i="4440"/>
  <c r="O7" i="4440"/>
  <c r="H10" i="4440"/>
  <c r="C7" i="4440"/>
  <c r="O6" i="4440"/>
  <c r="H6" i="4440"/>
  <c r="B6" i="4440"/>
  <c r="O5" i="4440"/>
  <c r="H4" i="4440"/>
  <c r="B5" i="4440"/>
  <c r="O4" i="4440"/>
  <c r="H2" i="4440"/>
  <c r="O3" i="4440"/>
  <c r="H13" i="4440"/>
  <c r="O2" i="4440"/>
  <c r="H3" i="4440"/>
  <c r="O19" i="4438"/>
  <c r="O18" i="4438"/>
  <c r="H4" i="4438"/>
  <c r="H52" i="4438"/>
  <c r="H51" i="4438"/>
  <c r="H50" i="4438"/>
  <c r="H49" i="4438"/>
  <c r="H48" i="4438"/>
  <c r="H47" i="4438"/>
  <c r="H46" i="4438"/>
  <c r="H45" i="4438"/>
  <c r="H44" i="4438"/>
  <c r="H43" i="4438"/>
  <c r="H42" i="4438"/>
  <c r="H41" i="4438"/>
  <c r="H40" i="4438"/>
  <c r="H39" i="4438"/>
  <c r="H38" i="4438"/>
  <c r="H37" i="4438"/>
  <c r="H36" i="4438"/>
  <c r="H35" i="4438"/>
  <c r="H34" i="4438"/>
  <c r="H33" i="4438"/>
  <c r="H32" i="4438"/>
  <c r="H17" i="4438"/>
  <c r="H31" i="4438"/>
  <c r="H12" i="4438"/>
  <c r="H30" i="4438"/>
  <c r="H29" i="4438"/>
  <c r="H11" i="4438"/>
  <c r="C25" i="4438"/>
  <c r="H28" i="4438"/>
  <c r="H27" i="4438"/>
  <c r="H26" i="4438"/>
  <c r="B22" i="4438"/>
  <c r="H25" i="4438"/>
  <c r="H16" i="4438"/>
  <c r="C20" i="4438"/>
  <c r="H24" i="4438"/>
  <c r="H23" i="4438"/>
  <c r="H22" i="4438"/>
  <c r="B17" i="4438"/>
  <c r="C18" i="4438" s="1"/>
  <c r="H21" i="4438"/>
  <c r="C16" i="4438"/>
  <c r="H20" i="4438"/>
  <c r="C15" i="4438"/>
  <c r="H19" i="4438"/>
  <c r="C14" i="4438"/>
  <c r="H15" i="4438"/>
  <c r="C13" i="4438"/>
  <c r="O12" i="4438"/>
  <c r="H18" i="4438"/>
  <c r="C12" i="4438"/>
  <c r="O11" i="4438"/>
  <c r="H14" i="4438"/>
  <c r="C11" i="4438"/>
  <c r="O10" i="4438"/>
  <c r="H8" i="4438"/>
  <c r="C10" i="4438"/>
  <c r="H13" i="4438"/>
  <c r="C9" i="4438"/>
  <c r="H10" i="4438"/>
  <c r="C8" i="4438"/>
  <c r="O7" i="4438"/>
  <c r="H7" i="4438"/>
  <c r="C7" i="4438"/>
  <c r="O6" i="4438"/>
  <c r="H6" i="4438"/>
  <c r="B6" i="4438"/>
  <c r="O5" i="4438"/>
  <c r="H5" i="4438"/>
  <c r="B5" i="4438"/>
  <c r="O4" i="4438"/>
  <c r="H3" i="4438"/>
  <c r="O3" i="4438"/>
  <c r="H9" i="4438"/>
  <c r="O2" i="4438"/>
  <c r="H2" i="4438"/>
  <c r="O21" i="4434"/>
  <c r="O17" i="4436"/>
  <c r="O18" i="4436"/>
  <c r="H4" i="4436"/>
  <c r="H52" i="4436"/>
  <c r="H51" i="4436"/>
  <c r="H50" i="4436"/>
  <c r="H49" i="4436"/>
  <c r="H48" i="4436"/>
  <c r="H47" i="4436"/>
  <c r="H46" i="4436"/>
  <c r="H45" i="4436"/>
  <c r="H44" i="4436"/>
  <c r="H43" i="4436"/>
  <c r="H42" i="4436"/>
  <c r="H41" i="4436"/>
  <c r="H40" i="4436"/>
  <c r="H39" i="4436"/>
  <c r="H38" i="4436"/>
  <c r="H37" i="4436"/>
  <c r="H36" i="4436"/>
  <c r="H35" i="4436"/>
  <c r="H34" i="4436"/>
  <c r="H33" i="4436"/>
  <c r="H32" i="4436"/>
  <c r="H31" i="4436"/>
  <c r="H30" i="4436"/>
  <c r="H7" i="4436"/>
  <c r="H29" i="4436"/>
  <c r="H28" i="4436"/>
  <c r="H11" i="4436"/>
  <c r="C25" i="4436"/>
  <c r="H27" i="4436"/>
  <c r="H26" i="4436"/>
  <c r="H14" i="4436"/>
  <c r="B22" i="4436"/>
  <c r="H25" i="4436"/>
  <c r="H16" i="4436"/>
  <c r="C20" i="4436"/>
  <c r="H24" i="4436"/>
  <c r="H23" i="4436"/>
  <c r="H22" i="4436"/>
  <c r="B17" i="4436"/>
  <c r="C18" i="4436" s="1"/>
  <c r="H13" i="4436"/>
  <c r="C16" i="4436"/>
  <c r="H21" i="4436"/>
  <c r="C15" i="4436"/>
  <c r="H20" i="4436"/>
  <c r="C14" i="4436"/>
  <c r="H19" i="4436"/>
  <c r="C13" i="4436"/>
  <c r="O12" i="4436"/>
  <c r="H18" i="4436"/>
  <c r="C12" i="4436"/>
  <c r="O11" i="4436"/>
  <c r="H17" i="4436"/>
  <c r="C11" i="4436"/>
  <c r="O10" i="4436"/>
  <c r="H2" i="4436"/>
  <c r="C10" i="4436"/>
  <c r="H15" i="4436"/>
  <c r="C9" i="4436"/>
  <c r="H12" i="4436"/>
  <c r="C8" i="4436"/>
  <c r="O7" i="4436"/>
  <c r="H6" i="4436"/>
  <c r="C7" i="4436"/>
  <c r="O6" i="4436"/>
  <c r="H8" i="4436"/>
  <c r="B6" i="4436"/>
  <c r="O5" i="4436"/>
  <c r="H9" i="4436"/>
  <c r="B5" i="4436"/>
  <c r="O4" i="4436"/>
  <c r="H3" i="4436"/>
  <c r="O3" i="4436"/>
  <c r="H10" i="4436"/>
  <c r="O2" i="4436"/>
  <c r="H5" i="4436"/>
  <c r="O16" i="4434"/>
  <c r="O18" i="4434"/>
  <c r="H5" i="4434"/>
  <c r="H52" i="4434"/>
  <c r="H51" i="4434"/>
  <c r="H50" i="4434"/>
  <c r="H49" i="4434"/>
  <c r="H48" i="4434"/>
  <c r="H47" i="4434"/>
  <c r="H46" i="4434"/>
  <c r="H45" i="4434"/>
  <c r="H44" i="4434"/>
  <c r="H43" i="4434"/>
  <c r="H42" i="4434"/>
  <c r="H41" i="4434"/>
  <c r="H40" i="4434"/>
  <c r="H39" i="4434"/>
  <c r="H38" i="4434"/>
  <c r="H37" i="4434"/>
  <c r="H36" i="4434"/>
  <c r="H35" i="4434"/>
  <c r="H34" i="4434"/>
  <c r="H33" i="4434"/>
  <c r="H20" i="4434"/>
  <c r="H18" i="4434"/>
  <c r="H32" i="4434"/>
  <c r="H9" i="4434"/>
  <c r="H31" i="4434"/>
  <c r="H30" i="4434"/>
  <c r="H12" i="4434"/>
  <c r="C25" i="4434"/>
  <c r="H29" i="4434"/>
  <c r="H28" i="4434"/>
  <c r="H13" i="4434"/>
  <c r="B22" i="4434"/>
  <c r="H27" i="4434"/>
  <c r="H17" i="4434"/>
  <c r="C20" i="4434"/>
  <c r="H26" i="4434"/>
  <c r="H25" i="4434"/>
  <c r="H24" i="4434"/>
  <c r="B17" i="4434"/>
  <c r="C18" i="4434" s="1"/>
  <c r="H16" i="4434"/>
  <c r="C16" i="4434"/>
  <c r="H23" i="4434"/>
  <c r="C15" i="4434"/>
  <c r="H22" i="4434"/>
  <c r="C14" i="4434"/>
  <c r="H15" i="4434"/>
  <c r="C13" i="4434"/>
  <c r="O12" i="4434"/>
  <c r="H21" i="4434"/>
  <c r="C12" i="4434"/>
  <c r="O11" i="4434"/>
  <c r="H19" i="4434"/>
  <c r="C11" i="4434"/>
  <c r="O10" i="4434"/>
  <c r="H3" i="4434"/>
  <c r="C10" i="4434"/>
  <c r="H14" i="4434"/>
  <c r="C9" i="4434"/>
  <c r="H11" i="4434"/>
  <c r="C8" i="4434"/>
  <c r="O7" i="4434"/>
  <c r="H8" i="4434"/>
  <c r="C7" i="4434"/>
  <c r="O6" i="4434"/>
  <c r="H6" i="4434"/>
  <c r="B6" i="4434"/>
  <c r="O5" i="4434"/>
  <c r="H7" i="4434"/>
  <c r="B5" i="4434"/>
  <c r="O4" i="4434"/>
  <c r="H2" i="4434"/>
  <c r="O3" i="4434"/>
  <c r="H10" i="4434"/>
  <c r="O2" i="4434"/>
  <c r="H4" i="4434"/>
  <c r="C18" i="4440" l="1"/>
  <c r="C17" i="4440"/>
  <c r="C19" i="4440"/>
  <c r="C19" i="4438"/>
  <c r="B21" i="4438"/>
  <c r="C17" i="4438"/>
  <c r="B21" i="4436"/>
  <c r="C17" i="4436"/>
  <c r="C19" i="4436"/>
  <c r="C19" i="4434"/>
  <c r="C17" i="4434"/>
  <c r="B21" i="4434"/>
  <c r="H50" i="2228" l="1"/>
  <c r="H51" i="2228"/>
  <c r="H52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49" i="2228" l="1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C17" i="2228"/>
  <c r="B17" i="2228"/>
  <c r="H13" i="2228"/>
  <c r="C16" i="2228"/>
  <c r="H12" i="2228"/>
  <c r="C15" i="2228"/>
  <c r="H11" i="2228"/>
  <c r="H10" i="2228"/>
  <c r="H9" i="2228"/>
  <c r="H8" i="2228"/>
  <c r="C9" i="2228"/>
  <c r="H7" i="2228"/>
  <c r="H6" i="2228"/>
  <c r="C7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<sst xmlns="http://schemas.openxmlformats.org/spreadsheetml/2006/main" count="1967" uniqueCount="192">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</sst>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全体!$L$2:$L$62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6-489C-B088-D6AE458D7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-50</c:v>
                </c:pt>
                <c:pt idx="1">
                  <c:v>-33.333333333333336</c:v>
                </c:pt>
                <c:pt idx="2">
                  <c:v>92.592592592592595</c:v>
                </c:pt>
                <c:pt idx="3">
                  <c:v>0</c:v>
                </c:pt>
                <c:pt idx="4">
                  <c:v>-20.833333333333332</c:v>
                </c:pt>
                <c:pt idx="5">
                  <c:v>22.222222222222221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6E-40C4-900F-62EE49CEF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だいち!$L$2:$L$15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A-404E-98D7-6459940E4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2553.8461538461538</c:v>
                </c:pt>
                <c:pt idx="1">
                  <c:v>4823.0769230769229</c:v>
                </c:pt>
                <c:pt idx="2">
                  <c:v>4391.666666666667</c:v>
                </c:pt>
                <c:pt idx="3">
                  <c:v>7872.727272727273</c:v>
                </c:pt>
                <c:pt idx="4">
                  <c:v>1180</c:v>
                </c:pt>
                <c:pt idx="5">
                  <c:v>766.66666666666663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7E-4231-A0A2-9B5B5BF49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4-46CD-AC6A-C04C7B57B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-3500</c:v>
                </c:pt>
                <c:pt idx="1">
                  <c:v>-541.66666666666663</c:v>
                </c:pt>
                <c:pt idx="2">
                  <c:v>-1383.3333333333333</c:v>
                </c:pt>
                <c:pt idx="3">
                  <c:v>916.66666666666663</c:v>
                </c:pt>
                <c:pt idx="4">
                  <c:v>3191.6666666666665</c:v>
                </c:pt>
                <c:pt idx="5">
                  <c:v>-58.333333333333336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77-4B81-9374-F680C1B1A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94-4EEB-9C02-339D1FA9B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1255.5555555555557</c:v>
                </c:pt>
                <c:pt idx="1">
                  <c:v>-3022.2222222222222</c:v>
                </c:pt>
                <c:pt idx="2">
                  <c:v>-2914.2857142857142</c:v>
                </c:pt>
                <c:pt idx="3">
                  <c:v>-5114.2857142857147</c:v>
                </c:pt>
                <c:pt idx="4">
                  <c:v>-1571.4285714285713</c:v>
                </c:pt>
                <c:pt idx="5">
                  <c:v>-642.85714285714289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E7-4DA1-8F16-DDA1ADC5B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れんたろう!$L$2:$L$12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AC-4E54-A334-1D66C2AD2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-2080</c:v>
                </c:pt>
                <c:pt idx="1">
                  <c:v>3070</c:v>
                </c:pt>
                <c:pt idx="2">
                  <c:v>188.88888888888889</c:v>
                </c:pt>
                <c:pt idx="3">
                  <c:v>-6600</c:v>
                </c:pt>
                <c:pt idx="4">
                  <c:v>2114.2857142857142</c:v>
                </c:pt>
                <c:pt idx="5">
                  <c:v>-350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48-4807-93AB-7DD171389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たかの!$L$2:$L$9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7B-4574-80CB-00CDB9A2C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2700</c:v>
                </c:pt>
                <c:pt idx="1">
                  <c:v>1842.8571428571429</c:v>
                </c:pt>
                <c:pt idx="2">
                  <c:v>-1466.6666666666667</c:v>
                </c:pt>
                <c:pt idx="3">
                  <c:v>4200</c:v>
                </c:pt>
                <c:pt idx="4">
                  <c:v>-4716.666666666667</c:v>
                </c:pt>
                <c:pt idx="5">
                  <c:v>-3020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D-43B9-897A-476E7E142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7-4568-988D-C166BD73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-271.42857142857144</c:v>
                </c:pt>
                <c:pt idx="1">
                  <c:v>-9800</c:v>
                </c:pt>
                <c:pt idx="2">
                  <c:v>-283.33333333333331</c:v>
                </c:pt>
                <c:pt idx="3">
                  <c:v>-6560</c:v>
                </c:pt>
                <c:pt idx="4">
                  <c:v>-4400</c:v>
                </c:pt>
                <c:pt idx="5">
                  <c:v>-3375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A-4784-BEDE-2DE4A9534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F-4CC0-A8FD-CE16A346E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-850</c:v>
                </c:pt>
                <c:pt idx="1">
                  <c:v>-3000</c:v>
                </c:pt>
                <c:pt idx="2">
                  <c:v>-950</c:v>
                </c:pt>
                <c:pt idx="3">
                  <c:v>-700</c:v>
                </c:pt>
                <c:pt idx="4">
                  <c:v>-4500</c:v>
                </c:pt>
                <c:pt idx="5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1B-458A-A46E-E43583916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まっつん2!$C$3:$C$5</c:f>
              <c:numCache>
                <c:formatCode>\+0.0;\-0.0;\±0</c:formatCode>
                <c:ptCount val="3"/>
                <c:pt idx="1">
                  <c:v>-1.9</c:v>
                </c:pt>
                <c:pt idx="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まっつん2!$D$3:$D$5</c:f>
              <c:numCache>
                <c:formatCode>0.00\ "位"</c:formatCode>
                <c:ptCount val="3"/>
                <c:pt idx="1">
                  <c:v>2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まっつん2!$E$3:$E$5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まっつん2!$F$3:$F$5</c:f>
              <c:numCache>
                <c:formatCode>0.0%</c:formatCode>
                <c:ptCount val="3"/>
                <c:pt idx="1">
                  <c:v>0.2857142857142857</c:v>
                </c:pt>
                <c:pt idx="2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まっつん2!$G$3:$G$5</c:f>
              <c:numCache>
                <c:formatCode>0.0%</c:formatCode>
                <c:ptCount val="3"/>
                <c:pt idx="1">
                  <c:v>0.14285714285714285</c:v>
                </c:pt>
                <c:pt idx="2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まっつん2!$H$3:$H$5</c:f>
              <c:numCache>
                <c:formatCode>0</c:formatCode>
                <c:ptCount val="3"/>
                <c:pt idx="1">
                  <c:v>7050</c:v>
                </c:pt>
                <c:pt idx="2">
                  <c:v>8800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まっつん2!$I$3:$I$5</c:f>
              <c:numCache>
                <c:formatCode>0</c:formatCode>
                <c:ptCount val="3"/>
                <c:pt idx="1">
                  <c:v>-3900</c:v>
                </c:pt>
                <c:pt idx="2">
                  <c:v>-2933.3333333333335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まっつん2!$J$3:$J$5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まっつん2!$M$3:$M$5</c:f>
              <c:numCache>
                <c:formatCode>0.0%</c:formatCode>
                <c:ptCount val="3"/>
                <c:pt idx="1">
                  <c:v>0</c:v>
                </c:pt>
                <c:pt idx="2">
                  <c:v>0.11764705882352941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まっつん2!$N$3:$N$5</c:f>
              <c:numCache>
                <c:formatCode>0.0%</c:formatCode>
                <c:ptCount val="3"/>
                <c:pt idx="1">
                  <c:v>0.14285714285714285</c:v>
                </c:pt>
                <c:pt idx="2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まっつん2!$O$3:$O$5</c:f>
              <c:numCache>
                <c:formatCode>0.0%</c:formatCode>
                <c:ptCount val="3"/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まっつん2!$P$3:$P$5</c:f>
              <c:numCache>
                <c:formatCode>0.0%</c:formatCode>
                <c:ptCount val="3"/>
                <c:pt idx="1">
                  <c:v>0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まっつん2!$Q$3:$Q$5</c:f>
              <c:numCache>
                <c:formatCode>0.0%</c:formatCode>
                <c:ptCount val="3"/>
                <c:pt idx="1">
                  <c:v>0.5</c:v>
                </c:pt>
                <c:pt idx="2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まっつん2!$L$3:$L$5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3394C5-7C2A-42E1-B907-379701F61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F3134A7-6A7C-4B8A-A60C-35C76C0421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29590F-4664-4835-88D5-1E94ECCE2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6534829-F102-4FBD-A492-41EEC94D79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D9BF69-92A7-4DA5-823A-1E15338409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C628A26-E0B0-4B3E-BAFE-AFE728130D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4129AD-DE01-4E90-BD80-6CF69F9F03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642CE6-9A38-4588-807E-892DBDB70F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A6BACA-0897-4A73-8147-1513B7099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D4778AF-939A-4797-B114-4E0AA3FD8D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ED7EB7-9015-47AF-BFDC-E667BF4F8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B8B169C-21DB-42BD-85BD-F63CE84138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6AEAAD-CF88-45F7-98B9-E1098E6C0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A73BB27-512C-4903-9EE4-A7B1BB8C10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6530AD0-BF2E-4F84-A0F3-F5121C8DD1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236D76-8079-47C7-A1EC-EF6BFBD71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41"/>
      <c r="C1" s="142"/>
      <c r="E1" s="133" t="s">
        <v>175</v>
      </c>
      <c r="F1" s="12" t="s">
        <v>118</v>
      </c>
      <c r="G1" s="26" t="s">
        <v>119</v>
      </c>
      <c r="H1" s="134" t="s">
        <v>120</v>
      </c>
      <c r="I1" s="104" t="s">
        <v>159</v>
      </c>
      <c r="K1" s="2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164</v>
      </c>
    </row>
    <row r="2" spans="1:17" x14ac:dyDescent="0.4">
      <c r="A2" s="21" t="s">
        <v>9</v>
      </c>
      <c r="B2" s="143">
        <v>0</v>
      </c>
      <c r="C2" s="144"/>
      <c r="E2" s="62" t="s">
        <v>66</v>
      </c>
      <c r="F2" s="27" t="s">
        <v>21</v>
      </c>
      <c r="G2" s="14">
        <v>0</v>
      </c>
      <c r="H2" s="136">
        <f t="shared" ref="H2:H32" si="0">IF(B$27=0,0,G2/B$27)</f>
        <v>0</v>
      </c>
      <c r="I2" s="97"/>
      <c r="K2" s="3">
        <v>0</v>
      </c>
      <c r="L2" s="102">
        <v>0</v>
      </c>
      <c r="N2" s="118" t="s">
        <v>136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45">
        <v>0</v>
      </c>
      <c r="C3" s="146"/>
      <c r="E3" s="63" t="s">
        <v>67</v>
      </c>
      <c r="F3" s="28" t="s">
        <v>22</v>
      </c>
      <c r="G3" s="15">
        <v>0</v>
      </c>
      <c r="H3" s="137">
        <f t="shared" si="0"/>
        <v>0</v>
      </c>
      <c r="I3" s="98"/>
      <c r="N3" s="119" t="s">
        <v>137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47">
        <v>0</v>
      </c>
      <c r="C4" s="148"/>
      <c r="E4" s="63" t="s">
        <v>68</v>
      </c>
      <c r="F4" s="28" t="s">
        <v>23</v>
      </c>
      <c r="G4" s="15">
        <v>0</v>
      </c>
      <c r="H4" s="137">
        <f t="shared" si="0"/>
        <v>0</v>
      </c>
      <c r="I4" s="98"/>
      <c r="N4" s="119" t="s">
        <v>138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49">
        <f>IF(B$2=0,0,B$4/B$2)</f>
        <v>0</v>
      </c>
      <c r="C5" s="150"/>
      <c r="E5" s="63" t="s">
        <v>69</v>
      </c>
      <c r="F5" s="28" t="s">
        <v>24</v>
      </c>
      <c r="G5" s="15">
        <v>0</v>
      </c>
      <c r="H5" s="137">
        <f t="shared" si="0"/>
        <v>0</v>
      </c>
      <c r="I5" s="98"/>
      <c r="N5" s="119" t="s">
        <v>139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55">
        <f>IF(B$2=0,0,(B$7*1+B$8*2+B$9*3)/B$2)</f>
        <v>0</v>
      </c>
      <c r="C6" s="156"/>
      <c r="E6" s="63" t="s">
        <v>70</v>
      </c>
      <c r="F6" s="28" t="s">
        <v>12</v>
      </c>
      <c r="G6" s="15">
        <v>0</v>
      </c>
      <c r="H6" s="137">
        <f t="shared" si="0"/>
        <v>0</v>
      </c>
      <c r="I6" s="98"/>
      <c r="N6" s="119" t="s">
        <v>140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7">
        <f t="shared" si="0"/>
        <v>0</v>
      </c>
      <c r="I7" s="98"/>
      <c r="N7" s="120" t="s">
        <v>141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7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7">
        <f t="shared" si="0"/>
        <v>0</v>
      </c>
      <c r="I9" s="98"/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7">
        <f t="shared" si="0"/>
        <v>0</v>
      </c>
      <c r="I10" s="98"/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7">
        <f t="shared" si="0"/>
        <v>0</v>
      </c>
      <c r="I11" s="98"/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7">
        <f t="shared" si="0"/>
        <v>0</v>
      </c>
      <c r="I12" s="98"/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126</v>
      </c>
      <c r="B13" s="17">
        <v>0</v>
      </c>
      <c r="C13" s="11">
        <f>IF(B$26=0,0,B13/B$26)</f>
        <v>0</v>
      </c>
      <c r="E13" s="63" t="s">
        <v>77</v>
      </c>
      <c r="F13" s="28" t="s">
        <v>31</v>
      </c>
      <c r="G13" s="15">
        <v>0</v>
      </c>
      <c r="H13" s="137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121</v>
      </c>
      <c r="B14" s="15">
        <v>0</v>
      </c>
      <c r="C14" s="6">
        <f>IF(B$26=0,0,B14/B$26)</f>
        <v>0</v>
      </c>
      <c r="E14" s="63" t="s">
        <v>78</v>
      </c>
      <c r="F14" s="28" t="s">
        <v>32</v>
      </c>
      <c r="G14" s="15">
        <v>0</v>
      </c>
      <c r="H14" s="137">
        <f t="shared" si="0"/>
        <v>0</v>
      </c>
      <c r="I14" s="98"/>
      <c r="N14" s="117" t="s">
        <v>160</v>
      </c>
      <c r="O14" s="34" t="s">
        <v>161</v>
      </c>
      <c r="P14" s="121" t="s">
        <v>162</v>
      </c>
      <c r="Q14" s="109" t="s">
        <v>163</v>
      </c>
    </row>
    <row r="15" spans="1:17" x14ac:dyDescent="0.4">
      <c r="A15" s="21" t="s">
        <v>128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129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84</v>
      </c>
      <c r="F20" s="28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85</v>
      </c>
      <c r="F21" s="28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86</v>
      </c>
      <c r="F22" s="28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94" t="s">
        <v>146</v>
      </c>
      <c r="B23" s="153">
        <v>0</v>
      </c>
      <c r="C23" s="154"/>
      <c r="E23" s="63" t="s">
        <v>87</v>
      </c>
      <c r="F23" s="28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58" t="s">
        <v>157</v>
      </c>
      <c r="B24" s="151">
        <v>0</v>
      </c>
      <c r="C24" s="152"/>
      <c r="E24" s="63" t="s">
        <v>88</v>
      </c>
      <c r="F24" s="28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24" t="s">
        <v>147</v>
      </c>
      <c r="B25" s="32">
        <v>0</v>
      </c>
      <c r="C25" s="9">
        <f>IF(B$3=0,0,B25/B$3)</f>
        <v>0</v>
      </c>
      <c r="E25" s="63" t="s">
        <v>89</v>
      </c>
      <c r="F25" s="28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21" t="s">
        <v>124</v>
      </c>
      <c r="B26" s="143">
        <v>0</v>
      </c>
      <c r="C26" s="144"/>
      <c r="E26" s="63" t="s">
        <v>90</v>
      </c>
      <c r="F26" s="28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4" t="s">
        <v>125</v>
      </c>
      <c r="B27" s="157">
        <v>0</v>
      </c>
      <c r="C27" s="158"/>
      <c r="E27" s="63" t="s">
        <v>91</v>
      </c>
      <c r="F27" s="28" t="s">
        <v>45</v>
      </c>
      <c r="G27" s="15">
        <v>0</v>
      </c>
      <c r="H27" s="137">
        <f t="shared" si="0"/>
        <v>0</v>
      </c>
      <c r="I27" s="98"/>
    </row>
    <row r="28" spans="1:9" x14ac:dyDescent="0.4">
      <c r="E28" s="63" t="s">
        <v>92</v>
      </c>
      <c r="F28" s="28" t="s">
        <v>46</v>
      </c>
      <c r="G28" s="15">
        <v>0</v>
      </c>
      <c r="H28" s="137">
        <f t="shared" si="0"/>
        <v>0</v>
      </c>
      <c r="I28" s="98"/>
    </row>
    <row r="29" spans="1:9" x14ac:dyDescent="0.4">
      <c r="E29" s="63" t="s">
        <v>93</v>
      </c>
      <c r="F29" s="28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3" t="s">
        <v>94</v>
      </c>
      <c r="F30" s="28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3" t="s">
        <v>95</v>
      </c>
      <c r="F31" s="28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3" t="s">
        <v>96</v>
      </c>
      <c r="F32" s="28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3" t="s">
        <v>97</v>
      </c>
      <c r="F33" s="28" t="s">
        <v>51</v>
      </c>
      <c r="G33" s="15">
        <v>0</v>
      </c>
      <c r="H33" s="137">
        <f t="shared" ref="H33:H50" si="3">IF(B$27=0,0,G33/B$27)</f>
        <v>0</v>
      </c>
      <c r="I33" s="98"/>
    </row>
    <row r="34" spans="5:9" x14ac:dyDescent="0.4">
      <c r="E34" s="63" t="s">
        <v>98</v>
      </c>
      <c r="F34" s="28" t="s">
        <v>52</v>
      </c>
      <c r="G34" s="15">
        <v>0</v>
      </c>
      <c r="H34" s="137">
        <f t="shared" si="3"/>
        <v>0</v>
      </c>
      <c r="I34" s="98"/>
    </row>
    <row r="35" spans="5:9" x14ac:dyDescent="0.4">
      <c r="E35" s="63" t="s">
        <v>99</v>
      </c>
      <c r="F35" s="28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3" t="s">
        <v>100</v>
      </c>
      <c r="F36" s="28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3" t="s">
        <v>101</v>
      </c>
      <c r="F37" s="28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3" t="s">
        <v>102</v>
      </c>
      <c r="F38" s="28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3" t="s">
        <v>103</v>
      </c>
      <c r="F39" s="28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3" t="s">
        <v>104</v>
      </c>
      <c r="F40" s="28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3" t="s">
        <v>105</v>
      </c>
      <c r="F41" s="28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3" t="s">
        <v>106</v>
      </c>
      <c r="F42" s="28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3" t="s">
        <v>107</v>
      </c>
      <c r="F43" s="28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3" t="s">
        <v>108</v>
      </c>
      <c r="F44" s="28" t="s">
        <v>115</v>
      </c>
      <c r="G44" s="15">
        <v>0</v>
      </c>
      <c r="H44" s="137">
        <f t="shared" si="3"/>
        <v>0</v>
      </c>
      <c r="I44" s="98"/>
    </row>
    <row r="45" spans="5:9" x14ac:dyDescent="0.4">
      <c r="E45" s="63" t="s">
        <v>109</v>
      </c>
      <c r="F45" s="28" t="s">
        <v>116</v>
      </c>
      <c r="G45" s="15">
        <v>0</v>
      </c>
      <c r="H45" s="137">
        <f t="shared" si="3"/>
        <v>0</v>
      </c>
      <c r="I45" s="98"/>
    </row>
    <row r="46" spans="5:9" x14ac:dyDescent="0.4">
      <c r="E46" s="63" t="s">
        <v>110</v>
      </c>
      <c r="F46" s="28" t="s">
        <v>117</v>
      </c>
      <c r="G46" s="15">
        <v>0</v>
      </c>
      <c r="H46" s="137">
        <f t="shared" si="3"/>
        <v>0</v>
      </c>
      <c r="I46" s="98"/>
    </row>
    <row r="47" spans="5:9" x14ac:dyDescent="0.4">
      <c r="E47" s="63" t="s">
        <v>111</v>
      </c>
      <c r="F47" s="28" t="s">
        <v>62</v>
      </c>
      <c r="G47" s="15">
        <v>0</v>
      </c>
      <c r="H47" s="137">
        <f t="shared" si="3"/>
        <v>0</v>
      </c>
      <c r="I47" s="98"/>
    </row>
    <row r="48" spans="5:9" x14ac:dyDescent="0.4">
      <c r="E48" s="63" t="s">
        <v>112</v>
      </c>
      <c r="F48" s="28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3" t="s">
        <v>113</v>
      </c>
      <c r="F49" s="28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3" t="s">
        <v>114</v>
      </c>
      <c r="F50" s="60" t="s">
        <v>65</v>
      </c>
      <c r="G50" s="47">
        <v>0</v>
      </c>
      <c r="H50" s="137">
        <f t="shared" si="3"/>
        <v>0</v>
      </c>
      <c r="I50" s="98"/>
    </row>
    <row r="51" spans="5:9" x14ac:dyDescent="0.4">
      <c r="E51" s="63" t="s">
        <v>188</v>
      </c>
      <c r="F51" s="60" t="s">
        <v>191</v>
      </c>
      <c r="G51" s="47">
        <v>0</v>
      </c>
      <c r="H51" s="137">
        <f t="shared" ref="H51:H52" si="4">IF(B$27=0,0,G51/B$27)</f>
        <v>0</v>
      </c>
      <c r="I51" s="98"/>
    </row>
    <row r="52" spans="5:9" x14ac:dyDescent="0.4">
      <c r="E52" s="64" t="s">
        <v>189</v>
      </c>
      <c r="F52" s="61" t="s">
        <v>190</v>
      </c>
      <c r="G52" s="49">
        <v>0</v>
      </c>
      <c r="H52" s="138">
        <f t="shared" si="4"/>
        <v>0</v>
      </c>
      <c r="I52" s="99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6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7" x14ac:dyDescent="0.4">
      <c r="A1" s="29">
        <v>32874</v>
      </c>
      <c r="B1" s="29">
        <v>2958465</v>
      </c>
    </row>
    <row r="2" spans="1:7" x14ac:dyDescent="0.4">
      <c r="A2" s="30" t="s">
        <v>176</v>
      </c>
      <c r="B2" s="31">
        <v>43560.923958333333</v>
      </c>
      <c r="C2" s="30" t="s">
        <v>134</v>
      </c>
      <c r="D2" s="30" t="s">
        <v>135</v>
      </c>
      <c r="E2" s="30" t="s">
        <v>177</v>
      </c>
    </row>
    <row r="3" spans="1:7" x14ac:dyDescent="0.4">
      <c r="A3" s="30" t="s">
        <v>178</v>
      </c>
      <c r="B3" s="31">
        <v>43560.923958333333</v>
      </c>
      <c r="C3" s="30" t="s">
        <v>134</v>
      </c>
      <c r="D3" s="30" t="s">
        <v>135</v>
      </c>
      <c r="E3" s="30" t="s">
        <v>177</v>
      </c>
      <c r="F3" s="30" t="s">
        <v>182</v>
      </c>
      <c r="G3" s="30" t="s">
        <v>183</v>
      </c>
    </row>
    <row r="4" spans="1:7" x14ac:dyDescent="0.4">
      <c r="A4" s="30" t="s">
        <v>184</v>
      </c>
      <c r="B4" s="31">
        <v>43560.923958333333</v>
      </c>
      <c r="C4" s="30" t="s">
        <v>134</v>
      </c>
      <c r="D4" s="30" t="s">
        <v>135</v>
      </c>
      <c r="E4" s="30" t="s">
        <v>177</v>
      </c>
    </row>
    <row r="5" spans="1:7" x14ac:dyDescent="0.4">
      <c r="A5" s="30" t="s">
        <v>186</v>
      </c>
      <c r="B5" s="31">
        <v>43560.923958333333</v>
      </c>
      <c r="C5" s="30" t="s">
        <v>134</v>
      </c>
      <c r="D5" s="30" t="s">
        <v>135</v>
      </c>
      <c r="E5" s="30" t="s">
        <v>177</v>
      </c>
      <c r="F5" s="30" t="s">
        <v>182</v>
      </c>
    </row>
    <row r="6" spans="1:7" x14ac:dyDescent="0.4">
      <c r="A6" s="30" t="s">
        <v>187</v>
      </c>
      <c r="B6" s="31">
        <v>43561.114791666667</v>
      </c>
      <c r="C6" s="30" t="s">
        <v>134</v>
      </c>
      <c r="D6" s="30" t="s">
        <v>135</v>
      </c>
      <c r="E6" s="30" t="s">
        <v>177</v>
      </c>
      <c r="F6" s="30" t="s">
        <v>182</v>
      </c>
      <c r="G6" s="30" t="s">
        <v>183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8"/>
  <sheetViews>
    <sheetView workbookViewId="0"/>
  </sheetViews>
  <sheetFormatPr defaultRowHeight="18.75" x14ac:dyDescent="0.4"/>
  <sheetData>
    <row r="1" spans="1:1" x14ac:dyDescent="0.4">
      <c r="A1" t="s">
        <v>149</v>
      </c>
    </row>
    <row r="2" spans="1:1" x14ac:dyDescent="0.4">
      <c r="A2" t="s">
        <v>131</v>
      </c>
    </row>
    <row r="3" spans="1:1" x14ac:dyDescent="0.4">
      <c r="A3" t="s">
        <v>132</v>
      </c>
    </row>
    <row r="4" spans="1:1" x14ac:dyDescent="0.4">
      <c r="A4" t="s">
        <v>133</v>
      </c>
    </row>
    <row r="5" spans="1:1" x14ac:dyDescent="0.4">
      <c r="A5" t="s">
        <v>179</v>
      </c>
    </row>
    <row r="6" spans="1:1" x14ac:dyDescent="0.4">
      <c r="A6" t="s">
        <v>180</v>
      </c>
    </row>
    <row r="7" spans="1:1" x14ac:dyDescent="0.4">
      <c r="A7" t="s">
        <v>181</v>
      </c>
    </row>
    <row r="8" spans="1:1" x14ac:dyDescent="0.4">
      <c r="A8" t="s">
        <v>185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0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63" t="s">
        <v>6</v>
      </c>
      <c r="C1" s="164"/>
      <c r="D1" s="163" t="s">
        <v>7</v>
      </c>
      <c r="E1" s="164"/>
      <c r="F1" s="163" t="s">
        <v>16</v>
      </c>
      <c r="G1" s="164"/>
      <c r="H1" s="163" t="s">
        <v>15</v>
      </c>
      <c r="I1" s="164"/>
      <c r="J1" s="163" t="s">
        <v>169</v>
      </c>
      <c r="K1" s="164"/>
      <c r="L1" s="163" t="s">
        <v>153</v>
      </c>
      <c r="M1" s="164"/>
      <c r="N1" s="163" t="s">
        <v>154</v>
      </c>
      <c r="O1" s="164"/>
      <c r="P1" s="163" t="s">
        <v>5</v>
      </c>
      <c r="Q1" s="164"/>
      <c r="R1" s="163" t="s">
        <v>17</v>
      </c>
      <c r="S1" s="164"/>
      <c r="T1" s="163" t="s">
        <v>18</v>
      </c>
      <c r="U1" s="164"/>
      <c r="V1" s="163" t="s">
        <v>145</v>
      </c>
      <c r="W1" s="164"/>
      <c r="X1" s="163" t="s">
        <v>167</v>
      </c>
      <c r="Y1" s="164"/>
      <c r="Z1" s="163" t="s">
        <v>127</v>
      </c>
      <c r="AA1" s="164"/>
      <c r="AB1" s="163" t="s">
        <v>122</v>
      </c>
      <c r="AC1" s="164"/>
      <c r="AD1" s="163" t="s">
        <v>130</v>
      </c>
      <c r="AE1" s="164"/>
      <c r="AF1" s="163" t="s">
        <v>155</v>
      </c>
      <c r="AG1" s="164"/>
      <c r="AH1" s="163" t="s">
        <v>148</v>
      </c>
      <c r="AI1" s="164"/>
      <c r="AJ1" s="163" t="s">
        <v>156</v>
      </c>
      <c r="AK1" s="164"/>
      <c r="AL1" s="163" t="s">
        <v>158</v>
      </c>
      <c r="AM1" s="164"/>
      <c r="AN1" s="163" t="s">
        <v>170</v>
      </c>
      <c r="AO1" s="164"/>
    </row>
    <row r="2" spans="1:41" x14ac:dyDescent="0.4">
      <c r="A2" s="72" t="s">
        <v>168</v>
      </c>
      <c r="B2" s="161"/>
      <c r="C2" s="162"/>
      <c r="D2" s="161"/>
      <c r="E2" s="162"/>
      <c r="F2" s="159">
        <v>0.99512721375140456</v>
      </c>
      <c r="G2" s="160"/>
      <c r="H2" s="159">
        <v>0.93528379379337256</v>
      </c>
      <c r="I2" s="160"/>
      <c r="J2" s="159">
        <v>0.9863847358181943</v>
      </c>
      <c r="K2" s="160"/>
      <c r="L2" s="159">
        <v>0.98075786516850272</v>
      </c>
      <c r="M2" s="160"/>
      <c r="N2" s="159">
        <v>0.76878246940195039</v>
      </c>
      <c r="O2" s="160"/>
      <c r="P2" s="159">
        <v>0.25928156191473917</v>
      </c>
      <c r="Q2" s="160"/>
      <c r="R2" s="159">
        <v>-0.10777712320055002</v>
      </c>
      <c r="S2" s="160"/>
      <c r="T2" s="159">
        <v>0.51875926233567127</v>
      </c>
      <c r="U2" s="160"/>
      <c r="V2" s="159">
        <v>0.7538445145048901</v>
      </c>
      <c r="W2" s="160"/>
      <c r="X2" s="159">
        <v>0.99608500719990922</v>
      </c>
      <c r="Y2" s="160"/>
      <c r="Z2" s="159">
        <v>0.81630522127910854</v>
      </c>
      <c r="AA2" s="160"/>
      <c r="AB2" s="159">
        <v>0.97735694932231021</v>
      </c>
      <c r="AC2" s="160"/>
      <c r="AD2" s="159">
        <v>-0.36660167499250329</v>
      </c>
      <c r="AE2" s="160"/>
      <c r="AF2" s="159">
        <v>0.97979788461637096</v>
      </c>
      <c r="AG2" s="160"/>
      <c r="AH2" s="159">
        <v>-0.94461183602455778</v>
      </c>
      <c r="AI2" s="160"/>
      <c r="AJ2" s="159" t="e">
        <v>#DIV/0!</v>
      </c>
      <c r="AK2" s="160"/>
      <c r="AL2" s="159">
        <v>0.96986863778620747</v>
      </c>
      <c r="AM2" s="160"/>
      <c r="AN2" s="159">
        <v>-0.85492036339120536</v>
      </c>
      <c r="AO2" s="160"/>
    </row>
    <row r="3" spans="1:41" x14ac:dyDescent="0.4">
      <c r="A3" s="74">
        <v>1</v>
      </c>
      <c r="B3" s="75" t="s">
        <v>131</v>
      </c>
      <c r="C3" s="76">
        <v>418.90000000000003</v>
      </c>
      <c r="D3" s="77" t="s">
        <v>131</v>
      </c>
      <c r="E3" s="100">
        <v>32.223076923076924</v>
      </c>
      <c r="F3" s="77" t="s">
        <v>131</v>
      </c>
      <c r="G3" s="78">
        <v>1.3846153846153846</v>
      </c>
      <c r="H3" s="77" t="s">
        <v>131</v>
      </c>
      <c r="I3" s="79">
        <v>0.69230769230769229</v>
      </c>
      <c r="J3" s="77" t="s">
        <v>185</v>
      </c>
      <c r="K3" s="79">
        <v>0</v>
      </c>
      <c r="L3" s="77" t="s">
        <v>131</v>
      </c>
      <c r="M3" s="80">
        <v>0.44444444444444442</v>
      </c>
      <c r="N3" s="77" t="s">
        <v>131</v>
      </c>
      <c r="O3" s="80">
        <v>0.1388888888888889</v>
      </c>
      <c r="P3" s="77" t="s">
        <v>185</v>
      </c>
      <c r="Q3" s="81">
        <v>8800</v>
      </c>
      <c r="R3" s="77" t="s">
        <v>185</v>
      </c>
      <c r="S3" s="81">
        <v>-2933.3333333333335</v>
      </c>
      <c r="T3" s="77" t="s">
        <v>131</v>
      </c>
      <c r="U3" s="79">
        <v>0</v>
      </c>
      <c r="V3" s="77" t="s">
        <v>131</v>
      </c>
      <c r="W3" s="79">
        <v>0.15384615384615385</v>
      </c>
      <c r="X3" s="77" t="s">
        <v>185</v>
      </c>
      <c r="Y3" s="79">
        <v>0.5</v>
      </c>
      <c r="Z3" s="77" t="s">
        <v>131</v>
      </c>
      <c r="AA3" s="80">
        <v>0.3611111111111111</v>
      </c>
      <c r="AB3" s="77" t="s">
        <v>180</v>
      </c>
      <c r="AC3" s="80">
        <v>0.34545454545454546</v>
      </c>
      <c r="AD3" s="77" t="s">
        <v>185</v>
      </c>
      <c r="AE3" s="80">
        <v>1</v>
      </c>
      <c r="AF3" s="77" t="s">
        <v>131</v>
      </c>
      <c r="AG3" s="80">
        <v>0.6428571428571429</v>
      </c>
      <c r="AH3" s="77" t="s">
        <v>181</v>
      </c>
      <c r="AI3" s="80">
        <v>0.61538461538461542</v>
      </c>
      <c r="AJ3" s="77" t="s">
        <v>149</v>
      </c>
      <c r="AK3" s="82">
        <v>7</v>
      </c>
      <c r="AL3" s="77" t="s">
        <v>131</v>
      </c>
      <c r="AM3" s="95">
        <v>105900</v>
      </c>
      <c r="AN3" s="77" t="s">
        <v>149</v>
      </c>
      <c r="AO3" s="83">
        <v>3</v>
      </c>
    </row>
    <row r="4" spans="1:41" x14ac:dyDescent="0.4">
      <c r="A4" s="84">
        <v>2</v>
      </c>
      <c r="B4" s="85" t="s">
        <v>185</v>
      </c>
      <c r="C4" s="86">
        <v>30</v>
      </c>
      <c r="D4" s="87" t="s">
        <v>185</v>
      </c>
      <c r="E4" s="101">
        <v>15</v>
      </c>
      <c r="F4" s="87" t="s">
        <v>185</v>
      </c>
      <c r="G4" s="88">
        <v>1.5</v>
      </c>
      <c r="H4" s="87" t="s">
        <v>185</v>
      </c>
      <c r="I4" s="89">
        <v>0.5</v>
      </c>
      <c r="J4" s="87" t="s">
        <v>131</v>
      </c>
      <c r="K4" s="89">
        <v>7.6923076923076927E-2</v>
      </c>
      <c r="L4" s="87" t="s">
        <v>180</v>
      </c>
      <c r="M4" s="90">
        <v>0.30909090909090908</v>
      </c>
      <c r="N4" s="87" t="s">
        <v>180</v>
      </c>
      <c r="O4" s="90">
        <v>0.16363636363636364</v>
      </c>
      <c r="P4" s="87" t="s">
        <v>179</v>
      </c>
      <c r="Q4" s="91">
        <v>7890.909090909091</v>
      </c>
      <c r="R4" s="87" t="s">
        <v>179</v>
      </c>
      <c r="S4" s="91">
        <v>-6633.333333333333</v>
      </c>
      <c r="T4" s="87" t="s">
        <v>132</v>
      </c>
      <c r="U4" s="89">
        <v>0</v>
      </c>
      <c r="V4" s="87" t="s">
        <v>179</v>
      </c>
      <c r="W4" s="89">
        <v>0.1</v>
      </c>
      <c r="X4" s="87" t="s">
        <v>131</v>
      </c>
      <c r="Y4" s="89">
        <v>0.30769230769230771</v>
      </c>
      <c r="Z4" s="87" t="s">
        <v>132</v>
      </c>
      <c r="AA4" s="90">
        <v>0.31067961165048541</v>
      </c>
      <c r="AB4" s="87" t="s">
        <v>131</v>
      </c>
      <c r="AC4" s="90">
        <v>0.25925925925925924</v>
      </c>
      <c r="AD4" s="87" t="s">
        <v>180</v>
      </c>
      <c r="AE4" s="90">
        <v>0.7</v>
      </c>
      <c r="AF4" s="87" t="s">
        <v>149</v>
      </c>
      <c r="AG4" s="90">
        <v>0.40540540540540543</v>
      </c>
      <c r="AH4" s="87" t="s">
        <v>185</v>
      </c>
      <c r="AI4" s="90">
        <v>0.4</v>
      </c>
      <c r="AJ4" s="87" t="s">
        <v>133</v>
      </c>
      <c r="AK4" s="92">
        <v>7</v>
      </c>
      <c r="AL4" s="87" t="s">
        <v>149</v>
      </c>
      <c r="AM4" s="96">
        <v>105900</v>
      </c>
      <c r="AN4" s="87" t="s">
        <v>132</v>
      </c>
      <c r="AO4" s="93">
        <v>2</v>
      </c>
    </row>
    <row r="5" spans="1:41" x14ac:dyDescent="0.4">
      <c r="A5" s="84">
        <v>3</v>
      </c>
      <c r="B5" s="85" t="s">
        <v>180</v>
      </c>
      <c r="C5" s="86">
        <v>7.7999999999999972</v>
      </c>
      <c r="D5" s="87" t="s">
        <v>180</v>
      </c>
      <c r="E5" s="101">
        <v>1.1142857142857139</v>
      </c>
      <c r="F5" s="87" t="s">
        <v>149</v>
      </c>
      <c r="G5" s="88">
        <v>2</v>
      </c>
      <c r="H5" s="87" t="s">
        <v>179</v>
      </c>
      <c r="I5" s="89">
        <v>0.4</v>
      </c>
      <c r="J5" s="87" t="s">
        <v>180</v>
      </c>
      <c r="K5" s="89">
        <v>0.14285714285714285</v>
      </c>
      <c r="L5" s="87" t="s">
        <v>149</v>
      </c>
      <c r="M5" s="90">
        <v>0.3057199211045365</v>
      </c>
      <c r="N5" s="87" t="s">
        <v>132</v>
      </c>
      <c r="O5" s="90">
        <v>0.17475728155339806</v>
      </c>
      <c r="P5" s="87" t="s">
        <v>131</v>
      </c>
      <c r="Q5" s="91">
        <v>7870.833333333333</v>
      </c>
      <c r="R5" s="87" t="s">
        <v>180</v>
      </c>
      <c r="S5" s="91">
        <v>-7100</v>
      </c>
      <c r="T5" s="87" t="s">
        <v>180</v>
      </c>
      <c r="U5" s="89">
        <v>0</v>
      </c>
      <c r="V5" s="87" t="s">
        <v>149</v>
      </c>
      <c r="W5" s="89">
        <v>0.05</v>
      </c>
      <c r="X5" s="87" t="s">
        <v>149</v>
      </c>
      <c r="Y5" s="89">
        <v>0.13333333333333333</v>
      </c>
      <c r="Z5" s="87" t="s">
        <v>149</v>
      </c>
      <c r="AA5" s="90">
        <v>0.25641025641025639</v>
      </c>
      <c r="AB5" s="87" t="s">
        <v>132</v>
      </c>
      <c r="AC5" s="90">
        <v>0.22330097087378642</v>
      </c>
      <c r="AD5" s="87" t="s">
        <v>132</v>
      </c>
      <c r="AE5" s="90">
        <v>0.59375</v>
      </c>
      <c r="AF5" s="87" t="s">
        <v>133</v>
      </c>
      <c r="AG5" s="90">
        <v>0.375</v>
      </c>
      <c r="AH5" s="87" t="s">
        <v>132</v>
      </c>
      <c r="AI5" s="90">
        <v>0.38709677419354838</v>
      </c>
      <c r="AJ5" s="87" t="s">
        <v>131</v>
      </c>
      <c r="AK5" s="92">
        <v>4</v>
      </c>
      <c r="AL5" s="87" t="s">
        <v>132</v>
      </c>
      <c r="AM5" s="96">
        <v>75900</v>
      </c>
      <c r="AN5" s="87" t="s">
        <v>179</v>
      </c>
      <c r="AO5" s="93">
        <v>1</v>
      </c>
    </row>
    <row r="6" spans="1:41" x14ac:dyDescent="0.4">
      <c r="A6" s="84">
        <v>4</v>
      </c>
      <c r="B6" s="85" t="s">
        <v>149</v>
      </c>
      <c r="C6" s="86">
        <v>0</v>
      </c>
      <c r="D6" s="87" t="s">
        <v>149</v>
      </c>
      <c r="E6" s="101">
        <v>0</v>
      </c>
      <c r="F6" s="87" t="s">
        <v>180</v>
      </c>
      <c r="G6" s="88">
        <v>2</v>
      </c>
      <c r="H6" s="87" t="s">
        <v>149</v>
      </c>
      <c r="I6" s="89">
        <v>0.33333333333333331</v>
      </c>
      <c r="J6" s="87" t="s">
        <v>149</v>
      </c>
      <c r="K6" s="89">
        <v>0.33333333333333331</v>
      </c>
      <c r="L6" s="87" t="s">
        <v>132</v>
      </c>
      <c r="M6" s="90">
        <v>0.30097087378640774</v>
      </c>
      <c r="N6" s="87" t="s">
        <v>185</v>
      </c>
      <c r="O6" s="90">
        <v>0.17647058823529413</v>
      </c>
      <c r="P6" s="87" t="s">
        <v>132</v>
      </c>
      <c r="Q6" s="91">
        <v>7809.677419354839</v>
      </c>
      <c r="R6" s="87" t="s">
        <v>131</v>
      </c>
      <c r="S6" s="91">
        <v>-7546.666666666667</v>
      </c>
      <c r="T6" s="87" t="s">
        <v>185</v>
      </c>
      <c r="U6" s="89">
        <v>0</v>
      </c>
      <c r="V6" s="87" t="s">
        <v>132</v>
      </c>
      <c r="W6" s="89">
        <v>0</v>
      </c>
      <c r="X6" s="87" t="s">
        <v>133</v>
      </c>
      <c r="Y6" s="89">
        <v>0.1111111111111111</v>
      </c>
      <c r="Z6" s="87" t="s">
        <v>133</v>
      </c>
      <c r="AA6" s="90">
        <v>0.24</v>
      </c>
      <c r="AB6" s="87" t="s">
        <v>149</v>
      </c>
      <c r="AC6" s="90">
        <v>0.21893491124260356</v>
      </c>
      <c r="AD6" s="87" t="s">
        <v>133</v>
      </c>
      <c r="AE6" s="90">
        <v>0.55555555555555558</v>
      </c>
      <c r="AF6" s="87" t="s">
        <v>180</v>
      </c>
      <c r="AG6" s="90">
        <v>0.36842105263157893</v>
      </c>
      <c r="AH6" s="87" t="s">
        <v>149</v>
      </c>
      <c r="AI6" s="90">
        <v>0.36774193548387096</v>
      </c>
      <c r="AJ6" s="87" t="s">
        <v>132</v>
      </c>
      <c r="AK6" s="92">
        <v>4</v>
      </c>
      <c r="AL6" s="87" t="s">
        <v>179</v>
      </c>
      <c r="AM6" s="96">
        <v>64600</v>
      </c>
      <c r="AN6" s="87" t="s">
        <v>131</v>
      </c>
      <c r="AO6" s="93">
        <v>0</v>
      </c>
    </row>
    <row r="7" spans="1:41" x14ac:dyDescent="0.4">
      <c r="A7" s="84">
        <v>5</v>
      </c>
      <c r="B7" s="85" t="s">
        <v>132</v>
      </c>
      <c r="C7" s="86">
        <v>-56.500000000000007</v>
      </c>
      <c r="D7" s="87" t="s">
        <v>132</v>
      </c>
      <c r="E7" s="101">
        <v>-4.7083333333333339</v>
      </c>
      <c r="F7" s="87" t="s">
        <v>179</v>
      </c>
      <c r="G7" s="88">
        <v>2.1</v>
      </c>
      <c r="H7" s="87" t="s">
        <v>132</v>
      </c>
      <c r="I7" s="89">
        <v>0.25</v>
      </c>
      <c r="J7" s="87" t="s">
        <v>132</v>
      </c>
      <c r="K7" s="89">
        <v>0.41666666666666669</v>
      </c>
      <c r="L7" s="87" t="s">
        <v>185</v>
      </c>
      <c r="M7" s="90">
        <v>0.29411764705882354</v>
      </c>
      <c r="N7" s="87" t="s">
        <v>149</v>
      </c>
      <c r="O7" s="90">
        <v>0.19132149901380671</v>
      </c>
      <c r="P7" s="87" t="s">
        <v>133</v>
      </c>
      <c r="Q7" s="91">
        <v>7710.5263157894733</v>
      </c>
      <c r="R7" s="87" t="s">
        <v>149</v>
      </c>
      <c r="S7" s="91">
        <v>-7809.2783505154639</v>
      </c>
      <c r="T7" s="87" t="s">
        <v>149</v>
      </c>
      <c r="U7" s="89">
        <v>0.05</v>
      </c>
      <c r="V7" s="87" t="s">
        <v>133</v>
      </c>
      <c r="W7" s="89">
        <v>0</v>
      </c>
      <c r="X7" s="87" t="s">
        <v>179</v>
      </c>
      <c r="Y7" s="89">
        <v>0.1</v>
      </c>
      <c r="Z7" s="87" t="s">
        <v>179</v>
      </c>
      <c r="AA7" s="90">
        <v>0.23529411764705882</v>
      </c>
      <c r="AB7" s="87" t="s">
        <v>179</v>
      </c>
      <c r="AC7" s="90">
        <v>0.21176470588235294</v>
      </c>
      <c r="AD7" s="87" t="s">
        <v>149</v>
      </c>
      <c r="AE7" s="90">
        <v>0.55384615384615388</v>
      </c>
      <c r="AF7" s="87" t="s">
        <v>179</v>
      </c>
      <c r="AG7" s="90">
        <v>0.33333333333333331</v>
      </c>
      <c r="AH7" s="87" t="s">
        <v>179</v>
      </c>
      <c r="AI7" s="90">
        <v>0.36363636363636365</v>
      </c>
      <c r="AJ7" s="87" t="s">
        <v>179</v>
      </c>
      <c r="AK7" s="92">
        <v>4</v>
      </c>
      <c r="AL7" s="87" t="s">
        <v>133</v>
      </c>
      <c r="AM7" s="96">
        <v>52200</v>
      </c>
      <c r="AN7" s="87" t="s">
        <v>133</v>
      </c>
      <c r="AO7" s="93">
        <v>0</v>
      </c>
    </row>
    <row r="8" spans="1:41" x14ac:dyDescent="0.4">
      <c r="A8" s="84">
        <v>6</v>
      </c>
      <c r="B8" s="85" t="s">
        <v>179</v>
      </c>
      <c r="C8" s="86">
        <v>-56.500000000000007</v>
      </c>
      <c r="D8" s="87" t="s">
        <v>179</v>
      </c>
      <c r="E8" s="101">
        <v>-5.65</v>
      </c>
      <c r="F8" s="87" t="s">
        <v>132</v>
      </c>
      <c r="G8" s="88">
        <v>2.1666666666666665</v>
      </c>
      <c r="H8" s="87" t="s">
        <v>133</v>
      </c>
      <c r="I8" s="89">
        <v>0.22222222222222221</v>
      </c>
      <c r="J8" s="87" t="s">
        <v>133</v>
      </c>
      <c r="K8" s="89">
        <v>0.44444444444444442</v>
      </c>
      <c r="L8" s="87" t="s">
        <v>179</v>
      </c>
      <c r="M8" s="90">
        <v>0.25882352941176473</v>
      </c>
      <c r="N8" s="87" t="s">
        <v>181</v>
      </c>
      <c r="O8" s="90">
        <v>0.203125</v>
      </c>
      <c r="P8" s="87" t="s">
        <v>149</v>
      </c>
      <c r="Q8" s="91">
        <v>7353.5483870967746</v>
      </c>
      <c r="R8" s="87" t="s">
        <v>132</v>
      </c>
      <c r="S8" s="91">
        <v>-8222.2222222222226</v>
      </c>
      <c r="T8" s="87" t="s">
        <v>179</v>
      </c>
      <c r="U8" s="89">
        <v>0.1</v>
      </c>
      <c r="V8" s="87" t="s">
        <v>180</v>
      </c>
      <c r="W8" s="89">
        <v>0</v>
      </c>
      <c r="X8" s="87" t="s">
        <v>132</v>
      </c>
      <c r="Y8" s="89">
        <v>8.3333333333333329E-2</v>
      </c>
      <c r="Z8" s="87" t="s">
        <v>180</v>
      </c>
      <c r="AA8" s="90">
        <v>0.18181818181818182</v>
      </c>
      <c r="AB8" s="87" t="s">
        <v>181</v>
      </c>
      <c r="AC8" s="90">
        <v>0.1875</v>
      </c>
      <c r="AD8" s="87" t="s">
        <v>131</v>
      </c>
      <c r="AE8" s="90">
        <v>0.51282051282051277</v>
      </c>
      <c r="AF8" s="87" t="s">
        <v>181</v>
      </c>
      <c r="AG8" s="90">
        <v>0.33333333333333331</v>
      </c>
      <c r="AH8" s="87" t="s">
        <v>180</v>
      </c>
      <c r="AI8" s="90">
        <v>0.35294117647058826</v>
      </c>
      <c r="AJ8" s="87" t="s">
        <v>185</v>
      </c>
      <c r="AK8" s="92">
        <v>4</v>
      </c>
      <c r="AL8" s="87" t="s">
        <v>180</v>
      </c>
      <c r="AM8" s="96">
        <v>48100</v>
      </c>
      <c r="AN8" s="87" t="s">
        <v>180</v>
      </c>
      <c r="AO8" s="93">
        <v>0</v>
      </c>
    </row>
    <row r="9" spans="1:41" x14ac:dyDescent="0.4">
      <c r="A9" s="84">
        <v>7</v>
      </c>
      <c r="B9" s="85" t="s">
        <v>133</v>
      </c>
      <c r="C9" s="86">
        <v>-127.6</v>
      </c>
      <c r="D9" s="87" t="s">
        <v>133</v>
      </c>
      <c r="E9" s="101">
        <v>-14.177777777777777</v>
      </c>
      <c r="F9" s="87" t="s">
        <v>133</v>
      </c>
      <c r="G9" s="88">
        <v>2.2222222222222223</v>
      </c>
      <c r="H9" s="87" t="s">
        <v>180</v>
      </c>
      <c r="I9" s="89">
        <v>0.14285714285714285</v>
      </c>
      <c r="J9" s="87" t="s">
        <v>179</v>
      </c>
      <c r="K9" s="89">
        <v>0.5</v>
      </c>
      <c r="L9" s="87" t="s">
        <v>133</v>
      </c>
      <c r="M9" s="90">
        <v>0.25333333333333335</v>
      </c>
      <c r="N9" s="87" t="s">
        <v>133</v>
      </c>
      <c r="O9" s="90">
        <v>0.24</v>
      </c>
      <c r="P9" s="87" t="s">
        <v>180</v>
      </c>
      <c r="Q9" s="91">
        <v>5858.8235294117649</v>
      </c>
      <c r="R9" s="87" t="s">
        <v>181</v>
      </c>
      <c r="S9" s="91">
        <v>-9069.2307692307695</v>
      </c>
      <c r="T9" s="87" t="s">
        <v>133</v>
      </c>
      <c r="U9" s="89">
        <v>0.1111111111111111</v>
      </c>
      <c r="V9" s="87" t="s">
        <v>181</v>
      </c>
      <c r="W9" s="89">
        <v>0</v>
      </c>
      <c r="X9" s="87" t="s">
        <v>180</v>
      </c>
      <c r="Y9" s="89">
        <v>0</v>
      </c>
      <c r="Z9" s="87" t="s">
        <v>181</v>
      </c>
      <c r="AA9" s="90">
        <v>0.140625</v>
      </c>
      <c r="AB9" s="87" t="s">
        <v>185</v>
      </c>
      <c r="AC9" s="90">
        <v>0.17647058823529413</v>
      </c>
      <c r="AD9" s="87" t="s">
        <v>179</v>
      </c>
      <c r="AE9" s="90">
        <v>0.5</v>
      </c>
      <c r="AF9" s="87" t="s">
        <v>185</v>
      </c>
      <c r="AG9" s="90">
        <v>0.33333333333333331</v>
      </c>
      <c r="AH9" s="87" t="s">
        <v>133</v>
      </c>
      <c r="AI9" s="90">
        <v>0.31578947368421051</v>
      </c>
      <c r="AJ9" s="87" t="s">
        <v>180</v>
      </c>
      <c r="AK9" s="92">
        <v>3</v>
      </c>
      <c r="AL9" s="87" t="s">
        <v>185</v>
      </c>
      <c r="AM9" s="96">
        <v>46900</v>
      </c>
      <c r="AN9" s="87" t="s">
        <v>181</v>
      </c>
      <c r="AO9" s="93">
        <v>0</v>
      </c>
    </row>
    <row r="10" spans="1:41" x14ac:dyDescent="0.4">
      <c r="A10" s="84">
        <v>8</v>
      </c>
      <c r="B10" s="85" t="s">
        <v>181</v>
      </c>
      <c r="C10" s="86">
        <v>-216.09999999999997</v>
      </c>
      <c r="D10" s="87" t="s">
        <v>181</v>
      </c>
      <c r="E10" s="101">
        <v>-30.871428571428567</v>
      </c>
      <c r="F10" s="87" t="s">
        <v>181</v>
      </c>
      <c r="G10" s="88">
        <v>2.5714285714285716</v>
      </c>
      <c r="H10" s="87" t="s">
        <v>181</v>
      </c>
      <c r="I10" s="89">
        <v>0</v>
      </c>
      <c r="J10" s="87" t="s">
        <v>181</v>
      </c>
      <c r="K10" s="89">
        <v>0.5714285714285714</v>
      </c>
      <c r="L10" s="87" t="s">
        <v>181</v>
      </c>
      <c r="M10" s="90">
        <v>0.203125</v>
      </c>
      <c r="N10" s="87" t="s">
        <v>179</v>
      </c>
      <c r="O10" s="90">
        <v>0.24705882352941178</v>
      </c>
      <c r="P10" s="87" t="s">
        <v>181</v>
      </c>
      <c r="Q10" s="91">
        <v>4323.0769230769229</v>
      </c>
      <c r="R10" s="87" t="s">
        <v>133</v>
      </c>
      <c r="S10" s="91">
        <v>-9244.4444444444453</v>
      </c>
      <c r="T10" s="87" t="s">
        <v>181</v>
      </c>
      <c r="U10" s="89">
        <v>0.14285714285714285</v>
      </c>
      <c r="V10" s="87" t="s">
        <v>185</v>
      </c>
      <c r="W10" s="89">
        <v>0</v>
      </c>
      <c r="X10" s="87" t="s">
        <v>181</v>
      </c>
      <c r="Y10" s="89">
        <v>0</v>
      </c>
      <c r="Z10" s="87" t="s">
        <v>185</v>
      </c>
      <c r="AA10" s="90">
        <v>0.11764705882352941</v>
      </c>
      <c r="AB10" s="87" t="s">
        <v>133</v>
      </c>
      <c r="AC10" s="90">
        <v>0.10666666666666667</v>
      </c>
      <c r="AD10" s="87" t="s">
        <v>181</v>
      </c>
      <c r="AE10" s="90">
        <v>0.44444444444444442</v>
      </c>
      <c r="AF10" s="87" t="s">
        <v>132</v>
      </c>
      <c r="AG10" s="90">
        <v>0.2608695652173913</v>
      </c>
      <c r="AH10" s="87" t="s">
        <v>131</v>
      </c>
      <c r="AI10" s="90">
        <v>0.3125</v>
      </c>
      <c r="AJ10" s="87" t="s">
        <v>181</v>
      </c>
      <c r="AK10" s="92">
        <v>2</v>
      </c>
      <c r="AL10" s="87" t="s">
        <v>181</v>
      </c>
      <c r="AM10" s="96">
        <v>33400</v>
      </c>
      <c r="AN10" s="87" t="s">
        <v>185</v>
      </c>
      <c r="AO10" s="93">
        <v>0</v>
      </c>
    </row>
  </sheetData>
  <sortState ref="AN3:AO38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DCBE-A636-47E4-88FE-A53CFCF939C7}">
  <sheetPr codeName="Sheet4"/>
  <dimension ref="A1:Q6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149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60</v>
      </c>
      <c r="C2" s="144"/>
      <c r="E2" s="62" t="s">
        <v>68</v>
      </c>
      <c r="F2" s="59" t="s">
        <v>23</v>
      </c>
      <c r="G2" s="46">
        <v>104</v>
      </c>
      <c r="H2" s="136">
        <f>IF(B$27=0,0,G2/B$27)</f>
        <v>0.67096774193548392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-50</v>
      </c>
      <c r="P2" s="122">
        <v>60</v>
      </c>
      <c r="Q2" s="106">
        <v>-3000</v>
      </c>
    </row>
    <row r="3" spans="1:17" x14ac:dyDescent="0.4">
      <c r="A3" s="55" t="s">
        <v>8</v>
      </c>
      <c r="B3" s="145">
        <v>507</v>
      </c>
      <c r="C3" s="146"/>
      <c r="E3" s="63" t="s">
        <v>74</v>
      </c>
      <c r="F3" s="60" t="s">
        <v>28</v>
      </c>
      <c r="G3" s="47">
        <v>80</v>
      </c>
      <c r="H3" s="137">
        <f>IF(B$27=0,0,G3/B$27)</f>
        <v>0.5161290322580645</v>
      </c>
      <c r="I3" s="98">
        <v>4</v>
      </c>
      <c r="K3" s="38">
        <v>1</v>
      </c>
      <c r="L3" s="103">
        <v>-5.0999999999999996</v>
      </c>
      <c r="N3" s="119" t="s">
        <v>137</v>
      </c>
      <c r="O3" s="126">
        <f t="shared" si="0"/>
        <v>-33.333333333333336</v>
      </c>
      <c r="P3" s="123">
        <v>60</v>
      </c>
      <c r="Q3" s="107">
        <v>-2000</v>
      </c>
    </row>
    <row r="4" spans="1:17" x14ac:dyDescent="0.4">
      <c r="A4" s="55" t="s">
        <v>6</v>
      </c>
      <c r="B4" s="147">
        <v>0</v>
      </c>
      <c r="C4" s="148"/>
      <c r="E4" s="63" t="s">
        <v>66</v>
      </c>
      <c r="F4" s="60" t="s">
        <v>21</v>
      </c>
      <c r="G4" s="47">
        <v>69</v>
      </c>
      <c r="H4" s="137">
        <f>IF(B$27=0,0,G4/B$27)</f>
        <v>0.44516129032258067</v>
      </c>
      <c r="I4" s="98">
        <v>4</v>
      </c>
      <c r="K4" s="38">
        <v>2</v>
      </c>
      <c r="L4" s="103">
        <v>40.4</v>
      </c>
      <c r="N4" s="119" t="s">
        <v>138</v>
      </c>
      <c r="O4" s="126">
        <f t="shared" si="0"/>
        <v>92.592592592592595</v>
      </c>
      <c r="P4" s="123">
        <v>54</v>
      </c>
      <c r="Q4" s="107">
        <v>5000</v>
      </c>
    </row>
    <row r="5" spans="1:17" x14ac:dyDescent="0.4">
      <c r="A5" s="55" t="s">
        <v>7</v>
      </c>
      <c r="B5" s="149">
        <f>IF(B$2=0,0,B$4/B$2)</f>
        <v>0</v>
      </c>
      <c r="C5" s="150"/>
      <c r="E5" s="63" t="s">
        <v>189</v>
      </c>
      <c r="F5" s="60" t="s">
        <v>190</v>
      </c>
      <c r="G5" s="47">
        <v>66</v>
      </c>
      <c r="H5" s="137">
        <f>IF(B$27=0,0,G5/B$27)</f>
        <v>0.4258064516129032</v>
      </c>
      <c r="I5" s="98">
        <v>4</v>
      </c>
      <c r="K5" s="38">
        <v>3</v>
      </c>
      <c r="L5" s="103">
        <v>0</v>
      </c>
      <c r="N5" s="119" t="s">
        <v>139</v>
      </c>
      <c r="O5" s="126">
        <f t="shared" si="0"/>
        <v>0</v>
      </c>
      <c r="P5" s="123">
        <v>51</v>
      </c>
      <c r="Q5" s="107">
        <v>0</v>
      </c>
    </row>
    <row r="6" spans="1:17" x14ac:dyDescent="0.4">
      <c r="A6" s="55" t="s">
        <v>1</v>
      </c>
      <c r="B6" s="155">
        <f>IF(B$2=0,0,(B$7*1+B$8*2+B$9*3)/B$2)</f>
        <v>2</v>
      </c>
      <c r="C6" s="156"/>
      <c r="E6" s="63" t="s">
        <v>70</v>
      </c>
      <c r="F6" s="60" t="s">
        <v>12</v>
      </c>
      <c r="G6" s="47">
        <v>42</v>
      </c>
      <c r="H6" s="137">
        <f>IF(B$27=0,0,G6/B$27)</f>
        <v>0.2709677419354839</v>
      </c>
      <c r="I6" s="98">
        <v>4</v>
      </c>
      <c r="K6" s="38">
        <v>4</v>
      </c>
      <c r="L6" s="103">
        <v>2.2000000000000002</v>
      </c>
      <c r="N6" s="119" t="s">
        <v>140</v>
      </c>
      <c r="O6" s="126">
        <f t="shared" si="0"/>
        <v>-20.833333333333332</v>
      </c>
      <c r="P6" s="123">
        <v>48</v>
      </c>
      <c r="Q6" s="107">
        <v>-1000</v>
      </c>
    </row>
    <row r="7" spans="1:17" x14ac:dyDescent="0.4">
      <c r="A7" s="55" t="s">
        <v>2</v>
      </c>
      <c r="B7" s="47">
        <v>20</v>
      </c>
      <c r="C7" s="39">
        <f>IF(B$2=0,0,B7/B$2)</f>
        <v>0.33333333333333331</v>
      </c>
      <c r="E7" s="63" t="s">
        <v>69</v>
      </c>
      <c r="F7" s="60" t="s">
        <v>24</v>
      </c>
      <c r="G7" s="47">
        <v>36</v>
      </c>
      <c r="H7" s="137">
        <f>IF(B$27=0,0,G7/B$27)</f>
        <v>0.23225806451612904</v>
      </c>
      <c r="I7" s="98">
        <v>5</v>
      </c>
      <c r="K7" s="38">
        <v>5</v>
      </c>
      <c r="L7" s="103">
        <v>-37</v>
      </c>
      <c r="N7" s="120" t="s">
        <v>141</v>
      </c>
      <c r="O7" s="127">
        <f t="shared" si="0"/>
        <v>22.222222222222221</v>
      </c>
      <c r="P7" s="124">
        <v>45</v>
      </c>
      <c r="Q7" s="108">
        <v>1000</v>
      </c>
    </row>
    <row r="8" spans="1:17" x14ac:dyDescent="0.4">
      <c r="A8" s="55" t="s">
        <v>3</v>
      </c>
      <c r="B8" s="47">
        <v>20</v>
      </c>
      <c r="C8" s="39">
        <f>IF(B$2=0,0,B8/B$2)</f>
        <v>0.33333333333333331</v>
      </c>
      <c r="E8" s="63" t="s">
        <v>71</v>
      </c>
      <c r="F8" s="60" t="s">
        <v>25</v>
      </c>
      <c r="G8" s="47">
        <v>32</v>
      </c>
      <c r="H8" s="137">
        <f>IF(B$27=0,0,G8/B$27)</f>
        <v>0.20645161290322581</v>
      </c>
      <c r="I8" s="98">
        <v>4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20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21</v>
      </c>
      <c r="H9" s="137">
        <f>IF(B$27=0,0,G9/B$27)</f>
        <v>0.13548387096774195</v>
      </c>
      <c r="I9" s="98">
        <v>4</v>
      </c>
      <c r="K9" s="38">
        <v>7</v>
      </c>
      <c r="L9" s="103">
        <v>73.3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3</v>
      </c>
      <c r="C10" s="40">
        <f>IF(B$2=0,0,B10/B$2)</f>
        <v>0.05</v>
      </c>
      <c r="E10" s="63" t="s">
        <v>67</v>
      </c>
      <c r="F10" s="60" t="s">
        <v>22</v>
      </c>
      <c r="G10" s="47">
        <v>18</v>
      </c>
      <c r="H10" s="137">
        <f>IF(B$27=0,0,G10/B$27)</f>
        <v>0.11612903225806452</v>
      </c>
      <c r="I10" s="98">
        <v>5</v>
      </c>
      <c r="K10" s="38">
        <v>8</v>
      </c>
      <c r="L10" s="103">
        <v>19.699999999999996</v>
      </c>
      <c r="N10" s="118" t="s">
        <v>172</v>
      </c>
      <c r="O10" s="128">
        <f>IF(P10=0,0,Q10/P10)</f>
        <v>-11.324999999999999</v>
      </c>
      <c r="P10" s="122">
        <v>20</v>
      </c>
      <c r="Q10" s="110">
        <v>-226.5</v>
      </c>
    </row>
    <row r="11" spans="1:17" x14ac:dyDescent="0.4">
      <c r="A11" s="56" t="s">
        <v>144</v>
      </c>
      <c r="B11" s="48">
        <v>3</v>
      </c>
      <c r="C11" s="40">
        <f>IF(B$2=0,0,B11/B$2)</f>
        <v>0.05</v>
      </c>
      <c r="E11" s="63" t="s">
        <v>72</v>
      </c>
      <c r="F11" s="60" t="s">
        <v>26</v>
      </c>
      <c r="G11" s="47">
        <v>12</v>
      </c>
      <c r="H11" s="137">
        <f>IF(B$27=0,0,G11/B$27)</f>
        <v>7.7419354838709681E-2</v>
      </c>
      <c r="I11" s="98">
        <v>5</v>
      </c>
      <c r="K11" s="38">
        <v>9</v>
      </c>
      <c r="L11" s="103">
        <v>-3.5527136788005009E-15</v>
      </c>
      <c r="N11" s="119" t="s">
        <v>173</v>
      </c>
      <c r="O11" s="129">
        <f>IF(P11=0,0,Q11/P11)</f>
        <v>1.1950000000000012</v>
      </c>
      <c r="P11" s="123">
        <v>20</v>
      </c>
      <c r="Q11" s="111">
        <v>23.900000000000023</v>
      </c>
    </row>
    <row r="12" spans="1:17" x14ac:dyDescent="0.4">
      <c r="A12" s="57" t="s">
        <v>165</v>
      </c>
      <c r="B12" s="49">
        <v>8</v>
      </c>
      <c r="C12" s="42">
        <f>IF(B$2=0,0,B12/B$2)</f>
        <v>0.13333333333333333</v>
      </c>
      <c r="E12" s="63" t="s">
        <v>89</v>
      </c>
      <c r="F12" s="60" t="s">
        <v>43</v>
      </c>
      <c r="G12" s="47">
        <v>9</v>
      </c>
      <c r="H12" s="137">
        <f>IF(B$27=0,0,G12/B$27)</f>
        <v>5.8064516129032261E-2</v>
      </c>
      <c r="I12" s="98">
        <v>5</v>
      </c>
      <c r="K12" s="38">
        <v>10</v>
      </c>
      <c r="L12" s="103">
        <v>40.099999999999994</v>
      </c>
      <c r="N12" s="120" t="s">
        <v>174</v>
      </c>
      <c r="O12" s="130">
        <f>IF(P12=0,0,Q12/P12)</f>
        <v>10.130000000000003</v>
      </c>
      <c r="P12" s="124">
        <v>20</v>
      </c>
      <c r="Q12" s="112">
        <v>202.60000000000005</v>
      </c>
    </row>
    <row r="13" spans="1:17" x14ac:dyDescent="0.4">
      <c r="A13" s="58" t="s">
        <v>126</v>
      </c>
      <c r="B13" s="50">
        <v>130</v>
      </c>
      <c r="C13" s="44">
        <f>IF(B$26=0,0,B13/B$26)</f>
        <v>0.25641025641025639</v>
      </c>
      <c r="E13" s="63" t="s">
        <v>86</v>
      </c>
      <c r="F13" s="60" t="s">
        <v>40</v>
      </c>
      <c r="G13" s="47">
        <v>6</v>
      </c>
      <c r="H13" s="137">
        <f>IF(B$27=0,0,G13/B$27)</f>
        <v>3.870967741935484E-2</v>
      </c>
      <c r="I13" s="98">
        <v>6</v>
      </c>
      <c r="K13" s="38">
        <v>11</v>
      </c>
      <c r="L13" s="103">
        <v>-11.100000000000009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111</v>
      </c>
      <c r="C14" s="39">
        <f>IF(B$26=0,0,B14/B$26)</f>
        <v>0.21893491124260356</v>
      </c>
      <c r="E14" s="63" t="s">
        <v>73</v>
      </c>
      <c r="F14" s="60" t="s">
        <v>27</v>
      </c>
      <c r="G14" s="47">
        <v>5</v>
      </c>
      <c r="H14" s="137">
        <f>IF(B$27=0,0,G14/B$27)</f>
        <v>3.2258064516129031E-2</v>
      </c>
      <c r="I14" s="98">
        <v>2</v>
      </c>
      <c r="K14" s="38">
        <v>12</v>
      </c>
      <c r="L14" s="103">
        <v>-8.8817841970012523E-15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72</v>
      </c>
      <c r="C15" s="37">
        <f>IF(B$13=0,0,B15/B$13)</f>
        <v>0.55384615384615388</v>
      </c>
      <c r="E15" s="63" t="s">
        <v>77</v>
      </c>
      <c r="F15" s="60" t="s">
        <v>31</v>
      </c>
      <c r="G15" s="47">
        <v>3</v>
      </c>
      <c r="H15" s="137">
        <f>IF(B$27=0,0,G15/B$27)</f>
        <v>1.935483870967742E-2</v>
      </c>
      <c r="I15" s="98">
        <v>4</v>
      </c>
      <c r="K15" s="38">
        <v>13</v>
      </c>
      <c r="L15" s="103">
        <v>-42.100000000000009</v>
      </c>
      <c r="N15" s="118" t="s">
        <v>181</v>
      </c>
      <c r="O15" s="128">
        <f>IF(P15=0,0,Q15/P15)</f>
        <v>46.307142857142857</v>
      </c>
      <c r="P15" s="122">
        <v>14</v>
      </c>
      <c r="Q15" s="110">
        <v>648.29999999999995</v>
      </c>
    </row>
    <row r="16" spans="1:17" x14ac:dyDescent="0.4">
      <c r="A16" s="54" t="s">
        <v>129</v>
      </c>
      <c r="B16" s="46">
        <v>45</v>
      </c>
      <c r="C16" s="37">
        <f>IF(B$14=0,0,B16/B$14)</f>
        <v>0.40540540540540543</v>
      </c>
      <c r="E16" s="63" t="s">
        <v>80</v>
      </c>
      <c r="F16" s="60" t="s">
        <v>34</v>
      </c>
      <c r="G16" s="47">
        <v>3</v>
      </c>
      <c r="H16" s="137">
        <f>IF(B$27=0,0,G16/B$27)</f>
        <v>1.935483870967742E-2</v>
      </c>
      <c r="I16" s="98">
        <v>3</v>
      </c>
      <c r="K16" s="38">
        <v>14</v>
      </c>
      <c r="L16" s="103">
        <v>18.79999999999999</v>
      </c>
      <c r="N16" s="119" t="s">
        <v>133</v>
      </c>
      <c r="O16" s="129">
        <f>IF(P16=0,0,Q16/P16)</f>
        <v>21.266666666666669</v>
      </c>
      <c r="P16" s="123">
        <v>18</v>
      </c>
      <c r="Q16" s="111">
        <v>382.80000000000007</v>
      </c>
    </row>
    <row r="17" spans="1:17" x14ac:dyDescent="0.4">
      <c r="A17" s="54" t="s">
        <v>10</v>
      </c>
      <c r="B17" s="46">
        <f>B19+B18</f>
        <v>155</v>
      </c>
      <c r="C17" s="37">
        <f>IF(B$3=0,0,B17/B$3)</f>
        <v>0.3057199211045365</v>
      </c>
      <c r="E17" s="63" t="s">
        <v>84</v>
      </c>
      <c r="F17" s="60" t="s">
        <v>38</v>
      </c>
      <c r="G17" s="47">
        <v>3</v>
      </c>
      <c r="H17" s="137">
        <f>IF(B$27=0,0,G17/B$27)</f>
        <v>1.935483870967742E-2</v>
      </c>
      <c r="I17" s="98">
        <v>4</v>
      </c>
      <c r="K17" s="38">
        <v>15</v>
      </c>
      <c r="L17" s="103">
        <v>-1.0658141036401503E-14</v>
      </c>
      <c r="N17" s="119" t="s">
        <v>179</v>
      </c>
      <c r="O17" s="129">
        <f>IF(P17=0,0,Q17/P17)</f>
        <v>8.4749999999999996</v>
      </c>
      <c r="P17" s="123">
        <v>20</v>
      </c>
      <c r="Q17" s="111">
        <v>169.5</v>
      </c>
    </row>
    <row r="18" spans="1:17" x14ac:dyDescent="0.4">
      <c r="A18" s="55" t="s">
        <v>12</v>
      </c>
      <c r="B18" s="47">
        <v>57</v>
      </c>
      <c r="C18" s="39">
        <f>IF(B$17=0,0,B18/B$17)</f>
        <v>0.36774193548387096</v>
      </c>
      <c r="E18" s="63" t="s">
        <v>94</v>
      </c>
      <c r="F18" s="60" t="s">
        <v>48</v>
      </c>
      <c r="G18" s="47">
        <v>2</v>
      </c>
      <c r="H18" s="137">
        <f>IF(B$27=0,0,G18/B$27)</f>
        <v>1.2903225806451613E-2</v>
      </c>
      <c r="I18" s="98">
        <v>3</v>
      </c>
      <c r="K18" s="38">
        <v>16</v>
      </c>
      <c r="L18" s="103">
        <v>90.899999999999991</v>
      </c>
      <c r="N18" s="119" t="s">
        <v>132</v>
      </c>
      <c r="O18" s="129">
        <f>IF(P18=0,0,Q18/P18)</f>
        <v>7.0625000000000027</v>
      </c>
      <c r="P18" s="123">
        <v>24</v>
      </c>
      <c r="Q18" s="111">
        <v>169.50000000000006</v>
      </c>
    </row>
    <row r="19" spans="1:17" x14ac:dyDescent="0.4">
      <c r="A19" s="55" t="s">
        <v>11</v>
      </c>
      <c r="B19" s="47">
        <v>98</v>
      </c>
      <c r="C19" s="39">
        <f>IF(B$17=0,0,B19/B$17)</f>
        <v>0.63225806451612898</v>
      </c>
      <c r="E19" s="63" t="s">
        <v>75</v>
      </c>
      <c r="F19" s="60" t="s">
        <v>29</v>
      </c>
      <c r="G19" s="47">
        <v>1</v>
      </c>
      <c r="H19" s="137">
        <f>IF(B$27=0,0,G19/B$27)</f>
        <v>6.4516129032258064E-3</v>
      </c>
      <c r="I19" s="98">
        <v>2</v>
      </c>
      <c r="K19" s="38">
        <v>17</v>
      </c>
      <c r="L19" s="103">
        <v>8.2999999999999972</v>
      </c>
      <c r="N19" s="119" t="s">
        <v>180</v>
      </c>
      <c r="O19" s="129">
        <f>IF(P19=0,0,Q19/P19)</f>
        <v>-1.6714285714285739</v>
      </c>
      <c r="P19" s="123">
        <v>14</v>
      </c>
      <c r="Q19" s="111">
        <v>-23.400000000000034</v>
      </c>
    </row>
    <row r="20" spans="1:17" x14ac:dyDescent="0.4">
      <c r="A20" s="55" t="s">
        <v>13</v>
      </c>
      <c r="B20" s="47">
        <v>97</v>
      </c>
      <c r="C20" s="39">
        <f>IF(B$3=0,0,B20/B$3)</f>
        <v>0.19132149901380671</v>
      </c>
      <c r="E20" s="63" t="s">
        <v>95</v>
      </c>
      <c r="F20" s="60" t="s">
        <v>49</v>
      </c>
      <c r="G20" s="47">
        <v>1</v>
      </c>
      <c r="H20" s="137">
        <f>IF(B$27=0,0,G20/B$27)</f>
        <v>6.4516129032258064E-3</v>
      </c>
      <c r="I20" s="98">
        <v>2</v>
      </c>
      <c r="K20" s="38">
        <v>18</v>
      </c>
      <c r="L20" s="103">
        <v>-3.5527136788005009E-15</v>
      </c>
      <c r="N20" s="119" t="s">
        <v>185</v>
      </c>
      <c r="O20" s="129">
        <f>IF(P20=0,0,Q20/P20)</f>
        <v>-22.5</v>
      </c>
      <c r="P20" s="123">
        <v>4</v>
      </c>
      <c r="Q20" s="111">
        <v>-90</v>
      </c>
    </row>
    <row r="21" spans="1:17" x14ac:dyDescent="0.4">
      <c r="A21" s="55" t="s">
        <v>5</v>
      </c>
      <c r="B21" s="51">
        <f>IF(B$17=0,0,C21/B$17)</f>
        <v>7353.5483870967746</v>
      </c>
      <c r="C21" s="41">
        <v>1139800</v>
      </c>
      <c r="E21" s="63" t="s">
        <v>76</v>
      </c>
      <c r="F21" s="60" t="s">
        <v>30</v>
      </c>
      <c r="G21" s="47">
        <v>0</v>
      </c>
      <c r="H21" s="137">
        <f>IF(B$27=0,0,G21/B$27)</f>
        <v>0</v>
      </c>
      <c r="I21" s="98">
        <v>1</v>
      </c>
      <c r="K21" s="38">
        <v>19</v>
      </c>
      <c r="L21" s="103">
        <v>30.999999999999996</v>
      </c>
      <c r="N21" s="119" t="s">
        <v>131</v>
      </c>
      <c r="O21" s="129">
        <f>IF(P21=0,0,Q21/P21)</f>
        <v>-48.33461538461539</v>
      </c>
      <c r="P21" s="123">
        <v>26</v>
      </c>
      <c r="Q21" s="111">
        <v>-1256.7</v>
      </c>
    </row>
    <row r="22" spans="1:17" x14ac:dyDescent="0.4">
      <c r="A22" s="57" t="s">
        <v>14</v>
      </c>
      <c r="B22" s="52">
        <f>IF(B$20=0,0,C22/B$20)</f>
        <v>-7809.2783505154639</v>
      </c>
      <c r="C22" s="45">
        <v>-757500</v>
      </c>
      <c r="E22" s="63" t="s">
        <v>78</v>
      </c>
      <c r="F22" s="60" t="s">
        <v>32</v>
      </c>
      <c r="G22" s="47">
        <v>0</v>
      </c>
      <c r="H22" s="137">
        <f>IF(B$27=0,0,G22/B$27)</f>
        <v>0</v>
      </c>
      <c r="I22" s="98">
        <v>1</v>
      </c>
      <c r="K22" s="38">
        <v>20</v>
      </c>
      <c r="L22" s="103">
        <v>0.79999999999999716</v>
      </c>
    </row>
    <row r="23" spans="1:17" x14ac:dyDescent="0.4">
      <c r="A23" s="94" t="s">
        <v>146</v>
      </c>
      <c r="B23" s="153">
        <v>7</v>
      </c>
      <c r="C23" s="154"/>
      <c r="E23" s="63" t="s">
        <v>79</v>
      </c>
      <c r="F23" s="60" t="s">
        <v>33</v>
      </c>
      <c r="G23" s="47">
        <v>0</v>
      </c>
      <c r="H23" s="137">
        <f>IF(B$27=0,0,G23/B$27)</f>
        <v>0</v>
      </c>
      <c r="I23" s="98">
        <v>1</v>
      </c>
      <c r="K23" s="38">
        <v>21</v>
      </c>
      <c r="L23" s="103">
        <v>-2.886579864025407E-15</v>
      </c>
    </row>
    <row r="24" spans="1:17" x14ac:dyDescent="0.4">
      <c r="A24" s="58" t="s">
        <v>157</v>
      </c>
      <c r="B24" s="151">
        <v>105900</v>
      </c>
      <c r="C24" s="152"/>
      <c r="E24" s="63" t="s">
        <v>81</v>
      </c>
      <c r="F24" s="60" t="s">
        <v>35</v>
      </c>
      <c r="G24" s="47">
        <v>0</v>
      </c>
      <c r="H24" s="137">
        <f>IF(B$27=0,0,G24/B$27)</f>
        <v>0</v>
      </c>
      <c r="I24" s="98">
        <v>1</v>
      </c>
      <c r="K24" s="38">
        <v>22</v>
      </c>
      <c r="L24" s="103">
        <v>23.699999999999996</v>
      </c>
    </row>
    <row r="25" spans="1:17" x14ac:dyDescent="0.4">
      <c r="A25" s="57" t="s">
        <v>147</v>
      </c>
      <c r="B25" s="65">
        <v>3</v>
      </c>
      <c r="C25" s="42">
        <f>IF(B$3=0,0,B25/B$3)</f>
        <v>5.9171597633136093E-3</v>
      </c>
      <c r="E25" s="63" t="s">
        <v>82</v>
      </c>
      <c r="F25" s="60" t="s">
        <v>36</v>
      </c>
      <c r="G25" s="47">
        <v>0</v>
      </c>
      <c r="H25" s="137">
        <f>IF(B$27=0,0,G25/B$27)</f>
        <v>0</v>
      </c>
      <c r="I25" s="98">
        <v>1</v>
      </c>
      <c r="K25" s="38">
        <v>23</v>
      </c>
      <c r="L25" s="103">
        <v>26.299999999999997</v>
      </c>
    </row>
    <row r="26" spans="1:17" x14ac:dyDescent="0.4">
      <c r="A26" s="54" t="s">
        <v>124</v>
      </c>
      <c r="B26" s="143">
        <v>507</v>
      </c>
      <c r="C26" s="144"/>
      <c r="E26" s="63" t="s">
        <v>83</v>
      </c>
      <c r="F26" s="60" t="s">
        <v>37</v>
      </c>
      <c r="G26" s="47">
        <v>0</v>
      </c>
      <c r="H26" s="137">
        <f>IF(B$27=0,0,G26/B$27)</f>
        <v>0</v>
      </c>
      <c r="I26" s="98">
        <v>1</v>
      </c>
      <c r="K26" s="38">
        <v>24</v>
      </c>
      <c r="L26" s="103">
        <v>-3.5527136788005009E-15</v>
      </c>
    </row>
    <row r="27" spans="1:17" x14ac:dyDescent="0.4">
      <c r="A27" s="57" t="s">
        <v>125</v>
      </c>
      <c r="B27" s="157">
        <v>155</v>
      </c>
      <c r="C27" s="158"/>
      <c r="E27" s="63" t="s">
        <v>85</v>
      </c>
      <c r="F27" s="60" t="s">
        <v>39</v>
      </c>
      <c r="G27" s="47">
        <v>0</v>
      </c>
      <c r="H27" s="137">
        <f>IF(B$27=0,0,G27/B$27)</f>
        <v>0</v>
      </c>
      <c r="I27" s="98">
        <v>1</v>
      </c>
      <c r="K27" s="38">
        <v>25</v>
      </c>
      <c r="L27" s="103">
        <v>-31.300000000000004</v>
      </c>
    </row>
    <row r="28" spans="1:17" x14ac:dyDescent="0.4">
      <c r="E28" s="63" t="s">
        <v>87</v>
      </c>
      <c r="F28" s="60" t="s">
        <v>41</v>
      </c>
      <c r="G28" s="47">
        <v>0</v>
      </c>
      <c r="H28" s="137">
        <f>IF(B$27=0,0,G28/B$27)</f>
        <v>0</v>
      </c>
      <c r="I28" s="98">
        <v>1</v>
      </c>
      <c r="K28" s="38">
        <v>26</v>
      </c>
      <c r="L28" s="103">
        <v>1.8999999999999986</v>
      </c>
    </row>
    <row r="29" spans="1:17" x14ac:dyDescent="0.4">
      <c r="E29" s="63" t="s">
        <v>88</v>
      </c>
      <c r="F29" s="60" t="s">
        <v>42</v>
      </c>
      <c r="G29" s="47">
        <v>0</v>
      </c>
      <c r="H29" s="137">
        <f>IF(B$27=0,0,G29/B$27)</f>
        <v>0</v>
      </c>
      <c r="I29" s="98">
        <v>1</v>
      </c>
      <c r="K29" s="38">
        <v>27</v>
      </c>
      <c r="L29" s="103">
        <v>-1.3322676295501878E-15</v>
      </c>
    </row>
    <row r="30" spans="1:17" x14ac:dyDescent="0.4">
      <c r="E30" s="63" t="s">
        <v>90</v>
      </c>
      <c r="F30" s="60" t="s">
        <v>44</v>
      </c>
      <c r="G30" s="47">
        <v>0</v>
      </c>
      <c r="H30" s="137">
        <f>IF(B$27=0,0,G30/B$27)</f>
        <v>0</v>
      </c>
      <c r="I30" s="98">
        <v>1</v>
      </c>
      <c r="K30" s="38">
        <v>28</v>
      </c>
      <c r="L30" s="103">
        <v>-58.3</v>
      </c>
    </row>
    <row r="31" spans="1:17" x14ac:dyDescent="0.4">
      <c r="E31" s="63" t="s">
        <v>91</v>
      </c>
      <c r="F31" s="60" t="s">
        <v>45</v>
      </c>
      <c r="G31" s="47">
        <v>0</v>
      </c>
      <c r="H31" s="137">
        <f>IF(B$27=0,0,G31/B$27)</f>
        <v>0</v>
      </c>
      <c r="I31" s="98">
        <v>1</v>
      </c>
      <c r="K31" s="38">
        <v>29</v>
      </c>
      <c r="L31" s="103">
        <v>-9.5</v>
      </c>
    </row>
    <row r="32" spans="1:17" x14ac:dyDescent="0.4">
      <c r="E32" s="63" t="s">
        <v>93</v>
      </c>
      <c r="F32" s="60" t="s">
        <v>47</v>
      </c>
      <c r="G32" s="47">
        <v>0</v>
      </c>
      <c r="H32" s="137">
        <f>IF(B$27=0,0,G32/B$27)</f>
        <v>0</v>
      </c>
      <c r="I32" s="98">
        <v>1</v>
      </c>
      <c r="K32" s="38">
        <v>30</v>
      </c>
      <c r="L32" s="103">
        <v>0</v>
      </c>
    </row>
    <row r="33" spans="5:12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  <c r="K33" s="38">
        <v>31</v>
      </c>
      <c r="L33" s="103">
        <v>29.1</v>
      </c>
    </row>
    <row r="34" spans="5:12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  <c r="K34" s="38">
        <v>32</v>
      </c>
      <c r="L34" s="103">
        <v>4.3000000000000007</v>
      </c>
    </row>
    <row r="35" spans="5:12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  <c r="K35" s="38">
        <v>33</v>
      </c>
      <c r="L35" s="103">
        <v>8.8817841970012523E-16</v>
      </c>
    </row>
    <row r="36" spans="5:12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  <c r="K36" s="38">
        <v>34</v>
      </c>
      <c r="L36" s="103">
        <v>-7.2999999999999989</v>
      </c>
    </row>
    <row r="37" spans="5:12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-37.199999999999996</v>
      </c>
    </row>
    <row r="38" spans="5:12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  <c r="K38" s="38">
        <v>36</v>
      </c>
      <c r="L38" s="103">
        <v>7.1054273576010019E-15</v>
      </c>
    </row>
    <row r="39" spans="5:12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  <c r="K39" s="38">
        <v>37</v>
      </c>
      <c r="L39" s="103">
        <v>-31.699999999999992</v>
      </c>
    </row>
    <row r="40" spans="5:12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  <c r="K40" s="38">
        <v>38</v>
      </c>
      <c r="L40" s="103">
        <v>-33.099999999999994</v>
      </c>
    </row>
    <row r="41" spans="5:12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  <c r="K41" s="38">
        <v>39</v>
      </c>
      <c r="L41" s="103">
        <v>7.1054273576010019E-15</v>
      </c>
    </row>
    <row r="42" spans="5:12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  <c r="K42" s="38">
        <v>40</v>
      </c>
      <c r="L42" s="103">
        <v>-39.699999999999996</v>
      </c>
    </row>
    <row r="43" spans="5:12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  <c r="K43" s="38">
        <v>41</v>
      </c>
      <c r="L43" s="103">
        <v>5.5000000000000071</v>
      </c>
    </row>
    <row r="44" spans="5:12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  <c r="K44" s="38">
        <v>42</v>
      </c>
      <c r="L44" s="103">
        <v>7.1054273576010019E-15</v>
      </c>
    </row>
    <row r="45" spans="5:12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  <c r="K45" s="38">
        <v>43</v>
      </c>
      <c r="L45" s="103">
        <v>87.1</v>
      </c>
    </row>
    <row r="46" spans="5:12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  <c r="K46" s="38">
        <v>44</v>
      </c>
      <c r="L46" s="103">
        <v>60.399999999999991</v>
      </c>
    </row>
    <row r="47" spans="5:12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  <c r="K47" s="38">
        <v>45</v>
      </c>
      <c r="L47" s="103">
        <v>-7.1054273576010019E-15</v>
      </c>
    </row>
    <row r="48" spans="5:12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  <c r="K48" s="38">
        <v>46</v>
      </c>
      <c r="L48" s="103">
        <v>-48.000000000000007</v>
      </c>
    </row>
    <row r="49" spans="5:12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  <c r="K49" s="38">
        <v>47</v>
      </c>
      <c r="L49" s="103">
        <v>-49.600000000000009</v>
      </c>
    </row>
    <row r="50" spans="5:12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  <c r="K50" s="38">
        <v>48</v>
      </c>
      <c r="L50" s="103">
        <v>-7.1054273576010019E-15</v>
      </c>
    </row>
    <row r="51" spans="5:12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  <c r="K51" s="38">
        <v>49</v>
      </c>
      <c r="L51" s="103">
        <v>38.399999999999991</v>
      </c>
    </row>
    <row r="52" spans="5:12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  <c r="K52" s="38">
        <v>50</v>
      </c>
      <c r="L52" s="103">
        <v>4.0999999999999943</v>
      </c>
    </row>
    <row r="53" spans="5:12" x14ac:dyDescent="0.4">
      <c r="K53" s="38">
        <v>51</v>
      </c>
      <c r="L53" s="103">
        <v>-5.3290705182007514E-15</v>
      </c>
    </row>
    <row r="54" spans="5:12" x14ac:dyDescent="0.4">
      <c r="K54" s="38">
        <v>52</v>
      </c>
      <c r="L54" s="103">
        <v>27.799999999999997</v>
      </c>
    </row>
    <row r="55" spans="5:12" x14ac:dyDescent="0.4">
      <c r="K55" s="38">
        <v>53</v>
      </c>
      <c r="L55" s="103">
        <v>25.099999999999998</v>
      </c>
    </row>
    <row r="56" spans="5:12" x14ac:dyDescent="0.4">
      <c r="K56" s="38">
        <v>54</v>
      </c>
      <c r="L56" s="103">
        <v>-3.5527136788005009E-15</v>
      </c>
    </row>
    <row r="57" spans="5:12" x14ac:dyDescent="0.4">
      <c r="K57" s="38">
        <v>55</v>
      </c>
      <c r="L57" s="103">
        <v>47.2</v>
      </c>
    </row>
    <row r="58" spans="5:12" x14ac:dyDescent="0.4">
      <c r="K58" s="38">
        <v>56</v>
      </c>
      <c r="L58" s="103">
        <v>-3.5</v>
      </c>
    </row>
    <row r="59" spans="5:12" x14ac:dyDescent="0.4">
      <c r="K59" s="38">
        <v>57</v>
      </c>
      <c r="L59" s="103">
        <v>0</v>
      </c>
    </row>
    <row r="60" spans="5:12" x14ac:dyDescent="0.4">
      <c r="K60" s="38">
        <v>58</v>
      </c>
      <c r="L60" s="103">
        <v>-28.5</v>
      </c>
    </row>
    <row r="61" spans="5:12" x14ac:dyDescent="0.4">
      <c r="K61" s="38">
        <v>59</v>
      </c>
      <c r="L61" s="103">
        <v>-31.9</v>
      </c>
    </row>
    <row r="62" spans="5:12" x14ac:dyDescent="0.4">
      <c r="K62" s="38">
        <v>60</v>
      </c>
      <c r="L62" s="103">
        <v>0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C39C2-3944-486C-9F6C-104FCF864D31}">
  <sheetPr codeName="Sheet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131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13</v>
      </c>
      <c r="C2" s="144"/>
      <c r="E2" s="62" t="s">
        <v>74</v>
      </c>
      <c r="F2" s="59" t="s">
        <v>28</v>
      </c>
      <c r="G2" s="46">
        <v>34</v>
      </c>
      <c r="H2" s="136">
        <f>IF(B$27=0,0,G2/B$27)</f>
        <v>0.70833333333333337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2553.8461538461538</v>
      </c>
      <c r="P2" s="122">
        <v>13</v>
      </c>
      <c r="Q2" s="106">
        <v>33200</v>
      </c>
    </row>
    <row r="3" spans="1:17" x14ac:dyDescent="0.4">
      <c r="A3" s="55" t="s">
        <v>8</v>
      </c>
      <c r="B3" s="145">
        <v>108</v>
      </c>
      <c r="C3" s="146"/>
      <c r="E3" s="63" t="s">
        <v>68</v>
      </c>
      <c r="F3" s="60" t="s">
        <v>23</v>
      </c>
      <c r="G3" s="47">
        <v>27</v>
      </c>
      <c r="H3" s="137">
        <f>IF(B$27=0,0,G3/B$27)</f>
        <v>0.5625</v>
      </c>
      <c r="I3" s="98">
        <v>5</v>
      </c>
      <c r="K3" s="38">
        <v>1</v>
      </c>
      <c r="L3" s="103">
        <v>-5.0999999999999996</v>
      </c>
      <c r="N3" s="119" t="s">
        <v>137</v>
      </c>
      <c r="O3" s="126">
        <f t="shared" si="0"/>
        <v>4823.0769230769229</v>
      </c>
      <c r="P3" s="123">
        <v>13</v>
      </c>
      <c r="Q3" s="107">
        <v>62700</v>
      </c>
    </row>
    <row r="4" spans="1:17" x14ac:dyDescent="0.4">
      <c r="A4" s="55" t="s">
        <v>6</v>
      </c>
      <c r="B4" s="147">
        <v>418.90000000000003</v>
      </c>
      <c r="C4" s="148"/>
      <c r="E4" s="63" t="s">
        <v>189</v>
      </c>
      <c r="F4" s="60" t="s">
        <v>190</v>
      </c>
      <c r="G4" s="47">
        <v>23</v>
      </c>
      <c r="H4" s="137">
        <f>IF(B$27=0,0,G4/B$27)</f>
        <v>0.47916666666666669</v>
      </c>
      <c r="I4" s="98">
        <v>2</v>
      </c>
      <c r="K4" s="38">
        <v>2</v>
      </c>
      <c r="L4" s="103">
        <v>-2.8999999999999995</v>
      </c>
      <c r="N4" s="119" t="s">
        <v>138</v>
      </c>
      <c r="O4" s="126">
        <f t="shared" si="0"/>
        <v>4391.666666666667</v>
      </c>
      <c r="P4" s="123">
        <v>12</v>
      </c>
      <c r="Q4" s="107">
        <v>52700</v>
      </c>
    </row>
    <row r="5" spans="1:17" x14ac:dyDescent="0.4">
      <c r="A5" s="55" t="s">
        <v>7</v>
      </c>
      <c r="B5" s="149">
        <f>IF(B$2=0,0,B$4/B$2)</f>
        <v>32.223076923076924</v>
      </c>
      <c r="C5" s="150"/>
      <c r="E5" s="63" t="s">
        <v>66</v>
      </c>
      <c r="F5" s="60" t="s">
        <v>21</v>
      </c>
      <c r="G5" s="47">
        <v>19</v>
      </c>
      <c r="H5" s="137">
        <f>IF(B$27=0,0,G5/B$27)</f>
        <v>0.39583333333333331</v>
      </c>
      <c r="I5" s="98">
        <v>7</v>
      </c>
      <c r="K5" s="38">
        <v>3</v>
      </c>
      <c r="L5" s="103">
        <v>70.399999999999991</v>
      </c>
      <c r="N5" s="119" t="s">
        <v>139</v>
      </c>
      <c r="O5" s="126">
        <f t="shared" si="0"/>
        <v>7872.727272727273</v>
      </c>
      <c r="P5" s="123">
        <v>11</v>
      </c>
      <c r="Q5" s="107">
        <v>86600</v>
      </c>
    </row>
    <row r="6" spans="1:17" x14ac:dyDescent="0.4">
      <c r="A6" s="55" t="s">
        <v>1</v>
      </c>
      <c r="B6" s="155">
        <f>IF(B$2=0,0,(B$7*1+B$8*2+B$9*3)/B$2)</f>
        <v>1.3846153846153846</v>
      </c>
      <c r="C6" s="156"/>
      <c r="E6" s="63" t="s">
        <v>71</v>
      </c>
      <c r="F6" s="60" t="s">
        <v>25</v>
      </c>
      <c r="G6" s="47">
        <v>10</v>
      </c>
      <c r="H6" s="137">
        <f>IF(B$27=0,0,G6/B$27)</f>
        <v>0.20833333333333334</v>
      </c>
      <c r="I6" s="98">
        <v>3</v>
      </c>
      <c r="K6" s="38">
        <v>4</v>
      </c>
      <c r="L6" s="103">
        <v>110.5</v>
      </c>
      <c r="N6" s="119" t="s">
        <v>140</v>
      </c>
      <c r="O6" s="126">
        <f t="shared" si="0"/>
        <v>1180</v>
      </c>
      <c r="P6" s="123">
        <v>10</v>
      </c>
      <c r="Q6" s="107">
        <v>11800</v>
      </c>
    </row>
    <row r="7" spans="1:17" x14ac:dyDescent="0.4">
      <c r="A7" s="55" t="s">
        <v>2</v>
      </c>
      <c r="B7" s="47">
        <v>9</v>
      </c>
      <c r="C7" s="39">
        <f>IF(B$2=0,0,B7/B$2)</f>
        <v>0.69230769230769229</v>
      </c>
      <c r="E7" s="63" t="s">
        <v>92</v>
      </c>
      <c r="F7" s="60" t="s">
        <v>46</v>
      </c>
      <c r="G7" s="47">
        <v>10</v>
      </c>
      <c r="H7" s="137">
        <f>IF(B$27=0,0,G7/B$27)</f>
        <v>0.20833333333333334</v>
      </c>
      <c r="I7" s="98">
        <v>1</v>
      </c>
      <c r="K7" s="38">
        <v>5</v>
      </c>
      <c r="L7" s="103">
        <v>201.4</v>
      </c>
      <c r="N7" s="120" t="s">
        <v>141</v>
      </c>
      <c r="O7" s="127">
        <f t="shared" si="0"/>
        <v>766.66666666666663</v>
      </c>
      <c r="P7" s="124">
        <v>9</v>
      </c>
      <c r="Q7" s="108">
        <v>6900</v>
      </c>
    </row>
    <row r="8" spans="1:17" x14ac:dyDescent="0.4">
      <c r="A8" s="55" t="s">
        <v>3</v>
      </c>
      <c r="B8" s="47">
        <v>3</v>
      </c>
      <c r="C8" s="39">
        <f>IF(B$2=0,0,B8/B$2)</f>
        <v>0.23076923076923078</v>
      </c>
      <c r="E8" s="63" t="s">
        <v>70</v>
      </c>
      <c r="F8" s="60" t="s">
        <v>12</v>
      </c>
      <c r="G8" s="47">
        <v>9</v>
      </c>
      <c r="H8" s="137">
        <f>IF(B$27=0,0,G8/B$27)</f>
        <v>0.1875</v>
      </c>
      <c r="I8" s="98">
        <v>6</v>
      </c>
      <c r="K8" s="38">
        <v>6</v>
      </c>
      <c r="L8" s="103">
        <v>232.4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1">IF(B$2=0,0,B9/B$2)</f>
        <v>7.6923076923076927E-2</v>
      </c>
      <c r="E9" s="63" t="s">
        <v>69</v>
      </c>
      <c r="F9" s="60" t="s">
        <v>24</v>
      </c>
      <c r="G9" s="47">
        <v>7</v>
      </c>
      <c r="H9" s="137">
        <f>IF(B$27=0,0,G9/B$27)</f>
        <v>0.14583333333333334</v>
      </c>
      <c r="I9" s="98">
        <v>6</v>
      </c>
      <c r="K9" s="38">
        <v>7</v>
      </c>
      <c r="L9" s="103">
        <v>256.10000000000002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5</v>
      </c>
      <c r="H10" s="137">
        <f>IF(B$27=0,0,G10/B$27)</f>
        <v>0.10416666666666667</v>
      </c>
      <c r="I10" s="98">
        <v>6</v>
      </c>
      <c r="K10" s="38">
        <v>8</v>
      </c>
      <c r="L10" s="103">
        <v>285.20000000000005</v>
      </c>
      <c r="N10" s="118" t="s">
        <v>172</v>
      </c>
      <c r="O10" s="128">
        <f>IF(P10=0,0,Q10/P10)</f>
        <v>19.633333333333329</v>
      </c>
      <c r="P10" s="122">
        <v>6</v>
      </c>
      <c r="Q10" s="110">
        <v>117.79999999999998</v>
      </c>
    </row>
    <row r="11" spans="1:17" x14ac:dyDescent="0.4">
      <c r="A11" s="56" t="s">
        <v>144</v>
      </c>
      <c r="B11" s="48">
        <v>2</v>
      </c>
      <c r="C11" s="40">
        <f>IF(B$2=0,0,B11/B$2)</f>
        <v>0.15384615384615385</v>
      </c>
      <c r="E11" s="63" t="s">
        <v>89</v>
      </c>
      <c r="F11" s="60" t="s">
        <v>43</v>
      </c>
      <c r="G11" s="47">
        <v>4</v>
      </c>
      <c r="H11" s="137">
        <f>IF(B$27=0,0,G11/B$27)</f>
        <v>8.3333333333333329E-2</v>
      </c>
      <c r="I11" s="98">
        <v>2</v>
      </c>
      <c r="K11" s="38">
        <v>9</v>
      </c>
      <c r="L11" s="103">
        <v>277.90000000000003</v>
      </c>
      <c r="N11" s="119" t="s">
        <v>173</v>
      </c>
      <c r="O11" s="129">
        <f>IF(P11=0,0,Q11/P11)</f>
        <v>36.500000000000007</v>
      </c>
      <c r="P11" s="123">
        <v>3</v>
      </c>
      <c r="Q11" s="111">
        <v>109.50000000000001</v>
      </c>
    </row>
    <row r="12" spans="1:17" x14ac:dyDescent="0.4">
      <c r="A12" s="57" t="s">
        <v>165</v>
      </c>
      <c r="B12" s="49">
        <v>4</v>
      </c>
      <c r="C12" s="42">
        <f>IF(B$2=0,0,B12/B$2)</f>
        <v>0.30769230769230771</v>
      </c>
      <c r="E12" s="63" t="s">
        <v>72</v>
      </c>
      <c r="F12" s="60" t="s">
        <v>26</v>
      </c>
      <c r="G12" s="47">
        <v>2</v>
      </c>
      <c r="H12" s="137">
        <f>IF(B$27=0,0,G12/B$27)</f>
        <v>4.1666666666666664E-2</v>
      </c>
      <c r="I12" s="98">
        <v>6</v>
      </c>
      <c r="K12" s="38">
        <v>10</v>
      </c>
      <c r="L12" s="103">
        <v>246.20000000000005</v>
      </c>
      <c r="N12" s="120" t="s">
        <v>174</v>
      </c>
      <c r="O12" s="130">
        <f>IF(P12=0,0,Q12/P12)</f>
        <v>47.900000000000006</v>
      </c>
      <c r="P12" s="124">
        <v>4</v>
      </c>
      <c r="Q12" s="112">
        <v>191.60000000000002</v>
      </c>
    </row>
    <row r="13" spans="1:17" x14ac:dyDescent="0.4">
      <c r="A13" s="58" t="s">
        <v>126</v>
      </c>
      <c r="B13" s="50">
        <v>39</v>
      </c>
      <c r="C13" s="44">
        <f>IF(B$26=0,0,B13/B$26)</f>
        <v>0.3611111111111111</v>
      </c>
      <c r="E13" s="63" t="s">
        <v>80</v>
      </c>
      <c r="F13" s="60" t="s">
        <v>34</v>
      </c>
      <c r="G13" s="47">
        <v>2</v>
      </c>
      <c r="H13" s="137">
        <f>IF(B$27=0,0,G13/B$27)</f>
        <v>4.1666666666666664E-2</v>
      </c>
      <c r="I13" s="98">
        <v>2</v>
      </c>
      <c r="K13" s="38">
        <v>11</v>
      </c>
      <c r="L13" s="103">
        <v>333.30000000000007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28</v>
      </c>
      <c r="C14" s="39">
        <f>IF(B$26=0,0,B14/B$26)</f>
        <v>0.25925925925925924</v>
      </c>
      <c r="E14" s="63" t="s">
        <v>86</v>
      </c>
      <c r="F14" s="60" t="s">
        <v>40</v>
      </c>
      <c r="G14" s="47">
        <v>2</v>
      </c>
      <c r="H14" s="137">
        <f>IF(B$27=0,0,G14/B$27)</f>
        <v>4.1666666666666664E-2</v>
      </c>
      <c r="I14" s="98">
        <v>5</v>
      </c>
      <c r="K14" s="38">
        <v>12</v>
      </c>
      <c r="L14" s="103">
        <v>371.70000000000005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20</v>
      </c>
      <c r="C15" s="37">
        <f>IF(B$13=0,0,B15/B$13)</f>
        <v>0.51282051282051277</v>
      </c>
      <c r="E15" s="63" t="s">
        <v>73</v>
      </c>
      <c r="F15" s="60" t="s">
        <v>27</v>
      </c>
      <c r="G15" s="47">
        <v>1</v>
      </c>
      <c r="H15" s="137">
        <f>IF(B$27=0,0,G15/B$27)</f>
        <v>2.0833333333333332E-2</v>
      </c>
      <c r="I15" s="98">
        <v>4</v>
      </c>
      <c r="K15" s="38">
        <v>13</v>
      </c>
      <c r="L15" s="103">
        <v>418.90000000000003</v>
      </c>
      <c r="N15" s="118" t="s">
        <v>181</v>
      </c>
      <c r="O15" s="128">
        <f>IF(P15=0,0,Q15/P15)</f>
        <v>120</v>
      </c>
      <c r="P15" s="122">
        <v>3</v>
      </c>
      <c r="Q15" s="110">
        <v>360</v>
      </c>
    </row>
    <row r="16" spans="1:17" x14ac:dyDescent="0.4">
      <c r="A16" s="54" t="s">
        <v>129</v>
      </c>
      <c r="B16" s="46">
        <v>18</v>
      </c>
      <c r="C16" s="37">
        <f>IF(B$14=0,0,B16/B$14)</f>
        <v>0.6428571428571429</v>
      </c>
      <c r="E16" s="63" t="s">
        <v>84</v>
      </c>
      <c r="F16" s="60" t="s">
        <v>38</v>
      </c>
      <c r="G16" s="47">
        <v>1</v>
      </c>
      <c r="H16" s="137">
        <f>IF(B$27=0,0,G16/B$27)</f>
        <v>2.0833333333333332E-2</v>
      </c>
      <c r="I16" s="98">
        <v>3</v>
      </c>
      <c r="N16" s="119" t="s">
        <v>179</v>
      </c>
      <c r="O16" s="129">
        <f>IF(P16=0,0,Q16/P16)</f>
        <v>86.61999999999999</v>
      </c>
      <c r="P16" s="123">
        <v>5</v>
      </c>
      <c r="Q16" s="111">
        <v>433.09999999999997</v>
      </c>
    </row>
    <row r="17" spans="1:17" x14ac:dyDescent="0.4">
      <c r="A17" s="54" t="s">
        <v>10</v>
      </c>
      <c r="B17" s="46">
        <f>B19+B18</f>
        <v>48</v>
      </c>
      <c r="C17" s="37">
        <f>IF(B$3=0,0,B17/B$3)</f>
        <v>0.44444444444444442</v>
      </c>
      <c r="E17" s="63" t="s">
        <v>75</v>
      </c>
      <c r="F17" s="60" t="s">
        <v>29</v>
      </c>
      <c r="G17" s="47">
        <v>0</v>
      </c>
      <c r="H17" s="137">
        <f>IF(B$27=0,0,G17/B$27)</f>
        <v>0</v>
      </c>
      <c r="I17" s="98">
        <v>3</v>
      </c>
      <c r="N17" s="119" t="s">
        <v>133</v>
      </c>
      <c r="O17" s="129">
        <f>IF(P17=0,0,Q17/P17)</f>
        <v>32.857142857142854</v>
      </c>
      <c r="P17" s="123">
        <v>7</v>
      </c>
      <c r="Q17" s="111">
        <v>230</v>
      </c>
    </row>
    <row r="18" spans="1:17" x14ac:dyDescent="0.4">
      <c r="A18" s="55" t="s">
        <v>12</v>
      </c>
      <c r="B18" s="47">
        <v>15</v>
      </c>
      <c r="C18" s="39">
        <f>IF(B$17=0,0,B18/B$17)</f>
        <v>0.3125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1</v>
      </c>
      <c r="N18" s="119" t="s">
        <v>132</v>
      </c>
      <c r="O18" s="129">
        <f>IF(P18=0,0,Q18/P18)</f>
        <v>28.212499999999999</v>
      </c>
      <c r="P18" s="123">
        <v>8</v>
      </c>
      <c r="Q18" s="111">
        <v>225.7</v>
      </c>
    </row>
    <row r="19" spans="1:17" x14ac:dyDescent="0.4">
      <c r="A19" s="55" t="s">
        <v>11</v>
      </c>
      <c r="B19" s="47">
        <v>33</v>
      </c>
      <c r="C19" s="39">
        <f>IF(B$17=0,0,B19/B$17)</f>
        <v>0.6875</v>
      </c>
      <c r="E19" s="63" t="s">
        <v>77</v>
      </c>
      <c r="F19" s="60" t="s">
        <v>31</v>
      </c>
      <c r="G19" s="47">
        <v>0</v>
      </c>
      <c r="H19" s="137">
        <f>IF(B$27=0,0,G19/B$27)</f>
        <v>0</v>
      </c>
      <c r="I19" s="98">
        <v>5</v>
      </c>
      <c r="N19" s="119" t="s">
        <v>180</v>
      </c>
      <c r="O19" s="129">
        <f>IF(P19=0,0,Q19/P19)</f>
        <v>2.6333333333333351</v>
      </c>
      <c r="P19" s="123">
        <v>3</v>
      </c>
      <c r="Q19" s="111">
        <v>7.9000000000000057</v>
      </c>
    </row>
    <row r="20" spans="1:17" x14ac:dyDescent="0.4">
      <c r="A20" s="55" t="s">
        <v>13</v>
      </c>
      <c r="B20" s="47">
        <v>15</v>
      </c>
      <c r="C20" s="39">
        <f>IF(B$3=0,0,B20/B$3)</f>
        <v>0.1388888888888889</v>
      </c>
      <c r="E20" s="63" t="s">
        <v>78</v>
      </c>
      <c r="F20" s="60" t="s">
        <v>32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7870.833333333333</v>
      </c>
      <c r="C21" s="41">
        <v>377800</v>
      </c>
      <c r="E21" s="63" t="s">
        <v>79</v>
      </c>
      <c r="F21" s="60" t="s">
        <v>33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-7546.666666666667</v>
      </c>
      <c r="C22" s="45">
        <v>-113200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53">
        <v>4</v>
      </c>
      <c r="C23" s="15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51">
        <v>105900</v>
      </c>
      <c r="C24" s="15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3">
        <v>108</v>
      </c>
      <c r="C26" s="144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7">
        <v>48</v>
      </c>
      <c r="C27" s="158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E0387-0DA2-41EE-A33C-C632F81DA54B}">
  <sheetPr codeName="Sheet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132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12</v>
      </c>
      <c r="C2" s="144"/>
      <c r="E2" s="62" t="s">
        <v>66</v>
      </c>
      <c r="F2" s="59" t="s">
        <v>21</v>
      </c>
      <c r="G2" s="46">
        <v>19</v>
      </c>
      <c r="H2" s="136">
        <f>IF(B$27=0,0,G2/B$27)</f>
        <v>0.61290322580645162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-3500</v>
      </c>
      <c r="P2" s="122">
        <v>12</v>
      </c>
      <c r="Q2" s="106">
        <v>-42000</v>
      </c>
    </row>
    <row r="3" spans="1:17" x14ac:dyDescent="0.4">
      <c r="A3" s="55" t="s">
        <v>8</v>
      </c>
      <c r="B3" s="145">
        <v>103</v>
      </c>
      <c r="C3" s="146"/>
      <c r="E3" s="63" t="s">
        <v>68</v>
      </c>
      <c r="F3" s="60" t="s">
        <v>23</v>
      </c>
      <c r="G3" s="47">
        <v>18</v>
      </c>
      <c r="H3" s="137">
        <f>IF(B$27=0,0,G3/B$27)</f>
        <v>0.58064516129032262</v>
      </c>
      <c r="I3" s="98">
        <v>4</v>
      </c>
      <c r="K3" s="38">
        <v>1</v>
      </c>
      <c r="L3" s="103">
        <v>45.5</v>
      </c>
      <c r="N3" s="119" t="s">
        <v>137</v>
      </c>
      <c r="O3" s="126">
        <f t="shared" si="0"/>
        <v>-541.66666666666663</v>
      </c>
      <c r="P3" s="123">
        <v>12</v>
      </c>
      <c r="Q3" s="107">
        <v>-6500</v>
      </c>
    </row>
    <row r="4" spans="1:17" x14ac:dyDescent="0.4">
      <c r="A4" s="55" t="s">
        <v>6</v>
      </c>
      <c r="B4" s="147">
        <v>-56.500000000000007</v>
      </c>
      <c r="C4" s="148"/>
      <c r="E4" s="63" t="s">
        <v>189</v>
      </c>
      <c r="F4" s="60" t="s">
        <v>190</v>
      </c>
      <c r="G4" s="47">
        <v>18</v>
      </c>
      <c r="H4" s="137">
        <f>IF(B$27=0,0,G4/B$27)</f>
        <v>0.58064516129032262</v>
      </c>
      <c r="I4" s="98">
        <v>1</v>
      </c>
      <c r="K4" s="38">
        <v>2</v>
      </c>
      <c r="L4" s="103">
        <v>6.2999999999999972</v>
      </c>
      <c r="N4" s="119" t="s">
        <v>138</v>
      </c>
      <c r="O4" s="126">
        <f t="shared" si="0"/>
        <v>-1383.3333333333333</v>
      </c>
      <c r="P4" s="123">
        <v>12</v>
      </c>
      <c r="Q4" s="107">
        <v>-16600</v>
      </c>
    </row>
    <row r="5" spans="1:17" x14ac:dyDescent="0.4">
      <c r="A5" s="55" t="s">
        <v>7</v>
      </c>
      <c r="B5" s="149">
        <f>IF(B$2=0,0,B$4/B$2)</f>
        <v>-4.7083333333333339</v>
      </c>
      <c r="C5" s="150"/>
      <c r="E5" s="63" t="s">
        <v>69</v>
      </c>
      <c r="F5" s="60" t="s">
        <v>24</v>
      </c>
      <c r="G5" s="47">
        <v>14</v>
      </c>
      <c r="H5" s="137">
        <f>IF(B$27=0,0,G5/B$27)</f>
        <v>0.45161290322580644</v>
      </c>
      <c r="I5" s="98">
        <v>1</v>
      </c>
      <c r="K5" s="38">
        <v>3</v>
      </c>
      <c r="L5" s="103">
        <v>-47.300000000000004</v>
      </c>
      <c r="N5" s="119" t="s">
        <v>139</v>
      </c>
      <c r="O5" s="126">
        <f t="shared" si="0"/>
        <v>916.66666666666663</v>
      </c>
      <c r="P5" s="123">
        <v>12</v>
      </c>
      <c r="Q5" s="107">
        <v>11000</v>
      </c>
    </row>
    <row r="6" spans="1:17" x14ac:dyDescent="0.4">
      <c r="A6" s="55" t="s">
        <v>1</v>
      </c>
      <c r="B6" s="155">
        <f>IF(B$2=0,0,(B$7*1+B$8*2+B$9*3)/B$2)</f>
        <v>2.1666666666666665</v>
      </c>
      <c r="C6" s="156"/>
      <c r="E6" s="63" t="s">
        <v>70</v>
      </c>
      <c r="F6" s="60" t="s">
        <v>12</v>
      </c>
      <c r="G6" s="47">
        <v>11</v>
      </c>
      <c r="H6" s="137">
        <f>IF(B$27=0,0,G6/B$27)</f>
        <v>0.35483870967741937</v>
      </c>
      <c r="I6" s="98">
        <v>3</v>
      </c>
      <c r="K6" s="38">
        <v>4</v>
      </c>
      <c r="L6" s="103">
        <v>13.599999999999994</v>
      </c>
      <c r="N6" s="119" t="s">
        <v>140</v>
      </c>
      <c r="O6" s="126">
        <f t="shared" si="0"/>
        <v>3191.6666666666665</v>
      </c>
      <c r="P6" s="123">
        <v>12</v>
      </c>
      <c r="Q6" s="107">
        <v>38300</v>
      </c>
    </row>
    <row r="7" spans="1:17" x14ac:dyDescent="0.4">
      <c r="A7" s="55" t="s">
        <v>2</v>
      </c>
      <c r="B7" s="47">
        <v>3</v>
      </c>
      <c r="C7" s="39">
        <f>IF(B$2=0,0,B7/B$2)</f>
        <v>0.25</v>
      </c>
      <c r="E7" s="63" t="s">
        <v>71</v>
      </c>
      <c r="F7" s="60" t="s">
        <v>25</v>
      </c>
      <c r="G7" s="47">
        <v>9</v>
      </c>
      <c r="H7" s="137">
        <f>IF(B$27=0,0,G7/B$27)</f>
        <v>0.29032258064516131</v>
      </c>
      <c r="I7" s="98">
        <v>2</v>
      </c>
      <c r="K7" s="38">
        <v>5</v>
      </c>
      <c r="L7" s="103">
        <v>-16.600000000000005</v>
      </c>
      <c r="N7" s="120" t="s">
        <v>141</v>
      </c>
      <c r="O7" s="127">
        <f t="shared" si="0"/>
        <v>-58.333333333333336</v>
      </c>
      <c r="P7" s="124">
        <v>12</v>
      </c>
      <c r="Q7" s="108">
        <v>-700</v>
      </c>
    </row>
    <row r="8" spans="1:17" x14ac:dyDescent="0.4">
      <c r="A8" s="55" t="s">
        <v>3</v>
      </c>
      <c r="B8" s="47">
        <v>4</v>
      </c>
      <c r="C8" s="39">
        <f>IF(B$2=0,0,B8/B$2)</f>
        <v>0.33333333333333331</v>
      </c>
      <c r="E8" s="63" t="s">
        <v>74</v>
      </c>
      <c r="F8" s="60" t="s">
        <v>28</v>
      </c>
      <c r="G8" s="47">
        <v>8</v>
      </c>
      <c r="H8" s="137">
        <f>IF(B$27=0,0,G8/B$27)</f>
        <v>0.25806451612903225</v>
      </c>
      <c r="I8" s="98">
        <v>7</v>
      </c>
      <c r="K8" s="38">
        <v>6</v>
      </c>
      <c r="L8" s="103">
        <v>-14.000000000000005</v>
      </c>
      <c r="N8" s="43"/>
      <c r="O8" s="131"/>
      <c r="P8" s="115"/>
      <c r="Q8" s="113"/>
    </row>
    <row r="9" spans="1:17" x14ac:dyDescent="0.4">
      <c r="A9" s="56" t="s">
        <v>4</v>
      </c>
      <c r="B9" s="48">
        <v>5</v>
      </c>
      <c r="C9" s="40">
        <f t="shared" ref="C9" si="1">IF(B$2=0,0,B9/B$2)</f>
        <v>0.41666666666666669</v>
      </c>
      <c r="E9" s="63" t="s">
        <v>67</v>
      </c>
      <c r="F9" s="60" t="s">
        <v>22</v>
      </c>
      <c r="G9" s="47">
        <v>6</v>
      </c>
      <c r="H9" s="137">
        <f>IF(B$27=0,0,G9/B$27)</f>
        <v>0.19354838709677419</v>
      </c>
      <c r="I9" s="98">
        <v>2</v>
      </c>
      <c r="K9" s="38">
        <v>7</v>
      </c>
      <c r="L9" s="103">
        <v>-45.300000000000004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26</v>
      </c>
      <c r="G10" s="47">
        <v>3</v>
      </c>
      <c r="H10" s="137">
        <f>IF(B$27=0,0,G10/B$27)</f>
        <v>9.6774193548387094E-2</v>
      </c>
      <c r="I10" s="98">
        <v>4</v>
      </c>
      <c r="K10" s="38">
        <v>8</v>
      </c>
      <c r="L10" s="103">
        <v>-49.6</v>
      </c>
      <c r="N10" s="118" t="s">
        <v>172</v>
      </c>
      <c r="O10" s="128">
        <f>IF(P10=0,0,Q10/P10)</f>
        <v>-18.666666666666668</v>
      </c>
      <c r="P10" s="122">
        <v>3</v>
      </c>
      <c r="Q10" s="110">
        <v>-56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2</v>
      </c>
      <c r="H11" s="137">
        <f>IF(B$27=0,0,G11/B$27)</f>
        <v>6.4516129032258063E-2</v>
      </c>
      <c r="I11" s="98">
        <v>3</v>
      </c>
      <c r="K11" s="38">
        <v>9</v>
      </c>
      <c r="L11" s="103">
        <v>-79.5</v>
      </c>
      <c r="N11" s="119" t="s">
        <v>173</v>
      </c>
      <c r="O11" s="129">
        <f>IF(P11=0,0,Q11/P11)</f>
        <v>-7.3833333333333329</v>
      </c>
      <c r="P11" s="123">
        <v>6</v>
      </c>
      <c r="Q11" s="111">
        <v>-44.3</v>
      </c>
    </row>
    <row r="12" spans="1:17" x14ac:dyDescent="0.4">
      <c r="A12" s="57" t="s">
        <v>165</v>
      </c>
      <c r="B12" s="49">
        <v>1</v>
      </c>
      <c r="C12" s="42">
        <f>IF(B$2=0,0,B12/B$2)</f>
        <v>8.3333333333333329E-2</v>
      </c>
      <c r="E12" s="63" t="s">
        <v>92</v>
      </c>
      <c r="F12" s="60" t="s">
        <v>46</v>
      </c>
      <c r="G12" s="47">
        <v>2</v>
      </c>
      <c r="H12" s="137">
        <f>IF(B$27=0,0,G12/B$27)</f>
        <v>6.4516129032258063E-2</v>
      </c>
      <c r="I12" s="98">
        <v>8</v>
      </c>
      <c r="K12" s="38">
        <v>10</v>
      </c>
      <c r="L12" s="103">
        <v>-80.900000000000006</v>
      </c>
      <c r="N12" s="120" t="s">
        <v>174</v>
      </c>
      <c r="O12" s="130">
        <f>IF(P12=0,0,Q12/P12)</f>
        <v>14.600000000000001</v>
      </c>
      <c r="P12" s="124">
        <v>3</v>
      </c>
      <c r="Q12" s="112">
        <v>43.800000000000004</v>
      </c>
    </row>
    <row r="13" spans="1:17" x14ac:dyDescent="0.4">
      <c r="A13" s="58" t="s">
        <v>126</v>
      </c>
      <c r="B13" s="50">
        <v>32</v>
      </c>
      <c r="C13" s="44">
        <f>IF(B$26=0,0,B13/B$26)</f>
        <v>0.31067961165048541</v>
      </c>
      <c r="E13" s="63" t="s">
        <v>73</v>
      </c>
      <c r="F13" s="60" t="s">
        <v>27</v>
      </c>
      <c r="G13" s="47">
        <v>1</v>
      </c>
      <c r="H13" s="137">
        <f>IF(B$27=0,0,G13/B$27)</f>
        <v>3.2258064516129031E-2</v>
      </c>
      <c r="I13" s="98">
        <v>2</v>
      </c>
      <c r="K13" s="38">
        <v>11</v>
      </c>
      <c r="L13" s="103">
        <v>-53.100000000000009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23</v>
      </c>
      <c r="C14" s="39">
        <f>IF(B$26=0,0,B14/B$26)</f>
        <v>0.22330097087378642</v>
      </c>
      <c r="E14" s="63" t="s">
        <v>75</v>
      </c>
      <c r="F14" s="60" t="s">
        <v>29</v>
      </c>
      <c r="G14" s="47">
        <v>1</v>
      </c>
      <c r="H14" s="137">
        <f>IF(B$27=0,0,G14/B$27)</f>
        <v>3.2258064516129031E-2</v>
      </c>
      <c r="I14" s="98">
        <v>1</v>
      </c>
      <c r="K14" s="38">
        <v>12</v>
      </c>
      <c r="L14" s="103">
        <v>-56.500000000000007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19</v>
      </c>
      <c r="C15" s="37">
        <f>IF(B$13=0,0,B15/B$13)</f>
        <v>0.59375</v>
      </c>
      <c r="E15" s="63" t="s">
        <v>77</v>
      </c>
      <c r="F15" s="60" t="s">
        <v>31</v>
      </c>
      <c r="G15" s="47">
        <v>1</v>
      </c>
      <c r="H15" s="137">
        <f>IF(B$27=0,0,G15/B$27)</f>
        <v>3.2258064516129031E-2</v>
      </c>
      <c r="I15" s="98">
        <v>3</v>
      </c>
      <c r="N15" s="118" t="s">
        <v>180</v>
      </c>
      <c r="O15" s="128">
        <f>IF(P15=0,0,Q15/P15)</f>
        <v>32.699999999999996</v>
      </c>
      <c r="P15" s="122">
        <v>3</v>
      </c>
      <c r="Q15" s="110">
        <v>98.1</v>
      </c>
    </row>
    <row r="16" spans="1:17" x14ac:dyDescent="0.4">
      <c r="A16" s="54" t="s">
        <v>129</v>
      </c>
      <c r="B16" s="46">
        <v>6</v>
      </c>
      <c r="C16" s="37">
        <f>IF(B$14=0,0,B16/B$14)</f>
        <v>0.2608695652173913</v>
      </c>
      <c r="E16" s="63" t="s">
        <v>84</v>
      </c>
      <c r="F16" s="60" t="s">
        <v>38</v>
      </c>
      <c r="G16" s="47">
        <v>1</v>
      </c>
      <c r="H16" s="137">
        <f>IF(B$27=0,0,G16/B$27)</f>
        <v>3.2258064516129031E-2</v>
      </c>
      <c r="I16" s="98">
        <v>2</v>
      </c>
      <c r="N16" s="119" t="s">
        <v>181</v>
      </c>
      <c r="O16" s="129">
        <f>IF(P16=0,0,Q16/P16)</f>
        <v>27.8</v>
      </c>
      <c r="P16" s="123">
        <v>2</v>
      </c>
      <c r="Q16" s="111">
        <v>55.6</v>
      </c>
    </row>
    <row r="17" spans="1:17" x14ac:dyDescent="0.4">
      <c r="A17" s="54" t="s">
        <v>10</v>
      </c>
      <c r="B17" s="46">
        <f>B19+B18</f>
        <v>31</v>
      </c>
      <c r="C17" s="37">
        <f>IF(B$3=0,0,B17/B$3)</f>
        <v>0.30097087378640774</v>
      </c>
      <c r="E17" s="63" t="s">
        <v>94</v>
      </c>
      <c r="F17" s="60" t="s">
        <v>48</v>
      </c>
      <c r="G17" s="47">
        <v>1</v>
      </c>
      <c r="H17" s="137">
        <f>IF(B$27=0,0,G17/B$27)</f>
        <v>3.2258064516129031E-2</v>
      </c>
      <c r="I17" s="98">
        <v>2</v>
      </c>
      <c r="N17" s="119" t="s">
        <v>179</v>
      </c>
      <c r="O17" s="129">
        <f>IF(P17=0,0,Q17/P17)</f>
        <v>19.666666666666668</v>
      </c>
      <c r="P17" s="123">
        <v>3</v>
      </c>
      <c r="Q17" s="111">
        <v>59</v>
      </c>
    </row>
    <row r="18" spans="1:17" x14ac:dyDescent="0.4">
      <c r="A18" s="55" t="s">
        <v>12</v>
      </c>
      <c r="B18" s="47">
        <v>12</v>
      </c>
      <c r="C18" s="39">
        <f>IF(B$17=0,0,B18/B$17)</f>
        <v>0.38709677419354838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1</v>
      </c>
      <c r="N18" s="119" t="s">
        <v>133</v>
      </c>
      <c r="O18" s="129">
        <f>IF(P18=0,0,Q18/P18)</f>
        <v>-15.299999999999999</v>
      </c>
      <c r="P18" s="123">
        <v>6</v>
      </c>
      <c r="Q18" s="111">
        <v>-91.8</v>
      </c>
    </row>
    <row r="19" spans="1:17" x14ac:dyDescent="0.4">
      <c r="A19" s="55" t="s">
        <v>11</v>
      </c>
      <c r="B19" s="47">
        <v>19</v>
      </c>
      <c r="C19" s="39">
        <f>IF(B$17=0,0,B19/B$17)</f>
        <v>0.61290322580645162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131</v>
      </c>
      <c r="O19" s="129">
        <f>IF(P19=0,0,Q19/P19)</f>
        <v>-28.212499999999999</v>
      </c>
      <c r="P19" s="123">
        <v>8</v>
      </c>
      <c r="Q19" s="111">
        <v>-225.7</v>
      </c>
    </row>
    <row r="20" spans="1:17" x14ac:dyDescent="0.4">
      <c r="A20" s="55" t="s">
        <v>13</v>
      </c>
      <c r="B20" s="47">
        <v>18</v>
      </c>
      <c r="C20" s="39">
        <f>IF(B$3=0,0,B20/B$3)</f>
        <v>0.17475728155339806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185</v>
      </c>
      <c r="O20" s="129">
        <f>IF(P20=0,0,Q20/P20)</f>
        <v>-32.35</v>
      </c>
      <c r="P20" s="123">
        <v>2</v>
      </c>
      <c r="Q20" s="111">
        <v>-64.7</v>
      </c>
    </row>
    <row r="21" spans="1:17" x14ac:dyDescent="0.4">
      <c r="A21" s="55" t="s">
        <v>5</v>
      </c>
      <c r="B21" s="51">
        <f>IF(B$17=0,0,C21/B$17)</f>
        <v>7809.677419354839</v>
      </c>
      <c r="C21" s="41">
        <v>242100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-8222.2222222222226</v>
      </c>
      <c r="C22" s="45">
        <v>-148000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53">
        <v>4</v>
      </c>
      <c r="C23" s="15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51">
        <v>75900</v>
      </c>
      <c r="C24" s="15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2</v>
      </c>
      <c r="C25" s="42">
        <f>IF(B$3=0,0,B25/B$3)</f>
        <v>1.9417475728155338E-2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3">
        <v>103</v>
      </c>
      <c r="C26" s="144"/>
      <c r="E26" s="63" t="s">
        <v>86</v>
      </c>
      <c r="F26" s="60" t="s">
        <v>40</v>
      </c>
      <c r="G26" s="47">
        <v>0</v>
      </c>
      <c r="H26" s="137">
        <f>IF(B$27=0,0,G26/B$27)</f>
        <v>0</v>
      </c>
      <c r="I26" s="98">
        <v>7</v>
      </c>
    </row>
    <row r="27" spans="1:17" x14ac:dyDescent="0.4">
      <c r="A27" s="57" t="s">
        <v>125</v>
      </c>
      <c r="B27" s="157">
        <v>31</v>
      </c>
      <c r="C27" s="158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CABBF-AC61-4E97-93DE-BBE4FCD52BCF}">
  <sheetPr codeName="Sheet1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133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9</v>
      </c>
      <c r="C2" s="144"/>
      <c r="E2" s="62" t="s">
        <v>68</v>
      </c>
      <c r="F2" s="59" t="s">
        <v>23</v>
      </c>
      <c r="G2" s="46">
        <v>24</v>
      </c>
      <c r="H2" s="136">
        <f>IF(B$27=0,0,G2/B$27)</f>
        <v>1.263157894736842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1255.5555555555557</v>
      </c>
      <c r="P2" s="122">
        <v>9</v>
      </c>
      <c r="Q2" s="106">
        <v>11300</v>
      </c>
    </row>
    <row r="3" spans="1:17" x14ac:dyDescent="0.4">
      <c r="A3" s="55" t="s">
        <v>8</v>
      </c>
      <c r="B3" s="145">
        <v>75</v>
      </c>
      <c r="C3" s="146"/>
      <c r="E3" s="63" t="s">
        <v>66</v>
      </c>
      <c r="F3" s="60" t="s">
        <v>21</v>
      </c>
      <c r="G3" s="47">
        <v>9</v>
      </c>
      <c r="H3" s="137">
        <f>IF(B$27=0,0,G3/B$27)</f>
        <v>0.47368421052631576</v>
      </c>
      <c r="I3" s="98">
        <v>2</v>
      </c>
      <c r="K3" s="38">
        <v>1</v>
      </c>
      <c r="L3" s="103">
        <v>-40.4</v>
      </c>
      <c r="N3" s="119" t="s">
        <v>137</v>
      </c>
      <c r="O3" s="126">
        <f t="shared" si="0"/>
        <v>-3022.2222222222222</v>
      </c>
      <c r="P3" s="123">
        <v>9</v>
      </c>
      <c r="Q3" s="107">
        <v>-27200</v>
      </c>
    </row>
    <row r="4" spans="1:17" x14ac:dyDescent="0.4">
      <c r="A4" s="55" t="s">
        <v>6</v>
      </c>
      <c r="B4" s="147">
        <v>-127.6</v>
      </c>
      <c r="C4" s="148"/>
      <c r="E4" s="63" t="s">
        <v>69</v>
      </c>
      <c r="F4" s="60" t="s">
        <v>24</v>
      </c>
      <c r="G4" s="47">
        <v>7</v>
      </c>
      <c r="H4" s="137">
        <f>IF(B$27=0,0,G4/B$27)</f>
        <v>0.36842105263157893</v>
      </c>
      <c r="I4" s="98">
        <v>3</v>
      </c>
      <c r="K4" s="38">
        <v>2</v>
      </c>
      <c r="L4" s="103">
        <v>-3.3999999999999986</v>
      </c>
      <c r="N4" s="119" t="s">
        <v>138</v>
      </c>
      <c r="O4" s="126">
        <f t="shared" si="0"/>
        <v>-2914.2857142857142</v>
      </c>
      <c r="P4" s="123">
        <v>7</v>
      </c>
      <c r="Q4" s="107">
        <v>-20400</v>
      </c>
    </row>
    <row r="5" spans="1:17" x14ac:dyDescent="0.4">
      <c r="A5" s="55" t="s">
        <v>7</v>
      </c>
      <c r="B5" s="149">
        <f>IF(B$2=0,0,B$4/B$2)</f>
        <v>-14.177777777777777</v>
      </c>
      <c r="C5" s="150"/>
      <c r="E5" s="63" t="s">
        <v>74</v>
      </c>
      <c r="F5" s="60" t="s">
        <v>28</v>
      </c>
      <c r="G5" s="47">
        <v>6</v>
      </c>
      <c r="H5" s="137">
        <f>IF(B$27=0,0,G5/B$27)</f>
        <v>0.31578947368421051</v>
      </c>
      <c r="I5" s="98">
        <v>6</v>
      </c>
      <c r="K5" s="38">
        <v>3</v>
      </c>
      <c r="L5" s="103">
        <v>-23.099999999999998</v>
      </c>
      <c r="N5" s="119" t="s">
        <v>139</v>
      </c>
      <c r="O5" s="126">
        <f t="shared" si="0"/>
        <v>-5114.2857142857147</v>
      </c>
      <c r="P5" s="123">
        <v>7</v>
      </c>
      <c r="Q5" s="107">
        <v>-35800</v>
      </c>
    </row>
    <row r="6" spans="1:17" x14ac:dyDescent="0.4">
      <c r="A6" s="55" t="s">
        <v>1</v>
      </c>
      <c r="B6" s="155">
        <f>IF(B$2=0,0,(B$7*1+B$8*2+B$9*3)/B$2)</f>
        <v>2.2222222222222223</v>
      </c>
      <c r="C6" s="156"/>
      <c r="E6" s="63" t="s">
        <v>70</v>
      </c>
      <c r="F6" s="60" t="s">
        <v>12</v>
      </c>
      <c r="G6" s="47">
        <v>5</v>
      </c>
      <c r="H6" s="137">
        <f>IF(B$27=0,0,G6/B$27)</f>
        <v>0.26315789473684209</v>
      </c>
      <c r="I6" s="98">
        <v>5</v>
      </c>
      <c r="K6" s="38">
        <v>4</v>
      </c>
      <c r="L6" s="103">
        <v>-31.4</v>
      </c>
      <c r="N6" s="119" t="s">
        <v>140</v>
      </c>
      <c r="O6" s="126">
        <f t="shared" si="0"/>
        <v>-1571.4285714285713</v>
      </c>
      <c r="P6" s="123">
        <v>7</v>
      </c>
      <c r="Q6" s="107">
        <v>-11000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189</v>
      </c>
      <c r="F7" s="60" t="s">
        <v>190</v>
      </c>
      <c r="G7" s="47">
        <v>5</v>
      </c>
      <c r="H7" s="137">
        <f>IF(B$27=0,0,G7/B$27)</f>
        <v>0.26315789473684209</v>
      </c>
      <c r="I7" s="98">
        <v>6</v>
      </c>
      <c r="K7" s="38">
        <v>5</v>
      </c>
      <c r="L7" s="103">
        <v>-32.199999999999996</v>
      </c>
      <c r="N7" s="120" t="s">
        <v>141</v>
      </c>
      <c r="O7" s="127">
        <f t="shared" si="0"/>
        <v>-642.85714285714289</v>
      </c>
      <c r="P7" s="124">
        <v>7</v>
      </c>
      <c r="Q7" s="108">
        <v>-4500</v>
      </c>
    </row>
    <row r="8" spans="1:17" x14ac:dyDescent="0.4">
      <c r="A8" s="55" t="s">
        <v>3</v>
      </c>
      <c r="B8" s="47">
        <v>3</v>
      </c>
      <c r="C8" s="39">
        <f>IF(B$2=0,0,B8/B$2)</f>
        <v>0.33333333333333331</v>
      </c>
      <c r="E8" s="63" t="s">
        <v>73</v>
      </c>
      <c r="F8" s="60" t="s">
        <v>27</v>
      </c>
      <c r="G8" s="47">
        <v>3</v>
      </c>
      <c r="H8" s="137">
        <f>IF(B$27=0,0,G8/B$27)</f>
        <v>0.15789473684210525</v>
      </c>
      <c r="I8" s="98">
        <v>1</v>
      </c>
      <c r="K8" s="38">
        <v>6</v>
      </c>
      <c r="L8" s="103">
        <v>-58.5</v>
      </c>
      <c r="N8" s="43"/>
      <c r="O8" s="131"/>
      <c r="P8" s="115"/>
      <c r="Q8" s="113"/>
    </row>
    <row r="9" spans="1:17" x14ac:dyDescent="0.4">
      <c r="A9" s="56" t="s">
        <v>4</v>
      </c>
      <c r="B9" s="48">
        <v>4</v>
      </c>
      <c r="C9" s="40">
        <f t="shared" ref="C9" si="1">IF(B$2=0,0,B9/B$2)</f>
        <v>0.44444444444444442</v>
      </c>
      <c r="E9" s="63" t="s">
        <v>92</v>
      </c>
      <c r="F9" s="60" t="s">
        <v>46</v>
      </c>
      <c r="G9" s="47">
        <v>3</v>
      </c>
      <c r="H9" s="137">
        <f>IF(B$27=0,0,G9/B$27)</f>
        <v>0.15789473684210525</v>
      </c>
      <c r="I9" s="98">
        <v>3</v>
      </c>
      <c r="K9" s="38">
        <v>7</v>
      </c>
      <c r="L9" s="103">
        <v>-116.8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0.1111111111111111</v>
      </c>
      <c r="E10" s="63" t="s">
        <v>71</v>
      </c>
      <c r="F10" s="60" t="s">
        <v>25</v>
      </c>
      <c r="G10" s="47">
        <v>2</v>
      </c>
      <c r="H10" s="137">
        <f>IF(B$27=0,0,G10/B$27)</f>
        <v>0.10526315789473684</v>
      </c>
      <c r="I10" s="98">
        <v>7</v>
      </c>
      <c r="K10" s="38">
        <v>8</v>
      </c>
      <c r="L10" s="103">
        <v>-79.599999999999994</v>
      </c>
      <c r="N10" s="118" t="s">
        <v>172</v>
      </c>
      <c r="O10" s="128">
        <f>IF(P10=0,0,Q10/P10)</f>
        <v>-30.75</v>
      </c>
      <c r="P10" s="122">
        <v>4</v>
      </c>
      <c r="Q10" s="110">
        <v>-123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2</v>
      </c>
      <c r="H11" s="137">
        <f>IF(B$27=0,0,G11/B$27)</f>
        <v>0.10526315789473684</v>
      </c>
      <c r="I11" s="98">
        <v>3</v>
      </c>
      <c r="K11" s="38">
        <v>9</v>
      </c>
      <c r="L11" s="103">
        <v>-127.6</v>
      </c>
      <c r="N11" s="119" t="s">
        <v>173</v>
      </c>
      <c r="O11" s="129">
        <f>IF(P11=0,0,Q11/P11)</f>
        <v>-10.25</v>
      </c>
      <c r="P11" s="123">
        <v>2</v>
      </c>
      <c r="Q11" s="111">
        <v>-20.5</v>
      </c>
    </row>
    <row r="12" spans="1:17" x14ac:dyDescent="0.4">
      <c r="A12" s="57" t="s">
        <v>165</v>
      </c>
      <c r="B12" s="49">
        <v>1</v>
      </c>
      <c r="C12" s="42">
        <f>IF(B$2=0,0,B12/B$2)</f>
        <v>0.1111111111111111</v>
      </c>
      <c r="E12" s="63" t="s">
        <v>89</v>
      </c>
      <c r="F12" s="60" t="s">
        <v>43</v>
      </c>
      <c r="G12" s="47">
        <v>2</v>
      </c>
      <c r="H12" s="137">
        <f>IF(B$27=0,0,G12/B$27)</f>
        <v>0.10526315789473684</v>
      </c>
      <c r="I12" s="98">
        <v>1</v>
      </c>
      <c r="N12" s="120" t="s">
        <v>174</v>
      </c>
      <c r="O12" s="130">
        <f>IF(P12=0,0,Q12/P12)</f>
        <v>5.3000000000000016</v>
      </c>
      <c r="P12" s="124">
        <v>3</v>
      </c>
      <c r="Q12" s="112">
        <v>15.900000000000006</v>
      </c>
    </row>
    <row r="13" spans="1:17" x14ac:dyDescent="0.4">
      <c r="A13" s="58" t="s">
        <v>126</v>
      </c>
      <c r="B13" s="50">
        <v>18</v>
      </c>
      <c r="C13" s="44">
        <f>IF(B$26=0,0,B13/B$26)</f>
        <v>0.24</v>
      </c>
      <c r="E13" s="63" t="s">
        <v>67</v>
      </c>
      <c r="F13" s="60" t="s">
        <v>22</v>
      </c>
      <c r="G13" s="47">
        <v>1</v>
      </c>
      <c r="H13" s="137">
        <f>IF(B$27=0,0,G13/B$27)</f>
        <v>5.2631578947368418E-2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8</v>
      </c>
      <c r="C14" s="39">
        <f>IF(B$26=0,0,B14/B$26)</f>
        <v>0.10666666666666667</v>
      </c>
      <c r="E14" s="63" t="s">
        <v>80</v>
      </c>
      <c r="F14" s="60" t="s">
        <v>34</v>
      </c>
      <c r="G14" s="47">
        <v>1</v>
      </c>
      <c r="H14" s="137">
        <f>IF(B$27=0,0,G14/B$27)</f>
        <v>5.2631578947368418E-2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10</v>
      </c>
      <c r="C15" s="37">
        <f>IF(B$13=0,0,B15/B$13)</f>
        <v>0.55555555555555558</v>
      </c>
      <c r="E15" s="63" t="s">
        <v>86</v>
      </c>
      <c r="F15" s="60" t="s">
        <v>40</v>
      </c>
      <c r="G15" s="47">
        <v>1</v>
      </c>
      <c r="H15" s="137">
        <f>IF(B$27=0,0,G15/B$27)</f>
        <v>5.2631578947368418E-2</v>
      </c>
      <c r="I15" s="98">
        <v>3</v>
      </c>
      <c r="N15" s="118" t="s">
        <v>132</v>
      </c>
      <c r="O15" s="128">
        <f>IF(P15=0,0,Q15/P15)</f>
        <v>15.299999999999997</v>
      </c>
      <c r="P15" s="122">
        <v>6</v>
      </c>
      <c r="Q15" s="110">
        <v>91.799999999999983</v>
      </c>
    </row>
    <row r="16" spans="1:17" x14ac:dyDescent="0.4">
      <c r="A16" s="54" t="s">
        <v>129</v>
      </c>
      <c r="B16" s="46">
        <v>3</v>
      </c>
      <c r="C16" s="37">
        <f>IF(B$14=0,0,B16/B$14)</f>
        <v>0.375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181</v>
      </c>
      <c r="O16" s="129">
        <f>IF(P16=0,0,Q16/P16)</f>
        <v>13.95</v>
      </c>
      <c r="P16" s="123">
        <v>2</v>
      </c>
      <c r="Q16" s="111">
        <v>27.9</v>
      </c>
    </row>
    <row r="17" spans="1:17" x14ac:dyDescent="0.4">
      <c r="A17" s="54" t="s">
        <v>10</v>
      </c>
      <c r="B17" s="46">
        <f>B19+B18</f>
        <v>19</v>
      </c>
      <c r="C17" s="37">
        <f>IF(B$3=0,0,B17/B$3)</f>
        <v>0.25333333333333335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131</v>
      </c>
      <c r="O17" s="129">
        <f>IF(P17=0,0,Q17/P17)</f>
        <v>-32.857142857142854</v>
      </c>
      <c r="P17" s="123">
        <v>7</v>
      </c>
      <c r="Q17" s="111">
        <v>-230</v>
      </c>
    </row>
    <row r="18" spans="1:17" x14ac:dyDescent="0.4">
      <c r="A18" s="55" t="s">
        <v>12</v>
      </c>
      <c r="B18" s="47">
        <v>6</v>
      </c>
      <c r="C18" s="39">
        <f>IF(B$17=0,0,B18/B$17)</f>
        <v>0.31578947368421051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180</v>
      </c>
      <c r="O18" s="129">
        <f>IF(P18=0,0,Q18/P18)</f>
        <v>-67.8</v>
      </c>
      <c r="P18" s="123">
        <v>1</v>
      </c>
      <c r="Q18" s="111">
        <v>-67.8</v>
      </c>
    </row>
    <row r="19" spans="1:17" x14ac:dyDescent="0.4">
      <c r="A19" s="55" t="s">
        <v>11</v>
      </c>
      <c r="B19" s="47">
        <v>13</v>
      </c>
      <c r="C19" s="39">
        <f>IF(B$17=0,0,B19/B$17)</f>
        <v>0.68421052631578949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179</v>
      </c>
      <c r="O19" s="129">
        <f>IF(P19=0,0,Q19/P19)</f>
        <v>-102.35</v>
      </c>
      <c r="P19" s="123">
        <v>2</v>
      </c>
      <c r="Q19" s="111">
        <v>-204.7</v>
      </c>
    </row>
    <row r="20" spans="1:17" x14ac:dyDescent="0.4">
      <c r="A20" s="55" t="s">
        <v>13</v>
      </c>
      <c r="B20" s="47">
        <v>18</v>
      </c>
      <c r="C20" s="39">
        <f>IF(B$3=0,0,B20/B$3)</f>
        <v>0.24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7710.5263157894733</v>
      </c>
      <c r="C21" s="41">
        <v>146500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-9244.4444444444453</v>
      </c>
      <c r="C22" s="45">
        <v>-166400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53">
        <v>7</v>
      </c>
      <c r="C23" s="15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51">
        <v>52200</v>
      </c>
      <c r="C24" s="15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5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3">
        <v>75</v>
      </c>
      <c r="C26" s="144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7">
        <v>19</v>
      </c>
      <c r="C27" s="158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2B5F-354A-413D-A201-2FD93BB6408B}">
  <sheetPr codeName="Sheet1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179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10</v>
      </c>
      <c r="C2" s="144"/>
      <c r="E2" s="62" t="s">
        <v>68</v>
      </c>
      <c r="F2" s="59" t="s">
        <v>23</v>
      </c>
      <c r="G2" s="46">
        <v>19</v>
      </c>
      <c r="H2" s="136">
        <f>IF(B$27=0,0,G2/B$27)</f>
        <v>0.86363636363636365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-2080</v>
      </c>
      <c r="P2" s="122">
        <v>10</v>
      </c>
      <c r="Q2" s="106">
        <v>-20800</v>
      </c>
    </row>
    <row r="3" spans="1:17" x14ac:dyDescent="0.4">
      <c r="A3" s="55" t="s">
        <v>8</v>
      </c>
      <c r="B3" s="145">
        <v>85</v>
      </c>
      <c r="C3" s="146"/>
      <c r="E3" s="63" t="s">
        <v>74</v>
      </c>
      <c r="F3" s="60" t="s">
        <v>28</v>
      </c>
      <c r="G3" s="47">
        <v>13</v>
      </c>
      <c r="H3" s="137">
        <f>IF(B$27=0,0,G3/B$27)</f>
        <v>0.59090909090909094</v>
      </c>
      <c r="I3" s="98">
        <v>3</v>
      </c>
      <c r="K3" s="38">
        <v>1</v>
      </c>
      <c r="L3" s="103">
        <v>-51.2</v>
      </c>
      <c r="N3" s="119" t="s">
        <v>137</v>
      </c>
      <c r="O3" s="126">
        <f t="shared" si="0"/>
        <v>3070</v>
      </c>
      <c r="P3" s="123">
        <v>10</v>
      </c>
      <c r="Q3" s="107">
        <v>30700</v>
      </c>
    </row>
    <row r="4" spans="1:17" x14ac:dyDescent="0.4">
      <c r="A4" s="55" t="s">
        <v>6</v>
      </c>
      <c r="B4" s="147">
        <v>-56.500000000000007</v>
      </c>
      <c r="C4" s="148"/>
      <c r="E4" s="63" t="s">
        <v>66</v>
      </c>
      <c r="F4" s="60" t="s">
        <v>21</v>
      </c>
      <c r="G4" s="47">
        <v>10</v>
      </c>
      <c r="H4" s="137">
        <f>IF(B$27=0,0,G4/B$27)</f>
        <v>0.45454545454545453</v>
      </c>
      <c r="I4" s="98">
        <v>3</v>
      </c>
      <c r="K4" s="38">
        <v>2</v>
      </c>
      <c r="L4" s="103">
        <v>-93.300000000000011</v>
      </c>
      <c r="N4" s="119" t="s">
        <v>138</v>
      </c>
      <c r="O4" s="126">
        <f t="shared" si="0"/>
        <v>188.88888888888889</v>
      </c>
      <c r="P4" s="123">
        <v>9</v>
      </c>
      <c r="Q4" s="107">
        <v>1700</v>
      </c>
    </row>
    <row r="5" spans="1:17" x14ac:dyDescent="0.4">
      <c r="A5" s="55" t="s">
        <v>7</v>
      </c>
      <c r="B5" s="149">
        <f>IF(B$2=0,0,B$4/B$2)</f>
        <v>-5.65</v>
      </c>
      <c r="C5" s="150"/>
      <c r="E5" s="63" t="s">
        <v>189</v>
      </c>
      <c r="F5" s="60" t="s">
        <v>190</v>
      </c>
      <c r="G5" s="47">
        <v>8</v>
      </c>
      <c r="H5" s="137">
        <f>IF(B$27=0,0,G5/B$27)</f>
        <v>0.36363636363636365</v>
      </c>
      <c r="I5" s="98">
        <v>5</v>
      </c>
      <c r="K5" s="38">
        <v>3</v>
      </c>
      <c r="L5" s="103">
        <v>-60.100000000000009</v>
      </c>
      <c r="N5" s="119" t="s">
        <v>139</v>
      </c>
      <c r="O5" s="126">
        <f t="shared" si="0"/>
        <v>-6600</v>
      </c>
      <c r="P5" s="123">
        <v>8</v>
      </c>
      <c r="Q5" s="107">
        <v>-52800</v>
      </c>
    </row>
    <row r="6" spans="1:17" x14ac:dyDescent="0.4">
      <c r="A6" s="55" t="s">
        <v>1</v>
      </c>
      <c r="B6" s="155">
        <f>IF(B$2=0,0,(B$7*1+B$8*2+B$9*3)/B$2)</f>
        <v>2.1</v>
      </c>
      <c r="C6" s="156"/>
      <c r="E6" s="63" t="s">
        <v>71</v>
      </c>
      <c r="F6" s="60" t="s">
        <v>25</v>
      </c>
      <c r="G6" s="47">
        <v>7</v>
      </c>
      <c r="H6" s="137">
        <f>IF(B$27=0,0,G6/B$27)</f>
        <v>0.31818181818181818</v>
      </c>
      <c r="I6" s="98">
        <v>1</v>
      </c>
      <c r="K6" s="38">
        <v>4</v>
      </c>
      <c r="L6" s="103">
        <v>-11.300000000000011</v>
      </c>
      <c r="N6" s="119" t="s">
        <v>140</v>
      </c>
      <c r="O6" s="126">
        <f t="shared" si="0"/>
        <v>2114.2857142857142</v>
      </c>
      <c r="P6" s="123">
        <v>7</v>
      </c>
      <c r="Q6" s="107">
        <v>14800</v>
      </c>
    </row>
    <row r="7" spans="1:17" x14ac:dyDescent="0.4">
      <c r="A7" s="55" t="s">
        <v>2</v>
      </c>
      <c r="B7" s="47">
        <v>4</v>
      </c>
      <c r="C7" s="39">
        <f>IF(B$2=0,0,B7/B$2)</f>
        <v>0.4</v>
      </c>
      <c r="E7" s="63" t="s">
        <v>70</v>
      </c>
      <c r="F7" s="60" t="s">
        <v>12</v>
      </c>
      <c r="G7" s="47">
        <v>4</v>
      </c>
      <c r="H7" s="137">
        <f>IF(B$27=0,0,G7/B$27)</f>
        <v>0.18181818181818182</v>
      </c>
      <c r="I7" s="98">
        <v>7</v>
      </c>
      <c r="K7" s="38">
        <v>5</v>
      </c>
      <c r="L7" s="103">
        <v>-36.100000000000009</v>
      </c>
      <c r="N7" s="120" t="s">
        <v>141</v>
      </c>
      <c r="O7" s="127">
        <f t="shared" si="0"/>
        <v>-350</v>
      </c>
      <c r="P7" s="124">
        <v>6</v>
      </c>
      <c r="Q7" s="108">
        <v>-2100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67</v>
      </c>
      <c r="F8" s="60" t="s">
        <v>22</v>
      </c>
      <c r="G8" s="47">
        <v>3</v>
      </c>
      <c r="H8" s="137">
        <f>IF(B$27=0,0,G8/B$27)</f>
        <v>0.13636363636363635</v>
      </c>
      <c r="I8" s="98">
        <v>3</v>
      </c>
      <c r="K8" s="38">
        <v>6</v>
      </c>
      <c r="L8" s="103">
        <v>9.0999999999999943</v>
      </c>
      <c r="N8" s="43"/>
      <c r="O8" s="131"/>
      <c r="P8" s="115"/>
      <c r="Q8" s="113"/>
    </row>
    <row r="9" spans="1:17" x14ac:dyDescent="0.4">
      <c r="A9" s="56" t="s">
        <v>4</v>
      </c>
      <c r="B9" s="48">
        <v>5</v>
      </c>
      <c r="C9" s="40">
        <f t="shared" ref="C9" si="1">IF(B$2=0,0,B9/B$2)</f>
        <v>0.5</v>
      </c>
      <c r="E9" s="63" t="s">
        <v>72</v>
      </c>
      <c r="F9" s="60" t="s">
        <v>26</v>
      </c>
      <c r="G9" s="47">
        <v>3</v>
      </c>
      <c r="H9" s="137">
        <f>IF(B$27=0,0,G9/B$27)</f>
        <v>0.13636363636363635</v>
      </c>
      <c r="I9" s="98">
        <v>2</v>
      </c>
      <c r="K9" s="38">
        <v>7</v>
      </c>
      <c r="L9" s="103">
        <v>-51.300000000000004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0.1</v>
      </c>
      <c r="E10" s="63" t="s">
        <v>92</v>
      </c>
      <c r="F10" s="60" t="s">
        <v>46</v>
      </c>
      <c r="G10" s="47">
        <v>2</v>
      </c>
      <c r="H10" s="137">
        <f>IF(B$27=0,0,G10/B$27)</f>
        <v>9.0909090909090912E-2</v>
      </c>
      <c r="I10" s="98">
        <v>6</v>
      </c>
      <c r="K10" s="38">
        <v>8</v>
      </c>
      <c r="L10" s="103">
        <v>-1.7000000000000028</v>
      </c>
      <c r="N10" s="118" t="s">
        <v>172</v>
      </c>
      <c r="O10" s="128">
        <f>IF(P10=0,0,Q10/P10)</f>
        <v>-23.800000000000004</v>
      </c>
      <c r="P10" s="122">
        <v>4</v>
      </c>
      <c r="Q10" s="110">
        <v>-95.200000000000017</v>
      </c>
    </row>
    <row r="11" spans="1:17" x14ac:dyDescent="0.4">
      <c r="A11" s="56" t="s">
        <v>144</v>
      </c>
      <c r="B11" s="48">
        <v>1</v>
      </c>
      <c r="C11" s="40">
        <f>IF(B$2=0,0,B11/B$2)</f>
        <v>0.1</v>
      </c>
      <c r="E11" s="63" t="s">
        <v>69</v>
      </c>
      <c r="F11" s="60" t="s">
        <v>24</v>
      </c>
      <c r="G11" s="47">
        <v>1</v>
      </c>
      <c r="H11" s="137">
        <f>IF(B$27=0,0,G11/B$27)</f>
        <v>4.5454545454545456E-2</v>
      </c>
      <c r="I11" s="98">
        <v>7</v>
      </c>
      <c r="K11" s="38">
        <v>9</v>
      </c>
      <c r="L11" s="103">
        <v>-5.8000000000000025</v>
      </c>
      <c r="N11" s="119" t="s">
        <v>173</v>
      </c>
      <c r="O11" s="129">
        <f>IF(P11=0,0,Q11/P11)</f>
        <v>10.200000000000001</v>
      </c>
      <c r="P11" s="123">
        <v>2</v>
      </c>
      <c r="Q11" s="111">
        <v>20.400000000000002</v>
      </c>
    </row>
    <row r="12" spans="1:17" x14ac:dyDescent="0.4">
      <c r="A12" s="57" t="s">
        <v>165</v>
      </c>
      <c r="B12" s="49">
        <v>1</v>
      </c>
      <c r="C12" s="42">
        <f>IF(B$2=0,0,B12/B$2)</f>
        <v>0.1</v>
      </c>
      <c r="E12" s="63" t="s">
        <v>77</v>
      </c>
      <c r="F12" s="60" t="s">
        <v>31</v>
      </c>
      <c r="G12" s="47">
        <v>1</v>
      </c>
      <c r="H12" s="137">
        <f>IF(B$27=0,0,G12/B$27)</f>
        <v>4.5454545454545456E-2</v>
      </c>
      <c r="I12" s="98">
        <v>2</v>
      </c>
      <c r="K12" s="38">
        <v>10</v>
      </c>
      <c r="L12" s="103">
        <v>-56.500000000000007</v>
      </c>
      <c r="N12" s="120" t="s">
        <v>174</v>
      </c>
      <c r="O12" s="130">
        <f>IF(P12=0,0,Q12/P12)</f>
        <v>4.5750000000000011</v>
      </c>
      <c r="P12" s="124">
        <v>4</v>
      </c>
      <c r="Q12" s="112">
        <v>18.300000000000004</v>
      </c>
    </row>
    <row r="13" spans="1:17" x14ac:dyDescent="0.4">
      <c r="A13" s="58" t="s">
        <v>126</v>
      </c>
      <c r="B13" s="50">
        <v>20</v>
      </c>
      <c r="C13" s="44">
        <f>IF(B$26=0,0,B13/B$26)</f>
        <v>0.23529411764705882</v>
      </c>
      <c r="E13" s="63" t="s">
        <v>86</v>
      </c>
      <c r="F13" s="60" t="s">
        <v>40</v>
      </c>
      <c r="G13" s="47">
        <v>1</v>
      </c>
      <c r="H13" s="137">
        <f>IF(B$27=0,0,G13/B$27)</f>
        <v>4.5454545454545456E-2</v>
      </c>
      <c r="I13" s="98">
        <v>4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18</v>
      </c>
      <c r="C14" s="39">
        <f>IF(B$26=0,0,B14/B$26)</f>
        <v>0.21176470588235294</v>
      </c>
      <c r="E14" s="63" t="s">
        <v>95</v>
      </c>
      <c r="F14" s="60" t="s">
        <v>49</v>
      </c>
      <c r="G14" s="47">
        <v>1</v>
      </c>
      <c r="H14" s="137">
        <f>IF(B$27=0,0,G14/B$27)</f>
        <v>4.5454545454545456E-2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10</v>
      </c>
      <c r="C15" s="37">
        <f>IF(B$13=0,0,B15/B$13)</f>
        <v>0.5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5</v>
      </c>
      <c r="N15" s="118" t="s">
        <v>133</v>
      </c>
      <c r="O15" s="128">
        <f>IF(P15=0,0,Q15/P15)</f>
        <v>102.35</v>
      </c>
      <c r="P15" s="122">
        <v>2</v>
      </c>
      <c r="Q15" s="110">
        <v>204.7</v>
      </c>
    </row>
    <row r="16" spans="1:17" x14ac:dyDescent="0.4">
      <c r="A16" s="54" t="s">
        <v>129</v>
      </c>
      <c r="B16" s="46">
        <v>6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185</v>
      </c>
      <c r="O16" s="129">
        <f>IF(P16=0,0,Q16/P16)</f>
        <v>35.1</v>
      </c>
      <c r="P16" s="123">
        <v>1</v>
      </c>
      <c r="Q16" s="111">
        <v>35.1</v>
      </c>
    </row>
    <row r="17" spans="1:17" x14ac:dyDescent="0.4">
      <c r="A17" s="54" t="s">
        <v>10</v>
      </c>
      <c r="B17" s="46">
        <f>B19+B18</f>
        <v>22</v>
      </c>
      <c r="C17" s="37">
        <f>IF(B$3=0,0,B17/B$3)</f>
        <v>0.25882352941176473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33.150000000000006</v>
      </c>
      <c r="P17" s="123">
        <v>4</v>
      </c>
      <c r="Q17" s="111">
        <v>132.60000000000002</v>
      </c>
    </row>
    <row r="18" spans="1:17" x14ac:dyDescent="0.4">
      <c r="A18" s="55" t="s">
        <v>12</v>
      </c>
      <c r="B18" s="47">
        <v>8</v>
      </c>
      <c r="C18" s="39">
        <f>IF(B$17=0,0,B18/B$17)</f>
        <v>0.36363636363636365</v>
      </c>
      <c r="E18" s="63" t="s">
        <v>78</v>
      </c>
      <c r="F18" s="60" t="s">
        <v>32</v>
      </c>
      <c r="G18" s="47">
        <v>0</v>
      </c>
      <c r="H18" s="137">
        <f>IF(B$27=0,0,G18/B$27)</f>
        <v>0</v>
      </c>
      <c r="I18" s="98">
        <v>1</v>
      </c>
      <c r="N18" s="119" t="s">
        <v>180</v>
      </c>
      <c r="O18" s="129">
        <f>IF(P18=0,0,Q18/P18)</f>
        <v>-9.9600000000000026</v>
      </c>
      <c r="P18" s="123">
        <v>5</v>
      </c>
      <c r="Q18" s="111">
        <v>-49.800000000000011</v>
      </c>
    </row>
    <row r="19" spans="1:17" x14ac:dyDescent="0.4">
      <c r="A19" s="55" t="s">
        <v>11</v>
      </c>
      <c r="B19" s="47">
        <v>14</v>
      </c>
      <c r="C19" s="39">
        <f>IF(B$17=0,0,B19/B$17)</f>
        <v>0.63636363636363635</v>
      </c>
      <c r="E19" s="63" t="s">
        <v>79</v>
      </c>
      <c r="F19" s="60" t="s">
        <v>33</v>
      </c>
      <c r="G19" s="47">
        <v>0</v>
      </c>
      <c r="H19" s="137">
        <f>IF(B$27=0,0,G19/B$27)</f>
        <v>0</v>
      </c>
      <c r="I19" s="98">
        <v>1</v>
      </c>
      <c r="N19" s="119" t="s">
        <v>132</v>
      </c>
      <c r="O19" s="129">
        <f>IF(P19=0,0,Q19/P19)</f>
        <v>-19.666666666666668</v>
      </c>
      <c r="P19" s="123">
        <v>3</v>
      </c>
      <c r="Q19" s="111">
        <v>-59</v>
      </c>
    </row>
    <row r="20" spans="1:17" x14ac:dyDescent="0.4">
      <c r="A20" s="55" t="s">
        <v>13</v>
      </c>
      <c r="B20" s="47">
        <v>21</v>
      </c>
      <c r="C20" s="39">
        <f>IF(B$3=0,0,B20/B$3)</f>
        <v>0.24705882352941178</v>
      </c>
      <c r="E20" s="63" t="s">
        <v>80</v>
      </c>
      <c r="F20" s="60" t="s">
        <v>34</v>
      </c>
      <c r="G20" s="47">
        <v>0</v>
      </c>
      <c r="H20" s="137">
        <f>IF(B$27=0,0,G20/B$27)</f>
        <v>0</v>
      </c>
      <c r="I20" s="98">
        <v>4</v>
      </c>
      <c r="N20" s="119" t="s">
        <v>131</v>
      </c>
      <c r="O20" s="129">
        <f>IF(P20=0,0,Q20/P20)</f>
        <v>-86.62</v>
      </c>
      <c r="P20" s="123">
        <v>5</v>
      </c>
      <c r="Q20" s="111">
        <v>-433.1</v>
      </c>
    </row>
    <row r="21" spans="1:17" x14ac:dyDescent="0.4">
      <c r="A21" s="55" t="s">
        <v>5</v>
      </c>
      <c r="B21" s="51">
        <f>IF(B$17=0,0,C21/B$17)</f>
        <v>7890.909090909091</v>
      </c>
      <c r="C21" s="41">
        <v>173600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-6633.333333333333</v>
      </c>
      <c r="C22" s="45">
        <v>-139300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53">
        <v>4</v>
      </c>
      <c r="C23" s="15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51">
        <v>64600</v>
      </c>
      <c r="C24" s="15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5</v>
      </c>
    </row>
    <row r="25" spans="1:17" x14ac:dyDescent="0.4">
      <c r="A25" s="57" t="s">
        <v>147</v>
      </c>
      <c r="B25" s="65">
        <v>1</v>
      </c>
      <c r="C25" s="42">
        <f>IF(B$3=0,0,B25/B$3)</f>
        <v>1.1764705882352941E-2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3">
        <v>85</v>
      </c>
      <c r="C26" s="144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7">
        <v>22</v>
      </c>
      <c r="C27" s="158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6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CDE1-642D-4CE1-BB83-B4AA12FD971D}">
  <sheetPr codeName="Sheet15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180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7</v>
      </c>
      <c r="C2" s="144"/>
      <c r="E2" s="62" t="s">
        <v>74</v>
      </c>
      <c r="F2" s="59" t="s">
        <v>28</v>
      </c>
      <c r="G2" s="46">
        <v>12</v>
      </c>
      <c r="H2" s="136">
        <f>IF(B$27=0,0,G2/B$27)</f>
        <v>0.70588235294117652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2700</v>
      </c>
      <c r="P2" s="122">
        <v>7</v>
      </c>
      <c r="Q2" s="106">
        <v>18900</v>
      </c>
    </row>
    <row r="3" spans="1:17" x14ac:dyDescent="0.4">
      <c r="A3" s="55" t="s">
        <v>8</v>
      </c>
      <c r="B3" s="145">
        <v>55</v>
      </c>
      <c r="C3" s="146"/>
      <c r="E3" s="63" t="s">
        <v>189</v>
      </c>
      <c r="F3" s="60" t="s">
        <v>190</v>
      </c>
      <c r="G3" s="47">
        <v>8</v>
      </c>
      <c r="H3" s="137">
        <f>IF(B$27=0,0,G3/B$27)</f>
        <v>0.47058823529411764</v>
      </c>
      <c r="I3" s="98">
        <v>3</v>
      </c>
      <c r="K3" s="38">
        <v>1</v>
      </c>
      <c r="L3" s="103">
        <v>11.1</v>
      </c>
      <c r="N3" s="119" t="s">
        <v>137</v>
      </c>
      <c r="O3" s="126">
        <f t="shared" si="0"/>
        <v>1842.8571428571429</v>
      </c>
      <c r="P3" s="123">
        <v>7</v>
      </c>
      <c r="Q3" s="107">
        <v>12900</v>
      </c>
    </row>
    <row r="4" spans="1:17" x14ac:dyDescent="0.4">
      <c r="A4" s="55" t="s">
        <v>6</v>
      </c>
      <c r="B4" s="147">
        <v>7.7999999999999972</v>
      </c>
      <c r="C4" s="148"/>
      <c r="E4" s="63" t="s">
        <v>66</v>
      </c>
      <c r="F4" s="60" t="s">
        <v>21</v>
      </c>
      <c r="G4" s="47">
        <v>7</v>
      </c>
      <c r="H4" s="137">
        <f>IF(B$27=0,0,G4/B$27)</f>
        <v>0.41176470588235292</v>
      </c>
      <c r="I4" s="98">
        <v>5</v>
      </c>
      <c r="K4" s="38">
        <v>2</v>
      </c>
      <c r="L4" s="103">
        <v>-7.7000000000000011</v>
      </c>
      <c r="N4" s="119" t="s">
        <v>138</v>
      </c>
      <c r="O4" s="126">
        <f t="shared" si="0"/>
        <v>-1466.6666666666667</v>
      </c>
      <c r="P4" s="123">
        <v>6</v>
      </c>
      <c r="Q4" s="107">
        <v>-8800</v>
      </c>
    </row>
    <row r="5" spans="1:17" x14ac:dyDescent="0.4">
      <c r="A5" s="55" t="s">
        <v>7</v>
      </c>
      <c r="B5" s="149">
        <f>IF(B$2=0,0,B$4/B$2)</f>
        <v>1.1142857142857139</v>
      </c>
      <c r="C5" s="150"/>
      <c r="E5" s="63" t="s">
        <v>68</v>
      </c>
      <c r="F5" s="60" t="s">
        <v>23</v>
      </c>
      <c r="G5" s="47">
        <v>7</v>
      </c>
      <c r="H5" s="137">
        <f>IF(B$27=0,0,G5/B$27)</f>
        <v>0.41176470588235292</v>
      </c>
      <c r="I5" s="98">
        <v>7</v>
      </c>
      <c r="K5" s="38">
        <v>3</v>
      </c>
      <c r="L5" s="103">
        <v>1.7999999999999989</v>
      </c>
      <c r="N5" s="119" t="s">
        <v>139</v>
      </c>
      <c r="O5" s="126">
        <f t="shared" si="0"/>
        <v>4200</v>
      </c>
      <c r="P5" s="123">
        <v>6</v>
      </c>
      <c r="Q5" s="107">
        <v>25200</v>
      </c>
    </row>
    <row r="6" spans="1:17" x14ac:dyDescent="0.4">
      <c r="A6" s="55" t="s">
        <v>1</v>
      </c>
      <c r="B6" s="155">
        <f>IF(B$2=0,0,(B$7*1+B$8*2+B$9*3)/B$2)</f>
        <v>2</v>
      </c>
      <c r="C6" s="156"/>
      <c r="E6" s="63" t="s">
        <v>69</v>
      </c>
      <c r="F6" s="60" t="s">
        <v>24</v>
      </c>
      <c r="G6" s="47">
        <v>5</v>
      </c>
      <c r="H6" s="137">
        <f>IF(B$27=0,0,G6/B$27)</f>
        <v>0.29411764705882354</v>
      </c>
      <c r="I6" s="98">
        <v>4</v>
      </c>
      <c r="K6" s="38">
        <v>4</v>
      </c>
      <c r="L6" s="103">
        <v>34.9</v>
      </c>
      <c r="N6" s="119" t="s">
        <v>140</v>
      </c>
      <c r="O6" s="126">
        <f t="shared" si="0"/>
        <v>-4716.666666666667</v>
      </c>
      <c r="P6" s="123">
        <v>6</v>
      </c>
      <c r="Q6" s="107">
        <v>-28300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3</v>
      </c>
      <c r="H7" s="137">
        <f>IF(B$27=0,0,G7/B$27)</f>
        <v>0.17647058823529413</v>
      </c>
      <c r="I7" s="98">
        <v>8</v>
      </c>
      <c r="K7" s="38">
        <v>5</v>
      </c>
      <c r="L7" s="103">
        <v>29.4</v>
      </c>
      <c r="N7" s="120" t="s">
        <v>141</v>
      </c>
      <c r="O7" s="127">
        <f t="shared" si="0"/>
        <v>-3020</v>
      </c>
      <c r="P7" s="124">
        <v>5</v>
      </c>
      <c r="Q7" s="108">
        <v>-15100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67</v>
      </c>
      <c r="F8" s="60" t="s">
        <v>22</v>
      </c>
      <c r="G8" s="47">
        <v>2</v>
      </c>
      <c r="H8" s="137">
        <f>IF(B$27=0,0,G8/B$27)</f>
        <v>0.11764705882352941</v>
      </c>
      <c r="I8" s="98">
        <v>4</v>
      </c>
      <c r="K8" s="38">
        <v>6</v>
      </c>
      <c r="L8" s="103">
        <v>4.2999999999999972</v>
      </c>
      <c r="N8" s="43"/>
      <c r="O8" s="131"/>
      <c r="P8" s="115"/>
      <c r="Q8" s="113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92</v>
      </c>
      <c r="F9" s="60" t="s">
        <v>46</v>
      </c>
      <c r="G9" s="47">
        <v>2</v>
      </c>
      <c r="H9" s="137">
        <f>IF(B$27=0,0,G9/B$27)</f>
        <v>0.11764705882352941</v>
      </c>
      <c r="I9" s="98">
        <v>5</v>
      </c>
      <c r="K9" s="38">
        <v>7</v>
      </c>
      <c r="L9" s="103">
        <v>7.7999999999999972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25</v>
      </c>
      <c r="G10" s="47">
        <v>1</v>
      </c>
      <c r="H10" s="137">
        <f>IF(B$27=0,0,G10/B$27)</f>
        <v>5.8823529411764705E-2</v>
      </c>
      <c r="I10" s="98">
        <v>8</v>
      </c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84</v>
      </c>
      <c r="F11" s="60" t="s">
        <v>38</v>
      </c>
      <c r="G11" s="47">
        <v>1</v>
      </c>
      <c r="H11" s="137">
        <f>IF(B$27=0,0,G11/B$27)</f>
        <v>5.8823529411764705E-2</v>
      </c>
      <c r="I11" s="98">
        <v>1</v>
      </c>
      <c r="N11" s="119" t="s">
        <v>173</v>
      </c>
      <c r="O11" s="129">
        <f>IF(P11=0,0,Q11/P11)</f>
        <v>8.0333333333333332</v>
      </c>
      <c r="P11" s="123">
        <v>3</v>
      </c>
      <c r="Q11" s="111">
        <v>24.1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1</v>
      </c>
      <c r="H12" s="137">
        <f>IF(B$27=0,0,G12/B$27)</f>
        <v>5.8823529411764705E-2</v>
      </c>
      <c r="I12" s="98">
        <v>2</v>
      </c>
      <c r="N12" s="120" t="s">
        <v>174</v>
      </c>
      <c r="O12" s="130">
        <f>IF(P12=0,0,Q12/P12)</f>
        <v>-4.0750000000000002</v>
      </c>
      <c r="P12" s="124">
        <v>4</v>
      </c>
      <c r="Q12" s="112">
        <v>-16.3</v>
      </c>
    </row>
    <row r="13" spans="1:17" x14ac:dyDescent="0.4">
      <c r="A13" s="58" t="s">
        <v>126</v>
      </c>
      <c r="B13" s="50">
        <v>10</v>
      </c>
      <c r="C13" s="44">
        <f>IF(B$26=0,0,B13/B$26)</f>
        <v>0.18181818181818182</v>
      </c>
      <c r="E13" s="63" t="s">
        <v>89</v>
      </c>
      <c r="F13" s="60" t="s">
        <v>43</v>
      </c>
      <c r="G13" s="47">
        <v>1</v>
      </c>
      <c r="H13" s="137">
        <f>IF(B$27=0,0,G13/B$27)</f>
        <v>5.8823529411764705E-2</v>
      </c>
      <c r="I13" s="98">
        <v>4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19</v>
      </c>
      <c r="C14" s="39">
        <f>IF(B$26=0,0,B14/B$26)</f>
        <v>0.34545454545454546</v>
      </c>
      <c r="E14" s="63" t="s">
        <v>72</v>
      </c>
      <c r="F14" s="60" t="s">
        <v>26</v>
      </c>
      <c r="G14" s="47">
        <v>0</v>
      </c>
      <c r="H14" s="137">
        <f>IF(B$27=0,0,G14/B$27)</f>
        <v>0</v>
      </c>
      <c r="I14" s="98">
        <v>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7</v>
      </c>
      <c r="C15" s="37">
        <f>IF(B$13=0,0,B15/B$13)</f>
        <v>0.7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5</v>
      </c>
      <c r="N15" s="118" t="s">
        <v>133</v>
      </c>
      <c r="O15" s="128">
        <f>IF(P15=0,0,Q15/P15)</f>
        <v>67.8</v>
      </c>
      <c r="P15" s="122">
        <v>1</v>
      </c>
      <c r="Q15" s="110">
        <v>67.8</v>
      </c>
    </row>
    <row r="16" spans="1:17" x14ac:dyDescent="0.4">
      <c r="A16" s="54" t="s">
        <v>129</v>
      </c>
      <c r="B16" s="46">
        <v>7</v>
      </c>
      <c r="C16" s="37">
        <f>IF(B$14=0,0,B16/B$14)</f>
        <v>0.36842105263157893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3</v>
      </c>
      <c r="N16" s="119" t="s">
        <v>179</v>
      </c>
      <c r="O16" s="129">
        <f>IF(P16=0,0,Q16/P16)</f>
        <v>9.9599999999999991</v>
      </c>
      <c r="P16" s="123">
        <v>5</v>
      </c>
      <c r="Q16" s="111">
        <v>49.8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0.30909090909090908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5.9</v>
      </c>
      <c r="P17" s="123">
        <v>2</v>
      </c>
      <c r="Q17" s="111">
        <v>11.8</v>
      </c>
    </row>
    <row r="18" spans="1:17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131</v>
      </c>
      <c r="O18" s="129">
        <f>IF(P18=0,0,Q18/P18)</f>
        <v>-2.6333333333333351</v>
      </c>
      <c r="P18" s="123">
        <v>3</v>
      </c>
      <c r="Q18" s="111">
        <v>-7.9000000000000057</v>
      </c>
    </row>
    <row r="19" spans="1:17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132</v>
      </c>
      <c r="O19" s="129">
        <f>IF(P19=0,0,Q19/P19)</f>
        <v>-32.700000000000003</v>
      </c>
      <c r="P19" s="123">
        <v>3</v>
      </c>
      <c r="Q19" s="111">
        <v>-98.100000000000009</v>
      </c>
    </row>
    <row r="20" spans="1:17" x14ac:dyDescent="0.4">
      <c r="A20" s="55" t="s">
        <v>13</v>
      </c>
      <c r="B20" s="47">
        <v>9</v>
      </c>
      <c r="C20" s="39">
        <f>IF(B$3=0,0,B20/B$3)</f>
        <v>0.16363636363636364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5858.8235294117649</v>
      </c>
      <c r="C21" s="41">
        <v>99600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-7100</v>
      </c>
      <c r="C22" s="45">
        <v>-63900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53">
        <v>3</v>
      </c>
      <c r="C23" s="15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51">
        <v>48100</v>
      </c>
      <c r="C24" s="15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3">
        <v>55</v>
      </c>
      <c r="C26" s="144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7">
        <v>17</v>
      </c>
      <c r="C27" s="158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4710E-EFAC-4761-8653-F93A2364DF1B}">
  <sheetPr codeName="Sheet1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181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7</v>
      </c>
      <c r="C2" s="144"/>
      <c r="E2" s="62" t="s">
        <v>70</v>
      </c>
      <c r="F2" s="59" t="s">
        <v>12</v>
      </c>
      <c r="G2" s="46">
        <v>8</v>
      </c>
      <c r="H2" s="136">
        <f>IF(B$27=0,0,G2/B$27)</f>
        <v>0.61538461538461542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-271.42857142857144</v>
      </c>
      <c r="P2" s="122">
        <v>7</v>
      </c>
      <c r="Q2" s="106">
        <v>-1900</v>
      </c>
    </row>
    <row r="3" spans="1:17" x14ac:dyDescent="0.4">
      <c r="A3" s="55" t="s">
        <v>8</v>
      </c>
      <c r="B3" s="145">
        <v>64</v>
      </c>
      <c r="C3" s="146"/>
      <c r="E3" s="63" t="s">
        <v>68</v>
      </c>
      <c r="F3" s="60" t="s">
        <v>23</v>
      </c>
      <c r="G3" s="47">
        <v>7</v>
      </c>
      <c r="H3" s="137">
        <f>IF(B$27=0,0,G3/B$27)</f>
        <v>0.53846153846153844</v>
      </c>
      <c r="I3" s="98">
        <v>6</v>
      </c>
      <c r="K3" s="38">
        <v>1</v>
      </c>
      <c r="L3" s="103">
        <v>-82.6</v>
      </c>
      <c r="N3" s="119" t="s">
        <v>137</v>
      </c>
      <c r="O3" s="126">
        <f t="shared" si="0"/>
        <v>-9800</v>
      </c>
      <c r="P3" s="123">
        <v>7</v>
      </c>
      <c r="Q3" s="107">
        <v>-68600</v>
      </c>
    </row>
    <row r="4" spans="1:17" x14ac:dyDescent="0.4">
      <c r="A4" s="55" t="s">
        <v>6</v>
      </c>
      <c r="B4" s="147">
        <v>-216.09999999999997</v>
      </c>
      <c r="C4" s="148"/>
      <c r="E4" s="63" t="s">
        <v>74</v>
      </c>
      <c r="F4" s="60" t="s">
        <v>28</v>
      </c>
      <c r="G4" s="47">
        <v>6</v>
      </c>
      <c r="H4" s="137">
        <f>IF(B$27=0,0,G4/B$27)</f>
        <v>0.46153846153846156</v>
      </c>
      <c r="I4" s="98">
        <v>5</v>
      </c>
      <c r="K4" s="38">
        <v>2</v>
      </c>
      <c r="L4" s="103">
        <v>-122.3</v>
      </c>
      <c r="N4" s="119" t="s">
        <v>138</v>
      </c>
      <c r="O4" s="126">
        <f t="shared" si="0"/>
        <v>-283.33333333333331</v>
      </c>
      <c r="P4" s="123">
        <v>6</v>
      </c>
      <c r="Q4" s="107">
        <v>-1700</v>
      </c>
    </row>
    <row r="5" spans="1:17" x14ac:dyDescent="0.4">
      <c r="A5" s="55" t="s">
        <v>7</v>
      </c>
      <c r="B5" s="149">
        <f>IF(B$2=0,0,B$4/B$2)</f>
        <v>-30.871428571428567</v>
      </c>
      <c r="C5" s="150"/>
      <c r="E5" s="63" t="s">
        <v>66</v>
      </c>
      <c r="F5" s="60" t="s">
        <v>21</v>
      </c>
      <c r="G5" s="47">
        <v>3</v>
      </c>
      <c r="H5" s="137">
        <f>IF(B$27=0,0,G5/B$27)</f>
        <v>0.23076923076923078</v>
      </c>
      <c r="I5" s="98">
        <v>8</v>
      </c>
      <c r="K5" s="38">
        <v>3</v>
      </c>
      <c r="L5" s="103">
        <v>-149</v>
      </c>
      <c r="N5" s="119" t="s">
        <v>139</v>
      </c>
      <c r="O5" s="126">
        <f t="shared" si="0"/>
        <v>-6560</v>
      </c>
      <c r="P5" s="123">
        <v>5</v>
      </c>
      <c r="Q5" s="107">
        <v>-32800</v>
      </c>
    </row>
    <row r="6" spans="1:17" x14ac:dyDescent="0.4">
      <c r="A6" s="55" t="s">
        <v>1</v>
      </c>
      <c r="B6" s="155">
        <f>IF(B$2=0,0,(B$7*1+B$8*2+B$9*3)/B$2)</f>
        <v>2.5714285714285716</v>
      </c>
      <c r="C6" s="156"/>
      <c r="E6" s="63" t="s">
        <v>189</v>
      </c>
      <c r="F6" s="60" t="s">
        <v>190</v>
      </c>
      <c r="G6" s="47">
        <v>3</v>
      </c>
      <c r="H6" s="137">
        <f>IF(B$27=0,0,G6/B$27)</f>
        <v>0.23076923076923078</v>
      </c>
      <c r="I6" s="98">
        <v>7</v>
      </c>
      <c r="K6" s="38">
        <v>4</v>
      </c>
      <c r="L6" s="103">
        <v>-150.6</v>
      </c>
      <c r="N6" s="119" t="s">
        <v>140</v>
      </c>
      <c r="O6" s="126">
        <f t="shared" si="0"/>
        <v>-4400</v>
      </c>
      <c r="P6" s="123">
        <v>4</v>
      </c>
      <c r="Q6" s="107">
        <v>-17600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71</v>
      </c>
      <c r="F7" s="60" t="s">
        <v>25</v>
      </c>
      <c r="G7" s="47">
        <v>2</v>
      </c>
      <c r="H7" s="137">
        <f>IF(B$27=0,0,G7/B$27)</f>
        <v>0.15384615384615385</v>
      </c>
      <c r="I7" s="98">
        <v>6</v>
      </c>
      <c r="K7" s="38">
        <v>5</v>
      </c>
      <c r="L7" s="103">
        <v>-184.89999999999998</v>
      </c>
      <c r="N7" s="120" t="s">
        <v>141</v>
      </c>
      <c r="O7" s="127">
        <f t="shared" si="0"/>
        <v>-3375</v>
      </c>
      <c r="P7" s="124">
        <v>4</v>
      </c>
      <c r="Q7" s="108">
        <v>-13500</v>
      </c>
    </row>
    <row r="8" spans="1:17" x14ac:dyDescent="0.4">
      <c r="A8" s="55" t="s">
        <v>3</v>
      </c>
      <c r="B8" s="47">
        <v>3</v>
      </c>
      <c r="C8" s="39">
        <f>IF(B$2=0,0,B8/B$2)</f>
        <v>0.42857142857142855</v>
      </c>
      <c r="E8" s="63" t="s">
        <v>72</v>
      </c>
      <c r="F8" s="60" t="s">
        <v>26</v>
      </c>
      <c r="G8" s="47">
        <v>2</v>
      </c>
      <c r="H8" s="137">
        <f>IF(B$27=0,0,G8/B$27)</f>
        <v>0.15384615384615385</v>
      </c>
      <c r="I8" s="98">
        <v>1</v>
      </c>
      <c r="K8" s="38">
        <v>6</v>
      </c>
      <c r="L8" s="103">
        <v>-187.59999999999997</v>
      </c>
      <c r="N8" s="43"/>
      <c r="O8" s="131"/>
      <c r="P8" s="115"/>
      <c r="Q8" s="113"/>
    </row>
    <row r="9" spans="1:17" x14ac:dyDescent="0.4">
      <c r="A9" s="56" t="s">
        <v>4</v>
      </c>
      <c r="B9" s="48">
        <v>4</v>
      </c>
      <c r="C9" s="40">
        <f t="shared" ref="C9" si="1">IF(B$2=0,0,B9/B$2)</f>
        <v>0.5714285714285714</v>
      </c>
      <c r="E9" s="63" t="s">
        <v>86</v>
      </c>
      <c r="F9" s="60" t="s">
        <v>40</v>
      </c>
      <c r="G9" s="47">
        <v>1</v>
      </c>
      <c r="H9" s="137">
        <f>IF(B$27=0,0,G9/B$27)</f>
        <v>7.6923076923076927E-2</v>
      </c>
      <c r="I9" s="98">
        <v>1</v>
      </c>
      <c r="K9" s="38">
        <v>7</v>
      </c>
      <c r="L9" s="103">
        <v>-216.09999999999997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92</v>
      </c>
      <c r="F10" s="60" t="s">
        <v>46</v>
      </c>
      <c r="G10" s="47">
        <v>1</v>
      </c>
      <c r="H10" s="137">
        <f>IF(B$27=0,0,G10/B$27)</f>
        <v>7.6923076923076927E-2</v>
      </c>
      <c r="I10" s="98">
        <v>7</v>
      </c>
      <c r="N10" s="118" t="s">
        <v>172</v>
      </c>
      <c r="O10" s="128">
        <f>IF(P10=0,0,Q10/P10)</f>
        <v>-34.1</v>
      </c>
      <c r="P10" s="122">
        <v>2</v>
      </c>
      <c r="Q10" s="110">
        <v>-68.2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67</v>
      </c>
      <c r="F11" s="60" t="s">
        <v>22</v>
      </c>
      <c r="G11" s="47">
        <v>0</v>
      </c>
      <c r="H11" s="137">
        <f>IF(B$27=0,0,G11/B$27)</f>
        <v>0</v>
      </c>
      <c r="I11" s="98">
        <v>8</v>
      </c>
      <c r="N11" s="119" t="s">
        <v>173</v>
      </c>
      <c r="O11" s="129">
        <f>IF(P11=0,0,Q11/P11)</f>
        <v>-16.324999999999999</v>
      </c>
      <c r="P11" s="123">
        <v>4</v>
      </c>
      <c r="Q11" s="111">
        <v>-65.3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69</v>
      </c>
      <c r="F12" s="60" t="s">
        <v>24</v>
      </c>
      <c r="G12" s="47">
        <v>0</v>
      </c>
      <c r="H12" s="137">
        <f>IF(B$27=0,0,G12/B$27)</f>
        <v>0</v>
      </c>
      <c r="I12" s="98">
        <v>8</v>
      </c>
      <c r="N12" s="120" t="s">
        <v>174</v>
      </c>
      <c r="O12" s="130">
        <f>IF(P12=0,0,Q12/P12)</f>
        <v>-82.6</v>
      </c>
      <c r="P12" s="124">
        <v>1</v>
      </c>
      <c r="Q12" s="112">
        <v>-82.6</v>
      </c>
    </row>
    <row r="13" spans="1:17" x14ac:dyDescent="0.4">
      <c r="A13" s="58" t="s">
        <v>126</v>
      </c>
      <c r="B13" s="50">
        <v>9</v>
      </c>
      <c r="C13" s="44">
        <f>IF(B$26=0,0,B13/B$26)</f>
        <v>0.140625</v>
      </c>
      <c r="E13" s="63" t="s">
        <v>73</v>
      </c>
      <c r="F13" s="60" t="s">
        <v>27</v>
      </c>
      <c r="G13" s="47">
        <v>0</v>
      </c>
      <c r="H13" s="137">
        <f>IF(B$27=0,0,G13/B$27)</f>
        <v>0</v>
      </c>
      <c r="I13" s="98">
        <v>5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12</v>
      </c>
      <c r="C14" s="39">
        <f>IF(B$26=0,0,B14/B$26)</f>
        <v>0.1875</v>
      </c>
      <c r="E14" s="63" t="s">
        <v>75</v>
      </c>
      <c r="F14" s="60" t="s">
        <v>29</v>
      </c>
      <c r="G14" s="47">
        <v>0</v>
      </c>
      <c r="H14" s="137">
        <f>IF(B$27=0,0,G14/B$27)</f>
        <v>0</v>
      </c>
      <c r="I14" s="98">
        <v>3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4</v>
      </c>
      <c r="C15" s="37">
        <f>IF(B$13=0,0,B15/B$13)</f>
        <v>0.44444444444444442</v>
      </c>
      <c r="E15" s="63" t="s">
        <v>76</v>
      </c>
      <c r="F15" s="60" t="s">
        <v>30</v>
      </c>
      <c r="G15" s="47">
        <v>0</v>
      </c>
      <c r="H15" s="137">
        <f>IF(B$27=0,0,G15/B$27)</f>
        <v>0</v>
      </c>
      <c r="I15" s="98">
        <v>1</v>
      </c>
      <c r="N15" s="118" t="s">
        <v>180</v>
      </c>
      <c r="O15" s="128">
        <f>IF(P15=0,0,Q15/P15)</f>
        <v>-5.9000000000000021</v>
      </c>
      <c r="P15" s="122">
        <v>2</v>
      </c>
      <c r="Q15" s="110">
        <v>-11.800000000000004</v>
      </c>
    </row>
    <row r="16" spans="1:17" x14ac:dyDescent="0.4">
      <c r="A16" s="54" t="s">
        <v>129</v>
      </c>
      <c r="B16" s="46">
        <v>4</v>
      </c>
      <c r="C16" s="37">
        <f>IF(B$14=0,0,B16/B$14)</f>
        <v>0.33333333333333331</v>
      </c>
      <c r="E16" s="63" t="s">
        <v>77</v>
      </c>
      <c r="F16" s="60" t="s">
        <v>31</v>
      </c>
      <c r="G16" s="47">
        <v>0</v>
      </c>
      <c r="H16" s="137">
        <f>IF(B$27=0,0,G16/B$27)</f>
        <v>0</v>
      </c>
      <c r="I16" s="98">
        <v>5</v>
      </c>
      <c r="N16" s="119" t="s">
        <v>133</v>
      </c>
      <c r="O16" s="129">
        <f>IF(P16=0,0,Q16/P16)</f>
        <v>-13.949999999999996</v>
      </c>
      <c r="P16" s="123">
        <v>2</v>
      </c>
      <c r="Q16" s="111">
        <v>-27.899999999999991</v>
      </c>
    </row>
    <row r="17" spans="1:17" x14ac:dyDescent="0.4">
      <c r="A17" s="54" t="s">
        <v>10</v>
      </c>
      <c r="B17" s="46">
        <f>B19+B18</f>
        <v>13</v>
      </c>
      <c r="C17" s="37">
        <f>IF(B$3=0,0,B17/B$3)</f>
        <v>0.203125</v>
      </c>
      <c r="E17" s="63" t="s">
        <v>78</v>
      </c>
      <c r="F17" s="60" t="s">
        <v>32</v>
      </c>
      <c r="G17" s="47">
        <v>0</v>
      </c>
      <c r="H17" s="137">
        <f>IF(B$27=0,0,G17/B$27)</f>
        <v>0</v>
      </c>
      <c r="I17" s="98">
        <v>1</v>
      </c>
      <c r="N17" s="119" t="s">
        <v>132</v>
      </c>
      <c r="O17" s="129">
        <f>IF(P17=0,0,Q17/P17)</f>
        <v>-27.8</v>
      </c>
      <c r="P17" s="123">
        <v>2</v>
      </c>
      <c r="Q17" s="111">
        <v>-55.6</v>
      </c>
    </row>
    <row r="18" spans="1:17" x14ac:dyDescent="0.4">
      <c r="A18" s="55" t="s">
        <v>12</v>
      </c>
      <c r="B18" s="47">
        <v>8</v>
      </c>
      <c r="C18" s="39">
        <f>IF(B$17=0,0,B18/B$17)</f>
        <v>0.61538461538461542</v>
      </c>
      <c r="E18" s="63" t="s">
        <v>79</v>
      </c>
      <c r="F18" s="60" t="s">
        <v>33</v>
      </c>
      <c r="G18" s="47">
        <v>0</v>
      </c>
      <c r="H18" s="137">
        <f>IF(B$27=0,0,G18/B$27)</f>
        <v>0</v>
      </c>
      <c r="I18" s="98">
        <v>1</v>
      </c>
      <c r="N18" s="119" t="s">
        <v>179</v>
      </c>
      <c r="O18" s="129">
        <f>IF(P18=0,0,Q18/P18)</f>
        <v>-33.15</v>
      </c>
      <c r="P18" s="123">
        <v>4</v>
      </c>
      <c r="Q18" s="111">
        <v>-132.6</v>
      </c>
    </row>
    <row r="19" spans="1:17" x14ac:dyDescent="0.4">
      <c r="A19" s="55" t="s">
        <v>11</v>
      </c>
      <c r="B19" s="47">
        <v>5</v>
      </c>
      <c r="C19" s="39">
        <f>IF(B$17=0,0,B19/B$17)</f>
        <v>0.38461538461538464</v>
      </c>
      <c r="E19" s="63" t="s">
        <v>80</v>
      </c>
      <c r="F19" s="60" t="s">
        <v>34</v>
      </c>
      <c r="G19" s="47">
        <v>0</v>
      </c>
      <c r="H19" s="137">
        <f>IF(B$27=0,0,G19/B$27)</f>
        <v>0</v>
      </c>
      <c r="I19" s="98">
        <v>4</v>
      </c>
      <c r="N19" s="119" t="s">
        <v>185</v>
      </c>
      <c r="O19" s="129">
        <f>IF(P19=0,0,Q19/P19)</f>
        <v>-60.4</v>
      </c>
      <c r="P19" s="123">
        <v>1</v>
      </c>
      <c r="Q19" s="111">
        <v>-60.4</v>
      </c>
    </row>
    <row r="20" spans="1:17" x14ac:dyDescent="0.4">
      <c r="A20" s="55" t="s">
        <v>13</v>
      </c>
      <c r="B20" s="47">
        <v>13</v>
      </c>
      <c r="C20" s="39">
        <f>IF(B$3=0,0,B20/B$3)</f>
        <v>0.203125</v>
      </c>
      <c r="E20" s="63" t="s">
        <v>81</v>
      </c>
      <c r="F20" s="60" t="s">
        <v>35</v>
      </c>
      <c r="G20" s="47">
        <v>0</v>
      </c>
      <c r="H20" s="137">
        <f>IF(B$27=0,0,G20/B$27)</f>
        <v>0</v>
      </c>
      <c r="I20" s="98">
        <v>1</v>
      </c>
      <c r="N20" s="119" t="s">
        <v>131</v>
      </c>
      <c r="O20" s="129">
        <f>IF(P20=0,0,Q20/P20)</f>
        <v>-119.99999999999999</v>
      </c>
      <c r="P20" s="123">
        <v>3</v>
      </c>
      <c r="Q20" s="111">
        <v>-359.99999999999994</v>
      </c>
    </row>
    <row r="21" spans="1:17" x14ac:dyDescent="0.4">
      <c r="A21" s="55" t="s">
        <v>5</v>
      </c>
      <c r="B21" s="51">
        <f>IF(B$17=0,0,C21/B$17)</f>
        <v>4323.0769230769229</v>
      </c>
      <c r="C21" s="41">
        <v>56200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-9069.2307692307695</v>
      </c>
      <c r="C22" s="45">
        <v>-117900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53">
        <v>2</v>
      </c>
      <c r="C23" s="154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5</v>
      </c>
    </row>
    <row r="24" spans="1:17" x14ac:dyDescent="0.4">
      <c r="A24" s="58" t="s">
        <v>157</v>
      </c>
      <c r="B24" s="151">
        <v>33400</v>
      </c>
      <c r="C24" s="15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87</v>
      </c>
      <c r="F25" s="60" t="s">
        <v>41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3">
        <v>64</v>
      </c>
      <c r="C26" s="144"/>
      <c r="E26" s="63" t="s">
        <v>88</v>
      </c>
      <c r="F26" s="60" t="s">
        <v>42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7">
        <v>13</v>
      </c>
      <c r="C27" s="158"/>
      <c r="E27" s="63" t="s">
        <v>89</v>
      </c>
      <c r="F27" s="60" t="s">
        <v>43</v>
      </c>
      <c r="G27" s="47">
        <v>0</v>
      </c>
      <c r="H27" s="137">
        <f>IF(B$27=0,0,G27/B$27)</f>
        <v>0</v>
      </c>
      <c r="I27" s="98">
        <v>6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1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4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A5A89-5730-4986-AD47-E6B82D845738}">
  <sheetPr codeName="Sheet1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1" t="s">
        <v>185</v>
      </c>
      <c r="C1" s="14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3">
        <v>2</v>
      </c>
      <c r="C2" s="144"/>
      <c r="E2" s="62" t="s">
        <v>66</v>
      </c>
      <c r="F2" s="59" t="s">
        <v>21</v>
      </c>
      <c r="G2" s="46">
        <v>2</v>
      </c>
      <c r="H2" s="136">
        <f>IF(B$27=0,0,G2/B$27)</f>
        <v>0.4</v>
      </c>
      <c r="I2" s="97">
        <v>6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-850</v>
      </c>
      <c r="P2" s="122">
        <v>2</v>
      </c>
      <c r="Q2" s="106">
        <v>-1700</v>
      </c>
    </row>
    <row r="3" spans="1:17" x14ac:dyDescent="0.4">
      <c r="A3" s="55" t="s">
        <v>8</v>
      </c>
      <c r="B3" s="145">
        <v>17</v>
      </c>
      <c r="C3" s="146"/>
      <c r="E3" s="63" t="s">
        <v>68</v>
      </c>
      <c r="F3" s="60" t="s">
        <v>23</v>
      </c>
      <c r="G3" s="47">
        <v>2</v>
      </c>
      <c r="H3" s="137">
        <f>IF(B$27=0,0,G3/B$27)</f>
        <v>0.4</v>
      </c>
      <c r="I3" s="98">
        <v>8</v>
      </c>
      <c r="K3" s="38">
        <v>1</v>
      </c>
      <c r="L3" s="103">
        <v>-1.9</v>
      </c>
      <c r="N3" s="119" t="s">
        <v>137</v>
      </c>
      <c r="O3" s="126">
        <f t="shared" si="0"/>
        <v>-3000</v>
      </c>
      <c r="P3" s="123">
        <v>2</v>
      </c>
      <c r="Q3" s="107">
        <v>-6000</v>
      </c>
    </row>
    <row r="4" spans="1:17" x14ac:dyDescent="0.4">
      <c r="A4" s="55" t="s">
        <v>6</v>
      </c>
      <c r="B4" s="147">
        <v>30</v>
      </c>
      <c r="C4" s="148"/>
      <c r="E4" s="63" t="s">
        <v>69</v>
      </c>
      <c r="F4" s="60" t="s">
        <v>24</v>
      </c>
      <c r="G4" s="47">
        <v>2</v>
      </c>
      <c r="H4" s="137">
        <f>IF(B$27=0,0,G4/B$27)</f>
        <v>0.4</v>
      </c>
      <c r="I4" s="98">
        <v>2</v>
      </c>
      <c r="K4" s="38">
        <v>2</v>
      </c>
      <c r="L4" s="103">
        <v>30</v>
      </c>
      <c r="N4" s="119" t="s">
        <v>138</v>
      </c>
      <c r="O4" s="126">
        <f t="shared" si="0"/>
        <v>-950</v>
      </c>
      <c r="P4" s="123">
        <v>2</v>
      </c>
      <c r="Q4" s="107">
        <v>-1900</v>
      </c>
    </row>
    <row r="5" spans="1:17" x14ac:dyDescent="0.4">
      <c r="A5" s="55" t="s">
        <v>7</v>
      </c>
      <c r="B5" s="149">
        <f>IF(B$2=0,0,B$4/B$2)</f>
        <v>15</v>
      </c>
      <c r="C5" s="150"/>
      <c r="E5" s="63" t="s">
        <v>70</v>
      </c>
      <c r="F5" s="60" t="s">
        <v>12</v>
      </c>
      <c r="G5" s="47">
        <v>2</v>
      </c>
      <c r="H5" s="137">
        <f>IF(B$27=0,0,G5/B$27)</f>
        <v>0.4</v>
      </c>
      <c r="I5" s="98">
        <v>2</v>
      </c>
      <c r="N5" s="119" t="s">
        <v>139</v>
      </c>
      <c r="O5" s="126">
        <f t="shared" si="0"/>
        <v>-700</v>
      </c>
      <c r="P5" s="123">
        <v>2</v>
      </c>
      <c r="Q5" s="107">
        <v>-1400</v>
      </c>
    </row>
    <row r="6" spans="1:17" x14ac:dyDescent="0.4">
      <c r="A6" s="55" t="s">
        <v>1</v>
      </c>
      <c r="B6" s="155">
        <f>IF(B$2=0,0,(B$7*1+B$8*2+B$9*3)/B$2)</f>
        <v>1.5</v>
      </c>
      <c r="C6" s="156"/>
      <c r="E6" s="63" t="s">
        <v>67</v>
      </c>
      <c r="F6" s="60" t="s">
        <v>22</v>
      </c>
      <c r="G6" s="47">
        <v>1</v>
      </c>
      <c r="H6" s="137">
        <f>IF(B$27=0,0,G6/B$27)</f>
        <v>0.2</v>
      </c>
      <c r="I6" s="98">
        <v>1</v>
      </c>
      <c r="N6" s="119" t="s">
        <v>140</v>
      </c>
      <c r="O6" s="126">
        <f t="shared" si="0"/>
        <v>-4500</v>
      </c>
      <c r="P6" s="123">
        <v>2</v>
      </c>
      <c r="Q6" s="107">
        <v>-9000</v>
      </c>
    </row>
    <row r="7" spans="1:17" x14ac:dyDescent="0.4">
      <c r="A7" s="55" t="s">
        <v>2</v>
      </c>
      <c r="B7" s="47">
        <v>1</v>
      </c>
      <c r="C7" s="39">
        <f>IF(B$2=0,0,B7/B$2)</f>
        <v>0.5</v>
      </c>
      <c r="E7" s="63" t="s">
        <v>71</v>
      </c>
      <c r="F7" s="60" t="s">
        <v>25</v>
      </c>
      <c r="G7" s="47">
        <v>1</v>
      </c>
      <c r="H7" s="137">
        <f>IF(B$27=0,0,G7/B$27)</f>
        <v>0.2</v>
      </c>
      <c r="I7" s="98">
        <v>5</v>
      </c>
      <c r="N7" s="120" t="s">
        <v>141</v>
      </c>
      <c r="O7" s="127">
        <f t="shared" si="0"/>
        <v>15000</v>
      </c>
      <c r="P7" s="124">
        <v>2</v>
      </c>
      <c r="Q7" s="108">
        <v>30000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74</v>
      </c>
      <c r="F8" s="60" t="s">
        <v>28</v>
      </c>
      <c r="G8" s="47">
        <v>1</v>
      </c>
      <c r="H8" s="137">
        <f>IF(B$27=0,0,G8/B$27)</f>
        <v>0.2</v>
      </c>
      <c r="I8" s="98">
        <v>8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77</v>
      </c>
      <c r="F9" s="60" t="s">
        <v>31</v>
      </c>
      <c r="G9" s="47">
        <v>1</v>
      </c>
      <c r="H9" s="137">
        <f>IF(B$27=0,0,G9/B$27)</f>
        <v>0.2</v>
      </c>
      <c r="I9" s="98">
        <v>1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92</v>
      </c>
      <c r="F10" s="60" t="s">
        <v>46</v>
      </c>
      <c r="G10" s="47">
        <v>1</v>
      </c>
      <c r="H10" s="137">
        <f>IF(B$27=0,0,G10/B$27)</f>
        <v>0.2</v>
      </c>
      <c r="I10" s="98">
        <v>2</v>
      </c>
      <c r="N10" s="118" t="s">
        <v>172</v>
      </c>
      <c r="O10" s="128">
        <f>IF(P10=0,0,Q10/P10)</f>
        <v>-1.9</v>
      </c>
      <c r="P10" s="122">
        <v>1</v>
      </c>
      <c r="Q10" s="110">
        <v>-1.9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94</v>
      </c>
      <c r="F11" s="60" t="s">
        <v>48</v>
      </c>
      <c r="G11" s="47">
        <v>1</v>
      </c>
      <c r="H11" s="137">
        <f>IF(B$27=0,0,G11/B$27)</f>
        <v>0.2</v>
      </c>
      <c r="I11" s="98">
        <v>1</v>
      </c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1</v>
      </c>
      <c r="C12" s="42">
        <f>IF(B$2=0,0,B12/B$2)</f>
        <v>0.5</v>
      </c>
      <c r="E12" s="63" t="s">
        <v>189</v>
      </c>
      <c r="F12" s="60" t="s">
        <v>190</v>
      </c>
      <c r="G12" s="47">
        <v>1</v>
      </c>
      <c r="H12" s="137">
        <f>IF(B$27=0,0,G12/B$27)</f>
        <v>0.2</v>
      </c>
      <c r="I12" s="98">
        <v>8</v>
      </c>
      <c r="N12" s="120" t="s">
        <v>174</v>
      </c>
      <c r="O12" s="130">
        <f>IF(P12=0,0,Q12/P12)</f>
        <v>31.9</v>
      </c>
      <c r="P12" s="124">
        <v>1</v>
      </c>
      <c r="Q12" s="112">
        <v>31.9</v>
      </c>
    </row>
    <row r="13" spans="1:17" x14ac:dyDescent="0.4">
      <c r="A13" s="58" t="s">
        <v>126</v>
      </c>
      <c r="B13" s="50">
        <v>2</v>
      </c>
      <c r="C13" s="44">
        <f>IF(B$26=0,0,B13/B$26)</f>
        <v>0.11764705882352941</v>
      </c>
      <c r="E13" s="63" t="s">
        <v>72</v>
      </c>
      <c r="F13" s="60" t="s">
        <v>26</v>
      </c>
      <c r="G13" s="47">
        <v>0</v>
      </c>
      <c r="H13" s="137">
        <f>IF(B$27=0,0,G13/B$27)</f>
        <v>0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</v>
      </c>
      <c r="C14" s="39">
        <f>IF(B$26=0,0,B14/B$26)</f>
        <v>0.17647058823529413</v>
      </c>
      <c r="E14" s="63" t="s">
        <v>73</v>
      </c>
      <c r="F14" s="60" t="s">
        <v>27</v>
      </c>
      <c r="G14" s="47">
        <v>0</v>
      </c>
      <c r="H14" s="137">
        <f>IF(B$27=0,0,G14/B$27)</f>
        <v>0</v>
      </c>
      <c r="I14" s="98">
        <v>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2</v>
      </c>
      <c r="C15" s="37">
        <f>IF(B$13=0,0,B15/B$13)</f>
        <v>1</v>
      </c>
      <c r="E15" s="63" t="s">
        <v>75</v>
      </c>
      <c r="F15" s="60" t="s">
        <v>29</v>
      </c>
      <c r="G15" s="47">
        <v>0</v>
      </c>
      <c r="H15" s="137">
        <f>IF(B$27=0,0,G15/B$27)</f>
        <v>0</v>
      </c>
      <c r="I15" s="98">
        <v>3</v>
      </c>
      <c r="N15" s="118" t="s">
        <v>181</v>
      </c>
      <c r="O15" s="128">
        <f>IF(P15=0,0,Q15/P15)</f>
        <v>60.4</v>
      </c>
      <c r="P15" s="122">
        <v>1</v>
      </c>
      <c r="Q15" s="110">
        <v>60.4</v>
      </c>
    </row>
    <row r="16" spans="1:17" x14ac:dyDescent="0.4">
      <c r="A16" s="54" t="s">
        <v>129</v>
      </c>
      <c r="B16" s="46">
        <v>1</v>
      </c>
      <c r="C16" s="37">
        <f>IF(B$14=0,0,B16/B$14)</f>
        <v>0.33333333333333331</v>
      </c>
      <c r="E16" s="63" t="s">
        <v>76</v>
      </c>
      <c r="F16" s="60" t="s">
        <v>30</v>
      </c>
      <c r="G16" s="47">
        <v>0</v>
      </c>
      <c r="H16" s="137">
        <f>IF(B$27=0,0,G16/B$27)</f>
        <v>0</v>
      </c>
      <c r="I16" s="98">
        <v>1</v>
      </c>
      <c r="N16" s="119" t="s">
        <v>132</v>
      </c>
      <c r="O16" s="129">
        <f>IF(P16=0,0,Q16/P16)</f>
        <v>32.35</v>
      </c>
      <c r="P16" s="123">
        <v>2</v>
      </c>
      <c r="Q16" s="111">
        <v>64.7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78</v>
      </c>
      <c r="F17" s="60" t="s">
        <v>32</v>
      </c>
      <c r="G17" s="47">
        <v>0</v>
      </c>
      <c r="H17" s="137">
        <f>IF(B$27=0,0,G17/B$27)</f>
        <v>0</v>
      </c>
      <c r="I17" s="98">
        <v>1</v>
      </c>
      <c r="N17" s="119" t="s">
        <v>179</v>
      </c>
      <c r="O17" s="129">
        <f>IF(P17=0,0,Q17/P17)</f>
        <v>-35.1</v>
      </c>
      <c r="P17" s="123">
        <v>1</v>
      </c>
      <c r="Q17" s="111">
        <v>-35.1</v>
      </c>
    </row>
    <row r="18" spans="1:17" x14ac:dyDescent="0.4">
      <c r="A18" s="55" t="s">
        <v>12</v>
      </c>
      <c r="B18" s="47">
        <v>2</v>
      </c>
      <c r="C18" s="39">
        <f>IF(B$17=0,0,B18/B$17)</f>
        <v>0.4</v>
      </c>
      <c r="E18" s="63" t="s">
        <v>79</v>
      </c>
      <c r="F18" s="60" t="s">
        <v>33</v>
      </c>
      <c r="G18" s="47">
        <v>0</v>
      </c>
      <c r="H18" s="137">
        <f>IF(B$27=0,0,G18/B$27)</f>
        <v>0</v>
      </c>
      <c r="I18" s="98">
        <v>1</v>
      </c>
    </row>
    <row r="19" spans="1:17" x14ac:dyDescent="0.4">
      <c r="A19" s="55" t="s">
        <v>11</v>
      </c>
      <c r="B19" s="47">
        <v>3</v>
      </c>
      <c r="C19" s="39">
        <f>IF(B$17=0,0,B19/B$17)</f>
        <v>0.6</v>
      </c>
      <c r="E19" s="63" t="s">
        <v>80</v>
      </c>
      <c r="F19" s="60" t="s">
        <v>34</v>
      </c>
      <c r="G19" s="47">
        <v>0</v>
      </c>
      <c r="H19" s="137">
        <f>IF(B$27=0,0,G19/B$27)</f>
        <v>0</v>
      </c>
      <c r="I19" s="98">
        <v>4</v>
      </c>
    </row>
    <row r="20" spans="1:17" x14ac:dyDescent="0.4">
      <c r="A20" s="55" t="s">
        <v>13</v>
      </c>
      <c r="B20" s="47">
        <v>3</v>
      </c>
      <c r="C20" s="39">
        <f>IF(B$3=0,0,B20/B$3)</f>
        <v>0.17647058823529413</v>
      </c>
      <c r="E20" s="63" t="s">
        <v>81</v>
      </c>
      <c r="F20" s="60" t="s">
        <v>35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8800</v>
      </c>
      <c r="C21" s="41">
        <v>44000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-2933.3333333333335</v>
      </c>
      <c r="C22" s="45">
        <v>-8800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53">
        <v>4</v>
      </c>
      <c r="C23" s="154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5</v>
      </c>
    </row>
    <row r="24" spans="1:17" x14ac:dyDescent="0.4">
      <c r="A24" s="58" t="s">
        <v>157</v>
      </c>
      <c r="B24" s="151">
        <v>46900</v>
      </c>
      <c r="C24" s="15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86</v>
      </c>
      <c r="F25" s="60" t="s">
        <v>40</v>
      </c>
      <c r="G25" s="47">
        <v>0</v>
      </c>
      <c r="H25" s="137">
        <f>IF(B$27=0,0,G25/B$27)</f>
        <v>0</v>
      </c>
      <c r="I25" s="98">
        <v>7</v>
      </c>
    </row>
    <row r="26" spans="1:17" x14ac:dyDescent="0.4">
      <c r="A26" s="54" t="s">
        <v>124</v>
      </c>
      <c r="B26" s="143">
        <v>17</v>
      </c>
      <c r="C26" s="144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57">
        <v>5</v>
      </c>
      <c r="C27" s="158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6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1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3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3C19E-204C-4C7D-9D42-B3E715C42EAF}">
  <sheetPr codeName="Sheet2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0.5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F728E-5122-4DCA-96F7-00EA83EC1B2B}">
  <sheetPr codeName="Sheet18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F2DD-BEC9-4D2C-92F4-A4BD39A14347}">
  <sheetPr codeName="Sheet1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ADD3D-68F0-4873-8877-F285153FD6E2}">
  <sheetPr codeName="Sheet1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7ADB-A957-4C25-83E5-DFA2CA721E28}">
  <sheetPr codeName="Sheet12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0.5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0.33333333333333331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0.25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0.2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0.16666666666666666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0.14285714285714285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0.125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0.1111111111111111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8A19D-B321-43AE-9B02-D6AE3C5F9839}">
  <sheetPr codeName="Sheet10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132</v>
      </c>
      <c r="B1" s="70" t="s">
        <v>132</v>
      </c>
      <c r="C1" s="70" t="s">
        <v>132</v>
      </c>
      <c r="D1" s="71" t="s">
        <v>132</v>
      </c>
      <c r="E1" s="70" t="s">
        <v>132</v>
      </c>
      <c r="F1" s="70" t="s">
        <v>132</v>
      </c>
      <c r="G1" s="70" t="s">
        <v>132</v>
      </c>
      <c r="H1" s="70" t="s">
        <v>132</v>
      </c>
      <c r="I1" s="70" t="s">
        <v>132</v>
      </c>
      <c r="J1" s="70" t="s">
        <v>132</v>
      </c>
      <c r="K1" s="70" t="s">
        <v>132</v>
      </c>
      <c r="L1" s="70" t="s">
        <v>132</v>
      </c>
      <c r="M1" s="70" t="s">
        <v>132</v>
      </c>
      <c r="N1" s="70" t="s">
        <v>132</v>
      </c>
      <c r="O1" s="70" t="s">
        <v>132</v>
      </c>
      <c r="P1" s="70" t="s">
        <v>132</v>
      </c>
      <c r="Q1" s="70" t="s">
        <v>132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1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0.5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0.33333333333333331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0.25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0.16666666666666666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0.14285714285714285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0.125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0.1111111111111111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0.1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9.0909090909090912E-2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8.3333333333333329E-2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19023-D9A5-4CC0-B460-C582C1B623FC}">
  <sheetPr codeName="Sheet8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0.33333333333333331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0.42857142857142855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0.44444444444444442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0.4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0.36363636363636365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0.33333333333333331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0.30769230769230771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02400-51DD-4E86-BAFC-3DA15BCEAE5B}">
  <sheetPr codeName="Sheet6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149</v>
      </c>
      <c r="B1" s="70" t="s">
        <v>149</v>
      </c>
      <c r="C1" s="70" t="s">
        <v>149</v>
      </c>
      <c r="D1" s="71" t="s">
        <v>149</v>
      </c>
      <c r="E1" s="70" t="s">
        <v>149</v>
      </c>
      <c r="F1" s="70" t="s">
        <v>149</v>
      </c>
      <c r="G1" s="70" t="s">
        <v>149</v>
      </c>
      <c r="H1" s="70" t="s">
        <v>149</v>
      </c>
      <c r="I1" s="70" t="s">
        <v>149</v>
      </c>
      <c r="J1" s="70" t="s">
        <v>149</v>
      </c>
      <c r="K1" s="70" t="s">
        <v>149</v>
      </c>
      <c r="L1" s="70" t="s">
        <v>149</v>
      </c>
      <c r="M1" s="70" t="s">
        <v>149</v>
      </c>
      <c r="N1" s="70" t="s">
        <v>149</v>
      </c>
      <c r="O1" s="70" t="s">
        <v>149</v>
      </c>
      <c r="P1" s="70" t="s">
        <v>149</v>
      </c>
      <c r="Q1" s="70" t="s">
        <v>149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0.22222222222222221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0.16666666666666666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0.13333333333333333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0.16666666666666666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0.19047619047619047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0.20833333333333334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0.18518518518518517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0.21212121212121213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0.19444444444444445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0.17948717948717949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0.16666666666666666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0.15555555555555556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0.14583333333333334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0.13725490196078433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0.12962962962962962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0.12280701754385964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0.13333333333333333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</vt:vector>
  </HeadingPairs>
  <TitlesOfParts>
    <vt:vector size="3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2019-04-06T02:51:42Z</dcterms:modified>
</cp:coreProperties>
</file>