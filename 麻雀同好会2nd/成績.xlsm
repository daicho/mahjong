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3733F22B-EDA6-4EE1-9D4D-2BBF644BC13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だいち" sheetId="5507" r:id="rId7"/>
    <sheet name="りくと" sheetId="5509" r:id="rId8"/>
    <sheet name="ただ" sheetId="5511" r:id="rId9"/>
    <sheet name="れんたろう" sheetId="5513" r:id="rId10"/>
    <sheet name="たかの" sheetId="5515" r:id="rId11"/>
    <sheet name="ぱぱ" sheetId="5517" r:id="rId12"/>
    <sheet name="まっつん" sheetId="5519" r:id="rId13"/>
    <sheet name="あさひ" sheetId="5521" r:id="rId14"/>
    <sheet name="いっしー" sheetId="5523" r:id="rId15"/>
    <sheet name="ほたに" sheetId="5525" r:id="rId16"/>
    <sheet name="かわたつ" sheetId="5527" r:id="rId17"/>
    <sheet name="やがさき" sheetId="5529" r:id="rId18"/>
    <sheet name="のり" sheetId="5531" r:id="rId19"/>
    <sheet name="のり2" sheetId="5532" state="hidden" r:id="rId20"/>
    <sheet name="やがさき2" sheetId="5530" state="hidden" r:id="rId21"/>
    <sheet name="かわたつ2" sheetId="5528" state="hidden" r:id="rId22"/>
    <sheet name="ほたに2" sheetId="5526" state="hidden" r:id="rId23"/>
    <sheet name="いっしー2" sheetId="5524" state="hidden" r:id="rId24"/>
    <sheet name="あさひ2" sheetId="5522" state="hidden" r:id="rId25"/>
    <sheet name="まっつん2" sheetId="5520" state="hidden" r:id="rId26"/>
    <sheet name="ぱぱ2" sheetId="5518" state="hidden" r:id="rId27"/>
    <sheet name="たかの2" sheetId="5516" state="hidden" r:id="rId28"/>
    <sheet name="れんたろう2" sheetId="5514" state="hidden" r:id="rId29"/>
    <sheet name="ただ2" sheetId="5512" state="hidden" r:id="rId30"/>
    <sheet name="りくと2" sheetId="5510" state="hidden" r:id="rId31"/>
    <sheet name="だいち2" sheetId="5508" state="hidden" r:id="rId32"/>
    <sheet name="全体2" sheetId="550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17" l="1"/>
  <c r="O18" i="5531"/>
  <c r="O21" i="5525" l="1"/>
  <c r="O15" i="5531"/>
  <c r="O15" i="5511" l="1"/>
  <c r="O15" i="5519"/>
  <c r="O15" i="5505"/>
  <c r="O17" i="5531"/>
  <c r="O16" i="5531"/>
  <c r="H39" i="5531"/>
  <c r="H29" i="5531"/>
  <c r="C27" i="5531"/>
  <c r="B24" i="5531"/>
  <c r="C20" i="5531"/>
  <c r="B17" i="5531"/>
  <c r="H51" i="5531" s="1"/>
  <c r="C16" i="5531"/>
  <c r="C15" i="5531"/>
  <c r="C14" i="5531"/>
  <c r="C13" i="5531"/>
  <c r="O12" i="5531"/>
  <c r="C12" i="5531"/>
  <c r="O11" i="5531"/>
  <c r="C11" i="5531"/>
  <c r="O10" i="5531"/>
  <c r="C10" i="5531"/>
  <c r="C9" i="5531"/>
  <c r="C8" i="5531"/>
  <c r="O7" i="5531"/>
  <c r="C7" i="5531"/>
  <c r="O6" i="5531"/>
  <c r="B6" i="5531"/>
  <c r="O5" i="5531"/>
  <c r="B5" i="5531"/>
  <c r="O4" i="5531"/>
  <c r="H4" i="5531"/>
  <c r="O3" i="5531"/>
  <c r="O2" i="5531"/>
  <c r="H16" i="5531" l="1"/>
  <c r="H3" i="5531"/>
  <c r="H9" i="5531"/>
  <c r="H40" i="5531"/>
  <c r="H12" i="5531"/>
  <c r="H21" i="5531"/>
  <c r="H6" i="5531"/>
  <c r="H28" i="5531"/>
  <c r="B23" i="5531"/>
  <c r="H23" i="5531"/>
  <c r="H10" i="5531"/>
  <c r="C17" i="5531"/>
  <c r="H47" i="5531"/>
  <c r="H30" i="5531"/>
  <c r="H7" i="5531"/>
  <c r="H13" i="5531"/>
  <c r="H45" i="5531"/>
  <c r="C18" i="5531"/>
  <c r="H46" i="5531"/>
  <c r="H5" i="5531"/>
  <c r="H14" i="5531"/>
  <c r="H24" i="5531"/>
  <c r="C19" i="5531"/>
  <c r="H48" i="5531"/>
  <c r="H44" i="5531"/>
  <c r="H31" i="5531"/>
  <c r="H32" i="5531"/>
  <c r="H11" i="5531"/>
  <c r="H18" i="5531"/>
  <c r="H36" i="5531"/>
  <c r="H2" i="5531"/>
  <c r="H8" i="5531"/>
  <c r="H25" i="5531"/>
  <c r="H37" i="5531"/>
  <c r="H15" i="5531"/>
  <c r="H19" i="5531"/>
  <c r="H38" i="5531"/>
  <c r="H52" i="5531"/>
  <c r="H20" i="5531"/>
  <c r="H26" i="5531"/>
  <c r="H33" i="5531"/>
  <c r="H41" i="5531"/>
  <c r="H49" i="5531"/>
  <c r="H34" i="5531"/>
  <c r="H42" i="5531"/>
  <c r="H50" i="5531"/>
  <c r="H17" i="5531"/>
  <c r="H22" i="5531"/>
  <c r="H27" i="5531"/>
  <c r="H35" i="5531"/>
  <c r="H43" i="5531"/>
  <c r="O22" i="5525" l="1"/>
  <c r="O17" i="5511"/>
  <c r="O23" i="5523" l="1"/>
  <c r="O15" i="5529"/>
  <c r="O24" i="5517" l="1"/>
  <c r="O15" i="5523"/>
  <c r="O25" i="5507" l="1"/>
  <c r="O17" i="5529"/>
  <c r="O16" i="5511" l="1"/>
  <c r="O23" i="5515"/>
  <c r="O26" i="5505"/>
  <c r="O18" i="5529"/>
  <c r="O16" i="5529"/>
  <c r="C27" i="5529"/>
  <c r="B24" i="5529"/>
  <c r="C20" i="5529"/>
  <c r="B17" i="5529"/>
  <c r="H52" i="5529" s="1"/>
  <c r="C16" i="5529"/>
  <c r="C15" i="5529"/>
  <c r="C14" i="5529"/>
  <c r="C13" i="5529"/>
  <c r="O12" i="5529"/>
  <c r="C12" i="5529"/>
  <c r="O11" i="5529"/>
  <c r="C11" i="5529"/>
  <c r="O10" i="5529"/>
  <c r="H10" i="5529"/>
  <c r="C10" i="5529"/>
  <c r="C9" i="5529"/>
  <c r="H8" i="5529"/>
  <c r="C8" i="5529"/>
  <c r="O7" i="5529"/>
  <c r="C7" i="5529"/>
  <c r="O6" i="5529"/>
  <c r="B6" i="5529"/>
  <c r="O5" i="5529"/>
  <c r="B5" i="5529"/>
  <c r="O4" i="5529"/>
  <c r="H4" i="5529"/>
  <c r="O3" i="5529"/>
  <c r="O2" i="5529"/>
  <c r="H2" i="5529"/>
  <c r="O15" i="5527"/>
  <c r="O16" i="5527"/>
  <c r="C27" i="5527"/>
  <c r="B24" i="5527"/>
  <c r="C20" i="5527"/>
  <c r="C17" i="5527"/>
  <c r="B17" i="5527"/>
  <c r="H52" i="5527" s="1"/>
  <c r="C16" i="5527"/>
  <c r="C15" i="5527"/>
  <c r="C14" i="5527"/>
  <c r="C13" i="5527"/>
  <c r="O12" i="5527"/>
  <c r="C12" i="5527"/>
  <c r="O11" i="5527"/>
  <c r="C11" i="5527"/>
  <c r="O10" i="5527"/>
  <c r="H10" i="5527"/>
  <c r="C10" i="5527"/>
  <c r="C9" i="5527"/>
  <c r="H8" i="5527"/>
  <c r="C8" i="5527"/>
  <c r="O7" i="5527"/>
  <c r="C7" i="5527"/>
  <c r="O6" i="5527"/>
  <c r="B6" i="5527"/>
  <c r="O5" i="5527"/>
  <c r="B5" i="5527"/>
  <c r="O4" i="5527"/>
  <c r="H4" i="5527"/>
  <c r="O3" i="5527"/>
  <c r="O2" i="5527"/>
  <c r="H2" i="5527"/>
  <c r="O23" i="5513"/>
  <c r="O16" i="5507"/>
  <c r="O25" i="5505"/>
  <c r="C17" i="5529" l="1"/>
  <c r="H20" i="5529"/>
  <c r="H26" i="5529"/>
  <c r="H33" i="5529"/>
  <c r="H49" i="5529"/>
  <c r="H13" i="5529"/>
  <c r="C19" i="5529"/>
  <c r="H21" i="5529"/>
  <c r="H34" i="5529"/>
  <c r="H38" i="5529"/>
  <c r="H42" i="5529"/>
  <c r="H50" i="5529"/>
  <c r="H3" i="5529"/>
  <c r="H6" i="5529"/>
  <c r="H9" i="5529"/>
  <c r="H12" i="5529"/>
  <c r="H17" i="5529"/>
  <c r="H19" i="5529"/>
  <c r="H22" i="5529"/>
  <c r="H24" i="5529"/>
  <c r="H27" i="5529"/>
  <c r="H31" i="5529"/>
  <c r="H35" i="5529"/>
  <c r="H39" i="5529"/>
  <c r="H43" i="5529"/>
  <c r="H47" i="5529"/>
  <c r="H51" i="5529"/>
  <c r="H18" i="5529"/>
  <c r="H23" i="5529"/>
  <c r="H29" i="5529"/>
  <c r="H37" i="5529"/>
  <c r="H41" i="5529"/>
  <c r="H45" i="5529"/>
  <c r="H7" i="5529"/>
  <c r="H15" i="5529"/>
  <c r="H30" i="5529"/>
  <c r="H46" i="5529"/>
  <c r="H5" i="5529"/>
  <c r="H11" i="5529"/>
  <c r="H14" i="5529"/>
  <c r="H16" i="5529"/>
  <c r="C18" i="5529"/>
  <c r="B23" i="5529"/>
  <c r="H25" i="5529"/>
  <c r="H28" i="5529"/>
  <c r="H32" i="5529"/>
  <c r="H36" i="5529"/>
  <c r="H40" i="5529"/>
  <c r="H44" i="5529"/>
  <c r="H48" i="5529"/>
  <c r="H18" i="5527"/>
  <c r="H23" i="5527"/>
  <c r="H29" i="5527"/>
  <c r="H37" i="5527"/>
  <c r="H45" i="5527"/>
  <c r="H30" i="5527"/>
  <c r="H34" i="5527"/>
  <c r="H38" i="5527"/>
  <c r="H42" i="5527"/>
  <c r="H50" i="5527"/>
  <c r="H3" i="5527"/>
  <c r="H6" i="5527"/>
  <c r="H9" i="5527"/>
  <c r="H12" i="5527"/>
  <c r="H17" i="5527"/>
  <c r="H19" i="5527"/>
  <c r="H22" i="5527"/>
  <c r="H24" i="5527"/>
  <c r="H27" i="5527"/>
  <c r="H31" i="5527"/>
  <c r="H35" i="5527"/>
  <c r="H39" i="5527"/>
  <c r="H43" i="5527"/>
  <c r="H47" i="5527"/>
  <c r="H51" i="5527"/>
  <c r="H20" i="5527"/>
  <c r="H26" i="5527"/>
  <c r="H33" i="5527"/>
  <c r="H41" i="5527"/>
  <c r="H49" i="5527"/>
  <c r="H7" i="5527"/>
  <c r="H13" i="5527"/>
  <c r="H15" i="5527"/>
  <c r="C19" i="5527"/>
  <c r="H21" i="5527"/>
  <c r="H46" i="5527"/>
  <c r="H5" i="5527"/>
  <c r="H11" i="5527"/>
  <c r="H14" i="5527"/>
  <c r="H16" i="5527"/>
  <c r="C18" i="5527"/>
  <c r="B23" i="5527"/>
  <c r="H25" i="5527"/>
  <c r="H28" i="5527"/>
  <c r="H32" i="5527"/>
  <c r="H36" i="5527"/>
  <c r="H40" i="5527"/>
  <c r="H44" i="5527"/>
  <c r="H48" i="5527"/>
  <c r="O15" i="5515" l="1"/>
  <c r="O21" i="5523"/>
  <c r="O20" i="5525" l="1"/>
  <c r="O19" i="5525"/>
  <c r="O20" i="5519"/>
  <c r="O20" i="5509"/>
  <c r="O24" i="5507" l="1"/>
  <c r="O17" i="5525"/>
  <c r="O23" i="5517"/>
  <c r="O15" i="5525"/>
  <c r="O18" i="5525" l="1"/>
  <c r="O16" i="5525"/>
  <c r="C27" i="5525"/>
  <c r="B24" i="5525"/>
  <c r="C20" i="5525"/>
  <c r="B17" i="5525"/>
  <c r="H52" i="5525" s="1"/>
  <c r="C16" i="5525"/>
  <c r="C15" i="5525"/>
  <c r="C14" i="5525"/>
  <c r="C13" i="5525"/>
  <c r="O12" i="5525"/>
  <c r="C12" i="5525"/>
  <c r="O11" i="5525"/>
  <c r="C11" i="5525"/>
  <c r="O10" i="5525"/>
  <c r="C10" i="5525"/>
  <c r="C9" i="5525"/>
  <c r="C8" i="5525"/>
  <c r="O7" i="5525"/>
  <c r="C7" i="5525"/>
  <c r="O6" i="5525"/>
  <c r="B6" i="5525"/>
  <c r="O5" i="5525"/>
  <c r="B5" i="5525"/>
  <c r="O4" i="5525"/>
  <c r="O3" i="5525"/>
  <c r="O2" i="5525"/>
  <c r="O21" i="5513"/>
  <c r="O21" i="5515"/>
  <c r="O23" i="5505"/>
  <c r="H13" i="5525" l="1"/>
  <c r="H8" i="5525"/>
  <c r="H3" i="5525"/>
  <c r="H10" i="5525"/>
  <c r="H5" i="5525"/>
  <c r="C17" i="5525"/>
  <c r="H2" i="5525"/>
  <c r="H4" i="5525"/>
  <c r="H7" i="5525"/>
  <c r="H15" i="5525"/>
  <c r="H18" i="5525"/>
  <c r="H20" i="5525"/>
  <c r="H23" i="5525"/>
  <c r="H26" i="5525"/>
  <c r="H29" i="5525"/>
  <c r="H33" i="5525"/>
  <c r="H37" i="5525"/>
  <c r="H41" i="5525"/>
  <c r="H45" i="5525"/>
  <c r="H49" i="5525"/>
  <c r="C19" i="5525"/>
  <c r="H21" i="5525"/>
  <c r="H30" i="5525"/>
  <c r="H34" i="5525"/>
  <c r="H38" i="5525"/>
  <c r="H42" i="5525"/>
  <c r="H46" i="5525"/>
  <c r="H50" i="5525"/>
  <c r="H6" i="5525"/>
  <c r="H9" i="5525"/>
  <c r="H12" i="5525"/>
  <c r="H17" i="5525"/>
  <c r="H19" i="5525"/>
  <c r="H22" i="5525"/>
  <c r="H24" i="5525"/>
  <c r="H27" i="5525"/>
  <c r="H31" i="5525"/>
  <c r="H35" i="5525"/>
  <c r="H39" i="5525"/>
  <c r="H43" i="5525"/>
  <c r="H47" i="5525"/>
  <c r="H51" i="5525"/>
  <c r="H11" i="5525"/>
  <c r="H14" i="5525"/>
  <c r="H16" i="5525"/>
  <c r="C18" i="5525"/>
  <c r="B23" i="5525"/>
  <c r="H25" i="5525"/>
  <c r="H28" i="5525"/>
  <c r="H32" i="5525"/>
  <c r="H36" i="5525"/>
  <c r="H40" i="5525"/>
  <c r="H44" i="5525"/>
  <c r="H48" i="5525"/>
  <c r="O19" i="5515" l="1"/>
  <c r="O18" i="5511"/>
  <c r="O22" i="5519"/>
  <c r="O21" i="5519"/>
  <c r="O19" i="5507" l="1"/>
  <c r="O20" i="5523"/>
  <c r="O18" i="5523" l="1"/>
  <c r="O16" i="5523"/>
  <c r="O16" i="5513"/>
  <c r="O23" i="5511"/>
  <c r="O17" i="5521" l="1"/>
  <c r="O22" i="5517"/>
  <c r="O15" i="5521"/>
  <c r="O22" i="5523"/>
  <c r="O15" i="5509"/>
  <c r="O19" i="5519"/>
  <c r="O16" i="5505"/>
  <c r="O19" i="5523"/>
  <c r="O17" i="5523"/>
  <c r="C27" i="5523"/>
  <c r="B24" i="5523"/>
  <c r="C20" i="5523"/>
  <c r="B17" i="5523"/>
  <c r="H52" i="5523" s="1"/>
  <c r="C16" i="5523"/>
  <c r="C15" i="5523"/>
  <c r="C14" i="5523"/>
  <c r="C13" i="5523"/>
  <c r="O12" i="5523"/>
  <c r="C12" i="5523"/>
  <c r="O11" i="5523"/>
  <c r="C11" i="5523"/>
  <c r="O10" i="5523"/>
  <c r="C10" i="5523"/>
  <c r="C9" i="5523"/>
  <c r="C8" i="5523"/>
  <c r="O7" i="5523"/>
  <c r="C7" i="5523"/>
  <c r="O6" i="5523"/>
  <c r="B6" i="5523"/>
  <c r="O5" i="5523"/>
  <c r="B5" i="5523"/>
  <c r="O4" i="5523"/>
  <c r="O3" i="5523"/>
  <c r="O2" i="5523"/>
  <c r="O16" i="5521"/>
  <c r="O18" i="5521"/>
  <c r="C27" i="5521"/>
  <c r="B24" i="5521"/>
  <c r="C20" i="5521"/>
  <c r="B17" i="5521"/>
  <c r="H52" i="5521" s="1"/>
  <c r="C16" i="5521"/>
  <c r="C15" i="5521"/>
  <c r="C14" i="5521"/>
  <c r="C13" i="5521"/>
  <c r="O12" i="5521"/>
  <c r="C12" i="5521"/>
  <c r="O11" i="5521"/>
  <c r="C11" i="5521"/>
  <c r="O10" i="5521"/>
  <c r="C10" i="5521"/>
  <c r="C9" i="5521"/>
  <c r="C8" i="5521"/>
  <c r="O7" i="5521"/>
  <c r="C7" i="5521"/>
  <c r="O6" i="5521"/>
  <c r="B6" i="5521"/>
  <c r="O5" i="5521"/>
  <c r="B5" i="5521"/>
  <c r="O4" i="5521"/>
  <c r="O3" i="5521"/>
  <c r="O2" i="5521"/>
  <c r="O23" i="5519"/>
  <c r="O24" i="5519"/>
  <c r="O15" i="5507"/>
  <c r="O20" i="5507"/>
  <c r="O27" i="5505"/>
  <c r="H10" i="5523" l="1"/>
  <c r="H4" i="5523"/>
  <c r="H2" i="5523"/>
  <c r="H8" i="5523"/>
  <c r="H8" i="5521"/>
  <c r="H14" i="5521"/>
  <c r="H11" i="5521"/>
  <c r="H5" i="5521"/>
  <c r="C19" i="5521"/>
  <c r="H4" i="5521"/>
  <c r="H2" i="5521"/>
  <c r="H10" i="5521"/>
  <c r="H16" i="5521"/>
  <c r="H7" i="5521"/>
  <c r="H13" i="5521"/>
  <c r="H15" i="5521"/>
  <c r="C17" i="5521"/>
  <c r="H21" i="5521"/>
  <c r="H3" i="5521"/>
  <c r="H6" i="5521"/>
  <c r="H9" i="5521"/>
  <c r="H12" i="5521"/>
  <c r="C18" i="5521"/>
  <c r="C17" i="5523"/>
  <c r="H20" i="5523"/>
  <c r="H29" i="5523"/>
  <c r="H33" i="5523"/>
  <c r="H37" i="5523"/>
  <c r="H45" i="5523"/>
  <c r="H7" i="5523"/>
  <c r="H13" i="5523"/>
  <c r="H15" i="5523"/>
  <c r="C19" i="5523"/>
  <c r="H21" i="5523"/>
  <c r="H30" i="5523"/>
  <c r="H34" i="5523"/>
  <c r="H38" i="5523"/>
  <c r="H42" i="5523"/>
  <c r="H46" i="5523"/>
  <c r="H50" i="5523"/>
  <c r="H18" i="5523"/>
  <c r="H26" i="5523"/>
  <c r="H41" i="5523"/>
  <c r="H3" i="5523"/>
  <c r="H6" i="5523"/>
  <c r="H9" i="5523"/>
  <c r="H12" i="5523"/>
  <c r="H17" i="5523"/>
  <c r="H19" i="5523"/>
  <c r="H22" i="5523"/>
  <c r="H24" i="5523"/>
  <c r="H27" i="5523"/>
  <c r="H31" i="5523"/>
  <c r="H35" i="5523"/>
  <c r="H39" i="5523"/>
  <c r="H43" i="5523"/>
  <c r="H47" i="5523"/>
  <c r="H51" i="5523"/>
  <c r="H23" i="5523"/>
  <c r="H49" i="5523"/>
  <c r="H5" i="5523"/>
  <c r="H11" i="5523"/>
  <c r="H14" i="5523"/>
  <c r="H16" i="5523"/>
  <c r="C18" i="5523"/>
  <c r="B23" i="5523"/>
  <c r="H25" i="5523"/>
  <c r="H28" i="5523"/>
  <c r="H32" i="5523"/>
  <c r="H36" i="5523"/>
  <c r="H40" i="5523"/>
  <c r="H44" i="5523"/>
  <c r="H48" i="5523"/>
  <c r="H18" i="5521"/>
  <c r="H20" i="5521"/>
  <c r="H23" i="5521"/>
  <c r="H26" i="5521"/>
  <c r="H29" i="5521"/>
  <c r="H33" i="5521"/>
  <c r="H37" i="5521"/>
  <c r="H41" i="5521"/>
  <c r="H45" i="5521"/>
  <c r="H49" i="5521"/>
  <c r="H30" i="5521"/>
  <c r="H34" i="5521"/>
  <c r="H38" i="5521"/>
  <c r="H42" i="5521"/>
  <c r="H46" i="5521"/>
  <c r="H50" i="5521"/>
  <c r="H17" i="5521"/>
  <c r="H19" i="5521"/>
  <c r="H22" i="5521"/>
  <c r="H24" i="5521"/>
  <c r="H27" i="5521"/>
  <c r="H31" i="5521"/>
  <c r="H35" i="5521"/>
  <c r="H39" i="5521"/>
  <c r="H43" i="5521"/>
  <c r="H47" i="5521"/>
  <c r="H51" i="5521"/>
  <c r="B23" i="5521"/>
  <c r="H25" i="5521"/>
  <c r="H28" i="5521"/>
  <c r="H32" i="5521"/>
  <c r="H36" i="5521"/>
  <c r="H40" i="5521"/>
  <c r="H44" i="5521"/>
  <c r="H48" i="5521"/>
  <c r="O17" i="5519" l="1"/>
  <c r="O21" i="5517"/>
  <c r="O18" i="5517"/>
  <c r="O16" i="5509"/>
  <c r="O17" i="5515" l="1"/>
  <c r="O17" i="5513"/>
  <c r="O17" i="5517"/>
  <c r="O19" i="5517"/>
  <c r="O16" i="5515" l="1"/>
  <c r="O15" i="5513"/>
  <c r="O24" i="5511"/>
  <c r="O21" i="5511"/>
  <c r="O16" i="5519"/>
  <c r="O18" i="5519"/>
  <c r="C27" i="5519"/>
  <c r="B24" i="5519"/>
  <c r="C20" i="5519"/>
  <c r="B17" i="5519"/>
  <c r="H50" i="5519" s="1"/>
  <c r="C16" i="5519"/>
  <c r="C15" i="5519"/>
  <c r="C14" i="5519"/>
  <c r="C13" i="5519"/>
  <c r="O12" i="5519"/>
  <c r="C12" i="5519"/>
  <c r="O11" i="5519"/>
  <c r="C11" i="5519"/>
  <c r="O10" i="5519"/>
  <c r="C10" i="5519"/>
  <c r="C9" i="5519"/>
  <c r="C8" i="5519"/>
  <c r="O7" i="5519"/>
  <c r="C7" i="5519"/>
  <c r="O6" i="5519"/>
  <c r="B6" i="5519"/>
  <c r="O5" i="5519"/>
  <c r="B5" i="5519"/>
  <c r="O4" i="5519"/>
  <c r="O3" i="5519"/>
  <c r="O2" i="5519"/>
  <c r="O22" i="5513"/>
  <c r="O21" i="5509"/>
  <c r="O22" i="5505"/>
  <c r="H16" i="5519" l="1"/>
  <c r="H10" i="5519"/>
  <c r="H14" i="5519"/>
  <c r="H8" i="5519"/>
  <c r="H32" i="5519"/>
  <c r="H12" i="5519"/>
  <c r="H2" i="5519"/>
  <c r="H39" i="5519"/>
  <c r="H25" i="5519"/>
  <c r="H5" i="5519"/>
  <c r="C18" i="5519"/>
  <c r="H22" i="5519"/>
  <c r="H40" i="5519"/>
  <c r="H4" i="5519"/>
  <c r="H9" i="5519"/>
  <c r="H17" i="5519"/>
  <c r="B23" i="5519"/>
  <c r="H31" i="5519"/>
  <c r="H47" i="5519"/>
  <c r="H48" i="5519"/>
  <c r="H19" i="5519"/>
  <c r="H27" i="5519"/>
  <c r="H35" i="5519"/>
  <c r="H43" i="5519"/>
  <c r="H51" i="5519"/>
  <c r="H3" i="5519"/>
  <c r="H6" i="5519"/>
  <c r="H11" i="5519"/>
  <c r="C17" i="5519"/>
  <c r="H24" i="5519"/>
  <c r="H28" i="5519"/>
  <c r="H36" i="5519"/>
  <c r="H44" i="5519"/>
  <c r="H52" i="5519"/>
  <c r="H18" i="5519"/>
  <c r="H20" i="5519"/>
  <c r="H23" i="5519"/>
  <c r="H26" i="5519"/>
  <c r="H29" i="5519"/>
  <c r="H33" i="5519"/>
  <c r="H37" i="5519"/>
  <c r="H41" i="5519"/>
  <c r="H45" i="5519"/>
  <c r="H49" i="5519"/>
  <c r="H7" i="5519"/>
  <c r="H13" i="5519"/>
  <c r="H15" i="5519"/>
  <c r="C19" i="5519"/>
  <c r="H21" i="5519"/>
  <c r="H30" i="5519"/>
  <c r="H34" i="5519"/>
  <c r="H38" i="5519"/>
  <c r="H42" i="5519"/>
  <c r="H46" i="5519"/>
  <c r="O20" i="5511" l="1"/>
  <c r="O20" i="5517"/>
  <c r="O16" i="5517"/>
  <c r="C27" i="5517"/>
  <c r="B24" i="5517"/>
  <c r="C20" i="5517"/>
  <c r="B17" i="5517"/>
  <c r="H52" i="5517" s="1"/>
  <c r="C16" i="5517"/>
  <c r="C15" i="5517"/>
  <c r="C14" i="5517"/>
  <c r="C13" i="5517"/>
  <c r="O12" i="5517"/>
  <c r="C12" i="5517"/>
  <c r="O11" i="5517"/>
  <c r="C11" i="5517"/>
  <c r="O10" i="5517"/>
  <c r="C10" i="5517"/>
  <c r="C9" i="5517"/>
  <c r="C8" i="5517"/>
  <c r="O7" i="5517"/>
  <c r="C7" i="5517"/>
  <c r="O6" i="5517"/>
  <c r="B6" i="5517"/>
  <c r="O5" i="5517"/>
  <c r="B5" i="5517"/>
  <c r="O4" i="5517"/>
  <c r="O3" i="5517"/>
  <c r="O2" i="5517"/>
  <c r="O22" i="5507"/>
  <c r="O17" i="5505"/>
  <c r="O18" i="5515"/>
  <c r="O18" i="5509"/>
  <c r="O19" i="5509"/>
  <c r="O19" i="5513"/>
  <c r="O20" i="5515"/>
  <c r="O22" i="5515"/>
  <c r="C27" i="5515"/>
  <c r="B24" i="5515"/>
  <c r="C20" i="5515"/>
  <c r="B17" i="5515"/>
  <c r="H52" i="5515" s="1"/>
  <c r="C16" i="5515"/>
  <c r="C15" i="5515"/>
  <c r="C14" i="5515"/>
  <c r="C13" i="5515"/>
  <c r="O12" i="5515"/>
  <c r="C12" i="5515"/>
  <c r="O11" i="5515"/>
  <c r="C11" i="5515"/>
  <c r="O10" i="5515"/>
  <c r="C10" i="5515"/>
  <c r="C9" i="5515"/>
  <c r="C8" i="5515"/>
  <c r="O7" i="5515"/>
  <c r="C7" i="5515"/>
  <c r="O6" i="5515"/>
  <c r="B6" i="5515"/>
  <c r="O5" i="5515"/>
  <c r="B5" i="5515"/>
  <c r="O4" i="5515"/>
  <c r="O3" i="5515"/>
  <c r="O2" i="5515"/>
  <c r="O20" i="5513"/>
  <c r="O18" i="5513"/>
  <c r="C27" i="5513"/>
  <c r="B24" i="5513"/>
  <c r="C20" i="5513"/>
  <c r="B17" i="5513"/>
  <c r="H52" i="5513" s="1"/>
  <c r="C16" i="5513"/>
  <c r="C15" i="5513"/>
  <c r="C14" i="5513"/>
  <c r="C13" i="5513"/>
  <c r="O12" i="5513"/>
  <c r="C12" i="5513"/>
  <c r="O11" i="5513"/>
  <c r="C11" i="5513"/>
  <c r="O10" i="5513"/>
  <c r="C10" i="5513"/>
  <c r="C9" i="5513"/>
  <c r="C8" i="5513"/>
  <c r="O7" i="5513"/>
  <c r="C7" i="5513"/>
  <c r="O6" i="5513"/>
  <c r="B6" i="5513"/>
  <c r="O5" i="5513"/>
  <c r="B5" i="5513"/>
  <c r="O4" i="5513"/>
  <c r="O3" i="5513"/>
  <c r="O2" i="5513"/>
  <c r="O17" i="5507"/>
  <c r="O23" i="5507"/>
  <c r="O20" i="5505"/>
  <c r="O21" i="5505"/>
  <c r="H8" i="5515" l="1"/>
  <c r="H2" i="5515"/>
  <c r="H4" i="5515"/>
  <c r="H10" i="5515"/>
  <c r="H5" i="5513"/>
  <c r="C17" i="5517"/>
  <c r="H4" i="5517"/>
  <c r="H10" i="5517"/>
  <c r="H2" i="5517"/>
  <c r="H8" i="5517"/>
  <c r="H18" i="5517"/>
  <c r="H26" i="5517"/>
  <c r="H29" i="5517"/>
  <c r="H33" i="5517"/>
  <c r="H37" i="5517"/>
  <c r="H49" i="5517"/>
  <c r="H7" i="5517"/>
  <c r="H13" i="5517"/>
  <c r="H15" i="5517"/>
  <c r="C19" i="5517"/>
  <c r="H21" i="5517"/>
  <c r="H30" i="5517"/>
  <c r="H34" i="5517"/>
  <c r="H38" i="5517"/>
  <c r="H42" i="5517"/>
  <c r="H46" i="5517"/>
  <c r="H50" i="5517"/>
  <c r="H20" i="5517"/>
  <c r="H45" i="5517"/>
  <c r="H3" i="5517"/>
  <c r="H6" i="5517"/>
  <c r="H9" i="5517"/>
  <c r="H12" i="5517"/>
  <c r="H17" i="5517"/>
  <c r="H19" i="5517"/>
  <c r="H22" i="5517"/>
  <c r="H24" i="5517"/>
  <c r="H27" i="5517"/>
  <c r="H31" i="5517"/>
  <c r="H35" i="5517"/>
  <c r="H39" i="5517"/>
  <c r="H43" i="5517"/>
  <c r="H47" i="5517"/>
  <c r="H51" i="5517"/>
  <c r="H23" i="5517"/>
  <c r="H41" i="5517"/>
  <c r="H5" i="5517"/>
  <c r="H11" i="5517"/>
  <c r="H14" i="5517"/>
  <c r="H16" i="5517"/>
  <c r="C18" i="5517"/>
  <c r="B23" i="5517"/>
  <c r="H25" i="5517"/>
  <c r="H28" i="5517"/>
  <c r="H32" i="5517"/>
  <c r="H36" i="5517"/>
  <c r="H40" i="5517"/>
  <c r="H44" i="5517"/>
  <c r="H48" i="5517"/>
  <c r="C17" i="5515"/>
  <c r="H18" i="5515"/>
  <c r="H26" i="5515"/>
  <c r="H29" i="5515"/>
  <c r="H33" i="5515"/>
  <c r="H37" i="5515"/>
  <c r="H49" i="5515"/>
  <c r="H7" i="5515"/>
  <c r="H13" i="5515"/>
  <c r="H15" i="5515"/>
  <c r="C19" i="5515"/>
  <c r="H21" i="5515"/>
  <c r="H30" i="5515"/>
  <c r="H34" i="5515"/>
  <c r="H38" i="5515"/>
  <c r="H42" i="5515"/>
  <c r="H46" i="5515"/>
  <c r="H50" i="5515"/>
  <c r="H23" i="5515"/>
  <c r="H41" i="5515"/>
  <c r="H3" i="5515"/>
  <c r="H6" i="5515"/>
  <c r="H9" i="5515"/>
  <c r="H12" i="5515"/>
  <c r="H17" i="5515"/>
  <c r="H19" i="5515"/>
  <c r="H22" i="5515"/>
  <c r="H24" i="5515"/>
  <c r="H27" i="5515"/>
  <c r="H31" i="5515"/>
  <c r="H35" i="5515"/>
  <c r="H39" i="5515"/>
  <c r="H43" i="5515"/>
  <c r="H47" i="5515"/>
  <c r="H51" i="5515"/>
  <c r="H20" i="5515"/>
  <c r="H45" i="5515"/>
  <c r="H5" i="5515"/>
  <c r="H11" i="5515"/>
  <c r="H14" i="5515"/>
  <c r="H16" i="5515"/>
  <c r="C18" i="5515"/>
  <c r="B23" i="5515"/>
  <c r="H25" i="5515"/>
  <c r="H28" i="5515"/>
  <c r="H32" i="5515"/>
  <c r="H36" i="5515"/>
  <c r="H40" i="5515"/>
  <c r="H44" i="5515"/>
  <c r="H48" i="5515"/>
  <c r="H14" i="5513"/>
  <c r="H21" i="5513"/>
  <c r="H39" i="5513"/>
  <c r="H43" i="5513"/>
  <c r="H11" i="5513"/>
  <c r="H16" i="5513"/>
  <c r="C18" i="5513"/>
  <c r="H2" i="5513"/>
  <c r="H4" i="5513"/>
  <c r="H8" i="5513"/>
  <c r="H10" i="5513"/>
  <c r="C19" i="5513"/>
  <c r="H22" i="5513"/>
  <c r="H27" i="5513"/>
  <c r="H7" i="5513"/>
  <c r="H13" i="5513"/>
  <c r="H15" i="5513"/>
  <c r="C17" i="5513"/>
  <c r="H19" i="5513"/>
  <c r="H31" i="5513"/>
  <c r="H47" i="5513"/>
  <c r="H3" i="5513"/>
  <c r="H6" i="5513"/>
  <c r="H9" i="5513"/>
  <c r="H12" i="5513"/>
  <c r="H17" i="5513"/>
  <c r="H24" i="5513"/>
  <c r="H35" i="5513"/>
  <c r="H51" i="5513"/>
  <c r="H18" i="5513"/>
  <c r="H20" i="5513"/>
  <c r="H23" i="5513"/>
  <c r="H26" i="5513"/>
  <c r="H29" i="5513"/>
  <c r="H33" i="5513"/>
  <c r="H37" i="5513"/>
  <c r="H41" i="5513"/>
  <c r="H45" i="5513"/>
  <c r="H49" i="5513"/>
  <c r="H30" i="5513"/>
  <c r="H34" i="5513"/>
  <c r="H38" i="5513"/>
  <c r="H42" i="5513"/>
  <c r="H46" i="5513"/>
  <c r="H50" i="5513"/>
  <c r="B23" i="5513"/>
  <c r="H25" i="5513"/>
  <c r="H28" i="5513"/>
  <c r="H32" i="5513"/>
  <c r="H36" i="5513"/>
  <c r="H40" i="5513"/>
  <c r="H44" i="5513"/>
  <c r="H48" i="5513"/>
  <c r="O19" i="5511" l="1"/>
  <c r="O22" i="5511"/>
  <c r="C27" i="5511"/>
  <c r="B24" i="5511"/>
  <c r="C20" i="5511"/>
  <c r="B17" i="5511"/>
  <c r="H28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22" i="5509"/>
  <c r="O17" i="5509"/>
  <c r="C27" i="5509"/>
  <c r="B24" i="5509"/>
  <c r="C20" i="5509"/>
  <c r="B17" i="5509"/>
  <c r="H5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24" i="5505"/>
  <c r="O18" i="5507"/>
  <c r="O21" i="5507"/>
  <c r="C27" i="5507"/>
  <c r="B24" i="5507"/>
  <c r="C20" i="5507"/>
  <c r="B17" i="5507"/>
  <c r="H15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8" i="5505"/>
  <c r="O19" i="5505"/>
  <c r="C27" i="5505"/>
  <c r="B24" i="5505"/>
  <c r="C20" i="5505"/>
  <c r="B17" i="5505"/>
  <c r="H51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2" i="5509" l="1"/>
  <c r="H18" i="5509"/>
  <c r="H3" i="5509"/>
  <c r="H9" i="5509"/>
  <c r="H22" i="5509"/>
  <c r="H29" i="5509"/>
  <c r="H7" i="5509"/>
  <c r="H12" i="5509"/>
  <c r="H21" i="5509"/>
  <c r="C18" i="5509"/>
  <c r="H6" i="5509"/>
  <c r="H10" i="5509"/>
  <c r="H4" i="5509"/>
  <c r="C19" i="5509"/>
  <c r="H11" i="5507"/>
  <c r="H16" i="5507"/>
  <c r="H29" i="5507"/>
  <c r="H2" i="5511"/>
  <c r="H3" i="5511"/>
  <c r="H20" i="5505"/>
  <c r="H6" i="5507"/>
  <c r="H3" i="5507"/>
  <c r="H4" i="5511"/>
  <c r="H22" i="5511"/>
  <c r="H23" i="5511"/>
  <c r="C17" i="5511"/>
  <c r="B23" i="5511"/>
  <c r="H34" i="5511"/>
  <c r="H42" i="5511"/>
  <c r="H50" i="5511"/>
  <c r="H24" i="5511"/>
  <c r="H21" i="5511"/>
  <c r="H41" i="5511"/>
  <c r="H17" i="5511"/>
  <c r="H12" i="5511"/>
  <c r="H6" i="5511"/>
  <c r="H10" i="5511"/>
  <c r="H19" i="5511"/>
  <c r="H20" i="5511"/>
  <c r="H11" i="5511"/>
  <c r="H37" i="5511"/>
  <c r="H45" i="5511"/>
  <c r="H5" i="5511"/>
  <c r="H9" i="5511"/>
  <c r="C19" i="5511"/>
  <c r="H49" i="5511"/>
  <c r="H8" i="5511"/>
  <c r="H16" i="5511"/>
  <c r="H7" i="5511"/>
  <c r="H29" i="5511"/>
  <c r="H30" i="5511"/>
  <c r="H14" i="5511"/>
  <c r="C18" i="5511"/>
  <c r="H15" i="5511"/>
  <c r="H13" i="5511"/>
  <c r="H33" i="5511"/>
  <c r="H38" i="5511"/>
  <c r="H46" i="5511"/>
  <c r="H52" i="5511"/>
  <c r="H31" i="5511"/>
  <c r="H32" i="5511"/>
  <c r="H25" i="5511"/>
  <c r="H26" i="5511"/>
  <c r="H18" i="5511"/>
  <c r="H35" i="5511"/>
  <c r="H39" i="5511"/>
  <c r="H43" i="5511"/>
  <c r="H47" i="5511"/>
  <c r="H51" i="5511"/>
  <c r="H27" i="5511"/>
  <c r="H36" i="5511"/>
  <c r="H40" i="5511"/>
  <c r="H44" i="5511"/>
  <c r="H48" i="5511"/>
  <c r="H35" i="5509"/>
  <c r="B23" i="5509"/>
  <c r="H42" i="5509"/>
  <c r="H46" i="5509"/>
  <c r="H8" i="5509"/>
  <c r="H20" i="5509"/>
  <c r="H23" i="5509"/>
  <c r="C17" i="5509"/>
  <c r="H14" i="5509"/>
  <c r="H34" i="5509"/>
  <c r="H50" i="5509"/>
  <c r="H33" i="5509"/>
  <c r="H38" i="5509"/>
  <c r="H52" i="5509"/>
  <c r="H30" i="5509"/>
  <c r="H31" i="5509"/>
  <c r="H32" i="5509"/>
  <c r="H25" i="5509"/>
  <c r="H17" i="5509"/>
  <c r="H28" i="5509"/>
  <c r="H39" i="5509"/>
  <c r="H43" i="5509"/>
  <c r="H47" i="5509"/>
  <c r="H51" i="5509"/>
  <c r="H26" i="5509"/>
  <c r="H36" i="5509"/>
  <c r="H40" i="5509"/>
  <c r="H44" i="5509"/>
  <c r="H48" i="5509"/>
  <c r="H19" i="5509"/>
  <c r="H16" i="5509"/>
  <c r="H15" i="5509"/>
  <c r="H24" i="5509"/>
  <c r="H13" i="5509"/>
  <c r="H11" i="5509"/>
  <c r="H27" i="5509"/>
  <c r="H37" i="5509"/>
  <c r="H41" i="5509"/>
  <c r="H45" i="5509"/>
  <c r="H49" i="5509"/>
  <c r="H38" i="5505"/>
  <c r="H42" i="5505"/>
  <c r="H10" i="5505"/>
  <c r="H11" i="5505"/>
  <c r="H6" i="5505"/>
  <c r="H3" i="5505"/>
  <c r="H7" i="5505"/>
  <c r="H4" i="5505"/>
  <c r="H2" i="5505"/>
  <c r="H41" i="5507"/>
  <c r="H42" i="5507"/>
  <c r="H32" i="5507"/>
  <c r="H13" i="5507"/>
  <c r="H49" i="5507"/>
  <c r="H31" i="5507"/>
  <c r="H28" i="5507"/>
  <c r="H2" i="5507"/>
  <c r="H19" i="5507"/>
  <c r="B23" i="5507"/>
  <c r="H26" i="5507"/>
  <c r="H4" i="5507"/>
  <c r="C18" i="5507"/>
  <c r="H35" i="5507"/>
  <c r="H50" i="5507"/>
  <c r="H17" i="5507"/>
  <c r="H9" i="5507"/>
  <c r="H37" i="5507"/>
  <c r="H45" i="5507"/>
  <c r="H5" i="5507"/>
  <c r="H10" i="5507"/>
  <c r="H7" i="5507"/>
  <c r="H21" i="5507"/>
  <c r="C17" i="5507"/>
  <c r="H12" i="5507"/>
  <c r="H25" i="5507"/>
  <c r="H38" i="5507"/>
  <c r="H46" i="5507"/>
  <c r="H52" i="5507"/>
  <c r="H33" i="5507"/>
  <c r="H34" i="5507"/>
  <c r="H20" i="5507"/>
  <c r="H24" i="5507"/>
  <c r="H18" i="5507"/>
  <c r="H30" i="5507"/>
  <c r="H39" i="5507"/>
  <c r="H43" i="5507"/>
  <c r="H47" i="5507"/>
  <c r="H51" i="5507"/>
  <c r="H8" i="5507"/>
  <c r="H27" i="5507"/>
  <c r="H23" i="5507"/>
  <c r="C19" i="5507"/>
  <c r="H14" i="5507"/>
  <c r="H22" i="5507"/>
  <c r="H36" i="5507"/>
  <c r="H40" i="5507"/>
  <c r="H44" i="5507"/>
  <c r="H48" i="5507"/>
  <c r="H46" i="5505"/>
  <c r="H12" i="5505"/>
  <c r="H22" i="5505"/>
  <c r="H35" i="5505"/>
  <c r="H18" i="5505"/>
  <c r="H9" i="5505"/>
  <c r="H50" i="5505"/>
  <c r="H15" i="5505"/>
  <c r="C18" i="5505"/>
  <c r="H14" i="5505"/>
  <c r="H13" i="5505"/>
  <c r="H29" i="5505"/>
  <c r="H39" i="5505"/>
  <c r="H33" i="5505"/>
  <c r="H34" i="5505"/>
  <c r="H19" i="5505"/>
  <c r="C19" i="5505"/>
  <c r="H26" i="5505"/>
  <c r="H43" i="5505"/>
  <c r="H5" i="5505"/>
  <c r="H28" i="5505"/>
  <c r="H24" i="5505"/>
  <c r="H32" i="5505"/>
  <c r="H48" i="5505"/>
  <c r="H8" i="5505"/>
  <c r="H21" i="5505"/>
  <c r="H27" i="5505"/>
  <c r="C17" i="5505"/>
  <c r="H16" i="5505"/>
  <c r="B23" i="5505"/>
  <c r="H25" i="5505"/>
  <c r="H40" i="5505"/>
  <c r="H45" i="5505"/>
  <c r="H49" i="5505"/>
  <c r="H52" i="5505"/>
  <c r="H36" i="5505"/>
  <c r="H37" i="5505"/>
  <c r="H23" i="5505"/>
  <c r="H30" i="5505"/>
  <c r="H17" i="5505"/>
  <c r="H31" i="5505"/>
  <c r="H41" i="5505"/>
  <c r="H44" i="5505"/>
  <c r="H47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<sst xmlns="http://schemas.openxmlformats.org/spreadsheetml/2006/main" count="3593" uniqueCount="276">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</sst>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全体!$K$2:$K$803</c:f>
              <c:numCache>
                <c:formatCode>General</c:formatCode>
                <c:ptCount val="8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</c:numCache>
            </c:numRef>
          </c:xVal>
          <c:yVal>
            <c:numRef>
              <c:f>全体!$L$2:$L$803</c:f>
              <c:numCache>
                <c:formatCode>\+0.0;\-0.0;\±0</c:formatCode>
                <c:ptCount val="80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-11.999999999999986</c:v>
                </c:pt>
                <c:pt idx="740">
                  <c:v>65.100000000000009</c:v>
                </c:pt>
                <c:pt idx="741">
                  <c:v>1.4210854715202004E-14</c:v>
                </c:pt>
                <c:pt idx="742">
                  <c:v>14.700000000000014</c:v>
                </c:pt>
                <c:pt idx="743">
                  <c:v>75.200000000000017</c:v>
                </c:pt>
                <c:pt idx="744">
                  <c:v>1.4210854715202004E-14</c:v>
                </c:pt>
                <c:pt idx="745">
                  <c:v>12.200000000000014</c:v>
                </c:pt>
                <c:pt idx="746">
                  <c:v>55.100000000000009</c:v>
                </c:pt>
                <c:pt idx="747">
                  <c:v>7.1054273576010019E-15</c:v>
                </c:pt>
                <c:pt idx="748">
                  <c:v>9.0000000000000071</c:v>
                </c:pt>
                <c:pt idx="749">
                  <c:v>-37.699999999999996</c:v>
                </c:pt>
                <c:pt idx="750">
                  <c:v>7.1054273576010019E-15</c:v>
                </c:pt>
                <c:pt idx="751">
                  <c:v>-43.199999999999996</c:v>
                </c:pt>
                <c:pt idx="752">
                  <c:v>-39.799999999999997</c:v>
                </c:pt>
                <c:pt idx="753">
                  <c:v>0</c:v>
                </c:pt>
                <c:pt idx="754">
                  <c:v>-53.3</c:v>
                </c:pt>
                <c:pt idx="755">
                  <c:v>-61.599999999999994</c:v>
                </c:pt>
                <c:pt idx="756">
                  <c:v>7.1054273576010019E-15</c:v>
                </c:pt>
                <c:pt idx="757">
                  <c:v>31.700000000000006</c:v>
                </c:pt>
                <c:pt idx="758">
                  <c:v>-10.099999999999991</c:v>
                </c:pt>
                <c:pt idx="759">
                  <c:v>8.8817841970012523E-15</c:v>
                </c:pt>
                <c:pt idx="760">
                  <c:v>42.70000000000001</c:v>
                </c:pt>
                <c:pt idx="761">
                  <c:v>-2.5999999999999872</c:v>
                </c:pt>
                <c:pt idx="762">
                  <c:v>1.2878587085651816E-14</c:v>
                </c:pt>
                <c:pt idx="763">
                  <c:v>62.000000000000014</c:v>
                </c:pt>
                <c:pt idx="764">
                  <c:v>3.9000000000000128</c:v>
                </c:pt>
                <c:pt idx="765">
                  <c:v>1.2878587085651816E-14</c:v>
                </c:pt>
                <c:pt idx="766">
                  <c:v>35.000000000000014</c:v>
                </c:pt>
                <c:pt idx="767">
                  <c:v>-9.5999999999999872</c:v>
                </c:pt>
                <c:pt idx="768">
                  <c:v>1.2434497875801753E-14</c:v>
                </c:pt>
                <c:pt idx="769">
                  <c:v>39.300000000000011</c:v>
                </c:pt>
                <c:pt idx="770">
                  <c:v>-18.999999999999986</c:v>
                </c:pt>
                <c:pt idx="771">
                  <c:v>1.4210854715202004E-14</c:v>
                </c:pt>
                <c:pt idx="772">
                  <c:v>1.1000000000000143</c:v>
                </c:pt>
                <c:pt idx="773">
                  <c:v>-34.699999999999982</c:v>
                </c:pt>
                <c:pt idx="774">
                  <c:v>2.1316282072803006E-14</c:v>
                </c:pt>
                <c:pt idx="775">
                  <c:v>-32.09999999999998</c:v>
                </c:pt>
                <c:pt idx="776">
                  <c:v>-36.399999999999977</c:v>
                </c:pt>
                <c:pt idx="777">
                  <c:v>2.1316282072803006E-14</c:v>
                </c:pt>
                <c:pt idx="778">
                  <c:v>-7.399999999999979</c:v>
                </c:pt>
                <c:pt idx="779">
                  <c:v>-65.999999999999986</c:v>
                </c:pt>
                <c:pt idx="780">
                  <c:v>1.4210854715202004E-14</c:v>
                </c:pt>
                <c:pt idx="781">
                  <c:v>-55.399999999999984</c:v>
                </c:pt>
                <c:pt idx="782">
                  <c:v>-42.59999999999998</c:v>
                </c:pt>
                <c:pt idx="783">
                  <c:v>2.1316282072803006E-14</c:v>
                </c:pt>
                <c:pt idx="784">
                  <c:v>17.800000000000022</c:v>
                </c:pt>
                <c:pt idx="785">
                  <c:v>-49.199999999999974</c:v>
                </c:pt>
                <c:pt idx="786">
                  <c:v>2.8421709430404007E-14</c:v>
                </c:pt>
                <c:pt idx="787">
                  <c:v>-17.89999999999997</c:v>
                </c:pt>
                <c:pt idx="788">
                  <c:v>80.400000000000034</c:v>
                </c:pt>
                <c:pt idx="789">
                  <c:v>2.8421709430404007E-14</c:v>
                </c:pt>
                <c:pt idx="790">
                  <c:v>9.5000000000000284</c:v>
                </c:pt>
                <c:pt idx="791">
                  <c:v>-49.999999999999972</c:v>
                </c:pt>
                <c:pt idx="792">
                  <c:v>2.8421709430404007E-14</c:v>
                </c:pt>
                <c:pt idx="793">
                  <c:v>-55.299999999999969</c:v>
                </c:pt>
                <c:pt idx="794">
                  <c:v>3.5000000000000284</c:v>
                </c:pt>
                <c:pt idx="795">
                  <c:v>2.8421709430404007E-14</c:v>
                </c:pt>
                <c:pt idx="796">
                  <c:v>31.000000000000028</c:v>
                </c:pt>
                <c:pt idx="797">
                  <c:v>-4.9999999999999716</c:v>
                </c:pt>
                <c:pt idx="798">
                  <c:v>2.8421709430404007E-14</c:v>
                </c:pt>
                <c:pt idx="799">
                  <c:v>-35.299999999999969</c:v>
                </c:pt>
                <c:pt idx="800">
                  <c:v>-38.89999999999997</c:v>
                </c:pt>
                <c:pt idx="801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A-4C71-815D-2B16B54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-16.229712858926341</c:v>
                </c:pt>
                <c:pt idx="1">
                  <c:v>-7.6628352490421454</c:v>
                </c:pt>
                <c:pt idx="2">
                  <c:v>12.448132780082988</c:v>
                </c:pt>
                <c:pt idx="3">
                  <c:v>7.5075075075075075</c:v>
                </c:pt>
                <c:pt idx="4">
                  <c:v>-16.920473773265652</c:v>
                </c:pt>
                <c:pt idx="5">
                  <c:v>29.069767441860463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8-4551-99F6-6D1F0055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だいち!$K$2:$K$170</c:f>
              <c:numCache>
                <c:formatCode>General</c:formatCode>
                <c:ptCount val="1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</c:numCache>
            </c:numRef>
          </c:xVal>
          <c:yVal>
            <c:numRef>
              <c:f>だいち!$L$2:$L$170</c:f>
              <c:numCache>
                <c:formatCode>\+0.0;\-0.0;\±0</c:formatCode>
                <c:ptCount val="16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3-42B0-9050-E17A1DE08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1623.2142857142858</c:v>
                </c:pt>
                <c:pt idx="1">
                  <c:v>2044.7852760736196</c:v>
                </c:pt>
                <c:pt idx="2">
                  <c:v>636.12903225806451</c:v>
                </c:pt>
                <c:pt idx="3">
                  <c:v>2252.4475524475524</c:v>
                </c:pt>
                <c:pt idx="4">
                  <c:v>279.36507936507934</c:v>
                </c:pt>
                <c:pt idx="5">
                  <c:v>1073.394495412844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B-4F7D-9458-96BB8C1D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りくと!$K$2:$K$142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xVal>
          <c:yVal>
            <c:numRef>
              <c:f>りくと!$L$2:$L$142</c:f>
              <c:numCache>
                <c:formatCode>\+0.0;\-0.0;\±0</c:formatCode>
                <c:ptCount val="14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7-4EE6-B8AA-6A008220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467.14285714285717</c:v>
                </c:pt>
                <c:pt idx="1">
                  <c:v>-1945.1851851851852</c:v>
                </c:pt>
                <c:pt idx="2">
                  <c:v>291.40625</c:v>
                </c:pt>
                <c:pt idx="3">
                  <c:v>-163.47826086956522</c:v>
                </c:pt>
                <c:pt idx="4">
                  <c:v>720.79207920792078</c:v>
                </c:pt>
                <c:pt idx="5">
                  <c:v>-251.08695652173913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999-855D-A92B6A90B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ただ!$K$2:$K$118</c:f>
              <c:numCache>
                <c:formatCode>General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ただ!$L$2:$L$118</c:f>
              <c:numCache>
                <c:formatCode>\+0.0;\-0.0;\±0</c:formatCode>
                <c:ptCount val="11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3-4B04-A59F-1AE3EB13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-1783.6206896551723</c:v>
                </c:pt>
                <c:pt idx="1">
                  <c:v>-1292.9203539823009</c:v>
                </c:pt>
                <c:pt idx="2">
                  <c:v>-2.8571428571428572</c:v>
                </c:pt>
                <c:pt idx="3">
                  <c:v>-3487.2340425531916</c:v>
                </c:pt>
                <c:pt idx="4">
                  <c:v>84.523809523809518</c:v>
                </c:pt>
                <c:pt idx="5">
                  <c:v>-281.08108108108109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E-4091-84E1-E241C0848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れんたろう!$L$2:$L$98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F-4B1A-9B65-B1ABF197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-365.625</c:v>
                </c:pt>
                <c:pt idx="1">
                  <c:v>677.65957446808511</c:v>
                </c:pt>
                <c:pt idx="2">
                  <c:v>1677.6470588235295</c:v>
                </c:pt>
                <c:pt idx="3">
                  <c:v>58.666666666666664</c:v>
                </c:pt>
                <c:pt idx="4">
                  <c:v>-1990.909090909091</c:v>
                </c:pt>
                <c:pt idx="5">
                  <c:v>-369.49152542372883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9-45B2-BB12-3BDD26488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たかの!$L$2:$L$92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D-44A4-B773-E8F7E984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216.66666666666666</c:v>
                </c:pt>
                <c:pt idx="1">
                  <c:v>-1323.3333333333333</c:v>
                </c:pt>
                <c:pt idx="2">
                  <c:v>-870</c:v>
                </c:pt>
                <c:pt idx="3">
                  <c:v>1230.2631578947369</c:v>
                </c:pt>
                <c:pt idx="4">
                  <c:v>-107.14285714285714</c:v>
                </c:pt>
                <c:pt idx="5">
                  <c:v>-178.33333333333334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3-45E6-99C5-FD6260EC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ぱぱ!$L$2:$L$54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9-4A39-8E16-544D8F67B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-2951.9230769230771</c:v>
                </c:pt>
                <c:pt idx="1">
                  <c:v>1819.2307692307693</c:v>
                </c:pt>
                <c:pt idx="2">
                  <c:v>-220.83333333333334</c:v>
                </c:pt>
                <c:pt idx="3">
                  <c:v>-4015.5555555555557</c:v>
                </c:pt>
                <c:pt idx="4">
                  <c:v>-582.5</c:v>
                </c:pt>
                <c:pt idx="5">
                  <c:v>-55.263157894736842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F-4D1F-BA66-E320672F5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431-A765-D862AB9F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1144.047619047619</c:v>
                </c:pt>
                <c:pt idx="1">
                  <c:v>364.19753086419752</c:v>
                </c:pt>
                <c:pt idx="2">
                  <c:v>-366.2162162162162</c:v>
                </c:pt>
                <c:pt idx="3">
                  <c:v>1782.8571428571429</c:v>
                </c:pt>
                <c:pt idx="4">
                  <c:v>-1730.1587301587301</c:v>
                </c:pt>
                <c:pt idx="5">
                  <c:v>247.05882352941177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D-408F-9559-D6A00F3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6-4174-BF98-EFF75DCB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F-4E21-B010-126EADE57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いっしー!$L$2:$L$24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F-4AC1-8E86-2F1E8926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-5186.363636363636</c:v>
                </c:pt>
                <c:pt idx="2">
                  <c:v>-300</c:v>
                </c:pt>
                <c:pt idx="3">
                  <c:v>-3383.3333333333335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1-4F0F-B590-1E273FE8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ほたに!$L$2:$L$20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41A2-9BAD-60FC80502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-1616.6666666666667</c:v>
                </c:pt>
                <c:pt idx="1">
                  <c:v>2655.5555555555557</c:v>
                </c:pt>
                <c:pt idx="2">
                  <c:v>-7358.8235294117649</c:v>
                </c:pt>
                <c:pt idx="3">
                  <c:v>-1135.2941176470588</c:v>
                </c:pt>
                <c:pt idx="4">
                  <c:v>10135.714285714286</c:v>
                </c:pt>
                <c:pt idx="5">
                  <c:v>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5-4D72-A792-5329E588D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1-42DF-966C-DE75A653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8-4715-8FA1-A1DDC601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9-4B6E-AAEB-57F9B001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6-4CA0-94EB-9DABE53C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82-46D4-9A25-0099D123C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-5260</c:v>
                </c:pt>
                <c:pt idx="1">
                  <c:v>-3400</c:v>
                </c:pt>
                <c:pt idx="2">
                  <c:v>150</c:v>
                </c:pt>
                <c:pt idx="3">
                  <c:v>5000</c:v>
                </c:pt>
                <c:pt idx="4">
                  <c:v>-2700</c:v>
                </c:pt>
                <c:pt idx="5">
                  <c:v>-5350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0-4519-80C9-0FAF9FB62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ただ2!$B$3:$B$119</c:f>
              <c:numCache>
                <c:formatCode>\+0.0;\-0.0;\±0</c:formatCode>
                <c:ptCount val="11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ただ2!$C$3:$C$119</c:f>
              <c:numCache>
                <c:formatCode>\+0.0;\-0.0;\±0</c:formatCode>
                <c:ptCount val="117"/>
                <c:pt idx="1">
                  <c:v>-40.4</c:v>
                </c:pt>
                <c:pt idx="2">
                  <c:v>-1.6999999999999993</c:v>
                </c:pt>
                <c:pt idx="3">
                  <c:v>-7.6999999999999993</c:v>
                </c:pt>
                <c:pt idx="4">
                  <c:v>-7.85</c:v>
                </c:pt>
                <c:pt idx="5">
                  <c:v>-6.4399999999999995</c:v>
                </c:pt>
                <c:pt idx="6">
                  <c:v>-9.75</c:v>
                </c:pt>
                <c:pt idx="7">
                  <c:v>-16.685714285714287</c:v>
                </c:pt>
                <c:pt idx="8">
                  <c:v>-9.9499999999999993</c:v>
                </c:pt>
                <c:pt idx="9">
                  <c:v>-14.177777777777777</c:v>
                </c:pt>
                <c:pt idx="10">
                  <c:v>-23.139999999999997</c:v>
                </c:pt>
                <c:pt idx="11">
                  <c:v>-27.809090909090909</c:v>
                </c:pt>
                <c:pt idx="12">
                  <c:v>-28.125</c:v>
                </c:pt>
                <c:pt idx="13">
                  <c:v>-28.392307692307693</c:v>
                </c:pt>
                <c:pt idx="14">
                  <c:v>-28.185714285714287</c:v>
                </c:pt>
                <c:pt idx="15">
                  <c:v>-28.3</c:v>
                </c:pt>
                <c:pt idx="16">
                  <c:v>-29.5</c:v>
                </c:pt>
                <c:pt idx="17">
                  <c:v>-31.664705882352937</c:v>
                </c:pt>
                <c:pt idx="18">
                  <c:v>-29.844444444444441</c:v>
                </c:pt>
                <c:pt idx="19">
                  <c:v>-29.973684210526311</c:v>
                </c:pt>
                <c:pt idx="20">
                  <c:v>-31.649999999999995</c:v>
                </c:pt>
                <c:pt idx="21">
                  <c:v>-29.976190476190471</c:v>
                </c:pt>
                <c:pt idx="22">
                  <c:v>-30.463636363636361</c:v>
                </c:pt>
                <c:pt idx="23">
                  <c:v>-32.052173913043475</c:v>
                </c:pt>
                <c:pt idx="24">
                  <c:v>-34.045833333333327</c:v>
                </c:pt>
                <c:pt idx="25">
                  <c:v>-31.347999999999999</c:v>
                </c:pt>
                <c:pt idx="26">
                  <c:v>-31.480769230769226</c:v>
                </c:pt>
                <c:pt idx="27">
                  <c:v>-32.451851851851849</c:v>
                </c:pt>
                <c:pt idx="28">
                  <c:v>-33.253571428571426</c:v>
                </c:pt>
                <c:pt idx="29">
                  <c:v>-31.334482758620688</c:v>
                </c:pt>
                <c:pt idx="30">
                  <c:v>-27.56</c:v>
                </c:pt>
                <c:pt idx="31">
                  <c:v>-26.958064516129031</c:v>
                </c:pt>
                <c:pt idx="32">
                  <c:v>-26.209374999999998</c:v>
                </c:pt>
                <c:pt idx="33">
                  <c:v>-26.61212121212121</c:v>
                </c:pt>
                <c:pt idx="34">
                  <c:v>-24.505882352941175</c:v>
                </c:pt>
                <c:pt idx="35">
                  <c:v>-23.302857142857139</c:v>
                </c:pt>
                <c:pt idx="36">
                  <c:v>-21.763888888888886</c:v>
                </c:pt>
                <c:pt idx="37">
                  <c:v>-22.348648648648645</c:v>
                </c:pt>
                <c:pt idx="38">
                  <c:v>-21.84210526315789</c:v>
                </c:pt>
                <c:pt idx="39">
                  <c:v>-20.161538461538459</c:v>
                </c:pt>
                <c:pt idx="40">
                  <c:v>-20.514999999999993</c:v>
                </c:pt>
                <c:pt idx="41">
                  <c:v>-20.963414634146336</c:v>
                </c:pt>
                <c:pt idx="42">
                  <c:v>-19.73571428571428</c:v>
                </c:pt>
                <c:pt idx="43">
                  <c:v>-18.306976744186041</c:v>
                </c:pt>
                <c:pt idx="44">
                  <c:v>-16.927272727272722</c:v>
                </c:pt>
                <c:pt idx="45">
                  <c:v>-17.442222222222217</c:v>
                </c:pt>
                <c:pt idx="46">
                  <c:v>-16.063043478260862</c:v>
                </c:pt>
                <c:pt idx="47">
                  <c:v>-15.765957446808505</c:v>
                </c:pt>
                <c:pt idx="48">
                  <c:v>-14.570833333333328</c:v>
                </c:pt>
                <c:pt idx="49">
                  <c:v>-14.593877551020404</c:v>
                </c:pt>
                <c:pt idx="50">
                  <c:v>-15.485999999999997</c:v>
                </c:pt>
                <c:pt idx="51">
                  <c:v>-16.290196078431368</c:v>
                </c:pt>
                <c:pt idx="52">
                  <c:v>-16.107692307692304</c:v>
                </c:pt>
                <c:pt idx="53">
                  <c:v>-15.918867924528298</c:v>
                </c:pt>
                <c:pt idx="54">
                  <c:v>-16.720370370370368</c:v>
                </c:pt>
                <c:pt idx="55">
                  <c:v>-15.185454545454542</c:v>
                </c:pt>
                <c:pt idx="56">
                  <c:v>-15.458928571428569</c:v>
                </c:pt>
                <c:pt idx="57">
                  <c:v>-15.061403508771926</c:v>
                </c:pt>
                <c:pt idx="58">
                  <c:v>-15.125862068965512</c:v>
                </c:pt>
                <c:pt idx="59">
                  <c:v>-15.944067796610165</c:v>
                </c:pt>
                <c:pt idx="60">
                  <c:v>-16.016666666666662</c:v>
                </c:pt>
                <c:pt idx="61">
                  <c:v>-15.150819672131142</c:v>
                </c:pt>
                <c:pt idx="62">
                  <c:v>-15.646774193548382</c:v>
                </c:pt>
                <c:pt idx="63">
                  <c:v>-16.080952380952375</c:v>
                </c:pt>
                <c:pt idx="64">
                  <c:v>-16.501562499999995</c:v>
                </c:pt>
                <c:pt idx="65">
                  <c:v>-16.663076923076918</c:v>
                </c:pt>
                <c:pt idx="66">
                  <c:v>-17.015151515151512</c:v>
                </c:pt>
                <c:pt idx="67">
                  <c:v>-16.773134328358204</c:v>
                </c:pt>
                <c:pt idx="68">
                  <c:v>-15.685294117647054</c:v>
                </c:pt>
                <c:pt idx="69">
                  <c:v>-16.163768115942027</c:v>
                </c:pt>
                <c:pt idx="70">
                  <c:v>-16.728571428571424</c:v>
                </c:pt>
                <c:pt idx="71">
                  <c:v>-15.921126760563379</c:v>
                </c:pt>
                <c:pt idx="72">
                  <c:v>-15.690277777777775</c:v>
                </c:pt>
                <c:pt idx="73">
                  <c:v>-14.953424657534246</c:v>
                </c:pt>
                <c:pt idx="74">
                  <c:v>-15.535135135135134</c:v>
                </c:pt>
                <c:pt idx="75">
                  <c:v>-15.305333333333332</c:v>
                </c:pt>
                <c:pt idx="76">
                  <c:v>-15.57894736842105</c:v>
                </c:pt>
                <c:pt idx="77">
                  <c:v>-14.753246753246751</c:v>
                </c:pt>
                <c:pt idx="78">
                  <c:v>-14.998717948717948</c:v>
                </c:pt>
                <c:pt idx="79">
                  <c:v>-15.526582278481012</c:v>
                </c:pt>
                <c:pt idx="80">
                  <c:v>-15.012499999999999</c:v>
                </c:pt>
                <c:pt idx="81">
                  <c:v>-15.625925925925927</c:v>
                </c:pt>
                <c:pt idx="82">
                  <c:v>-15.453658536585367</c:v>
                </c:pt>
                <c:pt idx="83">
                  <c:v>-15.308433734939761</c:v>
                </c:pt>
                <c:pt idx="84">
                  <c:v>-15.057142857142859</c:v>
                </c:pt>
                <c:pt idx="85">
                  <c:v>-15.554117647058826</c:v>
                </c:pt>
                <c:pt idx="86">
                  <c:v>-14.791860465116281</c:v>
                </c:pt>
                <c:pt idx="87">
                  <c:v>-14.756321839080462</c:v>
                </c:pt>
                <c:pt idx="88">
                  <c:v>-14.103409090909093</c:v>
                </c:pt>
                <c:pt idx="89">
                  <c:v>-14.47303370786517</c:v>
                </c:pt>
                <c:pt idx="90">
                  <c:v>-14.713333333333335</c:v>
                </c:pt>
                <c:pt idx="91">
                  <c:v>-13.770329670329671</c:v>
                </c:pt>
                <c:pt idx="92">
                  <c:v>-14.042391304347827</c:v>
                </c:pt>
                <c:pt idx="93">
                  <c:v>-14.504301075268819</c:v>
                </c:pt>
                <c:pt idx="94">
                  <c:v>-13.8968085106383</c:v>
                </c:pt>
                <c:pt idx="95">
                  <c:v>-14.343157894736844</c:v>
                </c:pt>
                <c:pt idx="96">
                  <c:v>-13.914583333333335</c:v>
                </c:pt>
                <c:pt idx="97">
                  <c:v>-13.395876288659794</c:v>
                </c:pt>
                <c:pt idx="98">
                  <c:v>-13.323469387755102</c:v>
                </c:pt>
                <c:pt idx="99">
                  <c:v>-12.803030303030303</c:v>
                </c:pt>
                <c:pt idx="100">
                  <c:v>-12.552999999999999</c:v>
                </c:pt>
                <c:pt idx="101">
                  <c:v>-12.339603960396039</c:v>
                </c:pt>
                <c:pt idx="102">
                  <c:v>-11.828431372549019</c:v>
                </c:pt>
                <c:pt idx="103">
                  <c:v>-11.115533980582525</c:v>
                </c:pt>
                <c:pt idx="104">
                  <c:v>-10.911538461538463</c:v>
                </c:pt>
                <c:pt idx="105">
                  <c:v>-10.844761904761908</c:v>
                </c:pt>
                <c:pt idx="106">
                  <c:v>-10.563207547169814</c:v>
                </c:pt>
                <c:pt idx="107">
                  <c:v>-10.140186915887853</c:v>
                </c:pt>
                <c:pt idx="108">
                  <c:v>-9.7092592592592606</c:v>
                </c:pt>
                <c:pt idx="109">
                  <c:v>-9.0146788990825701</c:v>
                </c:pt>
                <c:pt idx="110">
                  <c:v>-8.5454545454545467</c:v>
                </c:pt>
                <c:pt idx="111">
                  <c:v>-8.0252252252252259</c:v>
                </c:pt>
                <c:pt idx="112">
                  <c:v>-8.6714285714285726</c:v>
                </c:pt>
                <c:pt idx="113">
                  <c:v>-8.1522123893805318</c:v>
                </c:pt>
                <c:pt idx="114">
                  <c:v>-8.1114035087719305</c:v>
                </c:pt>
                <c:pt idx="115">
                  <c:v>-7.9973913043478264</c:v>
                </c:pt>
                <c:pt idx="116">
                  <c:v>-7.5931034482758628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48278330886892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ただ2!$D$3:$D$119</c:f>
              <c:numCache>
                <c:formatCode>0.00\ "位"</c:formatCode>
                <c:ptCount val="117"/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2.1666666666666665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2.5652173913043477</c:v>
                </c:pt>
                <c:pt idx="24">
                  <c:v>2.5833333333333335</c:v>
                </c:pt>
                <c:pt idx="25">
                  <c:v>2.52</c:v>
                </c:pt>
                <c:pt idx="26">
                  <c:v>2.5384615384615383</c:v>
                </c:pt>
                <c:pt idx="27">
                  <c:v>2.5555555555555554</c:v>
                </c:pt>
                <c:pt idx="28">
                  <c:v>2.5714285714285716</c:v>
                </c:pt>
                <c:pt idx="29">
                  <c:v>2.5172413793103448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2.4375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2.4</c:v>
                </c:pt>
                <c:pt idx="36">
                  <c:v>2.3611111111111112</c:v>
                </c:pt>
                <c:pt idx="37">
                  <c:v>2.3783783783783785</c:v>
                </c:pt>
                <c:pt idx="38">
                  <c:v>2.3684210526315788</c:v>
                </c:pt>
                <c:pt idx="39">
                  <c:v>2.3333333333333335</c:v>
                </c:pt>
                <c:pt idx="40">
                  <c:v>2.35</c:v>
                </c:pt>
                <c:pt idx="41">
                  <c:v>2.3658536585365852</c:v>
                </c:pt>
                <c:pt idx="42">
                  <c:v>2.3333333333333335</c:v>
                </c:pt>
                <c:pt idx="43">
                  <c:v>2.3023255813953489</c:v>
                </c:pt>
                <c:pt idx="44">
                  <c:v>2.2727272727272729</c:v>
                </c:pt>
                <c:pt idx="45">
                  <c:v>2.2888888888888888</c:v>
                </c:pt>
                <c:pt idx="46">
                  <c:v>2.2608695652173911</c:v>
                </c:pt>
                <c:pt idx="47">
                  <c:v>2.2553191489361701</c:v>
                </c:pt>
                <c:pt idx="48">
                  <c:v>2.2291666666666665</c:v>
                </c:pt>
                <c:pt idx="49">
                  <c:v>2.2244897959183674</c:v>
                </c:pt>
                <c:pt idx="50">
                  <c:v>2.2400000000000002</c:v>
                </c:pt>
                <c:pt idx="51">
                  <c:v>2.2549019607843137</c:v>
                </c:pt>
                <c:pt idx="52">
                  <c:v>2.25</c:v>
                </c:pt>
                <c:pt idx="53">
                  <c:v>2.2452830188679247</c:v>
                </c:pt>
                <c:pt idx="54">
                  <c:v>2.2592592592592591</c:v>
                </c:pt>
                <c:pt idx="55">
                  <c:v>2.2363636363636363</c:v>
                </c:pt>
                <c:pt idx="56">
                  <c:v>2.25</c:v>
                </c:pt>
                <c:pt idx="57">
                  <c:v>2.2456140350877192</c:v>
                </c:pt>
                <c:pt idx="58">
                  <c:v>2.2413793103448274</c:v>
                </c:pt>
                <c:pt idx="59">
                  <c:v>2.2542372881355934</c:v>
                </c:pt>
                <c:pt idx="60">
                  <c:v>2.25</c:v>
                </c:pt>
                <c:pt idx="61">
                  <c:v>2.2295081967213113</c:v>
                </c:pt>
                <c:pt idx="62">
                  <c:v>2.2419354838709675</c:v>
                </c:pt>
                <c:pt idx="63">
                  <c:v>2.253968253968254</c:v>
                </c:pt>
                <c:pt idx="64">
                  <c:v>2.265625</c:v>
                </c:pt>
                <c:pt idx="65">
                  <c:v>2.2769230769230768</c:v>
                </c:pt>
                <c:pt idx="66">
                  <c:v>2.2878787878787881</c:v>
                </c:pt>
                <c:pt idx="67">
                  <c:v>2.283582089552239</c:v>
                </c:pt>
                <c:pt idx="68">
                  <c:v>2.2647058823529411</c:v>
                </c:pt>
                <c:pt idx="69">
                  <c:v>2.2753623188405796</c:v>
                </c:pt>
                <c:pt idx="70">
                  <c:v>2.2857142857142856</c:v>
                </c:pt>
                <c:pt idx="71">
                  <c:v>2.267605633802817</c:v>
                </c:pt>
                <c:pt idx="72">
                  <c:v>2.2638888888888888</c:v>
                </c:pt>
                <c:pt idx="73">
                  <c:v>2.2465753424657535</c:v>
                </c:pt>
                <c:pt idx="74">
                  <c:v>2.2567567567567566</c:v>
                </c:pt>
                <c:pt idx="75">
                  <c:v>2.2533333333333334</c:v>
                </c:pt>
                <c:pt idx="76">
                  <c:v>2.263157894736842</c:v>
                </c:pt>
                <c:pt idx="77">
                  <c:v>2.2467532467532467</c:v>
                </c:pt>
                <c:pt idx="78">
                  <c:v>2.2564102564102564</c:v>
                </c:pt>
                <c:pt idx="79">
                  <c:v>2.2658227848101267</c:v>
                </c:pt>
                <c:pt idx="80">
                  <c:v>2.25</c:v>
                </c:pt>
                <c:pt idx="81">
                  <c:v>2.2592592592592591</c:v>
                </c:pt>
                <c:pt idx="82">
                  <c:v>2.2560975609756095</c:v>
                </c:pt>
                <c:pt idx="83">
                  <c:v>2.2530120481927711</c:v>
                </c:pt>
                <c:pt idx="84">
                  <c:v>2.25</c:v>
                </c:pt>
                <c:pt idx="85">
                  <c:v>2.2588235294117647</c:v>
                </c:pt>
                <c:pt idx="86">
                  <c:v>2.2441860465116279</c:v>
                </c:pt>
                <c:pt idx="87">
                  <c:v>2.2413793103448274</c:v>
                </c:pt>
                <c:pt idx="88">
                  <c:v>2.2272727272727271</c:v>
                </c:pt>
                <c:pt idx="89">
                  <c:v>2.2359550561797752</c:v>
                </c:pt>
                <c:pt idx="90">
                  <c:v>2.2444444444444445</c:v>
                </c:pt>
                <c:pt idx="91">
                  <c:v>2.2307692307692308</c:v>
                </c:pt>
                <c:pt idx="92">
                  <c:v>2.2391304347826089</c:v>
                </c:pt>
                <c:pt idx="93">
                  <c:v>2.247311827956989</c:v>
                </c:pt>
                <c:pt idx="94">
                  <c:v>2.2340425531914891</c:v>
                </c:pt>
                <c:pt idx="95">
                  <c:v>2.2421052631578946</c:v>
                </c:pt>
                <c:pt idx="96">
                  <c:v>2.2291666666666665</c:v>
                </c:pt>
                <c:pt idx="97">
                  <c:v>2.2164948453608249</c:v>
                </c:pt>
                <c:pt idx="98">
                  <c:v>2.2142857142857144</c:v>
                </c:pt>
                <c:pt idx="99">
                  <c:v>2.202020202020202</c:v>
                </c:pt>
                <c:pt idx="100">
                  <c:v>2.2000000000000002</c:v>
                </c:pt>
                <c:pt idx="101">
                  <c:v>2.1980198019801982</c:v>
                </c:pt>
                <c:pt idx="102">
                  <c:v>2.1862745098039214</c:v>
                </c:pt>
                <c:pt idx="103">
                  <c:v>2.174757281553398</c:v>
                </c:pt>
                <c:pt idx="104">
                  <c:v>2.1730769230769229</c:v>
                </c:pt>
                <c:pt idx="105">
                  <c:v>2.1714285714285713</c:v>
                </c:pt>
                <c:pt idx="106">
                  <c:v>2.1698113207547172</c:v>
                </c:pt>
                <c:pt idx="107">
                  <c:v>2.1588785046728973</c:v>
                </c:pt>
                <c:pt idx="108">
                  <c:v>2.1481481481481484</c:v>
                </c:pt>
                <c:pt idx="109">
                  <c:v>2.1376146788990824</c:v>
                </c:pt>
                <c:pt idx="110">
                  <c:v>2.1272727272727274</c:v>
                </c:pt>
                <c:pt idx="111">
                  <c:v>2.1171171171171173</c:v>
                </c:pt>
                <c:pt idx="112">
                  <c:v>2.125</c:v>
                </c:pt>
                <c:pt idx="113">
                  <c:v>2.1150442477876106</c:v>
                </c:pt>
                <c:pt idx="114">
                  <c:v>2.1140350877192984</c:v>
                </c:pt>
                <c:pt idx="115">
                  <c:v>2.1130434782608694</c:v>
                </c:pt>
                <c:pt idx="116">
                  <c:v>2.103448275862069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ただ2!$E$3:$E$119</c:f>
              <c:numCache>
                <c:formatCode>0.0%</c:formatCode>
                <c:ptCount val="11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0.21428571428571427</c:v>
                </c:pt>
                <c:pt idx="43">
                  <c:v>0.23255813953488372</c:v>
                </c:pt>
                <c:pt idx="44">
                  <c:v>0.25</c:v>
                </c:pt>
                <c:pt idx="45">
                  <c:v>0.24444444444444444</c:v>
                </c:pt>
                <c:pt idx="46">
                  <c:v>0.2608695652173913</c:v>
                </c:pt>
                <c:pt idx="47">
                  <c:v>0.25531914893617019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0.25490196078431371</c:v>
                </c:pt>
                <c:pt idx="52">
                  <c:v>0.25</c:v>
                </c:pt>
                <c:pt idx="53">
                  <c:v>0.24528301886792453</c:v>
                </c:pt>
                <c:pt idx="54">
                  <c:v>0.24074074074074073</c:v>
                </c:pt>
                <c:pt idx="55">
                  <c:v>0.25454545454545452</c:v>
                </c:pt>
                <c:pt idx="56">
                  <c:v>0.25</c:v>
                </c:pt>
                <c:pt idx="57">
                  <c:v>0.24561403508771928</c:v>
                </c:pt>
                <c:pt idx="58">
                  <c:v>0.2413793103448276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0.24590163934426229</c:v>
                </c:pt>
                <c:pt idx="62">
                  <c:v>0.24193548387096775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0.23529411764705882</c:v>
                </c:pt>
                <c:pt idx="69">
                  <c:v>0.2318840579710145</c:v>
                </c:pt>
                <c:pt idx="70">
                  <c:v>0.22857142857142856</c:v>
                </c:pt>
                <c:pt idx="71">
                  <c:v>0.23943661971830985</c:v>
                </c:pt>
                <c:pt idx="72">
                  <c:v>0.2361111111111111</c:v>
                </c:pt>
                <c:pt idx="73">
                  <c:v>0.24657534246575341</c:v>
                </c:pt>
                <c:pt idx="74">
                  <c:v>0.24324324324324326</c:v>
                </c:pt>
                <c:pt idx="75">
                  <c:v>0.24</c:v>
                </c:pt>
                <c:pt idx="76">
                  <c:v>0.23684210526315788</c:v>
                </c:pt>
                <c:pt idx="77">
                  <c:v>0.24675324675324675</c:v>
                </c:pt>
                <c:pt idx="78">
                  <c:v>0.24358974358974358</c:v>
                </c:pt>
                <c:pt idx="79">
                  <c:v>0.24050632911392406</c:v>
                </c:pt>
                <c:pt idx="80">
                  <c:v>0.25</c:v>
                </c:pt>
                <c:pt idx="81">
                  <c:v>0.24691358024691357</c:v>
                </c:pt>
                <c:pt idx="82">
                  <c:v>0.24390243902439024</c:v>
                </c:pt>
                <c:pt idx="83">
                  <c:v>0.24096385542168675</c:v>
                </c:pt>
                <c:pt idx="84">
                  <c:v>0.23809523809523808</c:v>
                </c:pt>
                <c:pt idx="85">
                  <c:v>0.23529411764705882</c:v>
                </c:pt>
                <c:pt idx="86">
                  <c:v>0.2441860465116279</c:v>
                </c:pt>
                <c:pt idx="87">
                  <c:v>0.2413793103448276</c:v>
                </c:pt>
                <c:pt idx="88">
                  <c:v>0.25</c:v>
                </c:pt>
                <c:pt idx="89">
                  <c:v>0.24719101123595505</c:v>
                </c:pt>
                <c:pt idx="90">
                  <c:v>0.24444444444444444</c:v>
                </c:pt>
                <c:pt idx="91">
                  <c:v>0.25274725274725274</c:v>
                </c:pt>
                <c:pt idx="92">
                  <c:v>0.25</c:v>
                </c:pt>
                <c:pt idx="93">
                  <c:v>0.24731182795698925</c:v>
                </c:pt>
                <c:pt idx="94">
                  <c:v>0.25531914893617019</c:v>
                </c:pt>
                <c:pt idx="95">
                  <c:v>0.25263157894736843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0.27</c:v>
                </c:pt>
                <c:pt idx="101">
                  <c:v>0.26732673267326734</c:v>
                </c:pt>
                <c:pt idx="102">
                  <c:v>0.27450980392156865</c:v>
                </c:pt>
                <c:pt idx="103">
                  <c:v>0.28155339805825241</c:v>
                </c:pt>
                <c:pt idx="104">
                  <c:v>0.27884615384615385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0.28037383177570091</c:v>
                </c:pt>
                <c:pt idx="108">
                  <c:v>0.28703703703703703</c:v>
                </c:pt>
                <c:pt idx="109">
                  <c:v>0.29357798165137616</c:v>
                </c:pt>
                <c:pt idx="110">
                  <c:v>0.3</c:v>
                </c:pt>
                <c:pt idx="111">
                  <c:v>0.30630630630630629</c:v>
                </c:pt>
                <c:pt idx="112">
                  <c:v>0.30357142857142855</c:v>
                </c:pt>
                <c:pt idx="113">
                  <c:v>0.30973451327433627</c:v>
                </c:pt>
                <c:pt idx="114">
                  <c:v>0.30701754385964913</c:v>
                </c:pt>
                <c:pt idx="115">
                  <c:v>0.30434782608695654</c:v>
                </c:pt>
                <c:pt idx="116">
                  <c:v>0.31034482758620691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ただ2!$F$3:$F$119</c:f>
              <c:numCache>
                <c:formatCode>0.0%</c:formatCode>
                <c:ptCount val="11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0.61538461538461542</c:v>
                </c:pt>
                <c:pt idx="14">
                  <c:v>0.5714285714285714</c:v>
                </c:pt>
                <c:pt idx="15">
                  <c:v>0.6</c:v>
                </c:pt>
                <c:pt idx="16">
                  <c:v>0.625</c:v>
                </c:pt>
                <c:pt idx="17">
                  <c:v>0.6470588235294118</c:v>
                </c:pt>
                <c:pt idx="18">
                  <c:v>0.61111111111111116</c:v>
                </c:pt>
                <c:pt idx="19">
                  <c:v>0.63157894736842102</c:v>
                </c:pt>
                <c:pt idx="20">
                  <c:v>0.65</c:v>
                </c:pt>
                <c:pt idx="21">
                  <c:v>0.61904761904761907</c:v>
                </c:pt>
                <c:pt idx="22">
                  <c:v>0.63636363636363635</c:v>
                </c:pt>
                <c:pt idx="23">
                  <c:v>0.65217391304347827</c:v>
                </c:pt>
                <c:pt idx="24">
                  <c:v>0.66666666666666663</c:v>
                </c:pt>
                <c:pt idx="25">
                  <c:v>0.64</c:v>
                </c:pt>
                <c:pt idx="26">
                  <c:v>0.65384615384615385</c:v>
                </c:pt>
                <c:pt idx="27">
                  <c:v>0.66666666666666663</c:v>
                </c:pt>
                <c:pt idx="28">
                  <c:v>0.6785714285714286</c:v>
                </c:pt>
                <c:pt idx="29">
                  <c:v>0.65517241379310343</c:v>
                </c:pt>
                <c:pt idx="30">
                  <c:v>0.6333333333333333</c:v>
                </c:pt>
                <c:pt idx="31">
                  <c:v>0.61290322580645162</c:v>
                </c:pt>
                <c:pt idx="32">
                  <c:v>0.59375</c:v>
                </c:pt>
                <c:pt idx="33">
                  <c:v>0.60606060606060608</c:v>
                </c:pt>
                <c:pt idx="34">
                  <c:v>0.58823529411764708</c:v>
                </c:pt>
                <c:pt idx="35">
                  <c:v>0.5714285714285714</c:v>
                </c:pt>
                <c:pt idx="36">
                  <c:v>0.55555555555555558</c:v>
                </c:pt>
                <c:pt idx="37">
                  <c:v>0.56756756756756754</c:v>
                </c:pt>
                <c:pt idx="38">
                  <c:v>0.55263157894736847</c:v>
                </c:pt>
                <c:pt idx="39">
                  <c:v>0.53846153846153844</c:v>
                </c:pt>
                <c:pt idx="40">
                  <c:v>0.55000000000000004</c:v>
                </c:pt>
                <c:pt idx="41">
                  <c:v>0.56097560975609762</c:v>
                </c:pt>
                <c:pt idx="42">
                  <c:v>0.54761904761904767</c:v>
                </c:pt>
                <c:pt idx="43">
                  <c:v>0.53488372093023251</c:v>
                </c:pt>
                <c:pt idx="44">
                  <c:v>0.52272727272727271</c:v>
                </c:pt>
                <c:pt idx="45">
                  <c:v>0.53333333333333333</c:v>
                </c:pt>
                <c:pt idx="46">
                  <c:v>0.52173913043478259</c:v>
                </c:pt>
                <c:pt idx="47">
                  <c:v>0.51063829787234039</c:v>
                </c:pt>
                <c:pt idx="48">
                  <c:v>0.5</c:v>
                </c:pt>
                <c:pt idx="49">
                  <c:v>0.48979591836734693</c:v>
                </c:pt>
                <c:pt idx="50">
                  <c:v>0.5</c:v>
                </c:pt>
                <c:pt idx="51">
                  <c:v>0.50980392156862742</c:v>
                </c:pt>
                <c:pt idx="52">
                  <c:v>0.5</c:v>
                </c:pt>
                <c:pt idx="53">
                  <c:v>0.49056603773584906</c:v>
                </c:pt>
                <c:pt idx="54">
                  <c:v>0.5</c:v>
                </c:pt>
                <c:pt idx="55">
                  <c:v>0.49090909090909091</c:v>
                </c:pt>
                <c:pt idx="56">
                  <c:v>0.5</c:v>
                </c:pt>
                <c:pt idx="57">
                  <c:v>0.49122807017543857</c:v>
                </c:pt>
                <c:pt idx="58">
                  <c:v>0.48275862068965519</c:v>
                </c:pt>
                <c:pt idx="59">
                  <c:v>0.49152542372881358</c:v>
                </c:pt>
                <c:pt idx="60">
                  <c:v>0.48333333333333334</c:v>
                </c:pt>
                <c:pt idx="61">
                  <c:v>0.47540983606557374</c:v>
                </c:pt>
                <c:pt idx="62">
                  <c:v>0.4838709677419355</c:v>
                </c:pt>
                <c:pt idx="63">
                  <c:v>0.49206349206349204</c:v>
                </c:pt>
                <c:pt idx="64">
                  <c:v>0.5</c:v>
                </c:pt>
                <c:pt idx="65">
                  <c:v>0.50769230769230766</c:v>
                </c:pt>
                <c:pt idx="66">
                  <c:v>0.51515151515151514</c:v>
                </c:pt>
                <c:pt idx="67">
                  <c:v>0.5074626865671642</c:v>
                </c:pt>
                <c:pt idx="68">
                  <c:v>0.5</c:v>
                </c:pt>
                <c:pt idx="69">
                  <c:v>0.50724637681159424</c:v>
                </c:pt>
                <c:pt idx="70">
                  <c:v>0.51428571428571423</c:v>
                </c:pt>
                <c:pt idx="71">
                  <c:v>0.50704225352112675</c:v>
                </c:pt>
                <c:pt idx="72">
                  <c:v>0.5</c:v>
                </c:pt>
                <c:pt idx="73">
                  <c:v>0.49315068493150682</c:v>
                </c:pt>
                <c:pt idx="74">
                  <c:v>0.5</c:v>
                </c:pt>
                <c:pt idx="75">
                  <c:v>0.49333333333333335</c:v>
                </c:pt>
                <c:pt idx="76">
                  <c:v>0.5</c:v>
                </c:pt>
                <c:pt idx="77">
                  <c:v>0.4935064935064935</c:v>
                </c:pt>
                <c:pt idx="78">
                  <c:v>0.5</c:v>
                </c:pt>
                <c:pt idx="79">
                  <c:v>0.50632911392405067</c:v>
                </c:pt>
                <c:pt idx="80">
                  <c:v>0.5</c:v>
                </c:pt>
                <c:pt idx="81">
                  <c:v>0.50617283950617287</c:v>
                </c:pt>
                <c:pt idx="82">
                  <c:v>0.5</c:v>
                </c:pt>
                <c:pt idx="83">
                  <c:v>0.49397590361445781</c:v>
                </c:pt>
                <c:pt idx="84">
                  <c:v>0.48809523809523808</c:v>
                </c:pt>
                <c:pt idx="85">
                  <c:v>0.49411764705882355</c:v>
                </c:pt>
                <c:pt idx="86">
                  <c:v>0.48837209302325579</c:v>
                </c:pt>
                <c:pt idx="87">
                  <c:v>0.48275862068965519</c:v>
                </c:pt>
                <c:pt idx="88">
                  <c:v>0.47727272727272729</c:v>
                </c:pt>
                <c:pt idx="89">
                  <c:v>0.48314606741573035</c:v>
                </c:pt>
                <c:pt idx="90">
                  <c:v>0.48888888888888887</c:v>
                </c:pt>
                <c:pt idx="91">
                  <c:v>0.48351648351648352</c:v>
                </c:pt>
                <c:pt idx="92">
                  <c:v>0.4891304347826087</c:v>
                </c:pt>
                <c:pt idx="93">
                  <c:v>0.4946236559139785</c:v>
                </c:pt>
                <c:pt idx="94">
                  <c:v>0.48936170212765956</c:v>
                </c:pt>
                <c:pt idx="95">
                  <c:v>0.49473684210526314</c:v>
                </c:pt>
                <c:pt idx="96">
                  <c:v>0.48958333333333331</c:v>
                </c:pt>
                <c:pt idx="97">
                  <c:v>0.4845360824742268</c:v>
                </c:pt>
                <c:pt idx="98">
                  <c:v>0.47959183673469385</c:v>
                </c:pt>
                <c:pt idx="99">
                  <c:v>0.47474747474747475</c:v>
                </c:pt>
                <c:pt idx="100">
                  <c:v>0.47</c:v>
                </c:pt>
                <c:pt idx="101">
                  <c:v>0.46534653465346537</c:v>
                </c:pt>
                <c:pt idx="102">
                  <c:v>0.46078431372549017</c:v>
                </c:pt>
                <c:pt idx="103">
                  <c:v>0.4563106796116505</c:v>
                </c:pt>
                <c:pt idx="104">
                  <c:v>0.45192307692307693</c:v>
                </c:pt>
                <c:pt idx="105">
                  <c:v>0.44761904761904764</c:v>
                </c:pt>
                <c:pt idx="106">
                  <c:v>0.44339622641509435</c:v>
                </c:pt>
                <c:pt idx="107">
                  <c:v>0.43925233644859812</c:v>
                </c:pt>
                <c:pt idx="108">
                  <c:v>0.43518518518518517</c:v>
                </c:pt>
                <c:pt idx="109">
                  <c:v>0.43119266055045874</c:v>
                </c:pt>
                <c:pt idx="110">
                  <c:v>0.42727272727272725</c:v>
                </c:pt>
                <c:pt idx="111">
                  <c:v>0.42342342342342343</c:v>
                </c:pt>
                <c:pt idx="112">
                  <c:v>0.42857142857142855</c:v>
                </c:pt>
                <c:pt idx="113">
                  <c:v>0.4247787610619469</c:v>
                </c:pt>
                <c:pt idx="114">
                  <c:v>0.42105263157894735</c:v>
                </c:pt>
                <c:pt idx="115">
                  <c:v>0.41739130434782606</c:v>
                </c:pt>
                <c:pt idx="116">
                  <c:v>0.41379310344827586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ただ2!$G$3:$G$119</c:f>
              <c:numCache>
                <c:formatCode>0.0%</c:formatCode>
                <c:ptCount val="117"/>
                <c:pt idx="1">
                  <c:v>0.16666666666666666</c:v>
                </c:pt>
                <c:pt idx="2">
                  <c:v>0.375</c:v>
                </c:pt>
                <c:pt idx="3">
                  <c:v>0.30769230769230771</c:v>
                </c:pt>
                <c:pt idx="4">
                  <c:v>0.27272727272727271</c:v>
                </c:pt>
                <c:pt idx="5">
                  <c:v>0.30232558139534882</c:v>
                </c:pt>
                <c:pt idx="6">
                  <c:v>0.28846153846153844</c:v>
                </c:pt>
                <c:pt idx="7">
                  <c:v>0.26785714285714285</c:v>
                </c:pt>
                <c:pt idx="8">
                  <c:v>0.2857142857142857</c:v>
                </c:pt>
                <c:pt idx="9">
                  <c:v>0.25333333333333335</c:v>
                </c:pt>
                <c:pt idx="10">
                  <c:v>0.23595505617977527</c:v>
                </c:pt>
                <c:pt idx="11">
                  <c:v>0.20588235294117646</c:v>
                </c:pt>
                <c:pt idx="12">
                  <c:v>0.21428571428571427</c:v>
                </c:pt>
                <c:pt idx="13">
                  <c:v>0.22131147540983606</c:v>
                </c:pt>
                <c:pt idx="14">
                  <c:v>0.2109375</c:v>
                </c:pt>
                <c:pt idx="15">
                  <c:v>0.20588235294117646</c:v>
                </c:pt>
                <c:pt idx="16">
                  <c:v>0.19594594594594594</c:v>
                </c:pt>
                <c:pt idx="17">
                  <c:v>0.18954248366013071</c:v>
                </c:pt>
                <c:pt idx="18">
                  <c:v>0.19875776397515527</c:v>
                </c:pt>
                <c:pt idx="19">
                  <c:v>0.19526627218934911</c:v>
                </c:pt>
                <c:pt idx="20">
                  <c:v>0.19075144508670519</c:v>
                </c:pt>
                <c:pt idx="21">
                  <c:v>0.18994413407821228</c:v>
                </c:pt>
                <c:pt idx="22">
                  <c:v>0.18817204301075269</c:v>
                </c:pt>
                <c:pt idx="23">
                  <c:v>0.18324607329842932</c:v>
                </c:pt>
                <c:pt idx="24">
                  <c:v>0.18181818181818182</c:v>
                </c:pt>
                <c:pt idx="25">
                  <c:v>0.1941747572815534</c:v>
                </c:pt>
                <c:pt idx="26">
                  <c:v>0.19339622641509435</c:v>
                </c:pt>
                <c:pt idx="27">
                  <c:v>0.18468468468468469</c:v>
                </c:pt>
                <c:pt idx="28">
                  <c:v>0.1774891774891775</c:v>
                </c:pt>
                <c:pt idx="29">
                  <c:v>0.1875</c:v>
                </c:pt>
                <c:pt idx="30">
                  <c:v>0.19678714859437751</c:v>
                </c:pt>
                <c:pt idx="31">
                  <c:v>0.19607843137254902</c:v>
                </c:pt>
                <c:pt idx="32">
                  <c:v>0.19548872180451127</c:v>
                </c:pt>
                <c:pt idx="33">
                  <c:v>0.19708029197080293</c:v>
                </c:pt>
                <c:pt idx="34">
                  <c:v>0.20143884892086331</c:v>
                </c:pt>
                <c:pt idx="35">
                  <c:v>0.20494699646643111</c:v>
                </c:pt>
                <c:pt idx="36">
                  <c:v>0.21232876712328766</c:v>
                </c:pt>
                <c:pt idx="37">
                  <c:v>0.21</c:v>
                </c:pt>
                <c:pt idx="38">
                  <c:v>0.21035598705501618</c:v>
                </c:pt>
                <c:pt idx="39">
                  <c:v>0.21766561514195584</c:v>
                </c:pt>
                <c:pt idx="40">
                  <c:v>0.21362229102167182</c:v>
                </c:pt>
                <c:pt idx="41">
                  <c:v>0.21212121212121213</c:v>
                </c:pt>
                <c:pt idx="42">
                  <c:v>0.21301775147928995</c:v>
                </c:pt>
                <c:pt idx="43">
                  <c:v>0.21511627906976744</c:v>
                </c:pt>
                <c:pt idx="44">
                  <c:v>0.22033898305084745</c:v>
                </c:pt>
                <c:pt idx="45">
                  <c:v>0.21944444444444444</c:v>
                </c:pt>
                <c:pt idx="46">
                  <c:v>0.22191780821917809</c:v>
                </c:pt>
                <c:pt idx="47">
                  <c:v>0.21983914209115282</c:v>
                </c:pt>
                <c:pt idx="48">
                  <c:v>0.22105263157894736</c:v>
                </c:pt>
                <c:pt idx="49">
                  <c:v>0.22474747474747475</c:v>
                </c:pt>
                <c:pt idx="50">
                  <c:v>0.22167487684729065</c:v>
                </c:pt>
                <c:pt idx="51">
                  <c:v>0.22168674698795179</c:v>
                </c:pt>
                <c:pt idx="52">
                  <c:v>0.22405660377358491</c:v>
                </c:pt>
                <c:pt idx="53">
                  <c:v>0.22401847575057737</c:v>
                </c:pt>
                <c:pt idx="54">
                  <c:v>0.22247706422018348</c:v>
                </c:pt>
                <c:pt idx="55">
                  <c:v>0.22902494331065759</c:v>
                </c:pt>
                <c:pt idx="56">
                  <c:v>0.22538293216630198</c:v>
                </c:pt>
                <c:pt idx="57">
                  <c:v>0.22698072805139186</c:v>
                </c:pt>
                <c:pt idx="58">
                  <c:v>0.22669491525423729</c:v>
                </c:pt>
                <c:pt idx="59">
                  <c:v>0.22641509433962265</c:v>
                </c:pt>
                <c:pt idx="60">
                  <c:v>0.22810590631364563</c:v>
                </c:pt>
                <c:pt idx="61">
                  <c:v>0.2289156626506024</c:v>
                </c:pt>
                <c:pt idx="62">
                  <c:v>0.22593320235756384</c:v>
                </c:pt>
                <c:pt idx="63">
                  <c:v>0.22605363984674329</c:v>
                </c:pt>
                <c:pt idx="64">
                  <c:v>0.22641509433962265</c:v>
                </c:pt>
                <c:pt idx="65">
                  <c:v>0.22574626865671643</c:v>
                </c:pt>
                <c:pt idx="66">
                  <c:v>0.22324723247232472</c:v>
                </c:pt>
                <c:pt idx="67">
                  <c:v>0.22603978300180833</c:v>
                </c:pt>
                <c:pt idx="68">
                  <c:v>0.23131672597864769</c:v>
                </c:pt>
                <c:pt idx="69">
                  <c:v>0.22902097902097901</c:v>
                </c:pt>
                <c:pt idx="70">
                  <c:v>0.22797927461139897</c:v>
                </c:pt>
                <c:pt idx="71">
                  <c:v>0.22920203735144312</c:v>
                </c:pt>
                <c:pt idx="72">
                  <c:v>0.23</c:v>
                </c:pt>
                <c:pt idx="73">
                  <c:v>0.23393739703459637</c:v>
                </c:pt>
                <c:pt idx="74">
                  <c:v>0.233387358184765</c:v>
                </c:pt>
                <c:pt idx="75">
                  <c:v>0.23162939297124602</c:v>
                </c:pt>
                <c:pt idx="76">
                  <c:v>0.23064770932069512</c:v>
                </c:pt>
                <c:pt idx="77">
                  <c:v>0.23556942277691106</c:v>
                </c:pt>
                <c:pt idx="78">
                  <c:v>0.23538461538461539</c:v>
                </c:pt>
                <c:pt idx="79">
                  <c:v>0.23404255319148937</c:v>
                </c:pt>
                <c:pt idx="80">
                  <c:v>0.23423423423423423</c:v>
                </c:pt>
                <c:pt idx="81">
                  <c:v>0.2314540059347181</c:v>
                </c:pt>
                <c:pt idx="82">
                  <c:v>0.23065693430656933</c:v>
                </c:pt>
                <c:pt idx="83">
                  <c:v>0.23088023088023088</c:v>
                </c:pt>
                <c:pt idx="84">
                  <c:v>0.23229461756373937</c:v>
                </c:pt>
                <c:pt idx="85">
                  <c:v>0.23109243697478993</c:v>
                </c:pt>
                <c:pt idx="86">
                  <c:v>0.23472222222222222</c:v>
                </c:pt>
                <c:pt idx="87">
                  <c:v>0.23415977961432508</c:v>
                </c:pt>
                <c:pt idx="88">
                  <c:v>0.23777173913043478</c:v>
                </c:pt>
                <c:pt idx="89">
                  <c:v>0.23790322580645162</c:v>
                </c:pt>
                <c:pt idx="90">
                  <c:v>0.2381578947368421</c:v>
                </c:pt>
                <c:pt idx="91">
                  <c:v>0.24119947848761408</c:v>
                </c:pt>
                <c:pt idx="92">
                  <c:v>0.24289405684754523</c:v>
                </c:pt>
                <c:pt idx="93">
                  <c:v>0.2416452442159383</c:v>
                </c:pt>
                <c:pt idx="94">
                  <c:v>0.24585987261146497</c:v>
                </c:pt>
                <c:pt idx="95">
                  <c:v>0.24464060529634299</c:v>
                </c:pt>
                <c:pt idx="96">
                  <c:v>0.2456359102244389</c:v>
                </c:pt>
                <c:pt idx="97">
                  <c:v>0.24752475247524752</c:v>
                </c:pt>
                <c:pt idx="98">
                  <c:v>0.24725943970767356</c:v>
                </c:pt>
                <c:pt idx="99">
                  <c:v>0.24849215922798554</c:v>
                </c:pt>
                <c:pt idx="100">
                  <c:v>0.24910607866507747</c:v>
                </c:pt>
                <c:pt idx="101">
                  <c:v>0.25146886016451236</c:v>
                </c:pt>
                <c:pt idx="102">
                  <c:v>0.25407925407925408</c:v>
                </c:pt>
                <c:pt idx="103">
                  <c:v>0.25573394495412843</c:v>
                </c:pt>
                <c:pt idx="104">
                  <c:v>0.25539160045402953</c:v>
                </c:pt>
                <c:pt idx="105">
                  <c:v>0.2556053811659193</c:v>
                </c:pt>
                <c:pt idx="106">
                  <c:v>0.25777777777777777</c:v>
                </c:pt>
                <c:pt idx="107">
                  <c:v>0.25962596259625964</c:v>
                </c:pt>
                <c:pt idx="108">
                  <c:v>0.26195652173913042</c:v>
                </c:pt>
                <c:pt idx="109">
                  <c:v>0.26213592233009708</c:v>
                </c:pt>
                <c:pt idx="110">
                  <c:v>0.26315789473684209</c:v>
                </c:pt>
                <c:pt idx="111">
                  <c:v>0.26567481402763016</c:v>
                </c:pt>
                <c:pt idx="112">
                  <c:v>0.26498422712933756</c:v>
                </c:pt>
                <c:pt idx="113">
                  <c:v>0.2664576802507837</c:v>
                </c:pt>
                <c:pt idx="114">
                  <c:v>0.265625</c:v>
                </c:pt>
                <c:pt idx="115">
                  <c:v>0.26646090534979422</c:v>
                </c:pt>
                <c:pt idx="116">
                  <c:v>0.26653102746693796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379837983798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ただ2!$H$3:$H$119</c:f>
              <c:numCache>
                <c:formatCode>0.0%</c:formatCode>
                <c:ptCount val="117"/>
                <c:pt idx="1">
                  <c:v>0.33333333333333331</c:v>
                </c:pt>
                <c:pt idx="2">
                  <c:v>0.25</c:v>
                </c:pt>
                <c:pt idx="3">
                  <c:v>0.26923076923076922</c:v>
                </c:pt>
                <c:pt idx="4">
                  <c:v>0.24242424242424243</c:v>
                </c:pt>
                <c:pt idx="5">
                  <c:v>0.2558139534883721</c:v>
                </c:pt>
                <c:pt idx="6">
                  <c:v>0.26923076923076922</c:v>
                </c:pt>
                <c:pt idx="7">
                  <c:v>0.2857142857142857</c:v>
                </c:pt>
                <c:pt idx="8">
                  <c:v>0.25396825396825395</c:v>
                </c:pt>
                <c:pt idx="9">
                  <c:v>0.24</c:v>
                </c:pt>
                <c:pt idx="10">
                  <c:v>0.25842696629213485</c:v>
                </c:pt>
                <c:pt idx="11">
                  <c:v>0.24509803921568626</c:v>
                </c:pt>
                <c:pt idx="12">
                  <c:v>0.22321428571428573</c:v>
                </c:pt>
                <c:pt idx="13">
                  <c:v>0.21311475409836064</c:v>
                </c:pt>
                <c:pt idx="14">
                  <c:v>0.21875</c:v>
                </c:pt>
                <c:pt idx="15">
                  <c:v>0.21323529411764705</c:v>
                </c:pt>
                <c:pt idx="16">
                  <c:v>0.20945945945945946</c:v>
                </c:pt>
                <c:pt idx="17">
                  <c:v>0.21568627450980393</c:v>
                </c:pt>
                <c:pt idx="18">
                  <c:v>0.21739130434782608</c:v>
                </c:pt>
                <c:pt idx="19">
                  <c:v>0.21893491124260356</c:v>
                </c:pt>
                <c:pt idx="20">
                  <c:v>0.22543352601156069</c:v>
                </c:pt>
                <c:pt idx="21">
                  <c:v>0.21787709497206703</c:v>
                </c:pt>
                <c:pt idx="22">
                  <c:v>0.22043010752688172</c:v>
                </c:pt>
                <c:pt idx="23">
                  <c:v>0.21989528795811519</c:v>
                </c:pt>
                <c:pt idx="24">
                  <c:v>0.21717171717171718</c:v>
                </c:pt>
                <c:pt idx="25">
                  <c:v>0.21844660194174756</c:v>
                </c:pt>
                <c:pt idx="26">
                  <c:v>0.22641509433962265</c:v>
                </c:pt>
                <c:pt idx="27">
                  <c:v>0.22972972972972974</c:v>
                </c:pt>
                <c:pt idx="28">
                  <c:v>0.22077922077922077</c:v>
                </c:pt>
                <c:pt idx="29">
                  <c:v>0.22083333333333333</c:v>
                </c:pt>
                <c:pt idx="30">
                  <c:v>0.21285140562248997</c:v>
                </c:pt>
                <c:pt idx="31">
                  <c:v>0.20784313725490197</c:v>
                </c:pt>
                <c:pt idx="32">
                  <c:v>0.19924812030075187</c:v>
                </c:pt>
                <c:pt idx="33">
                  <c:v>0.19708029197080293</c:v>
                </c:pt>
                <c:pt idx="34">
                  <c:v>0.19424460431654678</c:v>
                </c:pt>
                <c:pt idx="35">
                  <c:v>0.19434628975265017</c:v>
                </c:pt>
                <c:pt idx="36">
                  <c:v>0.19178082191780821</c:v>
                </c:pt>
                <c:pt idx="37">
                  <c:v>0.19333333333333333</c:v>
                </c:pt>
                <c:pt idx="38">
                  <c:v>0.1941747572815534</c:v>
                </c:pt>
                <c:pt idx="39">
                  <c:v>0.19242902208201892</c:v>
                </c:pt>
                <c:pt idx="40">
                  <c:v>0.19504643962848298</c:v>
                </c:pt>
                <c:pt idx="41">
                  <c:v>0.19696969696969696</c:v>
                </c:pt>
                <c:pt idx="42">
                  <c:v>0.19526627218934911</c:v>
                </c:pt>
                <c:pt idx="43">
                  <c:v>0.19186046511627908</c:v>
                </c:pt>
                <c:pt idx="44">
                  <c:v>0.19491525423728814</c:v>
                </c:pt>
                <c:pt idx="45">
                  <c:v>0.2</c:v>
                </c:pt>
                <c:pt idx="46">
                  <c:v>0.19726027397260273</c:v>
                </c:pt>
                <c:pt idx="47">
                  <c:v>0.19839142091152814</c:v>
                </c:pt>
                <c:pt idx="48">
                  <c:v>0.19473684210526315</c:v>
                </c:pt>
                <c:pt idx="49">
                  <c:v>0.19191919191919191</c:v>
                </c:pt>
                <c:pt idx="50">
                  <c:v>0.19458128078817735</c:v>
                </c:pt>
                <c:pt idx="51">
                  <c:v>0.19759036144578312</c:v>
                </c:pt>
                <c:pt idx="52">
                  <c:v>0.19811320754716982</c:v>
                </c:pt>
                <c:pt idx="53">
                  <c:v>0.19861431870669746</c:v>
                </c:pt>
                <c:pt idx="54">
                  <c:v>0.20412844036697247</c:v>
                </c:pt>
                <c:pt idx="55">
                  <c:v>0.20181405895691609</c:v>
                </c:pt>
                <c:pt idx="56">
                  <c:v>0.19693654266958424</c:v>
                </c:pt>
                <c:pt idx="57">
                  <c:v>0.19486081370449679</c:v>
                </c:pt>
                <c:pt idx="58">
                  <c:v>0.19279661016949154</c:v>
                </c:pt>
                <c:pt idx="59">
                  <c:v>0.19287211740041929</c:v>
                </c:pt>
                <c:pt idx="60">
                  <c:v>0.19144602851323828</c:v>
                </c:pt>
                <c:pt idx="61">
                  <c:v>0.19277108433734941</c:v>
                </c:pt>
                <c:pt idx="62">
                  <c:v>0.19646365422396855</c:v>
                </c:pt>
                <c:pt idx="63">
                  <c:v>0.19731800766283525</c:v>
                </c:pt>
                <c:pt idx="64">
                  <c:v>0.19622641509433963</c:v>
                </c:pt>
                <c:pt idx="65">
                  <c:v>0.19589552238805971</c:v>
                </c:pt>
                <c:pt idx="66">
                  <c:v>0.19557195571955718</c:v>
                </c:pt>
                <c:pt idx="67">
                  <c:v>0.19349005424954793</c:v>
                </c:pt>
                <c:pt idx="68">
                  <c:v>0.19039145907473309</c:v>
                </c:pt>
                <c:pt idx="69">
                  <c:v>0.19230769230769232</c:v>
                </c:pt>
                <c:pt idx="70">
                  <c:v>0.19170984455958548</c:v>
                </c:pt>
                <c:pt idx="71">
                  <c:v>0.19015280135823429</c:v>
                </c:pt>
                <c:pt idx="72">
                  <c:v>0.19</c:v>
                </c:pt>
                <c:pt idx="73">
                  <c:v>0.19110378912685339</c:v>
                </c:pt>
                <c:pt idx="74">
                  <c:v>0.19286871961102106</c:v>
                </c:pt>
                <c:pt idx="75">
                  <c:v>0.19169329073482427</c:v>
                </c:pt>
                <c:pt idx="76">
                  <c:v>0.19273301737756715</c:v>
                </c:pt>
                <c:pt idx="77">
                  <c:v>0.19188767550702029</c:v>
                </c:pt>
                <c:pt idx="78">
                  <c:v>0.19076923076923077</c:v>
                </c:pt>
                <c:pt idx="79">
                  <c:v>0.19300911854103345</c:v>
                </c:pt>
                <c:pt idx="80">
                  <c:v>0.19219219219219219</c:v>
                </c:pt>
                <c:pt idx="81">
                  <c:v>0.19287833827893175</c:v>
                </c:pt>
                <c:pt idx="82">
                  <c:v>0.19270072992700729</c:v>
                </c:pt>
                <c:pt idx="83">
                  <c:v>0.19336219336219337</c:v>
                </c:pt>
                <c:pt idx="84">
                  <c:v>0.19263456090651557</c:v>
                </c:pt>
                <c:pt idx="85">
                  <c:v>0.19467787114845939</c:v>
                </c:pt>
                <c:pt idx="86">
                  <c:v>0.19583333333333333</c:v>
                </c:pt>
                <c:pt idx="87">
                  <c:v>0.19421487603305784</c:v>
                </c:pt>
                <c:pt idx="88">
                  <c:v>0.19429347826086957</c:v>
                </c:pt>
                <c:pt idx="89">
                  <c:v>0.19489247311827956</c:v>
                </c:pt>
                <c:pt idx="90">
                  <c:v>0.19210526315789472</c:v>
                </c:pt>
                <c:pt idx="91">
                  <c:v>0.19035202086049544</c:v>
                </c:pt>
                <c:pt idx="92">
                  <c:v>0.18992248062015504</c:v>
                </c:pt>
                <c:pt idx="93">
                  <c:v>0.18894601542416453</c:v>
                </c:pt>
                <c:pt idx="94">
                  <c:v>0.18726114649681527</c:v>
                </c:pt>
                <c:pt idx="95">
                  <c:v>0.19167717528373265</c:v>
                </c:pt>
                <c:pt idx="96">
                  <c:v>0.19201995012468828</c:v>
                </c:pt>
                <c:pt idx="97">
                  <c:v>0.1905940594059406</c:v>
                </c:pt>
                <c:pt idx="98">
                  <c:v>0.1900121802679659</c:v>
                </c:pt>
                <c:pt idx="99">
                  <c:v>0.1881785283474065</c:v>
                </c:pt>
                <c:pt idx="100">
                  <c:v>0.18712753277711561</c:v>
                </c:pt>
                <c:pt idx="101">
                  <c:v>0.18683901292596944</c:v>
                </c:pt>
                <c:pt idx="102">
                  <c:v>0.18648018648018649</c:v>
                </c:pt>
                <c:pt idx="103">
                  <c:v>0.18692660550458715</c:v>
                </c:pt>
                <c:pt idx="104">
                  <c:v>0.18501702610669693</c:v>
                </c:pt>
                <c:pt idx="105">
                  <c:v>0.18497757847533633</c:v>
                </c:pt>
                <c:pt idx="106">
                  <c:v>0.18555555555555556</c:v>
                </c:pt>
                <c:pt idx="107">
                  <c:v>0.18371837183718373</c:v>
                </c:pt>
                <c:pt idx="108">
                  <c:v>0.18260869565217391</c:v>
                </c:pt>
                <c:pt idx="109">
                  <c:v>0.18446601941747573</c:v>
                </c:pt>
                <c:pt idx="110">
                  <c:v>0.18367346938775511</c:v>
                </c:pt>
                <c:pt idx="111">
                  <c:v>0.18278427205100956</c:v>
                </c:pt>
                <c:pt idx="112">
                  <c:v>0.18506834910620398</c:v>
                </c:pt>
                <c:pt idx="113">
                  <c:v>0.18390804597701149</c:v>
                </c:pt>
                <c:pt idx="114">
                  <c:v>0.18333333333333332</c:v>
                </c:pt>
                <c:pt idx="115">
                  <c:v>0.18415637860082304</c:v>
                </c:pt>
                <c:pt idx="116">
                  <c:v>0.18413021363173956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716771677167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ただ2!$I$3:$I$119</c:f>
              <c:numCache>
                <c:formatCode>0</c:formatCode>
                <c:ptCount val="117"/>
                <c:pt idx="1">
                  <c:v>2800</c:v>
                </c:pt>
                <c:pt idx="2">
                  <c:v>7983.333333333333</c:v>
                </c:pt>
                <c:pt idx="3">
                  <c:v>6837.5</c:v>
                </c:pt>
                <c:pt idx="4">
                  <c:v>7411.1111111111113</c:v>
                </c:pt>
                <c:pt idx="5">
                  <c:v>7515.3846153846152</c:v>
                </c:pt>
                <c:pt idx="6">
                  <c:v>7973.333333333333</c:v>
                </c:pt>
                <c:pt idx="7">
                  <c:v>7973.333333333333</c:v>
                </c:pt>
                <c:pt idx="8">
                  <c:v>7977.7777777777774</c:v>
                </c:pt>
                <c:pt idx="9">
                  <c:v>7710.5263157894733</c:v>
                </c:pt>
                <c:pt idx="10">
                  <c:v>7928.5714285714284</c:v>
                </c:pt>
                <c:pt idx="11">
                  <c:v>7928.5714285714284</c:v>
                </c:pt>
                <c:pt idx="12">
                  <c:v>7287.5</c:v>
                </c:pt>
                <c:pt idx="13">
                  <c:v>7314.8148148148148</c:v>
                </c:pt>
                <c:pt idx="14">
                  <c:v>7314.8148148148148</c:v>
                </c:pt>
                <c:pt idx="15">
                  <c:v>7339.2857142857147</c:v>
                </c:pt>
                <c:pt idx="16">
                  <c:v>7362.0689655172409</c:v>
                </c:pt>
                <c:pt idx="17">
                  <c:v>7362.0689655172409</c:v>
                </c:pt>
                <c:pt idx="18">
                  <c:v>7112.5</c:v>
                </c:pt>
                <c:pt idx="19">
                  <c:v>7260.606060606061</c:v>
                </c:pt>
                <c:pt idx="20">
                  <c:v>7260.606060606061</c:v>
                </c:pt>
                <c:pt idx="21">
                  <c:v>7282.3529411764703</c:v>
                </c:pt>
                <c:pt idx="22">
                  <c:v>7302.8571428571431</c:v>
                </c:pt>
                <c:pt idx="23">
                  <c:v>7302.8571428571431</c:v>
                </c:pt>
                <c:pt idx="24">
                  <c:v>7600</c:v>
                </c:pt>
                <c:pt idx="25">
                  <c:v>7672.5</c:v>
                </c:pt>
                <c:pt idx="26">
                  <c:v>7680.4878048780483</c:v>
                </c:pt>
                <c:pt idx="27">
                  <c:v>7680.4878048780483</c:v>
                </c:pt>
                <c:pt idx="28">
                  <c:v>7680.4878048780483</c:v>
                </c:pt>
                <c:pt idx="29">
                  <c:v>7648.8888888888887</c:v>
                </c:pt>
                <c:pt idx="30">
                  <c:v>8695.9183673469379</c:v>
                </c:pt>
                <c:pt idx="31">
                  <c:v>8564</c:v>
                </c:pt>
                <c:pt idx="32">
                  <c:v>8513.461538461539</c:v>
                </c:pt>
                <c:pt idx="33">
                  <c:v>8348.1481481481478</c:v>
                </c:pt>
                <c:pt idx="34">
                  <c:v>8514.2857142857138</c:v>
                </c:pt>
                <c:pt idx="35">
                  <c:v>8679.310344827587</c:v>
                </c:pt>
                <c:pt idx="36">
                  <c:v>8551.6129032258068</c:v>
                </c:pt>
                <c:pt idx="37">
                  <c:v>8457.1428571428569</c:v>
                </c:pt>
                <c:pt idx="38">
                  <c:v>8566.1538461538457</c:v>
                </c:pt>
                <c:pt idx="39">
                  <c:v>8724.63768115942</c:v>
                </c:pt>
                <c:pt idx="40">
                  <c:v>8724.63768115942</c:v>
                </c:pt>
                <c:pt idx="41">
                  <c:v>8714.2857142857138</c:v>
                </c:pt>
                <c:pt idx="42">
                  <c:v>8750</c:v>
                </c:pt>
                <c:pt idx="43">
                  <c:v>8890.54054054054</c:v>
                </c:pt>
                <c:pt idx="44">
                  <c:v>8953.8461538461543</c:v>
                </c:pt>
                <c:pt idx="45">
                  <c:v>8865.8227848101269</c:v>
                </c:pt>
                <c:pt idx="46">
                  <c:v>9091.3580246913589</c:v>
                </c:pt>
                <c:pt idx="47">
                  <c:v>9126.8292682926822</c:v>
                </c:pt>
                <c:pt idx="48">
                  <c:v>9145.2380952380954</c:v>
                </c:pt>
                <c:pt idx="49">
                  <c:v>9132.5842696629206</c:v>
                </c:pt>
                <c:pt idx="50">
                  <c:v>9074.4444444444453</c:v>
                </c:pt>
                <c:pt idx="51">
                  <c:v>8998.9130434782601</c:v>
                </c:pt>
                <c:pt idx="52">
                  <c:v>9006.3157894736851</c:v>
                </c:pt>
                <c:pt idx="53">
                  <c:v>8926.8041237113393</c:v>
                </c:pt>
                <c:pt idx="54">
                  <c:v>8926.8041237113393</c:v>
                </c:pt>
                <c:pt idx="55">
                  <c:v>8911.8811881188121</c:v>
                </c:pt>
                <c:pt idx="56">
                  <c:v>8971.8446601941741</c:v>
                </c:pt>
                <c:pt idx="57">
                  <c:v>9033.9622641509432</c:v>
                </c:pt>
                <c:pt idx="58">
                  <c:v>8998.1308411214959</c:v>
                </c:pt>
                <c:pt idx="59">
                  <c:v>9025.9259259259252</c:v>
                </c:pt>
                <c:pt idx="60">
                  <c:v>8980.3571428571431</c:v>
                </c:pt>
                <c:pt idx="61">
                  <c:v>9149.1228070175439</c:v>
                </c:pt>
                <c:pt idx="62">
                  <c:v>9173.9130434782601</c:v>
                </c:pt>
                <c:pt idx="63">
                  <c:v>9178.8135593220341</c:v>
                </c:pt>
                <c:pt idx="64">
                  <c:v>9125.8333333333339</c:v>
                </c:pt>
                <c:pt idx="65">
                  <c:v>9066.9421487603304</c:v>
                </c:pt>
                <c:pt idx="66">
                  <c:v>9066.9421487603304</c:v>
                </c:pt>
                <c:pt idx="67">
                  <c:v>8896.7999999999993</c:v>
                </c:pt>
                <c:pt idx="68">
                  <c:v>8890.7692307692305</c:v>
                </c:pt>
                <c:pt idx="69">
                  <c:v>8883.9694656488555</c:v>
                </c:pt>
                <c:pt idx="70">
                  <c:v>8856.060606060606</c:v>
                </c:pt>
                <c:pt idx="71">
                  <c:v>8875.5555555555547</c:v>
                </c:pt>
                <c:pt idx="72">
                  <c:v>8834.0579710144921</c:v>
                </c:pt>
                <c:pt idx="73">
                  <c:v>8873.9436619718308</c:v>
                </c:pt>
                <c:pt idx="74">
                  <c:v>8872.9166666666661</c:v>
                </c:pt>
                <c:pt idx="75">
                  <c:v>9032.4137931034475</c:v>
                </c:pt>
                <c:pt idx="76">
                  <c:v>8984.2465753424658</c:v>
                </c:pt>
                <c:pt idx="77">
                  <c:v>8934.4370860927156</c:v>
                </c:pt>
                <c:pt idx="78">
                  <c:v>8882.3529411764703</c:v>
                </c:pt>
                <c:pt idx="79">
                  <c:v>8833.1168831168834</c:v>
                </c:pt>
                <c:pt idx="80">
                  <c:v>8818.5897435897441</c:v>
                </c:pt>
                <c:pt idx="81">
                  <c:v>8818.5897435897441</c:v>
                </c:pt>
                <c:pt idx="82">
                  <c:v>8856.32911392405</c:v>
                </c:pt>
                <c:pt idx="83">
                  <c:v>8826.25</c:v>
                </c:pt>
                <c:pt idx="84">
                  <c:v>8782.3170731707323</c:v>
                </c:pt>
                <c:pt idx="85">
                  <c:v>8761.2121212121219</c:v>
                </c:pt>
                <c:pt idx="86">
                  <c:v>8861.538461538461</c:v>
                </c:pt>
                <c:pt idx="87">
                  <c:v>8877.6470588235297</c:v>
                </c:pt>
                <c:pt idx="88">
                  <c:v>8818.2857142857138</c:v>
                </c:pt>
                <c:pt idx="89">
                  <c:v>8809.0395480225998</c:v>
                </c:pt>
                <c:pt idx="90">
                  <c:v>8701.1049723756914</c:v>
                </c:pt>
                <c:pt idx="91">
                  <c:v>8782.7027027027034</c:v>
                </c:pt>
                <c:pt idx="92">
                  <c:v>8755.3191489361707</c:v>
                </c:pt>
                <c:pt idx="93">
                  <c:v>8755.3191489361707</c:v>
                </c:pt>
                <c:pt idx="94">
                  <c:v>8661.1398963730571</c:v>
                </c:pt>
                <c:pt idx="95">
                  <c:v>8643.2989690721643</c:v>
                </c:pt>
                <c:pt idx="96">
                  <c:v>8740.1015228426404</c:v>
                </c:pt>
                <c:pt idx="97">
                  <c:v>8715</c:v>
                </c:pt>
                <c:pt idx="98">
                  <c:v>8733.9901477832518</c:v>
                </c:pt>
                <c:pt idx="99">
                  <c:v>8741.2621359223303</c:v>
                </c:pt>
                <c:pt idx="100">
                  <c:v>8788.0382775119615</c:v>
                </c:pt>
                <c:pt idx="101">
                  <c:v>8814.0186915887843</c:v>
                </c:pt>
                <c:pt idx="102">
                  <c:v>8779.3577981651379</c:v>
                </c:pt>
                <c:pt idx="103">
                  <c:v>8813.4529147982066</c:v>
                </c:pt>
                <c:pt idx="104">
                  <c:v>8806.2222222222226</c:v>
                </c:pt>
                <c:pt idx="105">
                  <c:v>8817.105263157895</c:v>
                </c:pt>
                <c:pt idx="106">
                  <c:v>8818.1034482758623</c:v>
                </c:pt>
                <c:pt idx="107">
                  <c:v>8735.1694915254229</c:v>
                </c:pt>
                <c:pt idx="108">
                  <c:v>8658.9211618257268</c:v>
                </c:pt>
                <c:pt idx="109">
                  <c:v>8883.9506172839501</c:v>
                </c:pt>
                <c:pt idx="110">
                  <c:v>8896.7346938775518</c:v>
                </c:pt>
                <c:pt idx="111">
                  <c:v>8854</c:v>
                </c:pt>
                <c:pt idx="112">
                  <c:v>8851.9841269841272</c:v>
                </c:pt>
                <c:pt idx="113">
                  <c:v>8873.3333333333339</c:v>
                </c:pt>
                <c:pt idx="114">
                  <c:v>8873.3333333333339</c:v>
                </c:pt>
                <c:pt idx="115">
                  <c:v>8866.0231660231657</c:v>
                </c:pt>
                <c:pt idx="116">
                  <c:v>8908.0152671755732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85.82202111613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ただ2!$J$3:$J$119</c:f>
              <c:numCache>
                <c:formatCode>0</c:formatCode>
                <c:ptCount val="117"/>
                <c:pt idx="1">
                  <c:v>-7850</c:v>
                </c:pt>
                <c:pt idx="2">
                  <c:v>-9825</c:v>
                </c:pt>
                <c:pt idx="3">
                  <c:v>-8471.4285714285706</c:v>
                </c:pt>
                <c:pt idx="4">
                  <c:v>-8137.5</c:v>
                </c:pt>
                <c:pt idx="5">
                  <c:v>-8627.2727272727279</c:v>
                </c:pt>
                <c:pt idx="6">
                  <c:v>-8350</c:v>
                </c:pt>
                <c:pt idx="7">
                  <c:v>-9431.25</c:v>
                </c:pt>
                <c:pt idx="8">
                  <c:v>-9431.25</c:v>
                </c:pt>
                <c:pt idx="9">
                  <c:v>-9244.4444444444453</c:v>
                </c:pt>
                <c:pt idx="10">
                  <c:v>-9595.652173913044</c:v>
                </c:pt>
                <c:pt idx="11">
                  <c:v>-9708</c:v>
                </c:pt>
                <c:pt idx="12">
                  <c:v>-9708</c:v>
                </c:pt>
                <c:pt idx="13">
                  <c:v>-9950</c:v>
                </c:pt>
                <c:pt idx="14">
                  <c:v>-9571.4285714285706</c:v>
                </c:pt>
                <c:pt idx="15">
                  <c:v>-9331.0344827586214</c:v>
                </c:pt>
                <c:pt idx="16">
                  <c:v>-9374.1935483870966</c:v>
                </c:pt>
                <c:pt idx="17">
                  <c:v>-9654.545454545454</c:v>
                </c:pt>
                <c:pt idx="18">
                  <c:v>-9422.8571428571431</c:v>
                </c:pt>
                <c:pt idx="19">
                  <c:v>-9345.9459459459467</c:v>
                </c:pt>
                <c:pt idx="20">
                  <c:v>-9892.3076923076915</c:v>
                </c:pt>
                <c:pt idx="21">
                  <c:v>-9892.3076923076915</c:v>
                </c:pt>
                <c:pt idx="22">
                  <c:v>-9748.7804878048773</c:v>
                </c:pt>
                <c:pt idx="23">
                  <c:v>-9802.3809523809523</c:v>
                </c:pt>
                <c:pt idx="24">
                  <c:v>-10690.697674418605</c:v>
                </c:pt>
                <c:pt idx="25">
                  <c:v>-10695.555555555555</c:v>
                </c:pt>
                <c:pt idx="26">
                  <c:v>-10462.5</c:v>
                </c:pt>
                <c:pt idx="27">
                  <c:v>-10100</c:v>
                </c:pt>
                <c:pt idx="28">
                  <c:v>-10100</c:v>
                </c:pt>
                <c:pt idx="29">
                  <c:v>-9890.566037735849</c:v>
                </c:pt>
                <c:pt idx="30">
                  <c:v>-9890.566037735849</c:v>
                </c:pt>
                <c:pt idx="31">
                  <c:v>-9890.566037735849</c:v>
                </c:pt>
                <c:pt idx="32">
                  <c:v>-9890.566037735849</c:v>
                </c:pt>
                <c:pt idx="33">
                  <c:v>-9922.2222222222226</c:v>
                </c:pt>
                <c:pt idx="34">
                  <c:v>-9922.2222222222226</c:v>
                </c:pt>
                <c:pt idx="35">
                  <c:v>-9960</c:v>
                </c:pt>
                <c:pt idx="36">
                  <c:v>-9875</c:v>
                </c:pt>
                <c:pt idx="37">
                  <c:v>-9810.3448275862065</c:v>
                </c:pt>
                <c:pt idx="38">
                  <c:v>-9846.6666666666661</c:v>
                </c:pt>
                <c:pt idx="39">
                  <c:v>-9816.3934426229516</c:v>
                </c:pt>
                <c:pt idx="40">
                  <c:v>-9663.4920634920636</c:v>
                </c:pt>
                <c:pt idx="41">
                  <c:v>-9587.6923076923085</c:v>
                </c:pt>
                <c:pt idx="42">
                  <c:v>-9530.30303030303</c:v>
                </c:pt>
                <c:pt idx="43">
                  <c:v>-9530.30303030303</c:v>
                </c:pt>
                <c:pt idx="44">
                  <c:v>-9349.2753623188401</c:v>
                </c:pt>
                <c:pt idx="45">
                  <c:v>-9261.1111111111113</c:v>
                </c:pt>
                <c:pt idx="46">
                  <c:v>-9261.1111111111113</c:v>
                </c:pt>
                <c:pt idx="47">
                  <c:v>-9081.0810810810817</c:v>
                </c:pt>
                <c:pt idx="48">
                  <c:v>-9081.0810810810817</c:v>
                </c:pt>
                <c:pt idx="49">
                  <c:v>-9038.1578947368416</c:v>
                </c:pt>
                <c:pt idx="50">
                  <c:v>-8943.0379746835442</c:v>
                </c:pt>
                <c:pt idx="51">
                  <c:v>-8996.3414634146338</c:v>
                </c:pt>
                <c:pt idx="52">
                  <c:v>-9016.6666666666661</c:v>
                </c:pt>
                <c:pt idx="53">
                  <c:v>-8963.9534883720935</c:v>
                </c:pt>
                <c:pt idx="54">
                  <c:v>-9068.5393258426975</c:v>
                </c:pt>
                <c:pt idx="55">
                  <c:v>-9068.5393258426975</c:v>
                </c:pt>
                <c:pt idx="56">
                  <c:v>-8996.6666666666661</c:v>
                </c:pt>
                <c:pt idx="57">
                  <c:v>-9095.6043956043959</c:v>
                </c:pt>
                <c:pt idx="58">
                  <c:v>-9095.6043956043959</c:v>
                </c:pt>
                <c:pt idx="59">
                  <c:v>-9518.4782608695659</c:v>
                </c:pt>
                <c:pt idx="60">
                  <c:v>-9602.1276595744675</c:v>
                </c:pt>
                <c:pt idx="61">
                  <c:v>-9593.75</c:v>
                </c:pt>
                <c:pt idx="62">
                  <c:v>-9394</c:v>
                </c:pt>
                <c:pt idx="63">
                  <c:v>-9572.8155339805817</c:v>
                </c:pt>
                <c:pt idx="64">
                  <c:v>-9557.6923076923085</c:v>
                </c:pt>
                <c:pt idx="65">
                  <c:v>-9580.9523809523816</c:v>
                </c:pt>
                <c:pt idx="66">
                  <c:v>-9527.3584905660373</c:v>
                </c:pt>
                <c:pt idx="67">
                  <c:v>-9513.0841121495323</c:v>
                </c:pt>
                <c:pt idx="68">
                  <c:v>-9513.0841121495323</c:v>
                </c:pt>
                <c:pt idx="69">
                  <c:v>-9505.454545454546</c:v>
                </c:pt>
                <c:pt idx="70">
                  <c:v>-9466.6666666666661</c:v>
                </c:pt>
                <c:pt idx="71">
                  <c:v>-9428.5714285714294</c:v>
                </c:pt>
                <c:pt idx="72">
                  <c:v>-9398.2456140350878</c:v>
                </c:pt>
                <c:pt idx="73">
                  <c:v>-9408.6206896551721</c:v>
                </c:pt>
                <c:pt idx="74">
                  <c:v>-9433.6134453781506</c:v>
                </c:pt>
                <c:pt idx="75">
                  <c:v>-9365.8333333333339</c:v>
                </c:pt>
                <c:pt idx="76">
                  <c:v>-9299.1803278688531</c:v>
                </c:pt>
                <c:pt idx="77">
                  <c:v>-9255.2845528455291</c:v>
                </c:pt>
                <c:pt idx="78">
                  <c:v>-9277.4193548387102</c:v>
                </c:pt>
                <c:pt idx="79">
                  <c:v>-9254.3307086614168</c:v>
                </c:pt>
                <c:pt idx="80">
                  <c:v>-9244.53125</c:v>
                </c:pt>
                <c:pt idx="81">
                  <c:v>-9243.8461538461543</c:v>
                </c:pt>
                <c:pt idx="82">
                  <c:v>-9184.0909090909099</c:v>
                </c:pt>
                <c:pt idx="83">
                  <c:v>-9076.8656716417918</c:v>
                </c:pt>
                <c:pt idx="84">
                  <c:v>-9042.6470588235297</c:v>
                </c:pt>
                <c:pt idx="85">
                  <c:v>-9028.0575539568345</c:v>
                </c:pt>
                <c:pt idx="86">
                  <c:v>-9070.2127659574471</c:v>
                </c:pt>
                <c:pt idx="87">
                  <c:v>-9070.2127659574471</c:v>
                </c:pt>
                <c:pt idx="88">
                  <c:v>-9054.545454545454</c:v>
                </c:pt>
                <c:pt idx="89">
                  <c:v>-9233.1034482758623</c:v>
                </c:pt>
                <c:pt idx="90">
                  <c:v>-9189.7260273972606</c:v>
                </c:pt>
                <c:pt idx="91">
                  <c:v>-9189.7260273972606</c:v>
                </c:pt>
                <c:pt idx="92">
                  <c:v>-9236.0544217687075</c:v>
                </c:pt>
                <c:pt idx="93">
                  <c:v>-9236.0544217687075</c:v>
                </c:pt>
                <c:pt idx="94">
                  <c:v>-9236.0544217687075</c:v>
                </c:pt>
                <c:pt idx="95">
                  <c:v>-9165.78947368421</c:v>
                </c:pt>
                <c:pt idx="96">
                  <c:v>-9226.6233766233763</c:v>
                </c:pt>
                <c:pt idx="97">
                  <c:v>-9226.6233766233763</c:v>
                </c:pt>
                <c:pt idx="98">
                  <c:v>-9167.3076923076915</c:v>
                </c:pt>
                <c:pt idx="99">
                  <c:v>-9167.3076923076915</c:v>
                </c:pt>
                <c:pt idx="100">
                  <c:v>-9115.2866242038217</c:v>
                </c:pt>
                <c:pt idx="101">
                  <c:v>-9200</c:v>
                </c:pt>
                <c:pt idx="102">
                  <c:v>-9166.875</c:v>
                </c:pt>
                <c:pt idx="103">
                  <c:v>-9095.0920245398775</c:v>
                </c:pt>
                <c:pt idx="104">
                  <c:v>-9095.0920245398775</c:v>
                </c:pt>
                <c:pt idx="105">
                  <c:v>-9147.878787878788</c:v>
                </c:pt>
                <c:pt idx="106">
                  <c:v>-9158.0838323353291</c:v>
                </c:pt>
                <c:pt idx="107">
                  <c:v>-9158.0838323353291</c:v>
                </c:pt>
                <c:pt idx="108">
                  <c:v>-9126.7857142857138</c:v>
                </c:pt>
                <c:pt idx="109">
                  <c:v>-9054.3859649122805</c:v>
                </c:pt>
                <c:pt idx="110">
                  <c:v>-9054.3859649122805</c:v>
                </c:pt>
                <c:pt idx="111">
                  <c:v>-9071.5116279069771</c:v>
                </c:pt>
                <c:pt idx="112">
                  <c:v>-8952.8409090909099</c:v>
                </c:pt>
                <c:pt idx="113">
                  <c:v>-8952.8409090909099</c:v>
                </c:pt>
                <c:pt idx="114">
                  <c:v>-8952.8409090909099</c:v>
                </c:pt>
                <c:pt idx="115">
                  <c:v>-8887.7094972067043</c:v>
                </c:pt>
                <c:pt idx="116">
                  <c:v>-8871.8232044198903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50.8944543828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ただ2!$K$3:$K$119</c:f>
              <c:numCache>
                <c:formatCode>0.0%</c:formatCode>
                <c:ptCount val="1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0.16326530612244897</c:v>
                </c:pt>
                <c:pt idx="50">
                  <c:v>0.18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0.20370370370370369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0.19298245614035087</c:v>
                </c:pt>
                <c:pt idx="58">
                  <c:v>0.18965517241379309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0.19047619047619047</c:v>
                </c:pt>
                <c:pt idx="64">
                  <c:v>0.1875</c:v>
                </c:pt>
                <c:pt idx="65">
                  <c:v>0.18461538461538463</c:v>
                </c:pt>
                <c:pt idx="66">
                  <c:v>0.18181818181818182</c:v>
                </c:pt>
                <c:pt idx="67">
                  <c:v>0.17910447761194029</c:v>
                </c:pt>
                <c:pt idx="68">
                  <c:v>0.17647058823529413</c:v>
                </c:pt>
                <c:pt idx="69">
                  <c:v>0.17391304347826086</c:v>
                </c:pt>
                <c:pt idx="70">
                  <c:v>0.18571428571428572</c:v>
                </c:pt>
                <c:pt idx="71">
                  <c:v>0.18309859154929578</c:v>
                </c:pt>
                <c:pt idx="72">
                  <c:v>0.18055555555555555</c:v>
                </c:pt>
                <c:pt idx="73">
                  <c:v>0.17808219178082191</c:v>
                </c:pt>
                <c:pt idx="74">
                  <c:v>0.1891891891891892</c:v>
                </c:pt>
                <c:pt idx="75">
                  <c:v>0.18666666666666668</c:v>
                </c:pt>
                <c:pt idx="76">
                  <c:v>0.18421052631578946</c:v>
                </c:pt>
                <c:pt idx="77">
                  <c:v>0.18181818181818182</c:v>
                </c:pt>
                <c:pt idx="78">
                  <c:v>0.17948717948717949</c:v>
                </c:pt>
                <c:pt idx="79">
                  <c:v>0.189873417721519</c:v>
                </c:pt>
                <c:pt idx="80">
                  <c:v>0.1875</c:v>
                </c:pt>
                <c:pt idx="81">
                  <c:v>0.19753086419753085</c:v>
                </c:pt>
                <c:pt idx="82">
                  <c:v>0.1951219512195122</c:v>
                </c:pt>
                <c:pt idx="83">
                  <c:v>0.19277108433734941</c:v>
                </c:pt>
                <c:pt idx="84">
                  <c:v>0.19047619047619047</c:v>
                </c:pt>
                <c:pt idx="85">
                  <c:v>0.2</c:v>
                </c:pt>
                <c:pt idx="86">
                  <c:v>0.19767441860465115</c:v>
                </c:pt>
                <c:pt idx="87">
                  <c:v>0.19540229885057472</c:v>
                </c:pt>
                <c:pt idx="88">
                  <c:v>0.19318181818181818</c:v>
                </c:pt>
                <c:pt idx="89">
                  <c:v>0.19101123595505617</c:v>
                </c:pt>
                <c:pt idx="90">
                  <c:v>0.18888888888888888</c:v>
                </c:pt>
                <c:pt idx="91">
                  <c:v>0.18681318681318682</c:v>
                </c:pt>
                <c:pt idx="92">
                  <c:v>0.18478260869565216</c:v>
                </c:pt>
                <c:pt idx="93">
                  <c:v>0.19354838709677419</c:v>
                </c:pt>
                <c:pt idx="94">
                  <c:v>0.19148936170212766</c:v>
                </c:pt>
                <c:pt idx="95">
                  <c:v>0.2</c:v>
                </c:pt>
                <c:pt idx="96">
                  <c:v>0.19791666666666666</c:v>
                </c:pt>
                <c:pt idx="97">
                  <c:v>0.19587628865979381</c:v>
                </c:pt>
                <c:pt idx="98">
                  <c:v>0.19387755102040816</c:v>
                </c:pt>
                <c:pt idx="99">
                  <c:v>0.19191919191919191</c:v>
                </c:pt>
                <c:pt idx="100">
                  <c:v>0.19</c:v>
                </c:pt>
                <c:pt idx="101">
                  <c:v>0.18811881188118812</c:v>
                </c:pt>
                <c:pt idx="102">
                  <c:v>0.18627450980392157</c:v>
                </c:pt>
                <c:pt idx="103">
                  <c:v>0.18446601941747573</c:v>
                </c:pt>
                <c:pt idx="104">
                  <c:v>0.18269230769230768</c:v>
                </c:pt>
                <c:pt idx="105">
                  <c:v>0.18095238095238095</c:v>
                </c:pt>
                <c:pt idx="106">
                  <c:v>0.17924528301886791</c:v>
                </c:pt>
                <c:pt idx="107">
                  <c:v>0.17757009345794392</c:v>
                </c:pt>
                <c:pt idx="108">
                  <c:v>0.17592592592592593</c:v>
                </c:pt>
                <c:pt idx="109">
                  <c:v>0.1743119266055046</c:v>
                </c:pt>
                <c:pt idx="110">
                  <c:v>0.17272727272727273</c:v>
                </c:pt>
                <c:pt idx="111">
                  <c:v>0.17117117117117117</c:v>
                </c:pt>
                <c:pt idx="112">
                  <c:v>0.17857142857142858</c:v>
                </c:pt>
                <c:pt idx="113">
                  <c:v>0.17699115044247787</c:v>
                </c:pt>
                <c:pt idx="114">
                  <c:v>0.17543859649122806</c:v>
                </c:pt>
                <c:pt idx="115">
                  <c:v>0.17391304347826086</c:v>
                </c:pt>
                <c:pt idx="116">
                  <c:v>0.17241379310344829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7340823970037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ただ2!$L$3:$L$119</c:f>
              <c:numCache>
                <c:formatCode>0.0%</c:formatCode>
                <c:ptCount val="1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0.11764705882352941</c:v>
                </c:pt>
                <c:pt idx="52">
                  <c:v>0.11538461538461539</c:v>
                </c:pt>
                <c:pt idx="53">
                  <c:v>0.11320754716981132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0.1076923076923077</c:v>
                </c:pt>
                <c:pt idx="66">
                  <c:v>0.10606060606060606</c:v>
                </c:pt>
                <c:pt idx="67">
                  <c:v>0.1044776119402985</c:v>
                </c:pt>
                <c:pt idx="68">
                  <c:v>0.11764705882352941</c:v>
                </c:pt>
                <c:pt idx="69">
                  <c:v>0.11594202898550725</c:v>
                </c:pt>
                <c:pt idx="70">
                  <c:v>0.11428571428571428</c:v>
                </c:pt>
                <c:pt idx="71">
                  <c:v>0.11267605633802817</c:v>
                </c:pt>
                <c:pt idx="72">
                  <c:v>0.1111111111111111</c:v>
                </c:pt>
                <c:pt idx="73">
                  <c:v>0.1095890410958904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0.10256410256410256</c:v>
                </c:pt>
                <c:pt idx="79">
                  <c:v>0.10126582278481013</c:v>
                </c:pt>
                <c:pt idx="80">
                  <c:v>0.1</c:v>
                </c:pt>
                <c:pt idx="81">
                  <c:v>9.8765432098765427E-2</c:v>
                </c:pt>
                <c:pt idx="82">
                  <c:v>9.7560975609756101E-2</c:v>
                </c:pt>
                <c:pt idx="83">
                  <c:v>9.6385542168674704E-2</c:v>
                </c:pt>
                <c:pt idx="84">
                  <c:v>9.5238095238095233E-2</c:v>
                </c:pt>
                <c:pt idx="85">
                  <c:v>9.4117647058823528E-2</c:v>
                </c:pt>
                <c:pt idx="86">
                  <c:v>0.10465116279069768</c:v>
                </c:pt>
                <c:pt idx="87">
                  <c:v>0.10344827586206896</c:v>
                </c:pt>
                <c:pt idx="88">
                  <c:v>0.10227272727272728</c:v>
                </c:pt>
                <c:pt idx="89">
                  <c:v>0.10112359550561797</c:v>
                </c:pt>
                <c:pt idx="90">
                  <c:v>0.1</c:v>
                </c:pt>
                <c:pt idx="91">
                  <c:v>0.10989010989010989</c:v>
                </c:pt>
                <c:pt idx="92">
                  <c:v>0.10869565217391304</c:v>
                </c:pt>
                <c:pt idx="93">
                  <c:v>0.10752688172043011</c:v>
                </c:pt>
                <c:pt idx="94">
                  <c:v>0.10638297872340426</c:v>
                </c:pt>
                <c:pt idx="95">
                  <c:v>0.10526315789473684</c:v>
                </c:pt>
                <c:pt idx="96">
                  <c:v>0.10416666666666667</c:v>
                </c:pt>
                <c:pt idx="97">
                  <c:v>0.10309278350515463</c:v>
                </c:pt>
                <c:pt idx="98">
                  <c:v>0.10204081632653061</c:v>
                </c:pt>
                <c:pt idx="99">
                  <c:v>0.10101010101010101</c:v>
                </c:pt>
                <c:pt idx="100">
                  <c:v>0.1</c:v>
                </c:pt>
                <c:pt idx="101">
                  <c:v>9.9009900990099015E-2</c:v>
                </c:pt>
                <c:pt idx="102">
                  <c:v>9.8039215686274508E-2</c:v>
                </c:pt>
                <c:pt idx="103">
                  <c:v>9.7087378640776698E-2</c:v>
                </c:pt>
                <c:pt idx="104">
                  <c:v>9.6153846153846159E-2</c:v>
                </c:pt>
                <c:pt idx="105">
                  <c:v>9.5238095238095233E-2</c:v>
                </c:pt>
                <c:pt idx="106">
                  <c:v>9.4339622641509441E-2</c:v>
                </c:pt>
                <c:pt idx="107">
                  <c:v>9.3457943925233641E-2</c:v>
                </c:pt>
                <c:pt idx="108">
                  <c:v>9.2592592592592587E-2</c:v>
                </c:pt>
                <c:pt idx="109">
                  <c:v>0.10091743119266056</c:v>
                </c:pt>
                <c:pt idx="110">
                  <c:v>0.10909090909090909</c:v>
                </c:pt>
                <c:pt idx="111">
                  <c:v>0.11711711711711711</c:v>
                </c:pt>
                <c:pt idx="112">
                  <c:v>0.11607142857142858</c:v>
                </c:pt>
                <c:pt idx="113">
                  <c:v>0.12389380530973451</c:v>
                </c:pt>
                <c:pt idx="114">
                  <c:v>0.12280701754385964</c:v>
                </c:pt>
                <c:pt idx="115">
                  <c:v>0.12173913043478261</c:v>
                </c:pt>
                <c:pt idx="116">
                  <c:v>0.1206896551724138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7340823970037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ただ2!$M$3:$M$119</c:f>
              <c:numCache>
                <c:formatCode>0.0%</c:formatCode>
                <c:ptCount val="117"/>
                <c:pt idx="1">
                  <c:v>0.16666666666666666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0.21212121212121213</c:v>
                </c:pt>
                <c:pt idx="5">
                  <c:v>0.18604651162790697</c:v>
                </c:pt>
                <c:pt idx="6">
                  <c:v>0.21153846153846154</c:v>
                </c:pt>
                <c:pt idx="7">
                  <c:v>0.21428571428571427</c:v>
                </c:pt>
                <c:pt idx="8">
                  <c:v>0.23809523809523808</c:v>
                </c:pt>
                <c:pt idx="9">
                  <c:v>0.24</c:v>
                </c:pt>
                <c:pt idx="10">
                  <c:v>0.24719101123595505</c:v>
                </c:pt>
                <c:pt idx="11">
                  <c:v>0.22549019607843138</c:v>
                </c:pt>
                <c:pt idx="12">
                  <c:v>0.22321428571428573</c:v>
                </c:pt>
                <c:pt idx="13">
                  <c:v>0.22950819672131148</c:v>
                </c:pt>
                <c:pt idx="14">
                  <c:v>0.21875</c:v>
                </c:pt>
                <c:pt idx="15">
                  <c:v>0.21323529411764705</c:v>
                </c:pt>
                <c:pt idx="16">
                  <c:v>0.22972972972972974</c:v>
                </c:pt>
                <c:pt idx="17">
                  <c:v>0.22875816993464052</c:v>
                </c:pt>
                <c:pt idx="18">
                  <c:v>0.24223602484472051</c:v>
                </c:pt>
                <c:pt idx="19">
                  <c:v>0.23668639053254437</c:v>
                </c:pt>
                <c:pt idx="20">
                  <c:v>0.23121387283236994</c:v>
                </c:pt>
                <c:pt idx="21">
                  <c:v>0.24022346368715083</c:v>
                </c:pt>
                <c:pt idx="22">
                  <c:v>0.24193548387096775</c:v>
                </c:pt>
                <c:pt idx="23">
                  <c:v>0.2356020942408377</c:v>
                </c:pt>
                <c:pt idx="24">
                  <c:v>0.23737373737373738</c:v>
                </c:pt>
                <c:pt idx="25">
                  <c:v>0.24757281553398058</c:v>
                </c:pt>
                <c:pt idx="26">
                  <c:v>0.24528301886792453</c:v>
                </c:pt>
                <c:pt idx="27">
                  <c:v>0.24324324324324326</c:v>
                </c:pt>
                <c:pt idx="28">
                  <c:v>0.23809523809523808</c:v>
                </c:pt>
                <c:pt idx="29">
                  <c:v>0.24583333333333332</c:v>
                </c:pt>
                <c:pt idx="30">
                  <c:v>0.24899598393574296</c:v>
                </c:pt>
                <c:pt idx="31">
                  <c:v>0.24705882352941178</c:v>
                </c:pt>
                <c:pt idx="32">
                  <c:v>0.24436090225563908</c:v>
                </c:pt>
                <c:pt idx="33">
                  <c:v>0.24087591240875914</c:v>
                </c:pt>
                <c:pt idx="34">
                  <c:v>0.24820143884892087</c:v>
                </c:pt>
                <c:pt idx="35">
                  <c:v>0.25088339222614842</c:v>
                </c:pt>
                <c:pt idx="36">
                  <c:v>0.25342465753424659</c:v>
                </c:pt>
                <c:pt idx="37">
                  <c:v>0.24666666666666667</c:v>
                </c:pt>
                <c:pt idx="38">
                  <c:v>0.24919093851132687</c:v>
                </c:pt>
                <c:pt idx="39">
                  <c:v>0.24921135646687698</c:v>
                </c:pt>
                <c:pt idx="40">
                  <c:v>0.25077399380804954</c:v>
                </c:pt>
                <c:pt idx="41">
                  <c:v>0.24848484848484848</c:v>
                </c:pt>
                <c:pt idx="42">
                  <c:v>0.24852071005917159</c:v>
                </c:pt>
                <c:pt idx="43">
                  <c:v>0.24709302325581395</c:v>
                </c:pt>
                <c:pt idx="44">
                  <c:v>0.25423728813559321</c:v>
                </c:pt>
                <c:pt idx="45">
                  <c:v>0.25555555555555554</c:v>
                </c:pt>
                <c:pt idx="46">
                  <c:v>0.25479452054794521</c:v>
                </c:pt>
                <c:pt idx="47">
                  <c:v>0.26005361930294907</c:v>
                </c:pt>
                <c:pt idx="48">
                  <c:v>0.25526315789473686</c:v>
                </c:pt>
                <c:pt idx="49">
                  <c:v>0.26010101010101011</c:v>
                </c:pt>
                <c:pt idx="50">
                  <c:v>0.2536945812807882</c:v>
                </c:pt>
                <c:pt idx="51">
                  <c:v>0.25542168674698795</c:v>
                </c:pt>
                <c:pt idx="52">
                  <c:v>0.25471698113207547</c:v>
                </c:pt>
                <c:pt idx="53">
                  <c:v>0.25173210161662818</c:v>
                </c:pt>
                <c:pt idx="54">
                  <c:v>0.25</c:v>
                </c:pt>
                <c:pt idx="55">
                  <c:v>0.25396825396825395</c:v>
                </c:pt>
                <c:pt idx="56">
                  <c:v>0.25601750547045954</c:v>
                </c:pt>
                <c:pt idx="57">
                  <c:v>0.2569593147751606</c:v>
                </c:pt>
                <c:pt idx="58">
                  <c:v>0.26059322033898308</c:v>
                </c:pt>
                <c:pt idx="59">
                  <c:v>0.25995807127882598</c:v>
                </c:pt>
                <c:pt idx="60">
                  <c:v>0.26069246435845211</c:v>
                </c:pt>
                <c:pt idx="61">
                  <c:v>0.26506024096385544</c:v>
                </c:pt>
                <c:pt idx="62">
                  <c:v>0.26719056974459726</c:v>
                </c:pt>
                <c:pt idx="63">
                  <c:v>0.26819923371647508</c:v>
                </c:pt>
                <c:pt idx="64">
                  <c:v>0.26981132075471698</c:v>
                </c:pt>
                <c:pt idx="65">
                  <c:v>0.26865671641791045</c:v>
                </c:pt>
                <c:pt idx="66">
                  <c:v>0.26568265682656828</c:v>
                </c:pt>
                <c:pt idx="67">
                  <c:v>0.26763110307414106</c:v>
                </c:pt>
                <c:pt idx="68">
                  <c:v>0.27224199288256229</c:v>
                </c:pt>
                <c:pt idx="69">
                  <c:v>0.27272727272727271</c:v>
                </c:pt>
                <c:pt idx="70">
                  <c:v>0.27461139896373055</c:v>
                </c:pt>
                <c:pt idx="71">
                  <c:v>0.27843803056027167</c:v>
                </c:pt>
                <c:pt idx="72">
                  <c:v>0.27666666666666667</c:v>
                </c:pt>
                <c:pt idx="73">
                  <c:v>0.28171334431630973</c:v>
                </c:pt>
                <c:pt idx="74">
                  <c:v>0.28200972447325767</c:v>
                </c:pt>
                <c:pt idx="75">
                  <c:v>0.28434504792332266</c:v>
                </c:pt>
                <c:pt idx="76">
                  <c:v>0.28120063191153238</c:v>
                </c:pt>
                <c:pt idx="77">
                  <c:v>0.28237129485179407</c:v>
                </c:pt>
                <c:pt idx="78">
                  <c:v>0.28153846153846152</c:v>
                </c:pt>
                <c:pt idx="79">
                  <c:v>0.27811550151975684</c:v>
                </c:pt>
                <c:pt idx="80">
                  <c:v>0.27777777777777779</c:v>
                </c:pt>
                <c:pt idx="81">
                  <c:v>0.27448071216617209</c:v>
                </c:pt>
                <c:pt idx="82">
                  <c:v>0.27299270072992698</c:v>
                </c:pt>
                <c:pt idx="83">
                  <c:v>0.27272727272727271</c:v>
                </c:pt>
                <c:pt idx="84">
                  <c:v>0.27620396600566571</c:v>
                </c:pt>
                <c:pt idx="85">
                  <c:v>0.27591036414565828</c:v>
                </c:pt>
                <c:pt idx="86">
                  <c:v>0.27638888888888891</c:v>
                </c:pt>
                <c:pt idx="87">
                  <c:v>0.27961432506887052</c:v>
                </c:pt>
                <c:pt idx="88">
                  <c:v>0.28396739130434784</c:v>
                </c:pt>
                <c:pt idx="89">
                  <c:v>0.28629032258064518</c:v>
                </c:pt>
                <c:pt idx="90">
                  <c:v>0.28026315789473683</c:v>
                </c:pt>
                <c:pt idx="91">
                  <c:v>0.28031290743155152</c:v>
                </c:pt>
                <c:pt idx="92">
                  <c:v>0.27777777777777779</c:v>
                </c:pt>
                <c:pt idx="93">
                  <c:v>0.2763496143958869</c:v>
                </c:pt>
                <c:pt idx="94">
                  <c:v>0.27643312101910827</c:v>
                </c:pt>
                <c:pt idx="95">
                  <c:v>0.27490542244640603</c:v>
                </c:pt>
                <c:pt idx="96">
                  <c:v>0.27306733167082292</c:v>
                </c:pt>
                <c:pt idx="97">
                  <c:v>0.27103960396039606</c:v>
                </c:pt>
                <c:pt idx="98">
                  <c:v>0.27161997563946405</c:v>
                </c:pt>
                <c:pt idx="99">
                  <c:v>0.27382388419782872</c:v>
                </c:pt>
                <c:pt idx="100">
                  <c:v>0.27413587604290823</c:v>
                </c:pt>
                <c:pt idx="101">
                  <c:v>0.27262044653348999</c:v>
                </c:pt>
                <c:pt idx="102">
                  <c:v>0.27272727272727271</c:v>
                </c:pt>
                <c:pt idx="103">
                  <c:v>0.26949541284403672</c:v>
                </c:pt>
                <c:pt idx="104">
                  <c:v>0.26787741203178206</c:v>
                </c:pt>
                <c:pt idx="105">
                  <c:v>0.26905829596412556</c:v>
                </c:pt>
                <c:pt idx="106">
                  <c:v>0.26777777777777778</c:v>
                </c:pt>
                <c:pt idx="107">
                  <c:v>0.26622662266226621</c:v>
                </c:pt>
                <c:pt idx="108">
                  <c:v>0.26521739130434785</c:v>
                </c:pt>
                <c:pt idx="109">
                  <c:v>0.26429341963322545</c:v>
                </c:pt>
                <c:pt idx="110">
                  <c:v>0.26423200859291085</c:v>
                </c:pt>
                <c:pt idx="111">
                  <c:v>0.26673751328374068</c:v>
                </c:pt>
                <c:pt idx="112">
                  <c:v>0.26498422712933756</c:v>
                </c:pt>
                <c:pt idx="113">
                  <c:v>0.26436781609195403</c:v>
                </c:pt>
                <c:pt idx="114">
                  <c:v>0.26354166666666667</c:v>
                </c:pt>
                <c:pt idx="115">
                  <c:v>0.26131687242798352</c:v>
                </c:pt>
                <c:pt idx="116">
                  <c:v>0.26144455747711087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4527452745274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ただ2!$N$3:$N$119</c:f>
              <c:numCache>
                <c:formatCode>0.0%</c:formatCode>
                <c:ptCount val="117"/>
                <c:pt idx="1">
                  <c:v>0.16666666666666666</c:v>
                </c:pt>
                <c:pt idx="2">
                  <c:v>0.25</c:v>
                </c:pt>
                <c:pt idx="3">
                  <c:v>0.30769230769230771</c:v>
                </c:pt>
                <c:pt idx="4">
                  <c:v>0.24242424242424243</c:v>
                </c:pt>
                <c:pt idx="5">
                  <c:v>0.18604651162790697</c:v>
                </c:pt>
                <c:pt idx="6">
                  <c:v>0.15384615384615385</c:v>
                </c:pt>
                <c:pt idx="7">
                  <c:v>0.14285714285714285</c:v>
                </c:pt>
                <c:pt idx="8">
                  <c:v>0.12698412698412698</c:v>
                </c:pt>
                <c:pt idx="9">
                  <c:v>0.10666666666666667</c:v>
                </c:pt>
                <c:pt idx="10">
                  <c:v>0.10112359550561797</c:v>
                </c:pt>
                <c:pt idx="11">
                  <c:v>9.8039215686274508E-2</c:v>
                </c:pt>
                <c:pt idx="12">
                  <c:v>8.9285714285714288E-2</c:v>
                </c:pt>
                <c:pt idx="13">
                  <c:v>9.8360655737704916E-2</c:v>
                </c:pt>
                <c:pt idx="14">
                  <c:v>0.1015625</c:v>
                </c:pt>
                <c:pt idx="15">
                  <c:v>0.11029411764705882</c:v>
                </c:pt>
                <c:pt idx="16">
                  <c:v>0.10810810810810811</c:v>
                </c:pt>
                <c:pt idx="17">
                  <c:v>0.11764705882352941</c:v>
                </c:pt>
                <c:pt idx="18">
                  <c:v>0.11180124223602485</c:v>
                </c:pt>
                <c:pt idx="19">
                  <c:v>0.11242603550295859</c:v>
                </c:pt>
                <c:pt idx="20">
                  <c:v>0.11560693641618497</c:v>
                </c:pt>
                <c:pt idx="21">
                  <c:v>0.11731843575418995</c:v>
                </c:pt>
                <c:pt idx="22">
                  <c:v>0.11827956989247312</c:v>
                </c:pt>
                <c:pt idx="23">
                  <c:v>0.11518324607329843</c:v>
                </c:pt>
                <c:pt idx="24">
                  <c:v>0.11616161616161616</c:v>
                </c:pt>
                <c:pt idx="25">
                  <c:v>0.11165048543689321</c:v>
                </c:pt>
                <c:pt idx="26">
                  <c:v>0.12264150943396226</c:v>
                </c:pt>
                <c:pt idx="27">
                  <c:v>0.13513513513513514</c:v>
                </c:pt>
                <c:pt idx="28">
                  <c:v>0.12987012987012986</c:v>
                </c:pt>
                <c:pt idx="29">
                  <c:v>0.125</c:v>
                </c:pt>
                <c:pt idx="30">
                  <c:v>0.12449799196787148</c:v>
                </c:pt>
                <c:pt idx="31">
                  <c:v>0.12549019607843137</c:v>
                </c:pt>
                <c:pt idx="32">
                  <c:v>0.13909774436090225</c:v>
                </c:pt>
                <c:pt idx="33">
                  <c:v>0.145985401459854</c:v>
                </c:pt>
                <c:pt idx="34">
                  <c:v>0.14388489208633093</c:v>
                </c:pt>
                <c:pt idx="35">
                  <c:v>0.14487632508833923</c:v>
                </c:pt>
                <c:pt idx="36">
                  <c:v>0.14726027397260275</c:v>
                </c:pt>
                <c:pt idx="37">
                  <c:v>0.14666666666666667</c:v>
                </c:pt>
                <c:pt idx="38">
                  <c:v>0.14563106796116504</c:v>
                </c:pt>
                <c:pt idx="39">
                  <c:v>0.14826498422712933</c:v>
                </c:pt>
                <c:pt idx="40">
                  <c:v>0.15170278637770898</c:v>
                </c:pt>
                <c:pt idx="41">
                  <c:v>0.15151515151515152</c:v>
                </c:pt>
                <c:pt idx="42">
                  <c:v>0.15384615384615385</c:v>
                </c:pt>
                <c:pt idx="43">
                  <c:v>0.15697674418604651</c:v>
                </c:pt>
                <c:pt idx="44">
                  <c:v>0.15819209039548024</c:v>
                </c:pt>
                <c:pt idx="45">
                  <c:v>0.15833333333333333</c:v>
                </c:pt>
                <c:pt idx="46">
                  <c:v>0.15890410958904111</c:v>
                </c:pt>
                <c:pt idx="47">
                  <c:v>0.15549597855227881</c:v>
                </c:pt>
                <c:pt idx="48">
                  <c:v>0.15526315789473685</c:v>
                </c:pt>
                <c:pt idx="49">
                  <c:v>0.15404040404040403</c:v>
                </c:pt>
                <c:pt idx="50">
                  <c:v>0.15270935960591134</c:v>
                </c:pt>
                <c:pt idx="51">
                  <c:v>0.15421686746987953</c:v>
                </c:pt>
                <c:pt idx="52">
                  <c:v>0.15566037735849056</c:v>
                </c:pt>
                <c:pt idx="53">
                  <c:v>0.15704387990762125</c:v>
                </c:pt>
                <c:pt idx="54">
                  <c:v>0.15825688073394495</c:v>
                </c:pt>
                <c:pt idx="55">
                  <c:v>0.15646258503401361</c:v>
                </c:pt>
                <c:pt idx="56">
                  <c:v>0.15536105032822758</c:v>
                </c:pt>
                <c:pt idx="57">
                  <c:v>0.15631691648822268</c:v>
                </c:pt>
                <c:pt idx="58">
                  <c:v>0.15466101694915255</c:v>
                </c:pt>
                <c:pt idx="59">
                  <c:v>0.15513626834381553</c:v>
                </c:pt>
                <c:pt idx="60">
                  <c:v>0.15885947046843177</c:v>
                </c:pt>
                <c:pt idx="61">
                  <c:v>0.16265060240963855</c:v>
                </c:pt>
                <c:pt idx="62">
                  <c:v>0.16502946954813361</c:v>
                </c:pt>
                <c:pt idx="63">
                  <c:v>0.16475095785440613</c:v>
                </c:pt>
                <c:pt idx="64">
                  <c:v>0.16226415094339622</c:v>
                </c:pt>
                <c:pt idx="65">
                  <c:v>0.16604477611940299</c:v>
                </c:pt>
                <c:pt idx="66">
                  <c:v>0.16605166051660517</c:v>
                </c:pt>
                <c:pt idx="67">
                  <c:v>0.16636528028933092</c:v>
                </c:pt>
                <c:pt idx="68">
                  <c:v>0.16370106761565836</c:v>
                </c:pt>
                <c:pt idx="69">
                  <c:v>0.16433566433566432</c:v>
                </c:pt>
                <c:pt idx="70">
                  <c:v>0.16407599309153714</c:v>
                </c:pt>
                <c:pt idx="71">
                  <c:v>0.16298811544991512</c:v>
                </c:pt>
                <c:pt idx="72">
                  <c:v>0.16333333333333333</c:v>
                </c:pt>
                <c:pt idx="73">
                  <c:v>0.16144975288303129</c:v>
                </c:pt>
                <c:pt idx="74">
                  <c:v>0.15883306320907617</c:v>
                </c:pt>
                <c:pt idx="75">
                  <c:v>0.15654952076677317</c:v>
                </c:pt>
                <c:pt idx="76">
                  <c:v>0.15797788309636651</c:v>
                </c:pt>
                <c:pt idx="77">
                  <c:v>0.15600624024960999</c:v>
                </c:pt>
                <c:pt idx="78">
                  <c:v>0.15538461538461537</c:v>
                </c:pt>
                <c:pt idx="79">
                  <c:v>0.15501519756838905</c:v>
                </c:pt>
                <c:pt idx="80">
                  <c:v>0.15915915915915915</c:v>
                </c:pt>
                <c:pt idx="81">
                  <c:v>0.16172106824925817</c:v>
                </c:pt>
                <c:pt idx="82">
                  <c:v>0.1635036496350365</c:v>
                </c:pt>
                <c:pt idx="83">
                  <c:v>0.16450216450216451</c:v>
                </c:pt>
                <c:pt idx="84">
                  <c:v>0.1643059490084986</c:v>
                </c:pt>
                <c:pt idx="85">
                  <c:v>0.1638655462184874</c:v>
                </c:pt>
                <c:pt idx="86">
                  <c:v>0.16666666666666666</c:v>
                </c:pt>
                <c:pt idx="87">
                  <c:v>0.16528925619834711</c:v>
                </c:pt>
                <c:pt idx="88">
                  <c:v>0.16440217391304349</c:v>
                </c:pt>
                <c:pt idx="89">
                  <c:v>0.16263440860215053</c:v>
                </c:pt>
                <c:pt idx="90">
                  <c:v>0.16052631578947368</c:v>
                </c:pt>
                <c:pt idx="91">
                  <c:v>0.16166883963494133</c:v>
                </c:pt>
                <c:pt idx="92">
                  <c:v>0.16020671834625322</c:v>
                </c:pt>
                <c:pt idx="93">
                  <c:v>0.15938303341902313</c:v>
                </c:pt>
                <c:pt idx="94">
                  <c:v>0.16305732484076432</c:v>
                </c:pt>
                <c:pt idx="95">
                  <c:v>0.16393442622950818</c:v>
                </c:pt>
                <c:pt idx="96">
                  <c:v>0.16583541147132169</c:v>
                </c:pt>
                <c:pt idx="97">
                  <c:v>0.16831683168316833</c:v>
                </c:pt>
                <c:pt idx="98">
                  <c:v>0.17052375152253349</c:v>
                </c:pt>
                <c:pt idx="99">
                  <c:v>0.17008443908323281</c:v>
                </c:pt>
                <c:pt idx="100">
                  <c:v>0.17401668653158522</c:v>
                </c:pt>
                <c:pt idx="101">
                  <c:v>0.1762632197414806</c:v>
                </c:pt>
                <c:pt idx="102">
                  <c:v>0.17482517482517482</c:v>
                </c:pt>
                <c:pt idx="103">
                  <c:v>0.17545871559633028</c:v>
                </c:pt>
                <c:pt idx="104">
                  <c:v>0.17593643586833144</c:v>
                </c:pt>
                <c:pt idx="105">
                  <c:v>0.17713004484304934</c:v>
                </c:pt>
                <c:pt idx="106">
                  <c:v>0.17888888888888888</c:v>
                </c:pt>
                <c:pt idx="107">
                  <c:v>0.18041804180418042</c:v>
                </c:pt>
                <c:pt idx="108">
                  <c:v>0.18260869565217391</c:v>
                </c:pt>
                <c:pt idx="109">
                  <c:v>0.18230852211434737</c:v>
                </c:pt>
                <c:pt idx="110">
                  <c:v>0.18259935553168635</c:v>
                </c:pt>
                <c:pt idx="111">
                  <c:v>0.18172157279489903</c:v>
                </c:pt>
                <c:pt idx="112">
                  <c:v>0.18191377497371189</c:v>
                </c:pt>
                <c:pt idx="113">
                  <c:v>0.18181818181818182</c:v>
                </c:pt>
                <c:pt idx="114">
                  <c:v>0.18124999999999999</c:v>
                </c:pt>
                <c:pt idx="115">
                  <c:v>0.18209876543209877</c:v>
                </c:pt>
                <c:pt idx="116">
                  <c:v>0.18107833163784334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371137113711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ただ2!$O$3:$O$119</c:f>
              <c:numCache>
                <c:formatCode>0.0%</c:formatCode>
                <c:ptCount val="117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0.6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0.47826086956521741</c:v>
                </c:pt>
                <c:pt idx="12">
                  <c:v>0.48</c:v>
                </c:pt>
                <c:pt idx="13">
                  <c:v>0.5</c:v>
                </c:pt>
                <c:pt idx="14">
                  <c:v>0.5</c:v>
                </c:pt>
                <c:pt idx="15">
                  <c:v>0.51724137931034486</c:v>
                </c:pt>
                <c:pt idx="16">
                  <c:v>0.47058823529411764</c:v>
                </c:pt>
                <c:pt idx="17">
                  <c:v>0.45714285714285713</c:v>
                </c:pt>
                <c:pt idx="18">
                  <c:v>0.46153846153846156</c:v>
                </c:pt>
                <c:pt idx="19">
                  <c:v>0.47499999999999998</c:v>
                </c:pt>
                <c:pt idx="20">
                  <c:v>0.47499999999999998</c:v>
                </c:pt>
                <c:pt idx="21">
                  <c:v>0.46511627906976744</c:v>
                </c:pt>
                <c:pt idx="22">
                  <c:v>0.46666666666666667</c:v>
                </c:pt>
                <c:pt idx="23">
                  <c:v>0.46666666666666667</c:v>
                </c:pt>
                <c:pt idx="24">
                  <c:v>0.46808510638297873</c:v>
                </c:pt>
                <c:pt idx="25">
                  <c:v>0.49019607843137253</c:v>
                </c:pt>
                <c:pt idx="26">
                  <c:v>0.5</c:v>
                </c:pt>
                <c:pt idx="27">
                  <c:v>0.48148148148148145</c:v>
                </c:pt>
                <c:pt idx="28">
                  <c:v>0.47272727272727272</c:v>
                </c:pt>
                <c:pt idx="29">
                  <c:v>0.47457627118644069</c:v>
                </c:pt>
                <c:pt idx="30">
                  <c:v>0.5</c:v>
                </c:pt>
                <c:pt idx="31">
                  <c:v>0.49206349206349204</c:v>
                </c:pt>
                <c:pt idx="32">
                  <c:v>0.47692307692307695</c:v>
                </c:pt>
                <c:pt idx="33">
                  <c:v>0.46969696969696972</c:v>
                </c:pt>
                <c:pt idx="34">
                  <c:v>0.47826086956521741</c:v>
                </c:pt>
                <c:pt idx="35">
                  <c:v>0.49295774647887325</c:v>
                </c:pt>
                <c:pt idx="36">
                  <c:v>0.51351351351351349</c:v>
                </c:pt>
                <c:pt idx="37">
                  <c:v>0.51351351351351349</c:v>
                </c:pt>
                <c:pt idx="38">
                  <c:v>0.50649350649350644</c:v>
                </c:pt>
                <c:pt idx="39">
                  <c:v>0.51898734177215189</c:v>
                </c:pt>
                <c:pt idx="40">
                  <c:v>0.50617283950617287</c:v>
                </c:pt>
                <c:pt idx="41">
                  <c:v>0.51219512195121952</c:v>
                </c:pt>
                <c:pt idx="42">
                  <c:v>0.52380952380952384</c:v>
                </c:pt>
                <c:pt idx="43">
                  <c:v>0.52941176470588236</c:v>
                </c:pt>
                <c:pt idx="44">
                  <c:v>0.53333333333333333</c:v>
                </c:pt>
                <c:pt idx="45">
                  <c:v>0.53260869565217395</c:v>
                </c:pt>
                <c:pt idx="46">
                  <c:v>0.5376344086021505</c:v>
                </c:pt>
                <c:pt idx="47">
                  <c:v>0.52577319587628868</c:v>
                </c:pt>
                <c:pt idx="48">
                  <c:v>0.52577319587628868</c:v>
                </c:pt>
                <c:pt idx="49">
                  <c:v>0.52427184466019416</c:v>
                </c:pt>
                <c:pt idx="50">
                  <c:v>0.52427184466019416</c:v>
                </c:pt>
                <c:pt idx="51">
                  <c:v>0.51886792452830188</c:v>
                </c:pt>
                <c:pt idx="52">
                  <c:v>0.51851851851851849</c:v>
                </c:pt>
                <c:pt idx="53">
                  <c:v>0.52293577981651373</c:v>
                </c:pt>
                <c:pt idx="54">
                  <c:v>0.52293577981651373</c:v>
                </c:pt>
                <c:pt idx="55">
                  <c:v>0.5267857142857143</c:v>
                </c:pt>
                <c:pt idx="56">
                  <c:v>0.51282051282051277</c:v>
                </c:pt>
                <c:pt idx="57">
                  <c:v>0.51666666666666672</c:v>
                </c:pt>
                <c:pt idx="58">
                  <c:v>0.51219512195121952</c:v>
                </c:pt>
                <c:pt idx="59">
                  <c:v>0.5161290322580645</c:v>
                </c:pt>
                <c:pt idx="60">
                  <c:v>0.515625</c:v>
                </c:pt>
                <c:pt idx="61">
                  <c:v>0.51515151515151514</c:v>
                </c:pt>
                <c:pt idx="62">
                  <c:v>0.50735294117647056</c:v>
                </c:pt>
                <c:pt idx="63">
                  <c:v>0.5</c:v>
                </c:pt>
                <c:pt idx="64">
                  <c:v>0.49650349650349651</c:v>
                </c:pt>
                <c:pt idx="65">
                  <c:v>0.49305555555555558</c:v>
                </c:pt>
                <c:pt idx="66">
                  <c:v>0.49305555555555558</c:v>
                </c:pt>
                <c:pt idx="67">
                  <c:v>0.5</c:v>
                </c:pt>
                <c:pt idx="68">
                  <c:v>0.5163398692810458</c:v>
                </c:pt>
                <c:pt idx="69">
                  <c:v>0.51282051282051277</c:v>
                </c:pt>
                <c:pt idx="70">
                  <c:v>0.50943396226415094</c:v>
                </c:pt>
                <c:pt idx="71">
                  <c:v>0.51219512195121952</c:v>
                </c:pt>
                <c:pt idx="72">
                  <c:v>0.51807228915662651</c:v>
                </c:pt>
                <c:pt idx="73">
                  <c:v>0.52631578947368418</c:v>
                </c:pt>
                <c:pt idx="74">
                  <c:v>0.52298850574712641</c:v>
                </c:pt>
                <c:pt idx="75">
                  <c:v>0.5112359550561798</c:v>
                </c:pt>
                <c:pt idx="76">
                  <c:v>0.5112359550561798</c:v>
                </c:pt>
                <c:pt idx="77">
                  <c:v>0.51933701657458564</c:v>
                </c:pt>
                <c:pt idx="78">
                  <c:v>0.51912568306010931</c:v>
                </c:pt>
                <c:pt idx="79">
                  <c:v>0.51912568306010931</c:v>
                </c:pt>
                <c:pt idx="80">
                  <c:v>0.51891891891891895</c:v>
                </c:pt>
                <c:pt idx="81">
                  <c:v>0.51891891891891895</c:v>
                </c:pt>
                <c:pt idx="82">
                  <c:v>0.52406417112299464</c:v>
                </c:pt>
                <c:pt idx="83">
                  <c:v>0.52380952380952384</c:v>
                </c:pt>
                <c:pt idx="84">
                  <c:v>0.52820512820512822</c:v>
                </c:pt>
                <c:pt idx="85">
                  <c:v>0.52284263959390864</c:v>
                </c:pt>
                <c:pt idx="86">
                  <c:v>0.52763819095477382</c:v>
                </c:pt>
                <c:pt idx="87">
                  <c:v>0.52216748768472909</c:v>
                </c:pt>
                <c:pt idx="88">
                  <c:v>0.52153110047846885</c:v>
                </c:pt>
                <c:pt idx="89">
                  <c:v>0.52112676056338025</c:v>
                </c:pt>
                <c:pt idx="90">
                  <c:v>0.52112676056338025</c:v>
                </c:pt>
                <c:pt idx="91">
                  <c:v>0.52093023255813953</c:v>
                </c:pt>
                <c:pt idx="92">
                  <c:v>0.52093023255813953</c:v>
                </c:pt>
                <c:pt idx="93">
                  <c:v>0.52093023255813953</c:v>
                </c:pt>
                <c:pt idx="94">
                  <c:v>0.52073732718894006</c:v>
                </c:pt>
                <c:pt idx="95">
                  <c:v>0.52293577981651373</c:v>
                </c:pt>
                <c:pt idx="96">
                  <c:v>0.52511415525114158</c:v>
                </c:pt>
                <c:pt idx="97">
                  <c:v>0.52511415525114158</c:v>
                </c:pt>
                <c:pt idx="98">
                  <c:v>0.52017937219730936</c:v>
                </c:pt>
                <c:pt idx="99">
                  <c:v>0.51982378854625555</c:v>
                </c:pt>
                <c:pt idx="100">
                  <c:v>0.52173913043478259</c:v>
                </c:pt>
                <c:pt idx="101">
                  <c:v>0.52586206896551724</c:v>
                </c:pt>
                <c:pt idx="102">
                  <c:v>0.52991452991452992</c:v>
                </c:pt>
                <c:pt idx="103">
                  <c:v>0.53191489361702127</c:v>
                </c:pt>
                <c:pt idx="104">
                  <c:v>0.52966101694915257</c:v>
                </c:pt>
                <c:pt idx="105">
                  <c:v>0.52916666666666667</c:v>
                </c:pt>
                <c:pt idx="106">
                  <c:v>0.53112033195020747</c:v>
                </c:pt>
                <c:pt idx="107">
                  <c:v>0.53305785123966942</c:v>
                </c:pt>
                <c:pt idx="108">
                  <c:v>0.53688524590163933</c:v>
                </c:pt>
                <c:pt idx="109">
                  <c:v>0.53877551020408165</c:v>
                </c:pt>
                <c:pt idx="110">
                  <c:v>0.54065040650406504</c:v>
                </c:pt>
                <c:pt idx="111">
                  <c:v>0.53784860557768921</c:v>
                </c:pt>
                <c:pt idx="112">
                  <c:v>0.53968253968253965</c:v>
                </c:pt>
                <c:pt idx="113">
                  <c:v>0.54150197628458496</c:v>
                </c:pt>
                <c:pt idx="114">
                  <c:v>0.54150197628458496</c:v>
                </c:pt>
                <c:pt idx="115">
                  <c:v>0.54330708661417326</c:v>
                </c:pt>
                <c:pt idx="116">
                  <c:v>0.54474708171206221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5409836065573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ただ2!$P$3:$P$119</c:f>
              <c:numCache>
                <c:formatCode>0.0%</c:formatCode>
                <c:ptCount val="117"/>
                <c:pt idx="1">
                  <c:v>0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0.375</c:v>
                </c:pt>
                <c:pt idx="6">
                  <c:v>0.375</c:v>
                </c:pt>
                <c:pt idx="7">
                  <c:v>0.375</c:v>
                </c:pt>
                <c:pt idx="8">
                  <c:v>0.375</c:v>
                </c:pt>
                <c:pt idx="9">
                  <c:v>0.375</c:v>
                </c:pt>
                <c:pt idx="10">
                  <c:v>0.44444444444444442</c:v>
                </c:pt>
                <c:pt idx="11">
                  <c:v>0.4</c:v>
                </c:pt>
                <c:pt idx="12">
                  <c:v>0.4</c:v>
                </c:pt>
                <c:pt idx="13">
                  <c:v>0.33333333333333331</c:v>
                </c:pt>
                <c:pt idx="14">
                  <c:v>0.30769230769230771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0.22222222222222221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0.18181818181818182</c:v>
                </c:pt>
                <c:pt idx="24">
                  <c:v>0.17391304347826086</c:v>
                </c:pt>
                <c:pt idx="25">
                  <c:v>0.17391304347826086</c:v>
                </c:pt>
                <c:pt idx="26">
                  <c:v>0.15384615384615385</c:v>
                </c:pt>
                <c:pt idx="27">
                  <c:v>0.13333333333333333</c:v>
                </c:pt>
                <c:pt idx="28">
                  <c:v>0.13333333333333333</c:v>
                </c:pt>
                <c:pt idx="29">
                  <c:v>0.13333333333333333</c:v>
                </c:pt>
                <c:pt idx="30">
                  <c:v>0.12903225806451613</c:v>
                </c:pt>
                <c:pt idx="31">
                  <c:v>0.15625</c:v>
                </c:pt>
                <c:pt idx="32">
                  <c:v>0.1891891891891892</c:v>
                </c:pt>
                <c:pt idx="33">
                  <c:v>0.17499999999999999</c:v>
                </c:pt>
                <c:pt idx="34">
                  <c:v>0.17499999999999999</c:v>
                </c:pt>
                <c:pt idx="35">
                  <c:v>0.17073170731707318</c:v>
                </c:pt>
                <c:pt idx="36">
                  <c:v>0.18604651162790697</c:v>
                </c:pt>
                <c:pt idx="37">
                  <c:v>0.18181818181818182</c:v>
                </c:pt>
                <c:pt idx="38">
                  <c:v>0.2</c:v>
                </c:pt>
                <c:pt idx="39">
                  <c:v>0.21276595744680851</c:v>
                </c:pt>
                <c:pt idx="40">
                  <c:v>0.20408163265306123</c:v>
                </c:pt>
                <c:pt idx="41">
                  <c:v>0.2</c:v>
                </c:pt>
                <c:pt idx="42">
                  <c:v>0.19230769230769232</c:v>
                </c:pt>
                <c:pt idx="43">
                  <c:v>0.20370370370370369</c:v>
                </c:pt>
                <c:pt idx="44">
                  <c:v>0.19642857142857142</c:v>
                </c:pt>
                <c:pt idx="45">
                  <c:v>0.19298245614035087</c:v>
                </c:pt>
                <c:pt idx="46">
                  <c:v>0.20689655172413793</c:v>
                </c:pt>
                <c:pt idx="47">
                  <c:v>0.20689655172413793</c:v>
                </c:pt>
                <c:pt idx="48">
                  <c:v>0.22033898305084745</c:v>
                </c:pt>
                <c:pt idx="49">
                  <c:v>0.22950819672131148</c:v>
                </c:pt>
                <c:pt idx="50">
                  <c:v>0.24193548387096775</c:v>
                </c:pt>
                <c:pt idx="51">
                  <c:v>0.234375</c:v>
                </c:pt>
                <c:pt idx="52">
                  <c:v>0.25757575757575757</c:v>
                </c:pt>
                <c:pt idx="53">
                  <c:v>0.25</c:v>
                </c:pt>
                <c:pt idx="54">
                  <c:v>0.24637681159420291</c:v>
                </c:pt>
                <c:pt idx="55">
                  <c:v>0.24637681159420291</c:v>
                </c:pt>
                <c:pt idx="56">
                  <c:v>0.23943661971830985</c:v>
                </c:pt>
                <c:pt idx="57">
                  <c:v>0.24657534246575341</c:v>
                </c:pt>
                <c:pt idx="58">
                  <c:v>0.24657534246575341</c:v>
                </c:pt>
                <c:pt idx="59">
                  <c:v>0.24324324324324326</c:v>
                </c:pt>
                <c:pt idx="60">
                  <c:v>0.24358974358974358</c:v>
                </c:pt>
                <c:pt idx="61">
                  <c:v>0.23456790123456789</c:v>
                </c:pt>
                <c:pt idx="62">
                  <c:v>0.22619047619047619</c:v>
                </c:pt>
                <c:pt idx="63">
                  <c:v>0.23255813953488372</c:v>
                </c:pt>
                <c:pt idx="64">
                  <c:v>0.23255813953488372</c:v>
                </c:pt>
                <c:pt idx="65">
                  <c:v>0.23595505617977527</c:v>
                </c:pt>
                <c:pt idx="66">
                  <c:v>0.23333333333333334</c:v>
                </c:pt>
                <c:pt idx="67">
                  <c:v>0.22826086956521738</c:v>
                </c:pt>
                <c:pt idx="68">
                  <c:v>0.22826086956521738</c:v>
                </c:pt>
                <c:pt idx="69">
                  <c:v>0.22340425531914893</c:v>
                </c:pt>
                <c:pt idx="70">
                  <c:v>0.22105263157894736</c:v>
                </c:pt>
                <c:pt idx="71">
                  <c:v>0.21875</c:v>
                </c:pt>
                <c:pt idx="72">
                  <c:v>0.22448979591836735</c:v>
                </c:pt>
                <c:pt idx="73">
                  <c:v>0.22448979591836735</c:v>
                </c:pt>
                <c:pt idx="74">
                  <c:v>0.22448979591836735</c:v>
                </c:pt>
                <c:pt idx="75">
                  <c:v>0.22448979591836735</c:v>
                </c:pt>
                <c:pt idx="76">
                  <c:v>0.23</c:v>
                </c:pt>
                <c:pt idx="77">
                  <c:v>0.23</c:v>
                </c:pt>
                <c:pt idx="78">
                  <c:v>0.23762376237623761</c:v>
                </c:pt>
                <c:pt idx="79">
                  <c:v>0.23529411764705882</c:v>
                </c:pt>
                <c:pt idx="80">
                  <c:v>0.23584905660377359</c:v>
                </c:pt>
                <c:pt idx="81">
                  <c:v>0.22935779816513763</c:v>
                </c:pt>
                <c:pt idx="82">
                  <c:v>0.22321428571428573</c:v>
                </c:pt>
                <c:pt idx="83">
                  <c:v>0.22807017543859648</c:v>
                </c:pt>
                <c:pt idx="84">
                  <c:v>0.22413793103448276</c:v>
                </c:pt>
                <c:pt idx="85">
                  <c:v>0.23076923076923078</c:v>
                </c:pt>
                <c:pt idx="86">
                  <c:v>0.24166666666666667</c:v>
                </c:pt>
                <c:pt idx="87">
                  <c:v>0.24166666666666667</c:v>
                </c:pt>
                <c:pt idx="88">
                  <c:v>0.24793388429752067</c:v>
                </c:pt>
                <c:pt idx="89">
                  <c:v>0.24793388429752067</c:v>
                </c:pt>
                <c:pt idx="90">
                  <c:v>0.25409836065573771</c:v>
                </c:pt>
                <c:pt idx="91">
                  <c:v>0.25</c:v>
                </c:pt>
                <c:pt idx="92">
                  <c:v>0.25</c:v>
                </c:pt>
                <c:pt idx="93">
                  <c:v>0.25</c:v>
                </c:pt>
                <c:pt idx="94">
                  <c:v>0.265625</c:v>
                </c:pt>
                <c:pt idx="95">
                  <c:v>0.26153846153846155</c:v>
                </c:pt>
                <c:pt idx="96">
                  <c:v>0.26315789473684209</c:v>
                </c:pt>
                <c:pt idx="97">
                  <c:v>0.27205882352941174</c:v>
                </c:pt>
                <c:pt idx="98">
                  <c:v>0.27857142857142858</c:v>
                </c:pt>
                <c:pt idx="99">
                  <c:v>0.27659574468085107</c:v>
                </c:pt>
                <c:pt idx="100">
                  <c:v>0.27397260273972601</c:v>
                </c:pt>
                <c:pt idx="101">
                  <c:v>0.28000000000000003</c:v>
                </c:pt>
                <c:pt idx="102">
                  <c:v>0.28000000000000003</c:v>
                </c:pt>
                <c:pt idx="103">
                  <c:v>0.28104575163398693</c:v>
                </c:pt>
                <c:pt idx="104">
                  <c:v>0.27741935483870966</c:v>
                </c:pt>
                <c:pt idx="105">
                  <c:v>0.27848101265822783</c:v>
                </c:pt>
                <c:pt idx="106">
                  <c:v>0.2857142857142857</c:v>
                </c:pt>
                <c:pt idx="107">
                  <c:v>0.29268292682926828</c:v>
                </c:pt>
                <c:pt idx="108">
                  <c:v>0.29761904761904762</c:v>
                </c:pt>
                <c:pt idx="109">
                  <c:v>0.29585798816568049</c:v>
                </c:pt>
                <c:pt idx="110">
                  <c:v>0.3</c:v>
                </c:pt>
                <c:pt idx="111">
                  <c:v>0.30409356725146197</c:v>
                </c:pt>
                <c:pt idx="112">
                  <c:v>0.30635838150289019</c:v>
                </c:pt>
                <c:pt idx="113">
                  <c:v>0.3045977011494253</c:v>
                </c:pt>
                <c:pt idx="114">
                  <c:v>0.3045977011494253</c:v>
                </c:pt>
                <c:pt idx="115">
                  <c:v>0.30508474576271188</c:v>
                </c:pt>
                <c:pt idx="116">
                  <c:v>0.3089887640449438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896380411639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ただ2!$Q$1:$Q$2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ただ2!$A$3:$A$119</c:f>
              <c:numCache>
                <c:formatCode>0\ "回"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ただ2!$Q$3:$Q$119</c:f>
              <c:numCache>
                <c:formatCode>0.0%</c:formatCode>
                <c:ptCount val="117"/>
                <c:pt idx="1">
                  <c:v>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0.22222222222222221</c:v>
                </c:pt>
                <c:pt idx="5">
                  <c:v>0.30769230769230771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0.31578947368421051</c:v>
                </c:pt>
                <c:pt idx="10">
                  <c:v>0.38095238095238093</c:v>
                </c:pt>
                <c:pt idx="11">
                  <c:v>0.38095238095238093</c:v>
                </c:pt>
                <c:pt idx="12">
                  <c:v>0.375</c:v>
                </c:pt>
                <c:pt idx="13">
                  <c:v>0.40740740740740738</c:v>
                </c:pt>
                <c:pt idx="14">
                  <c:v>0.40740740740740738</c:v>
                </c:pt>
                <c:pt idx="15">
                  <c:v>0.39285714285714285</c:v>
                </c:pt>
                <c:pt idx="16">
                  <c:v>0.41379310344827586</c:v>
                </c:pt>
                <c:pt idx="17">
                  <c:v>0.41379310344827586</c:v>
                </c:pt>
                <c:pt idx="18">
                  <c:v>0.46875</c:v>
                </c:pt>
                <c:pt idx="19">
                  <c:v>0.45454545454545453</c:v>
                </c:pt>
                <c:pt idx="20">
                  <c:v>0.45454545454545453</c:v>
                </c:pt>
                <c:pt idx="21">
                  <c:v>0.47058823529411764</c:v>
                </c:pt>
                <c:pt idx="22">
                  <c:v>0.48571428571428571</c:v>
                </c:pt>
                <c:pt idx="23">
                  <c:v>0.48571428571428571</c:v>
                </c:pt>
                <c:pt idx="24">
                  <c:v>0.47222222222222221</c:v>
                </c:pt>
                <c:pt idx="25">
                  <c:v>0.5</c:v>
                </c:pt>
                <c:pt idx="26">
                  <c:v>0.51219512195121952</c:v>
                </c:pt>
                <c:pt idx="27">
                  <c:v>0.51219512195121952</c:v>
                </c:pt>
                <c:pt idx="28">
                  <c:v>0.51219512195121952</c:v>
                </c:pt>
                <c:pt idx="29">
                  <c:v>0.55555555555555558</c:v>
                </c:pt>
                <c:pt idx="30">
                  <c:v>0.53061224489795922</c:v>
                </c:pt>
                <c:pt idx="31">
                  <c:v>0.54</c:v>
                </c:pt>
                <c:pt idx="32">
                  <c:v>0.51923076923076927</c:v>
                </c:pt>
                <c:pt idx="33">
                  <c:v>0.53703703703703709</c:v>
                </c:pt>
                <c:pt idx="34">
                  <c:v>0.5357142857142857</c:v>
                </c:pt>
                <c:pt idx="35">
                  <c:v>0.51724137931034486</c:v>
                </c:pt>
                <c:pt idx="36">
                  <c:v>0.5</c:v>
                </c:pt>
                <c:pt idx="37">
                  <c:v>0.49206349206349204</c:v>
                </c:pt>
                <c:pt idx="38">
                  <c:v>0.50769230769230766</c:v>
                </c:pt>
                <c:pt idx="39">
                  <c:v>0.49275362318840582</c:v>
                </c:pt>
                <c:pt idx="40">
                  <c:v>0.49275362318840582</c:v>
                </c:pt>
                <c:pt idx="41">
                  <c:v>0.48571428571428571</c:v>
                </c:pt>
                <c:pt idx="42">
                  <c:v>0.5</c:v>
                </c:pt>
                <c:pt idx="43">
                  <c:v>0.48648648648648651</c:v>
                </c:pt>
                <c:pt idx="44">
                  <c:v>0.5</c:v>
                </c:pt>
                <c:pt idx="45">
                  <c:v>0.49367088607594939</c:v>
                </c:pt>
                <c:pt idx="46">
                  <c:v>0.48148148148148145</c:v>
                </c:pt>
                <c:pt idx="47">
                  <c:v>0.48780487804878048</c:v>
                </c:pt>
                <c:pt idx="48">
                  <c:v>0.48809523809523808</c:v>
                </c:pt>
                <c:pt idx="49">
                  <c:v>0.4943820224719101</c:v>
                </c:pt>
                <c:pt idx="50">
                  <c:v>0.48888888888888887</c:v>
                </c:pt>
                <c:pt idx="51">
                  <c:v>0.4891304347826087</c:v>
                </c:pt>
                <c:pt idx="52">
                  <c:v>0.48421052631578948</c:v>
                </c:pt>
                <c:pt idx="53">
                  <c:v>0.47422680412371132</c:v>
                </c:pt>
                <c:pt idx="54">
                  <c:v>0.47422680412371132</c:v>
                </c:pt>
                <c:pt idx="55">
                  <c:v>0.46534653465346537</c:v>
                </c:pt>
                <c:pt idx="56">
                  <c:v>0.47572815533980584</c:v>
                </c:pt>
                <c:pt idx="57">
                  <c:v>0.48113207547169812</c:v>
                </c:pt>
                <c:pt idx="58">
                  <c:v>0.47663551401869159</c:v>
                </c:pt>
                <c:pt idx="59">
                  <c:v>0.47222222222222221</c:v>
                </c:pt>
                <c:pt idx="60">
                  <c:v>0.49107142857142855</c:v>
                </c:pt>
                <c:pt idx="61">
                  <c:v>0.49122807017543857</c:v>
                </c:pt>
                <c:pt idx="62">
                  <c:v>0.4956521739130435</c:v>
                </c:pt>
                <c:pt idx="63">
                  <c:v>0.5</c:v>
                </c:pt>
                <c:pt idx="64">
                  <c:v>0.5</c:v>
                </c:pt>
                <c:pt idx="65">
                  <c:v>0.49586776859504134</c:v>
                </c:pt>
                <c:pt idx="66">
                  <c:v>0.49586776859504134</c:v>
                </c:pt>
                <c:pt idx="67">
                  <c:v>0.48799999999999999</c:v>
                </c:pt>
                <c:pt idx="68">
                  <c:v>0.47692307692307695</c:v>
                </c:pt>
                <c:pt idx="69">
                  <c:v>0.47328244274809161</c:v>
                </c:pt>
                <c:pt idx="70">
                  <c:v>0.46969696969696972</c:v>
                </c:pt>
                <c:pt idx="71">
                  <c:v>0.46666666666666667</c:v>
                </c:pt>
                <c:pt idx="72">
                  <c:v>0.46376811594202899</c:v>
                </c:pt>
                <c:pt idx="73">
                  <c:v>0.46478873239436619</c:v>
                </c:pt>
                <c:pt idx="74">
                  <c:v>0.46527777777777779</c:v>
                </c:pt>
                <c:pt idx="75">
                  <c:v>0.46206896551724136</c:v>
                </c:pt>
                <c:pt idx="76">
                  <c:v>0.4589041095890411</c:v>
                </c:pt>
                <c:pt idx="77">
                  <c:v>0.45695364238410596</c:v>
                </c:pt>
                <c:pt idx="78">
                  <c:v>0.45751633986928103</c:v>
                </c:pt>
                <c:pt idx="79">
                  <c:v>0.45454545454545453</c:v>
                </c:pt>
                <c:pt idx="80">
                  <c:v>0.45512820512820512</c:v>
                </c:pt>
                <c:pt idx="81">
                  <c:v>0.45512820512820512</c:v>
                </c:pt>
                <c:pt idx="82">
                  <c:v>0.45569620253164556</c:v>
                </c:pt>
                <c:pt idx="83">
                  <c:v>0.45624999999999999</c:v>
                </c:pt>
                <c:pt idx="84">
                  <c:v>0.45731707317073172</c:v>
                </c:pt>
                <c:pt idx="85">
                  <c:v>0.46060606060606063</c:v>
                </c:pt>
                <c:pt idx="86">
                  <c:v>0.44970414201183434</c:v>
                </c:pt>
                <c:pt idx="87">
                  <c:v>0.44705882352941179</c:v>
                </c:pt>
                <c:pt idx="88">
                  <c:v>0.43428571428571427</c:v>
                </c:pt>
                <c:pt idx="89">
                  <c:v>0.42937853107344631</c:v>
                </c:pt>
                <c:pt idx="90">
                  <c:v>0.43093922651933703</c:v>
                </c:pt>
                <c:pt idx="91">
                  <c:v>0.42702702702702705</c:v>
                </c:pt>
                <c:pt idx="92">
                  <c:v>0.42553191489361702</c:v>
                </c:pt>
                <c:pt idx="93">
                  <c:v>0.42553191489361702</c:v>
                </c:pt>
                <c:pt idx="94">
                  <c:v>0.42487046632124353</c:v>
                </c:pt>
                <c:pt idx="95">
                  <c:v>0.42268041237113402</c:v>
                </c:pt>
                <c:pt idx="96">
                  <c:v>0.42131979695431471</c:v>
                </c:pt>
                <c:pt idx="97">
                  <c:v>0.43</c:v>
                </c:pt>
                <c:pt idx="98">
                  <c:v>0.43842364532019706</c:v>
                </c:pt>
                <c:pt idx="99">
                  <c:v>0.44660194174757284</c:v>
                </c:pt>
                <c:pt idx="100">
                  <c:v>0.44497607655502391</c:v>
                </c:pt>
                <c:pt idx="101">
                  <c:v>0.44859813084112149</c:v>
                </c:pt>
                <c:pt idx="102">
                  <c:v>0.45871559633027525</c:v>
                </c:pt>
                <c:pt idx="103">
                  <c:v>0.452914798206278</c:v>
                </c:pt>
                <c:pt idx="104">
                  <c:v>0.45777777777777778</c:v>
                </c:pt>
                <c:pt idx="105">
                  <c:v>0.45614035087719296</c:v>
                </c:pt>
                <c:pt idx="106">
                  <c:v>0.45258620689655171</c:v>
                </c:pt>
                <c:pt idx="107">
                  <c:v>0.44915254237288138</c:v>
                </c:pt>
                <c:pt idx="108">
                  <c:v>0.44398340248962653</c:v>
                </c:pt>
                <c:pt idx="109">
                  <c:v>0.44855967078189302</c:v>
                </c:pt>
                <c:pt idx="110">
                  <c:v>0.44897959183673469</c:v>
                </c:pt>
                <c:pt idx="111">
                  <c:v>0.44400000000000001</c:v>
                </c:pt>
                <c:pt idx="112">
                  <c:v>0.44047619047619047</c:v>
                </c:pt>
                <c:pt idx="113">
                  <c:v>0.4392156862745098</c:v>
                </c:pt>
                <c:pt idx="114">
                  <c:v>0.4392156862745098</c:v>
                </c:pt>
                <c:pt idx="115">
                  <c:v>0.44015444015444016</c:v>
                </c:pt>
                <c:pt idx="116">
                  <c:v>0.43893129770992367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9864253393665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4">
        <v>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84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43636.961435185185</v>
      </c>
      <c r="C69" s="30" t="s">
        <v>130</v>
      </c>
    </row>
    <row r="70" spans="1:6" x14ac:dyDescent="0.4">
      <c r="A70" s="30" t="s">
        <v>260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43644.044224537036</v>
      </c>
      <c r="C73" s="30" t="s">
        <v>130</v>
      </c>
    </row>
    <row r="74" spans="1:6" x14ac:dyDescent="0.4">
      <c r="A74" s="30" t="s">
        <v>264</v>
      </c>
      <c r="B74" s="31">
        <v>43644.021412037036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43647.957407407404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43647.957407407404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43647.957407407404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268</v>
      </c>
      <c r="B78" s="31">
        <v>43647.957407407404</v>
      </c>
      <c r="C78" s="30" t="s">
        <v>130</v>
      </c>
      <c r="D78" s="30" t="s">
        <v>131</v>
      </c>
    </row>
    <row r="79" spans="1:6" x14ac:dyDescent="0.4">
      <c r="A79" s="30" t="s">
        <v>269</v>
      </c>
      <c r="B79" s="31">
        <v>43647.957407407404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43649.374351851853</v>
      </c>
      <c r="C80" s="30" t="s">
        <v>130</v>
      </c>
      <c r="D80" s="30" t="s">
        <v>131</v>
      </c>
    </row>
    <row r="81" spans="1:7" x14ac:dyDescent="0.4">
      <c r="A81" s="30" t="s">
        <v>272</v>
      </c>
      <c r="B81" s="31">
        <v>43650.940601851849</v>
      </c>
      <c r="C81" s="30" t="s">
        <v>130</v>
      </c>
      <c r="D81" s="30" t="s">
        <v>131</v>
      </c>
      <c r="E81" s="30" t="s">
        <v>169</v>
      </c>
    </row>
    <row r="82" spans="1:7" x14ac:dyDescent="0.4">
      <c r="A82" s="30" t="s">
        <v>273</v>
      </c>
      <c r="B82" s="31">
        <v>43651.059791666667</v>
      </c>
      <c r="C82" s="30" t="s">
        <v>130</v>
      </c>
      <c r="D82" s="30" t="s">
        <v>131</v>
      </c>
      <c r="E82" s="30" t="s">
        <v>169</v>
      </c>
    </row>
    <row r="83" spans="1:7" x14ac:dyDescent="0.4">
      <c r="A83" s="30" t="s">
        <v>274</v>
      </c>
      <c r="B83" s="31">
        <v>43652.105497685188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7" x14ac:dyDescent="0.4">
      <c r="A84" s="30" t="s">
        <v>275</v>
      </c>
      <c r="B84" s="31">
        <v>43654.012615740743</v>
      </c>
      <c r="C84" s="30" t="s">
        <v>130</v>
      </c>
      <c r="D84" s="30" t="s">
        <v>131</v>
      </c>
      <c r="E84" s="30" t="s">
        <v>169</v>
      </c>
      <c r="F84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801</v>
      </c>
    </row>
    <row r="2" spans="1:2" x14ac:dyDescent="0.4">
      <c r="A2" t="s">
        <v>127</v>
      </c>
      <c r="B2">
        <v>168</v>
      </c>
    </row>
    <row r="3" spans="1:2" x14ac:dyDescent="0.4">
      <c r="A3" t="s">
        <v>128</v>
      </c>
      <c r="B3">
        <v>140</v>
      </c>
    </row>
    <row r="4" spans="1:2" x14ac:dyDescent="0.4">
      <c r="A4" t="s">
        <v>129</v>
      </c>
      <c r="B4">
        <v>116</v>
      </c>
    </row>
    <row r="5" spans="1:2" x14ac:dyDescent="0.4">
      <c r="A5" t="s">
        <v>171</v>
      </c>
      <c r="B5">
        <v>96</v>
      </c>
    </row>
    <row r="6" spans="1:2" x14ac:dyDescent="0.4">
      <c r="A6" t="s">
        <v>172</v>
      </c>
      <c r="B6">
        <v>90</v>
      </c>
    </row>
    <row r="7" spans="1:2" x14ac:dyDescent="0.4">
      <c r="A7" t="s">
        <v>173</v>
      </c>
      <c r="B7">
        <v>52</v>
      </c>
    </row>
    <row r="8" spans="1:2" x14ac:dyDescent="0.4">
      <c r="A8" t="s">
        <v>177</v>
      </c>
      <c r="B8">
        <v>84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22</v>
      </c>
    </row>
    <row r="11" spans="1:2" x14ac:dyDescent="0.4">
      <c r="A11" t="s">
        <v>200</v>
      </c>
      <c r="B11">
        <v>18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162</v>
      </c>
      <c r="K1" s="163"/>
      <c r="L1" s="162" t="s">
        <v>149</v>
      </c>
      <c r="M1" s="163"/>
      <c r="N1" s="162" t="s">
        <v>150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141</v>
      </c>
      <c r="W1" s="163"/>
      <c r="X1" s="162" t="s">
        <v>123</v>
      </c>
      <c r="Y1" s="163"/>
      <c r="Z1" s="162" t="s">
        <v>120</v>
      </c>
      <c r="AA1" s="163"/>
      <c r="AB1" s="162" t="s">
        <v>126</v>
      </c>
      <c r="AC1" s="163"/>
      <c r="AD1" s="162" t="s">
        <v>151</v>
      </c>
      <c r="AE1" s="163"/>
      <c r="AF1" s="162" t="s">
        <v>144</v>
      </c>
      <c r="AG1" s="163"/>
      <c r="AH1" s="162" t="s">
        <v>153</v>
      </c>
      <c r="AI1" s="163"/>
    </row>
    <row r="2" spans="1:35" x14ac:dyDescent="0.4">
      <c r="A2" s="72" t="s">
        <v>161</v>
      </c>
      <c r="B2" s="164"/>
      <c r="C2" s="165"/>
      <c r="D2" s="164"/>
      <c r="E2" s="165"/>
      <c r="F2" s="160">
        <v>0.96103858228456107</v>
      </c>
      <c r="G2" s="161"/>
      <c r="H2" s="160">
        <v>0.54502923298203731</v>
      </c>
      <c r="I2" s="161"/>
      <c r="J2" s="160">
        <v>0.88435769456961555</v>
      </c>
      <c r="K2" s="161"/>
      <c r="L2" s="160">
        <v>0.64142836199832254</v>
      </c>
      <c r="M2" s="161"/>
      <c r="N2" s="160">
        <v>0.7190180971857324</v>
      </c>
      <c r="O2" s="161"/>
      <c r="P2" s="160">
        <v>0.22477314787374733</v>
      </c>
      <c r="Q2" s="161"/>
      <c r="R2" s="160">
        <v>0.55388979814393358</v>
      </c>
      <c r="S2" s="161"/>
      <c r="T2" s="160">
        <v>0.64988233657542349</v>
      </c>
      <c r="U2" s="161"/>
      <c r="V2" s="160">
        <v>0.53136873109323823</v>
      </c>
      <c r="W2" s="161"/>
      <c r="X2" s="160">
        <v>0.56298207901243524</v>
      </c>
      <c r="Y2" s="161"/>
      <c r="Z2" s="160">
        <v>-3.7180105240092135E-3</v>
      </c>
      <c r="AA2" s="161"/>
      <c r="AB2" s="160">
        <v>-0.16465269104860603</v>
      </c>
      <c r="AC2" s="161"/>
      <c r="AD2" s="160">
        <v>0.67789096312680297</v>
      </c>
      <c r="AE2" s="161"/>
      <c r="AF2" s="160">
        <v>-0.11666598366864796</v>
      </c>
      <c r="AG2" s="161"/>
      <c r="AH2" s="160">
        <v>0.56513103970760914</v>
      </c>
      <c r="AI2" s="161"/>
    </row>
    <row r="3" spans="1:35" x14ac:dyDescent="0.4">
      <c r="A3" s="74">
        <v>1</v>
      </c>
      <c r="B3" s="75" t="s">
        <v>127</v>
      </c>
      <c r="C3" s="76">
        <v>1935.4000000000005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0.31426502534395367</v>
      </c>
      <c r="Z3" s="77" t="s">
        <v>223</v>
      </c>
      <c r="AA3" s="80">
        <v>0.36956521739130432</v>
      </c>
      <c r="AB3" s="77" t="s">
        <v>271</v>
      </c>
      <c r="AC3" s="80">
        <v>0.83333333333333337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131.69999999999993</v>
      </c>
      <c r="D4" s="85" t="s">
        <v>223</v>
      </c>
      <c r="E4" s="97">
        <v>16.733333333333331</v>
      </c>
      <c r="F4" s="85" t="s">
        <v>127</v>
      </c>
      <c r="G4" s="86">
        <v>1.7738095238095237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172</v>
      </c>
      <c r="M4" s="88">
        <v>0.34473684210526317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-6077.7777777777774</v>
      </c>
      <c r="T4" s="85" t="s">
        <v>222</v>
      </c>
      <c r="U4" s="87">
        <v>0</v>
      </c>
      <c r="V4" s="85" t="s">
        <v>127</v>
      </c>
      <c r="W4" s="87">
        <v>0.17261904761904762</v>
      </c>
      <c r="X4" s="85" t="s">
        <v>128</v>
      </c>
      <c r="Y4" s="88">
        <v>0.29939077458659702</v>
      </c>
      <c r="Z4" s="85" t="s">
        <v>271</v>
      </c>
      <c r="AA4" s="88">
        <v>0.35555555555555557</v>
      </c>
      <c r="AB4" s="85" t="s">
        <v>223</v>
      </c>
      <c r="AC4" s="88">
        <v>0.7142857142857143</v>
      </c>
      <c r="AD4" s="85" t="s">
        <v>127</v>
      </c>
      <c r="AE4" s="88">
        <v>0.52083333333333337</v>
      </c>
      <c r="AF4" s="85" t="s">
        <v>200</v>
      </c>
      <c r="AG4" s="88">
        <v>0.6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0.47023809523809523</v>
      </c>
      <c r="J5" s="85" t="s">
        <v>200</v>
      </c>
      <c r="K5" s="87">
        <v>0.22222222222222221</v>
      </c>
      <c r="L5" s="85" t="s">
        <v>127</v>
      </c>
      <c r="M5" s="88">
        <v>0.33816075307748011</v>
      </c>
      <c r="N5" s="85" t="s">
        <v>223</v>
      </c>
      <c r="O5" s="88">
        <v>0.13043478260869565</v>
      </c>
      <c r="P5" s="85" t="s">
        <v>171</v>
      </c>
      <c r="Q5" s="89">
        <v>9990.7488986784138</v>
      </c>
      <c r="R5" s="85" t="s">
        <v>177</v>
      </c>
      <c r="S5" s="89">
        <v>-7048.5436893203887</v>
      </c>
      <c r="T5" s="85" t="s">
        <v>223</v>
      </c>
      <c r="U5" s="87">
        <v>0</v>
      </c>
      <c r="V5" s="85" t="s">
        <v>171</v>
      </c>
      <c r="W5" s="87">
        <v>0.14583333333333334</v>
      </c>
      <c r="X5" s="85" t="s">
        <v>171</v>
      </c>
      <c r="Y5" s="88">
        <v>0.2908863920099875</v>
      </c>
      <c r="Z5" s="85" t="s">
        <v>200</v>
      </c>
      <c r="AA5" s="88">
        <v>0.31707317073170732</v>
      </c>
      <c r="AB5" s="85" t="s">
        <v>184</v>
      </c>
      <c r="AC5" s="88">
        <v>0.65789473684210531</v>
      </c>
      <c r="AD5" s="85" t="s">
        <v>183</v>
      </c>
      <c r="AE5" s="88">
        <v>0.5</v>
      </c>
      <c r="AF5" s="85" t="s">
        <v>173</v>
      </c>
      <c r="AG5" s="88">
        <v>0.50387596899224807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183</v>
      </c>
      <c r="C6" s="84">
        <v>61</v>
      </c>
      <c r="D6" s="85" t="s">
        <v>127</v>
      </c>
      <c r="E6" s="97">
        <v>11.520238095238099</v>
      </c>
      <c r="F6" s="85" t="s">
        <v>200</v>
      </c>
      <c r="G6" s="86">
        <v>1.8888888888888888</v>
      </c>
      <c r="H6" s="85" t="s">
        <v>184</v>
      </c>
      <c r="I6" s="87">
        <v>0.36363636363636365</v>
      </c>
      <c r="J6" s="85" t="s">
        <v>127</v>
      </c>
      <c r="K6" s="87">
        <v>0.24404761904761904</v>
      </c>
      <c r="L6" s="85" t="s">
        <v>200</v>
      </c>
      <c r="M6" s="88">
        <v>0.33536585365853661</v>
      </c>
      <c r="N6" s="85" t="s">
        <v>172</v>
      </c>
      <c r="O6" s="88">
        <v>0.14210526315789473</v>
      </c>
      <c r="P6" s="85" t="s">
        <v>127</v>
      </c>
      <c r="Q6" s="89">
        <v>9254.1755888650969</v>
      </c>
      <c r="R6" s="85" t="s">
        <v>128</v>
      </c>
      <c r="S6" s="89">
        <v>-7739.3034825870645</v>
      </c>
      <c r="T6" s="85" t="s">
        <v>172</v>
      </c>
      <c r="U6" s="87">
        <v>5.5555555555555552E-2</v>
      </c>
      <c r="V6" s="85" t="s">
        <v>177</v>
      </c>
      <c r="W6" s="87">
        <v>0.13095238095238096</v>
      </c>
      <c r="X6" s="85" t="s">
        <v>177</v>
      </c>
      <c r="Y6" s="88">
        <v>0.28985507246376813</v>
      </c>
      <c r="Z6" s="85" t="s">
        <v>172</v>
      </c>
      <c r="AA6" s="88">
        <v>0.29078947368421054</v>
      </c>
      <c r="AB6" s="85" t="s">
        <v>200</v>
      </c>
      <c r="AC6" s="88">
        <v>0.63157894736842102</v>
      </c>
      <c r="AD6" s="85" t="s">
        <v>172</v>
      </c>
      <c r="AE6" s="88">
        <v>0.42533936651583709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200</v>
      </c>
      <c r="C7" s="84">
        <v>45.399999999999991</v>
      </c>
      <c r="D7" s="85" t="s">
        <v>200</v>
      </c>
      <c r="E7" s="97">
        <v>2.5222222222222217</v>
      </c>
      <c r="F7" s="85" t="s">
        <v>177</v>
      </c>
      <c r="G7" s="86">
        <v>1.9642857142857142</v>
      </c>
      <c r="H7" s="85" t="s">
        <v>177</v>
      </c>
      <c r="I7" s="87">
        <v>0.34523809523809523</v>
      </c>
      <c r="J7" s="85" t="s">
        <v>172</v>
      </c>
      <c r="K7" s="87">
        <v>0.3</v>
      </c>
      <c r="L7" s="85" t="s">
        <v>145</v>
      </c>
      <c r="M7" s="88">
        <v>0.29837983798379836</v>
      </c>
      <c r="N7" s="85" t="s">
        <v>177</v>
      </c>
      <c r="O7" s="88">
        <v>0.14927536231884059</v>
      </c>
      <c r="P7" s="85" t="s">
        <v>128</v>
      </c>
      <c r="Q7" s="89">
        <v>9200</v>
      </c>
      <c r="R7" s="85" t="s">
        <v>127</v>
      </c>
      <c r="S7" s="89">
        <v>-8183.2558139534885</v>
      </c>
      <c r="T7" s="85" t="s">
        <v>127</v>
      </c>
      <c r="U7" s="87">
        <v>9.5238095238095233E-2</v>
      </c>
      <c r="V7" s="85" t="s">
        <v>145</v>
      </c>
      <c r="W7" s="87">
        <v>0.12734082397003746</v>
      </c>
      <c r="X7" s="85" t="s">
        <v>145</v>
      </c>
      <c r="Y7" s="88">
        <v>0.27452745274527451</v>
      </c>
      <c r="Z7" s="85" t="s">
        <v>184</v>
      </c>
      <c r="AA7" s="88">
        <v>0.24848484848484848</v>
      </c>
      <c r="AB7" s="85" t="s">
        <v>177</v>
      </c>
      <c r="AC7" s="88">
        <v>0.60499999999999998</v>
      </c>
      <c r="AD7" s="85" t="s">
        <v>200</v>
      </c>
      <c r="AE7" s="88">
        <v>0.42307692307692307</v>
      </c>
      <c r="AF7" s="85" t="s">
        <v>184</v>
      </c>
      <c r="AG7" s="88">
        <v>0.47826086956521741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177</v>
      </c>
      <c r="E8" s="97">
        <v>1.5678571428571419</v>
      </c>
      <c r="F8" s="85" t="s">
        <v>145</v>
      </c>
      <c r="G8" s="86">
        <v>2</v>
      </c>
      <c r="H8" s="85" t="s">
        <v>200</v>
      </c>
      <c r="I8" s="87">
        <v>0.33333333333333331</v>
      </c>
      <c r="J8" s="85" t="s">
        <v>177</v>
      </c>
      <c r="K8" s="87">
        <v>0.30952380952380953</v>
      </c>
      <c r="L8" s="85" t="s">
        <v>173</v>
      </c>
      <c r="M8" s="88">
        <v>0.28666666666666668</v>
      </c>
      <c r="N8" s="85" t="s">
        <v>127</v>
      </c>
      <c r="O8" s="88">
        <v>0.1556842867487328</v>
      </c>
      <c r="P8" s="85" t="s">
        <v>129</v>
      </c>
      <c r="Q8" s="89">
        <v>8908.0152671755732</v>
      </c>
      <c r="R8" s="85" t="s">
        <v>145</v>
      </c>
      <c r="S8" s="89">
        <v>-8250.8944543828256</v>
      </c>
      <c r="T8" s="85" t="s">
        <v>171</v>
      </c>
      <c r="U8" s="87">
        <v>0.11458333333333333</v>
      </c>
      <c r="V8" s="85" t="s">
        <v>129</v>
      </c>
      <c r="W8" s="87">
        <v>0.1206896551724138</v>
      </c>
      <c r="X8" s="85" t="s">
        <v>183</v>
      </c>
      <c r="Y8" s="88">
        <v>0.26315789473684209</v>
      </c>
      <c r="Z8" s="85" t="s">
        <v>173</v>
      </c>
      <c r="AA8" s="88">
        <v>0.24</v>
      </c>
      <c r="AB8" s="85" t="s">
        <v>183</v>
      </c>
      <c r="AC8" s="88">
        <v>0.6</v>
      </c>
      <c r="AD8" s="85" t="s">
        <v>171</v>
      </c>
      <c r="AE8" s="88">
        <v>0.41025641025641024</v>
      </c>
      <c r="AF8" s="85" t="s">
        <v>129</v>
      </c>
      <c r="AG8" s="88">
        <v>0.43893129770992367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145</v>
      </c>
      <c r="C9" s="84">
        <v>2.8421709430404007E-14</v>
      </c>
      <c r="D9" s="85" t="s">
        <v>145</v>
      </c>
      <c r="E9" s="97">
        <v>3.5482783308868924E-17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171</v>
      </c>
      <c r="M9" s="88">
        <v>0.28339575530586769</v>
      </c>
      <c r="N9" s="85" t="s">
        <v>145</v>
      </c>
      <c r="O9" s="88">
        <v>0.16771677167716773</v>
      </c>
      <c r="P9" s="85" t="s">
        <v>177</v>
      </c>
      <c r="Q9" s="89">
        <v>8861.6580310880836</v>
      </c>
      <c r="R9" s="85" t="s">
        <v>173</v>
      </c>
      <c r="S9" s="89">
        <v>-8271.9512195121952</v>
      </c>
      <c r="T9" s="85" t="s">
        <v>145</v>
      </c>
      <c r="U9" s="87">
        <v>0.12734082397003746</v>
      </c>
      <c r="V9" s="85" t="s">
        <v>172</v>
      </c>
      <c r="W9" s="87">
        <v>0.1111111111111111</v>
      </c>
      <c r="X9" s="85" t="s">
        <v>129</v>
      </c>
      <c r="Y9" s="88">
        <v>0.26144455747711087</v>
      </c>
      <c r="Z9" s="85" t="s">
        <v>145</v>
      </c>
      <c r="AA9" s="88">
        <v>0.21137113711371136</v>
      </c>
      <c r="AB9" s="85" t="s">
        <v>128</v>
      </c>
      <c r="AC9" s="88">
        <v>0.59011627906976749</v>
      </c>
      <c r="AD9" s="85" t="s">
        <v>145</v>
      </c>
      <c r="AE9" s="88">
        <v>0.39389638041163944</v>
      </c>
      <c r="AF9" s="85" t="s">
        <v>145</v>
      </c>
      <c r="AG9" s="88">
        <v>0.42986425339366519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171</v>
      </c>
      <c r="C10" s="84">
        <v>-48.599999999999987</v>
      </c>
      <c r="D10" s="85" t="s">
        <v>171</v>
      </c>
      <c r="E10" s="97">
        <v>-0.50624999999999987</v>
      </c>
      <c r="F10" s="85" t="s">
        <v>172</v>
      </c>
      <c r="G10" s="86">
        <v>2.0444444444444443</v>
      </c>
      <c r="H10" s="85" t="s">
        <v>129</v>
      </c>
      <c r="I10" s="87">
        <v>0.31034482758620691</v>
      </c>
      <c r="J10" s="85" t="s">
        <v>223</v>
      </c>
      <c r="K10" s="87">
        <v>0.33333333333333331</v>
      </c>
      <c r="L10" s="85" t="s">
        <v>177</v>
      </c>
      <c r="M10" s="88">
        <v>0.27971014492753621</v>
      </c>
      <c r="N10" s="85" t="s">
        <v>200</v>
      </c>
      <c r="O10" s="88">
        <v>0.17073170731707318</v>
      </c>
      <c r="P10" s="85" t="s">
        <v>145</v>
      </c>
      <c r="Q10" s="89">
        <v>8785.8220211161388</v>
      </c>
      <c r="R10" s="85" t="s">
        <v>200</v>
      </c>
      <c r="S10" s="89">
        <v>-8367.8571428571431</v>
      </c>
      <c r="T10" s="85" t="s">
        <v>128</v>
      </c>
      <c r="U10" s="87">
        <v>0.1357142857142857</v>
      </c>
      <c r="V10" s="85" t="s">
        <v>128</v>
      </c>
      <c r="W10" s="87">
        <v>0.10714285714285714</v>
      </c>
      <c r="X10" s="85" t="s">
        <v>200</v>
      </c>
      <c r="Y10" s="88">
        <v>0.23170731707317074</v>
      </c>
      <c r="Z10" s="85" t="s">
        <v>183</v>
      </c>
      <c r="AA10" s="88">
        <v>0.21052631578947367</v>
      </c>
      <c r="AB10" s="85" t="s">
        <v>145</v>
      </c>
      <c r="AC10" s="88">
        <v>0.57540983606557372</v>
      </c>
      <c r="AD10" s="85" t="s">
        <v>184</v>
      </c>
      <c r="AE10" s="88">
        <v>0.3902439024390244</v>
      </c>
      <c r="AF10" s="85" t="s">
        <v>177</v>
      </c>
      <c r="AG10" s="88">
        <v>0.42487046632124353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-122.80000000000005</v>
      </c>
      <c r="D11" s="85" t="s">
        <v>172</v>
      </c>
      <c r="E11" s="97">
        <v>-1.364444444444445</v>
      </c>
      <c r="F11" s="85" t="s">
        <v>171</v>
      </c>
      <c r="G11" s="86">
        <v>2.0520833333333335</v>
      </c>
      <c r="H11" s="85" t="s">
        <v>171</v>
      </c>
      <c r="I11" s="87">
        <v>0.30208333333333331</v>
      </c>
      <c r="J11" s="85" t="s">
        <v>128</v>
      </c>
      <c r="K11" s="87">
        <v>0.35</v>
      </c>
      <c r="L11" s="85" t="s">
        <v>184</v>
      </c>
      <c r="M11" s="88">
        <v>0.27878787878787881</v>
      </c>
      <c r="N11" s="85" t="s">
        <v>128</v>
      </c>
      <c r="O11" s="88">
        <v>0.17493472584856398</v>
      </c>
      <c r="P11" s="85" t="s">
        <v>184</v>
      </c>
      <c r="Q11" s="89">
        <v>8621.7391304347821</v>
      </c>
      <c r="R11" s="85" t="s">
        <v>172</v>
      </c>
      <c r="S11" s="89">
        <v>-8488.8888888888887</v>
      </c>
      <c r="T11" s="85" t="s">
        <v>177</v>
      </c>
      <c r="U11" s="87">
        <v>0.14285714285714285</v>
      </c>
      <c r="V11" s="85" t="s">
        <v>184</v>
      </c>
      <c r="W11" s="87">
        <v>9.0909090909090912E-2</v>
      </c>
      <c r="X11" s="85" t="s">
        <v>222</v>
      </c>
      <c r="Y11" s="88">
        <v>0.23076923076923078</v>
      </c>
      <c r="Z11" s="85" t="s">
        <v>127</v>
      </c>
      <c r="AA11" s="88">
        <v>0.20854453294713976</v>
      </c>
      <c r="AB11" s="85" t="s">
        <v>127</v>
      </c>
      <c r="AC11" s="88">
        <v>0.56912442396313367</v>
      </c>
      <c r="AD11" s="85" t="s">
        <v>177</v>
      </c>
      <c r="AE11" s="88">
        <v>0.33606557377049179</v>
      </c>
      <c r="AF11" s="85" t="s">
        <v>127</v>
      </c>
      <c r="AG11" s="88">
        <v>0.41970021413276232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-152</v>
      </c>
      <c r="D12" s="85" t="s">
        <v>128</v>
      </c>
      <c r="E12" s="97">
        <v>-3.0071428571428571</v>
      </c>
      <c r="F12" s="85" t="s">
        <v>128</v>
      </c>
      <c r="G12" s="86">
        <v>2.0857142857142859</v>
      </c>
      <c r="H12" s="85" t="s">
        <v>173</v>
      </c>
      <c r="I12" s="87">
        <v>0.28846153846153844</v>
      </c>
      <c r="J12" s="85" t="s">
        <v>171</v>
      </c>
      <c r="K12" s="87">
        <v>0.35416666666666669</v>
      </c>
      <c r="L12" s="85" t="s">
        <v>128</v>
      </c>
      <c r="M12" s="88">
        <v>0.27328111401218452</v>
      </c>
      <c r="N12" s="85" t="s">
        <v>171</v>
      </c>
      <c r="O12" s="88">
        <v>0.17852684144818975</v>
      </c>
      <c r="P12" s="85" t="s">
        <v>200</v>
      </c>
      <c r="Q12" s="89">
        <v>8063.636363636364</v>
      </c>
      <c r="R12" s="85" t="s">
        <v>171</v>
      </c>
      <c r="S12" s="89">
        <v>-8548.9510489510485</v>
      </c>
      <c r="T12" s="85" t="s">
        <v>173</v>
      </c>
      <c r="U12" s="87">
        <v>0.15384615384615385</v>
      </c>
      <c r="V12" s="85" t="s">
        <v>173</v>
      </c>
      <c r="W12" s="87">
        <v>7.6923076923076927E-2</v>
      </c>
      <c r="X12" s="85" t="s">
        <v>184</v>
      </c>
      <c r="Y12" s="88">
        <v>0.23030303030303031</v>
      </c>
      <c r="Z12" s="85" t="s">
        <v>171</v>
      </c>
      <c r="AA12" s="88">
        <v>0.19475655430711611</v>
      </c>
      <c r="AB12" s="85" t="s">
        <v>171</v>
      </c>
      <c r="AC12" s="88">
        <v>0.5622317596566524</v>
      </c>
      <c r="AD12" s="85" t="s">
        <v>173</v>
      </c>
      <c r="AE12" s="88">
        <v>0.33333333333333331</v>
      </c>
      <c r="AF12" s="85" t="s">
        <v>128</v>
      </c>
      <c r="AG12" s="88">
        <v>0.41719745222929938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-264.39999999999998</v>
      </c>
      <c r="D13" s="85" t="s">
        <v>129</v>
      </c>
      <c r="E13" s="97">
        <v>-7.5931034482758628</v>
      </c>
      <c r="F13" s="85" t="s">
        <v>129</v>
      </c>
      <c r="G13" s="86">
        <v>2.103448275862069</v>
      </c>
      <c r="H13" s="85" t="s">
        <v>128</v>
      </c>
      <c r="I13" s="87">
        <v>0.26428571428571429</v>
      </c>
      <c r="J13" s="85" t="s">
        <v>173</v>
      </c>
      <c r="K13" s="87">
        <v>0.40384615384615385</v>
      </c>
      <c r="L13" s="85" t="s">
        <v>129</v>
      </c>
      <c r="M13" s="88">
        <v>0.26653102746693796</v>
      </c>
      <c r="N13" s="85" t="s">
        <v>173</v>
      </c>
      <c r="O13" s="88">
        <v>0.18222222222222223</v>
      </c>
      <c r="P13" s="85" t="s">
        <v>183</v>
      </c>
      <c r="Q13" s="89">
        <v>7860</v>
      </c>
      <c r="R13" s="85" t="s">
        <v>129</v>
      </c>
      <c r="S13" s="89">
        <v>-8871.8232044198903</v>
      </c>
      <c r="T13" s="85" t="s">
        <v>200</v>
      </c>
      <c r="U13" s="87">
        <v>0.16666666666666666</v>
      </c>
      <c r="V13" s="85" t="s">
        <v>200</v>
      </c>
      <c r="W13" s="87">
        <v>5.5555555555555552E-2</v>
      </c>
      <c r="X13" s="85" t="s">
        <v>173</v>
      </c>
      <c r="Y13" s="88">
        <v>0.22666666666666666</v>
      </c>
      <c r="Z13" s="85" t="s">
        <v>129</v>
      </c>
      <c r="AA13" s="88">
        <v>0.18107833163784334</v>
      </c>
      <c r="AB13" s="85" t="s">
        <v>173</v>
      </c>
      <c r="AC13" s="88">
        <v>0.55882352941176472</v>
      </c>
      <c r="AD13" s="85" t="s">
        <v>129</v>
      </c>
      <c r="AE13" s="88">
        <v>0.3089887640449438</v>
      </c>
      <c r="AF13" s="85" t="s">
        <v>171</v>
      </c>
      <c r="AG13" s="88">
        <v>0.40528634361233479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-397.6</v>
      </c>
      <c r="D14" s="85" t="s">
        <v>173</v>
      </c>
      <c r="E14" s="97">
        <v>-7.6461538461538465</v>
      </c>
      <c r="F14" s="85" t="s">
        <v>173</v>
      </c>
      <c r="G14" s="86">
        <v>2.1153846153846154</v>
      </c>
      <c r="H14" s="85" t="s">
        <v>172</v>
      </c>
      <c r="I14" s="87">
        <v>0.25555555555555554</v>
      </c>
      <c r="J14" s="85" t="s">
        <v>129</v>
      </c>
      <c r="K14" s="87">
        <v>0.41379310344827586</v>
      </c>
      <c r="L14" s="85" t="s">
        <v>183</v>
      </c>
      <c r="M14" s="88">
        <v>0.26315789473684209</v>
      </c>
      <c r="N14" s="85" t="s">
        <v>129</v>
      </c>
      <c r="O14" s="88">
        <v>0.18413021363173956</v>
      </c>
      <c r="P14" s="85" t="s">
        <v>173</v>
      </c>
      <c r="Q14" s="89">
        <v>7534.1085271317834</v>
      </c>
      <c r="R14" s="85" t="s">
        <v>184</v>
      </c>
      <c r="S14" s="89">
        <v>-9879.4871794871797</v>
      </c>
      <c r="T14" s="85" t="s">
        <v>129</v>
      </c>
      <c r="U14" s="87">
        <v>0.17241379310344829</v>
      </c>
      <c r="V14" s="85" t="s">
        <v>183</v>
      </c>
      <c r="W14" s="87">
        <v>0</v>
      </c>
      <c r="X14" s="85" t="s">
        <v>172</v>
      </c>
      <c r="Y14" s="88">
        <v>0.21447368421052632</v>
      </c>
      <c r="Z14" s="85" t="s">
        <v>128</v>
      </c>
      <c r="AA14" s="88">
        <v>0.1784160139251523</v>
      </c>
      <c r="AB14" s="85" t="s">
        <v>172</v>
      </c>
      <c r="AC14" s="88">
        <v>0.55828220858895705</v>
      </c>
      <c r="AD14" s="85" t="s">
        <v>128</v>
      </c>
      <c r="AE14" s="88">
        <v>0.30243902439024389</v>
      </c>
      <c r="AF14" s="85" t="s">
        <v>172</v>
      </c>
      <c r="AG14" s="88">
        <v>0.3931297709923664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-421</v>
      </c>
      <c r="D15" s="85" t="s">
        <v>184</v>
      </c>
      <c r="E15" s="97">
        <v>-12.018181818181818</v>
      </c>
      <c r="F15" s="85" t="s">
        <v>184</v>
      </c>
      <c r="G15" s="86">
        <v>2.1818181818181817</v>
      </c>
      <c r="H15" s="85" t="s">
        <v>222</v>
      </c>
      <c r="I15" s="87">
        <v>0</v>
      </c>
      <c r="J15" s="85" t="s">
        <v>184</v>
      </c>
      <c r="K15" s="87">
        <v>0.54545454545454541</v>
      </c>
      <c r="L15" s="85" t="s">
        <v>271</v>
      </c>
      <c r="M15" s="88">
        <v>0.24444444444444444</v>
      </c>
      <c r="N15" s="85" t="s">
        <v>271</v>
      </c>
      <c r="O15" s="88">
        <v>0.2</v>
      </c>
      <c r="P15" s="85" t="s">
        <v>172</v>
      </c>
      <c r="Q15" s="89">
        <v>6890.0763358778622</v>
      </c>
      <c r="R15" s="85" t="s">
        <v>223</v>
      </c>
      <c r="S15" s="89">
        <v>-10583.333333333334</v>
      </c>
      <c r="T15" s="85" t="s">
        <v>271</v>
      </c>
      <c r="U15" s="87">
        <v>0.2</v>
      </c>
      <c r="V15" s="85" t="s">
        <v>222</v>
      </c>
      <c r="W15" s="87">
        <v>0</v>
      </c>
      <c r="X15" s="85" t="s">
        <v>223</v>
      </c>
      <c r="Y15" s="88">
        <v>0.15217391304347827</v>
      </c>
      <c r="Z15" s="85" t="s">
        <v>177</v>
      </c>
      <c r="AA15" s="88">
        <v>0.17681159420289855</v>
      </c>
      <c r="AB15" s="85" t="s">
        <v>129</v>
      </c>
      <c r="AC15" s="88">
        <v>0.54474708171206221</v>
      </c>
      <c r="AD15" s="85" t="s">
        <v>271</v>
      </c>
      <c r="AE15" s="88">
        <v>0.25</v>
      </c>
      <c r="AF15" s="85" t="s">
        <v>271</v>
      </c>
      <c r="AG15" s="88">
        <v>0.36363636363636365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-880.80000000000007</v>
      </c>
      <c r="D16" s="85" t="s">
        <v>271</v>
      </c>
      <c r="E16" s="97">
        <v>-30.4</v>
      </c>
      <c r="F16" s="85" t="s">
        <v>271</v>
      </c>
      <c r="G16" s="86">
        <v>2.6</v>
      </c>
      <c r="H16" s="85" t="s">
        <v>271</v>
      </c>
      <c r="I16" s="87">
        <v>0</v>
      </c>
      <c r="J16" s="85" t="s">
        <v>271</v>
      </c>
      <c r="K16" s="87">
        <v>0.6</v>
      </c>
      <c r="L16" s="85" t="s">
        <v>222</v>
      </c>
      <c r="M16" s="88">
        <v>0.15384615384615385</v>
      </c>
      <c r="N16" s="85" t="s">
        <v>184</v>
      </c>
      <c r="O16" s="88">
        <v>0.23636363636363636</v>
      </c>
      <c r="P16" s="85" t="s">
        <v>271</v>
      </c>
      <c r="Q16" s="89">
        <v>6727.272727272727</v>
      </c>
      <c r="R16" s="85" t="s">
        <v>222</v>
      </c>
      <c r="S16" s="89">
        <v>-12000</v>
      </c>
      <c r="T16" s="85" t="s">
        <v>184</v>
      </c>
      <c r="U16" s="87">
        <v>0.31818181818181818</v>
      </c>
      <c r="V16" s="85" t="s">
        <v>271</v>
      </c>
      <c r="W16" s="87">
        <v>0</v>
      </c>
      <c r="X16" s="85" t="s">
        <v>271</v>
      </c>
      <c r="Y16" s="88">
        <v>0.13333333333333333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ref="AH3:AI4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E0CA-51F0-457A-9F37-87D93EFF67A2}">
  <sheetPr codeName="Sheet4"/>
  <dimension ref="A1:Q80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145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801</v>
      </c>
      <c r="C2" s="153"/>
      <c r="E2" s="62" t="s">
        <v>67</v>
      </c>
      <c r="F2" s="59" t="s">
        <v>23</v>
      </c>
      <c r="G2" s="46">
        <v>1453</v>
      </c>
      <c r="H2" s="132">
        <f>IF(B$17=0,0,G2/B$17)</f>
        <v>0.73051784816490695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-16.229712858926341</v>
      </c>
      <c r="P2" s="118">
        <v>801</v>
      </c>
      <c r="Q2" s="102">
        <v>-13000</v>
      </c>
    </row>
    <row r="3" spans="1:17" x14ac:dyDescent="0.4">
      <c r="A3" s="55" t="s">
        <v>8</v>
      </c>
      <c r="B3" s="154">
        <v>6666</v>
      </c>
      <c r="C3" s="155"/>
      <c r="E3" s="63" t="s">
        <v>73</v>
      </c>
      <c r="F3" s="60" t="s">
        <v>28</v>
      </c>
      <c r="G3" s="47">
        <v>1022</v>
      </c>
      <c r="H3" s="133">
        <f>IF(B$17=0,0,G3/B$17)</f>
        <v>0.51382604323780789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-7.6628352490421454</v>
      </c>
      <c r="P3" s="119">
        <v>783</v>
      </c>
      <c r="Q3" s="103">
        <v>-6000</v>
      </c>
    </row>
    <row r="4" spans="1:17" x14ac:dyDescent="0.4">
      <c r="A4" s="55" t="s">
        <v>6</v>
      </c>
      <c r="B4" s="156">
        <v>2.8421709430404007E-14</v>
      </c>
      <c r="C4" s="157"/>
      <c r="E4" s="63" t="s">
        <v>65</v>
      </c>
      <c r="F4" s="60" t="s">
        <v>21</v>
      </c>
      <c r="G4" s="47">
        <v>1007</v>
      </c>
      <c r="H4" s="133">
        <f>IF(B$17=0,0,G4/B$17)</f>
        <v>0.5062845651080945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12.448132780082988</v>
      </c>
      <c r="P4" s="119">
        <v>723</v>
      </c>
      <c r="Q4" s="103">
        <v>9000</v>
      </c>
    </row>
    <row r="5" spans="1:17" x14ac:dyDescent="0.4">
      <c r="A5" s="55" t="s">
        <v>7</v>
      </c>
      <c r="B5" s="158">
        <f>IF(B$2=0,0,B$4/B$2)</f>
        <v>3.5482783308868924E-17</v>
      </c>
      <c r="C5" s="159"/>
      <c r="E5" s="63" t="s">
        <v>245</v>
      </c>
      <c r="F5" s="60" t="s">
        <v>246</v>
      </c>
      <c r="G5" s="47">
        <v>818</v>
      </c>
      <c r="H5" s="133">
        <f>IF(B$17=0,0,G5/B$17)</f>
        <v>0.41126194067370536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7.5075075075075075</v>
      </c>
      <c r="P5" s="119">
        <v>666</v>
      </c>
      <c r="Q5" s="103">
        <v>5000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617</v>
      </c>
      <c r="H6" s="133">
        <f>IF(B$17=0,0,G6/B$17)</f>
        <v>0.31020613373554551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-16.920473773265652</v>
      </c>
      <c r="P6" s="119">
        <v>591</v>
      </c>
      <c r="Q6" s="103">
        <v>-10000</v>
      </c>
    </row>
    <row r="7" spans="1:17" x14ac:dyDescent="0.4">
      <c r="A7" s="55" t="s">
        <v>2</v>
      </c>
      <c r="B7" s="47">
        <v>267</v>
      </c>
      <c r="C7" s="39">
        <f>IF(B$2=0,0,B7/B$2)</f>
        <v>0.33333333333333331</v>
      </c>
      <c r="E7" s="63" t="s">
        <v>68</v>
      </c>
      <c r="F7" s="60" t="s">
        <v>24</v>
      </c>
      <c r="G7" s="47">
        <v>604</v>
      </c>
      <c r="H7" s="133">
        <f>IF(B$17=0,0,G7/B$17)</f>
        <v>0.30367018602312718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29.069767441860463</v>
      </c>
      <c r="P7" s="120">
        <v>516</v>
      </c>
      <c r="Q7" s="104">
        <v>15000</v>
      </c>
    </row>
    <row r="8" spans="1:17" x14ac:dyDescent="0.4">
      <c r="A8" s="55" t="s">
        <v>3</v>
      </c>
      <c r="B8" s="47">
        <v>267</v>
      </c>
      <c r="C8" s="39">
        <f>IF(B$2=0,0,B8/B$2)</f>
        <v>0.33333333333333331</v>
      </c>
      <c r="E8" s="63" t="s">
        <v>70</v>
      </c>
      <c r="F8" s="60" t="s">
        <v>25</v>
      </c>
      <c r="G8" s="47">
        <v>345</v>
      </c>
      <c r="H8" s="133">
        <f>IF(B$17=0,0,G8/B$17)</f>
        <v>0.17345399698340874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267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246</v>
      </c>
      <c r="H9" s="133">
        <f>IF(B$17=0,0,G9/B$17)</f>
        <v>0.12368024132730016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102</v>
      </c>
      <c r="C10" s="40">
        <f>IF(B$2=0,0,B10/B$2)</f>
        <v>0.12734082397003746</v>
      </c>
      <c r="E10" s="63" t="s">
        <v>66</v>
      </c>
      <c r="F10" s="60" t="s">
        <v>22</v>
      </c>
      <c r="G10" s="47">
        <v>222</v>
      </c>
      <c r="H10" s="133">
        <f>IF(B$17=0,0,G10/B$17)</f>
        <v>0.11161387631975868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-2.6318352059925072</v>
      </c>
      <c r="P10" s="118">
        <v>267</v>
      </c>
      <c r="Q10" s="106">
        <v>-702.69999999999948</v>
      </c>
    </row>
    <row r="11" spans="1:17" x14ac:dyDescent="0.4">
      <c r="A11" s="56" t="s">
        <v>140</v>
      </c>
      <c r="B11" s="48">
        <v>102</v>
      </c>
      <c r="C11" s="40">
        <f>IF(B$2=0,0,B11/B$2)</f>
        <v>0.12734082397003746</v>
      </c>
      <c r="E11" s="63" t="s">
        <v>71</v>
      </c>
      <c r="F11" s="60" t="s">
        <v>26</v>
      </c>
      <c r="G11" s="47">
        <v>203</v>
      </c>
      <c r="H11" s="133">
        <f>IF(B$17=0,0,G11/B$17)</f>
        <v>0.102061337355455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1.7063670411985026</v>
      </c>
      <c r="P11" s="119">
        <v>267</v>
      </c>
      <c r="Q11" s="107">
        <v>455.60000000000019</v>
      </c>
    </row>
    <row r="12" spans="1:17" x14ac:dyDescent="0.4">
      <c r="A12" s="57" t="s">
        <v>160</v>
      </c>
      <c r="B12" s="49">
        <v>71</v>
      </c>
      <c r="C12" s="42">
        <f>IF(B$2=0,0,B12/B$2)</f>
        <v>8.8639200998751555E-2</v>
      </c>
      <c r="E12" s="63" t="s">
        <v>72</v>
      </c>
      <c r="F12" s="60" t="s">
        <v>27</v>
      </c>
      <c r="G12" s="47">
        <v>138</v>
      </c>
      <c r="H12" s="133">
        <f>IF(B$17=0,0,G12/B$17)</f>
        <v>6.9381598793363503E-2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0.92546816479400718</v>
      </c>
      <c r="P12" s="120">
        <v>267</v>
      </c>
      <c r="Q12" s="108">
        <v>247.09999999999991</v>
      </c>
    </row>
    <row r="13" spans="1:17" x14ac:dyDescent="0.4">
      <c r="A13" s="58" t="s">
        <v>122</v>
      </c>
      <c r="B13" s="50">
        <v>1830</v>
      </c>
      <c r="C13" s="44">
        <f>IF(B$3=0,0,B13/B$3)</f>
        <v>0.27452745274527451</v>
      </c>
      <c r="E13" s="63" t="s">
        <v>87</v>
      </c>
      <c r="F13" s="60" t="s">
        <v>42</v>
      </c>
      <c r="G13" s="47">
        <v>114</v>
      </c>
      <c r="H13" s="133">
        <f>IF(B$17=0,0,G13/B$17)</f>
        <v>5.7315233785822019E-2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1409</v>
      </c>
      <c r="C14" s="39">
        <f>IF(B$3=0,0,B14/B$3)</f>
        <v>0.21137113711371136</v>
      </c>
      <c r="E14" s="63" t="s">
        <v>84</v>
      </c>
      <c r="F14" s="60" t="s">
        <v>39</v>
      </c>
      <c r="G14" s="47">
        <v>97</v>
      </c>
      <c r="H14" s="133">
        <f>IF(B$17=0,0,G14/B$17)</f>
        <v>4.8768225238813474E-2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1053</v>
      </c>
      <c r="C15" s="37">
        <f>IF(B$13=0,0,B15/B$13)</f>
        <v>0.57540983606557372</v>
      </c>
      <c r="E15" s="63" t="s">
        <v>79</v>
      </c>
      <c r="F15" s="60" t="s">
        <v>34</v>
      </c>
      <c r="G15" s="47">
        <v>56</v>
      </c>
      <c r="H15" s="133">
        <f>IF(B$17=0,0,G15/B$17)</f>
        <v>2.815485168426345E-2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45.6</v>
      </c>
      <c r="P15" s="118">
        <v>10</v>
      </c>
      <c r="Q15" s="106">
        <v>456</v>
      </c>
    </row>
    <row r="16" spans="1:17" x14ac:dyDescent="0.4">
      <c r="A16" s="54" t="s">
        <v>125</v>
      </c>
      <c r="B16" s="46">
        <v>555</v>
      </c>
      <c r="C16" s="37">
        <f>IF(B$14=0,0,B16/B$14)</f>
        <v>0.39389638041163944</v>
      </c>
      <c r="E16" s="63" t="s">
        <v>82</v>
      </c>
      <c r="F16" s="60" t="s">
        <v>37</v>
      </c>
      <c r="G16" s="47">
        <v>56</v>
      </c>
      <c r="H16" s="133">
        <f>IF(B$17=0,0,G16/B$17)</f>
        <v>2.815485168426345E-2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18.027272727272731</v>
      </c>
      <c r="P16" s="119">
        <v>44</v>
      </c>
      <c r="Q16" s="107">
        <v>793.20000000000016</v>
      </c>
    </row>
    <row r="17" spans="1:17" x14ac:dyDescent="0.4">
      <c r="A17" s="54" t="s">
        <v>10</v>
      </c>
      <c r="B17" s="46">
        <f>B19+B18</f>
        <v>1989</v>
      </c>
      <c r="C17" s="37">
        <f>IF(B$3=0,0,B17/B$3)</f>
        <v>0.29837983798379836</v>
      </c>
      <c r="E17" s="63" t="s">
        <v>92</v>
      </c>
      <c r="F17" s="60" t="s">
        <v>47</v>
      </c>
      <c r="G17" s="47">
        <v>40</v>
      </c>
      <c r="H17" s="133">
        <f>IF(B$17=0,0,G17/B$17)</f>
        <v>2.0110608345902465E-2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11.469230769230762</v>
      </c>
      <c r="P17" s="119">
        <v>104</v>
      </c>
      <c r="Q17" s="107">
        <v>1192.7999999999993</v>
      </c>
    </row>
    <row r="18" spans="1:17" x14ac:dyDescent="0.4">
      <c r="A18" s="55" t="s">
        <v>12</v>
      </c>
      <c r="B18" s="47">
        <v>855</v>
      </c>
      <c r="C18" s="39">
        <f>IF(B$17=0,0,B18/B$17)</f>
        <v>0.42986425339366519</v>
      </c>
      <c r="E18" s="63" t="s">
        <v>80</v>
      </c>
      <c r="F18" s="60" t="s">
        <v>35</v>
      </c>
      <c r="G18" s="47">
        <v>31</v>
      </c>
      <c r="H18" s="133">
        <f>IF(B$17=0,0,G18/B$17)</f>
        <v>1.5585721468074409E-2</v>
      </c>
      <c r="I18" s="94">
        <v>6</v>
      </c>
      <c r="K18" s="38">
        <v>16</v>
      </c>
      <c r="L18" s="99">
        <v>90.899999999999991</v>
      </c>
      <c r="N18" s="115" t="s">
        <v>129</v>
      </c>
      <c r="O18" s="125">
        <f>IF(P18=0,0,Q18/P18)</f>
        <v>11.389655172413823</v>
      </c>
      <c r="P18" s="119">
        <v>232</v>
      </c>
      <c r="Q18" s="107">
        <v>2642.4000000000069</v>
      </c>
    </row>
    <row r="19" spans="1:17" x14ac:dyDescent="0.4">
      <c r="A19" s="55" t="s">
        <v>11</v>
      </c>
      <c r="B19" s="47">
        <v>1134</v>
      </c>
      <c r="C19" s="39">
        <f>IF(B$17=0,0,B19/B$17)</f>
        <v>0.57013574660633481</v>
      </c>
      <c r="E19" s="63" t="s">
        <v>180</v>
      </c>
      <c r="F19" s="60" t="s">
        <v>181</v>
      </c>
      <c r="G19" s="47">
        <v>31</v>
      </c>
      <c r="H19" s="133">
        <f>IF(B$17=0,0,G19/B$17)</f>
        <v>1.5585721468074409E-2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4.510714285714287</v>
      </c>
      <c r="P19" s="119">
        <v>280</v>
      </c>
      <c r="Q19" s="107">
        <v>1263.0000000000005</v>
      </c>
    </row>
    <row r="20" spans="1:17" x14ac:dyDescent="0.4">
      <c r="A20" s="55" t="s">
        <v>13</v>
      </c>
      <c r="B20" s="47">
        <v>1118</v>
      </c>
      <c r="C20" s="39">
        <f>IF(B$3=0,0,B20/B$3)</f>
        <v>0.16771677167716773</v>
      </c>
      <c r="E20" s="63" t="s">
        <v>74</v>
      </c>
      <c r="F20" s="60" t="s">
        <v>29</v>
      </c>
      <c r="G20" s="47">
        <v>13</v>
      </c>
      <c r="H20" s="133">
        <f>IF(B$17=0,0,G20/B$17)</f>
        <v>6.5359477124183009E-3</v>
      </c>
      <c r="I20" s="94">
        <v>4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2.046666666666666</v>
      </c>
      <c r="P20" s="119">
        <v>180</v>
      </c>
      <c r="Q20" s="107">
        <v>368.39999999999986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12</v>
      </c>
      <c r="H21" s="133">
        <f>IF(B$17=0,0,G21/B$17)</f>
        <v>6.0331825037707393E-3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0.75937500000000246</v>
      </c>
      <c r="P21" s="119">
        <v>192</v>
      </c>
      <c r="Q21" s="107">
        <v>145.80000000000047</v>
      </c>
    </row>
    <row r="22" spans="1:17" x14ac:dyDescent="0.4">
      <c r="A22" s="55" t="s">
        <v>192</v>
      </c>
      <c r="B22" s="47">
        <v>31</v>
      </c>
      <c r="C22" s="135">
        <v>1</v>
      </c>
      <c r="E22" s="63" t="s">
        <v>75</v>
      </c>
      <c r="F22" s="60" t="s">
        <v>30</v>
      </c>
      <c r="G22" s="47">
        <v>9</v>
      </c>
      <c r="H22" s="133">
        <f>IF(B$17=0,0,G22/B$17)</f>
        <v>4.5248868778280547E-3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>IF(P22=0,0,Q22/P22)</f>
        <v>-2.3517857142857164</v>
      </c>
      <c r="P22" s="119">
        <v>168</v>
      </c>
      <c r="Q22" s="107">
        <v>-395.10000000000036</v>
      </c>
    </row>
    <row r="23" spans="1:17" x14ac:dyDescent="0.4">
      <c r="A23" s="55" t="s">
        <v>5</v>
      </c>
      <c r="B23" s="51">
        <f>IF(B$17=0,0,C23/B$17)</f>
        <v>8785.8220211161388</v>
      </c>
      <c r="C23" s="41">
        <v>17475000</v>
      </c>
      <c r="E23" s="63" t="s">
        <v>86</v>
      </c>
      <c r="F23" s="60" t="s">
        <v>41</v>
      </c>
      <c r="G23" s="47">
        <v>8</v>
      </c>
      <c r="H23" s="133">
        <f>IF(B$17=0,0,G23/B$17)</f>
        <v>4.0221216691804923E-3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-3.7833333333333283</v>
      </c>
      <c r="P23" s="119">
        <v>36</v>
      </c>
      <c r="Q23" s="107">
        <v>-136.19999999999982</v>
      </c>
    </row>
    <row r="24" spans="1:17" x14ac:dyDescent="0.4">
      <c r="A24" s="57" t="s">
        <v>14</v>
      </c>
      <c r="B24" s="52">
        <f>IF(B$20=0,0,C24/B$20)</f>
        <v>-8250.8944543828256</v>
      </c>
      <c r="C24" s="45">
        <v>-9224500</v>
      </c>
      <c r="E24" s="63" t="s">
        <v>93</v>
      </c>
      <c r="F24" s="60" t="s">
        <v>48</v>
      </c>
      <c r="G24" s="47">
        <v>8</v>
      </c>
      <c r="H24" s="133">
        <f>IF(B$17=0,0,G24/B$17)</f>
        <v>4.0221216691804923E-3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-17.280357142857124</v>
      </c>
      <c r="P24" s="119">
        <v>336</v>
      </c>
      <c r="Q24" s="107">
        <v>-5806.1999999999935</v>
      </c>
    </row>
    <row r="25" spans="1:17" x14ac:dyDescent="0.4">
      <c r="A25" s="90" t="s">
        <v>142</v>
      </c>
      <c r="B25" s="146">
        <v>8</v>
      </c>
      <c r="C25" s="147"/>
      <c r="E25" s="63" t="s">
        <v>94</v>
      </c>
      <c r="F25" s="60" t="s">
        <v>49</v>
      </c>
      <c r="G25" s="47">
        <v>7</v>
      </c>
      <c r="H25" s="133">
        <f>IF(B$17=0,0,G25/B$17)</f>
        <v>3.5193564605329312E-3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4">
        <v>116000</v>
      </c>
      <c r="C26" s="145"/>
      <c r="E26" s="63" t="s">
        <v>88</v>
      </c>
      <c r="F26" s="60" t="s">
        <v>43</v>
      </c>
      <c r="G26" s="47">
        <v>6</v>
      </c>
      <c r="H26" s="133">
        <f>IF(B$17=0,0,G26/B$17)</f>
        <v>3.0165912518853697E-3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19</v>
      </c>
      <c r="C27" s="42">
        <f>IF(B$3=0,0,B27/B$3)</f>
        <v>2.8502850285028504E-3</v>
      </c>
      <c r="E27" s="63" t="s">
        <v>78</v>
      </c>
      <c r="F27" s="60" t="s">
        <v>33</v>
      </c>
      <c r="G27" s="47">
        <v>5</v>
      </c>
      <c r="H27" s="133">
        <f>IF(B$17=0,0,G27/B$17)</f>
        <v>2.5138260432378081E-3</v>
      </c>
      <c r="I27" s="94">
        <v>7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85</v>
      </c>
      <c r="F28" s="60" t="s">
        <v>40</v>
      </c>
      <c r="G28" s="47">
        <v>5</v>
      </c>
      <c r="H28" s="133">
        <f>IF(B$17=0,0,G28/B$17)</f>
        <v>2.5138260432378081E-3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5</v>
      </c>
      <c r="H29" s="133">
        <f>IF(B$17=0,0,G29/B$17)</f>
        <v>2.5138260432378081E-3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2.0110608345902461E-3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1.0055304172951231E-3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5.0276520864756154E-4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5.0276520864756154E-4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5.0276520864756154E-4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-11.999999999999986</v>
      </c>
    </row>
    <row r="742" spans="11:12" x14ac:dyDescent="0.4">
      <c r="K742" s="38">
        <v>740</v>
      </c>
      <c r="L742" s="99">
        <v>65.100000000000009</v>
      </c>
    </row>
    <row r="743" spans="11:12" x14ac:dyDescent="0.4">
      <c r="K743" s="38">
        <v>741</v>
      </c>
      <c r="L743" s="99">
        <v>1.4210854715202004E-14</v>
      </c>
    </row>
    <row r="744" spans="11:12" x14ac:dyDescent="0.4">
      <c r="K744" s="38">
        <v>742</v>
      </c>
      <c r="L744" s="99">
        <v>14.700000000000014</v>
      </c>
    </row>
    <row r="745" spans="11:12" x14ac:dyDescent="0.4">
      <c r="K745" s="38">
        <v>743</v>
      </c>
      <c r="L745" s="99">
        <v>75.200000000000017</v>
      </c>
    </row>
    <row r="746" spans="11:12" x14ac:dyDescent="0.4">
      <c r="K746" s="38">
        <v>744</v>
      </c>
      <c r="L746" s="99">
        <v>1.4210854715202004E-14</v>
      </c>
    </row>
    <row r="747" spans="11:12" x14ac:dyDescent="0.4">
      <c r="K747" s="38">
        <v>745</v>
      </c>
      <c r="L747" s="99">
        <v>12.200000000000014</v>
      </c>
    </row>
    <row r="748" spans="11:12" x14ac:dyDescent="0.4">
      <c r="K748" s="38">
        <v>746</v>
      </c>
      <c r="L748" s="99">
        <v>55.100000000000009</v>
      </c>
    </row>
    <row r="749" spans="11:12" x14ac:dyDescent="0.4">
      <c r="K749" s="38">
        <v>747</v>
      </c>
      <c r="L749" s="99">
        <v>7.1054273576010019E-15</v>
      </c>
    </row>
    <row r="750" spans="11:12" x14ac:dyDescent="0.4">
      <c r="K750" s="38">
        <v>748</v>
      </c>
      <c r="L750" s="99">
        <v>9.0000000000000071</v>
      </c>
    </row>
    <row r="751" spans="11:12" x14ac:dyDescent="0.4">
      <c r="K751" s="38">
        <v>749</v>
      </c>
      <c r="L751" s="99">
        <v>-37.699999999999996</v>
      </c>
    </row>
    <row r="752" spans="11:12" x14ac:dyDescent="0.4">
      <c r="K752" s="38">
        <v>750</v>
      </c>
      <c r="L752" s="99">
        <v>7.1054273576010019E-15</v>
      </c>
    </row>
    <row r="753" spans="11:12" x14ac:dyDescent="0.4">
      <c r="K753" s="38">
        <v>751</v>
      </c>
      <c r="L753" s="99">
        <v>-43.199999999999996</v>
      </c>
    </row>
    <row r="754" spans="11:12" x14ac:dyDescent="0.4">
      <c r="K754" s="38">
        <v>752</v>
      </c>
      <c r="L754" s="99">
        <v>-39.799999999999997</v>
      </c>
    </row>
    <row r="755" spans="11:12" x14ac:dyDescent="0.4">
      <c r="K755" s="38">
        <v>753</v>
      </c>
      <c r="L755" s="99">
        <v>0</v>
      </c>
    </row>
    <row r="756" spans="11:12" x14ac:dyDescent="0.4">
      <c r="K756" s="38">
        <v>754</v>
      </c>
      <c r="L756" s="99">
        <v>-53.3</v>
      </c>
    </row>
    <row r="757" spans="11:12" x14ac:dyDescent="0.4">
      <c r="K757" s="38">
        <v>755</v>
      </c>
      <c r="L757" s="99">
        <v>-61.599999999999994</v>
      </c>
    </row>
    <row r="758" spans="11:12" x14ac:dyDescent="0.4">
      <c r="K758" s="38">
        <v>756</v>
      </c>
      <c r="L758" s="99">
        <v>7.1054273576010019E-15</v>
      </c>
    </row>
    <row r="759" spans="11:12" x14ac:dyDescent="0.4">
      <c r="K759" s="38">
        <v>757</v>
      </c>
      <c r="L759" s="99">
        <v>31.700000000000006</v>
      </c>
    </row>
    <row r="760" spans="11:12" x14ac:dyDescent="0.4">
      <c r="K760" s="38">
        <v>758</v>
      </c>
      <c r="L760" s="99">
        <v>-10.099999999999991</v>
      </c>
    </row>
    <row r="761" spans="11:12" x14ac:dyDescent="0.4">
      <c r="K761" s="38">
        <v>759</v>
      </c>
      <c r="L761" s="99">
        <v>8.8817841970012523E-15</v>
      </c>
    </row>
    <row r="762" spans="11:12" x14ac:dyDescent="0.4">
      <c r="K762" s="38">
        <v>760</v>
      </c>
      <c r="L762" s="99">
        <v>42.70000000000001</v>
      </c>
    </row>
    <row r="763" spans="11:12" x14ac:dyDescent="0.4">
      <c r="K763" s="38">
        <v>761</v>
      </c>
      <c r="L763" s="99">
        <v>-2.5999999999999872</v>
      </c>
    </row>
    <row r="764" spans="11:12" x14ac:dyDescent="0.4">
      <c r="K764" s="38">
        <v>762</v>
      </c>
      <c r="L764" s="99">
        <v>1.2878587085651816E-14</v>
      </c>
    </row>
    <row r="765" spans="11:12" x14ac:dyDescent="0.4">
      <c r="K765" s="38">
        <v>763</v>
      </c>
      <c r="L765" s="99">
        <v>62.000000000000014</v>
      </c>
    </row>
    <row r="766" spans="11:12" x14ac:dyDescent="0.4">
      <c r="K766" s="38">
        <v>764</v>
      </c>
      <c r="L766" s="99">
        <v>3.9000000000000128</v>
      </c>
    </row>
    <row r="767" spans="11:12" x14ac:dyDescent="0.4">
      <c r="K767" s="38">
        <v>765</v>
      </c>
      <c r="L767" s="99">
        <v>1.2878587085651816E-14</v>
      </c>
    </row>
    <row r="768" spans="11:12" x14ac:dyDescent="0.4">
      <c r="K768" s="38">
        <v>766</v>
      </c>
      <c r="L768" s="99">
        <v>35.000000000000014</v>
      </c>
    </row>
    <row r="769" spans="11:12" x14ac:dyDescent="0.4">
      <c r="K769" s="38">
        <v>767</v>
      </c>
      <c r="L769" s="99">
        <v>-9.5999999999999872</v>
      </c>
    </row>
    <row r="770" spans="11:12" x14ac:dyDescent="0.4">
      <c r="K770" s="38">
        <v>768</v>
      </c>
      <c r="L770" s="99">
        <v>1.2434497875801753E-14</v>
      </c>
    </row>
    <row r="771" spans="11:12" x14ac:dyDescent="0.4">
      <c r="K771" s="38">
        <v>769</v>
      </c>
      <c r="L771" s="99">
        <v>39.300000000000011</v>
      </c>
    </row>
    <row r="772" spans="11:12" x14ac:dyDescent="0.4">
      <c r="K772" s="38">
        <v>770</v>
      </c>
      <c r="L772" s="99">
        <v>-18.999999999999986</v>
      </c>
    </row>
    <row r="773" spans="11:12" x14ac:dyDescent="0.4">
      <c r="K773" s="38">
        <v>771</v>
      </c>
      <c r="L773" s="99">
        <v>1.4210854715202004E-14</v>
      </c>
    </row>
    <row r="774" spans="11:12" x14ac:dyDescent="0.4">
      <c r="K774" s="38">
        <v>772</v>
      </c>
      <c r="L774" s="99">
        <v>1.1000000000000143</v>
      </c>
    </row>
    <row r="775" spans="11:12" x14ac:dyDescent="0.4">
      <c r="K775" s="38">
        <v>773</v>
      </c>
      <c r="L775" s="99">
        <v>-34.699999999999982</v>
      </c>
    </row>
    <row r="776" spans="11:12" x14ac:dyDescent="0.4">
      <c r="K776" s="38">
        <v>774</v>
      </c>
      <c r="L776" s="99">
        <v>2.1316282072803006E-14</v>
      </c>
    </row>
    <row r="777" spans="11:12" x14ac:dyDescent="0.4">
      <c r="K777" s="38">
        <v>775</v>
      </c>
      <c r="L777" s="99">
        <v>-32.09999999999998</v>
      </c>
    </row>
    <row r="778" spans="11:12" x14ac:dyDescent="0.4">
      <c r="K778" s="38">
        <v>776</v>
      </c>
      <c r="L778" s="99">
        <v>-36.399999999999977</v>
      </c>
    </row>
    <row r="779" spans="11:12" x14ac:dyDescent="0.4">
      <c r="K779" s="38">
        <v>777</v>
      </c>
      <c r="L779" s="99">
        <v>2.1316282072803006E-14</v>
      </c>
    </row>
    <row r="780" spans="11:12" x14ac:dyDescent="0.4">
      <c r="K780" s="38">
        <v>778</v>
      </c>
      <c r="L780" s="99">
        <v>-7.399999999999979</v>
      </c>
    </row>
    <row r="781" spans="11:12" x14ac:dyDescent="0.4">
      <c r="K781" s="38">
        <v>779</v>
      </c>
      <c r="L781" s="99">
        <v>-65.999999999999986</v>
      </c>
    </row>
    <row r="782" spans="11:12" x14ac:dyDescent="0.4">
      <c r="K782" s="38">
        <v>780</v>
      </c>
      <c r="L782" s="99">
        <v>1.4210854715202004E-14</v>
      </c>
    </row>
    <row r="783" spans="11:12" x14ac:dyDescent="0.4">
      <c r="K783" s="38">
        <v>781</v>
      </c>
      <c r="L783" s="99">
        <v>-55.399999999999984</v>
      </c>
    </row>
    <row r="784" spans="11:12" x14ac:dyDescent="0.4">
      <c r="K784" s="38">
        <v>782</v>
      </c>
      <c r="L784" s="99">
        <v>-42.59999999999998</v>
      </c>
    </row>
    <row r="785" spans="11:12" x14ac:dyDescent="0.4">
      <c r="K785" s="38">
        <v>783</v>
      </c>
      <c r="L785" s="99">
        <v>2.1316282072803006E-14</v>
      </c>
    </row>
    <row r="786" spans="11:12" x14ac:dyDescent="0.4">
      <c r="K786" s="38">
        <v>784</v>
      </c>
      <c r="L786" s="99">
        <v>17.800000000000022</v>
      </c>
    </row>
    <row r="787" spans="11:12" x14ac:dyDescent="0.4">
      <c r="K787" s="38">
        <v>785</v>
      </c>
      <c r="L787" s="99">
        <v>-49.199999999999974</v>
      </c>
    </row>
    <row r="788" spans="11:12" x14ac:dyDescent="0.4">
      <c r="K788" s="38">
        <v>786</v>
      </c>
      <c r="L788" s="99">
        <v>2.8421709430404007E-14</v>
      </c>
    </row>
    <row r="789" spans="11:12" x14ac:dyDescent="0.4">
      <c r="K789" s="38">
        <v>787</v>
      </c>
      <c r="L789" s="99">
        <v>-17.89999999999997</v>
      </c>
    </row>
    <row r="790" spans="11:12" x14ac:dyDescent="0.4">
      <c r="K790" s="38">
        <v>788</v>
      </c>
      <c r="L790" s="99">
        <v>80.400000000000034</v>
      </c>
    </row>
    <row r="791" spans="11:12" x14ac:dyDescent="0.4">
      <c r="K791" s="38">
        <v>789</v>
      </c>
      <c r="L791" s="99">
        <v>2.8421709430404007E-14</v>
      </c>
    </row>
    <row r="792" spans="11:12" x14ac:dyDescent="0.4">
      <c r="K792" s="38">
        <v>790</v>
      </c>
      <c r="L792" s="99">
        <v>9.5000000000000284</v>
      </c>
    </row>
    <row r="793" spans="11:12" x14ac:dyDescent="0.4">
      <c r="K793" s="38">
        <v>791</v>
      </c>
      <c r="L793" s="99">
        <v>-49.999999999999972</v>
      </c>
    </row>
    <row r="794" spans="11:12" x14ac:dyDescent="0.4">
      <c r="K794" s="38">
        <v>792</v>
      </c>
      <c r="L794" s="99">
        <v>2.8421709430404007E-14</v>
      </c>
    </row>
    <row r="795" spans="11:12" x14ac:dyDescent="0.4">
      <c r="K795" s="38">
        <v>793</v>
      </c>
      <c r="L795" s="99">
        <v>-55.299999999999969</v>
      </c>
    </row>
    <row r="796" spans="11:12" x14ac:dyDescent="0.4">
      <c r="K796" s="38">
        <v>794</v>
      </c>
      <c r="L796" s="99">
        <v>3.5000000000000284</v>
      </c>
    </row>
    <row r="797" spans="11:12" x14ac:dyDescent="0.4">
      <c r="K797" s="38">
        <v>795</v>
      </c>
      <c r="L797" s="99">
        <v>2.8421709430404007E-14</v>
      </c>
    </row>
    <row r="798" spans="11:12" x14ac:dyDescent="0.4">
      <c r="K798" s="38">
        <v>796</v>
      </c>
      <c r="L798" s="99">
        <v>31.000000000000028</v>
      </c>
    </row>
    <row r="799" spans="11:12" x14ac:dyDescent="0.4">
      <c r="K799" s="38">
        <v>797</v>
      </c>
      <c r="L799" s="99">
        <v>-4.9999999999999716</v>
      </c>
    </row>
    <row r="800" spans="11:12" x14ac:dyDescent="0.4">
      <c r="K800" s="38">
        <v>798</v>
      </c>
      <c r="L800" s="99">
        <v>2.8421709430404007E-14</v>
      </c>
    </row>
    <row r="801" spans="11:12" x14ac:dyDescent="0.4">
      <c r="K801" s="38">
        <v>799</v>
      </c>
      <c r="L801" s="99">
        <v>-35.299999999999969</v>
      </c>
    </row>
    <row r="802" spans="11:12" x14ac:dyDescent="0.4">
      <c r="K802" s="38">
        <v>800</v>
      </c>
      <c r="L802" s="99">
        <v>-38.89999999999997</v>
      </c>
    </row>
    <row r="803" spans="11:12" x14ac:dyDescent="0.4">
      <c r="K803" s="38">
        <v>801</v>
      </c>
      <c r="L803" s="99">
        <v>2.8421709430404007E-14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1905-3C86-4998-9679-76919BE589E6}">
  <sheetPr codeName="Sheet7"/>
  <dimension ref="A1:Q17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168</v>
      </c>
      <c r="C2" s="153"/>
      <c r="E2" s="62" t="s">
        <v>67</v>
      </c>
      <c r="F2" s="59" t="s">
        <v>23</v>
      </c>
      <c r="G2" s="46">
        <v>333</v>
      </c>
      <c r="H2" s="132">
        <f>IF(B$17=0,0,G2/B$17)</f>
        <v>0.71306209850107072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1623.2142857142858</v>
      </c>
      <c r="P2" s="118">
        <v>168</v>
      </c>
      <c r="Q2" s="102">
        <v>272700</v>
      </c>
    </row>
    <row r="3" spans="1:17" x14ac:dyDescent="0.4">
      <c r="A3" s="55" t="s">
        <v>8</v>
      </c>
      <c r="B3" s="154">
        <v>1381</v>
      </c>
      <c r="C3" s="155"/>
      <c r="E3" s="63" t="s">
        <v>73</v>
      </c>
      <c r="F3" s="60" t="s">
        <v>28</v>
      </c>
      <c r="G3" s="47">
        <v>254</v>
      </c>
      <c r="H3" s="133">
        <f>IF(B$17=0,0,G3/B$17)</f>
        <v>0.54389721627408993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2044.7852760736196</v>
      </c>
      <c r="P3" s="119">
        <v>163</v>
      </c>
      <c r="Q3" s="103">
        <v>333300</v>
      </c>
    </row>
    <row r="4" spans="1:17" x14ac:dyDescent="0.4">
      <c r="A4" s="55" t="s">
        <v>6</v>
      </c>
      <c r="B4" s="156">
        <v>1935.4000000000005</v>
      </c>
      <c r="C4" s="157"/>
      <c r="E4" s="63" t="s">
        <v>65</v>
      </c>
      <c r="F4" s="60" t="s">
        <v>21</v>
      </c>
      <c r="G4" s="47">
        <v>225</v>
      </c>
      <c r="H4" s="133">
        <f>IF(B$17=0,0,G4/B$17)</f>
        <v>0.4817987152034261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636.12903225806451</v>
      </c>
      <c r="P4" s="119">
        <v>155</v>
      </c>
      <c r="Q4" s="103">
        <v>98600</v>
      </c>
    </row>
    <row r="5" spans="1:17" x14ac:dyDescent="0.4">
      <c r="A5" s="55" t="s">
        <v>7</v>
      </c>
      <c r="B5" s="158">
        <f>IF(B$2=0,0,B$4/B$2)</f>
        <v>11.520238095238099</v>
      </c>
      <c r="C5" s="159"/>
      <c r="E5" s="63" t="s">
        <v>245</v>
      </c>
      <c r="F5" s="60" t="s">
        <v>246</v>
      </c>
      <c r="G5" s="47">
        <v>193</v>
      </c>
      <c r="H5" s="133">
        <f>IF(B$17=0,0,G5/B$17)</f>
        <v>0.41327623126338331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2252.4475524475524</v>
      </c>
      <c r="P5" s="119">
        <v>143</v>
      </c>
      <c r="Q5" s="103">
        <v>322100</v>
      </c>
    </row>
    <row r="6" spans="1:17" x14ac:dyDescent="0.4">
      <c r="A6" s="55" t="s">
        <v>1</v>
      </c>
      <c r="B6" s="148">
        <f>IF(B$2=0,0,(B$7*1+B$8*2+B$9*3)/B$2)</f>
        <v>1.7738095238095237</v>
      </c>
      <c r="C6" s="149"/>
      <c r="E6" s="63" t="s">
        <v>68</v>
      </c>
      <c r="F6" s="60" t="s">
        <v>24</v>
      </c>
      <c r="G6" s="47">
        <v>136</v>
      </c>
      <c r="H6" s="133">
        <f>IF(B$17=0,0,G6/B$17)</f>
        <v>0.29122055674518199</v>
      </c>
      <c r="I6" s="94">
        <v>8</v>
      </c>
      <c r="K6" s="38">
        <v>4</v>
      </c>
      <c r="L6" s="99">
        <v>110.5</v>
      </c>
      <c r="N6" s="115" t="s">
        <v>136</v>
      </c>
      <c r="O6" s="122">
        <f t="shared" si="0"/>
        <v>279.36507936507934</v>
      </c>
      <c r="P6" s="119">
        <v>126</v>
      </c>
      <c r="Q6" s="103">
        <v>35200</v>
      </c>
    </row>
    <row r="7" spans="1:17" x14ac:dyDescent="0.4">
      <c r="A7" s="55" t="s">
        <v>2</v>
      </c>
      <c r="B7" s="47">
        <v>79</v>
      </c>
      <c r="C7" s="39">
        <f>IF(B$2=0,0,B7/B$2)</f>
        <v>0.47023809523809523</v>
      </c>
      <c r="E7" s="63" t="s">
        <v>69</v>
      </c>
      <c r="F7" s="60" t="s">
        <v>12</v>
      </c>
      <c r="G7" s="47">
        <v>129</v>
      </c>
      <c r="H7" s="133">
        <f>IF(B$17=0,0,G7/B$17)</f>
        <v>0.27623126338329762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1073.394495412844</v>
      </c>
      <c r="P7" s="120">
        <v>109</v>
      </c>
      <c r="Q7" s="104">
        <v>117000</v>
      </c>
    </row>
    <row r="8" spans="1:17" x14ac:dyDescent="0.4">
      <c r="A8" s="55" t="s">
        <v>3</v>
      </c>
      <c r="B8" s="47">
        <v>48</v>
      </c>
      <c r="C8" s="39">
        <f>IF(B$2=0,0,B8/B$2)</f>
        <v>0.2857142857142857</v>
      </c>
      <c r="E8" s="63" t="s">
        <v>70</v>
      </c>
      <c r="F8" s="60" t="s">
        <v>25</v>
      </c>
      <c r="G8" s="47">
        <v>75</v>
      </c>
      <c r="H8" s="133">
        <f>IF(B$17=0,0,G8/B$17)</f>
        <v>0.16059957173447537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41</v>
      </c>
      <c r="C9" s="40">
        <f t="shared" ref="C9" si="1">IF(B$2=0,0,B9/B$2)</f>
        <v>0.24404761904761904</v>
      </c>
      <c r="E9" s="63" t="s">
        <v>90</v>
      </c>
      <c r="F9" s="60" t="s">
        <v>45</v>
      </c>
      <c r="G9" s="47">
        <v>72</v>
      </c>
      <c r="H9" s="133">
        <f>IF(B$17=0,0,G9/B$17)</f>
        <v>0.15417558886509636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16</v>
      </c>
      <c r="C10" s="40">
        <f>IF(B$2=0,0,B10/B$2)</f>
        <v>9.5238095238095233E-2</v>
      </c>
      <c r="E10" s="63" t="s">
        <v>66</v>
      </c>
      <c r="F10" s="60" t="s">
        <v>22</v>
      </c>
      <c r="G10" s="47">
        <v>58</v>
      </c>
      <c r="H10" s="133">
        <f>IF(B$17=0,0,G10/B$17)</f>
        <v>0.12419700214132762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14.984615384615385</v>
      </c>
      <c r="P10" s="118">
        <v>52</v>
      </c>
      <c r="Q10" s="106">
        <v>779.2</v>
      </c>
    </row>
    <row r="11" spans="1:17" x14ac:dyDescent="0.4">
      <c r="A11" s="56" t="s">
        <v>140</v>
      </c>
      <c r="B11" s="48">
        <v>29</v>
      </c>
      <c r="C11" s="40">
        <f>IF(B$2=0,0,B11/B$2)</f>
        <v>0.17261904761904762</v>
      </c>
      <c r="E11" s="63" t="s">
        <v>71</v>
      </c>
      <c r="F11" s="60" t="s">
        <v>26</v>
      </c>
      <c r="G11" s="47">
        <v>42</v>
      </c>
      <c r="H11" s="133">
        <f>IF(B$17=0,0,G11/B$17)</f>
        <v>8.9935760171306209E-2</v>
      </c>
      <c r="I11" s="94">
        <v>8</v>
      </c>
      <c r="K11" s="38">
        <v>9</v>
      </c>
      <c r="L11" s="99">
        <v>277.90000000000003</v>
      </c>
      <c r="N11" s="115" t="s">
        <v>165</v>
      </c>
      <c r="O11" s="125">
        <f>IF(P11=0,0,Q11/P11)</f>
        <v>10.519607843137255</v>
      </c>
      <c r="P11" s="119">
        <v>51</v>
      </c>
      <c r="Q11" s="107">
        <v>536.5</v>
      </c>
    </row>
    <row r="12" spans="1:17" x14ac:dyDescent="0.4">
      <c r="A12" s="57" t="s">
        <v>160</v>
      </c>
      <c r="B12" s="49">
        <v>24</v>
      </c>
      <c r="C12" s="42">
        <f>IF(B$2=0,0,B12/B$2)</f>
        <v>0.14285714285714285</v>
      </c>
      <c r="E12" s="63" t="s">
        <v>87</v>
      </c>
      <c r="F12" s="60" t="s">
        <v>42</v>
      </c>
      <c r="G12" s="47">
        <v>35</v>
      </c>
      <c r="H12" s="133">
        <f>IF(B$17=0,0,G12/B$17)</f>
        <v>7.4946466809421838E-2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9.5338461538461576</v>
      </c>
      <c r="P12" s="120">
        <v>65</v>
      </c>
      <c r="Q12" s="108">
        <v>619.70000000000027</v>
      </c>
    </row>
    <row r="13" spans="1:17" x14ac:dyDescent="0.4">
      <c r="A13" s="58" t="s">
        <v>122</v>
      </c>
      <c r="B13" s="50">
        <v>434</v>
      </c>
      <c r="C13" s="44">
        <f>IF(B$3=0,0,B13/B$3)</f>
        <v>0.31426502534395367</v>
      </c>
      <c r="E13" s="63" t="s">
        <v>72</v>
      </c>
      <c r="F13" s="60" t="s">
        <v>27</v>
      </c>
      <c r="G13" s="47">
        <v>32</v>
      </c>
      <c r="H13" s="133">
        <f>IF(B$17=0,0,G13/B$17)</f>
        <v>6.852248394004283E-2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288</v>
      </c>
      <c r="C14" s="39">
        <f>IF(B$3=0,0,B14/B$3)</f>
        <v>0.20854453294713976</v>
      </c>
      <c r="E14" s="63" t="s">
        <v>84</v>
      </c>
      <c r="F14" s="60" t="s">
        <v>39</v>
      </c>
      <c r="G14" s="47">
        <v>25</v>
      </c>
      <c r="H14" s="133">
        <f>IF(B$17=0,0,G14/B$17)</f>
        <v>5.353319057815846E-2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247</v>
      </c>
      <c r="C15" s="37">
        <f>IF(B$13=0,0,B15/B$13)</f>
        <v>0.56912442396313367</v>
      </c>
      <c r="E15" s="63" t="s">
        <v>180</v>
      </c>
      <c r="F15" s="60" t="s">
        <v>181</v>
      </c>
      <c r="G15" s="47">
        <v>17</v>
      </c>
      <c r="H15" s="133">
        <f>IF(B$17=0,0,G15/B$17)</f>
        <v>3.6402569593147749E-2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150</v>
      </c>
      <c r="C16" s="37">
        <f>IF(B$14=0,0,B16/B$14)</f>
        <v>0.52083333333333337</v>
      </c>
      <c r="E16" s="63" t="s">
        <v>79</v>
      </c>
      <c r="F16" s="60" t="s">
        <v>34</v>
      </c>
      <c r="G16" s="47">
        <v>12</v>
      </c>
      <c r="H16" s="133">
        <f>IF(B$17=0,0,G16/B$17)</f>
        <v>2.569593147751606E-2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467</v>
      </c>
      <c r="C17" s="37">
        <f>IF(B$3=0,0,B17/B$3)</f>
        <v>0.33816075307748011</v>
      </c>
      <c r="E17" s="63" t="s">
        <v>82</v>
      </c>
      <c r="F17" s="60" t="s">
        <v>37</v>
      </c>
      <c r="G17" s="47">
        <v>12</v>
      </c>
      <c r="H17" s="133">
        <f>IF(B$17=0,0,G17/B$17)</f>
        <v>2.569593147751606E-2</v>
      </c>
      <c r="I17" s="94">
        <v>8</v>
      </c>
      <c r="K17" s="38">
        <v>15</v>
      </c>
      <c r="L17" s="99">
        <v>481.50000000000006</v>
      </c>
      <c r="N17" s="115" t="s">
        <v>172</v>
      </c>
      <c r="O17" s="125">
        <f>IF(P17=0,0,Q17/P17)</f>
        <v>24.906382978723396</v>
      </c>
      <c r="P17" s="119">
        <v>47</v>
      </c>
      <c r="Q17" s="107">
        <v>1170.5999999999997</v>
      </c>
    </row>
    <row r="18" spans="1:17" x14ac:dyDescent="0.4">
      <c r="A18" s="55" t="s">
        <v>12</v>
      </c>
      <c r="B18" s="47">
        <v>196</v>
      </c>
      <c r="C18" s="39">
        <f>IF(B$17=0,0,B18/B$17)</f>
        <v>0.41970021413276232</v>
      </c>
      <c r="E18" s="63" t="s">
        <v>92</v>
      </c>
      <c r="F18" s="60" t="s">
        <v>47</v>
      </c>
      <c r="G18" s="47">
        <v>11</v>
      </c>
      <c r="H18" s="133">
        <f>IF(B$17=0,0,G18/B$17)</f>
        <v>2.3554603854389723E-2</v>
      </c>
      <c r="I18" s="94">
        <v>4</v>
      </c>
      <c r="K18" s="38">
        <v>16</v>
      </c>
      <c r="L18" s="99">
        <v>425.50000000000006</v>
      </c>
      <c r="N18" s="115" t="s">
        <v>129</v>
      </c>
      <c r="O18" s="125">
        <f>IF(P18=0,0,Q18/P18)</f>
        <v>23.289230769230773</v>
      </c>
      <c r="P18" s="119">
        <v>65</v>
      </c>
      <c r="Q18" s="107">
        <v>1513.8000000000002</v>
      </c>
    </row>
    <row r="19" spans="1:17" x14ac:dyDescent="0.4">
      <c r="A19" s="55" t="s">
        <v>11</v>
      </c>
      <c r="B19" s="47">
        <v>271</v>
      </c>
      <c r="C19" s="39">
        <f>IF(B$17=0,0,B19/B$17)</f>
        <v>0.58029978586723774</v>
      </c>
      <c r="E19" s="63" t="s">
        <v>80</v>
      </c>
      <c r="F19" s="60" t="s">
        <v>35</v>
      </c>
      <c r="G19" s="47">
        <v>6</v>
      </c>
      <c r="H19" s="133">
        <f>IF(B$17=0,0,G19/B$17)</f>
        <v>1.284796573875803E-2</v>
      </c>
      <c r="I19" s="94">
        <v>9</v>
      </c>
      <c r="K19" s="38">
        <v>17</v>
      </c>
      <c r="L19" s="99">
        <v>427.40000000000003</v>
      </c>
      <c r="N19" s="115" t="s">
        <v>184</v>
      </c>
      <c r="O19" s="125">
        <f>IF(P19=0,0,Q19/P19)</f>
        <v>22.99166666666666</v>
      </c>
      <c r="P19" s="119">
        <v>12</v>
      </c>
      <c r="Q19" s="107">
        <v>275.89999999999992</v>
      </c>
    </row>
    <row r="20" spans="1:17" x14ac:dyDescent="0.4">
      <c r="A20" s="55" t="s">
        <v>13</v>
      </c>
      <c r="B20" s="47">
        <v>215</v>
      </c>
      <c r="C20" s="39">
        <f>IF(B$3=0,0,B20/B$3)</f>
        <v>0.1556842867487328</v>
      </c>
      <c r="E20" s="63" t="s">
        <v>86</v>
      </c>
      <c r="F20" s="60" t="s">
        <v>41</v>
      </c>
      <c r="G20" s="47">
        <v>4</v>
      </c>
      <c r="H20" s="133">
        <f>IF(B$17=0,0,G20/B$17)</f>
        <v>8.5653104925053538E-3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20.326470588235299</v>
      </c>
      <c r="P20" s="119">
        <v>34</v>
      </c>
      <c r="Q20" s="107">
        <v>691.10000000000014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6.4239828693790149E-3</v>
      </c>
      <c r="I21" s="94">
        <v>5</v>
      </c>
      <c r="K21" s="38">
        <v>19</v>
      </c>
      <c r="L21" s="99">
        <v>405.40000000000003</v>
      </c>
      <c r="N21" s="115" t="s">
        <v>128</v>
      </c>
      <c r="O21" s="125">
        <f>IF(P21=0,0,Q21/P21)</f>
        <v>17.293617021276596</v>
      </c>
      <c r="P21" s="119">
        <v>94</v>
      </c>
      <c r="Q21" s="107">
        <v>1625.6000000000001</v>
      </c>
    </row>
    <row r="22" spans="1:17" x14ac:dyDescent="0.4">
      <c r="A22" s="55" t="s">
        <v>192</v>
      </c>
      <c r="B22" s="47">
        <v>39</v>
      </c>
      <c r="C22" s="135">
        <v>0</v>
      </c>
      <c r="E22" s="63" t="s">
        <v>93</v>
      </c>
      <c r="F22" s="60" t="s">
        <v>48</v>
      </c>
      <c r="G22" s="47">
        <v>3</v>
      </c>
      <c r="H22" s="133">
        <f>IF(B$17=0,0,G22/B$17)</f>
        <v>6.4239828693790149E-3</v>
      </c>
      <c r="I22" s="94">
        <v>2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9254.1755888650969</v>
      </c>
      <c r="C23" s="41">
        <v>4321700</v>
      </c>
      <c r="E23" s="63" t="s">
        <v>78</v>
      </c>
      <c r="F23" s="60" t="s">
        <v>33</v>
      </c>
      <c r="G23" s="47">
        <v>2</v>
      </c>
      <c r="H23" s="133">
        <f>IF(B$17=0,0,G23/B$17)</f>
        <v>4.2826552462526769E-3</v>
      </c>
      <c r="I23" s="94">
        <v>5</v>
      </c>
      <c r="K23" s="38">
        <v>21</v>
      </c>
      <c r="L23" s="99">
        <v>468.3</v>
      </c>
      <c r="N23" s="115" t="s">
        <v>171</v>
      </c>
      <c r="O23" s="125">
        <f>IF(P23=0,0,Q23/P23)</f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-8183.2558139534885</v>
      </c>
      <c r="C24" s="45">
        <v>-1759400</v>
      </c>
      <c r="E24" s="63" t="s">
        <v>89</v>
      </c>
      <c r="F24" s="60" t="s">
        <v>44</v>
      </c>
      <c r="G24" s="47">
        <v>2</v>
      </c>
      <c r="H24" s="133">
        <f>IF(B$17=0,0,G24/B$17)</f>
        <v>4.2826552462526769E-3</v>
      </c>
      <c r="I24" s="94">
        <v>1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6">
        <v>7</v>
      </c>
      <c r="C25" s="147"/>
      <c r="E25" s="63" t="s">
        <v>91</v>
      </c>
      <c r="F25" s="60" t="s">
        <v>46</v>
      </c>
      <c r="G25" s="47">
        <v>2</v>
      </c>
      <c r="H25" s="133">
        <f>IF(B$17=0,0,G25/B$17)</f>
        <v>4.2826552462526769E-3</v>
      </c>
      <c r="I25" s="94">
        <v>2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4">
        <v>116000</v>
      </c>
      <c r="C26" s="145"/>
      <c r="E26" s="63" t="s">
        <v>94</v>
      </c>
      <c r="F26" s="60" t="s">
        <v>49</v>
      </c>
      <c r="G26" s="47">
        <v>2</v>
      </c>
      <c r="H26" s="133">
        <f>IF(B$17=0,0,G26/B$17)</f>
        <v>4.2826552462526769E-3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7.2411296162201298E-4</v>
      </c>
      <c r="E27" s="63" t="s">
        <v>76</v>
      </c>
      <c r="F27" s="60" t="s">
        <v>31</v>
      </c>
      <c r="G27" s="47">
        <v>1</v>
      </c>
      <c r="H27" s="133">
        <f>IF(B$17=0,0,G27/B$17)</f>
        <v>2.1413276231263384E-3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2.1413276231263384E-3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2.1413276231263384E-3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2.1413276231263384E-3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E036-D088-4E2B-BE38-C9CC96B4086A}">
  <sheetPr codeName="Sheet9"/>
  <dimension ref="A1:Q14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140</v>
      </c>
      <c r="C2" s="153"/>
      <c r="E2" s="62" t="s">
        <v>67</v>
      </c>
      <c r="F2" s="59" t="s">
        <v>23</v>
      </c>
      <c r="G2" s="46">
        <v>243</v>
      </c>
      <c r="H2" s="132">
        <f>IF(B$17=0,0,G2/B$17)</f>
        <v>0.77388535031847139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467.14285714285717</v>
      </c>
      <c r="P2" s="118">
        <v>140</v>
      </c>
      <c r="Q2" s="102">
        <v>65400</v>
      </c>
    </row>
    <row r="3" spans="1:17" x14ac:dyDescent="0.4">
      <c r="A3" s="55" t="s">
        <v>8</v>
      </c>
      <c r="B3" s="154">
        <v>1149</v>
      </c>
      <c r="C3" s="155"/>
      <c r="E3" s="63" t="s">
        <v>65</v>
      </c>
      <c r="F3" s="60" t="s">
        <v>21</v>
      </c>
      <c r="G3" s="47">
        <v>193</v>
      </c>
      <c r="H3" s="133">
        <f>IF(B$17=0,0,G3/B$17)</f>
        <v>0.61464968152866239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-1945.1851851851852</v>
      </c>
      <c r="P3" s="119">
        <v>135</v>
      </c>
      <c r="Q3" s="103">
        <v>-262600</v>
      </c>
    </row>
    <row r="4" spans="1:17" x14ac:dyDescent="0.4">
      <c r="A4" s="55" t="s">
        <v>6</v>
      </c>
      <c r="B4" s="156">
        <v>-421</v>
      </c>
      <c r="C4" s="157"/>
      <c r="E4" s="63" t="s">
        <v>73</v>
      </c>
      <c r="F4" s="60" t="s">
        <v>28</v>
      </c>
      <c r="G4" s="47">
        <v>144</v>
      </c>
      <c r="H4" s="133">
        <f>IF(B$17=0,0,G4/B$17)</f>
        <v>0.45859872611464969</v>
      </c>
      <c r="I4" s="94">
        <v>11</v>
      </c>
      <c r="K4" s="38">
        <v>2</v>
      </c>
      <c r="L4" s="99">
        <v>6.2999999999999972</v>
      </c>
      <c r="N4" s="115" t="s">
        <v>134</v>
      </c>
      <c r="O4" s="122">
        <f t="shared" si="0"/>
        <v>291.40625</v>
      </c>
      <c r="P4" s="119">
        <v>128</v>
      </c>
      <c r="Q4" s="103">
        <v>37300</v>
      </c>
    </row>
    <row r="5" spans="1:17" x14ac:dyDescent="0.4">
      <c r="A5" s="55" t="s">
        <v>7</v>
      </c>
      <c r="B5" s="158">
        <f>IF(B$2=0,0,B$4/B$2)</f>
        <v>-3.0071428571428571</v>
      </c>
      <c r="C5" s="159"/>
      <c r="E5" s="63" t="s">
        <v>245</v>
      </c>
      <c r="F5" s="60" t="s">
        <v>246</v>
      </c>
      <c r="G5" s="47">
        <v>134</v>
      </c>
      <c r="H5" s="133">
        <f>IF(B$17=0,0,G5/B$17)</f>
        <v>0.42675159235668791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-163.47826086956522</v>
      </c>
      <c r="P5" s="119">
        <v>115</v>
      </c>
      <c r="Q5" s="103">
        <v>-18800</v>
      </c>
    </row>
    <row r="6" spans="1:17" x14ac:dyDescent="0.4">
      <c r="A6" s="55" t="s">
        <v>1</v>
      </c>
      <c r="B6" s="148">
        <f>IF(B$2=0,0,(B$7*1+B$8*2+B$9*3)/B$2)</f>
        <v>2.0857142857142859</v>
      </c>
      <c r="C6" s="149"/>
      <c r="E6" s="63" t="s">
        <v>68</v>
      </c>
      <c r="F6" s="60" t="s">
        <v>24</v>
      </c>
      <c r="G6" s="47">
        <v>124</v>
      </c>
      <c r="H6" s="133">
        <f>IF(B$17=0,0,G6/B$17)</f>
        <v>0.39490445859872614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720.79207920792078</v>
      </c>
      <c r="P6" s="119">
        <v>101</v>
      </c>
      <c r="Q6" s="103">
        <v>72800</v>
      </c>
    </row>
    <row r="7" spans="1:17" x14ac:dyDescent="0.4">
      <c r="A7" s="55" t="s">
        <v>2</v>
      </c>
      <c r="B7" s="47">
        <v>37</v>
      </c>
      <c r="C7" s="39">
        <f>IF(B$2=0,0,B7/B$2)</f>
        <v>0.26428571428571429</v>
      </c>
      <c r="E7" s="63" t="s">
        <v>69</v>
      </c>
      <c r="F7" s="60" t="s">
        <v>12</v>
      </c>
      <c r="G7" s="47">
        <v>106</v>
      </c>
      <c r="H7" s="133">
        <f>IF(B$17=0,0,G7/B$17)</f>
        <v>0.33757961783439489</v>
      </c>
      <c r="I7" s="94">
        <v>5</v>
      </c>
      <c r="K7" s="38">
        <v>5</v>
      </c>
      <c r="L7" s="99">
        <v>-16.600000000000005</v>
      </c>
      <c r="N7" s="116" t="s">
        <v>137</v>
      </c>
      <c r="O7" s="123">
        <f t="shared" si="0"/>
        <v>-251.08695652173913</v>
      </c>
      <c r="P7" s="120">
        <v>92</v>
      </c>
      <c r="Q7" s="104">
        <v>-23100</v>
      </c>
    </row>
    <row r="8" spans="1:17" x14ac:dyDescent="0.4">
      <c r="A8" s="55" t="s">
        <v>3</v>
      </c>
      <c r="B8" s="47">
        <v>54</v>
      </c>
      <c r="C8" s="39">
        <f>IF(B$2=0,0,B8/B$2)</f>
        <v>0.38571428571428573</v>
      </c>
      <c r="E8" s="63" t="s">
        <v>70</v>
      </c>
      <c r="F8" s="60" t="s">
        <v>25</v>
      </c>
      <c r="G8" s="47">
        <v>71</v>
      </c>
      <c r="H8" s="133">
        <f>IF(B$17=0,0,G8/B$17)</f>
        <v>0.22611464968152867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49</v>
      </c>
      <c r="C9" s="40">
        <f t="shared" ref="C9" si="1">IF(B$2=0,0,B9/B$2)</f>
        <v>0.35</v>
      </c>
      <c r="E9" s="63" t="s">
        <v>66</v>
      </c>
      <c r="F9" s="60" t="s">
        <v>22</v>
      </c>
      <c r="G9" s="47">
        <v>48</v>
      </c>
      <c r="H9" s="133">
        <f>IF(B$17=0,0,G9/B$17)</f>
        <v>0.15286624203821655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0.1357142857142857</v>
      </c>
      <c r="E10" s="63" t="s">
        <v>71</v>
      </c>
      <c r="F10" s="60" t="s">
        <v>26</v>
      </c>
      <c r="G10" s="47">
        <v>39</v>
      </c>
      <c r="H10" s="133">
        <f>IF(B$17=0,0,G10/B$17)</f>
        <v>0.12420382165605096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-6.3571428571428577</v>
      </c>
      <c r="P10" s="118">
        <v>70</v>
      </c>
      <c r="Q10" s="106">
        <v>-445.00000000000006</v>
      </c>
    </row>
    <row r="11" spans="1:17" x14ac:dyDescent="0.4">
      <c r="A11" s="56" t="s">
        <v>140</v>
      </c>
      <c r="B11" s="48">
        <v>15</v>
      </c>
      <c r="C11" s="40">
        <f>IF(B$2=0,0,B11/B$2)</f>
        <v>0.10714285714285714</v>
      </c>
      <c r="E11" s="63" t="s">
        <v>90</v>
      </c>
      <c r="F11" s="60" t="s">
        <v>45</v>
      </c>
      <c r="G11" s="47">
        <v>34</v>
      </c>
      <c r="H11" s="133">
        <f>IF(B$17=0,0,G11/B$17)</f>
        <v>0.10828025477707007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-2.3138888888888882</v>
      </c>
      <c r="P11" s="119">
        <v>36</v>
      </c>
      <c r="Q11" s="107">
        <v>-83.299999999999969</v>
      </c>
    </row>
    <row r="12" spans="1:17" x14ac:dyDescent="0.4">
      <c r="A12" s="57" t="s">
        <v>160</v>
      </c>
      <c r="B12" s="49">
        <v>9</v>
      </c>
      <c r="C12" s="42">
        <f>IF(B$2=0,0,B12/B$2)</f>
        <v>6.4285714285714279E-2</v>
      </c>
      <c r="E12" s="63" t="s">
        <v>72</v>
      </c>
      <c r="F12" s="60" t="s">
        <v>27</v>
      </c>
      <c r="G12" s="47">
        <v>17</v>
      </c>
      <c r="H12" s="133">
        <f>IF(B$17=0,0,G12/B$17)</f>
        <v>5.4140127388535034E-2</v>
      </c>
      <c r="I12" s="94">
        <v>10</v>
      </c>
      <c r="K12" s="38">
        <v>10</v>
      </c>
      <c r="L12" s="99">
        <v>-80.900000000000006</v>
      </c>
      <c r="N12" s="116" t="s">
        <v>166</v>
      </c>
      <c r="O12" s="126">
        <f>IF(P12=0,0,Q12/P12)</f>
        <v>3.1558823529411759</v>
      </c>
      <c r="P12" s="120">
        <v>34</v>
      </c>
      <c r="Q12" s="108">
        <v>107.29999999999998</v>
      </c>
    </row>
    <row r="13" spans="1:17" x14ac:dyDescent="0.4">
      <c r="A13" s="58" t="s">
        <v>122</v>
      </c>
      <c r="B13" s="50">
        <v>344</v>
      </c>
      <c r="C13" s="44">
        <f>IF(B$3=0,0,B13/B$3)</f>
        <v>0.29939077458659702</v>
      </c>
      <c r="E13" s="63" t="s">
        <v>87</v>
      </c>
      <c r="F13" s="60" t="s">
        <v>42</v>
      </c>
      <c r="G13" s="47">
        <v>16</v>
      </c>
      <c r="H13" s="133">
        <f>IF(B$17=0,0,G13/B$17)</f>
        <v>5.0955414012738856E-2</v>
      </c>
      <c r="I13" s="94">
        <v>8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205</v>
      </c>
      <c r="C14" s="39">
        <f>IF(B$3=0,0,B14/B$3)</f>
        <v>0.1784160139251523</v>
      </c>
      <c r="E14" s="63" t="s">
        <v>84</v>
      </c>
      <c r="F14" s="60" t="s">
        <v>39</v>
      </c>
      <c r="G14" s="47">
        <v>11</v>
      </c>
      <c r="H14" s="133">
        <f>IF(B$17=0,0,G14/B$17)</f>
        <v>3.5031847133757961E-2</v>
      </c>
      <c r="I14" s="94">
        <v>10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203</v>
      </c>
      <c r="C15" s="37">
        <f>IF(B$13=0,0,B15/B$13)</f>
        <v>0.59011627906976749</v>
      </c>
      <c r="E15" s="63" t="s">
        <v>82</v>
      </c>
      <c r="F15" s="60" t="s">
        <v>37</v>
      </c>
      <c r="G15" s="47">
        <v>10</v>
      </c>
      <c r="H15" s="133">
        <f>IF(B$17=0,0,G15/B$17)</f>
        <v>3.1847133757961783E-2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19.033333333333335</v>
      </c>
      <c r="P15" s="118">
        <v>9</v>
      </c>
      <c r="Q15" s="106">
        <v>171.3</v>
      </c>
    </row>
    <row r="16" spans="1:17" x14ac:dyDescent="0.4">
      <c r="A16" s="54" t="s">
        <v>125</v>
      </c>
      <c r="B16" s="46">
        <v>62</v>
      </c>
      <c r="C16" s="37">
        <f>IF(B$14=0,0,B16/B$14)</f>
        <v>0.30243902439024389</v>
      </c>
      <c r="E16" s="63" t="s">
        <v>80</v>
      </c>
      <c r="F16" s="60" t="s">
        <v>35</v>
      </c>
      <c r="G16" s="47">
        <v>7</v>
      </c>
      <c r="H16" s="133">
        <f>IF(B$17=0,0,G16/B$17)</f>
        <v>2.2292993630573247E-2</v>
      </c>
      <c r="I16" s="94">
        <v>3</v>
      </c>
      <c r="K16" s="38">
        <v>14</v>
      </c>
      <c r="L16" s="99">
        <v>-25.600000000000009</v>
      </c>
      <c r="N16" s="115" t="s">
        <v>173</v>
      </c>
      <c r="O16" s="125">
        <f>IF(P16=0,0,Q16/P16)</f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314</v>
      </c>
      <c r="C17" s="37">
        <f>IF(B$3=0,0,B17/B$3)</f>
        <v>0.27328111401218452</v>
      </c>
      <c r="E17" s="63" t="s">
        <v>92</v>
      </c>
      <c r="F17" s="60" t="s">
        <v>47</v>
      </c>
      <c r="G17" s="47">
        <v>6</v>
      </c>
      <c r="H17" s="133">
        <f>IF(B$17=0,0,G17/B$17)</f>
        <v>1.9108280254777069E-2</v>
      </c>
      <c r="I17" s="94">
        <v>6</v>
      </c>
      <c r="K17" s="38">
        <v>15</v>
      </c>
      <c r="L17" s="99">
        <v>47.999999999999986</v>
      </c>
      <c r="N17" s="115" t="s">
        <v>129</v>
      </c>
      <c r="O17" s="125">
        <f>IF(P17=0,0,Q17/P17)</f>
        <v>6.237499999999998</v>
      </c>
      <c r="P17" s="119">
        <v>48</v>
      </c>
      <c r="Q17" s="107">
        <v>299.39999999999992</v>
      </c>
    </row>
    <row r="18" spans="1:17" x14ac:dyDescent="0.4">
      <c r="A18" s="55" t="s">
        <v>12</v>
      </c>
      <c r="B18" s="47">
        <v>131</v>
      </c>
      <c r="C18" s="39">
        <f>IF(B$17=0,0,B18/B$17)</f>
        <v>0.41719745222929938</v>
      </c>
      <c r="E18" s="63" t="s">
        <v>79</v>
      </c>
      <c r="F18" s="60" t="s">
        <v>34</v>
      </c>
      <c r="G18" s="47">
        <v>5</v>
      </c>
      <c r="H18" s="133">
        <f>IF(B$17=0,0,G18/B$17)</f>
        <v>1.5923566878980892E-2</v>
      </c>
      <c r="I18" s="94">
        <v>10</v>
      </c>
      <c r="K18" s="38">
        <v>16</v>
      </c>
      <c r="L18" s="99">
        <v>41.699999999999989</v>
      </c>
      <c r="N18" s="115" t="s">
        <v>171</v>
      </c>
      <c r="O18" s="125">
        <f>IF(P18=0,0,Q18/P18)</f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183</v>
      </c>
      <c r="C19" s="39">
        <f>IF(B$17=0,0,B19/B$17)</f>
        <v>0.58280254777070062</v>
      </c>
      <c r="E19" s="63" t="s">
        <v>180</v>
      </c>
      <c r="F19" s="60" t="s">
        <v>181</v>
      </c>
      <c r="G19" s="47">
        <v>5</v>
      </c>
      <c r="H19" s="133">
        <f>IF(B$17=0,0,G19/B$17)</f>
        <v>1.5923566878980892E-2</v>
      </c>
      <c r="I19" s="94">
        <v>4</v>
      </c>
      <c r="K19" s="38">
        <v>17</v>
      </c>
      <c r="L19" s="99">
        <v>94.6</v>
      </c>
      <c r="N19" s="115" t="s">
        <v>172</v>
      </c>
      <c r="O19" s="125">
        <f>IF(P19=0,0,Q19/P19)</f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201</v>
      </c>
      <c r="C20" s="39">
        <f>IF(B$3=0,0,B20/B$3)</f>
        <v>0.17493472584856398</v>
      </c>
      <c r="E20" s="63" t="s">
        <v>76</v>
      </c>
      <c r="F20" s="60" t="s">
        <v>31</v>
      </c>
      <c r="G20" s="47">
        <v>3</v>
      </c>
      <c r="H20" s="133">
        <f>IF(B$17=0,0,G20/B$17)</f>
        <v>9.5541401273885346E-3</v>
      </c>
      <c r="I20" s="94">
        <v>4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74</v>
      </c>
      <c r="F21" s="60" t="s">
        <v>29</v>
      </c>
      <c r="G21" s="47">
        <v>2</v>
      </c>
      <c r="H21" s="133">
        <f>IF(B$17=0,0,G21/B$17)</f>
        <v>6.369426751592357E-3</v>
      </c>
      <c r="I21" s="94">
        <v>6</v>
      </c>
      <c r="K21" s="38">
        <v>19</v>
      </c>
      <c r="L21" s="99">
        <v>138.79999999999998</v>
      </c>
      <c r="N21" s="115" t="s">
        <v>177</v>
      </c>
      <c r="O21" s="125">
        <f>IF(P21=0,0,Q21/P21)</f>
        <v>-6.1827586206896559</v>
      </c>
      <c r="P21" s="119">
        <v>29</v>
      </c>
      <c r="Q21" s="107">
        <v>-179.3</v>
      </c>
    </row>
    <row r="22" spans="1:17" x14ac:dyDescent="0.4">
      <c r="A22" s="55" t="s">
        <v>192</v>
      </c>
      <c r="B22" s="47">
        <v>24</v>
      </c>
      <c r="C22" s="135">
        <v>2</v>
      </c>
      <c r="E22" s="63" t="s">
        <v>75</v>
      </c>
      <c r="F22" s="60" t="s">
        <v>30</v>
      </c>
      <c r="G22" s="47">
        <v>2</v>
      </c>
      <c r="H22" s="133">
        <f>IF(B$17=0,0,G22/B$17)</f>
        <v>6.369426751592357E-3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-17.293617021276596</v>
      </c>
      <c r="P22" s="119">
        <v>94</v>
      </c>
      <c r="Q22" s="107">
        <v>-1625.6000000000001</v>
      </c>
    </row>
    <row r="23" spans="1:17" x14ac:dyDescent="0.4">
      <c r="A23" s="55" t="s">
        <v>5</v>
      </c>
      <c r="B23" s="51">
        <f>IF(B$17=0,0,C23/B$17)</f>
        <v>9200</v>
      </c>
      <c r="C23" s="41">
        <v>2888800</v>
      </c>
      <c r="E23" s="63" t="s">
        <v>78</v>
      </c>
      <c r="F23" s="60" t="s">
        <v>33</v>
      </c>
      <c r="G23" s="47">
        <v>1</v>
      </c>
      <c r="H23" s="133">
        <f>IF(B$17=0,0,G23/B$17)</f>
        <v>3.1847133757961785E-3</v>
      </c>
      <c r="I23" s="94">
        <v>6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-7739.3034825870645</v>
      </c>
      <c r="C24" s="45">
        <v>-1555600</v>
      </c>
      <c r="E24" s="63" t="s">
        <v>85</v>
      </c>
      <c r="F24" s="60" t="s">
        <v>40</v>
      </c>
      <c r="G24" s="47">
        <v>1</v>
      </c>
      <c r="H24" s="133">
        <f>IF(B$17=0,0,G24/B$17)</f>
        <v>3.1847133757961785E-3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6">
        <v>7</v>
      </c>
      <c r="C25" s="147"/>
      <c r="E25" s="63" t="s">
        <v>89</v>
      </c>
      <c r="F25" s="60" t="s">
        <v>44</v>
      </c>
      <c r="G25" s="47">
        <v>1</v>
      </c>
      <c r="H25" s="133">
        <f>IF(B$17=0,0,G25/B$17)</f>
        <v>3.1847133757961785E-3</v>
      </c>
      <c r="I25" s="94">
        <v>3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4">
        <v>107600</v>
      </c>
      <c r="C26" s="145"/>
      <c r="E26" s="63" t="s">
        <v>93</v>
      </c>
      <c r="F26" s="60" t="s">
        <v>48</v>
      </c>
      <c r="G26" s="47">
        <v>1</v>
      </c>
      <c r="H26" s="133">
        <f>IF(B$17=0,0,G26/B$17)</f>
        <v>3.1847133757961785E-3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4.3516100957354219E-3</v>
      </c>
      <c r="E27" s="63" t="s">
        <v>94</v>
      </c>
      <c r="F27" s="60" t="s">
        <v>49</v>
      </c>
      <c r="G27" s="47">
        <v>1</v>
      </c>
      <c r="H27" s="133">
        <f>IF(B$17=0,0,G27/B$17)</f>
        <v>3.1847133757961785E-3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3.1847133757961785E-3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E99-6F5D-424E-B072-5E5E98A923FB}">
  <sheetPr codeName="Sheet11"/>
  <dimension ref="A1:Q118"/>
  <sheetViews>
    <sheetView showGridLines="0" topLeftCell="D92" zoomScale="118" zoomScaleNormal="100" workbookViewId="0">
      <selection activeCell="B33" sqref="B33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129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116</v>
      </c>
      <c r="C2" s="153"/>
      <c r="E2" s="62" t="s">
        <v>67</v>
      </c>
      <c r="F2" s="59" t="s">
        <v>23</v>
      </c>
      <c r="G2" s="46">
        <v>224</v>
      </c>
      <c r="H2" s="132">
        <f>IF(B$17=0,0,G2/B$17)</f>
        <v>0.85496183206106868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-1783.6206896551723</v>
      </c>
      <c r="P2" s="118">
        <v>116</v>
      </c>
      <c r="Q2" s="102">
        <v>-206900</v>
      </c>
    </row>
    <row r="3" spans="1:17" x14ac:dyDescent="0.4">
      <c r="A3" s="55" t="s">
        <v>8</v>
      </c>
      <c r="B3" s="154">
        <v>983</v>
      </c>
      <c r="C3" s="155"/>
      <c r="E3" s="63" t="s">
        <v>65</v>
      </c>
      <c r="F3" s="60" t="s">
        <v>21</v>
      </c>
      <c r="G3" s="47">
        <v>136</v>
      </c>
      <c r="H3" s="133">
        <f>IF(B$17=0,0,G3/B$17)</f>
        <v>0.51908396946564883</v>
      </c>
      <c r="I3" s="94">
        <v>6</v>
      </c>
      <c r="K3" s="38">
        <v>1</v>
      </c>
      <c r="L3" s="99">
        <v>-40.4</v>
      </c>
      <c r="N3" s="115" t="s">
        <v>133</v>
      </c>
      <c r="O3" s="122">
        <f t="shared" si="0"/>
        <v>-1292.9203539823009</v>
      </c>
      <c r="P3" s="119">
        <v>113</v>
      </c>
      <c r="Q3" s="103">
        <v>-146100</v>
      </c>
    </row>
    <row r="4" spans="1:17" x14ac:dyDescent="0.4">
      <c r="A4" s="55" t="s">
        <v>6</v>
      </c>
      <c r="B4" s="156">
        <v>-880.80000000000007</v>
      </c>
      <c r="C4" s="157"/>
      <c r="E4" s="63" t="s">
        <v>73</v>
      </c>
      <c r="F4" s="60" t="s">
        <v>28</v>
      </c>
      <c r="G4" s="47">
        <v>111</v>
      </c>
      <c r="H4" s="133">
        <f>IF(B$17=0,0,G4/B$17)</f>
        <v>0.42366412213740456</v>
      </c>
      <c r="I4" s="94">
        <v>13</v>
      </c>
      <c r="K4" s="38">
        <v>2</v>
      </c>
      <c r="L4" s="99">
        <v>-3.3999999999999986</v>
      </c>
      <c r="N4" s="115" t="s">
        <v>134</v>
      </c>
      <c r="O4" s="122">
        <f t="shared" si="0"/>
        <v>-2.8571428571428572</v>
      </c>
      <c r="P4" s="119">
        <v>105</v>
      </c>
      <c r="Q4" s="103">
        <v>-300</v>
      </c>
    </row>
    <row r="5" spans="1:17" x14ac:dyDescent="0.4">
      <c r="A5" s="55" t="s">
        <v>7</v>
      </c>
      <c r="B5" s="158">
        <f>IF(B$2=0,0,B$4/B$2)</f>
        <v>-7.5931034482758628</v>
      </c>
      <c r="C5" s="159"/>
      <c r="E5" s="63" t="s">
        <v>245</v>
      </c>
      <c r="F5" s="60" t="s">
        <v>246</v>
      </c>
      <c r="G5" s="47">
        <v>101</v>
      </c>
      <c r="H5" s="133">
        <f>IF(B$17=0,0,G5/B$17)</f>
        <v>0.38549618320610685</v>
      </c>
      <c r="I5" s="94">
        <v>9</v>
      </c>
      <c r="K5" s="38">
        <v>3</v>
      </c>
      <c r="L5" s="99">
        <v>-23.099999999999998</v>
      </c>
      <c r="N5" s="115" t="s">
        <v>135</v>
      </c>
      <c r="O5" s="122">
        <f t="shared" si="0"/>
        <v>-3487.2340425531916</v>
      </c>
      <c r="P5" s="119">
        <v>94</v>
      </c>
      <c r="Q5" s="103">
        <v>-327800</v>
      </c>
    </row>
    <row r="6" spans="1:17" x14ac:dyDescent="0.4">
      <c r="A6" s="55" t="s">
        <v>1</v>
      </c>
      <c r="B6" s="148">
        <f>IF(B$2=0,0,(B$7*1+B$8*2+B$9*3)/B$2)</f>
        <v>2.103448275862069</v>
      </c>
      <c r="C6" s="149"/>
      <c r="E6" s="63" t="s">
        <v>69</v>
      </c>
      <c r="F6" s="60" t="s">
        <v>12</v>
      </c>
      <c r="G6" s="47">
        <v>95</v>
      </c>
      <c r="H6" s="133">
        <f>IF(B$17=0,0,G6/B$17)</f>
        <v>0.36259541984732824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84.523809523809518</v>
      </c>
      <c r="P6" s="119">
        <v>84</v>
      </c>
      <c r="Q6" s="103">
        <v>7100</v>
      </c>
    </row>
    <row r="7" spans="1:17" x14ac:dyDescent="0.4">
      <c r="A7" s="55" t="s">
        <v>2</v>
      </c>
      <c r="B7" s="47">
        <v>36</v>
      </c>
      <c r="C7" s="39">
        <f>IF(B$2=0,0,B7/B$2)</f>
        <v>0.31034482758620691</v>
      </c>
      <c r="E7" s="63" t="s">
        <v>68</v>
      </c>
      <c r="F7" s="60" t="s">
        <v>24</v>
      </c>
      <c r="G7" s="47">
        <v>79</v>
      </c>
      <c r="H7" s="133">
        <f>IF(B$17=0,0,G7/B$17)</f>
        <v>0.30152671755725191</v>
      </c>
      <c r="I7" s="94">
        <v>7</v>
      </c>
      <c r="K7" s="38">
        <v>5</v>
      </c>
      <c r="L7" s="99">
        <v>-32.199999999999996</v>
      </c>
      <c r="N7" s="116" t="s">
        <v>137</v>
      </c>
      <c r="O7" s="123">
        <f t="shared" si="0"/>
        <v>-281.08108108108109</v>
      </c>
      <c r="P7" s="120">
        <v>74</v>
      </c>
      <c r="Q7" s="104">
        <v>-20800</v>
      </c>
    </row>
    <row r="8" spans="1:17" x14ac:dyDescent="0.4">
      <c r="A8" s="55" t="s">
        <v>3</v>
      </c>
      <c r="B8" s="47">
        <v>32</v>
      </c>
      <c r="C8" s="39">
        <f>IF(B$2=0,0,B8/B$2)</f>
        <v>0.27586206896551724</v>
      </c>
      <c r="E8" s="63" t="s">
        <v>70</v>
      </c>
      <c r="F8" s="60" t="s">
        <v>25</v>
      </c>
      <c r="G8" s="47">
        <v>46</v>
      </c>
      <c r="H8" s="133">
        <f>IF(B$17=0,0,G8/B$17)</f>
        <v>0.17557251908396945</v>
      </c>
      <c r="I8" s="94">
        <v>4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48</v>
      </c>
      <c r="C9" s="40">
        <f t="shared" ref="C9" si="1">IF(B$2=0,0,B9/B$2)</f>
        <v>0.41379310344827586</v>
      </c>
      <c r="E9" s="63" t="s">
        <v>71</v>
      </c>
      <c r="F9" s="60" t="s">
        <v>26</v>
      </c>
      <c r="G9" s="47">
        <v>40</v>
      </c>
      <c r="H9" s="133">
        <f>IF(B$17=0,0,G9/B$17)</f>
        <v>0.15267175572519084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20</v>
      </c>
      <c r="C10" s="40">
        <f>IF(B$2=0,0,B10/B$2)</f>
        <v>0.17241379310344829</v>
      </c>
      <c r="E10" s="63" t="s">
        <v>72</v>
      </c>
      <c r="F10" s="60" t="s">
        <v>27</v>
      </c>
      <c r="G10" s="47">
        <v>29</v>
      </c>
      <c r="H10" s="133">
        <f>IF(B$17=0,0,G10/B$17)</f>
        <v>0.11068702290076336</v>
      </c>
      <c r="I10" s="94">
        <v>3</v>
      </c>
      <c r="K10" s="38">
        <v>8</v>
      </c>
      <c r="L10" s="99">
        <v>-79.599999999999994</v>
      </c>
      <c r="N10" s="114" t="s">
        <v>164</v>
      </c>
      <c r="O10" s="124">
        <f>IF(P10=0,0,Q10/P10)</f>
        <v>-13.515624999999993</v>
      </c>
      <c r="P10" s="118">
        <v>32</v>
      </c>
      <c r="Q10" s="106">
        <v>-432.49999999999977</v>
      </c>
    </row>
    <row r="11" spans="1:17" x14ac:dyDescent="0.4">
      <c r="A11" s="56" t="s">
        <v>140</v>
      </c>
      <c r="B11" s="48">
        <v>14</v>
      </c>
      <c r="C11" s="40">
        <f>IF(B$2=0,0,B11/B$2)</f>
        <v>0.1206896551724138</v>
      </c>
      <c r="E11" s="63" t="s">
        <v>90</v>
      </c>
      <c r="F11" s="60" t="s">
        <v>45</v>
      </c>
      <c r="G11" s="47">
        <v>27</v>
      </c>
      <c r="H11" s="133">
        <f>IF(B$17=0,0,G11/B$17)</f>
        <v>0.10305343511450382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-4.4956521739130464</v>
      </c>
      <c r="P11" s="119">
        <v>46</v>
      </c>
      <c r="Q11" s="107">
        <v>-206.80000000000013</v>
      </c>
    </row>
    <row r="12" spans="1:17" x14ac:dyDescent="0.4">
      <c r="A12" s="57" t="s">
        <v>160</v>
      </c>
      <c r="B12" s="49">
        <v>10</v>
      </c>
      <c r="C12" s="42">
        <f>IF(B$2=0,0,B12/B$2)</f>
        <v>8.6206896551724144E-2</v>
      </c>
      <c r="E12" s="63" t="s">
        <v>66</v>
      </c>
      <c r="F12" s="60" t="s">
        <v>22</v>
      </c>
      <c r="G12" s="47">
        <v>23</v>
      </c>
      <c r="H12" s="133">
        <f>IF(B$17=0,0,G12/B$17)</f>
        <v>8.7786259541984726E-2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-6.3552631578947336</v>
      </c>
      <c r="P12" s="120">
        <v>38</v>
      </c>
      <c r="Q12" s="108">
        <v>-241.49999999999989</v>
      </c>
    </row>
    <row r="13" spans="1:17" x14ac:dyDescent="0.4">
      <c r="A13" s="58" t="s">
        <v>122</v>
      </c>
      <c r="B13" s="50">
        <v>257</v>
      </c>
      <c r="C13" s="44">
        <f>IF(B$3=0,0,B13/B$3)</f>
        <v>0.26144455747711087</v>
      </c>
      <c r="E13" s="63" t="s">
        <v>87</v>
      </c>
      <c r="F13" s="60" t="s">
        <v>42</v>
      </c>
      <c r="G13" s="47">
        <v>15</v>
      </c>
      <c r="H13" s="133">
        <f>IF(B$17=0,0,G13/B$17)</f>
        <v>5.7251908396946563E-2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178</v>
      </c>
      <c r="C14" s="39">
        <f>IF(B$3=0,0,B14/B$3)</f>
        <v>0.18107833163784334</v>
      </c>
      <c r="E14" s="63" t="s">
        <v>79</v>
      </c>
      <c r="F14" s="60" t="s">
        <v>34</v>
      </c>
      <c r="G14" s="47">
        <v>11</v>
      </c>
      <c r="H14" s="133">
        <f>IF(B$17=0,0,G14/B$17)</f>
        <v>4.1984732824427481E-2</v>
      </c>
      <c r="I14" s="94">
        <v>4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140</v>
      </c>
      <c r="C15" s="37">
        <f>IF(B$13=0,0,B15/B$13)</f>
        <v>0.54474708171206221</v>
      </c>
      <c r="E15" s="63" t="s">
        <v>84</v>
      </c>
      <c r="F15" s="60" t="s">
        <v>39</v>
      </c>
      <c r="G15" s="47">
        <v>10</v>
      </c>
      <c r="H15" s="133">
        <f>IF(B$17=0,0,G15/B$17)</f>
        <v>3.8167938931297711E-2</v>
      </c>
      <c r="I15" s="94">
        <v>9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55</v>
      </c>
      <c r="C16" s="37">
        <f>IF(B$14=0,0,B16/B$14)</f>
        <v>0.3089887640449438</v>
      </c>
      <c r="E16" s="63" t="s">
        <v>82</v>
      </c>
      <c r="F16" s="60" t="s">
        <v>37</v>
      </c>
      <c r="G16" s="47">
        <v>8</v>
      </c>
      <c r="H16" s="133">
        <f>IF(B$17=0,0,G16/B$17)</f>
        <v>3.0534351145038167E-2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262</v>
      </c>
      <c r="C17" s="37">
        <f>IF(B$3=0,0,B17/B$3)</f>
        <v>0.26653102746693796</v>
      </c>
      <c r="E17" s="63" t="s">
        <v>78</v>
      </c>
      <c r="F17" s="60" t="s">
        <v>33</v>
      </c>
      <c r="G17" s="47">
        <v>5</v>
      </c>
      <c r="H17" s="133">
        <f>IF(B$17=0,0,G17/B$17)</f>
        <v>1.9083969465648856E-2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115</v>
      </c>
      <c r="C18" s="39">
        <f>IF(B$17=0,0,B18/B$17)</f>
        <v>0.43893129770992367</v>
      </c>
      <c r="E18" s="63" t="s">
        <v>92</v>
      </c>
      <c r="F18" s="60" t="s">
        <v>47</v>
      </c>
      <c r="G18" s="47">
        <v>4</v>
      </c>
      <c r="H18" s="133">
        <f>IF(B$17=0,0,G18/B$17)</f>
        <v>1.5267175572519083E-2</v>
      </c>
      <c r="I18" s="94">
        <v>8</v>
      </c>
      <c r="K18" s="38">
        <v>16</v>
      </c>
      <c r="L18" s="99">
        <v>-472</v>
      </c>
      <c r="N18" s="115" t="s">
        <v>177</v>
      </c>
      <c r="O18" s="125">
        <f>IF(P18=0,0,Q18/P18)</f>
        <v>2.4666666666666677</v>
      </c>
      <c r="P18" s="119">
        <v>30</v>
      </c>
      <c r="Q18" s="107">
        <v>74.000000000000028</v>
      </c>
    </row>
    <row r="19" spans="1:17" x14ac:dyDescent="0.4">
      <c r="A19" s="55" t="s">
        <v>11</v>
      </c>
      <c r="B19" s="47">
        <v>147</v>
      </c>
      <c r="C19" s="39">
        <f>IF(B$17=0,0,B19/B$17)</f>
        <v>0.56106870229007633</v>
      </c>
      <c r="E19" s="63" t="s">
        <v>75</v>
      </c>
      <c r="F19" s="60" t="s">
        <v>30</v>
      </c>
      <c r="G19" s="47">
        <v>3</v>
      </c>
      <c r="H19" s="133">
        <f>IF(B$17=0,0,G19/B$17)</f>
        <v>1.1450381679389313E-2</v>
      </c>
      <c r="I19" s="94">
        <v>2</v>
      </c>
      <c r="K19" s="38">
        <v>17</v>
      </c>
      <c r="L19" s="99">
        <v>-538.29999999999995</v>
      </c>
      <c r="N19" s="115" t="s">
        <v>128</v>
      </c>
      <c r="O19" s="125">
        <f>IF(P19=0,0,Q19/P19)</f>
        <v>-6.237499999999998</v>
      </c>
      <c r="P19" s="119">
        <v>48</v>
      </c>
      <c r="Q19" s="107">
        <v>-299.39999999999992</v>
      </c>
    </row>
    <row r="20" spans="1:17" x14ac:dyDescent="0.4">
      <c r="A20" s="55" t="s">
        <v>13</v>
      </c>
      <c r="B20" s="47">
        <v>181</v>
      </c>
      <c r="C20" s="39">
        <f>IF(B$3=0,0,B20/B$3)</f>
        <v>0.18413021363173956</v>
      </c>
      <c r="E20" s="63" t="s">
        <v>80</v>
      </c>
      <c r="F20" s="60" t="s">
        <v>35</v>
      </c>
      <c r="G20" s="47">
        <v>2</v>
      </c>
      <c r="H20" s="133">
        <f>IF(B$17=0,0,G20/B$17)</f>
        <v>7.6335877862595417E-3</v>
      </c>
      <c r="I20" s="94">
        <v>11</v>
      </c>
      <c r="K20" s="38">
        <v>18</v>
      </c>
      <c r="L20" s="99">
        <v>-537.19999999999993</v>
      </c>
      <c r="N20" s="115" t="s">
        <v>173</v>
      </c>
      <c r="O20" s="125">
        <f>IF(P20=0,0,Q20/P20)</f>
        <v>-17.118181818181814</v>
      </c>
      <c r="P20" s="119">
        <v>11</v>
      </c>
      <c r="Q20" s="107">
        <v>-188.29999999999995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88</v>
      </c>
      <c r="F21" s="60" t="s">
        <v>43</v>
      </c>
      <c r="G21" s="47">
        <v>2</v>
      </c>
      <c r="H21" s="133">
        <f>IF(B$17=0,0,G21/B$17)</f>
        <v>7.6335877862595417E-3</v>
      </c>
      <c r="I21" s="94">
        <v>2</v>
      </c>
      <c r="K21" s="38">
        <v>19</v>
      </c>
      <c r="L21" s="99">
        <v>-569.49999999999989</v>
      </c>
      <c r="N21" s="115" t="s">
        <v>171</v>
      </c>
      <c r="O21" s="125">
        <f>IF(P21=0,0,Q21/P21)</f>
        <v>-18.865624999999994</v>
      </c>
      <c r="P21" s="119">
        <v>32</v>
      </c>
      <c r="Q21" s="107">
        <v>-603.69999999999982</v>
      </c>
    </row>
    <row r="22" spans="1:17" x14ac:dyDescent="0.4">
      <c r="A22" s="55" t="s">
        <v>192</v>
      </c>
      <c r="B22" s="47">
        <v>31</v>
      </c>
      <c r="C22" s="135">
        <v>1</v>
      </c>
      <c r="E22" s="63" t="s">
        <v>94</v>
      </c>
      <c r="F22" s="60" t="s">
        <v>49</v>
      </c>
      <c r="G22" s="47">
        <v>2</v>
      </c>
      <c r="H22" s="133">
        <f>IF(B$17=0,0,G22/B$17)</f>
        <v>7.6335877862595417E-3</v>
      </c>
      <c r="I22" s="94">
        <v>1</v>
      </c>
      <c r="K22" s="38">
        <v>20</v>
      </c>
      <c r="L22" s="99">
        <v>-632.99999999999989</v>
      </c>
      <c r="N22" s="115" t="s">
        <v>127</v>
      </c>
      <c r="O22" s="125">
        <f>IF(P22=0,0,Q22/P22)</f>
        <v>-23.289230769230777</v>
      </c>
      <c r="P22" s="119">
        <v>65</v>
      </c>
      <c r="Q22" s="107">
        <v>-1513.8000000000004</v>
      </c>
    </row>
    <row r="23" spans="1:17" x14ac:dyDescent="0.4">
      <c r="A23" s="55" t="s">
        <v>5</v>
      </c>
      <c r="B23" s="51">
        <f>IF(B$17=0,0,C23/B$17)</f>
        <v>8908.0152671755732</v>
      </c>
      <c r="C23" s="41">
        <v>2333900</v>
      </c>
      <c r="E23" s="63" t="s">
        <v>76</v>
      </c>
      <c r="F23" s="60" t="s">
        <v>31</v>
      </c>
      <c r="G23" s="47">
        <v>1</v>
      </c>
      <c r="H23" s="133">
        <f>IF(B$17=0,0,G23/B$17)</f>
        <v>3.8167938931297708E-3</v>
      </c>
      <c r="I23" s="94">
        <v>6</v>
      </c>
      <c r="K23" s="38">
        <v>21</v>
      </c>
      <c r="L23" s="99">
        <v>-629.49999999999989</v>
      </c>
      <c r="N23" s="115" t="s">
        <v>184</v>
      </c>
      <c r="O23" s="125">
        <f>IF(P23=0,0,Q23/P23)</f>
        <v>-24.44</v>
      </c>
      <c r="P23" s="119">
        <v>5</v>
      </c>
      <c r="Q23" s="107">
        <v>-122.2</v>
      </c>
    </row>
    <row r="24" spans="1:17" x14ac:dyDescent="0.4">
      <c r="A24" s="57" t="s">
        <v>14</v>
      </c>
      <c r="B24" s="52">
        <f>IF(B$20=0,0,C24/B$20)</f>
        <v>-8871.8232044198903</v>
      </c>
      <c r="C24" s="45">
        <v>-1605800</v>
      </c>
      <c r="E24" s="63" t="s">
        <v>85</v>
      </c>
      <c r="F24" s="60" t="s">
        <v>40</v>
      </c>
      <c r="G24" s="47">
        <v>1</v>
      </c>
      <c r="H24" s="133">
        <f>IF(B$17=0,0,G24/B$17)</f>
        <v>3.8167938931297708E-3</v>
      </c>
      <c r="I24" s="94">
        <v>2</v>
      </c>
      <c r="K24" s="38">
        <v>22</v>
      </c>
      <c r="L24" s="99">
        <v>-670.19999999999993</v>
      </c>
      <c r="N24" s="115" t="s">
        <v>172</v>
      </c>
      <c r="O24" s="125">
        <f>IF(P24=0,0,Q24/P24)</f>
        <v>-24.65384615384615</v>
      </c>
      <c r="P24" s="119">
        <v>26</v>
      </c>
      <c r="Q24" s="107">
        <v>-640.99999999999989</v>
      </c>
    </row>
    <row r="25" spans="1:17" x14ac:dyDescent="0.4">
      <c r="A25" s="90" t="s">
        <v>142</v>
      </c>
      <c r="B25" s="146">
        <v>7</v>
      </c>
      <c r="C25" s="147"/>
      <c r="E25" s="63" t="s">
        <v>86</v>
      </c>
      <c r="F25" s="60" t="s">
        <v>41</v>
      </c>
      <c r="G25" s="47">
        <v>1</v>
      </c>
      <c r="H25" s="133">
        <f>IF(B$17=0,0,G25/B$17)</f>
        <v>3.8167938931297708E-3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4">
        <v>96900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3.8167938931297708E-3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2.0345879959308239E-3</v>
      </c>
      <c r="E27" s="63" t="s">
        <v>93</v>
      </c>
      <c r="F27" s="60" t="s">
        <v>48</v>
      </c>
      <c r="G27" s="47">
        <v>1</v>
      </c>
      <c r="H27" s="133">
        <f>IF(B$17=0,0,G27/B$17)</f>
        <v>3.8167938931297708E-3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3.8167938931297708E-3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4EC6-516C-4752-8C88-DCBFC3E8AAA1}">
  <sheetPr codeName="Sheet13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171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96</v>
      </c>
      <c r="C2" s="153"/>
      <c r="E2" s="62" t="s">
        <v>65</v>
      </c>
      <c r="F2" s="59" t="s">
        <v>21</v>
      </c>
      <c r="G2" s="46">
        <v>124</v>
      </c>
      <c r="H2" s="132">
        <f>IF(B$17=0,0,G2/B$17)</f>
        <v>0.54625550660792954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-365.625</v>
      </c>
      <c r="P2" s="118">
        <v>96</v>
      </c>
      <c r="Q2" s="102">
        <v>-35100</v>
      </c>
    </row>
    <row r="3" spans="1:17" x14ac:dyDescent="0.4">
      <c r="A3" s="55" t="s">
        <v>8</v>
      </c>
      <c r="B3" s="154">
        <v>801</v>
      </c>
      <c r="C3" s="155"/>
      <c r="E3" s="63" t="s">
        <v>66</v>
      </c>
      <c r="F3" s="60" t="s">
        <v>22</v>
      </c>
      <c r="G3" s="47">
        <v>28</v>
      </c>
      <c r="H3" s="133">
        <f>IF(B$17=0,0,G3/B$17)</f>
        <v>0.12334801762114538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677.65957446808511</v>
      </c>
      <c r="P3" s="119">
        <v>94</v>
      </c>
      <c r="Q3" s="103">
        <v>63700</v>
      </c>
    </row>
    <row r="4" spans="1:17" x14ac:dyDescent="0.4">
      <c r="A4" s="55" t="s">
        <v>6</v>
      </c>
      <c r="B4" s="156">
        <v>-48.599999999999987</v>
      </c>
      <c r="C4" s="157"/>
      <c r="E4" s="63" t="s">
        <v>67</v>
      </c>
      <c r="F4" s="60" t="s">
        <v>23</v>
      </c>
      <c r="G4" s="47">
        <v>185</v>
      </c>
      <c r="H4" s="133">
        <f>IF(B$17=0,0,G4/B$17)</f>
        <v>0.81497797356828194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1677.6470588235295</v>
      </c>
      <c r="P4" s="119">
        <v>85</v>
      </c>
      <c r="Q4" s="103">
        <v>142600</v>
      </c>
    </row>
    <row r="5" spans="1:17" x14ac:dyDescent="0.4">
      <c r="A5" s="55" t="s">
        <v>7</v>
      </c>
      <c r="B5" s="158">
        <f>IF(B$2=0,0,B$4/B$2)</f>
        <v>-0.50624999999999987</v>
      </c>
      <c r="C5" s="159"/>
      <c r="E5" s="63" t="s">
        <v>68</v>
      </c>
      <c r="F5" s="60" t="s">
        <v>24</v>
      </c>
      <c r="G5" s="47">
        <v>77</v>
      </c>
      <c r="H5" s="133">
        <f>IF(B$17=0,0,G5/B$17)</f>
        <v>0.33920704845814981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58.666666666666664</v>
      </c>
      <c r="P5" s="119">
        <v>75</v>
      </c>
      <c r="Q5" s="103">
        <v>4400</v>
      </c>
    </row>
    <row r="6" spans="1:17" x14ac:dyDescent="0.4">
      <c r="A6" s="55" t="s">
        <v>1</v>
      </c>
      <c r="B6" s="148">
        <f>IF(B$2=0,0,(B$7*1+B$8*2+B$9*3)/B$2)</f>
        <v>2.0520833333333335</v>
      </c>
      <c r="C6" s="149"/>
      <c r="E6" s="63" t="s">
        <v>69</v>
      </c>
      <c r="F6" s="60" t="s">
        <v>12</v>
      </c>
      <c r="G6" s="47">
        <v>67</v>
      </c>
      <c r="H6" s="133">
        <f>IF(B$17=0,0,G6/B$17)</f>
        <v>0.29515418502202645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-1990.909090909091</v>
      </c>
      <c r="P6" s="119">
        <v>66</v>
      </c>
      <c r="Q6" s="103">
        <v>-131400</v>
      </c>
    </row>
    <row r="7" spans="1:17" x14ac:dyDescent="0.4">
      <c r="A7" s="55" t="s">
        <v>2</v>
      </c>
      <c r="B7" s="47">
        <v>29</v>
      </c>
      <c r="C7" s="39">
        <f>IF(B$2=0,0,B7/B$2)</f>
        <v>0.30208333333333331</v>
      </c>
      <c r="E7" s="63" t="s">
        <v>70</v>
      </c>
      <c r="F7" s="60" t="s">
        <v>25</v>
      </c>
      <c r="G7" s="47">
        <v>44</v>
      </c>
      <c r="H7" s="133">
        <f>IF(B$17=0,0,G7/B$17)</f>
        <v>0.19383259911894274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0"/>
        <v>-369.49152542372883</v>
      </c>
      <c r="P7" s="120">
        <v>59</v>
      </c>
      <c r="Q7" s="104">
        <v>-21800</v>
      </c>
    </row>
    <row r="8" spans="1:17" x14ac:dyDescent="0.4">
      <c r="A8" s="55" t="s">
        <v>3</v>
      </c>
      <c r="B8" s="47">
        <v>33</v>
      </c>
      <c r="C8" s="39">
        <f>IF(B$2=0,0,B8/B$2)</f>
        <v>0.34375</v>
      </c>
      <c r="E8" s="63" t="s">
        <v>71</v>
      </c>
      <c r="F8" s="60" t="s">
        <v>26</v>
      </c>
      <c r="G8" s="47">
        <v>25</v>
      </c>
      <c r="H8" s="133">
        <f>IF(B$17=0,0,G8/B$17)</f>
        <v>0.11013215859030837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0.35416666666666669</v>
      </c>
      <c r="E9" s="63" t="s">
        <v>72</v>
      </c>
      <c r="F9" s="60" t="s">
        <v>27</v>
      </c>
      <c r="G9" s="47">
        <v>14</v>
      </c>
      <c r="H9" s="133">
        <f>IF(B$17=0,0,G9/B$17)</f>
        <v>6.1674008810572688E-2</v>
      </c>
      <c r="I9" s="94">
        <v>9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0.11458333333333333</v>
      </c>
      <c r="E10" s="63" t="s">
        <v>73</v>
      </c>
      <c r="F10" s="60" t="s">
        <v>28</v>
      </c>
      <c r="G10" s="47">
        <v>125</v>
      </c>
      <c r="H10" s="133">
        <f>IF(B$17=0,0,G10/B$17)</f>
        <v>0.5506607929515418</v>
      </c>
      <c r="I10" s="94">
        <v>6</v>
      </c>
      <c r="K10" s="38">
        <v>8</v>
      </c>
      <c r="L10" s="99">
        <v>-1.7000000000000028</v>
      </c>
      <c r="N10" s="114" t="s">
        <v>164</v>
      </c>
      <c r="O10" s="124">
        <f>IF(P10=0,0,Q10/P10)</f>
        <v>1.4119999999999999</v>
      </c>
      <c r="P10" s="118">
        <v>25</v>
      </c>
      <c r="Q10" s="106">
        <v>35.299999999999997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0.14583333333333334</v>
      </c>
      <c r="E11" s="63" t="s">
        <v>74</v>
      </c>
      <c r="F11" s="60" t="s">
        <v>29</v>
      </c>
      <c r="G11" s="47">
        <v>3</v>
      </c>
      <c r="H11" s="133">
        <f>IF(B$17=0,0,G11/B$17)</f>
        <v>1.3215859030837005E-2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-2.2457142857142856</v>
      </c>
      <c r="P12" s="120">
        <v>35</v>
      </c>
      <c r="Q12" s="108">
        <v>-78.599999999999994</v>
      </c>
    </row>
    <row r="13" spans="1:17" x14ac:dyDescent="0.4">
      <c r="A13" s="58" t="s">
        <v>122</v>
      </c>
      <c r="B13" s="50">
        <v>233</v>
      </c>
      <c r="C13" s="44">
        <f>IF(B$3=0,0,B13/B$3)</f>
        <v>0.2908863920099875</v>
      </c>
      <c r="E13" s="63" t="s">
        <v>76</v>
      </c>
      <c r="F13" s="60" t="s">
        <v>31</v>
      </c>
      <c r="G13" s="47">
        <v>3</v>
      </c>
      <c r="H13" s="133">
        <f>IF(B$17=0,0,G13/B$17)</f>
        <v>1.3215859030837005E-2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0.19475655430711611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131</v>
      </c>
      <c r="C15" s="37">
        <f>IF(B$13=0,0,B15/B$13)</f>
        <v>0.5622317596566524</v>
      </c>
      <c r="E15" s="63" t="s">
        <v>78</v>
      </c>
      <c r="F15" s="60" t="s">
        <v>33</v>
      </c>
      <c r="G15" s="47">
        <v>3</v>
      </c>
      <c r="H15" s="133">
        <f>IF(B$17=0,0,G15/B$17)</f>
        <v>1.3215859030837005E-2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18.865624999999991</v>
      </c>
      <c r="P15" s="118">
        <v>32</v>
      </c>
      <c r="Q15" s="106">
        <v>603.6999999999997</v>
      </c>
    </row>
    <row r="16" spans="1:17" x14ac:dyDescent="0.4">
      <c r="A16" s="54" t="s">
        <v>125</v>
      </c>
      <c r="B16" s="46">
        <v>64</v>
      </c>
      <c r="C16" s="37">
        <f>IF(B$14=0,0,B16/B$14)</f>
        <v>0.41025641025641024</v>
      </c>
      <c r="E16" s="63" t="s">
        <v>79</v>
      </c>
      <c r="F16" s="60" t="s">
        <v>34</v>
      </c>
      <c r="G16" s="47">
        <v>9</v>
      </c>
      <c r="H16" s="133">
        <f>IF(B$17=0,0,G16/B$17)</f>
        <v>3.9647577092511016E-2</v>
      </c>
      <c r="I16" s="94">
        <v>5</v>
      </c>
      <c r="K16" s="38">
        <v>14</v>
      </c>
      <c r="L16" s="99">
        <v>-29.400000000000002</v>
      </c>
      <c r="N16" s="115" t="s">
        <v>184</v>
      </c>
      <c r="O16" s="125">
        <f t="shared" si="2"/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227</v>
      </c>
      <c r="C17" s="37">
        <f>IF(B$3=0,0,B17/B$3)</f>
        <v>0.28339575530586769</v>
      </c>
      <c r="E17" s="63" t="s">
        <v>80</v>
      </c>
      <c r="F17" s="60" t="s">
        <v>35</v>
      </c>
      <c r="G17" s="47">
        <v>4</v>
      </c>
      <c r="H17" s="133">
        <f>IF(B$17=0,0,G17/B$17)</f>
        <v>1.7621145374449341E-2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92</v>
      </c>
      <c r="C18" s="39">
        <f>IF(B$17=0,0,B18/B$17)</f>
        <v>0.40528634361233479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135</v>
      </c>
      <c r="C19" s="39">
        <f>IF(B$17=0,0,B19/B$17)</f>
        <v>0.59471365638766516</v>
      </c>
      <c r="E19" s="63" t="s">
        <v>82</v>
      </c>
      <c r="F19" s="60" t="s">
        <v>37</v>
      </c>
      <c r="G19" s="47">
        <v>8</v>
      </c>
      <c r="H19" s="133">
        <f>IF(B$17=0,0,G19/B$17)</f>
        <v>3.5242290748898682E-2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143</v>
      </c>
      <c r="C20" s="39">
        <f>IF(B$3=0,0,B20/B$3)</f>
        <v>0.17852684144818975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4.8458149779735685E-2</v>
      </c>
      <c r="I21" s="94">
        <v>7</v>
      </c>
      <c r="K21" s="38">
        <v>19</v>
      </c>
      <c r="L21" s="99">
        <v>0.60000000000000853</v>
      </c>
      <c r="N21" s="115" t="s">
        <v>200</v>
      </c>
      <c r="O21" s="125">
        <f t="shared" si="2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8.8105726872246704E-3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9990.7488986784138</v>
      </c>
      <c r="C23" s="41">
        <v>2267900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-8548.9510489510485</v>
      </c>
      <c r="C24" s="45">
        <v>-1222500</v>
      </c>
      <c r="E24" s="63" t="s">
        <v>87</v>
      </c>
      <c r="F24" s="60" t="s">
        <v>42</v>
      </c>
      <c r="G24" s="47">
        <v>16</v>
      </c>
      <c r="H24" s="133">
        <f>IF(B$17=0,0,G24/B$17)</f>
        <v>7.0484581497797363E-2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6">
        <v>8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4.4052863436123352E-3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4">
        <v>96000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2.4968789013732834E-3</v>
      </c>
      <c r="E27" s="63" t="s">
        <v>90</v>
      </c>
      <c r="F27" s="60" t="s">
        <v>45</v>
      </c>
      <c r="G27" s="47">
        <v>38</v>
      </c>
      <c r="H27" s="133">
        <f>IF(B$17=0,0,G27/B$17)</f>
        <v>0.16740088105726872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2.643171806167401E-2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8.8105726872246704E-3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4.4052863436123352E-3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1.7621145374449341E-2</v>
      </c>
      <c r="I50" s="94">
        <v>3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86</v>
      </c>
      <c r="H51" s="138">
        <f>IF(B$17=0,0,G51/B$17)</f>
        <v>0.3788546255506608</v>
      </c>
      <c r="I51" s="139">
        <v>11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</sheetData>
  <sortState ref="E2:I9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6A7C-1605-42D0-BC6B-082101DADCA6}">
  <sheetPr codeName="Sheet15"/>
  <dimension ref="A1:Q9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90</v>
      </c>
      <c r="C2" s="153"/>
      <c r="E2" s="62" t="s">
        <v>65</v>
      </c>
      <c r="F2" s="59" t="s">
        <v>21</v>
      </c>
      <c r="G2" s="46">
        <v>92</v>
      </c>
      <c r="H2" s="132">
        <f>IF(B$17=0,0,G2/B$17)</f>
        <v>0.35114503816793891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216.66666666666666</v>
      </c>
      <c r="P2" s="118">
        <v>90</v>
      </c>
      <c r="Q2" s="102">
        <v>19500</v>
      </c>
    </row>
    <row r="3" spans="1:17" x14ac:dyDescent="0.4">
      <c r="A3" s="55" t="s">
        <v>8</v>
      </c>
      <c r="B3" s="154">
        <v>760</v>
      </c>
      <c r="C3" s="155"/>
      <c r="E3" s="63" t="s">
        <v>66</v>
      </c>
      <c r="F3" s="60" t="s">
        <v>22</v>
      </c>
      <c r="G3" s="47">
        <v>27</v>
      </c>
      <c r="H3" s="133">
        <f>IF(B$17=0,0,G3/B$17)</f>
        <v>0.10305343511450382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-1323.3333333333333</v>
      </c>
      <c r="P3" s="119">
        <v>90</v>
      </c>
      <c r="Q3" s="103">
        <v>-119100</v>
      </c>
    </row>
    <row r="4" spans="1:17" x14ac:dyDescent="0.4">
      <c r="A4" s="55" t="s">
        <v>6</v>
      </c>
      <c r="B4" s="156">
        <v>-122.80000000000005</v>
      </c>
      <c r="C4" s="157"/>
      <c r="E4" s="63" t="s">
        <v>67</v>
      </c>
      <c r="F4" s="60" t="s">
        <v>23</v>
      </c>
      <c r="G4" s="47">
        <v>177</v>
      </c>
      <c r="H4" s="133">
        <f>IF(B$17=0,0,G4/B$17)</f>
        <v>0.67557251908396942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-870</v>
      </c>
      <c r="P4" s="119">
        <v>80</v>
      </c>
      <c r="Q4" s="103">
        <v>-69600</v>
      </c>
    </row>
    <row r="5" spans="1:17" x14ac:dyDescent="0.4">
      <c r="A5" s="55" t="s">
        <v>7</v>
      </c>
      <c r="B5" s="158">
        <f>IF(B$2=0,0,B$4/B$2)</f>
        <v>-1.364444444444445</v>
      </c>
      <c r="C5" s="159"/>
      <c r="E5" s="63" t="s">
        <v>68</v>
      </c>
      <c r="F5" s="60" t="s">
        <v>24</v>
      </c>
      <c r="G5" s="47">
        <v>45</v>
      </c>
      <c r="H5" s="133">
        <f>IF(B$17=0,0,G5/B$17)</f>
        <v>0.1717557251908397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1230.2631578947369</v>
      </c>
      <c r="P5" s="119">
        <v>76</v>
      </c>
      <c r="Q5" s="103">
        <v>93500</v>
      </c>
    </row>
    <row r="6" spans="1:17" x14ac:dyDescent="0.4">
      <c r="A6" s="55" t="s">
        <v>1</v>
      </c>
      <c r="B6" s="148">
        <f>IF(B$2=0,0,(B$7*1+B$8*2+B$9*3)/B$2)</f>
        <v>2.0444444444444443</v>
      </c>
      <c r="C6" s="149"/>
      <c r="E6" s="63" t="s">
        <v>69</v>
      </c>
      <c r="F6" s="60" t="s">
        <v>12</v>
      </c>
      <c r="G6" s="47">
        <v>65</v>
      </c>
      <c r="H6" s="133">
        <f>IF(B$17=0,0,G6/B$17)</f>
        <v>0.24809160305343511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-107.14285714285714</v>
      </c>
      <c r="P6" s="119">
        <v>70</v>
      </c>
      <c r="Q6" s="103">
        <v>-7500</v>
      </c>
    </row>
    <row r="7" spans="1:17" x14ac:dyDescent="0.4">
      <c r="A7" s="55" t="s">
        <v>2</v>
      </c>
      <c r="B7" s="47">
        <v>23</v>
      </c>
      <c r="C7" s="39">
        <f>IF(B$2=0,0,B7/B$2)</f>
        <v>0.25555555555555554</v>
      </c>
      <c r="E7" s="63" t="s">
        <v>70</v>
      </c>
      <c r="F7" s="60" t="s">
        <v>25</v>
      </c>
      <c r="G7" s="47">
        <v>42</v>
      </c>
      <c r="H7" s="133">
        <f>IF(B$17=0,0,G7/B$17)</f>
        <v>0.16030534351145037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-178.33333333333334</v>
      </c>
      <c r="P7" s="120">
        <v>60</v>
      </c>
      <c r="Q7" s="104">
        <v>-10700</v>
      </c>
    </row>
    <row r="8" spans="1:17" x14ac:dyDescent="0.4">
      <c r="A8" s="55" t="s">
        <v>3</v>
      </c>
      <c r="B8" s="47">
        <v>40</v>
      </c>
      <c r="C8" s="39">
        <f>IF(B$2=0,0,B8/B$2)</f>
        <v>0.44444444444444442</v>
      </c>
      <c r="E8" s="63" t="s">
        <v>71</v>
      </c>
      <c r="F8" s="60" t="s">
        <v>26</v>
      </c>
      <c r="G8" s="47">
        <v>18</v>
      </c>
      <c r="H8" s="133">
        <f>IF(B$17=0,0,G8/B$17)</f>
        <v>6.8702290076335881E-2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</v>
      </c>
      <c r="E9" s="63" t="s">
        <v>72</v>
      </c>
      <c r="F9" s="60" t="s">
        <v>27</v>
      </c>
      <c r="G9" s="47">
        <v>21</v>
      </c>
      <c r="H9" s="133">
        <f>IF(B$17=0,0,G9/B$17)</f>
        <v>8.0152671755725186E-2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5.5555555555555552E-2</v>
      </c>
      <c r="E10" s="63" t="s">
        <v>73</v>
      </c>
      <c r="F10" s="60" t="s">
        <v>28</v>
      </c>
      <c r="G10" s="47">
        <v>149</v>
      </c>
      <c r="H10" s="133">
        <f>IF(B$17=0,0,G10/B$17)</f>
        <v>0.56870229007633588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-5.0793103448275883</v>
      </c>
      <c r="P10" s="118">
        <v>29</v>
      </c>
      <c r="Q10" s="106">
        <v>-147.30000000000007</v>
      </c>
    </row>
    <row r="11" spans="1:17" x14ac:dyDescent="0.4">
      <c r="A11" s="56" t="s">
        <v>140</v>
      </c>
      <c r="B11" s="48">
        <v>10</v>
      </c>
      <c r="C11" s="40">
        <f>IF(B$2=0,0,B11/B$2)</f>
        <v>0.1111111111111111</v>
      </c>
      <c r="E11" s="63" t="s">
        <v>74</v>
      </c>
      <c r="F11" s="60" t="s">
        <v>29</v>
      </c>
      <c r="G11" s="47">
        <v>1</v>
      </c>
      <c r="H11" s="133">
        <f>IF(B$17=0,0,G11/B$17)</f>
        <v>3.8167938931297708E-3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8</v>
      </c>
      <c r="C12" s="42">
        <f>IF(B$2=0,0,B12/B$2)</f>
        <v>8.8888888888888892E-2</v>
      </c>
      <c r="E12" s="63" t="s">
        <v>75</v>
      </c>
      <c r="F12" s="60" t="s">
        <v>30</v>
      </c>
      <c r="G12" s="47">
        <v>2</v>
      </c>
      <c r="H12" s="133">
        <f>IF(B$17=0,0,G12/B$17)</f>
        <v>7.6335877862595417E-3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-1.5542857142857149</v>
      </c>
      <c r="P12" s="120">
        <v>35</v>
      </c>
      <c r="Q12" s="108">
        <v>-54.40000000000002</v>
      </c>
    </row>
    <row r="13" spans="1:17" x14ac:dyDescent="0.4">
      <c r="A13" s="58" t="s">
        <v>122</v>
      </c>
      <c r="B13" s="50">
        <v>163</v>
      </c>
      <c r="C13" s="44">
        <f>IF(B$3=0,0,B13/B$3)</f>
        <v>0.21447368421052632</v>
      </c>
      <c r="E13" s="63" t="s">
        <v>76</v>
      </c>
      <c r="F13" s="60" t="s">
        <v>31</v>
      </c>
      <c r="G13" s="47">
        <v>1</v>
      </c>
      <c r="H13" s="133">
        <f>IF(B$17=0,0,G13/B$17)</f>
        <v>3.8167938931297708E-3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221</v>
      </c>
      <c r="C14" s="39">
        <f>IF(B$3=0,0,B14/B$3)</f>
        <v>0.29078947368421054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91</v>
      </c>
      <c r="C15" s="37">
        <f>IF(B$13=0,0,B15/B$13)</f>
        <v>0.55828220858895705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-3</v>
      </c>
      <c r="N15" s="114" t="s">
        <v>184</v>
      </c>
      <c r="O15" s="124">
        <f t="shared" ref="O15:O23" si="2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94</v>
      </c>
      <c r="C16" s="37">
        <f>IF(B$14=0,0,B16/B$14)</f>
        <v>0.42533936651583709</v>
      </c>
      <c r="E16" s="63" t="s">
        <v>79</v>
      </c>
      <c r="F16" s="60" t="s">
        <v>34</v>
      </c>
      <c r="G16" s="47">
        <v>4</v>
      </c>
      <c r="H16" s="133">
        <f>IF(B$17=0,0,G16/B$17)</f>
        <v>1.5267175572519083E-2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2"/>
        <v>24.653846153846146</v>
      </c>
      <c r="P16" s="119">
        <v>26</v>
      </c>
      <c r="Q16" s="107">
        <v>640.99999999999977</v>
      </c>
    </row>
    <row r="17" spans="1:17" x14ac:dyDescent="0.4">
      <c r="A17" s="54" t="s">
        <v>10</v>
      </c>
      <c r="B17" s="46">
        <f>B19+B18</f>
        <v>262</v>
      </c>
      <c r="C17" s="37">
        <f>IF(B$3=0,0,B17/B$3)</f>
        <v>0.34473684210526317</v>
      </c>
      <c r="E17" s="63" t="s">
        <v>80</v>
      </c>
      <c r="F17" s="60" t="s">
        <v>35</v>
      </c>
      <c r="G17" s="47">
        <v>3</v>
      </c>
      <c r="H17" s="133">
        <f>IF(B$17=0,0,G17/B$17)</f>
        <v>1.1450381679389313E-2</v>
      </c>
      <c r="I17" s="94">
        <v>10</v>
      </c>
      <c r="K17" s="38">
        <v>15</v>
      </c>
      <c r="L17" s="99">
        <v>-80.3</v>
      </c>
      <c r="N17" s="115" t="s">
        <v>173</v>
      </c>
      <c r="O17" s="125">
        <f t="shared" si="2"/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103</v>
      </c>
      <c r="C18" s="39">
        <f>IF(B$17=0,0,B18/B$17)</f>
        <v>0.3931297709923664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128</v>
      </c>
      <c r="O18" s="125">
        <f t="shared" si="2"/>
        <v>4.3735294117647054</v>
      </c>
      <c r="P18" s="119">
        <v>34</v>
      </c>
      <c r="Q18" s="107">
        <v>148.69999999999999</v>
      </c>
    </row>
    <row r="19" spans="1:17" x14ac:dyDescent="0.4">
      <c r="A19" s="55" t="s">
        <v>11</v>
      </c>
      <c r="B19" s="47">
        <v>159</v>
      </c>
      <c r="C19" s="39">
        <f>IF(B$17=0,0,B19/B$17)</f>
        <v>0.60687022900763354</v>
      </c>
      <c r="E19" s="63" t="s">
        <v>82</v>
      </c>
      <c r="F19" s="60" t="s">
        <v>37</v>
      </c>
      <c r="G19" s="47">
        <v>9</v>
      </c>
      <c r="H19" s="133">
        <f>IF(B$17=0,0,G19/B$17)</f>
        <v>3.4351145038167941E-2</v>
      </c>
      <c r="I19" s="94">
        <v>3</v>
      </c>
      <c r="K19" s="38">
        <v>17</v>
      </c>
      <c r="L19" s="99">
        <v>-55.099999999999994</v>
      </c>
      <c r="N19" s="115" t="s">
        <v>177</v>
      </c>
      <c r="O19" s="125">
        <f t="shared" si="2"/>
        <v>2.559259259259258</v>
      </c>
      <c r="P19" s="119">
        <v>27</v>
      </c>
      <c r="Q19" s="107">
        <v>69.099999999999966</v>
      </c>
    </row>
    <row r="20" spans="1:17" x14ac:dyDescent="0.4">
      <c r="A20" s="55" t="s">
        <v>13</v>
      </c>
      <c r="B20" s="47">
        <v>108</v>
      </c>
      <c r="C20" s="39">
        <f>IF(B$3=0,0,B20/B$3)</f>
        <v>0.14210526315789473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2"/>
        <v>-4.6450000000000005</v>
      </c>
      <c r="P20" s="119">
        <v>20</v>
      </c>
      <c r="Q20" s="107">
        <v>-92.9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19</v>
      </c>
      <c r="H21" s="133">
        <f>IF(B$17=0,0,G21/B$17)</f>
        <v>7.2519083969465645E-2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2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2"/>
        <v>-24.906382978723396</v>
      </c>
      <c r="P22" s="119">
        <v>47</v>
      </c>
      <c r="Q22" s="107">
        <v>-1170.5999999999997</v>
      </c>
    </row>
    <row r="23" spans="1:17" x14ac:dyDescent="0.4">
      <c r="A23" s="55" t="s">
        <v>5</v>
      </c>
      <c r="B23" s="51">
        <f>IF(B$17=0,0,C23/B$17)</f>
        <v>6890.0763358778622</v>
      </c>
      <c r="C23" s="41">
        <v>1805200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 t="shared" si="2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-8488.8888888888887</v>
      </c>
      <c r="C24" s="45">
        <v>-916800</v>
      </c>
      <c r="E24" s="63" t="s">
        <v>87</v>
      </c>
      <c r="F24" s="60" t="s">
        <v>42</v>
      </c>
      <c r="G24" s="47">
        <v>10</v>
      </c>
      <c r="H24" s="133">
        <f>IF(B$17=0,0,G24/B$17)</f>
        <v>3.8167938931297711E-2</v>
      </c>
      <c r="I24" s="94">
        <v>10</v>
      </c>
      <c r="K24" s="38">
        <v>22</v>
      </c>
      <c r="L24" s="99">
        <v>54.7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3.8167938931297708E-3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4">
        <v>97500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1.3157894736842105E-3</v>
      </c>
      <c r="E27" s="63" t="s">
        <v>90</v>
      </c>
      <c r="F27" s="60" t="s">
        <v>45</v>
      </c>
      <c r="G27" s="47">
        <v>19</v>
      </c>
      <c r="H27" s="133">
        <f>IF(B$17=0,0,G27/B$17)</f>
        <v>7.2519083969465645E-2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3.8167938931297708E-3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1.5267175572519083E-2</v>
      </c>
      <c r="I29" s="94">
        <v>8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112</v>
      </c>
      <c r="H51" s="138">
        <f>IF(B$17=0,0,G51/B$17)</f>
        <v>0.42748091603053434</v>
      </c>
      <c r="I51" s="139">
        <v>4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</sheetData>
  <sortState ref="E2:I9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2A1E-1F92-401C-9DEA-995F1F9147C4}">
  <sheetPr codeName="Sheet17"/>
  <dimension ref="A1:Q5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52</v>
      </c>
      <c r="C2" s="153"/>
      <c r="E2" s="62" t="s">
        <v>65</v>
      </c>
      <c r="F2" s="59" t="s">
        <v>21</v>
      </c>
      <c r="G2" s="46">
        <v>55</v>
      </c>
      <c r="H2" s="132">
        <f>IF(B$17=0,0,G2/B$17)</f>
        <v>0.4263565891472868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-2951.9230769230771</v>
      </c>
      <c r="P2" s="118">
        <v>52</v>
      </c>
      <c r="Q2" s="102">
        <v>-153500</v>
      </c>
    </row>
    <row r="3" spans="1:17" x14ac:dyDescent="0.4">
      <c r="A3" s="55" t="s">
        <v>8</v>
      </c>
      <c r="B3" s="154">
        <v>450</v>
      </c>
      <c r="C3" s="155"/>
      <c r="E3" s="63" t="s">
        <v>66</v>
      </c>
      <c r="F3" s="60" t="s">
        <v>22</v>
      </c>
      <c r="G3" s="47">
        <v>10</v>
      </c>
      <c r="H3" s="133">
        <f>IF(B$17=0,0,G3/B$17)</f>
        <v>7.7519379844961239E-2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1819.2307692307693</v>
      </c>
      <c r="P3" s="119">
        <v>52</v>
      </c>
      <c r="Q3" s="103">
        <v>94600</v>
      </c>
    </row>
    <row r="4" spans="1:17" x14ac:dyDescent="0.4">
      <c r="A4" s="55" t="s">
        <v>6</v>
      </c>
      <c r="B4" s="156">
        <v>-397.6</v>
      </c>
      <c r="C4" s="157"/>
      <c r="E4" s="63" t="s">
        <v>67</v>
      </c>
      <c r="F4" s="60" t="s">
        <v>23</v>
      </c>
      <c r="G4" s="47">
        <v>84</v>
      </c>
      <c r="H4" s="133">
        <f>IF(B$17=0,0,G4/B$17)</f>
        <v>0.65116279069767447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-220.83333333333334</v>
      </c>
      <c r="P4" s="119">
        <v>48</v>
      </c>
      <c r="Q4" s="103">
        <v>-10600</v>
      </c>
    </row>
    <row r="5" spans="1:17" x14ac:dyDescent="0.4">
      <c r="A5" s="55" t="s">
        <v>7</v>
      </c>
      <c r="B5" s="158">
        <f>IF(B$2=0,0,B$4/B$2)</f>
        <v>-7.6461538461538465</v>
      </c>
      <c r="C5" s="159"/>
      <c r="E5" s="63" t="s">
        <v>68</v>
      </c>
      <c r="F5" s="60" t="s">
        <v>24</v>
      </c>
      <c r="G5" s="47">
        <v>29</v>
      </c>
      <c r="H5" s="133">
        <f>IF(B$17=0,0,G5/B$17)</f>
        <v>0.22480620155038761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-4015.5555555555557</v>
      </c>
      <c r="P5" s="119">
        <v>45</v>
      </c>
      <c r="Q5" s="103">
        <v>-180700</v>
      </c>
    </row>
    <row r="6" spans="1:17" x14ac:dyDescent="0.4">
      <c r="A6" s="55" t="s">
        <v>1</v>
      </c>
      <c r="B6" s="148">
        <f>IF(B$2=0,0,(B$7*1+B$8*2+B$9*3)/B$2)</f>
        <v>2.1153846153846154</v>
      </c>
      <c r="C6" s="149"/>
      <c r="E6" s="63" t="s">
        <v>69</v>
      </c>
      <c r="F6" s="60" t="s">
        <v>12</v>
      </c>
      <c r="G6" s="47">
        <v>49</v>
      </c>
      <c r="H6" s="133">
        <f>IF(B$17=0,0,G6/B$17)</f>
        <v>0.37984496124031009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-582.5</v>
      </c>
      <c r="P6" s="119">
        <v>40</v>
      </c>
      <c r="Q6" s="103">
        <v>-23300</v>
      </c>
    </row>
    <row r="7" spans="1:17" x14ac:dyDescent="0.4">
      <c r="A7" s="55" t="s">
        <v>2</v>
      </c>
      <c r="B7" s="47">
        <v>15</v>
      </c>
      <c r="C7" s="39">
        <f>IF(B$2=0,0,B7/B$2)</f>
        <v>0.28846153846153844</v>
      </c>
      <c r="E7" s="63" t="s">
        <v>70</v>
      </c>
      <c r="F7" s="60" t="s">
        <v>25</v>
      </c>
      <c r="G7" s="47">
        <v>16</v>
      </c>
      <c r="H7" s="133">
        <f>IF(B$17=0,0,G7/B$17)</f>
        <v>0.12403100775193798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-55.263157894736842</v>
      </c>
      <c r="P7" s="120">
        <v>38</v>
      </c>
      <c r="Q7" s="104">
        <v>-2100</v>
      </c>
    </row>
    <row r="8" spans="1:17" x14ac:dyDescent="0.4">
      <c r="A8" s="55" t="s">
        <v>3</v>
      </c>
      <c r="B8" s="47">
        <v>16</v>
      </c>
      <c r="C8" s="39">
        <f>IF(B$2=0,0,B8/B$2)</f>
        <v>0.30769230769230771</v>
      </c>
      <c r="E8" s="63" t="s">
        <v>71</v>
      </c>
      <c r="F8" s="60" t="s">
        <v>26</v>
      </c>
      <c r="G8" s="47">
        <v>15</v>
      </c>
      <c r="H8" s="133">
        <f>IF(B$17=0,0,G8/B$17)</f>
        <v>0.11627906976744186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0.40384615384615385</v>
      </c>
      <c r="E9" s="63" t="s">
        <v>72</v>
      </c>
      <c r="F9" s="60" t="s">
        <v>27</v>
      </c>
      <c r="G9" s="47">
        <v>6</v>
      </c>
      <c r="H9" s="133">
        <f>IF(B$17=0,0,G9/B$17)</f>
        <v>4.6511627906976744E-2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0.15384615384615385</v>
      </c>
      <c r="E10" s="63" t="s">
        <v>73</v>
      </c>
      <c r="F10" s="60" t="s">
        <v>28</v>
      </c>
      <c r="G10" s="47">
        <v>65</v>
      </c>
      <c r="H10" s="133">
        <f>IF(B$17=0,0,G10/B$17)</f>
        <v>0.50387596899224807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7.6923076923076927E-2</v>
      </c>
      <c r="E11" s="63" t="s">
        <v>74</v>
      </c>
      <c r="F11" s="60" t="s">
        <v>29</v>
      </c>
      <c r="G11" s="47">
        <v>3</v>
      </c>
      <c r="H11" s="133">
        <f>IF(B$17=0,0,G11/B$17)</f>
        <v>2.3255813953488372E-2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-4.5499999999999989</v>
      </c>
      <c r="P11" s="119">
        <v>24</v>
      </c>
      <c r="Q11" s="107">
        <v>-109.19999999999997</v>
      </c>
    </row>
    <row r="12" spans="1:17" x14ac:dyDescent="0.4">
      <c r="A12" s="57" t="s">
        <v>160</v>
      </c>
      <c r="B12" s="49">
        <v>3</v>
      </c>
      <c r="C12" s="42">
        <f>IF(B$2=0,0,B12/B$2)</f>
        <v>5.7692307692307696E-2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102</v>
      </c>
      <c r="C13" s="44">
        <f>IF(B$3=0,0,B13/B$3)</f>
        <v>0.22666666666666666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108</v>
      </c>
      <c r="C14" s="39">
        <f>IF(B$3=0,0,B14/B$3)</f>
        <v>0.24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0.55882352941176472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-302.59999999999997</v>
      </c>
      <c r="N15" s="114" t="s">
        <v>271</v>
      </c>
      <c r="O15" s="124">
        <f t="shared" ref="O15:O24" si="2">IF(P15=0,0,Q15/P15)</f>
        <v>116.19999999999999</v>
      </c>
      <c r="P15" s="118">
        <v>1</v>
      </c>
      <c r="Q15" s="106">
        <v>116.19999999999999</v>
      </c>
    </row>
    <row r="16" spans="1:17" x14ac:dyDescent="0.4">
      <c r="A16" s="54" t="s">
        <v>125</v>
      </c>
      <c r="B16" s="46">
        <v>36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3</v>
      </c>
      <c r="H16" s="133">
        <f>IF(B$17=0,0,G16/B$17)</f>
        <v>2.3255813953488372E-2</v>
      </c>
      <c r="I16" s="94">
        <v>9</v>
      </c>
      <c r="K16" s="38">
        <v>14</v>
      </c>
      <c r="L16" s="99">
        <v>-269.99999999999994</v>
      </c>
      <c r="N16" s="115" t="s">
        <v>129</v>
      </c>
      <c r="O16" s="125">
        <f t="shared" si="2"/>
        <v>17.118181818181821</v>
      </c>
      <c r="P16" s="119">
        <v>11</v>
      </c>
      <c r="Q16" s="107">
        <v>188.3</v>
      </c>
    </row>
    <row r="17" spans="1:17" x14ac:dyDescent="0.4">
      <c r="A17" s="54" t="s">
        <v>10</v>
      </c>
      <c r="B17" s="46">
        <f>B19+B18</f>
        <v>129</v>
      </c>
      <c r="C17" s="37">
        <f>IF(B$3=0,0,B17/B$3)</f>
        <v>0.28666666666666668</v>
      </c>
      <c r="E17" s="63" t="s">
        <v>80</v>
      </c>
      <c r="F17" s="60" t="s">
        <v>35</v>
      </c>
      <c r="G17" s="47">
        <v>2</v>
      </c>
      <c r="H17" s="133">
        <f>IF(B$17=0,0,G17/B$17)</f>
        <v>1.5503875968992248E-2</v>
      </c>
      <c r="I17" s="94">
        <v>8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65</v>
      </c>
      <c r="C18" s="39">
        <f>IF(B$17=0,0,B18/B$17)</f>
        <v>0.50387596899224807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128</v>
      </c>
      <c r="O18" s="125">
        <f t="shared" si="2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64</v>
      </c>
      <c r="C19" s="39">
        <f>IF(B$17=0,0,B19/B$17)</f>
        <v>0.49612403100775193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  <c r="K19" s="38">
        <v>17</v>
      </c>
      <c r="L19" s="99">
        <v>-248.89999999999995</v>
      </c>
      <c r="N19" s="115" t="s">
        <v>171</v>
      </c>
      <c r="O19" s="125">
        <f t="shared" si="2"/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82</v>
      </c>
      <c r="C20" s="39">
        <f>IF(B$3=0,0,B20/B$3)</f>
        <v>0.18222222222222223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-16.769565217391303</v>
      </c>
      <c r="P20" s="119">
        <v>23</v>
      </c>
      <c r="Q20" s="107">
        <v>-385.7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1.5503875968992248E-2</v>
      </c>
      <c r="I21" s="94">
        <v>11</v>
      </c>
      <c r="K21" s="38">
        <v>19</v>
      </c>
      <c r="L21" s="99">
        <v>-188.59999999999994</v>
      </c>
      <c r="N21" s="115" t="s">
        <v>177</v>
      </c>
      <c r="O21" s="125">
        <f t="shared" si="2"/>
        <v>-25.12222222222222</v>
      </c>
      <c r="P21" s="119">
        <v>9</v>
      </c>
      <c r="Q21" s="107">
        <v>-226.1</v>
      </c>
    </row>
    <row r="22" spans="1:17" x14ac:dyDescent="0.4">
      <c r="A22" s="55" t="s">
        <v>192</v>
      </c>
      <c r="B22" s="47">
        <v>24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7534.1085271317834</v>
      </c>
      <c r="C23" s="41">
        <v>971900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  <c r="N23" s="115" t="s">
        <v>200</v>
      </c>
      <c r="O23" s="125">
        <f t="shared" si="2"/>
        <v>-65.550000000000011</v>
      </c>
      <c r="P23" s="119">
        <v>2</v>
      </c>
      <c r="Q23" s="107">
        <v>-131.10000000000002</v>
      </c>
    </row>
    <row r="24" spans="1:17" x14ac:dyDescent="0.4">
      <c r="A24" s="57" t="s">
        <v>14</v>
      </c>
      <c r="B24" s="52">
        <f>IF(B$20=0,0,C24/B$20)</f>
        <v>-8271.9512195121952</v>
      </c>
      <c r="C24" s="45">
        <v>-678300</v>
      </c>
      <c r="E24" s="63" t="s">
        <v>87</v>
      </c>
      <c r="F24" s="60" t="s">
        <v>42</v>
      </c>
      <c r="G24" s="47">
        <v>6</v>
      </c>
      <c r="H24" s="133">
        <f>IF(B$17=0,0,G24/B$17)</f>
        <v>4.6511627906976744E-2</v>
      </c>
      <c r="I24" s="94">
        <v>9</v>
      </c>
      <c r="K24" s="38">
        <v>22</v>
      </c>
      <c r="L24" s="99">
        <v>-262.49999999999994</v>
      </c>
      <c r="N24" s="115" t="s">
        <v>184</v>
      </c>
      <c r="O24" s="125">
        <f t="shared" si="2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7.7519379844961239E-3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4">
        <v>113300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4.4444444444444444E-3</v>
      </c>
      <c r="E27" s="63" t="s">
        <v>90</v>
      </c>
      <c r="F27" s="60" t="s">
        <v>45</v>
      </c>
      <c r="G27" s="47">
        <v>16</v>
      </c>
      <c r="H27" s="133">
        <f>IF(B$17=0,0,G27/B$17)</f>
        <v>0.12403100775193798</v>
      </c>
      <c r="I27" s="94">
        <v>6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1.5503875968992248E-2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1</v>
      </c>
      <c r="H44" s="133">
        <f>IF(B$17=0,0,G44/B$17)</f>
        <v>7.7519379844961239E-3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1.5503875968992248E-2</v>
      </c>
      <c r="I50" s="94">
        <v>6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49</v>
      </c>
      <c r="H51" s="138">
        <f>IF(B$17=0,0,G51/B$17)</f>
        <v>0.37984496124031009</v>
      </c>
      <c r="I51" s="139">
        <v>10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</sheetData>
  <sortState ref="E2:I5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AF6A-DE81-4056-8EEF-5F5AD150A99F}">
  <sheetPr codeName="Sheet19"/>
  <dimension ref="A1:Q8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84</v>
      </c>
      <c r="C2" s="153"/>
      <c r="E2" s="62" t="s">
        <v>65</v>
      </c>
      <c r="F2" s="59" t="s">
        <v>21</v>
      </c>
      <c r="G2" s="46">
        <v>121</v>
      </c>
      <c r="H2" s="132">
        <f>IF(B$17=0,0,G2/B$17)</f>
        <v>0.62694300518134716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1144.047619047619</v>
      </c>
      <c r="P2" s="118">
        <v>84</v>
      </c>
      <c r="Q2" s="102">
        <v>96100</v>
      </c>
    </row>
    <row r="3" spans="1:17" x14ac:dyDescent="0.4">
      <c r="A3" s="55" t="s">
        <v>8</v>
      </c>
      <c r="B3" s="154">
        <v>690</v>
      </c>
      <c r="C3" s="155"/>
      <c r="E3" s="63" t="s">
        <v>66</v>
      </c>
      <c r="F3" s="60" t="s">
        <v>22</v>
      </c>
      <c r="G3" s="47">
        <v>21</v>
      </c>
      <c r="H3" s="133">
        <f>IF(B$17=0,0,G3/B$17)</f>
        <v>0.10880829015544041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364.19753086419752</v>
      </c>
      <c r="P3" s="119">
        <v>81</v>
      </c>
      <c r="Q3" s="103">
        <v>29500</v>
      </c>
    </row>
    <row r="4" spans="1:17" x14ac:dyDescent="0.4">
      <c r="A4" s="55" t="s">
        <v>6</v>
      </c>
      <c r="B4" s="156">
        <v>131.69999999999993</v>
      </c>
      <c r="C4" s="157"/>
      <c r="E4" s="63" t="s">
        <v>67</v>
      </c>
      <c r="F4" s="60" t="s">
        <v>23</v>
      </c>
      <c r="G4" s="47">
        <v>106</v>
      </c>
      <c r="H4" s="133">
        <f>IF(B$17=0,0,G4/B$17)</f>
        <v>0.54922279792746109</v>
      </c>
      <c r="I4" s="94">
        <v>13</v>
      </c>
      <c r="K4" s="38">
        <v>2</v>
      </c>
      <c r="L4" s="99">
        <v>30</v>
      </c>
      <c r="N4" s="115" t="s">
        <v>134</v>
      </c>
      <c r="O4" s="122">
        <f t="shared" si="0"/>
        <v>-366.2162162162162</v>
      </c>
      <c r="P4" s="119">
        <v>74</v>
      </c>
      <c r="Q4" s="103">
        <v>-27100</v>
      </c>
    </row>
    <row r="5" spans="1:17" x14ac:dyDescent="0.4">
      <c r="A5" s="55" t="s">
        <v>7</v>
      </c>
      <c r="B5" s="158">
        <f>IF(B$2=0,0,B$4/B$2)</f>
        <v>1.5678571428571419</v>
      </c>
      <c r="C5" s="159"/>
      <c r="E5" s="63" t="s">
        <v>68</v>
      </c>
      <c r="F5" s="60" t="s">
        <v>24</v>
      </c>
      <c r="G5" s="47">
        <v>81</v>
      </c>
      <c r="H5" s="133">
        <f>IF(B$17=0,0,G5/B$17)</f>
        <v>0.41968911917098445</v>
      </c>
      <c r="I5" s="94">
        <v>2</v>
      </c>
      <c r="K5" s="38">
        <v>3</v>
      </c>
      <c r="L5" s="99">
        <v>-10</v>
      </c>
      <c r="N5" s="115" t="s">
        <v>135</v>
      </c>
      <c r="O5" s="122">
        <f t="shared" si="0"/>
        <v>1782.8571428571429</v>
      </c>
      <c r="P5" s="119">
        <v>70</v>
      </c>
      <c r="Q5" s="103">
        <v>124800</v>
      </c>
    </row>
    <row r="6" spans="1:17" x14ac:dyDescent="0.4">
      <c r="A6" s="55" t="s">
        <v>1</v>
      </c>
      <c r="B6" s="148">
        <f>IF(B$2=0,0,(B$7*1+B$8*2+B$9*3)/B$2)</f>
        <v>1.9642857142857142</v>
      </c>
      <c r="C6" s="149"/>
      <c r="E6" s="63" t="s">
        <v>69</v>
      </c>
      <c r="F6" s="60" t="s">
        <v>12</v>
      </c>
      <c r="G6" s="47">
        <v>60</v>
      </c>
      <c r="H6" s="133">
        <f>IF(B$17=0,0,G6/B$17)</f>
        <v>0.31088082901554404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-1730.1587301587301</v>
      </c>
      <c r="P6" s="119">
        <v>63</v>
      </c>
      <c r="Q6" s="103">
        <v>-109000</v>
      </c>
    </row>
    <row r="7" spans="1:17" x14ac:dyDescent="0.4">
      <c r="A7" s="55" t="s">
        <v>2</v>
      </c>
      <c r="B7" s="47">
        <v>29</v>
      </c>
      <c r="C7" s="39">
        <f>IF(B$2=0,0,B7/B$2)</f>
        <v>0.34523809523809523</v>
      </c>
      <c r="E7" s="63" t="s">
        <v>70</v>
      </c>
      <c r="F7" s="60" t="s">
        <v>25</v>
      </c>
      <c r="G7" s="47">
        <v>31</v>
      </c>
      <c r="H7" s="133">
        <f>IF(B$17=0,0,G7/B$17)</f>
        <v>0.16062176165803108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247.05882352941177</v>
      </c>
      <c r="P7" s="120">
        <v>51</v>
      </c>
      <c r="Q7" s="104">
        <v>12600</v>
      </c>
    </row>
    <row r="8" spans="1:17" x14ac:dyDescent="0.4">
      <c r="A8" s="55" t="s">
        <v>3</v>
      </c>
      <c r="B8" s="47">
        <v>29</v>
      </c>
      <c r="C8" s="39">
        <f>IF(B$2=0,0,B8/B$2)</f>
        <v>0.34523809523809523</v>
      </c>
      <c r="E8" s="63" t="s">
        <v>71</v>
      </c>
      <c r="F8" s="60" t="s">
        <v>26</v>
      </c>
      <c r="G8" s="47">
        <v>13</v>
      </c>
      <c r="H8" s="133">
        <f>IF(B$17=0,0,G8/B$17)</f>
        <v>6.7357512953367879E-2</v>
      </c>
      <c r="I8" s="94">
        <v>10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0.30952380952380953</v>
      </c>
      <c r="E9" s="63" t="s">
        <v>72</v>
      </c>
      <c r="F9" s="60" t="s">
        <v>27</v>
      </c>
      <c r="G9" s="47">
        <v>12</v>
      </c>
      <c r="H9" s="133">
        <f>IF(B$17=0,0,G9/B$17)</f>
        <v>6.2176165803108807E-2</v>
      </c>
      <c r="I9" s="94">
        <v>8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0.14285714285714285</v>
      </c>
      <c r="E10" s="63" t="s">
        <v>73</v>
      </c>
      <c r="F10" s="60" t="s">
        <v>28</v>
      </c>
      <c r="G10" s="47">
        <v>83</v>
      </c>
      <c r="H10" s="133">
        <f>IF(B$17=0,0,G10/B$17)</f>
        <v>0.43005181347150256</v>
      </c>
      <c r="I10" s="94">
        <v>12</v>
      </c>
      <c r="K10" s="38">
        <v>8</v>
      </c>
      <c r="L10" s="99">
        <v>-87.1</v>
      </c>
      <c r="N10" s="114" t="s">
        <v>164</v>
      </c>
      <c r="O10" s="124">
        <f>IF(P10=0,0,Q10/P10)</f>
        <v>-2.9111111111111114</v>
      </c>
      <c r="P10" s="118">
        <v>27</v>
      </c>
      <c r="Q10" s="106">
        <v>-78.600000000000009</v>
      </c>
    </row>
    <row r="11" spans="1:17" x14ac:dyDescent="0.4">
      <c r="A11" s="56" t="s">
        <v>140</v>
      </c>
      <c r="B11" s="48">
        <v>11</v>
      </c>
      <c r="C11" s="40">
        <f>IF(B$2=0,0,B11/B$2)</f>
        <v>0.13095238095238096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5.0225806451612902</v>
      </c>
      <c r="P11" s="119">
        <v>31</v>
      </c>
      <c r="Q11" s="107">
        <v>155.69999999999999</v>
      </c>
    </row>
    <row r="12" spans="1:17" x14ac:dyDescent="0.4">
      <c r="A12" s="57" t="s">
        <v>160</v>
      </c>
      <c r="B12" s="49">
        <v>5</v>
      </c>
      <c r="C12" s="42">
        <f>IF(B$2=0,0,B12/B$2)</f>
        <v>5.9523809523809521E-2</v>
      </c>
      <c r="E12" s="63" t="s">
        <v>75</v>
      </c>
      <c r="F12" s="60" t="s">
        <v>30</v>
      </c>
      <c r="G12" s="47">
        <v>1</v>
      </c>
      <c r="H12" s="133">
        <f>IF(B$17=0,0,G12/B$17)</f>
        <v>5.1813471502590676E-3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2.0999999999999996</v>
      </c>
      <c r="P12" s="120">
        <v>26</v>
      </c>
      <c r="Q12" s="108">
        <v>54.599999999999987</v>
      </c>
    </row>
    <row r="13" spans="1:17" x14ac:dyDescent="0.4">
      <c r="A13" s="58" t="s">
        <v>122</v>
      </c>
      <c r="B13" s="50">
        <v>200</v>
      </c>
      <c r="C13" s="44">
        <f>IF(B$3=0,0,B13/B$3)</f>
        <v>0.28985507246376813</v>
      </c>
      <c r="E13" s="63" t="s">
        <v>76</v>
      </c>
      <c r="F13" s="60" t="s">
        <v>31</v>
      </c>
      <c r="G13" s="47">
        <v>2</v>
      </c>
      <c r="H13" s="133">
        <f>IF(B$17=0,0,G13/B$17)</f>
        <v>1.0362694300518135E-2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122</v>
      </c>
      <c r="C14" s="39">
        <f>IF(B$3=0,0,B14/B$3)</f>
        <v>0.17681159420289855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121</v>
      </c>
      <c r="C15" s="37">
        <f>IF(B$13=0,0,B15/B$13)</f>
        <v>0.60499999999999998</v>
      </c>
      <c r="E15" s="63" t="s">
        <v>78</v>
      </c>
      <c r="F15" s="60" t="s">
        <v>33</v>
      </c>
      <c r="G15" s="47">
        <v>2</v>
      </c>
      <c r="H15" s="133">
        <f>IF(B$17=0,0,G15/B$17)</f>
        <v>1.0362694300518135E-2</v>
      </c>
      <c r="I15" s="94">
        <v>4</v>
      </c>
      <c r="K15" s="38">
        <v>13</v>
      </c>
      <c r="L15" s="99">
        <v>-209.59999999999997</v>
      </c>
      <c r="N15" s="114" t="s">
        <v>271</v>
      </c>
      <c r="O15" s="124">
        <f t="shared" ref="O15:O24" si="2"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41</v>
      </c>
      <c r="C16" s="37">
        <f>IF(B$14=0,0,B16/B$14)</f>
        <v>0.33606557377049179</v>
      </c>
      <c r="E16" s="63" t="s">
        <v>79</v>
      </c>
      <c r="F16" s="60" t="s">
        <v>34</v>
      </c>
      <c r="G16" s="47">
        <v>6</v>
      </c>
      <c r="H16" s="133">
        <f>IF(B$17=0,0,G16/B$17)</f>
        <v>3.1088082901554404E-2</v>
      </c>
      <c r="I16" s="94">
        <v>6</v>
      </c>
      <c r="K16" s="38">
        <v>14</v>
      </c>
      <c r="L16" s="99">
        <v>-178.49999999999997</v>
      </c>
      <c r="N16" s="115" t="s">
        <v>171</v>
      </c>
      <c r="O16" s="125">
        <f t="shared" si="2"/>
        <v>44.647368421052633</v>
      </c>
      <c r="P16" s="119">
        <v>19</v>
      </c>
      <c r="Q16" s="107">
        <v>848.30000000000007</v>
      </c>
    </row>
    <row r="17" spans="1:17" x14ac:dyDescent="0.4">
      <c r="A17" s="54" t="s">
        <v>10</v>
      </c>
      <c r="B17" s="46">
        <f>B19+B18</f>
        <v>193</v>
      </c>
      <c r="C17" s="37">
        <f>IF(B$3=0,0,B17/B$3)</f>
        <v>0.27971014492753621</v>
      </c>
      <c r="E17" s="63" t="s">
        <v>80</v>
      </c>
      <c r="F17" s="60" t="s">
        <v>35</v>
      </c>
      <c r="G17" s="47">
        <v>3</v>
      </c>
      <c r="H17" s="133">
        <f>IF(B$17=0,0,G17/B$17)</f>
        <v>1.5544041450777202E-2</v>
      </c>
      <c r="I17" s="94">
        <v>7</v>
      </c>
      <c r="K17" s="38">
        <v>15</v>
      </c>
      <c r="L17" s="99">
        <v>-146.19999999999999</v>
      </c>
      <c r="N17" s="115" t="s">
        <v>173</v>
      </c>
      <c r="O17" s="125">
        <f t="shared" si="2"/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82</v>
      </c>
      <c r="C18" s="39">
        <f>IF(B$17=0,0,B18/B$17)</f>
        <v>0.42487046632124353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6.1827586206896559</v>
      </c>
      <c r="P18" s="119">
        <v>29</v>
      </c>
      <c r="Q18" s="107">
        <v>179.3</v>
      </c>
    </row>
    <row r="19" spans="1:17" x14ac:dyDescent="0.4">
      <c r="A19" s="55" t="s">
        <v>11</v>
      </c>
      <c r="B19" s="47">
        <v>111</v>
      </c>
      <c r="C19" s="39">
        <f>IF(B$17=0,0,B19/B$17)</f>
        <v>0.57512953367875652</v>
      </c>
      <c r="E19" s="63" t="s">
        <v>82</v>
      </c>
      <c r="F19" s="60" t="s">
        <v>37</v>
      </c>
      <c r="G19" s="47">
        <v>6</v>
      </c>
      <c r="H19" s="133">
        <f>IF(B$17=0,0,G19/B$17)</f>
        <v>3.1088082901554404E-2</v>
      </c>
      <c r="I19" s="94">
        <v>5</v>
      </c>
      <c r="K19" s="38">
        <v>17</v>
      </c>
      <c r="L19" s="99">
        <v>-161.19999999999999</v>
      </c>
      <c r="N19" s="115" t="s">
        <v>184</v>
      </c>
      <c r="O19" s="125">
        <f t="shared" si="2"/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103</v>
      </c>
      <c r="C20" s="39">
        <f>IF(B$3=0,0,B20/B$3)</f>
        <v>0.14927536231884059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200</v>
      </c>
      <c r="O20" s="125">
        <f t="shared" si="2"/>
        <v>-0.89999999999999858</v>
      </c>
      <c r="P20" s="119">
        <v>9</v>
      </c>
      <c r="Q20" s="107">
        <v>-8.0999999999999872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9</v>
      </c>
      <c r="H21" s="133">
        <f>IF(B$17=0,0,G21/B$17)</f>
        <v>4.6632124352331605E-2</v>
      </c>
      <c r="I21" s="94">
        <v>8</v>
      </c>
      <c r="K21" s="38">
        <v>19</v>
      </c>
      <c r="L21" s="99">
        <v>-235.6</v>
      </c>
      <c r="N21" s="115" t="s">
        <v>129</v>
      </c>
      <c r="O21" s="125">
        <f t="shared" si="2"/>
        <v>-2.4666666666666668</v>
      </c>
      <c r="P21" s="119">
        <v>30</v>
      </c>
      <c r="Q21" s="107">
        <v>-74</v>
      </c>
    </row>
    <row r="22" spans="1:17" x14ac:dyDescent="0.4">
      <c r="A22" s="55" t="s">
        <v>192</v>
      </c>
      <c r="B22" s="47">
        <v>45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-200.8</v>
      </c>
      <c r="N22" s="115" t="s">
        <v>172</v>
      </c>
      <c r="O22" s="125">
        <f t="shared" si="2"/>
        <v>-2.5592592592592607</v>
      </c>
      <c r="P22" s="119">
        <v>27</v>
      </c>
      <c r="Q22" s="107">
        <v>-69.100000000000037</v>
      </c>
    </row>
    <row r="23" spans="1:17" x14ac:dyDescent="0.4">
      <c r="A23" s="55" t="s">
        <v>5</v>
      </c>
      <c r="B23" s="51">
        <f>IF(B$17=0,0,C23/B$17)</f>
        <v>8861.6580310880836</v>
      </c>
      <c r="C23" s="41">
        <v>1710300</v>
      </c>
      <c r="E23" s="63" t="s">
        <v>86</v>
      </c>
      <c r="F23" s="60" t="s">
        <v>41</v>
      </c>
      <c r="G23" s="47">
        <v>3</v>
      </c>
      <c r="H23" s="133">
        <f>IF(B$17=0,0,G23/B$17)</f>
        <v>1.5544041450777202E-2</v>
      </c>
      <c r="I23" s="94">
        <v>1</v>
      </c>
      <c r="K23" s="38">
        <v>21</v>
      </c>
      <c r="L23" s="99">
        <v>-188.60000000000002</v>
      </c>
      <c r="N23" s="115" t="s">
        <v>127</v>
      </c>
      <c r="O23" s="125">
        <f t="shared" si="2"/>
        <v>-20.326470588235299</v>
      </c>
      <c r="P23" s="119">
        <v>34</v>
      </c>
      <c r="Q23" s="107">
        <v>-691.10000000000014</v>
      </c>
    </row>
    <row r="24" spans="1:17" x14ac:dyDescent="0.4">
      <c r="A24" s="57" t="s">
        <v>14</v>
      </c>
      <c r="B24" s="52">
        <f>IF(B$20=0,0,C24/B$20)</f>
        <v>-7048.5436893203887</v>
      </c>
      <c r="C24" s="45">
        <v>-726000</v>
      </c>
      <c r="E24" s="63" t="s">
        <v>87</v>
      </c>
      <c r="F24" s="60" t="s">
        <v>42</v>
      </c>
      <c r="G24" s="47">
        <v>10</v>
      </c>
      <c r="H24" s="133">
        <f>IF(B$17=0,0,G24/B$17)</f>
        <v>5.181347150259067E-2</v>
      </c>
      <c r="I24" s="94">
        <v>7</v>
      </c>
      <c r="K24" s="38">
        <v>22</v>
      </c>
      <c r="L24" s="99">
        <v>-142.60000000000002</v>
      </c>
      <c r="N24" s="115" t="s">
        <v>183</v>
      </c>
      <c r="O24" s="125">
        <f t="shared" si="2"/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6">
        <v>8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4">
        <v>103000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4.3478260869565218E-3</v>
      </c>
      <c r="E27" s="63" t="s">
        <v>90</v>
      </c>
      <c r="F27" s="60" t="s">
        <v>45</v>
      </c>
      <c r="G27" s="47">
        <v>22</v>
      </c>
      <c r="H27" s="133">
        <f>IF(B$17=0,0,G27/B$17)</f>
        <v>0.11398963730569948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1.0362694300518135E-2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3.1088082901554404E-2</v>
      </c>
      <c r="I29" s="94">
        <v>2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5.1813471502590676E-3</v>
      </c>
      <c r="I30" s="94">
        <v>3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5.1813471502590676E-3</v>
      </c>
      <c r="I31" s="94">
        <v>2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5.1813471502590676E-3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40.899999999999991</v>
      </c>
    </row>
    <row r="51" spans="5:12" x14ac:dyDescent="0.4">
      <c r="E51" s="136" t="s">
        <v>245</v>
      </c>
      <c r="F51" s="137" t="s">
        <v>246</v>
      </c>
      <c r="G51" s="48">
        <v>84</v>
      </c>
      <c r="H51" s="138">
        <f>IF(B$17=0,0,G51/B$17)</f>
        <v>0.43523316062176165</v>
      </c>
      <c r="I51" s="139">
        <v>3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</sheetData>
  <sortState ref="E2:I8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98AD-4E79-40DD-B9C9-C1AC0E351AD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3</v>
      </c>
      <c r="C2" s="153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4">
        <v>19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6">
        <v>61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8">
        <f>IF(B$2=0,0,B$4/B$2)</f>
        <v>20.333333333333332</v>
      </c>
      <c r="C5" s="159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8">
        <f>IF(B$2=0,0,(B$7*1+B$8*2+B$9*3)/B$2)</f>
        <v>1.3333333333333333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53500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FD59-71DB-4E3E-8B40-3BCEF451BA0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184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22</v>
      </c>
      <c r="C2" s="153"/>
      <c r="E2" s="62" t="s">
        <v>65</v>
      </c>
      <c r="F2" s="59" t="s">
        <v>21</v>
      </c>
      <c r="G2" s="46">
        <v>24</v>
      </c>
      <c r="H2" s="132">
        <f>IF(B$17=0,0,G2/B$17)</f>
        <v>0.52173913043478259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-900</v>
      </c>
      <c r="P2" s="118">
        <v>22</v>
      </c>
      <c r="Q2" s="102">
        <v>-19800</v>
      </c>
    </row>
    <row r="3" spans="1:17" x14ac:dyDescent="0.4">
      <c r="A3" s="55" t="s">
        <v>8</v>
      </c>
      <c r="B3" s="154">
        <v>165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4.3478260869565216E-2</v>
      </c>
      <c r="I3" s="94">
        <v>11</v>
      </c>
      <c r="K3" s="38">
        <v>1</v>
      </c>
      <c r="L3" s="99">
        <v>-43.7</v>
      </c>
      <c r="N3" s="115" t="s">
        <v>133</v>
      </c>
      <c r="O3" s="122">
        <f t="shared" si="0"/>
        <v>-5186.363636363636</v>
      </c>
      <c r="P3" s="119">
        <v>22</v>
      </c>
      <c r="Q3" s="103">
        <v>-114100</v>
      </c>
    </row>
    <row r="4" spans="1:17" x14ac:dyDescent="0.4">
      <c r="A4" s="55" t="s">
        <v>6</v>
      </c>
      <c r="B4" s="156">
        <v>-264.39999999999998</v>
      </c>
      <c r="C4" s="157"/>
      <c r="E4" s="63" t="s">
        <v>67</v>
      </c>
      <c r="F4" s="60" t="s">
        <v>23</v>
      </c>
      <c r="G4" s="47">
        <v>41</v>
      </c>
      <c r="H4" s="133">
        <f>IF(B$17=0,0,G4/B$17)</f>
        <v>0.89130434782608692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-300</v>
      </c>
      <c r="P4" s="119">
        <v>18</v>
      </c>
      <c r="Q4" s="103">
        <v>-5400</v>
      </c>
    </row>
    <row r="5" spans="1:17" x14ac:dyDescent="0.4">
      <c r="A5" s="55" t="s">
        <v>7</v>
      </c>
      <c r="B5" s="158">
        <f>IF(B$2=0,0,B$4/B$2)</f>
        <v>-12.018181818181818</v>
      </c>
      <c r="C5" s="159"/>
      <c r="E5" s="63" t="s">
        <v>68</v>
      </c>
      <c r="F5" s="60" t="s">
        <v>24</v>
      </c>
      <c r="G5" s="47">
        <v>11</v>
      </c>
      <c r="H5" s="133">
        <f>IF(B$17=0,0,G5/B$17)</f>
        <v>0.2391304347826087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-3383.3333333333335</v>
      </c>
      <c r="P5" s="119">
        <v>18</v>
      </c>
      <c r="Q5" s="103">
        <v>-60900</v>
      </c>
    </row>
    <row r="6" spans="1:17" x14ac:dyDescent="0.4">
      <c r="A6" s="55" t="s">
        <v>1</v>
      </c>
      <c r="B6" s="148">
        <f>IF(B$2=0,0,(B$7*1+B$8*2+B$9*3)/B$2)</f>
        <v>2.1818181818181817</v>
      </c>
      <c r="C6" s="149"/>
      <c r="E6" s="63" t="s">
        <v>69</v>
      </c>
      <c r="F6" s="60" t="s">
        <v>12</v>
      </c>
      <c r="G6" s="47">
        <v>14</v>
      </c>
      <c r="H6" s="133">
        <f>IF(B$17=0,0,G6/B$17)</f>
        <v>0.30434782608695654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8</v>
      </c>
      <c r="C7" s="39">
        <f>IF(B$2=0,0,B7/B$2)</f>
        <v>0.36363636363636365</v>
      </c>
      <c r="E7" s="63" t="s">
        <v>70</v>
      </c>
      <c r="F7" s="60" t="s">
        <v>25</v>
      </c>
      <c r="G7" s="47">
        <v>8</v>
      </c>
      <c r="H7" s="133">
        <f>IF(B$17=0,0,G7/B$17)</f>
        <v>0.17391304347826086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9.0909090909090912E-2</v>
      </c>
      <c r="E8" s="63" t="s">
        <v>71</v>
      </c>
      <c r="F8" s="60" t="s">
        <v>26</v>
      </c>
      <c r="G8" s="47">
        <v>8</v>
      </c>
      <c r="H8" s="133">
        <f>IF(B$17=0,0,G8/B$17)</f>
        <v>0.17391304347826086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0.54545454545454541</v>
      </c>
      <c r="E9" s="63" t="s">
        <v>72</v>
      </c>
      <c r="F9" s="60" t="s">
        <v>27</v>
      </c>
      <c r="G9" s="47">
        <v>3</v>
      </c>
      <c r="H9" s="133">
        <f>IF(B$17=0,0,G9/B$17)</f>
        <v>6.5217391304347824E-2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0.31818181818181818</v>
      </c>
      <c r="E10" s="63" t="s">
        <v>73</v>
      </c>
      <c r="F10" s="60" t="s">
        <v>28</v>
      </c>
      <c r="G10" s="47">
        <v>27</v>
      </c>
      <c r="H10" s="133">
        <f>IF(B$17=0,0,G10/B$17)</f>
        <v>0.58695652173913049</v>
      </c>
      <c r="I10" s="94">
        <v>4</v>
      </c>
      <c r="K10" s="38">
        <v>8</v>
      </c>
      <c r="L10" s="99">
        <v>-170.5</v>
      </c>
      <c r="N10" s="114" t="s">
        <v>164</v>
      </c>
      <c r="O10" s="124">
        <f>IF(P10=0,0,Q10/P10)</f>
        <v>-10.224999999999998</v>
      </c>
      <c r="P10" s="118">
        <v>8</v>
      </c>
      <c r="Q10" s="106">
        <v>-81.799999999999983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1</v>
      </c>
      <c r="H11" s="133">
        <f>IF(B$17=0,0,G11/B$17)</f>
        <v>2.1739130434782608E-2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0.13636363636363635</v>
      </c>
      <c r="E12" s="63" t="s">
        <v>75</v>
      </c>
      <c r="F12" s="60" t="s">
        <v>30</v>
      </c>
      <c r="G12" s="47">
        <v>1</v>
      </c>
      <c r="H12" s="133">
        <f>IF(B$17=0,0,G12/B$17)</f>
        <v>2.1739130434782608E-2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-14.012499999999999</v>
      </c>
      <c r="P12" s="120">
        <v>8</v>
      </c>
      <c r="Q12" s="108">
        <v>-112.1</v>
      </c>
    </row>
    <row r="13" spans="1:17" x14ac:dyDescent="0.4">
      <c r="A13" s="58" t="s">
        <v>122</v>
      </c>
      <c r="B13" s="50">
        <v>38</v>
      </c>
      <c r="C13" s="44">
        <f>IF(B$3=0,0,B13/B$3)</f>
        <v>0.23030303030303031</v>
      </c>
      <c r="E13" s="63" t="s">
        <v>76</v>
      </c>
      <c r="F13" s="60" t="s">
        <v>31</v>
      </c>
      <c r="G13" s="47">
        <v>1</v>
      </c>
      <c r="H13" s="133">
        <f>IF(B$17=0,0,G13/B$17)</f>
        <v>2.1739130434782608E-2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0.24848484848484848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0.65789473684210531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16</v>
      </c>
      <c r="C16" s="37">
        <f>IF(B$14=0,0,B16/B$14)</f>
        <v>0.3902439024390244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0.27878787878787881</v>
      </c>
      <c r="E17" s="63" t="s">
        <v>80</v>
      </c>
      <c r="F17" s="60" t="s">
        <v>35</v>
      </c>
      <c r="G17" s="47">
        <v>2</v>
      </c>
      <c r="H17" s="133">
        <f>IF(B$17=0,0,G17/B$17)</f>
        <v>4.3478260869565216E-2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22</v>
      </c>
      <c r="C18" s="39">
        <f>IF(B$17=0,0,B18/B$17)</f>
        <v>0.47826086956521741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24</v>
      </c>
      <c r="C19" s="39">
        <f>IF(B$17=0,0,B19/B$17)</f>
        <v>0.52173913043478259</v>
      </c>
      <c r="E19" s="63" t="s">
        <v>82</v>
      </c>
      <c r="F19" s="60" t="s">
        <v>37</v>
      </c>
      <c r="G19" s="47">
        <v>1</v>
      </c>
      <c r="H19" s="133">
        <f>IF(B$17=0,0,G19/B$17)</f>
        <v>2.1739130434782608E-2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-19.033333333333331</v>
      </c>
      <c r="P19" s="119">
        <v>9</v>
      </c>
      <c r="Q19" s="107">
        <v>-171.29999999999998</v>
      </c>
    </row>
    <row r="20" spans="1:17" x14ac:dyDescent="0.4">
      <c r="A20" s="55" t="s">
        <v>13</v>
      </c>
      <c r="B20" s="47">
        <v>39</v>
      </c>
      <c r="C20" s="39">
        <f>IF(B$3=0,0,B20/B$3)</f>
        <v>0.23636363636363636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-22.991666666666671</v>
      </c>
      <c r="P20" s="119">
        <v>12</v>
      </c>
      <c r="Q20" s="107">
        <v>-275.90000000000003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0.13043478260869565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8621.7391304347821</v>
      </c>
      <c r="C23" s="41">
        <v>396600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-9879.4871794871797</v>
      </c>
      <c r="C24" s="45">
        <v>-385300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92000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0.10869565217391304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2.1739130434782608E-2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0.34782608695652173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E825-387E-4D91-9732-D96D33A2F93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200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18</v>
      </c>
      <c r="C2" s="153"/>
      <c r="E2" s="62" t="s">
        <v>65</v>
      </c>
      <c r="F2" s="59" t="s">
        <v>21</v>
      </c>
      <c r="G2" s="46">
        <v>24</v>
      </c>
      <c r="H2" s="132">
        <f>IF(B$17=0,0,G2/B$17)</f>
        <v>0.43636363636363634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-1616.6666666666667</v>
      </c>
      <c r="P2" s="118">
        <v>18</v>
      </c>
      <c r="Q2" s="102">
        <v>-29100</v>
      </c>
    </row>
    <row r="3" spans="1:17" x14ac:dyDescent="0.4">
      <c r="A3" s="55" t="s">
        <v>8</v>
      </c>
      <c r="B3" s="154">
        <v>164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7.2727272727272724E-2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2655.5555555555557</v>
      </c>
      <c r="P3" s="119">
        <v>18</v>
      </c>
      <c r="Q3" s="103">
        <v>47800</v>
      </c>
    </row>
    <row r="4" spans="1:17" x14ac:dyDescent="0.4">
      <c r="A4" s="55" t="s">
        <v>6</v>
      </c>
      <c r="B4" s="156">
        <v>45.399999999999991</v>
      </c>
      <c r="C4" s="157"/>
      <c r="E4" s="63" t="s">
        <v>67</v>
      </c>
      <c r="F4" s="60" t="s">
        <v>23</v>
      </c>
      <c r="G4" s="47">
        <v>32</v>
      </c>
      <c r="H4" s="133">
        <f>IF(B$17=0,0,G4/B$17)</f>
        <v>0.58181818181818179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-7358.8235294117649</v>
      </c>
      <c r="P4" s="119">
        <v>17</v>
      </c>
      <c r="Q4" s="103">
        <v>-125100</v>
      </c>
    </row>
    <row r="5" spans="1:17" x14ac:dyDescent="0.4">
      <c r="A5" s="55" t="s">
        <v>7</v>
      </c>
      <c r="B5" s="158">
        <f>IF(B$2=0,0,B$4/B$2)</f>
        <v>2.5222222222222217</v>
      </c>
      <c r="C5" s="159"/>
      <c r="E5" s="63" t="s">
        <v>68</v>
      </c>
      <c r="F5" s="60" t="s">
        <v>24</v>
      </c>
      <c r="G5" s="47">
        <v>15</v>
      </c>
      <c r="H5" s="133">
        <f>IF(B$17=0,0,G5/B$17)</f>
        <v>0.27272727272727271</v>
      </c>
      <c r="I5" s="94">
        <v>9</v>
      </c>
      <c r="K5" s="38">
        <v>3</v>
      </c>
      <c r="L5" s="99">
        <v>-20.400000000000002</v>
      </c>
      <c r="N5" s="115" t="s">
        <v>135</v>
      </c>
      <c r="O5" s="122">
        <f t="shared" si="0"/>
        <v>-1135.2941176470588</v>
      </c>
      <c r="P5" s="119">
        <v>17</v>
      </c>
      <c r="Q5" s="103">
        <v>-19300</v>
      </c>
    </row>
    <row r="6" spans="1:17" x14ac:dyDescent="0.4">
      <c r="A6" s="55" t="s">
        <v>1</v>
      </c>
      <c r="B6" s="148">
        <f>IF(B$2=0,0,(B$7*1+B$8*2+B$9*3)/B$2)</f>
        <v>1.8888888888888888</v>
      </c>
      <c r="C6" s="149"/>
      <c r="E6" s="63" t="s">
        <v>69</v>
      </c>
      <c r="F6" s="60" t="s">
        <v>12</v>
      </c>
      <c r="G6" s="47">
        <v>22</v>
      </c>
      <c r="H6" s="133">
        <f>IF(B$17=0,0,G6/B$17)</f>
        <v>0.4</v>
      </c>
      <c r="I6" s="94">
        <v>2</v>
      </c>
      <c r="K6" s="38">
        <v>4</v>
      </c>
      <c r="L6" s="99">
        <v>19.399999999999995</v>
      </c>
      <c r="N6" s="115" t="s">
        <v>136</v>
      </c>
      <c r="O6" s="122">
        <f t="shared" si="0"/>
        <v>10135.714285714286</v>
      </c>
      <c r="P6" s="119">
        <v>14</v>
      </c>
      <c r="Q6" s="103">
        <v>141900</v>
      </c>
    </row>
    <row r="7" spans="1:17" x14ac:dyDescent="0.4">
      <c r="A7" s="55" t="s">
        <v>2</v>
      </c>
      <c r="B7" s="47">
        <v>6</v>
      </c>
      <c r="C7" s="39">
        <f>IF(B$2=0,0,B7/B$2)</f>
        <v>0.33333333333333331</v>
      </c>
      <c r="E7" s="63" t="s">
        <v>70</v>
      </c>
      <c r="F7" s="60" t="s">
        <v>25</v>
      </c>
      <c r="G7" s="47">
        <v>9</v>
      </c>
      <c r="H7" s="133">
        <f>IF(B$17=0,0,G7/B$17)</f>
        <v>0.16363636363636364</v>
      </c>
      <c r="I7" s="94">
        <v>7</v>
      </c>
      <c r="K7" s="38">
        <v>5</v>
      </c>
      <c r="L7" s="99">
        <v>-16.100000000000005</v>
      </c>
      <c r="N7" s="116" t="s">
        <v>137</v>
      </c>
      <c r="O7" s="123">
        <f t="shared" si="0"/>
        <v>1925</v>
      </c>
      <c r="P7" s="120">
        <v>12</v>
      </c>
      <c r="Q7" s="104">
        <v>23100</v>
      </c>
    </row>
    <row r="8" spans="1:17" x14ac:dyDescent="0.4">
      <c r="A8" s="55" t="s">
        <v>3</v>
      </c>
      <c r="B8" s="47">
        <v>8</v>
      </c>
      <c r="C8" s="39">
        <f>IF(B$2=0,0,B8/B$2)</f>
        <v>0.44444444444444442</v>
      </c>
      <c r="E8" s="63" t="s">
        <v>71</v>
      </c>
      <c r="F8" s="60" t="s">
        <v>26</v>
      </c>
      <c r="G8" s="47">
        <v>1</v>
      </c>
      <c r="H8" s="133">
        <f>IF(B$17=0,0,G8/B$17)</f>
        <v>1.8181818181818181E-2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0.22222222222222221</v>
      </c>
      <c r="E9" s="63" t="s">
        <v>72</v>
      </c>
      <c r="F9" s="60" t="s">
        <v>27</v>
      </c>
      <c r="G9" s="47">
        <v>1</v>
      </c>
      <c r="H9" s="133">
        <f>IF(B$17=0,0,G9/B$17)</f>
        <v>1.8181818181818181E-2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0.16666666666666666</v>
      </c>
      <c r="E10" s="63" t="s">
        <v>73</v>
      </c>
      <c r="F10" s="60" t="s">
        <v>28</v>
      </c>
      <c r="G10" s="47">
        <v>41</v>
      </c>
      <c r="H10" s="133">
        <f>IF(B$17=0,0,G10/B$17)</f>
        <v>0.74545454545454548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15.639999999999997</v>
      </c>
      <c r="P11" s="119">
        <v>5</v>
      </c>
      <c r="Q11" s="107">
        <v>78.199999999999989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3.9142857142857141</v>
      </c>
      <c r="P12" s="120">
        <v>7</v>
      </c>
      <c r="Q12" s="108">
        <v>27.4</v>
      </c>
    </row>
    <row r="13" spans="1:17" x14ac:dyDescent="0.4">
      <c r="A13" s="58" t="s">
        <v>122</v>
      </c>
      <c r="B13" s="50">
        <v>38</v>
      </c>
      <c r="C13" s="44">
        <f>IF(B$3=0,0,B13/B$3)</f>
        <v>0.23170731707317074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52</v>
      </c>
      <c r="C14" s="39">
        <f>IF(B$3=0,0,B14/B$3)</f>
        <v>0.31707317073170732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24</v>
      </c>
      <c r="C15" s="37">
        <f>IF(B$13=0,0,B15/B$13)</f>
        <v>0.63157894736842102</v>
      </c>
      <c r="E15" s="63" t="s">
        <v>78</v>
      </c>
      <c r="F15" s="60" t="s">
        <v>33</v>
      </c>
      <c r="G15" s="47">
        <v>3</v>
      </c>
      <c r="H15" s="133">
        <f>IF(B$17=0,0,G15/B$17)</f>
        <v>5.4545454545454543E-2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2">IF(P15=0,0,Q15/P15)</f>
        <v>65.550000000000011</v>
      </c>
      <c r="P15" s="118">
        <v>2</v>
      </c>
      <c r="Q15" s="106">
        <v>131.10000000000002</v>
      </c>
    </row>
    <row r="16" spans="1:17" x14ac:dyDescent="0.4">
      <c r="A16" s="54" t="s">
        <v>125</v>
      </c>
      <c r="B16" s="46">
        <v>22</v>
      </c>
      <c r="C16" s="37">
        <f>IF(B$14=0,0,B16/B$14)</f>
        <v>0.42307692307692307</v>
      </c>
      <c r="E16" s="63" t="s">
        <v>79</v>
      </c>
      <c r="F16" s="60" t="s">
        <v>34</v>
      </c>
      <c r="G16" s="47">
        <v>4</v>
      </c>
      <c r="H16" s="133">
        <f>IF(B$17=0,0,G16/B$17)</f>
        <v>7.2727272727272724E-2</v>
      </c>
      <c r="I16" s="94">
        <v>2</v>
      </c>
      <c r="K16" s="38">
        <v>14</v>
      </c>
      <c r="L16" s="99">
        <v>114.99999999999999</v>
      </c>
      <c r="N16" s="115" t="s">
        <v>172</v>
      </c>
      <c r="O16" s="125">
        <f t="shared" si="2"/>
        <v>16.62857142857143</v>
      </c>
      <c r="P16" s="119">
        <v>7</v>
      </c>
      <c r="Q16" s="107">
        <v>116.4</v>
      </c>
    </row>
    <row r="17" spans="1:17" x14ac:dyDescent="0.4">
      <c r="A17" s="54" t="s">
        <v>10</v>
      </c>
      <c r="B17" s="46">
        <f>B19+B18</f>
        <v>55</v>
      </c>
      <c r="C17" s="37">
        <f>IF(B$3=0,0,B17/B$3)</f>
        <v>0.33536585365853661</v>
      </c>
      <c r="E17" s="63" t="s">
        <v>80</v>
      </c>
      <c r="F17" s="60" t="s">
        <v>35</v>
      </c>
      <c r="G17" s="47">
        <v>1</v>
      </c>
      <c r="H17" s="133">
        <f>IF(B$17=0,0,G17/B$17)</f>
        <v>1.8181818181818181E-2</v>
      </c>
      <c r="I17" s="94">
        <v>4</v>
      </c>
      <c r="K17" s="38">
        <v>15</v>
      </c>
      <c r="L17" s="99">
        <v>157.69999999999999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33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171</v>
      </c>
      <c r="O18" s="125">
        <f t="shared" si="2"/>
        <v>12.75</v>
      </c>
      <c r="P18" s="119">
        <v>6</v>
      </c>
      <c r="Q18" s="107">
        <v>76.5</v>
      </c>
    </row>
    <row r="19" spans="1:17" x14ac:dyDescent="0.4">
      <c r="A19" s="55" t="s">
        <v>11</v>
      </c>
      <c r="B19" s="47">
        <v>22</v>
      </c>
      <c r="C19" s="39">
        <f>IF(B$17=0,0,B19/B$17)</f>
        <v>0.4</v>
      </c>
      <c r="E19" s="63" t="s">
        <v>82</v>
      </c>
      <c r="F19" s="60" t="s">
        <v>37</v>
      </c>
      <c r="G19" s="47">
        <v>1</v>
      </c>
      <c r="H19" s="133">
        <f>IF(B$17=0,0,G19/B$17)</f>
        <v>1.8181818181818181E-2</v>
      </c>
      <c r="I19" s="94">
        <v>10</v>
      </c>
      <c r="K19" s="38">
        <v>17</v>
      </c>
      <c r="L19" s="99">
        <v>112.39999999999999</v>
      </c>
      <c r="N19" s="115" t="s">
        <v>128</v>
      </c>
      <c r="O19" s="125">
        <f t="shared" si="2"/>
        <v>5.5000000000000018</v>
      </c>
      <c r="P19" s="119">
        <v>2</v>
      </c>
      <c r="Q19" s="107">
        <v>11.000000000000004</v>
      </c>
    </row>
    <row r="20" spans="1:17" x14ac:dyDescent="0.4">
      <c r="A20" s="55" t="s">
        <v>13</v>
      </c>
      <c r="B20" s="47">
        <v>28</v>
      </c>
      <c r="C20" s="39">
        <f>IF(B$3=0,0,B20/B$3)</f>
        <v>0.17073170731707318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177</v>
      </c>
      <c r="O20" s="125">
        <f t="shared" si="2"/>
        <v>0.90000000000000258</v>
      </c>
      <c r="P20" s="119">
        <v>9</v>
      </c>
      <c r="Q20" s="107">
        <v>8.1000000000000227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5.4545454545454543E-2</v>
      </c>
      <c r="I21" s="94">
        <v>4</v>
      </c>
      <c r="N21" s="115" t="s">
        <v>271</v>
      </c>
      <c r="O21" s="125">
        <f t="shared" si="2"/>
        <v>-8.2999999999999989</v>
      </c>
      <c r="P21" s="119">
        <v>2</v>
      </c>
      <c r="Q21" s="107">
        <v>-16.599999999999998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N22" s="115" t="s">
        <v>129</v>
      </c>
      <c r="O22" s="125">
        <f t="shared" si="2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8063.636363636364</v>
      </c>
      <c r="C23" s="41">
        <v>443500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-8367.8571428571431</v>
      </c>
      <c r="C24" s="45">
        <v>-234300</v>
      </c>
      <c r="E24" s="63" t="s">
        <v>87</v>
      </c>
      <c r="F24" s="60" t="s">
        <v>42</v>
      </c>
      <c r="G24" s="47">
        <v>5</v>
      </c>
      <c r="H24" s="133">
        <f>IF(B$17=0,0,G24/B$17)</f>
        <v>9.0909090909090912E-2</v>
      </c>
      <c r="I24" s="94">
        <v>2</v>
      </c>
    </row>
    <row r="25" spans="1:17" x14ac:dyDescent="0.4">
      <c r="A25" s="90" t="s">
        <v>142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106300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1.2195121951219513E-2</v>
      </c>
      <c r="E27" s="63" t="s">
        <v>90</v>
      </c>
      <c r="F27" s="60" t="s">
        <v>45</v>
      </c>
      <c r="G27" s="47">
        <v>8</v>
      </c>
      <c r="H27" s="133">
        <f>IF(B$17=0,0,G27/B$17)</f>
        <v>0.14545454545454545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0.29090909090909089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1E61-D65E-46D6-9E37-E176A95FFC7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</v>
      </c>
      <c r="C2" s="153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4">
        <v>13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6">
        <v>13.3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8">
        <f>IF(B$2=0,0,B$4/B$2)</f>
        <v>13.3</v>
      </c>
      <c r="C5" s="159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6">
        <v>5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4">
        <v>48300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1473-78D5-4742-8C73-2D2C0B035FF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6</v>
      </c>
      <c r="C2" s="153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4">
        <v>46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10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6">
        <v>100.39999999999999</v>
      </c>
      <c r="C4" s="157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8">
        <f>IF(B$2=0,0,B$4/B$2)</f>
        <v>16.733333333333331</v>
      </c>
      <c r="C5" s="159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8">
        <f>IF(B$2=0,0,(B$7*1+B$8*2+B$9*3)/B$2)</f>
        <v>1.8333333333333333</v>
      </c>
      <c r="C6" s="149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6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11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3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92100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367D9-FDC7-4E79-86D6-948490AF2FB6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271</v>
      </c>
      <c r="C1" s="151"/>
      <c r="E1" s="129" t="s">
        <v>167</v>
      </c>
      <c r="F1" s="143" t="s">
        <v>116</v>
      </c>
      <c r="G1" s="142" t="s">
        <v>117</v>
      </c>
      <c r="H1" s="130" t="s">
        <v>118</v>
      </c>
      <c r="I1" s="143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5</v>
      </c>
      <c r="C2" s="153"/>
      <c r="E2" s="62" t="s">
        <v>65</v>
      </c>
      <c r="F2" s="59" t="s">
        <v>21</v>
      </c>
      <c r="G2" s="46">
        <v>5</v>
      </c>
      <c r="H2" s="132">
        <f>IF(B$17=0,0,G2/B$17)</f>
        <v>0.45454545454545453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-5260</v>
      </c>
      <c r="P2" s="118">
        <v>5</v>
      </c>
      <c r="Q2" s="102">
        <v>-26300</v>
      </c>
    </row>
    <row r="3" spans="1:17" x14ac:dyDescent="0.4">
      <c r="A3" s="55" t="s">
        <v>8</v>
      </c>
      <c r="B3" s="154">
        <v>45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-3400</v>
      </c>
      <c r="P3" s="119">
        <v>5</v>
      </c>
      <c r="Q3" s="103">
        <v>-17000</v>
      </c>
    </row>
    <row r="4" spans="1:17" x14ac:dyDescent="0.4">
      <c r="A4" s="55" t="s">
        <v>6</v>
      </c>
      <c r="B4" s="156">
        <v>-152</v>
      </c>
      <c r="C4" s="157"/>
      <c r="E4" s="63" t="s">
        <v>67</v>
      </c>
      <c r="F4" s="60" t="s">
        <v>23</v>
      </c>
      <c r="G4" s="47">
        <v>6</v>
      </c>
      <c r="H4" s="133">
        <f>IF(B$17=0,0,G4/B$17)</f>
        <v>0.54545454545454541</v>
      </c>
      <c r="I4" s="94">
        <v>14</v>
      </c>
      <c r="K4" s="38">
        <v>2</v>
      </c>
      <c r="L4" s="99">
        <v>-96.5</v>
      </c>
      <c r="N4" s="115" t="s">
        <v>134</v>
      </c>
      <c r="O4" s="122">
        <f t="shared" si="0"/>
        <v>150</v>
      </c>
      <c r="P4" s="119">
        <v>4</v>
      </c>
      <c r="Q4" s="103">
        <v>600</v>
      </c>
    </row>
    <row r="5" spans="1:17" x14ac:dyDescent="0.4">
      <c r="A5" s="55" t="s">
        <v>7</v>
      </c>
      <c r="B5" s="158">
        <f>IF(B$2=0,0,B$4/B$2)</f>
        <v>-30.4</v>
      </c>
      <c r="C5" s="159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5000</v>
      </c>
      <c r="P5" s="119">
        <v>4</v>
      </c>
      <c r="Q5" s="103">
        <v>20000</v>
      </c>
    </row>
    <row r="6" spans="1:17" x14ac:dyDescent="0.4">
      <c r="A6" s="55" t="s">
        <v>1</v>
      </c>
      <c r="B6" s="148">
        <f>IF(B$2=0,0,(B$7*1+B$8*2+B$9*3)/B$2)</f>
        <v>2.6</v>
      </c>
      <c r="C6" s="149"/>
      <c r="E6" s="63" t="s">
        <v>69</v>
      </c>
      <c r="F6" s="60" t="s">
        <v>12</v>
      </c>
      <c r="G6" s="47">
        <v>3</v>
      </c>
      <c r="H6" s="133">
        <f>IF(B$17=0,0,G6/B$17)</f>
        <v>0.27272727272727271</v>
      </c>
      <c r="I6" s="94">
        <v>12</v>
      </c>
      <c r="K6" s="38">
        <v>4</v>
      </c>
      <c r="L6" s="99">
        <v>-134.1</v>
      </c>
      <c r="N6" s="115" t="s">
        <v>136</v>
      </c>
      <c r="O6" s="122">
        <f t="shared" si="0"/>
        <v>-2700</v>
      </c>
      <c r="P6" s="119">
        <v>3</v>
      </c>
      <c r="Q6" s="103">
        <v>-8100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9.0909090909090912E-2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-5350</v>
      </c>
      <c r="P7" s="120">
        <v>2</v>
      </c>
      <c r="Q7" s="104">
        <v>-10700</v>
      </c>
    </row>
    <row r="8" spans="1:17" x14ac:dyDescent="0.4">
      <c r="A8" s="55" t="s">
        <v>3</v>
      </c>
      <c r="B8" s="47">
        <v>2</v>
      </c>
      <c r="C8" s="39">
        <f>IF(B$2=0,0,B8/B$2)</f>
        <v>0.4</v>
      </c>
      <c r="E8" s="63" t="s">
        <v>71</v>
      </c>
      <c r="F8" s="60" t="s">
        <v>26</v>
      </c>
      <c r="G8" s="47">
        <v>1</v>
      </c>
      <c r="H8" s="133">
        <f>IF(B$17=0,0,G8/B$17)</f>
        <v>9.0909090909090912E-2</v>
      </c>
      <c r="I8" s="94">
        <v>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0.6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0.2</v>
      </c>
      <c r="E10" s="63" t="s">
        <v>73</v>
      </c>
      <c r="F10" s="60" t="s">
        <v>28</v>
      </c>
      <c r="G10" s="47">
        <v>6</v>
      </c>
      <c r="H10" s="133">
        <f>IF(B$17=0,0,G10/B$17)</f>
        <v>0.54545454545454541</v>
      </c>
      <c r="I10" s="94">
        <v>7</v>
      </c>
      <c r="N10" s="114" t="s">
        <v>164</v>
      </c>
      <c r="O10" s="124">
        <f>IF(P10=0,0,Q10/P10)</f>
        <v>-14.433333333333332</v>
      </c>
      <c r="P10" s="118">
        <v>3</v>
      </c>
      <c r="Q10" s="106">
        <v>-43.3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6</v>
      </c>
      <c r="C13" s="44">
        <f>IF(B$3=0,0,B13/B$3)</f>
        <v>0.13333333333333333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</v>
      </c>
      <c r="C14" s="39">
        <f>IF(B$3=0,0,B14/B$3)</f>
        <v>0.35555555555555557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0.83333333333333337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200</v>
      </c>
      <c r="O15" s="124">
        <f>IF(P15=0,0,Q15/P15)</f>
        <v>8.2999999999999972</v>
      </c>
      <c r="P15" s="118">
        <v>2</v>
      </c>
      <c r="Q15" s="106">
        <v>16.599999999999994</v>
      </c>
    </row>
    <row r="16" spans="1:17" x14ac:dyDescent="0.4">
      <c r="A16" s="54" t="s">
        <v>125</v>
      </c>
      <c r="B16" s="46">
        <v>4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9.0909090909090912E-2</v>
      </c>
      <c r="I16" s="94">
        <v>1</v>
      </c>
      <c r="N16" s="115" t="s">
        <v>177</v>
      </c>
      <c r="O16" s="125">
        <f>IF(P16=0,0,Q16/P16)</f>
        <v>-45.800000000000004</v>
      </c>
      <c r="P16" s="119">
        <v>2</v>
      </c>
      <c r="Q16" s="107">
        <v>-91.600000000000009</v>
      </c>
    </row>
    <row r="17" spans="1:17" x14ac:dyDescent="0.4">
      <c r="A17" s="54" t="s">
        <v>10</v>
      </c>
      <c r="B17" s="46">
        <f>B19+B18</f>
        <v>11</v>
      </c>
      <c r="C17" s="37">
        <f>IF(B$3=0,0,B17/B$3)</f>
        <v>0.24444444444444444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129</v>
      </c>
      <c r="O17" s="125">
        <f>IF(P17=0,0,Q17/P17)</f>
        <v>-52.959999999999994</v>
      </c>
      <c r="P17" s="119">
        <v>5</v>
      </c>
      <c r="Q17" s="107">
        <v>-264.79999999999995</v>
      </c>
    </row>
    <row r="18" spans="1:17" x14ac:dyDescent="0.4">
      <c r="A18" s="55" t="s">
        <v>12</v>
      </c>
      <c r="B18" s="47">
        <v>4</v>
      </c>
      <c r="C18" s="39">
        <f>IF(B$17=0,0,B18/B$17)</f>
        <v>0.36363636363636365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-116.19999999999999</v>
      </c>
      <c r="P18" s="119">
        <v>1</v>
      </c>
      <c r="Q18" s="107">
        <v>-116.19999999999999</v>
      </c>
    </row>
    <row r="19" spans="1:17" x14ac:dyDescent="0.4">
      <c r="A19" s="55" t="s">
        <v>11</v>
      </c>
      <c r="B19" s="47">
        <v>7</v>
      </c>
      <c r="C19" s="39">
        <f>IF(B$17=0,0,B19/B$17)</f>
        <v>0.63636363636363635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9</v>
      </c>
      <c r="C20" s="39">
        <f>IF(B$3=0,0,B20/B$3)</f>
        <v>0.2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6727.272727272727</v>
      </c>
      <c r="C23" s="41">
        <v>74000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-6077.7777777777774</v>
      </c>
      <c r="C24" s="45">
        <v>-54700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52800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2.2222222222222223E-2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9.0909090909090912E-2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7</v>
      </c>
      <c r="H51" s="138">
        <f>IF(B$17=0,0,G51/B$17)</f>
        <v>0.63636363636363635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0F33C-D428-4018-B0F8-79BF63CFFF1C}">
  <sheetPr codeName="Sheet33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E34E-BD6F-456E-B520-7F920AB111D7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41A-1CA4-41BE-B6B9-39311508083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9C7D-8208-4643-A876-27ACF1431A69}">
  <sheetPr codeName="Sheet26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5966-FCB5-4685-B78B-9FEF9652A87B}">
  <sheetPr codeName="Sheet24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E37-BAF4-420F-9EDE-807A3DD8FDC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1577-4297-4953-ACC7-E0B56DF710BE}">
  <sheetPr codeName="Sheet20"/>
  <dimension ref="A1:Q8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2A9-E1B5-4EE0-9BE6-BF256DBEB4BB}">
  <sheetPr codeName="Sheet18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CEF1-21A6-400A-A518-6F7443C12492}">
  <sheetPr codeName="Sheet16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D60C-1DF6-42A7-98C3-66917293191F}">
  <sheetPr codeName="Sheet14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CA12-830C-4BD8-9B6F-A44D921E18D5}">
  <sheetPr codeName="Sheet12"/>
  <dimension ref="A1:Q1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01B-7214-4720-A6B0-6935F5C0CCDB}">
  <sheetPr codeName="Sheet10"/>
  <dimension ref="A1:Q1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C82A-ED2E-4B31-B847-95951A37F7C4}">
  <sheetPr codeName="Sheet8"/>
  <dimension ref="A1:Q17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C765-06AF-4584-8E24-4A1CC52BE787}">
  <sheetPr codeName="Sheet6"/>
  <dimension ref="A1:Q27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1.4210854715202004E-14</v>
      </c>
      <c r="C250" s="66">
        <v>1.9177941585967616E-17</v>
      </c>
      <c r="D250" s="71">
        <v>2</v>
      </c>
      <c r="E250" s="67">
        <v>0.33333333333333331</v>
      </c>
      <c r="F250" s="67">
        <v>0.33333333333333331</v>
      </c>
      <c r="G250" s="67">
        <v>0.29848558866634101</v>
      </c>
      <c r="H250" s="67">
        <v>0.16658524670249145</v>
      </c>
      <c r="I250" s="68">
        <v>8757.6104746317505</v>
      </c>
      <c r="J250" s="68">
        <v>-8290.6158357771255</v>
      </c>
      <c r="K250" s="67">
        <v>0.12415654520917679</v>
      </c>
      <c r="L250" s="67">
        <v>0.12415654520917679</v>
      </c>
      <c r="M250" s="67">
        <v>0.27796775769418663</v>
      </c>
      <c r="N250" s="67">
        <v>0.20990066764370624</v>
      </c>
      <c r="O250" s="67">
        <v>0.57644991212653773</v>
      </c>
      <c r="P250" s="67">
        <v>0.39487975174553919</v>
      </c>
      <c r="Q250" s="67">
        <v>0.43480632842334971</v>
      </c>
    </row>
    <row r="251" spans="1:17" x14ac:dyDescent="0.4">
      <c r="A251" s="69">
        <v>248</v>
      </c>
      <c r="B251" s="66">
        <v>1.4210854715202004E-14</v>
      </c>
      <c r="C251" s="66">
        <v>1.9100611176346781E-17</v>
      </c>
      <c r="D251" s="71">
        <v>2</v>
      </c>
      <c r="E251" s="67">
        <v>0.33333333333333331</v>
      </c>
      <c r="F251" s="67">
        <v>0.33333333333333331</v>
      </c>
      <c r="G251" s="67">
        <v>0.29871607346010076</v>
      </c>
      <c r="H251" s="67">
        <v>0.16658540549325532</v>
      </c>
      <c r="I251" s="68">
        <v>8770.6202393906424</v>
      </c>
      <c r="J251" s="68">
        <v>-8320.9756097560967</v>
      </c>
      <c r="K251" s="67">
        <v>0.125</v>
      </c>
      <c r="L251" s="67">
        <v>0.125</v>
      </c>
      <c r="M251" s="67">
        <v>0.27775069071997399</v>
      </c>
      <c r="N251" s="67">
        <v>0.21014139444173574</v>
      </c>
      <c r="O251" s="67">
        <v>0.5769455822118198</v>
      </c>
      <c r="P251" s="67">
        <v>0.39520494972931169</v>
      </c>
      <c r="Q251" s="67">
        <v>0.43471164309031557</v>
      </c>
    </row>
    <row r="252" spans="1:17" x14ac:dyDescent="0.4">
      <c r="A252" s="69">
        <v>249</v>
      </c>
      <c r="B252" s="66">
        <v>7.1054273576010019E-15</v>
      </c>
      <c r="C252" s="66">
        <v>9.5119509472570302E-18</v>
      </c>
      <c r="D252" s="71">
        <v>2</v>
      </c>
      <c r="E252" s="67">
        <v>0.33333333333333331</v>
      </c>
      <c r="F252" s="67">
        <v>0.33333333333333331</v>
      </c>
      <c r="G252" s="67">
        <v>0.29904577066149118</v>
      </c>
      <c r="H252" s="67">
        <v>0.16658579977357271</v>
      </c>
      <c r="I252" s="68">
        <v>8777.7176852352623</v>
      </c>
      <c r="J252" s="68">
        <v>-8324.7572815533986</v>
      </c>
      <c r="K252" s="67">
        <v>0.12583668005354753</v>
      </c>
      <c r="L252" s="67">
        <v>0.12583668005354753</v>
      </c>
      <c r="M252" s="67">
        <v>0.27769691088468379</v>
      </c>
      <c r="N252" s="67">
        <v>0.21106259097525473</v>
      </c>
      <c r="O252" s="67">
        <v>0.57775189283634243</v>
      </c>
      <c r="P252" s="67">
        <v>0.39386973180076629</v>
      </c>
      <c r="Q252" s="67">
        <v>0.43482963764196864</v>
      </c>
    </row>
    <row r="253" spans="1:17" x14ac:dyDescent="0.4">
      <c r="A253" s="69">
        <v>250</v>
      </c>
      <c r="B253" s="66">
        <v>7.1054273576010019E-15</v>
      </c>
      <c r="C253" s="66">
        <v>9.4739031434680022E-18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0</v>
      </c>
      <c r="C254" s="66">
        <v>0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7.1054273576010019E-15</v>
      </c>
      <c r="C255" s="66">
        <v>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8.8817841970012523E-15</v>
      </c>
      <c r="C256" s="66">
        <v>1.1701955463769766E-17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1.2878587085651816E-14</v>
      </c>
      <c r="C257" s="66">
        <v>1.6901032920802908E-17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1.2878587085651816E-14</v>
      </c>
      <c r="C258" s="66">
        <v>1.683475436032917E-17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1.2434497875801753E-14</v>
      </c>
      <c r="C259" s="66">
        <v>1.6190752442450201E-17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1.4210854715202004E-14</v>
      </c>
      <c r="C260" s="66">
        <v>1.8431718177953311E-17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2.1316282072803006E-14</v>
      </c>
      <c r="C261" s="66">
        <v>2.7540416114732565E-17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2.1316282072803006E-14</v>
      </c>
      <c r="C262" s="66">
        <v>2.7434082461779931E-17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1.4210854715202004E-14</v>
      </c>
      <c r="C263" s="66">
        <v>1.8219044506669236E-17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2.1316282072803006E-14</v>
      </c>
      <c r="C264" s="66">
        <v>2.7223859607666672E-17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2.8421709430404007E-14</v>
      </c>
      <c r="C265" s="66">
        <v>3.6159935662091615E-17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2.8421709430404007E-14</v>
      </c>
      <c r="C266" s="66">
        <v>3.6022445412425863E-17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2.8421709430404007E-14</v>
      </c>
      <c r="C267" s="66">
        <v>3.5885996755560618E-17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2.8421709430404007E-14</v>
      </c>
      <c r="C268" s="66">
        <v>3.5750577899879253E-17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2.8421709430404007E-14</v>
      </c>
      <c r="C269" s="66">
        <v>3.5616177231082714E-17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2.8421709430404007E-14</v>
      </c>
      <c r="C270" s="66">
        <v>3.5482783308868924E-17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2019-07-07T15:18:34Z</dcterms:modified>
</cp:coreProperties>
</file>