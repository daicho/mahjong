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4807A8CC-68A1-4BCA-8E87-1FEA31A745E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やがさき2" sheetId="5530" state="hidden" r:id="rId19"/>
    <sheet name="かわたつ2" sheetId="5528" state="hidden" r:id="rId20"/>
    <sheet name="ほたに2" sheetId="5526" state="hidden" r:id="rId21"/>
    <sheet name="いっしー2" sheetId="5524" state="hidden" r:id="rId22"/>
    <sheet name="あさひ2" sheetId="5522" state="hidden" r:id="rId23"/>
    <sheet name="まっつん2" sheetId="5520" state="hidden" r:id="rId24"/>
    <sheet name="ぱぱ2" sheetId="5518" state="hidden" r:id="rId25"/>
    <sheet name="たかの2" sheetId="5516" state="hidden" r:id="rId26"/>
    <sheet name="れんたろう2" sheetId="5514" state="hidden" r:id="rId27"/>
    <sheet name="ただ2" sheetId="5512" state="hidden" r:id="rId28"/>
    <sheet name="りくと2" sheetId="5510" state="hidden" r:id="rId29"/>
    <sheet name="だいち2" sheetId="5508" state="hidden" r:id="rId30"/>
    <sheet name="全体2" sheetId="550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517" l="1"/>
  <c r="O15" i="5523"/>
  <c r="O25" i="5507" l="1"/>
  <c r="O15" i="5529"/>
  <c r="O15" i="5511" l="1"/>
  <c r="O15" i="5515"/>
  <c r="O16" i="5505"/>
  <c r="O17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7" i="5515" l="1"/>
  <c r="O18" i="5523"/>
  <c r="O20" i="5525" l="1"/>
  <c r="O19" i="5525"/>
  <c r="O21" i="5519"/>
  <c r="O20" i="5509"/>
  <c r="O24" i="5507" l="1"/>
  <c r="O18" i="5525"/>
  <c r="O21" i="5517"/>
  <c r="O15" i="5525"/>
  <c r="O16" i="5525" l="1"/>
  <c r="O17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2" i="5515"/>
  <c r="O23" i="5505"/>
  <c r="H20" i="5525" l="1"/>
  <c r="H16" i="5525"/>
  <c r="H12" i="5525"/>
  <c r="H2" i="5525"/>
  <c r="H6" i="5525"/>
  <c r="C17" i="5525"/>
  <c r="H4" i="5525"/>
  <c r="H3" i="5525"/>
  <c r="H9" i="5525"/>
  <c r="H13" i="5525"/>
  <c r="H22" i="5525"/>
  <c r="H24" i="5525"/>
  <c r="H26" i="5525"/>
  <c r="H28" i="5525"/>
  <c r="H30" i="5525"/>
  <c r="H34" i="5525"/>
  <c r="H38" i="5525"/>
  <c r="H42" i="5525"/>
  <c r="H46" i="5525"/>
  <c r="H50" i="5525"/>
  <c r="C19" i="5525"/>
  <c r="H15" i="5525"/>
  <c r="H31" i="5525"/>
  <c r="H35" i="5525"/>
  <c r="H39" i="5525"/>
  <c r="H43" i="5525"/>
  <c r="H47" i="5525"/>
  <c r="H51" i="5525"/>
  <c r="H5" i="5525"/>
  <c r="H17" i="5525"/>
  <c r="H19" i="5525"/>
  <c r="H14" i="5525"/>
  <c r="H23" i="5525"/>
  <c r="H25" i="5525"/>
  <c r="H10" i="5525"/>
  <c r="H8" i="5525"/>
  <c r="H32" i="5525"/>
  <c r="H36" i="5525"/>
  <c r="H40" i="5525"/>
  <c r="H44" i="5525"/>
  <c r="H48" i="5525"/>
  <c r="H7" i="5525"/>
  <c r="H18" i="5525"/>
  <c r="H21" i="5525"/>
  <c r="H11" i="5525"/>
  <c r="C18" i="5525"/>
  <c r="B23" i="5525"/>
  <c r="H27" i="5525"/>
  <c r="H29" i="5525"/>
  <c r="H33" i="5525"/>
  <c r="H37" i="5525"/>
  <c r="H41" i="5525"/>
  <c r="H45" i="5525"/>
  <c r="H49" i="5525"/>
  <c r="O20" i="5515" l="1"/>
  <c r="O16" i="5511"/>
  <c r="O20" i="5519"/>
  <c r="O17" i="5519"/>
  <c r="O19" i="5507" l="1"/>
  <c r="O21" i="5523"/>
  <c r="O19" i="5523" l="1"/>
  <c r="O16" i="5523"/>
  <c r="O16" i="5513"/>
  <c r="O20" i="5511"/>
  <c r="O17" i="5521" l="1"/>
  <c r="O22" i="5517"/>
  <c r="O15" i="5521"/>
  <c r="O22" i="5523"/>
  <c r="O15" i="5509"/>
  <c r="O19" i="5519"/>
  <c r="O18" i="5505"/>
  <c r="O20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2" i="5519"/>
  <c r="O23" i="5519"/>
  <c r="O15" i="5507"/>
  <c r="O20" i="5507"/>
  <c r="O26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6" i="5519" l="1"/>
  <c r="O20" i="5517"/>
  <c r="O17" i="5517"/>
  <c r="O17" i="5509"/>
  <c r="O18" i="5515" l="1"/>
  <c r="O17" i="5513"/>
  <c r="O16" i="5517"/>
  <c r="O18" i="5517"/>
  <c r="O16" i="5515" l="1"/>
  <c r="O15" i="5513"/>
  <c r="O22" i="5511"/>
  <c r="O18" i="5511"/>
  <c r="O15" i="5519"/>
  <c r="O18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5" i="5519" l="1"/>
  <c r="H5" i="5519"/>
  <c r="H28" i="5519"/>
  <c r="H11" i="5519"/>
  <c r="H34" i="5519"/>
  <c r="H23" i="5519"/>
  <c r="H2" i="5519"/>
  <c r="H26" i="5519"/>
  <c r="H32" i="5519"/>
  <c r="H6" i="5519"/>
  <c r="C18" i="5519"/>
  <c r="H31" i="5519"/>
  <c r="H41" i="5519"/>
  <c r="H3" i="5519"/>
  <c r="H12" i="5519"/>
  <c r="H18" i="5519"/>
  <c r="B23" i="5519"/>
  <c r="H25" i="5519"/>
  <c r="H48" i="5519"/>
  <c r="H49" i="5519"/>
  <c r="H16" i="5519"/>
  <c r="H10" i="5519"/>
  <c r="H37" i="5519"/>
  <c r="H44" i="5519"/>
  <c r="H4" i="5519"/>
  <c r="H9" i="5519"/>
  <c r="H7" i="5519"/>
  <c r="H27" i="5519"/>
  <c r="C17" i="5519"/>
  <c r="H13" i="5519"/>
  <c r="H22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1" i="5519"/>
  <c r="C19" i="5519"/>
  <c r="H14" i="5519"/>
  <c r="H24" i="5519"/>
  <c r="H36" i="5519"/>
  <c r="H40" i="5519"/>
  <c r="H43" i="5519"/>
  <c r="H47" i="5519"/>
  <c r="O19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9" i="5515"/>
  <c r="O18" i="5509"/>
  <c r="O19" i="5509"/>
  <c r="O19" i="5513"/>
  <c r="O21" i="5515"/>
  <c r="O23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13" i="5515" l="1"/>
  <c r="H5" i="5515"/>
  <c r="H2" i="5515"/>
  <c r="H3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26" i="5515"/>
  <c r="H30" i="5515"/>
  <c r="H17" i="5515"/>
  <c r="H34" i="5515"/>
  <c r="H38" i="5515"/>
  <c r="H50" i="5515"/>
  <c r="H8" i="5515"/>
  <c r="H21" i="5515"/>
  <c r="H25" i="5515"/>
  <c r="C19" i="5515"/>
  <c r="H12" i="5515"/>
  <c r="H31" i="5515"/>
  <c r="H35" i="5515"/>
  <c r="H39" i="5515"/>
  <c r="H43" i="5515"/>
  <c r="H47" i="5515"/>
  <c r="H51" i="5515"/>
  <c r="H29" i="5515"/>
  <c r="H42" i="5515"/>
  <c r="H9" i="5515"/>
  <c r="H6" i="5515"/>
  <c r="H10" i="5515"/>
  <c r="H19" i="5515"/>
  <c r="H18" i="5515"/>
  <c r="H15" i="5515"/>
  <c r="H28" i="5515"/>
  <c r="H14" i="5515"/>
  <c r="H11" i="5515"/>
  <c r="H32" i="5515"/>
  <c r="H36" i="5515"/>
  <c r="H40" i="5515"/>
  <c r="H44" i="5515"/>
  <c r="H48" i="5515"/>
  <c r="H4" i="5515"/>
  <c r="H27" i="5515"/>
  <c r="H46" i="5515"/>
  <c r="H7" i="5515"/>
  <c r="H20" i="5515"/>
  <c r="H24" i="5515"/>
  <c r="H16" i="5515"/>
  <c r="C18" i="5515"/>
  <c r="B23" i="5515"/>
  <c r="H22" i="5515"/>
  <c r="H23" i="5515"/>
  <c r="H33" i="5515"/>
  <c r="H37" i="5515"/>
  <c r="H41" i="5515"/>
  <c r="H45" i="5515"/>
  <c r="H49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7" i="5511" l="1"/>
  <c r="O21" i="5511"/>
  <c r="C27" i="5511"/>
  <c r="B24" i="5511"/>
  <c r="C20" i="5511"/>
  <c r="B17" i="5511"/>
  <c r="H50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5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2" i="5509" l="1"/>
  <c r="H18" i="5509"/>
  <c r="H3" i="5509"/>
  <c r="H9" i="5509"/>
  <c r="H22" i="5509"/>
  <c r="H29" i="5509"/>
  <c r="H7" i="5509"/>
  <c r="H12" i="5509"/>
  <c r="H21" i="5509"/>
  <c r="C18" i="5509"/>
  <c r="H6" i="5509"/>
  <c r="H10" i="5509"/>
  <c r="H4" i="5509"/>
  <c r="C19" i="5509"/>
  <c r="H11" i="5507"/>
  <c r="H16" i="5507"/>
  <c r="H28" i="5507"/>
  <c r="H4" i="5511"/>
  <c r="H2" i="5511"/>
  <c r="H20" i="5505"/>
  <c r="H6" i="5507"/>
  <c r="H3" i="5507"/>
  <c r="H10" i="5511"/>
  <c r="H31" i="5511"/>
  <c r="H13" i="5511"/>
  <c r="C17" i="5511"/>
  <c r="B23" i="5511"/>
  <c r="H32" i="5511"/>
  <c r="H40" i="5511"/>
  <c r="H48" i="5511"/>
  <c r="H22" i="5511"/>
  <c r="H25" i="5511"/>
  <c r="H39" i="5511"/>
  <c r="H15" i="5511"/>
  <c r="H3" i="5511"/>
  <c r="H6" i="5511"/>
  <c r="H9" i="5511"/>
  <c r="H12" i="5511"/>
  <c r="H17" i="5511"/>
  <c r="H27" i="5511"/>
  <c r="H35" i="5511"/>
  <c r="H43" i="5511"/>
  <c r="H51" i="5511"/>
  <c r="H8" i="5511"/>
  <c r="C19" i="5511"/>
  <c r="H47" i="5511"/>
  <c r="H7" i="5511"/>
  <c r="H19" i="5511"/>
  <c r="H5" i="5511"/>
  <c r="H11" i="5511"/>
  <c r="H14" i="5511"/>
  <c r="H16" i="5511"/>
  <c r="C18" i="5511"/>
  <c r="H21" i="5511"/>
  <c r="H24" i="5511"/>
  <c r="H28" i="5511"/>
  <c r="H36" i="5511"/>
  <c r="H44" i="5511"/>
  <c r="H52" i="5511"/>
  <c r="H18" i="5511"/>
  <c r="H20" i="5511"/>
  <c r="H23" i="5511"/>
  <c r="H26" i="5511"/>
  <c r="H29" i="5511"/>
  <c r="H33" i="5511"/>
  <c r="H37" i="5511"/>
  <c r="H41" i="5511"/>
  <c r="H45" i="5511"/>
  <c r="H49" i="5511"/>
  <c r="H30" i="5511"/>
  <c r="H34" i="5511"/>
  <c r="H38" i="5511"/>
  <c r="H42" i="5511"/>
  <c r="H46" i="5511"/>
  <c r="H35" i="5509"/>
  <c r="B23" i="5509"/>
  <c r="H42" i="5509"/>
  <c r="H46" i="5509"/>
  <c r="H8" i="5509"/>
  <c r="H20" i="5509"/>
  <c r="H23" i="5509"/>
  <c r="C17" i="5509"/>
  <c r="H14" i="5509"/>
  <c r="H34" i="5509"/>
  <c r="H50" i="5509"/>
  <c r="H33" i="5509"/>
  <c r="H38" i="5509"/>
  <c r="H52" i="5509"/>
  <c r="H30" i="5509"/>
  <c r="H31" i="5509"/>
  <c r="H32" i="5509"/>
  <c r="H25" i="5509"/>
  <c r="H17" i="5509"/>
  <c r="H28" i="5509"/>
  <c r="H39" i="5509"/>
  <c r="H43" i="5509"/>
  <c r="H47" i="5509"/>
  <c r="H51" i="5509"/>
  <c r="H26" i="5509"/>
  <c r="H36" i="5509"/>
  <c r="H40" i="5509"/>
  <c r="H44" i="5509"/>
  <c r="H48" i="5509"/>
  <c r="H19" i="5509"/>
  <c r="H16" i="5509"/>
  <c r="H15" i="5509"/>
  <c r="H24" i="5509"/>
  <c r="H13" i="5509"/>
  <c r="H11" i="5509"/>
  <c r="H27" i="5509"/>
  <c r="H37" i="5509"/>
  <c r="H41" i="5509"/>
  <c r="H45" i="5509"/>
  <c r="H49" i="5509"/>
  <c r="H37" i="5505"/>
  <c r="H41" i="5505"/>
  <c r="H10" i="5505"/>
  <c r="H11" i="5505"/>
  <c r="H6" i="5505"/>
  <c r="H4" i="5505"/>
  <c r="H7" i="5505"/>
  <c r="H3" i="5505"/>
  <c r="H2" i="5505"/>
  <c r="H41" i="5507"/>
  <c r="H42" i="5507"/>
  <c r="H32" i="5507"/>
  <c r="H13" i="5507"/>
  <c r="H49" i="5507"/>
  <c r="H31" i="5507"/>
  <c r="H27" i="5507"/>
  <c r="H2" i="5507"/>
  <c r="H19" i="5507"/>
  <c r="B23" i="5507"/>
  <c r="H25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4" i="5507"/>
  <c r="H38" i="5507"/>
  <c r="H46" i="5507"/>
  <c r="H52" i="5507"/>
  <c r="H33" i="5507"/>
  <c r="H34" i="5507"/>
  <c r="H20" i="5507"/>
  <c r="H29" i="5507"/>
  <c r="H18" i="5507"/>
  <c r="H30" i="5507"/>
  <c r="H39" i="5507"/>
  <c r="H43" i="5507"/>
  <c r="H47" i="5507"/>
  <c r="H51" i="5507"/>
  <c r="H8" i="5507"/>
  <c r="H26" i="5507"/>
  <c r="H23" i="5507"/>
  <c r="C19" i="5507"/>
  <c r="H14" i="5507"/>
  <c r="H22" i="5507"/>
  <c r="H36" i="5507"/>
  <c r="H40" i="5507"/>
  <c r="H44" i="5507"/>
  <c r="H48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7" i="5505"/>
  <c r="H38" i="5505"/>
  <c r="H33" i="5505"/>
  <c r="H46" i="5505"/>
  <c r="H19" i="5505"/>
  <c r="C19" i="5505"/>
  <c r="H26" i="5505"/>
  <c r="H42" i="5505"/>
  <c r="H5" i="5505"/>
  <c r="H29" i="5505"/>
  <c r="H23" i="5505"/>
  <c r="H32" i="5505"/>
  <c r="H48" i="5505"/>
  <c r="H8" i="5505"/>
  <c r="H21" i="5505"/>
  <c r="H28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<sst xmlns="http://schemas.openxmlformats.org/spreadsheetml/2006/main" count="3342" uniqueCount="268">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</sst>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全体!$K$2:$K$740</c:f>
              <c:numCache>
                <c:formatCode>General</c:formatCode>
                <c:ptCount val="7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</c:numCache>
            </c:numRef>
          </c:xVal>
          <c:yVal>
            <c:numRef>
              <c:f>全体!$L$2:$L$740</c:f>
              <c:numCache>
                <c:formatCode>\+0.0;\-0.0;\±0</c:formatCode>
                <c:ptCount val="73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-17.615176151761517</c:v>
                </c:pt>
                <c:pt idx="1">
                  <c:v>-4.1493775933609962</c:v>
                </c:pt>
                <c:pt idx="2">
                  <c:v>10.416666666666666</c:v>
                </c:pt>
                <c:pt idx="3">
                  <c:v>6.4724919093851137</c:v>
                </c:pt>
                <c:pt idx="4">
                  <c:v>-18.018018018018019</c:v>
                </c:pt>
                <c:pt idx="5">
                  <c:v>30.864197530864196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1901.840490797546</c:v>
                </c:pt>
                <c:pt idx="1">
                  <c:v>2079.8742138364778</c:v>
                </c:pt>
                <c:pt idx="2">
                  <c:v>637.74834437086088</c:v>
                </c:pt>
                <c:pt idx="3">
                  <c:v>2161.1510791366904</c:v>
                </c:pt>
                <c:pt idx="4">
                  <c:v>472.35772357723579</c:v>
                </c:pt>
                <c:pt idx="5">
                  <c:v>929.24528301886789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ただ!$L$2:$L$101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-2720.2020202020203</c:v>
                </c:pt>
                <c:pt idx="1">
                  <c:v>-1739.1752577319587</c:v>
                </c:pt>
                <c:pt idx="2">
                  <c:v>-112.08791208791209</c:v>
                </c:pt>
                <c:pt idx="3">
                  <c:v>-3988.8888888888887</c:v>
                </c:pt>
                <c:pt idx="4">
                  <c:v>-605.40540540540542</c:v>
                </c:pt>
                <c:pt idx="5">
                  <c:v>-674.24242424242425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れんたろう!$L$2:$L$96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-559.57446808510633</c:v>
                </c:pt>
                <c:pt idx="1">
                  <c:v>757.60869565217388</c:v>
                </c:pt>
                <c:pt idx="2">
                  <c:v>1246.9879518072289</c:v>
                </c:pt>
                <c:pt idx="3">
                  <c:v>78.082191780821915</c:v>
                </c:pt>
                <c:pt idx="4">
                  <c:v>-1392.1875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682.35294117647061</c:v>
                </c:pt>
                <c:pt idx="1">
                  <c:v>-1221.1764705882354</c:v>
                </c:pt>
                <c:pt idx="2">
                  <c:v>-1461.8421052631579</c:v>
                </c:pt>
                <c:pt idx="3">
                  <c:v>1094.5205479452054</c:v>
                </c:pt>
                <c:pt idx="4">
                  <c:v>-41.176470588235297</c:v>
                </c:pt>
                <c:pt idx="5">
                  <c:v>-230.5084745762712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まっつん!$L$2:$L$78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1082.8947368421052</c:v>
                </c:pt>
                <c:pt idx="1">
                  <c:v>700</c:v>
                </c:pt>
                <c:pt idx="2">
                  <c:v>-265.15151515151513</c:v>
                </c:pt>
                <c:pt idx="3">
                  <c:v>1876.1904761904761</c:v>
                </c:pt>
                <c:pt idx="4">
                  <c:v>-1798.2456140350878</c:v>
                </c:pt>
                <c:pt idx="5">
                  <c:v>367.39130434782606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いっしー!$L$2:$L$22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-990</c:v>
                </c:pt>
                <c:pt idx="1">
                  <c:v>-3075</c:v>
                </c:pt>
                <c:pt idx="2">
                  <c:v>152.94117647058823</c:v>
                </c:pt>
                <c:pt idx="3">
                  <c:v>-1247.0588235294117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-181.81818181818181</c:v>
                </c:pt>
                <c:pt idx="1">
                  <c:v>1881.8181818181818</c:v>
                </c:pt>
                <c:pt idx="2">
                  <c:v>-4481.818181818182</c:v>
                </c:pt>
                <c:pt idx="3">
                  <c:v>-818.18181818181813</c:v>
                </c:pt>
                <c:pt idx="4">
                  <c:v>11366.666666666666</c:v>
                </c:pt>
                <c:pt idx="5">
                  <c:v>-250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-3250</c:v>
                </c:pt>
                <c:pt idx="1">
                  <c:v>3425</c:v>
                </c:pt>
                <c:pt idx="2">
                  <c:v>-5750</c:v>
                </c:pt>
                <c:pt idx="3">
                  <c:v>-50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ほたに2!$C$3:$C$14</c:f>
              <c:numCache>
                <c:formatCode>\+0.0;\-0.0;\±0</c:formatCode>
                <c:ptCount val="12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  <c:pt idx="8">
                  <c:v>1.1999999999999993</c:v>
                </c:pt>
                <c:pt idx="9">
                  <c:v>2.0111111111111106</c:v>
                </c:pt>
                <c:pt idx="10">
                  <c:v>10.94</c:v>
                </c:pt>
                <c:pt idx="11">
                  <c:v>9.1545454545454543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25590069810569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1.8181818181818181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ほたに2!$G$3:$G$14</c:f>
              <c:numCache>
                <c:formatCode>0.0%</c:formatCode>
                <c:ptCount val="12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  <c:pt idx="8">
                  <c:v>0.33766233766233766</c:v>
                </c:pt>
                <c:pt idx="9">
                  <c:v>0.3411764705882353</c:v>
                </c:pt>
                <c:pt idx="10">
                  <c:v>0.38297872340425532</c:v>
                </c:pt>
                <c:pt idx="11">
                  <c:v>0.38613861386138615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41736009136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ほたに2!$H$3:$H$14</c:f>
              <c:numCache>
                <c:formatCode>0.0%</c:formatCode>
                <c:ptCount val="12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  <c:pt idx="8">
                  <c:v>0.16883116883116883</c:v>
                </c:pt>
                <c:pt idx="9">
                  <c:v>0.16470588235294117</c:v>
                </c:pt>
                <c:pt idx="10">
                  <c:v>0.1702127659574468</c:v>
                </c:pt>
                <c:pt idx="11">
                  <c:v>0.17821782178217821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74824604340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ほたに2!$I$3:$I$14</c:f>
              <c:numCache>
                <c:formatCode>0</c:formatCode>
                <c:ptCount val="12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  <c:pt idx="8">
                  <c:v>6973.0769230769229</c:v>
                </c:pt>
                <c:pt idx="9">
                  <c:v>6765.5172413793107</c:v>
                </c:pt>
                <c:pt idx="10">
                  <c:v>7680.5555555555557</c:v>
                </c:pt>
                <c:pt idx="11">
                  <c:v>7551.2820512820517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0.89666484417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ほたに2!$J$3:$J$14</c:f>
              <c:numCache>
                <c:formatCode>0</c:formatCode>
                <c:ptCount val="12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  <c:pt idx="8">
                  <c:v>-6569.2307692307695</c:v>
                </c:pt>
                <c:pt idx="9">
                  <c:v>-6378.5714285714284</c:v>
                </c:pt>
                <c:pt idx="10">
                  <c:v>-6831.25</c:v>
                </c:pt>
                <c:pt idx="11">
                  <c:v>-7388.8888888888887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75.6360078277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30623306233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30623306233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ほたに2!$M$3:$M$14</c:f>
              <c:numCache>
                <c:formatCode>0.0%</c:formatCode>
                <c:ptCount val="12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  <c:pt idx="8">
                  <c:v>0.23376623376623376</c:v>
                </c:pt>
                <c:pt idx="9">
                  <c:v>0.23529411764705882</c:v>
                </c:pt>
                <c:pt idx="10">
                  <c:v>0.24468085106382978</c:v>
                </c:pt>
                <c:pt idx="11">
                  <c:v>0.22772277227722773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18567466144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ほたに2!$N$3:$N$14</c:f>
              <c:numCache>
                <c:formatCode>0.0%</c:formatCode>
                <c:ptCount val="12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  <c:pt idx="8">
                  <c:v>0.31168831168831168</c:v>
                </c:pt>
                <c:pt idx="9">
                  <c:v>0.29411764705882354</c:v>
                </c:pt>
                <c:pt idx="10">
                  <c:v>0.31914893617021278</c:v>
                </c:pt>
                <c:pt idx="11">
                  <c:v>0.34653465346534651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4958394517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ほたに2!$O$3:$O$14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  <c:pt idx="8">
                  <c:v>0.72222222222222221</c:v>
                </c:pt>
                <c:pt idx="9">
                  <c:v>0.7</c:v>
                </c:pt>
                <c:pt idx="10">
                  <c:v>0.69565217391304346</c:v>
                </c:pt>
                <c:pt idx="11">
                  <c:v>0.69565217391304346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953079178885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  <c:pt idx="8">
                  <c:v>0.5</c:v>
                </c:pt>
                <c:pt idx="9">
                  <c:v>0.48</c:v>
                </c:pt>
                <c:pt idx="10">
                  <c:v>0.53333333333333333</c:v>
                </c:pt>
                <c:pt idx="11">
                  <c:v>0.51428571428571423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85981308411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ほたに2!$Q$3:$Q$14</c:f>
              <c:numCache>
                <c:formatCode>0.0%</c:formatCode>
                <c:ptCount val="12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  <c:pt idx="8">
                  <c:v>0.57692307692307687</c:v>
                </c:pt>
                <c:pt idx="9">
                  <c:v>0.58620689655172409</c:v>
                </c:pt>
                <c:pt idx="10">
                  <c:v>0.63888888888888884</c:v>
                </c:pt>
                <c:pt idx="11">
                  <c:v>0.61538461538461542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66375068343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43608.947511574072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43606.985821759263</v>
      </c>
      <c r="C44" s="30" t="s">
        <v>130</v>
      </c>
    </row>
    <row r="45" spans="1:11" x14ac:dyDescent="0.4">
      <c r="A45" s="30" t="s">
        <v>230</v>
      </c>
      <c r="B45" s="31">
        <v>43606.954548611109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43608.947511574072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43608.947511574072</v>
      </c>
      <c r="C47" s="30" t="s">
        <v>130</v>
      </c>
    </row>
    <row r="48" spans="1:11" x14ac:dyDescent="0.4">
      <c r="A48" s="30" t="s">
        <v>235</v>
      </c>
      <c r="B48" s="31">
        <v>43608.972986111112</v>
      </c>
      <c r="C48" s="30" t="s">
        <v>130</v>
      </c>
    </row>
    <row r="49" spans="1:7" x14ac:dyDescent="0.4">
      <c r="A49" s="30" t="s">
        <v>234</v>
      </c>
      <c r="B49" s="31">
        <v>43634.974826388891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43634.974826388891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43634.974826388891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43634.974826388891</v>
      </c>
      <c r="C52" s="30" t="s">
        <v>130</v>
      </c>
    </row>
    <row r="53" spans="1:7" x14ac:dyDescent="0.4">
      <c r="A53" s="30" t="s">
        <v>239</v>
      </c>
      <c r="B53" s="31">
        <v>43634.974826388891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43634.974826388891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43634.974826388891</v>
      </c>
      <c r="C55" s="30" t="s">
        <v>130</v>
      </c>
    </row>
    <row r="56" spans="1:7" x14ac:dyDescent="0.4">
      <c r="A56" s="30" t="s">
        <v>242</v>
      </c>
      <c r="B56" s="31">
        <v>43634.974826388891</v>
      </c>
      <c r="C56" s="30" t="s">
        <v>130</v>
      </c>
    </row>
    <row r="57" spans="1:7" x14ac:dyDescent="0.4">
      <c r="A57" s="30" t="s">
        <v>243</v>
      </c>
      <c r="B57" s="31">
        <v>43634.974826388891</v>
      </c>
      <c r="C57" s="30" t="s">
        <v>130</v>
      </c>
    </row>
    <row r="58" spans="1:7" x14ac:dyDescent="0.4">
      <c r="A58" s="30" t="s">
        <v>244</v>
      </c>
      <c r="B58" s="31">
        <v>43634.974826388891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43634.974826388891</v>
      </c>
      <c r="C59" s="30" t="s">
        <v>130</v>
      </c>
    </row>
    <row r="60" spans="1:7" x14ac:dyDescent="0.4">
      <c r="A60" s="30" t="s">
        <v>250</v>
      </c>
      <c r="B60" s="31">
        <v>43634.974826388891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43634.974826388891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43634.974826388891</v>
      </c>
      <c r="C62" s="30" t="s">
        <v>130</v>
      </c>
    </row>
    <row r="63" spans="1:7" x14ac:dyDescent="0.4">
      <c r="A63" s="30" t="s">
        <v>253</v>
      </c>
      <c r="B63" s="31">
        <v>43634.974826388891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43646.05164351852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43634.97483796296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43634.97483796296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43634.97483796296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43634.97483796296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43646.05164351852</v>
      </c>
      <c r="C69" s="30" t="s">
        <v>130</v>
      </c>
    </row>
    <row r="70" spans="1:6" x14ac:dyDescent="0.4">
      <c r="A70" s="30" t="s">
        <v>260</v>
      </c>
      <c r="B70" s="31">
        <v>43646.05164351852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43646.05164351852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43646.05164351852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43646.05164351852</v>
      </c>
      <c r="C73" s="30" t="s">
        <v>130</v>
      </c>
    </row>
    <row r="74" spans="1:6" x14ac:dyDescent="0.4">
      <c r="A74" s="30" t="s">
        <v>264</v>
      </c>
      <c r="B74" s="31">
        <v>43646.05164351852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43646.05164351852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43646.05164351852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43646.046157407407</v>
      </c>
      <c r="C77" s="30" t="s">
        <v>130</v>
      </c>
      <c r="D77" s="30" t="s">
        <v>131</v>
      </c>
      <c r="E77" s="30" t="s">
        <v>169</v>
      </c>
      <c r="F77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738</v>
      </c>
    </row>
    <row r="2" spans="1:2" x14ac:dyDescent="0.4">
      <c r="A2" t="s">
        <v>127</v>
      </c>
      <c r="B2">
        <v>163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99</v>
      </c>
    </row>
    <row r="5" spans="1:2" x14ac:dyDescent="0.4">
      <c r="A5" t="s">
        <v>171</v>
      </c>
      <c r="B5">
        <v>94</v>
      </c>
    </row>
    <row r="6" spans="1:2" x14ac:dyDescent="0.4">
      <c r="A6" t="s">
        <v>172</v>
      </c>
      <c r="B6">
        <v>85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20</v>
      </c>
    </row>
    <row r="11" spans="1:2" x14ac:dyDescent="0.4">
      <c r="A11" t="s">
        <v>200</v>
      </c>
      <c r="B11">
        <v>11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0.97944740028941857</v>
      </c>
      <c r="G2" s="159"/>
      <c r="H2" s="158">
        <v>0.44671022461214399</v>
      </c>
      <c r="I2" s="159"/>
      <c r="J2" s="158">
        <v>0.86543614115017709</v>
      </c>
      <c r="K2" s="159"/>
      <c r="L2" s="158">
        <v>0.74659909798770852</v>
      </c>
      <c r="M2" s="159"/>
      <c r="N2" s="158">
        <v>0.49018250362762683</v>
      </c>
      <c r="O2" s="159"/>
      <c r="P2" s="158">
        <v>0.14850577081690272</v>
      </c>
      <c r="Q2" s="159"/>
      <c r="R2" s="158">
        <v>0.6018381203731783</v>
      </c>
      <c r="S2" s="159"/>
      <c r="T2" s="158">
        <v>0.69572144234745026</v>
      </c>
      <c r="U2" s="159"/>
      <c r="V2" s="158">
        <v>0.61312969243812343</v>
      </c>
      <c r="W2" s="159"/>
      <c r="X2" s="158">
        <v>0.26902328819778859</v>
      </c>
      <c r="Y2" s="159"/>
      <c r="Z2" s="158">
        <v>0.33595331921498217</v>
      </c>
      <c r="AA2" s="159"/>
      <c r="AB2" s="158">
        <v>0.39514224580543267</v>
      </c>
      <c r="AC2" s="159"/>
      <c r="AD2" s="158">
        <v>0.78772455325831492</v>
      </c>
      <c r="AE2" s="159"/>
      <c r="AF2" s="158">
        <v>0.17201829443942915</v>
      </c>
      <c r="AG2" s="159"/>
      <c r="AH2" s="158">
        <v>0.77784687784605644</v>
      </c>
      <c r="AI2" s="159"/>
    </row>
    <row r="3" spans="1:35" x14ac:dyDescent="0.4">
      <c r="A3" s="74">
        <v>1</v>
      </c>
      <c r="B3" s="75" t="s">
        <v>127</v>
      </c>
      <c r="C3" s="76">
        <v>1950.5000000000005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0.38613861386138615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0.17791411042944785</v>
      </c>
      <c r="X3" s="77" t="s">
        <v>127</v>
      </c>
      <c r="Y3" s="80">
        <v>0.31292008961911877</v>
      </c>
      <c r="Z3" s="77" t="s">
        <v>223</v>
      </c>
      <c r="AA3" s="80">
        <v>0.36842105263157893</v>
      </c>
      <c r="AB3" s="77" t="s">
        <v>200</v>
      </c>
      <c r="AC3" s="80">
        <v>0.69565217391304346</v>
      </c>
      <c r="AD3" s="77" t="s">
        <v>127</v>
      </c>
      <c r="AE3" s="80">
        <v>0.52127659574468088</v>
      </c>
      <c r="AF3" s="77" t="s">
        <v>223</v>
      </c>
      <c r="AG3" s="80">
        <v>0.7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198.29999999999998</v>
      </c>
      <c r="D4" s="85" t="s">
        <v>222</v>
      </c>
      <c r="E4" s="97">
        <v>13.3</v>
      </c>
      <c r="F4" s="85" t="s">
        <v>127</v>
      </c>
      <c r="G4" s="86">
        <v>1.7668711656441718</v>
      </c>
      <c r="H4" s="85" t="s">
        <v>127</v>
      </c>
      <c r="I4" s="87">
        <v>0.47239263803680981</v>
      </c>
      <c r="J4" s="85" t="s">
        <v>222</v>
      </c>
      <c r="K4" s="87">
        <v>0</v>
      </c>
      <c r="L4" s="85" t="s">
        <v>172</v>
      </c>
      <c r="M4" s="88">
        <v>0.34482758620689657</v>
      </c>
      <c r="N4" s="85" t="s">
        <v>183</v>
      </c>
      <c r="O4" s="88">
        <v>0.10526315789473684</v>
      </c>
      <c r="P4" s="85" t="s">
        <v>171</v>
      </c>
      <c r="Q4" s="89">
        <v>9930</v>
      </c>
      <c r="R4" s="85" t="s">
        <v>177</v>
      </c>
      <c r="S4" s="89">
        <v>-7155.434782608696</v>
      </c>
      <c r="T4" s="85" t="s">
        <v>183</v>
      </c>
      <c r="U4" s="87">
        <v>0</v>
      </c>
      <c r="V4" s="85" t="s">
        <v>171</v>
      </c>
      <c r="W4" s="87">
        <v>0.13829787234042554</v>
      </c>
      <c r="X4" s="85" t="s">
        <v>128</v>
      </c>
      <c r="Y4" s="88">
        <v>0.29936305732484075</v>
      </c>
      <c r="Z4" s="85" t="s">
        <v>200</v>
      </c>
      <c r="AA4" s="88">
        <v>0.34653465346534651</v>
      </c>
      <c r="AB4" s="85" t="s">
        <v>184</v>
      </c>
      <c r="AC4" s="88">
        <v>0.65789473684210531</v>
      </c>
      <c r="AD4" s="85" t="s">
        <v>200</v>
      </c>
      <c r="AE4" s="88">
        <v>0.51428571428571423</v>
      </c>
      <c r="AF4" s="85" t="s">
        <v>200</v>
      </c>
      <c r="AG4" s="88">
        <v>0.61538461538461542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100.69999999999999</v>
      </c>
      <c r="D5" s="85" t="s">
        <v>127</v>
      </c>
      <c r="E5" s="97">
        <v>11.966257668711659</v>
      </c>
      <c r="F5" s="85" t="s">
        <v>200</v>
      </c>
      <c r="G5" s="86">
        <v>1.8181818181818181</v>
      </c>
      <c r="H5" s="85" t="s">
        <v>184</v>
      </c>
      <c r="I5" s="87">
        <v>0.4</v>
      </c>
      <c r="J5" s="85" t="s">
        <v>200</v>
      </c>
      <c r="K5" s="87">
        <v>9.0909090909090912E-2</v>
      </c>
      <c r="L5" s="85" t="s">
        <v>127</v>
      </c>
      <c r="M5" s="88">
        <v>0.34055265123226286</v>
      </c>
      <c r="N5" s="85" t="s">
        <v>172</v>
      </c>
      <c r="O5" s="88">
        <v>0.13793103448275862</v>
      </c>
      <c r="P5" s="85" t="s">
        <v>127</v>
      </c>
      <c r="Q5" s="89">
        <v>9309.4298245614027</v>
      </c>
      <c r="R5" s="85" t="s">
        <v>200</v>
      </c>
      <c r="S5" s="89">
        <v>-7388.8888888888887</v>
      </c>
      <c r="T5" s="85" t="s">
        <v>222</v>
      </c>
      <c r="U5" s="87">
        <v>0</v>
      </c>
      <c r="V5" s="85" t="s">
        <v>177</v>
      </c>
      <c r="W5" s="87">
        <v>0.13157894736842105</v>
      </c>
      <c r="X5" s="85" t="s">
        <v>177</v>
      </c>
      <c r="Y5" s="88">
        <v>0.2943089430894309</v>
      </c>
      <c r="Z5" s="85" t="s">
        <v>172</v>
      </c>
      <c r="AA5" s="88">
        <v>0.29103448275862071</v>
      </c>
      <c r="AB5" s="85" t="s">
        <v>177</v>
      </c>
      <c r="AC5" s="88">
        <v>0.61878453038674031</v>
      </c>
      <c r="AD5" s="85" t="s">
        <v>183</v>
      </c>
      <c r="AE5" s="88">
        <v>0.5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200</v>
      </c>
      <c r="E6" s="97">
        <v>9.1545454545454543</v>
      </c>
      <c r="F6" s="85" t="s">
        <v>177</v>
      </c>
      <c r="G6" s="86">
        <v>1.9342105263157894</v>
      </c>
      <c r="H6" s="85" t="s">
        <v>177</v>
      </c>
      <c r="I6" s="87">
        <v>0.36842105263157893</v>
      </c>
      <c r="J6" s="85" t="s">
        <v>127</v>
      </c>
      <c r="K6" s="87">
        <v>0.2392638036809816</v>
      </c>
      <c r="L6" s="85" t="s">
        <v>145</v>
      </c>
      <c r="M6" s="88">
        <v>0.29841736009136888</v>
      </c>
      <c r="N6" s="85" t="s">
        <v>177</v>
      </c>
      <c r="O6" s="88">
        <v>0.14959349593495935</v>
      </c>
      <c r="P6" s="85" t="s">
        <v>128</v>
      </c>
      <c r="Q6" s="89">
        <v>9292.9292929292933</v>
      </c>
      <c r="R6" s="85" t="s">
        <v>128</v>
      </c>
      <c r="S6" s="89">
        <v>-7700.5263157894733</v>
      </c>
      <c r="T6" s="85" t="s">
        <v>223</v>
      </c>
      <c r="U6" s="87">
        <v>0</v>
      </c>
      <c r="V6" s="85" t="s">
        <v>145</v>
      </c>
      <c r="W6" s="87">
        <v>0.12330623306233063</v>
      </c>
      <c r="X6" s="85" t="s">
        <v>171</v>
      </c>
      <c r="Y6" s="88">
        <v>0.29396662387676509</v>
      </c>
      <c r="Z6" s="85" t="s">
        <v>173</v>
      </c>
      <c r="AA6" s="88">
        <v>0.25301204819277107</v>
      </c>
      <c r="AB6" s="85" t="s">
        <v>183</v>
      </c>
      <c r="AC6" s="88">
        <v>0.6</v>
      </c>
      <c r="AD6" s="85" t="s">
        <v>223</v>
      </c>
      <c r="AE6" s="88">
        <v>0.42857142857142855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177</v>
      </c>
      <c r="E7" s="97">
        <v>2.6092105263157892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0.30263157894736842</v>
      </c>
      <c r="L7" s="85" t="s">
        <v>173</v>
      </c>
      <c r="M7" s="88">
        <v>0.29397590361445786</v>
      </c>
      <c r="N7" s="85" t="s">
        <v>127</v>
      </c>
      <c r="O7" s="88">
        <v>0.1530993278566094</v>
      </c>
      <c r="P7" s="85" t="s">
        <v>223</v>
      </c>
      <c r="Q7" s="89">
        <v>9270</v>
      </c>
      <c r="R7" s="85" t="s">
        <v>127</v>
      </c>
      <c r="S7" s="89">
        <v>-8267.3170731707323</v>
      </c>
      <c r="T7" s="85" t="s">
        <v>172</v>
      </c>
      <c r="U7" s="87">
        <v>5.8823529411764705E-2</v>
      </c>
      <c r="V7" s="85" t="s">
        <v>172</v>
      </c>
      <c r="W7" s="87">
        <v>0.10588235294117647</v>
      </c>
      <c r="X7" s="85" t="s">
        <v>145</v>
      </c>
      <c r="Y7" s="88">
        <v>0.27818567466144556</v>
      </c>
      <c r="Z7" s="85" t="s">
        <v>184</v>
      </c>
      <c r="AA7" s="88">
        <v>0.24203821656050956</v>
      </c>
      <c r="AB7" s="85" t="s">
        <v>223</v>
      </c>
      <c r="AC7" s="88">
        <v>0.6</v>
      </c>
      <c r="AD7" s="85" t="s">
        <v>172</v>
      </c>
      <c r="AE7" s="88">
        <v>0.42654028436018959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145</v>
      </c>
      <c r="C8" s="84">
        <v>1.4210854715202004E-14</v>
      </c>
      <c r="D8" s="85" t="s">
        <v>145</v>
      </c>
      <c r="E8" s="97">
        <v>1.9255900698105696E-17</v>
      </c>
      <c r="F8" s="85" t="s">
        <v>222</v>
      </c>
      <c r="G8" s="86">
        <v>2</v>
      </c>
      <c r="H8" s="85" t="s">
        <v>171</v>
      </c>
      <c r="I8" s="87">
        <v>0.2978723404255319</v>
      </c>
      <c r="J8" s="85" t="s">
        <v>172</v>
      </c>
      <c r="K8" s="87">
        <v>0.30588235294117649</v>
      </c>
      <c r="L8" s="85" t="s">
        <v>184</v>
      </c>
      <c r="M8" s="88">
        <v>0.2929936305732484</v>
      </c>
      <c r="N8" s="85" t="s">
        <v>223</v>
      </c>
      <c r="O8" s="88">
        <v>0.15789473684210525</v>
      </c>
      <c r="P8" s="85" t="s">
        <v>177</v>
      </c>
      <c r="Q8" s="89">
        <v>8982.954545454546</v>
      </c>
      <c r="R8" s="85" t="s">
        <v>145</v>
      </c>
      <c r="S8" s="89">
        <v>-8275.6360078277885</v>
      </c>
      <c r="T8" s="85" t="s">
        <v>127</v>
      </c>
      <c r="U8" s="87">
        <v>9.202453987730061E-2</v>
      </c>
      <c r="V8" s="85" t="s">
        <v>128</v>
      </c>
      <c r="W8" s="87">
        <v>0.1044776119402985</v>
      </c>
      <c r="X8" s="85" t="s">
        <v>129</v>
      </c>
      <c r="Y8" s="88">
        <v>0.27382388419782872</v>
      </c>
      <c r="Z8" s="85" t="s">
        <v>127</v>
      </c>
      <c r="AA8" s="88">
        <v>0.210604929051531</v>
      </c>
      <c r="AB8" s="85" t="s">
        <v>173</v>
      </c>
      <c r="AC8" s="88">
        <v>0.59782608695652173</v>
      </c>
      <c r="AD8" s="85" t="s">
        <v>184</v>
      </c>
      <c r="AE8" s="88">
        <v>0.42105263157894735</v>
      </c>
      <c r="AF8" s="85" t="s">
        <v>129</v>
      </c>
      <c r="AG8" s="88">
        <v>0.44660194174757284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223</v>
      </c>
      <c r="C9" s="84">
        <v>-37.200000000000003</v>
      </c>
      <c r="D9" s="85" t="s">
        <v>171</v>
      </c>
      <c r="E9" s="97">
        <v>-0.47659574468085086</v>
      </c>
      <c r="F9" s="85" t="s">
        <v>172</v>
      </c>
      <c r="G9" s="86">
        <v>2.0470588235294116</v>
      </c>
      <c r="H9" s="85" t="s">
        <v>173</v>
      </c>
      <c r="I9" s="87">
        <v>0.29166666666666669</v>
      </c>
      <c r="J9" s="85" t="s">
        <v>145</v>
      </c>
      <c r="K9" s="87">
        <v>0.33333333333333331</v>
      </c>
      <c r="L9" s="85" t="s">
        <v>177</v>
      </c>
      <c r="M9" s="88">
        <v>0.2861788617886179</v>
      </c>
      <c r="N9" s="85" t="s">
        <v>145</v>
      </c>
      <c r="O9" s="88">
        <v>0.16674824604340022</v>
      </c>
      <c r="P9" s="85" t="s">
        <v>129</v>
      </c>
      <c r="Q9" s="89">
        <v>8741.2621359223303</v>
      </c>
      <c r="R9" s="85" t="s">
        <v>173</v>
      </c>
      <c r="S9" s="89">
        <v>-8290.9090909090901</v>
      </c>
      <c r="T9" s="85" t="s">
        <v>171</v>
      </c>
      <c r="U9" s="87">
        <v>0.11702127659574468</v>
      </c>
      <c r="V9" s="85" t="s">
        <v>129</v>
      </c>
      <c r="W9" s="87">
        <v>0.10101010101010101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0.59270516717325228</v>
      </c>
      <c r="AD9" s="85" t="s">
        <v>171</v>
      </c>
      <c r="AE9" s="88">
        <v>0.40540540540540543</v>
      </c>
      <c r="AF9" s="85" t="s">
        <v>177</v>
      </c>
      <c r="AG9" s="88">
        <v>0.4375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-44.799999999999983</v>
      </c>
      <c r="D10" s="85" t="s">
        <v>172</v>
      </c>
      <c r="E10" s="97">
        <v>-1.4270588235294122</v>
      </c>
      <c r="F10" s="85" t="s">
        <v>171</v>
      </c>
      <c r="G10" s="86">
        <v>2.0531914893617023</v>
      </c>
      <c r="H10" s="85" t="s">
        <v>129</v>
      </c>
      <c r="I10" s="87">
        <v>0.27272727272727271</v>
      </c>
      <c r="J10" s="85" t="s">
        <v>128</v>
      </c>
      <c r="K10" s="87">
        <v>0.34328358208955223</v>
      </c>
      <c r="L10" s="85" t="s">
        <v>171</v>
      </c>
      <c r="M10" s="88">
        <v>0.28241335044929394</v>
      </c>
      <c r="N10" s="85" t="s">
        <v>128</v>
      </c>
      <c r="O10" s="88">
        <v>0.17288444040036396</v>
      </c>
      <c r="P10" s="85" t="s">
        <v>145</v>
      </c>
      <c r="Q10" s="89">
        <v>8740.8966648441765</v>
      </c>
      <c r="R10" s="85" t="s">
        <v>171</v>
      </c>
      <c r="S10" s="89">
        <v>-8467.625899280576</v>
      </c>
      <c r="T10" s="85" t="s">
        <v>145</v>
      </c>
      <c r="U10" s="87">
        <v>0.12330623306233063</v>
      </c>
      <c r="V10" s="85" t="s">
        <v>184</v>
      </c>
      <c r="W10" s="87">
        <v>0.1</v>
      </c>
      <c r="X10" s="85" t="s">
        <v>184</v>
      </c>
      <c r="Y10" s="88">
        <v>0.24203821656050956</v>
      </c>
      <c r="Z10" s="85" t="s">
        <v>145</v>
      </c>
      <c r="AA10" s="88">
        <v>0.2094958394517866</v>
      </c>
      <c r="AB10" s="85" t="s">
        <v>145</v>
      </c>
      <c r="AC10" s="88">
        <v>0.57595307917888561</v>
      </c>
      <c r="AD10" s="85" t="s">
        <v>145</v>
      </c>
      <c r="AE10" s="88">
        <v>0.39485981308411217</v>
      </c>
      <c r="AF10" s="85" t="s">
        <v>145</v>
      </c>
      <c r="AG10" s="88">
        <v>0.43466375068343355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172</v>
      </c>
      <c r="C11" s="84">
        <v>-121.30000000000004</v>
      </c>
      <c r="D11" s="85" t="s">
        <v>128</v>
      </c>
      <c r="E11" s="97">
        <v>-2.5462686567164177</v>
      </c>
      <c r="F11" s="85" t="s">
        <v>128</v>
      </c>
      <c r="G11" s="86">
        <v>2.0746268656716418</v>
      </c>
      <c r="H11" s="85" t="s">
        <v>200</v>
      </c>
      <c r="I11" s="87">
        <v>0.27272727272727271</v>
      </c>
      <c r="J11" s="85" t="s">
        <v>171</v>
      </c>
      <c r="K11" s="87">
        <v>0.35106382978723405</v>
      </c>
      <c r="L11" s="85" t="s">
        <v>128</v>
      </c>
      <c r="M11" s="88">
        <v>0.27024567788899001</v>
      </c>
      <c r="N11" s="85" t="s">
        <v>200</v>
      </c>
      <c r="O11" s="88">
        <v>0.17821782178217821</v>
      </c>
      <c r="P11" s="85" t="s">
        <v>184</v>
      </c>
      <c r="Q11" s="89">
        <v>8621.7391304347821</v>
      </c>
      <c r="R11" s="85" t="s">
        <v>172</v>
      </c>
      <c r="S11" s="89">
        <v>-8632</v>
      </c>
      <c r="T11" s="85" t="s">
        <v>128</v>
      </c>
      <c r="U11" s="87">
        <v>0.13432835820895522</v>
      </c>
      <c r="V11" s="85" t="s">
        <v>200</v>
      </c>
      <c r="W11" s="87">
        <v>9.0909090909090912E-2</v>
      </c>
      <c r="X11" s="85" t="s">
        <v>222</v>
      </c>
      <c r="Y11" s="88">
        <v>0.23076923076923078</v>
      </c>
      <c r="Z11" s="85" t="s">
        <v>171</v>
      </c>
      <c r="AA11" s="88">
        <v>0.18998716302952504</v>
      </c>
      <c r="AB11" s="85" t="s">
        <v>127</v>
      </c>
      <c r="AC11" s="88">
        <v>0.57279236276849643</v>
      </c>
      <c r="AD11" s="85" t="s">
        <v>173</v>
      </c>
      <c r="AE11" s="88">
        <v>0.33333333333333331</v>
      </c>
      <c r="AF11" s="85" t="s">
        <v>128</v>
      </c>
      <c r="AG11" s="88">
        <v>0.42760942760942761</v>
      </c>
      <c r="AH11" s="85" t="s">
        <v>184</v>
      </c>
      <c r="AI11" s="92">
        <v>92000</v>
      </c>
    </row>
    <row r="12" spans="1:35" x14ac:dyDescent="0.4">
      <c r="A12" s="82">
        <v>10</v>
      </c>
      <c r="B12" s="83" t="s">
        <v>184</v>
      </c>
      <c r="C12" s="84">
        <v>-124.1</v>
      </c>
      <c r="D12" s="85" t="s">
        <v>184</v>
      </c>
      <c r="E12" s="97">
        <v>-6.2050000000000001</v>
      </c>
      <c r="F12" s="85" t="s">
        <v>184</v>
      </c>
      <c r="G12" s="86">
        <v>2.1</v>
      </c>
      <c r="H12" s="85" t="s">
        <v>128</v>
      </c>
      <c r="I12" s="87">
        <v>0.26865671641791045</v>
      </c>
      <c r="J12" s="85" t="s">
        <v>173</v>
      </c>
      <c r="K12" s="87">
        <v>0.39583333333333331</v>
      </c>
      <c r="L12" s="85" t="s">
        <v>183</v>
      </c>
      <c r="M12" s="88">
        <v>0.26315789473684209</v>
      </c>
      <c r="N12" s="85" t="s">
        <v>171</v>
      </c>
      <c r="O12" s="88">
        <v>0.17843388960205392</v>
      </c>
      <c r="P12" s="85" t="s">
        <v>183</v>
      </c>
      <c r="Q12" s="89">
        <v>7860</v>
      </c>
      <c r="R12" s="85" t="s">
        <v>184</v>
      </c>
      <c r="S12" s="89">
        <v>-8722.2222222222226</v>
      </c>
      <c r="T12" s="85" t="s">
        <v>177</v>
      </c>
      <c r="U12" s="87">
        <v>0.14473684210526316</v>
      </c>
      <c r="V12" s="85" t="s">
        <v>173</v>
      </c>
      <c r="W12" s="87">
        <v>6.25E-2</v>
      </c>
      <c r="X12" s="85" t="s">
        <v>200</v>
      </c>
      <c r="Y12" s="88">
        <v>0.22772277227722773</v>
      </c>
      <c r="Z12" s="85" t="s">
        <v>177</v>
      </c>
      <c r="AA12" s="88">
        <v>0.1821138211382114</v>
      </c>
      <c r="AB12" s="85" t="s">
        <v>171</v>
      </c>
      <c r="AC12" s="88">
        <v>0.5633187772925764</v>
      </c>
      <c r="AD12" s="85" t="s">
        <v>177</v>
      </c>
      <c r="AE12" s="88">
        <v>0.33035714285714285</v>
      </c>
      <c r="AF12" s="85" t="s">
        <v>127</v>
      </c>
      <c r="AG12" s="88">
        <v>0.41885964912280704</v>
      </c>
      <c r="AH12" s="85" t="s">
        <v>173</v>
      </c>
      <c r="AI12" s="92">
        <v>85900</v>
      </c>
    </row>
    <row r="13" spans="1:35" x14ac:dyDescent="0.4">
      <c r="A13" s="82">
        <v>11</v>
      </c>
      <c r="B13" s="83" t="s">
        <v>128</v>
      </c>
      <c r="C13" s="84">
        <v>-341.2</v>
      </c>
      <c r="D13" s="85" t="s">
        <v>173</v>
      </c>
      <c r="E13" s="97">
        <v>-8.0770833333333325</v>
      </c>
      <c r="F13" s="85" t="s">
        <v>173</v>
      </c>
      <c r="G13" s="86">
        <v>2.1041666666666665</v>
      </c>
      <c r="H13" s="85" t="s">
        <v>172</v>
      </c>
      <c r="I13" s="87">
        <v>0.25882352941176473</v>
      </c>
      <c r="J13" s="85" t="s">
        <v>129</v>
      </c>
      <c r="K13" s="87">
        <v>0.47474747474747475</v>
      </c>
      <c r="L13" s="85" t="s">
        <v>223</v>
      </c>
      <c r="M13" s="88">
        <v>0.26315789473684209</v>
      </c>
      <c r="N13" s="85" t="s">
        <v>173</v>
      </c>
      <c r="O13" s="88">
        <v>0.1855421686746988</v>
      </c>
      <c r="P13" s="85" t="s">
        <v>200</v>
      </c>
      <c r="Q13" s="89">
        <v>7551.2820512820517</v>
      </c>
      <c r="R13" s="85" t="s">
        <v>129</v>
      </c>
      <c r="S13" s="89">
        <v>-9167.3076923076915</v>
      </c>
      <c r="T13" s="85" t="s">
        <v>173</v>
      </c>
      <c r="U13" s="87">
        <v>0.14583333333333334</v>
      </c>
      <c r="V13" s="85" t="s">
        <v>183</v>
      </c>
      <c r="W13" s="87">
        <v>0</v>
      </c>
      <c r="X13" s="85" t="s">
        <v>173</v>
      </c>
      <c r="Y13" s="88">
        <v>0.22168674698795179</v>
      </c>
      <c r="Z13" s="85" t="s">
        <v>128</v>
      </c>
      <c r="AA13" s="88">
        <v>0.17561419472247497</v>
      </c>
      <c r="AB13" s="85" t="s">
        <v>172</v>
      </c>
      <c r="AC13" s="88">
        <v>0.55194805194805197</v>
      </c>
      <c r="AD13" s="85" t="s">
        <v>128</v>
      </c>
      <c r="AE13" s="88">
        <v>0.29533678756476683</v>
      </c>
      <c r="AF13" s="85" t="s">
        <v>171</v>
      </c>
      <c r="AG13" s="88">
        <v>0.40909090909090912</v>
      </c>
      <c r="AH13" s="85" t="s">
        <v>223</v>
      </c>
      <c r="AI13" s="92">
        <v>54200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223</v>
      </c>
      <c r="E14" s="97">
        <v>-9.3000000000000007</v>
      </c>
      <c r="F14" s="85" t="s">
        <v>129</v>
      </c>
      <c r="G14" s="86">
        <v>2.202020202020202</v>
      </c>
      <c r="H14" s="85" t="s">
        <v>223</v>
      </c>
      <c r="I14" s="87">
        <v>0.25</v>
      </c>
      <c r="J14" s="85" t="s">
        <v>184</v>
      </c>
      <c r="K14" s="87">
        <v>0.5</v>
      </c>
      <c r="L14" s="85" t="s">
        <v>129</v>
      </c>
      <c r="M14" s="88">
        <v>0.24849215922798554</v>
      </c>
      <c r="N14" s="85" t="s">
        <v>129</v>
      </c>
      <c r="O14" s="88">
        <v>0.1881785283474065</v>
      </c>
      <c r="P14" s="85" t="s">
        <v>173</v>
      </c>
      <c r="Q14" s="89">
        <v>6954.0983606557375</v>
      </c>
      <c r="R14" s="85" t="s">
        <v>223</v>
      </c>
      <c r="S14" s="89">
        <v>-10583.333333333334</v>
      </c>
      <c r="T14" s="85" t="s">
        <v>129</v>
      </c>
      <c r="U14" s="87">
        <v>0.19191919191919191</v>
      </c>
      <c r="V14" s="85" t="s">
        <v>222</v>
      </c>
      <c r="W14" s="87">
        <v>0</v>
      </c>
      <c r="X14" s="85" t="s">
        <v>172</v>
      </c>
      <c r="Y14" s="88">
        <v>0.21241379310344827</v>
      </c>
      <c r="Z14" s="85" t="s">
        <v>129</v>
      </c>
      <c r="AA14" s="88">
        <v>0.17008443908323281</v>
      </c>
      <c r="AB14" s="85" t="s">
        <v>129</v>
      </c>
      <c r="AC14" s="88">
        <v>0.51982378854625555</v>
      </c>
      <c r="AD14" s="85" t="s">
        <v>129</v>
      </c>
      <c r="AE14" s="88">
        <v>0.27659574468085107</v>
      </c>
      <c r="AF14" s="85" t="s">
        <v>172</v>
      </c>
      <c r="AG14" s="88">
        <v>0.40400000000000003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129</v>
      </c>
      <c r="C15" s="84">
        <v>-1267.5</v>
      </c>
      <c r="D15" s="85" t="s">
        <v>129</v>
      </c>
      <c r="E15" s="97">
        <v>-12.803030303030303</v>
      </c>
      <c r="F15" s="85" t="s">
        <v>223</v>
      </c>
      <c r="G15" s="86">
        <v>2.25</v>
      </c>
      <c r="H15" s="85" t="s">
        <v>222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184</v>
      </c>
      <c r="O15" s="88">
        <v>0.22929936305732485</v>
      </c>
      <c r="P15" s="85" t="s">
        <v>172</v>
      </c>
      <c r="Q15" s="89">
        <v>6866.4</v>
      </c>
      <c r="R15" s="85" t="s">
        <v>222</v>
      </c>
      <c r="S15" s="89">
        <v>-12000</v>
      </c>
      <c r="T15" s="85" t="s">
        <v>184</v>
      </c>
      <c r="U15" s="87">
        <v>0.25</v>
      </c>
      <c r="V15" s="85" t="s">
        <v>223</v>
      </c>
      <c r="W15" s="87">
        <v>0</v>
      </c>
      <c r="X15" s="85" t="s">
        <v>223</v>
      </c>
      <c r="Y15" s="88">
        <v>0.13157894736842105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222</v>
      </c>
      <c r="AI15" s="92">
        <v>48300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4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738</v>
      </c>
      <c r="C2" s="151"/>
      <c r="E2" s="62" t="s">
        <v>67</v>
      </c>
      <c r="F2" s="59" t="s">
        <v>23</v>
      </c>
      <c r="G2" s="46">
        <v>1334</v>
      </c>
      <c r="H2" s="132">
        <f>IF(B$17=0,0,G2/B$17)</f>
        <v>0.72936030617823944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-17.615176151761517</v>
      </c>
      <c r="P2" s="118">
        <v>738</v>
      </c>
      <c r="Q2" s="102">
        <v>-13000</v>
      </c>
    </row>
    <row r="3" spans="1:17" x14ac:dyDescent="0.4">
      <c r="A3" s="55" t="s">
        <v>8</v>
      </c>
      <c r="B3" s="152">
        <v>6129</v>
      </c>
      <c r="C3" s="153"/>
      <c r="E3" s="63" t="s">
        <v>65</v>
      </c>
      <c r="F3" s="60" t="s">
        <v>21</v>
      </c>
      <c r="G3" s="47">
        <v>937</v>
      </c>
      <c r="H3" s="133">
        <f>IF(B$17=0,0,G3/B$17)</f>
        <v>0.51230180426462546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-4.1493775933609962</v>
      </c>
      <c r="P3" s="119">
        <v>723</v>
      </c>
      <c r="Q3" s="103">
        <v>-3000</v>
      </c>
    </row>
    <row r="4" spans="1:17" x14ac:dyDescent="0.4">
      <c r="A4" s="55" t="s">
        <v>6</v>
      </c>
      <c r="B4" s="154">
        <v>1.4210854715202004E-14</v>
      </c>
      <c r="C4" s="155"/>
      <c r="E4" s="63" t="s">
        <v>73</v>
      </c>
      <c r="F4" s="60" t="s">
        <v>28</v>
      </c>
      <c r="G4" s="47">
        <v>931</v>
      </c>
      <c r="H4" s="133">
        <f>IF(B$17=0,0,G4/B$17)</f>
        <v>0.50902132312739201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10.416666666666666</v>
      </c>
      <c r="P4" s="119">
        <v>672</v>
      </c>
      <c r="Q4" s="103">
        <v>7000</v>
      </c>
    </row>
    <row r="5" spans="1:17" x14ac:dyDescent="0.4">
      <c r="A5" s="55" t="s">
        <v>7</v>
      </c>
      <c r="B5" s="156">
        <f>IF(B$2=0,0,B$4/B$2)</f>
        <v>1.9255900698105696E-17</v>
      </c>
      <c r="C5" s="157"/>
      <c r="E5" s="63" t="s">
        <v>245</v>
      </c>
      <c r="F5" s="60" t="s">
        <v>246</v>
      </c>
      <c r="G5" s="47">
        <v>748</v>
      </c>
      <c r="H5" s="133">
        <f>IF(B$17=0,0,G5/B$17)</f>
        <v>0.40896664844177144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6.4724919093851137</v>
      </c>
      <c r="P5" s="119">
        <v>618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567</v>
      </c>
      <c r="H6" s="133">
        <f>IF(B$17=0,0,G6/B$17)</f>
        <v>0.31000546746856206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-18.018018018018019</v>
      </c>
      <c r="P6" s="119">
        <v>555</v>
      </c>
      <c r="Q6" s="103">
        <v>-10000</v>
      </c>
    </row>
    <row r="7" spans="1:17" x14ac:dyDescent="0.4">
      <c r="A7" s="55" t="s">
        <v>2</v>
      </c>
      <c r="B7" s="47">
        <v>246</v>
      </c>
      <c r="C7" s="39">
        <f>IF(B$2=0,0,B7/B$2)</f>
        <v>0.33333333333333331</v>
      </c>
      <c r="E7" s="63" t="s">
        <v>68</v>
      </c>
      <c r="F7" s="60" t="s">
        <v>24</v>
      </c>
      <c r="G7" s="47">
        <v>566</v>
      </c>
      <c r="H7" s="133">
        <f>IF(B$17=0,0,G7/B$17)</f>
        <v>0.30945872061235646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30.864197530864196</v>
      </c>
      <c r="P7" s="120">
        <v>486</v>
      </c>
      <c r="Q7" s="104">
        <v>15000</v>
      </c>
    </row>
    <row r="8" spans="1:17" x14ac:dyDescent="0.4">
      <c r="A8" s="55" t="s">
        <v>3</v>
      </c>
      <c r="B8" s="47">
        <v>246</v>
      </c>
      <c r="C8" s="39">
        <f>IF(B$2=0,0,B8/B$2)</f>
        <v>0.33333333333333331</v>
      </c>
      <c r="E8" s="63" t="s">
        <v>70</v>
      </c>
      <c r="F8" s="60" t="s">
        <v>25</v>
      </c>
      <c r="G8" s="47">
        <v>322</v>
      </c>
      <c r="H8" s="133">
        <f>IF(B$17=0,0,G8/B$17)</f>
        <v>0.17605248769819573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246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230</v>
      </c>
      <c r="H9" s="133">
        <f>IF(B$17=0,0,G9/B$17)</f>
        <v>0.12575177692728268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91</v>
      </c>
      <c r="C10" s="40">
        <f>IF(B$2=0,0,B10/B$2)</f>
        <v>0.12330623306233063</v>
      </c>
      <c r="E10" s="63" t="s">
        <v>66</v>
      </c>
      <c r="F10" s="60" t="s">
        <v>22</v>
      </c>
      <c r="G10" s="47">
        <v>211</v>
      </c>
      <c r="H10" s="133">
        <f>IF(B$17=0,0,G10/B$17)</f>
        <v>0.11536358665937671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-2.510975609756096</v>
      </c>
      <c r="P10" s="118">
        <v>246</v>
      </c>
      <c r="Q10" s="106">
        <v>-617.69999999999959</v>
      </c>
    </row>
    <row r="11" spans="1:17" x14ac:dyDescent="0.4">
      <c r="A11" s="56" t="s">
        <v>140</v>
      </c>
      <c r="B11" s="48">
        <v>91</v>
      </c>
      <c r="C11" s="40">
        <f>IF(B$2=0,0,B11/B$2)</f>
        <v>0.12330623306233063</v>
      </c>
      <c r="E11" s="63" t="s">
        <v>71</v>
      </c>
      <c r="F11" s="60" t="s">
        <v>26</v>
      </c>
      <c r="G11" s="47">
        <v>184</v>
      </c>
      <c r="H11" s="133">
        <f>IF(B$17=0,0,G11/B$17)</f>
        <v>0.10060142154182614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1.5378048780487805</v>
      </c>
      <c r="P11" s="119">
        <v>246</v>
      </c>
      <c r="Q11" s="107">
        <v>378.3</v>
      </c>
    </row>
    <row r="12" spans="1:17" x14ac:dyDescent="0.4">
      <c r="A12" s="57" t="s">
        <v>160</v>
      </c>
      <c r="B12" s="49">
        <v>64</v>
      </c>
      <c r="C12" s="42">
        <f>IF(B$2=0,0,B12/B$2)</f>
        <v>8.6720867208672087E-2</v>
      </c>
      <c r="E12" s="63" t="s">
        <v>72</v>
      </c>
      <c r="F12" s="60" t="s">
        <v>27</v>
      </c>
      <c r="G12" s="47">
        <v>126</v>
      </c>
      <c r="H12" s="133">
        <f>IF(B$17=0,0,G12/B$17)</f>
        <v>6.8890103881902684E-2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0.97317073170731694</v>
      </c>
      <c r="P12" s="120">
        <v>246</v>
      </c>
      <c r="Q12" s="108">
        <v>239.39999999999998</v>
      </c>
    </row>
    <row r="13" spans="1:17" x14ac:dyDescent="0.4">
      <c r="A13" s="58" t="s">
        <v>122</v>
      </c>
      <c r="B13" s="50">
        <v>1705</v>
      </c>
      <c r="C13" s="44">
        <f>IF(B$3=0,0,B13/B$3)</f>
        <v>0.27818567466144556</v>
      </c>
      <c r="E13" s="63" t="s">
        <v>87</v>
      </c>
      <c r="F13" s="60" t="s">
        <v>42</v>
      </c>
      <c r="G13" s="47">
        <v>105</v>
      </c>
      <c r="H13" s="133">
        <f>IF(B$17=0,0,G13/B$17)</f>
        <v>5.7408419901585565E-2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1284</v>
      </c>
      <c r="C14" s="39">
        <f>IF(B$3=0,0,B14/B$3)</f>
        <v>0.2094958394517866</v>
      </c>
      <c r="E14" s="63" t="s">
        <v>84</v>
      </c>
      <c r="F14" s="60" t="s">
        <v>39</v>
      </c>
      <c r="G14" s="47">
        <v>89</v>
      </c>
      <c r="H14" s="133">
        <f>IF(B$17=0,0,G14/B$17)</f>
        <v>4.8660470202296337E-2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982</v>
      </c>
      <c r="C15" s="37">
        <f>IF(B$13=0,0,B15/B$13)</f>
        <v>0.57595307917888561</v>
      </c>
      <c r="E15" s="63" t="s">
        <v>79</v>
      </c>
      <c r="F15" s="60" t="s">
        <v>34</v>
      </c>
      <c r="G15" s="47">
        <v>53</v>
      </c>
      <c r="H15" s="133">
        <f>IF(B$17=0,0,G15/B$17)</f>
        <v>2.8977583378895572E-2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19.204545454545485</v>
      </c>
      <c r="P15" s="118">
        <v>198</v>
      </c>
      <c r="Q15" s="106">
        <v>3802.5000000000059</v>
      </c>
    </row>
    <row r="16" spans="1:17" x14ac:dyDescent="0.4">
      <c r="A16" s="54" t="s">
        <v>125</v>
      </c>
      <c r="B16" s="46">
        <v>507</v>
      </c>
      <c r="C16" s="37">
        <f>IF(B$14=0,0,B16/B$14)</f>
        <v>0.39485981308411217</v>
      </c>
      <c r="E16" s="63" t="s">
        <v>82</v>
      </c>
      <c r="F16" s="60" t="s">
        <v>37</v>
      </c>
      <c r="G16" s="47">
        <v>51</v>
      </c>
      <c r="H16" s="133">
        <f>IF(B$17=0,0,G16/B$17)</f>
        <v>2.7884089666484417E-2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13.95</v>
      </c>
      <c r="P16" s="119">
        <v>8</v>
      </c>
      <c r="Q16" s="107">
        <v>111.6</v>
      </c>
    </row>
    <row r="17" spans="1:17" x14ac:dyDescent="0.4">
      <c r="A17" s="54" t="s">
        <v>10</v>
      </c>
      <c r="B17" s="46">
        <f>B19+B18</f>
        <v>1829</v>
      </c>
      <c r="C17" s="37">
        <f>IF(B$3=0,0,B17/B$3)</f>
        <v>0.29841736009136888</v>
      </c>
      <c r="E17" s="63" t="s">
        <v>92</v>
      </c>
      <c r="F17" s="60" t="s">
        <v>47</v>
      </c>
      <c r="G17" s="47">
        <v>36</v>
      </c>
      <c r="H17" s="133">
        <f>IF(B$17=0,0,G17/B$17)</f>
        <v>1.9682886823400764E-2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795</v>
      </c>
      <c r="C18" s="39">
        <f>IF(B$17=0,0,B18/B$17)</f>
        <v>0.43466375068343355</v>
      </c>
      <c r="E18" s="63" t="s">
        <v>80</v>
      </c>
      <c r="F18" s="60" t="s">
        <v>35</v>
      </c>
      <c r="G18" s="47">
        <v>30</v>
      </c>
      <c r="H18" s="133">
        <f>IF(B$17=0,0,G18/B$17)</f>
        <v>1.6402405686167305E-2</v>
      </c>
      <c r="I18" s="94">
        <v>7</v>
      </c>
      <c r="K18" s="38">
        <v>16</v>
      </c>
      <c r="L18" s="99">
        <v>90.899999999999991</v>
      </c>
      <c r="N18" s="115" t="s">
        <v>184</v>
      </c>
      <c r="O18" s="125">
        <f>IF(P18=0,0,Q18/P18)</f>
        <v>9.3074999999999992</v>
      </c>
      <c r="P18" s="119">
        <v>40</v>
      </c>
      <c r="Q18" s="107">
        <v>372.29999999999995</v>
      </c>
    </row>
    <row r="19" spans="1:17" x14ac:dyDescent="0.4">
      <c r="A19" s="55" t="s">
        <v>11</v>
      </c>
      <c r="B19" s="47">
        <v>1034</v>
      </c>
      <c r="C19" s="39">
        <f>IF(B$17=0,0,B19/B$17)</f>
        <v>0.56533624931656645</v>
      </c>
      <c r="E19" s="63" t="s">
        <v>180</v>
      </c>
      <c r="F19" s="60" t="s">
        <v>181</v>
      </c>
      <c r="G19" s="47">
        <v>27</v>
      </c>
      <c r="H19" s="133">
        <f>IF(B$17=0,0,G19/B$17)</f>
        <v>1.4762165117550574E-2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3.8194029850746274</v>
      </c>
      <c r="P19" s="119">
        <v>268</v>
      </c>
      <c r="Q19" s="107">
        <v>1023.6000000000001</v>
      </c>
    </row>
    <row r="20" spans="1:17" x14ac:dyDescent="0.4">
      <c r="A20" s="55" t="s">
        <v>13</v>
      </c>
      <c r="B20" s="47">
        <v>1022</v>
      </c>
      <c r="C20" s="39">
        <f>IF(B$3=0,0,B20/B$3)</f>
        <v>0.16674824604340022</v>
      </c>
      <c r="E20" s="63" t="s">
        <v>74</v>
      </c>
      <c r="F20" s="60" t="s">
        <v>29</v>
      </c>
      <c r="G20" s="47">
        <v>13</v>
      </c>
      <c r="H20" s="133">
        <f>IF(B$17=0,0,G20/B$17)</f>
        <v>7.1077091306724982E-3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2.1405882352941168</v>
      </c>
      <c r="P20" s="119">
        <v>170</v>
      </c>
      <c r="Q20" s="107">
        <v>363.89999999999986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12</v>
      </c>
      <c r="H21" s="133">
        <f>IF(B$17=0,0,G21/B$17)</f>
        <v>6.5609622744669215E-3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0.71489361702127918</v>
      </c>
      <c r="P21" s="119">
        <v>188</v>
      </c>
      <c r="Q21" s="107">
        <v>134.40000000000049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75</v>
      </c>
      <c r="F22" s="60" t="s">
        <v>30</v>
      </c>
      <c r="G22" s="47">
        <v>9</v>
      </c>
      <c r="H22" s="133">
        <f>IF(B$17=0,0,G22/B$17)</f>
        <v>4.9207217058501911E-3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-3.9138157894736856</v>
      </c>
      <c r="P22" s="119">
        <v>152</v>
      </c>
      <c r="Q22" s="107">
        <v>-594.9000000000002</v>
      </c>
    </row>
    <row r="23" spans="1:17" x14ac:dyDescent="0.4">
      <c r="A23" s="55" t="s">
        <v>5</v>
      </c>
      <c r="B23" s="51">
        <f>IF(B$17=0,0,C23/B$17)</f>
        <v>8740.8966648441765</v>
      </c>
      <c r="C23" s="41">
        <v>15987100</v>
      </c>
      <c r="E23" s="63" t="s">
        <v>93</v>
      </c>
      <c r="F23" s="60" t="s">
        <v>48</v>
      </c>
      <c r="G23" s="47">
        <v>8</v>
      </c>
      <c r="H23" s="133">
        <f>IF(B$17=0,0,G23/B$17)</f>
        <v>4.3739748496446143E-3</v>
      </c>
      <c r="I23" s="94">
        <v>5</v>
      </c>
      <c r="K23" s="38">
        <v>21</v>
      </c>
      <c r="L23" s="99">
        <v>-2.886579864025407E-15</v>
      </c>
      <c r="N23" s="115" t="s">
        <v>200</v>
      </c>
      <c r="O23" s="125">
        <f>IF(P23=0,0,Q23/P23)</f>
        <v>-13.731818181818181</v>
      </c>
      <c r="P23" s="119">
        <v>22</v>
      </c>
      <c r="Q23" s="107">
        <v>-302.09999999999997</v>
      </c>
    </row>
    <row r="24" spans="1:17" x14ac:dyDescent="0.4">
      <c r="A24" s="57" t="s">
        <v>14</v>
      </c>
      <c r="B24" s="52">
        <f>IF(B$20=0,0,C24/B$20)</f>
        <v>-8275.6360078277885</v>
      </c>
      <c r="C24" s="45">
        <v>-8457700</v>
      </c>
      <c r="E24" s="63" t="s">
        <v>86</v>
      </c>
      <c r="F24" s="60" t="s">
        <v>41</v>
      </c>
      <c r="G24" s="47">
        <v>7</v>
      </c>
      <c r="H24" s="133">
        <f>IF(B$17=0,0,G24/B$17)</f>
        <v>3.8272279934390375E-3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-17.949386503067466</v>
      </c>
      <c r="P24" s="119">
        <v>326</v>
      </c>
      <c r="Q24" s="107">
        <v>-5851.4999999999936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3.8272279934390375E-3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3.2804811372334607E-3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15</v>
      </c>
      <c r="C27" s="42">
        <f>IF(B$3=0,0,B27/B$3)</f>
        <v>2.4473813020068525E-3</v>
      </c>
      <c r="E27" s="63" t="s">
        <v>91</v>
      </c>
      <c r="F27" s="60" t="s">
        <v>46</v>
      </c>
      <c r="G27" s="47">
        <v>5</v>
      </c>
      <c r="H27" s="133">
        <f>IF(B$17=0,0,G27/B$17)</f>
        <v>2.7337342810278839E-3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2.1869874248223072E-3</v>
      </c>
      <c r="I28" s="94">
        <v>6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2.1869874248223072E-3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1.6402405686167304E-3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1.0934937124111536E-3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5.4674685620557679E-4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5.4674685620557679E-4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327</v>
      </c>
      <c r="H2" s="132">
        <f>IF(B$17=0,0,G2/B$17)</f>
        <v>0.71710526315789469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1901.840490797546</v>
      </c>
      <c r="P2" s="118">
        <v>163</v>
      </c>
      <c r="Q2" s="102">
        <v>310000</v>
      </c>
    </row>
    <row r="3" spans="1:17" x14ac:dyDescent="0.4">
      <c r="A3" s="55" t="s">
        <v>8</v>
      </c>
      <c r="B3" s="152">
        <v>1339</v>
      </c>
      <c r="C3" s="153"/>
      <c r="E3" s="63" t="s">
        <v>73</v>
      </c>
      <c r="F3" s="60" t="s">
        <v>28</v>
      </c>
      <c r="G3" s="47">
        <v>252</v>
      </c>
      <c r="H3" s="133">
        <f>IF(B$17=0,0,G3/B$17)</f>
        <v>0.55263157894736847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2079.8742138364778</v>
      </c>
      <c r="P3" s="119">
        <v>159</v>
      </c>
      <c r="Q3" s="103">
        <v>330700</v>
      </c>
    </row>
    <row r="4" spans="1:17" x14ac:dyDescent="0.4">
      <c r="A4" s="55" t="s">
        <v>6</v>
      </c>
      <c r="B4" s="154">
        <v>1950.5000000000005</v>
      </c>
      <c r="C4" s="155"/>
      <c r="E4" s="63" t="s">
        <v>65</v>
      </c>
      <c r="F4" s="60" t="s">
        <v>21</v>
      </c>
      <c r="G4" s="47">
        <v>219</v>
      </c>
      <c r="H4" s="133">
        <f>IF(B$17=0,0,G4/B$17)</f>
        <v>0.48026315789473684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637.74834437086088</v>
      </c>
      <c r="P4" s="119">
        <v>151</v>
      </c>
      <c r="Q4" s="103">
        <v>96300</v>
      </c>
    </row>
    <row r="5" spans="1:17" x14ac:dyDescent="0.4">
      <c r="A5" s="55" t="s">
        <v>7</v>
      </c>
      <c r="B5" s="156">
        <f>IF(B$2=0,0,B$4/B$2)</f>
        <v>11.966257668711659</v>
      </c>
      <c r="C5" s="157"/>
      <c r="E5" s="63" t="s">
        <v>245</v>
      </c>
      <c r="F5" s="60" t="s">
        <v>246</v>
      </c>
      <c r="G5" s="47">
        <v>190</v>
      </c>
      <c r="H5" s="133">
        <f>IF(B$17=0,0,G5/B$17)</f>
        <v>0.41666666666666669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2161.1510791366904</v>
      </c>
      <c r="P5" s="119">
        <v>139</v>
      </c>
      <c r="Q5" s="103">
        <v>300400</v>
      </c>
    </row>
    <row r="6" spans="1:17" x14ac:dyDescent="0.4">
      <c r="A6" s="55" t="s">
        <v>1</v>
      </c>
      <c r="B6" s="146">
        <f>IF(B$2=0,0,(B$7*1+B$8*2+B$9*3)/B$2)</f>
        <v>1.7668711656441718</v>
      </c>
      <c r="C6" s="147"/>
      <c r="E6" s="63" t="s">
        <v>68</v>
      </c>
      <c r="F6" s="60" t="s">
        <v>24</v>
      </c>
      <c r="G6" s="47">
        <v>132</v>
      </c>
      <c r="H6" s="133">
        <f>IF(B$17=0,0,G6/B$17)</f>
        <v>0.28947368421052633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472.35772357723579</v>
      </c>
      <c r="P6" s="119">
        <v>123</v>
      </c>
      <c r="Q6" s="103">
        <v>58100</v>
      </c>
    </row>
    <row r="7" spans="1:17" x14ac:dyDescent="0.4">
      <c r="A7" s="55" t="s">
        <v>2</v>
      </c>
      <c r="B7" s="47">
        <v>77</v>
      </c>
      <c r="C7" s="39">
        <f>IF(B$2=0,0,B7/B$2)</f>
        <v>0.47239263803680981</v>
      </c>
      <c r="E7" s="63" t="s">
        <v>69</v>
      </c>
      <c r="F7" s="60" t="s">
        <v>12</v>
      </c>
      <c r="G7" s="47">
        <v>124</v>
      </c>
      <c r="H7" s="133">
        <f>IF(B$17=0,0,G7/B$17)</f>
        <v>0.27192982456140352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929.24528301886789</v>
      </c>
      <c r="P7" s="120">
        <v>106</v>
      </c>
      <c r="Q7" s="104">
        <v>98500</v>
      </c>
    </row>
    <row r="8" spans="1:17" x14ac:dyDescent="0.4">
      <c r="A8" s="55" t="s">
        <v>3</v>
      </c>
      <c r="B8" s="47">
        <v>47</v>
      </c>
      <c r="C8" s="39">
        <f>IF(B$2=0,0,B8/B$2)</f>
        <v>0.28834355828220859</v>
      </c>
      <c r="E8" s="63" t="s">
        <v>70</v>
      </c>
      <c r="F8" s="60" t="s">
        <v>25</v>
      </c>
      <c r="G8" s="47">
        <v>74</v>
      </c>
      <c r="H8" s="133">
        <f>IF(B$17=0,0,G8/B$17)</f>
        <v>0.16228070175438597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0.2392638036809816</v>
      </c>
      <c r="E9" s="63" t="s">
        <v>90</v>
      </c>
      <c r="F9" s="60" t="s">
        <v>45</v>
      </c>
      <c r="G9" s="47">
        <v>72</v>
      </c>
      <c r="H9" s="133">
        <f>IF(B$17=0,0,G9/B$17)</f>
        <v>0.15789473684210525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9.202453987730061E-2</v>
      </c>
      <c r="E10" s="63" t="s">
        <v>66</v>
      </c>
      <c r="F10" s="60" t="s">
        <v>22</v>
      </c>
      <c r="G10" s="47">
        <v>56</v>
      </c>
      <c r="H10" s="133">
        <f>IF(B$17=0,0,G10/B$17)</f>
        <v>0.12280701754385964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0.17791411042944785</v>
      </c>
      <c r="E11" s="63" t="s">
        <v>71</v>
      </c>
      <c r="F11" s="60" t="s">
        <v>26</v>
      </c>
      <c r="G11" s="47">
        <v>39</v>
      </c>
      <c r="H11" s="133">
        <f>IF(B$17=0,0,G11/B$17)</f>
        <v>8.5526315789473686E-2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23</v>
      </c>
      <c r="C12" s="42">
        <f>IF(B$2=0,0,B12/B$2)</f>
        <v>0.1411042944785276</v>
      </c>
      <c r="E12" s="63" t="s">
        <v>87</v>
      </c>
      <c r="F12" s="60" t="s">
        <v>42</v>
      </c>
      <c r="G12" s="47">
        <v>35</v>
      </c>
      <c r="H12" s="133">
        <f>IF(B$17=0,0,G12/B$17)</f>
        <v>7.6754385964912283E-2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419</v>
      </c>
      <c r="C13" s="44">
        <f>IF(B$3=0,0,B13/B$3)</f>
        <v>0.31292008961911877</v>
      </c>
      <c r="E13" s="63" t="s">
        <v>72</v>
      </c>
      <c r="F13" s="60" t="s">
        <v>27</v>
      </c>
      <c r="G13" s="47">
        <v>31</v>
      </c>
      <c r="H13" s="133">
        <f>IF(B$17=0,0,G13/B$17)</f>
        <v>6.798245614035088E-2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282</v>
      </c>
      <c r="C14" s="39">
        <f>IF(B$3=0,0,B14/B$3)</f>
        <v>0.210604929051531</v>
      </c>
      <c r="E14" s="63" t="s">
        <v>84</v>
      </c>
      <c r="F14" s="60" t="s">
        <v>39</v>
      </c>
      <c r="G14" s="47">
        <v>25</v>
      </c>
      <c r="H14" s="133">
        <f>IF(B$17=0,0,G14/B$17)</f>
        <v>5.4824561403508769E-2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240</v>
      </c>
      <c r="C15" s="37">
        <f>IF(B$13=0,0,B15/B$13)</f>
        <v>0.57279236276849643</v>
      </c>
      <c r="E15" s="63" t="s">
        <v>180</v>
      </c>
      <c r="F15" s="60" t="s">
        <v>181</v>
      </c>
      <c r="G15" s="47">
        <v>16</v>
      </c>
      <c r="H15" s="133">
        <f>IF(B$17=0,0,G15/B$17)</f>
        <v>3.5087719298245612E-2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147</v>
      </c>
      <c r="C16" s="37">
        <f>IF(B$14=0,0,B16/B$14)</f>
        <v>0.52127659574468088</v>
      </c>
      <c r="E16" s="63" t="s">
        <v>79</v>
      </c>
      <c r="F16" s="60" t="s">
        <v>34</v>
      </c>
      <c r="G16" s="47">
        <v>12</v>
      </c>
      <c r="H16" s="133">
        <f>IF(B$17=0,0,G16/B$17)</f>
        <v>2.6315789473684209E-2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456</v>
      </c>
      <c r="C17" s="37">
        <f>IF(B$3=0,0,B17/B$3)</f>
        <v>0.34055265123226286</v>
      </c>
      <c r="E17" s="63" t="s">
        <v>82</v>
      </c>
      <c r="F17" s="60" t="s">
        <v>37</v>
      </c>
      <c r="G17" s="47">
        <v>12</v>
      </c>
      <c r="H17" s="133">
        <f>IF(B$17=0,0,G17/B$17)</f>
        <v>2.6315789473684209E-2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191</v>
      </c>
      <c r="C18" s="39">
        <f>IF(B$17=0,0,B18/B$17)</f>
        <v>0.41885964912280704</v>
      </c>
      <c r="E18" s="63" t="s">
        <v>92</v>
      </c>
      <c r="F18" s="60" t="s">
        <v>47</v>
      </c>
      <c r="G18" s="47">
        <v>11</v>
      </c>
      <c r="H18" s="133">
        <f>IF(B$17=0,0,G18/B$17)</f>
        <v>2.4122807017543858E-2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265</v>
      </c>
      <c r="C19" s="39">
        <f>IF(B$17=0,0,B19/B$17)</f>
        <v>0.58114035087719296</v>
      </c>
      <c r="E19" s="63" t="s">
        <v>80</v>
      </c>
      <c r="F19" s="60" t="s">
        <v>35</v>
      </c>
      <c r="G19" s="47">
        <v>5</v>
      </c>
      <c r="H19" s="133">
        <f>IF(B$17=0,0,G19/B$17)</f>
        <v>1.0964912280701754E-2</v>
      </c>
      <c r="I19" s="94">
        <v>10</v>
      </c>
      <c r="K19" s="38">
        <v>17</v>
      </c>
      <c r="L19" s="99">
        <v>427.40000000000003</v>
      </c>
      <c r="N19" s="115" t="s">
        <v>184</v>
      </c>
      <c r="O19" s="125">
        <f>IF(P19=0,0,Q19/P19)</f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205</v>
      </c>
      <c r="C20" s="39">
        <f>IF(B$3=0,0,B20/B$3)</f>
        <v>0.1530993278566094</v>
      </c>
      <c r="E20" s="63" t="s">
        <v>86</v>
      </c>
      <c r="F20" s="60" t="s">
        <v>41</v>
      </c>
      <c r="G20" s="47">
        <v>4</v>
      </c>
      <c r="H20" s="133">
        <f>IF(B$17=0,0,G20/B$17)</f>
        <v>8.771929824561403E-3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20.172727272727279</v>
      </c>
      <c r="P20" s="119">
        <v>33</v>
      </c>
      <c r="Q20" s="107">
        <v>665.70000000000016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6.5789473684210523E-3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93</v>
      </c>
      <c r="F22" s="60" t="s">
        <v>48</v>
      </c>
      <c r="G22" s="47">
        <v>3</v>
      </c>
      <c r="H22" s="133">
        <f>IF(B$17=0,0,G22/B$17)</f>
        <v>6.5789473684210523E-3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9309.4298245614027</v>
      </c>
      <c r="C23" s="41">
        <v>4245100</v>
      </c>
      <c r="E23" s="63" t="s">
        <v>78</v>
      </c>
      <c r="F23" s="60" t="s">
        <v>33</v>
      </c>
      <c r="G23" s="47">
        <v>2</v>
      </c>
      <c r="H23" s="133">
        <f>IF(B$17=0,0,G23/B$17)</f>
        <v>4.3859649122807015E-3</v>
      </c>
      <c r="I23" s="94">
        <v>4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-8267.3170731707323</v>
      </c>
      <c r="C24" s="45">
        <v>-1694800</v>
      </c>
      <c r="E24" s="63" t="s">
        <v>91</v>
      </c>
      <c r="F24" s="60" t="s">
        <v>46</v>
      </c>
      <c r="G24" s="47">
        <v>2</v>
      </c>
      <c r="H24" s="133">
        <f>IF(B$17=0,0,G24/B$17)</f>
        <v>4.3859649122807015E-3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94</v>
      </c>
      <c r="F25" s="60" t="s">
        <v>49</v>
      </c>
      <c r="G25" s="47">
        <v>2</v>
      </c>
      <c r="H25" s="133">
        <f>IF(B$17=0,0,G25/B$17)</f>
        <v>4.3859649122807015E-3</v>
      </c>
      <c r="I25" s="94">
        <v>4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2.1929824561403508E-3</v>
      </c>
      <c r="I26" s="94">
        <v>8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7.468259895444362E-4</v>
      </c>
      <c r="E27" s="63" t="s">
        <v>85</v>
      </c>
      <c r="F27" s="60" t="s">
        <v>40</v>
      </c>
      <c r="G27" s="47">
        <v>1</v>
      </c>
      <c r="H27" s="133">
        <f>IF(B$17=0,0,G27/B$17)</f>
        <v>2.1929824561403508E-3</v>
      </c>
      <c r="I27" s="94">
        <v>3</v>
      </c>
      <c r="K27" s="38">
        <v>25</v>
      </c>
      <c r="L27" s="99">
        <v>655.20000000000005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2.1929824561403508E-3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89</v>
      </c>
      <c r="F29" s="60" t="s">
        <v>44</v>
      </c>
      <c r="G29" s="47">
        <v>1</v>
      </c>
      <c r="H29" s="133">
        <f>IF(B$17=0,0,G29/B$17)</f>
        <v>2.1929824561403508E-3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2.1929824561403508E-3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134</v>
      </c>
      <c r="C2" s="151"/>
      <c r="E2" s="62" t="s">
        <v>67</v>
      </c>
      <c r="F2" s="59" t="s">
        <v>23</v>
      </c>
      <c r="G2" s="46">
        <v>227</v>
      </c>
      <c r="H2" s="132">
        <f>IF(B$17=0,0,G2/B$17)</f>
        <v>0.76430976430976427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2">
        <v>1099</v>
      </c>
      <c r="C3" s="153"/>
      <c r="E3" s="63" t="s">
        <v>65</v>
      </c>
      <c r="F3" s="60" t="s">
        <v>21</v>
      </c>
      <c r="G3" s="47">
        <v>186</v>
      </c>
      <c r="H3" s="133">
        <f>IF(B$17=0,0,G3/B$17)</f>
        <v>0.6262626262626263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4">
        <v>-341.2</v>
      </c>
      <c r="C4" s="155"/>
      <c r="E4" s="63" t="s">
        <v>73</v>
      </c>
      <c r="F4" s="60" t="s">
        <v>28</v>
      </c>
      <c r="G4" s="47">
        <v>135</v>
      </c>
      <c r="H4" s="133">
        <f>IF(B$17=0,0,G4/B$17)</f>
        <v>0.45454545454545453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6">
        <f>IF(B$2=0,0,B$4/B$2)</f>
        <v>-2.5462686567164177</v>
      </c>
      <c r="C5" s="157"/>
      <c r="E5" s="63" t="s">
        <v>245</v>
      </c>
      <c r="F5" s="60" t="s">
        <v>246</v>
      </c>
      <c r="G5" s="47">
        <v>126</v>
      </c>
      <c r="H5" s="133">
        <f>IF(B$17=0,0,G5/B$17)</f>
        <v>0.42424242424242425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6">
        <f>IF(B$2=0,0,(B$7*1+B$8*2+B$9*3)/B$2)</f>
        <v>2.0746268656716418</v>
      </c>
      <c r="C6" s="147"/>
      <c r="E6" s="63" t="s">
        <v>68</v>
      </c>
      <c r="F6" s="60" t="s">
        <v>24</v>
      </c>
      <c r="G6" s="47">
        <v>121</v>
      </c>
      <c r="H6" s="133">
        <f>IF(B$17=0,0,G6/B$17)</f>
        <v>0.40740740740740738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69</v>
      </c>
      <c r="F7" s="60" t="s">
        <v>12</v>
      </c>
      <c r="G7" s="47">
        <v>103</v>
      </c>
      <c r="H7" s="133">
        <f>IF(B$17=0,0,G7/B$17)</f>
        <v>0.34680134680134678</v>
      </c>
      <c r="I7" s="94">
        <v>5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70</v>
      </c>
      <c r="F8" s="60" t="s">
        <v>25</v>
      </c>
      <c r="G8" s="47">
        <v>68</v>
      </c>
      <c r="H8" s="133">
        <f>IF(B$17=0,0,G8/B$17)</f>
        <v>0.22895622895622897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66</v>
      </c>
      <c r="F9" s="60" t="s">
        <v>22</v>
      </c>
      <c r="G9" s="47">
        <v>47</v>
      </c>
      <c r="H9" s="133">
        <f>IF(B$17=0,0,G9/B$17)</f>
        <v>0.15824915824915825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71</v>
      </c>
      <c r="F10" s="60" t="s">
        <v>26</v>
      </c>
      <c r="G10" s="47">
        <v>37</v>
      </c>
      <c r="H10" s="133">
        <f>IF(B$17=0,0,G10/B$17)</f>
        <v>0.12457912457912458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90</v>
      </c>
      <c r="F11" s="60" t="s">
        <v>45</v>
      </c>
      <c r="G11" s="47">
        <v>32</v>
      </c>
      <c r="H11" s="133">
        <f>IF(B$17=0,0,G11/B$17)</f>
        <v>0.10774410774410774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72</v>
      </c>
      <c r="F12" s="60" t="s">
        <v>27</v>
      </c>
      <c r="G12" s="47">
        <v>17</v>
      </c>
      <c r="H12" s="133">
        <f>IF(B$17=0,0,G12/B$17)</f>
        <v>5.7239057239057242E-2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87</v>
      </c>
      <c r="F13" s="60" t="s">
        <v>42</v>
      </c>
      <c r="G13" s="47">
        <v>15</v>
      </c>
      <c r="H13" s="133">
        <f>IF(B$17=0,0,G13/B$17)</f>
        <v>5.0505050505050504E-2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84</v>
      </c>
      <c r="F14" s="60" t="s">
        <v>39</v>
      </c>
      <c r="G14" s="47">
        <v>10</v>
      </c>
      <c r="H14" s="133">
        <f>IF(B$17=0,0,G14/B$17)</f>
        <v>3.3670033670033669E-2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82</v>
      </c>
      <c r="F15" s="60" t="s">
        <v>37</v>
      </c>
      <c r="G15" s="47">
        <v>9</v>
      </c>
      <c r="H15" s="133">
        <f>IF(B$17=0,0,G15/B$17)</f>
        <v>3.0303030303030304E-2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80</v>
      </c>
      <c r="F16" s="60" t="s">
        <v>35</v>
      </c>
      <c r="G16" s="47">
        <v>7</v>
      </c>
      <c r="H16" s="133">
        <f>IF(B$17=0,0,G16/B$17)</f>
        <v>2.3569023569023569E-2</v>
      </c>
      <c r="I16" s="94">
        <v>4</v>
      </c>
      <c r="K16" s="38">
        <v>14</v>
      </c>
      <c r="L16" s="99">
        <v>-25.600000000000009</v>
      </c>
      <c r="N16" s="115" t="s">
        <v>129</v>
      </c>
      <c r="O16" s="125">
        <f>IF(P16=0,0,Q16/P16)</f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92</v>
      </c>
      <c r="F17" s="60" t="s">
        <v>47</v>
      </c>
      <c r="G17" s="47">
        <v>6</v>
      </c>
      <c r="H17" s="133">
        <f>IF(B$17=0,0,G17/B$17)</f>
        <v>2.0202020202020204E-2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79</v>
      </c>
      <c r="F18" s="60" t="s">
        <v>34</v>
      </c>
      <c r="G18" s="47">
        <v>5</v>
      </c>
      <c r="H18" s="133">
        <f>IF(B$17=0,0,G18/B$17)</f>
        <v>1.6835016835016835E-2</v>
      </c>
      <c r="I18" s="94">
        <v>9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180</v>
      </c>
      <c r="F19" s="60" t="s">
        <v>181</v>
      </c>
      <c r="G19" s="47">
        <v>5</v>
      </c>
      <c r="H19" s="133">
        <f>IF(B$17=0,0,G19/B$17)</f>
        <v>1.6835016835016835E-2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76</v>
      </c>
      <c r="F20" s="60" t="s">
        <v>31</v>
      </c>
      <c r="G20" s="47">
        <v>3</v>
      </c>
      <c r="H20" s="133">
        <f>IF(B$17=0,0,G20/B$17)</f>
        <v>1.0101010101010102E-2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6.7340067340067337E-3</v>
      </c>
      <c r="I21" s="94">
        <v>5</v>
      </c>
      <c r="K21" s="38">
        <v>19</v>
      </c>
      <c r="L21" s="99">
        <v>138.79999999999998</v>
      </c>
      <c r="N21" s="115" t="s">
        <v>177</v>
      </c>
      <c r="O21" s="125">
        <f>IF(P21=0,0,Q21/P21)</f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75</v>
      </c>
      <c r="F22" s="60" t="s">
        <v>30</v>
      </c>
      <c r="G22" s="47">
        <v>2</v>
      </c>
      <c r="H22" s="133">
        <f>IF(B$17=0,0,G22/B$17)</f>
        <v>6.7340067340067337E-3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78</v>
      </c>
      <c r="F23" s="60" t="s">
        <v>33</v>
      </c>
      <c r="G23" s="47">
        <v>1</v>
      </c>
      <c r="H23" s="133">
        <f>IF(B$17=0,0,G23/B$17)</f>
        <v>3.3670033670033669E-3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85</v>
      </c>
      <c r="F24" s="60" t="s">
        <v>40</v>
      </c>
      <c r="G24" s="47">
        <v>1</v>
      </c>
      <c r="H24" s="133">
        <f>IF(B$17=0,0,G24/B$17)</f>
        <v>3.3670033670033669E-3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3.3670033670033669E-3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3.3670033670033669E-3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94</v>
      </c>
      <c r="F27" s="60" t="s">
        <v>49</v>
      </c>
      <c r="G27" s="47">
        <v>1</v>
      </c>
      <c r="H27" s="133">
        <f>IF(B$17=0,0,G27/B$17)</f>
        <v>3.3670033670033669E-3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3.3670033670033669E-3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</v>
      </c>
      <c r="C2" s="151"/>
      <c r="E2" s="62" t="s">
        <v>65</v>
      </c>
      <c r="F2" s="59" t="s">
        <v>21</v>
      </c>
      <c r="G2" s="46">
        <v>115</v>
      </c>
      <c r="H2" s="132">
        <f>IF(B$17=0,0,G2/B$17)</f>
        <v>0.55825242718446599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-2720.2020202020203</v>
      </c>
      <c r="P2" s="118">
        <v>99</v>
      </c>
      <c r="Q2" s="102">
        <v>-269300</v>
      </c>
    </row>
    <row r="3" spans="1:17" x14ac:dyDescent="0.4">
      <c r="A3" s="55" t="s">
        <v>8</v>
      </c>
      <c r="B3" s="152">
        <v>829</v>
      </c>
      <c r="C3" s="153"/>
      <c r="E3" s="63" t="s">
        <v>66</v>
      </c>
      <c r="F3" s="60" t="s">
        <v>22</v>
      </c>
      <c r="G3" s="47">
        <v>19</v>
      </c>
      <c r="H3" s="133">
        <f>IF(B$17=0,0,G3/B$17)</f>
        <v>9.2233009708737865E-2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-1739.1752577319587</v>
      </c>
      <c r="P3" s="119">
        <v>97</v>
      </c>
      <c r="Q3" s="103">
        <v>-168700</v>
      </c>
    </row>
    <row r="4" spans="1:17" x14ac:dyDescent="0.4">
      <c r="A4" s="55" t="s">
        <v>6</v>
      </c>
      <c r="B4" s="154">
        <v>-1267.5</v>
      </c>
      <c r="C4" s="155"/>
      <c r="E4" s="63" t="s">
        <v>67</v>
      </c>
      <c r="F4" s="60" t="s">
        <v>23</v>
      </c>
      <c r="G4" s="47">
        <v>171</v>
      </c>
      <c r="H4" s="133">
        <f>IF(B$17=0,0,G4/B$17)</f>
        <v>0.83009708737864074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-112.08791208791209</v>
      </c>
      <c r="P4" s="119">
        <v>91</v>
      </c>
      <c r="Q4" s="103">
        <v>-10200</v>
      </c>
    </row>
    <row r="5" spans="1:17" x14ac:dyDescent="0.4">
      <c r="A5" s="55" t="s">
        <v>7</v>
      </c>
      <c r="B5" s="156">
        <f>IF(B$2=0,0,B$4/B$2)</f>
        <v>-12.803030303030303</v>
      </c>
      <c r="C5" s="157"/>
      <c r="E5" s="63" t="s">
        <v>68</v>
      </c>
      <c r="F5" s="60" t="s">
        <v>24</v>
      </c>
      <c r="G5" s="47">
        <v>64</v>
      </c>
      <c r="H5" s="133">
        <f>IF(B$17=0,0,G5/B$17)</f>
        <v>0.31067961165048541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-3988.8888888888887</v>
      </c>
      <c r="P5" s="119">
        <v>81</v>
      </c>
      <c r="Q5" s="103">
        <v>-323100</v>
      </c>
    </row>
    <row r="6" spans="1:17" x14ac:dyDescent="0.4">
      <c r="A6" s="55" t="s">
        <v>1</v>
      </c>
      <c r="B6" s="146">
        <f>IF(B$2=0,0,(B$7*1+B$8*2+B$9*3)/B$2)</f>
        <v>2.202020202020202</v>
      </c>
      <c r="C6" s="147"/>
      <c r="E6" s="63" t="s">
        <v>69</v>
      </c>
      <c r="F6" s="60" t="s">
        <v>12</v>
      </c>
      <c r="G6" s="47">
        <v>76</v>
      </c>
      <c r="H6" s="133">
        <f>IF(B$17=0,0,G6/B$17)</f>
        <v>0.36893203883495146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-605.40540540540542</v>
      </c>
      <c r="P6" s="119">
        <v>74</v>
      </c>
      <c r="Q6" s="103">
        <v>-44800</v>
      </c>
    </row>
    <row r="7" spans="1:17" x14ac:dyDescent="0.4">
      <c r="A7" s="55" t="s">
        <v>2</v>
      </c>
      <c r="B7" s="47">
        <v>27</v>
      </c>
      <c r="C7" s="39">
        <f>IF(B$2=0,0,B7/B$2)</f>
        <v>0.27272727272727271</v>
      </c>
      <c r="E7" s="63" t="s">
        <v>70</v>
      </c>
      <c r="F7" s="60" t="s">
        <v>25</v>
      </c>
      <c r="G7" s="47">
        <v>40</v>
      </c>
      <c r="H7" s="133">
        <f>IF(B$17=0,0,G7/B$17)</f>
        <v>0.1941747572815534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-674.24242424242425</v>
      </c>
      <c r="P7" s="120">
        <v>66</v>
      </c>
      <c r="Q7" s="104">
        <v>-44500</v>
      </c>
    </row>
    <row r="8" spans="1:17" x14ac:dyDescent="0.4">
      <c r="A8" s="55" t="s">
        <v>3</v>
      </c>
      <c r="B8" s="47">
        <v>25</v>
      </c>
      <c r="C8" s="39">
        <f>IF(B$2=0,0,B8/B$2)</f>
        <v>0.25252525252525254</v>
      </c>
      <c r="E8" s="63" t="s">
        <v>71</v>
      </c>
      <c r="F8" s="60" t="s">
        <v>26</v>
      </c>
      <c r="G8" s="47">
        <v>33</v>
      </c>
      <c r="H8" s="133">
        <f>IF(B$17=0,0,G8/B$17)</f>
        <v>0.16019417475728157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0.47474747474747475</v>
      </c>
      <c r="E9" s="63" t="s">
        <v>72</v>
      </c>
      <c r="F9" s="60" t="s">
        <v>27</v>
      </c>
      <c r="G9" s="47">
        <v>22</v>
      </c>
      <c r="H9" s="133">
        <f>IF(B$17=0,0,G9/B$17)</f>
        <v>0.10679611650485436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0.19191919191919191</v>
      </c>
      <c r="E10" s="63" t="s">
        <v>73</v>
      </c>
      <c r="F10" s="60" t="s">
        <v>28</v>
      </c>
      <c r="G10" s="47">
        <v>80</v>
      </c>
      <c r="H10" s="133">
        <f>IF(B$17=0,0,G10/B$17)</f>
        <v>0.38834951456310679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-18.679310344827581</v>
      </c>
      <c r="P10" s="118">
        <v>29</v>
      </c>
      <c r="Q10" s="106">
        <v>-541.69999999999982</v>
      </c>
    </row>
    <row r="11" spans="1:17" x14ac:dyDescent="0.4">
      <c r="A11" s="56" t="s">
        <v>140</v>
      </c>
      <c r="B11" s="48">
        <v>10</v>
      </c>
      <c r="C11" s="40">
        <f>IF(B$2=0,0,B11/B$2)</f>
        <v>0.10101010101010101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-8.1025641025641075</v>
      </c>
      <c r="P11" s="119">
        <v>39</v>
      </c>
      <c r="Q11" s="107">
        <v>-316.00000000000017</v>
      </c>
    </row>
    <row r="12" spans="1:17" x14ac:dyDescent="0.4">
      <c r="A12" s="57" t="s">
        <v>160</v>
      </c>
      <c r="B12" s="49">
        <v>8</v>
      </c>
      <c r="C12" s="42">
        <f>IF(B$2=0,0,B12/B$2)</f>
        <v>8.0808080808080815E-2</v>
      </c>
      <c r="E12" s="63" t="s">
        <v>75</v>
      </c>
      <c r="F12" s="60" t="s">
        <v>30</v>
      </c>
      <c r="G12" s="47">
        <v>3</v>
      </c>
      <c r="H12" s="133">
        <f>IF(B$17=0,0,G12/B$17)</f>
        <v>1.4563106796116505E-2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-13.219354838709673</v>
      </c>
      <c r="P12" s="120">
        <v>31</v>
      </c>
      <c r="Q12" s="108">
        <v>-409.7999999999999</v>
      </c>
    </row>
    <row r="13" spans="1:17" x14ac:dyDescent="0.4">
      <c r="A13" s="58" t="s">
        <v>122</v>
      </c>
      <c r="B13" s="50">
        <v>227</v>
      </c>
      <c r="C13" s="44">
        <f>IF(B$3=0,0,B13/B$3)</f>
        <v>0.27382388419782872</v>
      </c>
      <c r="E13" s="63" t="s">
        <v>76</v>
      </c>
      <c r="F13" s="60" t="s">
        <v>31</v>
      </c>
      <c r="G13" s="47">
        <v>1</v>
      </c>
      <c r="H13" s="133">
        <f>IF(B$17=0,0,G13/B$17)</f>
        <v>4.8543689320388345E-3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0.17008443908323281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0.51982378854625555</v>
      </c>
      <c r="E15" s="63" t="s">
        <v>78</v>
      </c>
      <c r="F15" s="60" t="s">
        <v>33</v>
      </c>
      <c r="G15" s="47">
        <v>1</v>
      </c>
      <c r="H15" s="133">
        <f>IF(B$17=0,0,G15/B$17)</f>
        <v>4.8543689320388345E-3</v>
      </c>
      <c r="I15" s="94">
        <v>3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39</v>
      </c>
      <c r="C16" s="37">
        <f>IF(B$14=0,0,B16/B$14)</f>
        <v>0.27659574468085107</v>
      </c>
      <c r="E16" s="63" t="s">
        <v>79</v>
      </c>
      <c r="F16" s="60" t="s">
        <v>34</v>
      </c>
      <c r="G16" s="47">
        <v>10</v>
      </c>
      <c r="H16" s="133">
        <f>IF(B$17=0,0,G16/B$17)</f>
        <v>4.8543689320388349E-2</v>
      </c>
      <c r="I16" s="94">
        <v>3</v>
      </c>
      <c r="K16" s="38">
        <v>14</v>
      </c>
      <c r="L16" s="99">
        <v>-394.6</v>
      </c>
      <c r="N16" s="115" t="s">
        <v>177</v>
      </c>
      <c r="O16" s="125">
        <f t="shared" si="2"/>
        <v>-6.9208333333333316</v>
      </c>
      <c r="P16" s="119">
        <v>24</v>
      </c>
      <c r="Q16" s="107">
        <v>-166.09999999999997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0.24849215922798554</v>
      </c>
      <c r="E17" s="63" t="s">
        <v>80</v>
      </c>
      <c r="F17" s="60" t="s">
        <v>35</v>
      </c>
      <c r="G17" s="47">
        <v>2</v>
      </c>
      <c r="H17" s="133">
        <f>IF(B$17=0,0,G17/B$17)</f>
        <v>9.7087378640776691E-3</v>
      </c>
      <c r="I17" s="94">
        <v>11</v>
      </c>
      <c r="K17" s="38">
        <v>15</v>
      </c>
      <c r="L17" s="99">
        <v>-424.5</v>
      </c>
      <c r="N17" s="115" t="s">
        <v>128</v>
      </c>
      <c r="O17" s="125">
        <f t="shared" si="2"/>
        <v>-13.619047619047617</v>
      </c>
      <c r="P17" s="119">
        <v>42</v>
      </c>
      <c r="Q17" s="107">
        <v>-571.99999999999989</v>
      </c>
    </row>
    <row r="18" spans="1:17" x14ac:dyDescent="0.4">
      <c r="A18" s="55" t="s">
        <v>12</v>
      </c>
      <c r="B18" s="47">
        <v>92</v>
      </c>
      <c r="C18" s="39">
        <f>IF(B$17=0,0,B18/B$17)</f>
        <v>0.44660194174757284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114</v>
      </c>
      <c r="C19" s="39">
        <f>IF(B$17=0,0,B19/B$17)</f>
        <v>0.55339805825242716</v>
      </c>
      <c r="E19" s="63" t="s">
        <v>82</v>
      </c>
      <c r="F19" s="60" t="s">
        <v>37</v>
      </c>
      <c r="G19" s="47">
        <v>5</v>
      </c>
      <c r="H19" s="133">
        <f>IF(B$17=0,0,G19/B$17)</f>
        <v>2.4271844660194174E-2</v>
      </c>
      <c r="I19" s="94">
        <v>8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156</v>
      </c>
      <c r="C20" s="39">
        <f>IF(B$3=0,0,B20/B$3)</f>
        <v>0.1881785283474065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184</v>
      </c>
      <c r="O20" s="125">
        <f t="shared" si="2"/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8</v>
      </c>
      <c r="H21" s="133">
        <f>IF(B$17=0,0,G21/B$17)</f>
        <v>3.8834951456310676E-2</v>
      </c>
      <c r="I21" s="94">
        <v>8</v>
      </c>
      <c r="K21" s="38">
        <v>19</v>
      </c>
      <c r="L21" s="99">
        <v>-569.49999999999989</v>
      </c>
      <c r="N21" s="115" t="s">
        <v>127</v>
      </c>
      <c r="O21" s="125">
        <f t="shared" si="2"/>
        <v>-27.119672131147549</v>
      </c>
      <c r="P21" s="119">
        <v>61</v>
      </c>
      <c r="Q21" s="107">
        <v>-1654.3000000000004</v>
      </c>
    </row>
    <row r="22" spans="1:17" x14ac:dyDescent="0.4">
      <c r="A22" s="55" t="s">
        <v>192</v>
      </c>
      <c r="B22" s="47">
        <v>31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172</v>
      </c>
      <c r="O22" s="125">
        <f t="shared" si="2"/>
        <v>-27.262499999999999</v>
      </c>
      <c r="P22" s="119">
        <v>24</v>
      </c>
      <c r="Q22" s="107">
        <v>-654.29999999999995</v>
      </c>
    </row>
    <row r="23" spans="1:17" x14ac:dyDescent="0.4">
      <c r="A23" s="55" t="s">
        <v>5</v>
      </c>
      <c r="B23" s="51">
        <f>IF(B$17=0,0,C23/B$17)</f>
        <v>8741.2621359223303</v>
      </c>
      <c r="C23" s="41">
        <v>1800700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-9167.3076923076915</v>
      </c>
      <c r="C24" s="45">
        <v>-1430100</v>
      </c>
      <c r="E24" s="63" t="s">
        <v>87</v>
      </c>
      <c r="F24" s="60" t="s">
        <v>42</v>
      </c>
      <c r="G24" s="47">
        <v>10</v>
      </c>
      <c r="H24" s="133">
        <f>IF(B$17=0,0,G24/B$17)</f>
        <v>4.8543689320388349E-2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9.7087378640776691E-3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4.8543689320388345E-3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1.2062726176115801E-3</v>
      </c>
      <c r="E27" s="63" t="s">
        <v>90</v>
      </c>
      <c r="F27" s="60" t="s">
        <v>45</v>
      </c>
      <c r="G27" s="47">
        <v>19</v>
      </c>
      <c r="H27" s="133">
        <f>IF(B$17=0,0,G27/B$17)</f>
        <v>9.2233009708737865E-2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9.7087378640776691E-3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4.8543689320388345E-3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9.7087378640776691E-3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6" t="s">
        <v>245</v>
      </c>
      <c r="F51" s="137" t="s">
        <v>246</v>
      </c>
      <c r="G51" s="48">
        <v>77</v>
      </c>
      <c r="H51" s="138">
        <f>IF(B$17=0,0,G51/B$17)</f>
        <v>0.37378640776699029</v>
      </c>
      <c r="I51" s="139">
        <v>11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</sheetData>
  <sortState ref="E2:I10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94</v>
      </c>
      <c r="C2" s="151"/>
      <c r="E2" s="62" t="s">
        <v>65</v>
      </c>
      <c r="F2" s="59" t="s">
        <v>21</v>
      </c>
      <c r="G2" s="46">
        <v>121</v>
      </c>
      <c r="H2" s="132">
        <f>IF(B$17=0,0,G2/B$17)</f>
        <v>0.55000000000000004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-559.57446808510633</v>
      </c>
      <c r="P2" s="118">
        <v>94</v>
      </c>
      <c r="Q2" s="102">
        <v>-52600</v>
      </c>
    </row>
    <row r="3" spans="1:17" x14ac:dyDescent="0.4">
      <c r="A3" s="55" t="s">
        <v>8</v>
      </c>
      <c r="B3" s="152">
        <v>779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0.12727272727272726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757.60869565217388</v>
      </c>
      <c r="P3" s="119">
        <v>92</v>
      </c>
      <c r="Q3" s="103">
        <v>69700</v>
      </c>
    </row>
    <row r="4" spans="1:17" x14ac:dyDescent="0.4">
      <c r="A4" s="55" t="s">
        <v>6</v>
      </c>
      <c r="B4" s="154">
        <v>-44.799999999999983</v>
      </c>
      <c r="C4" s="155"/>
      <c r="E4" s="63" t="s">
        <v>67</v>
      </c>
      <c r="F4" s="60" t="s">
        <v>23</v>
      </c>
      <c r="G4" s="47">
        <v>181</v>
      </c>
      <c r="H4" s="133">
        <f>IF(B$17=0,0,G4/B$17)</f>
        <v>0.82272727272727275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1246.9879518072289</v>
      </c>
      <c r="P4" s="119">
        <v>83</v>
      </c>
      <c r="Q4" s="103">
        <v>103500</v>
      </c>
    </row>
    <row r="5" spans="1:17" x14ac:dyDescent="0.4">
      <c r="A5" s="55" t="s">
        <v>7</v>
      </c>
      <c r="B5" s="156">
        <f>IF(B$2=0,0,B$4/B$2)</f>
        <v>-0.47659574468085086</v>
      </c>
      <c r="C5" s="157"/>
      <c r="E5" s="63" t="s">
        <v>68</v>
      </c>
      <c r="F5" s="60" t="s">
        <v>24</v>
      </c>
      <c r="G5" s="47">
        <v>76</v>
      </c>
      <c r="H5" s="133">
        <f>IF(B$17=0,0,G5/B$17)</f>
        <v>0.34545454545454546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78.082191780821915</v>
      </c>
      <c r="P5" s="119">
        <v>73</v>
      </c>
      <c r="Q5" s="103">
        <v>5700</v>
      </c>
    </row>
    <row r="6" spans="1:17" x14ac:dyDescent="0.4">
      <c r="A6" s="55" t="s">
        <v>1</v>
      </c>
      <c r="B6" s="146">
        <f>IF(B$2=0,0,(B$7*1+B$8*2+B$9*3)/B$2)</f>
        <v>2.0531914893617023</v>
      </c>
      <c r="C6" s="147"/>
      <c r="E6" s="63" t="s">
        <v>69</v>
      </c>
      <c r="F6" s="60" t="s">
        <v>12</v>
      </c>
      <c r="G6" s="47">
        <v>65</v>
      </c>
      <c r="H6" s="133">
        <f>IF(B$17=0,0,G6/B$17)</f>
        <v>0.29545454545454547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-1392.1875</v>
      </c>
      <c r="P6" s="119">
        <v>64</v>
      </c>
      <c r="Q6" s="103">
        <v>-89100</v>
      </c>
    </row>
    <row r="7" spans="1:17" x14ac:dyDescent="0.4">
      <c r="A7" s="55" t="s">
        <v>2</v>
      </c>
      <c r="B7" s="47">
        <v>28</v>
      </c>
      <c r="C7" s="39">
        <f>IF(B$2=0,0,B7/B$2)</f>
        <v>0.2978723404255319</v>
      </c>
      <c r="E7" s="63" t="s">
        <v>70</v>
      </c>
      <c r="F7" s="60" t="s">
        <v>25</v>
      </c>
      <c r="G7" s="47">
        <v>44</v>
      </c>
      <c r="H7" s="133">
        <f>IF(B$17=0,0,G7/B$17)</f>
        <v>0.2</v>
      </c>
      <c r="I7" s="94">
        <v>2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0.35106382978723405</v>
      </c>
      <c r="E8" s="63" t="s">
        <v>71</v>
      </c>
      <c r="F8" s="60" t="s">
        <v>26</v>
      </c>
      <c r="G8" s="47">
        <v>24</v>
      </c>
      <c r="H8" s="133">
        <f>IF(B$17=0,0,G8/B$17)</f>
        <v>0.10909090909090909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0.35106382978723405</v>
      </c>
      <c r="E9" s="63" t="s">
        <v>72</v>
      </c>
      <c r="F9" s="60" t="s">
        <v>27</v>
      </c>
      <c r="G9" s="47">
        <v>14</v>
      </c>
      <c r="H9" s="133">
        <f>IF(B$17=0,0,G9/B$17)</f>
        <v>6.363636363636363E-2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0.11702127659574468</v>
      </c>
      <c r="E10" s="63" t="s">
        <v>73</v>
      </c>
      <c r="F10" s="60" t="s">
        <v>28</v>
      </c>
      <c r="G10" s="47">
        <v>113</v>
      </c>
      <c r="H10" s="133">
        <f>IF(B$17=0,0,G10/B$17)</f>
        <v>0.51363636363636367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3.4166666666666665</v>
      </c>
      <c r="P10" s="118">
        <v>24</v>
      </c>
      <c r="Q10" s="106">
        <v>82</v>
      </c>
    </row>
    <row r="11" spans="1:17" x14ac:dyDescent="0.4">
      <c r="A11" s="56" t="s">
        <v>140</v>
      </c>
      <c r="B11" s="48">
        <v>13</v>
      </c>
      <c r="C11" s="40">
        <f>IF(B$2=0,0,B11/B$2)</f>
        <v>0.13829787234042554</v>
      </c>
      <c r="E11" s="63" t="s">
        <v>74</v>
      </c>
      <c r="F11" s="60" t="s">
        <v>29</v>
      </c>
      <c r="G11" s="47">
        <v>3</v>
      </c>
      <c r="H11" s="133">
        <f>IF(B$17=0,0,G11/B$17)</f>
        <v>1.3636363636363636E-2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6.3829787234042548E-2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-3.5735294117647061</v>
      </c>
      <c r="P12" s="120">
        <v>34</v>
      </c>
      <c r="Q12" s="108">
        <v>-121.5</v>
      </c>
    </row>
    <row r="13" spans="1:17" x14ac:dyDescent="0.4">
      <c r="A13" s="58" t="s">
        <v>122</v>
      </c>
      <c r="B13" s="50">
        <v>229</v>
      </c>
      <c r="C13" s="44">
        <f>IF(B$3=0,0,B13/B$3)</f>
        <v>0.29396662387676509</v>
      </c>
      <c r="E13" s="63" t="s">
        <v>76</v>
      </c>
      <c r="F13" s="60" t="s">
        <v>31</v>
      </c>
      <c r="G13" s="47">
        <v>3</v>
      </c>
      <c r="H13" s="133">
        <f>IF(B$17=0,0,G13/B$17)</f>
        <v>1.3636363636363636E-2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148</v>
      </c>
      <c r="C14" s="39">
        <f>IF(B$3=0,0,B14/B$3)</f>
        <v>0.18998716302952504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129</v>
      </c>
      <c r="C15" s="37">
        <f>IF(B$13=0,0,B15/B$13)</f>
        <v>0.5633187772925764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20.95666666666666</v>
      </c>
      <c r="P15" s="118">
        <v>30</v>
      </c>
      <c r="Q15" s="106">
        <v>628.69999999999982</v>
      </c>
    </row>
    <row r="16" spans="1:17" x14ac:dyDescent="0.4">
      <c r="A16" s="54" t="s">
        <v>125</v>
      </c>
      <c r="B16" s="46">
        <v>60</v>
      </c>
      <c r="C16" s="37">
        <f>IF(B$14=0,0,B16/B$14)</f>
        <v>0.40540540540540543</v>
      </c>
      <c r="E16" s="63" t="s">
        <v>79</v>
      </c>
      <c r="F16" s="60" t="s">
        <v>34</v>
      </c>
      <c r="G16" s="47">
        <v>9</v>
      </c>
      <c r="H16" s="133">
        <f>IF(B$17=0,0,G16/B$17)</f>
        <v>4.0909090909090909E-2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220</v>
      </c>
      <c r="C17" s="37">
        <f>IF(B$3=0,0,B17/B$3)</f>
        <v>0.28241335044929394</v>
      </c>
      <c r="E17" s="63" t="s">
        <v>80</v>
      </c>
      <c r="F17" s="60" t="s">
        <v>35</v>
      </c>
      <c r="G17" s="47">
        <v>4</v>
      </c>
      <c r="H17" s="133">
        <f>IF(B$17=0,0,G17/B$17)</f>
        <v>1.8181818181818181E-2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90</v>
      </c>
      <c r="C18" s="39">
        <f>IF(B$17=0,0,B18/B$17)</f>
        <v>0.40909090909090912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130</v>
      </c>
      <c r="C19" s="39">
        <f>IF(B$17=0,0,B19/B$17)</f>
        <v>0.59090909090909094</v>
      </c>
      <c r="E19" s="63" t="s">
        <v>82</v>
      </c>
      <c r="F19" s="60" t="s">
        <v>37</v>
      </c>
      <c r="G19" s="47">
        <v>8</v>
      </c>
      <c r="H19" s="133">
        <f>IF(B$17=0,0,G19/B$17)</f>
        <v>3.6363636363636362E-2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139</v>
      </c>
      <c r="C20" s="39">
        <f>IF(B$3=0,0,B20/B$3)</f>
        <v>0.17843388960205392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3</v>
      </c>
      <c r="E21" s="63" t="s">
        <v>84</v>
      </c>
      <c r="F21" s="60" t="s">
        <v>39</v>
      </c>
      <c r="G21" s="47">
        <v>11</v>
      </c>
      <c r="H21" s="133">
        <f>IF(B$17=0,0,G21/B$17)</f>
        <v>0.05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>IF(B$17=0,0,G22/B$17)</f>
        <v>9.0909090909090905E-3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9930</v>
      </c>
      <c r="C23" s="41">
        <v>2184600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-8467.625899280576</v>
      </c>
      <c r="C24" s="45">
        <v>-1177000</v>
      </c>
      <c r="E24" s="63" t="s">
        <v>87</v>
      </c>
      <c r="F24" s="60" t="s">
        <v>42</v>
      </c>
      <c r="G24" s="47">
        <v>16</v>
      </c>
      <c r="H24" s="133">
        <f>IF(B$17=0,0,G24/B$17)</f>
        <v>7.2727272727272724E-2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4.5454545454545452E-3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2.5673940949935813E-3</v>
      </c>
      <c r="E27" s="63" t="s">
        <v>90</v>
      </c>
      <c r="F27" s="60" t="s">
        <v>45</v>
      </c>
      <c r="G27" s="47">
        <v>37</v>
      </c>
      <c r="H27" s="133">
        <f>IF(B$17=0,0,G27/B$17)</f>
        <v>0.16818181818181818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2.7272727272727271E-2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9.0909090909090905E-3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4.5454545454545452E-3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1.8181818181818181E-2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84</v>
      </c>
      <c r="H51" s="138">
        <f>IF(B$17=0,0,G51/B$17)</f>
        <v>0.38181818181818183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</sheetData>
  <sortState ref="E2:I9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85</v>
      </c>
      <c r="C2" s="151"/>
      <c r="E2" s="62" t="s">
        <v>67</v>
      </c>
      <c r="F2" s="59" t="s">
        <v>23</v>
      </c>
      <c r="G2" s="46">
        <v>166</v>
      </c>
      <c r="H2" s="132">
        <f>IF(B$17=0,0,G2/B$17)</f>
        <v>0.66400000000000003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682.35294117647061</v>
      </c>
      <c r="P2" s="118">
        <v>85</v>
      </c>
      <c r="Q2" s="102">
        <v>58000</v>
      </c>
    </row>
    <row r="3" spans="1:17" x14ac:dyDescent="0.4">
      <c r="A3" s="55" t="s">
        <v>8</v>
      </c>
      <c r="B3" s="152">
        <v>725</v>
      </c>
      <c r="C3" s="153"/>
      <c r="E3" s="63" t="s">
        <v>73</v>
      </c>
      <c r="F3" s="60" t="s">
        <v>28</v>
      </c>
      <c r="G3" s="47">
        <v>143</v>
      </c>
      <c r="H3" s="133">
        <f>IF(B$17=0,0,G3/B$17)</f>
        <v>0.57199999999999995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-1221.1764705882354</v>
      </c>
      <c r="P3" s="119">
        <v>85</v>
      </c>
      <c r="Q3" s="103">
        <v>-103800</v>
      </c>
    </row>
    <row r="4" spans="1:17" x14ac:dyDescent="0.4">
      <c r="A4" s="55" t="s">
        <v>6</v>
      </c>
      <c r="B4" s="154">
        <v>-121.30000000000004</v>
      </c>
      <c r="C4" s="155"/>
      <c r="E4" s="63" t="s">
        <v>245</v>
      </c>
      <c r="F4" s="60" t="s">
        <v>246</v>
      </c>
      <c r="G4" s="47">
        <v>109</v>
      </c>
      <c r="H4" s="133">
        <f>IF(B$17=0,0,G4/B$17)</f>
        <v>0.436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-1461.8421052631579</v>
      </c>
      <c r="P4" s="119">
        <v>76</v>
      </c>
      <c r="Q4" s="103">
        <v>-111100</v>
      </c>
    </row>
    <row r="5" spans="1:17" x14ac:dyDescent="0.4">
      <c r="A5" s="55" t="s">
        <v>7</v>
      </c>
      <c r="B5" s="156">
        <f>IF(B$2=0,0,B$4/B$2)</f>
        <v>-1.4270588235294122</v>
      </c>
      <c r="C5" s="157"/>
      <c r="E5" s="63" t="s">
        <v>65</v>
      </c>
      <c r="F5" s="60" t="s">
        <v>21</v>
      </c>
      <c r="G5" s="47">
        <v>86</v>
      </c>
      <c r="H5" s="133">
        <f>IF(B$17=0,0,G5/B$17)</f>
        <v>0.34399999999999997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1094.5205479452054</v>
      </c>
      <c r="P5" s="119">
        <v>73</v>
      </c>
      <c r="Q5" s="103">
        <v>79900</v>
      </c>
    </row>
    <row r="6" spans="1:17" x14ac:dyDescent="0.4">
      <c r="A6" s="55" t="s">
        <v>1</v>
      </c>
      <c r="B6" s="146">
        <f>IF(B$2=0,0,(B$7*1+B$8*2+B$9*3)/B$2)</f>
        <v>2.0470588235294116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0.252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-41.176470588235297</v>
      </c>
      <c r="P6" s="119">
        <v>68</v>
      </c>
      <c r="Q6" s="103">
        <v>-2800</v>
      </c>
    </row>
    <row r="7" spans="1:17" x14ac:dyDescent="0.4">
      <c r="A7" s="55" t="s">
        <v>2</v>
      </c>
      <c r="B7" s="47">
        <v>22</v>
      </c>
      <c r="C7" s="39">
        <f>IF(B$2=0,0,B7/B$2)</f>
        <v>0.25882352941176473</v>
      </c>
      <c r="E7" s="63" t="s">
        <v>68</v>
      </c>
      <c r="F7" s="60" t="s">
        <v>24</v>
      </c>
      <c r="G7" s="47">
        <v>44</v>
      </c>
      <c r="H7" s="133">
        <f>IF(B$17=0,0,G7/B$17)</f>
        <v>0.17599999999999999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-230.5084745762712</v>
      </c>
      <c r="P7" s="120">
        <v>59</v>
      </c>
      <c r="Q7" s="104">
        <v>-13600</v>
      </c>
    </row>
    <row r="8" spans="1:17" x14ac:dyDescent="0.4">
      <c r="A8" s="55" t="s">
        <v>3</v>
      </c>
      <c r="B8" s="47">
        <v>37</v>
      </c>
      <c r="C8" s="39">
        <f>IF(B$2=0,0,B8/B$2)</f>
        <v>0.43529411764705883</v>
      </c>
      <c r="E8" s="63" t="s">
        <v>70</v>
      </c>
      <c r="F8" s="60" t="s">
        <v>25</v>
      </c>
      <c r="G8" s="47">
        <v>38</v>
      </c>
      <c r="H8" s="133">
        <f>IF(B$17=0,0,G8/B$17)</f>
        <v>0.152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0.30588235294117649</v>
      </c>
      <c r="E9" s="63" t="s">
        <v>66</v>
      </c>
      <c r="F9" s="60" t="s">
        <v>22</v>
      </c>
      <c r="G9" s="47">
        <v>26</v>
      </c>
      <c r="H9" s="133">
        <f>IF(B$17=0,0,G9/B$17)</f>
        <v>0.104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5.8823529411764705E-2</v>
      </c>
      <c r="E10" s="63" t="s">
        <v>72</v>
      </c>
      <c r="F10" s="60" t="s">
        <v>27</v>
      </c>
      <c r="G10" s="47">
        <v>20</v>
      </c>
      <c r="H10" s="133">
        <f>IF(B$17=0,0,G10/B$17)</f>
        <v>0.08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-5.8115384615384631</v>
      </c>
      <c r="P10" s="118">
        <v>26</v>
      </c>
      <c r="Q10" s="106">
        <v>-151.10000000000005</v>
      </c>
    </row>
    <row r="11" spans="1:17" x14ac:dyDescent="0.4">
      <c r="A11" s="56" t="s">
        <v>140</v>
      </c>
      <c r="B11" s="48">
        <v>9</v>
      </c>
      <c r="C11" s="40">
        <f>IF(B$2=0,0,B11/B$2)</f>
        <v>0.10588235294117647</v>
      </c>
      <c r="E11" s="63" t="s">
        <v>90</v>
      </c>
      <c r="F11" s="60" t="s">
        <v>45</v>
      </c>
      <c r="G11" s="47">
        <v>19</v>
      </c>
      <c r="H11" s="133">
        <f>IF(B$17=0,0,G11/B$17)</f>
        <v>7.5999999999999998E-2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8.2352941176470587E-2</v>
      </c>
      <c r="E12" s="63" t="s">
        <v>84</v>
      </c>
      <c r="F12" s="60" t="s">
        <v>39</v>
      </c>
      <c r="G12" s="47">
        <v>18</v>
      </c>
      <c r="H12" s="133">
        <f>IF(B$17=0,0,G12/B$17)</f>
        <v>7.1999999999999995E-2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-1.4878787878787882</v>
      </c>
      <c r="P12" s="120">
        <v>33</v>
      </c>
      <c r="Q12" s="108">
        <v>-49.100000000000009</v>
      </c>
    </row>
    <row r="13" spans="1:17" x14ac:dyDescent="0.4">
      <c r="A13" s="58" t="s">
        <v>122</v>
      </c>
      <c r="B13" s="50">
        <v>154</v>
      </c>
      <c r="C13" s="44">
        <f>IF(B$3=0,0,B13/B$3)</f>
        <v>0.21241379310344827</v>
      </c>
      <c r="E13" s="63" t="s">
        <v>71</v>
      </c>
      <c r="F13" s="60" t="s">
        <v>26</v>
      </c>
      <c r="G13" s="47">
        <v>17</v>
      </c>
      <c r="H13" s="133">
        <f>IF(B$17=0,0,G13/B$17)</f>
        <v>6.8000000000000005E-2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211</v>
      </c>
      <c r="C14" s="39">
        <f>IF(B$3=0,0,B14/B$3)</f>
        <v>0.29103448275862071</v>
      </c>
      <c r="E14" s="63" t="s">
        <v>87</v>
      </c>
      <c r="F14" s="60" t="s">
        <v>42</v>
      </c>
      <c r="G14" s="47">
        <v>10</v>
      </c>
      <c r="H14" s="133">
        <f>IF(B$17=0,0,G14/B$17)</f>
        <v>0.04</v>
      </c>
      <c r="I14" s="94">
        <v>10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0.55194805194805197</v>
      </c>
      <c r="E15" s="63" t="s">
        <v>82</v>
      </c>
      <c r="F15" s="60" t="s">
        <v>37</v>
      </c>
      <c r="G15" s="47">
        <v>9</v>
      </c>
      <c r="H15" s="133">
        <f>IF(B$17=0,0,G15/B$17)</f>
        <v>3.5999999999999997E-2</v>
      </c>
      <c r="I15" s="94">
        <v>3</v>
      </c>
      <c r="K15" s="38">
        <v>13</v>
      </c>
      <c r="L15" s="99">
        <v>-3</v>
      </c>
      <c r="N15" s="114" t="s">
        <v>223</v>
      </c>
      <c r="O15" s="124">
        <f>IF(P15=0,0,Q15/P15)</f>
        <v>30.3</v>
      </c>
      <c r="P15" s="118">
        <v>1</v>
      </c>
      <c r="Q15" s="106">
        <v>30.3</v>
      </c>
    </row>
    <row r="16" spans="1:17" x14ac:dyDescent="0.4">
      <c r="A16" s="54" t="s">
        <v>125</v>
      </c>
      <c r="B16" s="46">
        <v>90</v>
      </c>
      <c r="C16" s="37">
        <f>IF(B$14=0,0,B16/B$14)</f>
        <v>0.42654028436018959</v>
      </c>
      <c r="E16" s="63" t="s">
        <v>79</v>
      </c>
      <c r="F16" s="60" t="s">
        <v>34</v>
      </c>
      <c r="G16" s="47">
        <v>4</v>
      </c>
      <c r="H16" s="133">
        <f>IF(B$17=0,0,G16/B$17)</f>
        <v>1.6E-2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>IF(P16=0,0,Q16/P16)</f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250</v>
      </c>
      <c r="C17" s="37">
        <f>IF(B$3=0,0,B17/B$3)</f>
        <v>0.34482758620689657</v>
      </c>
      <c r="E17" s="63" t="s">
        <v>92</v>
      </c>
      <c r="F17" s="60" t="s">
        <v>47</v>
      </c>
      <c r="G17" s="47">
        <v>4</v>
      </c>
      <c r="H17" s="133">
        <f>IF(B$17=0,0,G17/B$17)</f>
        <v>1.6E-2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101</v>
      </c>
      <c r="C18" s="39">
        <f>IF(B$17=0,0,B18/B$17)</f>
        <v>0.40400000000000003</v>
      </c>
      <c r="E18" s="63" t="s">
        <v>80</v>
      </c>
      <c r="F18" s="60" t="s">
        <v>35</v>
      </c>
      <c r="G18" s="47">
        <v>3</v>
      </c>
      <c r="H18" s="133">
        <f>IF(B$17=0,0,G18/B$17)</f>
        <v>1.2E-2</v>
      </c>
      <c r="I18" s="94">
        <v>9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149</v>
      </c>
      <c r="C19" s="39">
        <f>IF(B$17=0,0,B19/B$17)</f>
        <v>0.59599999999999997</v>
      </c>
      <c r="E19" s="63" t="s">
        <v>75</v>
      </c>
      <c r="F19" s="60" t="s">
        <v>30</v>
      </c>
      <c r="G19" s="47">
        <v>2</v>
      </c>
      <c r="H19" s="133">
        <f>IF(B$17=0,0,G19/B$17)</f>
        <v>8.0000000000000002E-3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100</v>
      </c>
      <c r="C20" s="39">
        <f>IF(B$3=0,0,B20/B$3)</f>
        <v>0.13793103448275862</v>
      </c>
      <c r="E20" s="63" t="s">
        <v>74</v>
      </c>
      <c r="F20" s="60" t="s">
        <v>29</v>
      </c>
      <c r="G20" s="47">
        <v>1</v>
      </c>
      <c r="H20" s="133">
        <f>IF(B$17=0,0,G20/B$17)</f>
        <v>4.0000000000000001E-3</v>
      </c>
      <c r="I20" s="94">
        <v>7</v>
      </c>
      <c r="K20" s="38">
        <v>18</v>
      </c>
      <c r="L20" s="99">
        <v>-28.199999999999996</v>
      </c>
      <c r="N20" s="115" t="s">
        <v>177</v>
      </c>
      <c r="O20" s="125">
        <f>IF(P20=0,0,Q20/P20)</f>
        <v>-0.4666666666666674</v>
      </c>
      <c r="P20" s="119">
        <v>24</v>
      </c>
      <c r="Q20" s="107">
        <v>-11.200000000000017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4.0000000000000001E-3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88</v>
      </c>
      <c r="F22" s="60" t="s">
        <v>43</v>
      </c>
      <c r="G22" s="47">
        <v>1</v>
      </c>
      <c r="H22" s="133">
        <f>IF(B$17=0,0,G22/B$17)</f>
        <v>4.0000000000000001E-3</v>
      </c>
      <c r="I22" s="94">
        <v>4</v>
      </c>
      <c r="K22" s="38">
        <v>20</v>
      </c>
      <c r="L22" s="99">
        <v>43</v>
      </c>
      <c r="N22" s="115" t="s">
        <v>200</v>
      </c>
      <c r="O22" s="125">
        <f>IF(P22=0,0,Q22/P22)</f>
        <v>-16.62857142857143</v>
      </c>
      <c r="P22" s="119">
        <v>7</v>
      </c>
      <c r="Q22" s="107">
        <v>-116.40000000000002</v>
      </c>
    </row>
    <row r="23" spans="1:17" x14ac:dyDescent="0.4">
      <c r="A23" s="55" t="s">
        <v>5</v>
      </c>
      <c r="B23" s="51">
        <f>IF(B$17=0,0,C23/B$17)</f>
        <v>6866.4</v>
      </c>
      <c r="C23" s="41">
        <v>1716600</v>
      </c>
      <c r="E23" s="63" t="s">
        <v>91</v>
      </c>
      <c r="F23" s="60" t="s">
        <v>46</v>
      </c>
      <c r="G23" s="47">
        <v>1</v>
      </c>
      <c r="H23" s="133">
        <f>IF(B$17=0,0,G23/B$17)</f>
        <v>4.0000000000000001E-3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-23.717391304347821</v>
      </c>
      <c r="P23" s="119">
        <v>46</v>
      </c>
      <c r="Q23" s="107">
        <v>-1090.9999999999998</v>
      </c>
    </row>
    <row r="24" spans="1:17" x14ac:dyDescent="0.4">
      <c r="A24" s="57" t="s">
        <v>14</v>
      </c>
      <c r="B24" s="52">
        <f>IF(B$20=0,0,C24/B$20)</f>
        <v>-8632</v>
      </c>
      <c r="C24" s="45">
        <v>-863200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1.3793103448275861E-3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65</v>
      </c>
      <c r="F2" s="59" t="s">
        <v>21</v>
      </c>
      <c r="G2" s="46">
        <v>52</v>
      </c>
      <c r="H2" s="132">
        <f>IF(B$17=0,0,G2/B$17)</f>
        <v>0.42622950819672129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8.1967213114754092E-2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67</v>
      </c>
      <c r="F4" s="60" t="s">
        <v>23</v>
      </c>
      <c r="G4" s="47">
        <v>81</v>
      </c>
      <c r="H4" s="133">
        <f>IF(B$17=0,0,G4/B$17)</f>
        <v>0.66393442622950816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0.23770491803278687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70</v>
      </c>
      <c r="F7" s="60" t="s">
        <v>25</v>
      </c>
      <c r="G7" s="47">
        <v>13</v>
      </c>
      <c r="H7" s="133">
        <f>IF(B$17=0,0,G7/B$17)</f>
        <v>0.10655737704918032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71</v>
      </c>
      <c r="F8" s="60" t="s">
        <v>26</v>
      </c>
      <c r="G8" s="47">
        <v>14</v>
      </c>
      <c r="H8" s="133">
        <f>IF(B$17=0,0,G8/B$17)</f>
        <v>0.11475409836065574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72</v>
      </c>
      <c r="F9" s="60" t="s">
        <v>27</v>
      </c>
      <c r="G9" s="47">
        <v>6</v>
      </c>
      <c r="H9" s="133">
        <f>IF(B$17=0,0,G9/B$17)</f>
        <v>4.9180327868852458E-2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73</v>
      </c>
      <c r="F10" s="60" t="s">
        <v>28</v>
      </c>
      <c r="G10" s="47">
        <v>64</v>
      </c>
      <c r="H10" s="133">
        <f>IF(B$17=0,0,G10/B$17)</f>
        <v>0.52459016393442626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74</v>
      </c>
      <c r="F11" s="60" t="s">
        <v>29</v>
      </c>
      <c r="G11" s="47">
        <v>3</v>
      </c>
      <c r="H11" s="133">
        <f>IF(B$17=0,0,G11/B$17)</f>
        <v>2.4590163934426229E-2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2.4590163934426229E-2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8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1.6393442622950821E-2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5</v>
      </c>
      <c r="H24" s="133">
        <f>IF(B$17=0,0,G24/B$17)</f>
        <v>4.0983606557377046E-2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8.1967213114754103E-3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90</v>
      </c>
      <c r="F27" s="60" t="s">
        <v>45</v>
      </c>
      <c r="G27" s="47">
        <v>15</v>
      </c>
      <c r="H27" s="133">
        <f>IF(B$17=0,0,G27/B$17)</f>
        <v>0.12295081967213115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1.6393442622950821E-2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1.6393442622950821E-2</v>
      </c>
      <c r="I50" s="94">
        <v>4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0.39344262295081966</v>
      </c>
      <c r="I51" s="139">
        <v>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76</v>
      </c>
      <c r="C2" s="151"/>
      <c r="E2" s="62" t="s">
        <v>65</v>
      </c>
      <c r="F2" s="59" t="s">
        <v>21</v>
      </c>
      <c r="G2" s="46">
        <v>111</v>
      </c>
      <c r="H2" s="132">
        <f>IF(B$17=0,0,G2/B$17)</f>
        <v>0.63068181818181823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1082.8947368421052</v>
      </c>
      <c r="P2" s="118">
        <v>76</v>
      </c>
      <c r="Q2" s="102">
        <v>82300</v>
      </c>
    </row>
    <row r="3" spans="1:17" x14ac:dyDescent="0.4">
      <c r="A3" s="55" t="s">
        <v>8</v>
      </c>
      <c r="B3" s="152">
        <v>615</v>
      </c>
      <c r="C3" s="153"/>
      <c r="E3" s="63" t="s">
        <v>67</v>
      </c>
      <c r="F3" s="60" t="s">
        <v>23</v>
      </c>
      <c r="G3" s="47">
        <v>101</v>
      </c>
      <c r="H3" s="133">
        <f>IF(B$17=0,0,G3/B$17)</f>
        <v>0.57386363636363635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700</v>
      </c>
      <c r="P3" s="119">
        <v>73</v>
      </c>
      <c r="Q3" s="103">
        <v>51100</v>
      </c>
    </row>
    <row r="4" spans="1:17" x14ac:dyDescent="0.4">
      <c r="A4" s="55" t="s">
        <v>6</v>
      </c>
      <c r="B4" s="154">
        <v>198.29999999999998</v>
      </c>
      <c r="C4" s="155"/>
      <c r="E4" s="63" t="s">
        <v>245</v>
      </c>
      <c r="F4" s="60" t="s">
        <v>246</v>
      </c>
      <c r="G4" s="47">
        <v>77</v>
      </c>
      <c r="H4" s="133">
        <f>IF(B$17=0,0,G4/B$17)</f>
        <v>0.4375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-265.15151515151513</v>
      </c>
      <c r="P4" s="119">
        <v>66</v>
      </c>
      <c r="Q4" s="103">
        <v>-17500</v>
      </c>
    </row>
    <row r="5" spans="1:17" x14ac:dyDescent="0.4">
      <c r="A5" s="55" t="s">
        <v>7</v>
      </c>
      <c r="B5" s="156">
        <f>IF(B$2=0,0,B$4/B$2)</f>
        <v>2.6092105263157892</v>
      </c>
      <c r="C5" s="157"/>
      <c r="E5" s="63" t="s">
        <v>73</v>
      </c>
      <c r="F5" s="60" t="s">
        <v>28</v>
      </c>
      <c r="G5" s="47">
        <v>74</v>
      </c>
      <c r="H5" s="133">
        <f>IF(B$17=0,0,G5/B$17)</f>
        <v>0.42045454545454547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1876.1904761904761</v>
      </c>
      <c r="P5" s="119">
        <v>63</v>
      </c>
      <c r="Q5" s="103">
        <v>118200</v>
      </c>
    </row>
    <row r="6" spans="1:17" x14ac:dyDescent="0.4">
      <c r="A6" s="55" t="s">
        <v>1</v>
      </c>
      <c r="B6" s="146">
        <f>IF(B$2=0,0,(B$7*1+B$8*2+B$9*3)/B$2)</f>
        <v>1.9342105263157894</v>
      </c>
      <c r="C6" s="147"/>
      <c r="E6" s="63" t="s">
        <v>68</v>
      </c>
      <c r="F6" s="60" t="s">
        <v>24</v>
      </c>
      <c r="G6" s="47">
        <v>72</v>
      </c>
      <c r="H6" s="133">
        <f>IF(B$17=0,0,G6/B$17)</f>
        <v>0.40909090909090912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-1798.2456140350878</v>
      </c>
      <c r="P6" s="119">
        <v>57</v>
      </c>
      <c r="Q6" s="103">
        <v>-102500</v>
      </c>
    </row>
    <row r="7" spans="1:17" x14ac:dyDescent="0.4">
      <c r="A7" s="55" t="s">
        <v>2</v>
      </c>
      <c r="B7" s="47">
        <v>28</v>
      </c>
      <c r="C7" s="39">
        <f>IF(B$2=0,0,B7/B$2)</f>
        <v>0.36842105263157893</v>
      </c>
      <c r="E7" s="63" t="s">
        <v>69</v>
      </c>
      <c r="F7" s="60" t="s">
        <v>12</v>
      </c>
      <c r="G7" s="47">
        <v>56</v>
      </c>
      <c r="H7" s="133">
        <f>IF(B$17=0,0,G7/B$17)</f>
        <v>0.31818181818181818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367.39130434782606</v>
      </c>
      <c r="P7" s="120">
        <v>46</v>
      </c>
      <c r="Q7" s="104">
        <v>16900</v>
      </c>
    </row>
    <row r="8" spans="1:17" x14ac:dyDescent="0.4">
      <c r="A8" s="55" t="s">
        <v>3</v>
      </c>
      <c r="B8" s="47">
        <v>25</v>
      </c>
      <c r="C8" s="39">
        <f>IF(B$2=0,0,B8/B$2)</f>
        <v>0.32894736842105265</v>
      </c>
      <c r="E8" s="63" t="s">
        <v>70</v>
      </c>
      <c r="F8" s="60" t="s">
        <v>25</v>
      </c>
      <c r="G8" s="47">
        <v>30</v>
      </c>
      <c r="H8" s="133">
        <f>IF(B$17=0,0,G8/B$17)</f>
        <v>0.17045454545454544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0.30263157894736842</v>
      </c>
      <c r="E9" s="63" t="s">
        <v>66</v>
      </c>
      <c r="F9" s="60" t="s">
        <v>22</v>
      </c>
      <c r="G9" s="47">
        <v>21</v>
      </c>
      <c r="H9" s="133">
        <f>IF(B$17=0,0,G9/B$17)</f>
        <v>0.11931818181818182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0.14473684210526316</v>
      </c>
      <c r="E10" s="63" t="s">
        <v>90</v>
      </c>
      <c r="F10" s="60" t="s">
        <v>45</v>
      </c>
      <c r="G10" s="47">
        <v>20</v>
      </c>
      <c r="H10" s="133">
        <f>IF(B$17=0,0,G10/B$17)</f>
        <v>0.11363636363636363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0.49583333333333268</v>
      </c>
      <c r="P10" s="118">
        <v>24</v>
      </c>
      <c r="Q10" s="106">
        <v>11.899999999999984</v>
      </c>
    </row>
    <row r="11" spans="1:17" x14ac:dyDescent="0.4">
      <c r="A11" s="56" t="s">
        <v>140</v>
      </c>
      <c r="B11" s="48">
        <v>10</v>
      </c>
      <c r="C11" s="40">
        <f>IF(B$2=0,0,B11/B$2)</f>
        <v>0.13157894736842105</v>
      </c>
      <c r="E11" s="63" t="s">
        <v>71</v>
      </c>
      <c r="F11" s="60" t="s">
        <v>26</v>
      </c>
      <c r="G11" s="47">
        <v>12</v>
      </c>
      <c r="H11" s="133">
        <f>IF(B$17=0,0,G11/B$17)</f>
        <v>6.8181818181818177E-2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6.4862068965517237</v>
      </c>
      <c r="P11" s="119">
        <v>29</v>
      </c>
      <c r="Q11" s="107">
        <v>188.1</v>
      </c>
    </row>
    <row r="12" spans="1:17" x14ac:dyDescent="0.4">
      <c r="A12" s="57" t="s">
        <v>160</v>
      </c>
      <c r="B12" s="49">
        <v>5</v>
      </c>
      <c r="C12" s="42">
        <f>IF(B$2=0,0,B12/B$2)</f>
        <v>6.5789473684210523E-2</v>
      </c>
      <c r="E12" s="63" t="s">
        <v>72</v>
      </c>
      <c r="F12" s="60" t="s">
        <v>27</v>
      </c>
      <c r="G12" s="47">
        <v>12</v>
      </c>
      <c r="H12" s="133">
        <f>IF(B$17=0,0,G12/B$17)</f>
        <v>6.8181818181818177E-2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181</v>
      </c>
      <c r="C13" s="44">
        <f>IF(B$3=0,0,B13/B$3)</f>
        <v>0.2943089430894309</v>
      </c>
      <c r="E13" s="63" t="s">
        <v>87</v>
      </c>
      <c r="F13" s="60" t="s">
        <v>42</v>
      </c>
      <c r="G13" s="47">
        <v>9</v>
      </c>
      <c r="H13" s="133">
        <f>IF(B$17=0,0,G13/B$17)</f>
        <v>5.113636363636364E-2</v>
      </c>
      <c r="I13" s="94">
        <v>6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0.1821138211382114</v>
      </c>
      <c r="E14" s="63" t="s">
        <v>84</v>
      </c>
      <c r="F14" s="60" t="s">
        <v>39</v>
      </c>
      <c r="G14" s="47">
        <v>7</v>
      </c>
      <c r="H14" s="133">
        <f>IF(B$17=0,0,G14/B$17)</f>
        <v>3.9772727272727272E-2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0.61878453038674031</v>
      </c>
      <c r="E15" s="63" t="s">
        <v>79</v>
      </c>
      <c r="F15" s="60" t="s">
        <v>34</v>
      </c>
      <c r="G15" s="47">
        <v>6</v>
      </c>
      <c r="H15" s="133">
        <f>IF(B$17=0,0,G15/B$17)</f>
        <v>3.4090909090909088E-2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0.33035714285714285</v>
      </c>
      <c r="E16" s="63" t="s">
        <v>82</v>
      </c>
      <c r="F16" s="60" t="s">
        <v>37</v>
      </c>
      <c r="G16" s="47">
        <v>6</v>
      </c>
      <c r="H16" s="133">
        <f>IF(B$17=0,0,G16/B$17)</f>
        <v>3.4090909090909088E-2</v>
      </c>
      <c r="I16" s="94">
        <v>4</v>
      </c>
      <c r="K16" s="38">
        <v>14</v>
      </c>
      <c r="L16" s="99">
        <v>-178.49999999999997</v>
      </c>
      <c r="N16" s="115" t="s">
        <v>173</v>
      </c>
      <c r="O16" s="125">
        <f>IF(P16=0,0,Q16/P16)</f>
        <v>22.275000000000002</v>
      </c>
      <c r="P16" s="119">
        <v>8</v>
      </c>
      <c r="Q16" s="107">
        <v>178.20000000000002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0.2861788617886179</v>
      </c>
      <c r="E17" s="63" t="s">
        <v>92</v>
      </c>
      <c r="F17" s="60" t="s">
        <v>47</v>
      </c>
      <c r="G17" s="47">
        <v>5</v>
      </c>
      <c r="H17" s="133">
        <f>IF(B$17=0,0,G17/B$17)</f>
        <v>2.8409090909090908E-2</v>
      </c>
      <c r="I17" s="94">
        <v>1</v>
      </c>
      <c r="K17" s="38">
        <v>15</v>
      </c>
      <c r="L17" s="99">
        <v>-146.19999999999999</v>
      </c>
      <c r="N17" s="115" t="s">
        <v>129</v>
      </c>
      <c r="O17" s="125">
        <f>IF(P17=0,0,Q17/P17)</f>
        <v>6.9208333333333334</v>
      </c>
      <c r="P17" s="119">
        <v>24</v>
      </c>
      <c r="Q17" s="107">
        <v>166.1</v>
      </c>
    </row>
    <row r="18" spans="1:17" x14ac:dyDescent="0.4">
      <c r="A18" s="55" t="s">
        <v>12</v>
      </c>
      <c r="B18" s="47">
        <v>77</v>
      </c>
      <c r="C18" s="39">
        <f>IF(B$17=0,0,B18/B$17)</f>
        <v>0.4375</v>
      </c>
      <c r="E18" s="63" t="s">
        <v>80</v>
      </c>
      <c r="F18" s="60" t="s">
        <v>35</v>
      </c>
      <c r="G18" s="47">
        <v>3</v>
      </c>
      <c r="H18" s="133">
        <f>IF(B$17=0,0,G18/B$17)</f>
        <v>1.7045454545454544E-2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99</v>
      </c>
      <c r="C19" s="39">
        <f>IF(B$17=0,0,B19/B$17)</f>
        <v>0.5625</v>
      </c>
      <c r="E19" s="63" t="s">
        <v>86</v>
      </c>
      <c r="F19" s="60" t="s">
        <v>41</v>
      </c>
      <c r="G19" s="47">
        <v>3</v>
      </c>
      <c r="H19" s="133">
        <f>IF(B$17=0,0,G19/B$17)</f>
        <v>1.7045454545454544E-2</v>
      </c>
      <c r="I19" s="94">
        <v>1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92</v>
      </c>
      <c r="C20" s="39">
        <f>IF(B$3=0,0,B20/B$3)</f>
        <v>0.14959349593495935</v>
      </c>
      <c r="E20" s="63" t="s">
        <v>76</v>
      </c>
      <c r="F20" s="60" t="s">
        <v>31</v>
      </c>
      <c r="G20" s="47">
        <v>2</v>
      </c>
      <c r="H20" s="133">
        <f>IF(B$17=0,0,G20/B$17)</f>
        <v>1.1363636363636364E-2</v>
      </c>
      <c r="I20" s="94">
        <v>3</v>
      </c>
      <c r="K20" s="38">
        <v>18</v>
      </c>
      <c r="L20" s="99">
        <v>-159</v>
      </c>
      <c r="N20" s="115" t="s">
        <v>172</v>
      </c>
      <c r="O20" s="125">
        <f>IF(P20=0,0,Q20/P20)</f>
        <v>0.4666666666666644</v>
      </c>
      <c r="P20" s="119">
        <v>24</v>
      </c>
      <c r="Q20" s="107">
        <v>11.199999999999946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1.1363636363636364E-2</v>
      </c>
      <c r="I21" s="94">
        <v>2</v>
      </c>
      <c r="K21" s="38">
        <v>19</v>
      </c>
      <c r="L21" s="99">
        <v>-235.6</v>
      </c>
      <c r="N21" s="115" t="s">
        <v>200</v>
      </c>
      <c r="O21" s="125">
        <f>IF(P21=0,0,Q21/P21)</f>
        <v>-2.4333333333333318</v>
      </c>
      <c r="P21" s="119">
        <v>6</v>
      </c>
      <c r="Q21" s="107">
        <v>-14.599999999999991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91</v>
      </c>
      <c r="F22" s="60" t="s">
        <v>46</v>
      </c>
      <c r="G22" s="47">
        <v>2</v>
      </c>
      <c r="H22" s="133">
        <f>IF(B$17=0,0,G22/B$17)</f>
        <v>1.1363636363636364E-2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-20.172727272727279</v>
      </c>
      <c r="P22" s="119">
        <v>33</v>
      </c>
      <c r="Q22" s="107">
        <v>-665.70000000000016</v>
      </c>
    </row>
    <row r="23" spans="1:17" x14ac:dyDescent="0.4">
      <c r="A23" s="55" t="s">
        <v>5</v>
      </c>
      <c r="B23" s="51">
        <f>IF(B$17=0,0,C23/B$17)</f>
        <v>8982.954545454546</v>
      </c>
      <c r="C23" s="41">
        <v>1581000</v>
      </c>
      <c r="E23" s="63" t="s">
        <v>75</v>
      </c>
      <c r="F23" s="60" t="s">
        <v>30</v>
      </c>
      <c r="G23" s="47">
        <v>1</v>
      </c>
      <c r="H23" s="133">
        <f>IF(B$17=0,0,G23/B$17)</f>
        <v>5.681818181818182E-3</v>
      </c>
      <c r="I23" s="94">
        <v>5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-7155.434782608696</v>
      </c>
      <c r="C24" s="45">
        <v>-658300</v>
      </c>
      <c r="E24" s="63" t="s">
        <v>93</v>
      </c>
      <c r="F24" s="60" t="s">
        <v>48</v>
      </c>
      <c r="G24" s="47">
        <v>1</v>
      </c>
      <c r="H24" s="133">
        <f>IF(B$17=0,0,G24/B$17)</f>
        <v>5.681818181818182E-3</v>
      </c>
      <c r="I24" s="94">
        <v>3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5.681818181818182E-3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5.681818181818182E-3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4.8780487804878049E-3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20</v>
      </c>
      <c r="C2" s="151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-990</v>
      </c>
      <c r="P2" s="118">
        <v>20</v>
      </c>
      <c r="Q2" s="102">
        <v>-19800</v>
      </c>
    </row>
    <row r="3" spans="1:17" x14ac:dyDescent="0.4">
      <c r="A3" s="55" t="s">
        <v>8</v>
      </c>
      <c r="B3" s="152">
        <v>157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-3075</v>
      </c>
      <c r="P3" s="119">
        <v>20</v>
      </c>
      <c r="Q3" s="103">
        <v>-61500</v>
      </c>
    </row>
    <row r="4" spans="1:17" x14ac:dyDescent="0.4">
      <c r="A4" s="55" t="s">
        <v>6</v>
      </c>
      <c r="B4" s="154">
        <v>-124.1</v>
      </c>
      <c r="C4" s="155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-6.2050000000000001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-1247.0588235294117</v>
      </c>
      <c r="P5" s="119">
        <v>17</v>
      </c>
      <c r="Q5" s="103">
        <v>-21200</v>
      </c>
    </row>
    <row r="6" spans="1:17" x14ac:dyDescent="0.4">
      <c r="A6" s="55" t="s">
        <v>1</v>
      </c>
      <c r="B6" s="146">
        <f>IF(B$2=0,0,(B$7*1+B$8*2+B$9*3)/B$2)</f>
        <v>2.1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8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0.4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0.25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0.1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4.7</v>
      </c>
      <c r="P12" s="120">
        <v>6</v>
      </c>
      <c r="Q12" s="108">
        <v>28.200000000000003</v>
      </c>
    </row>
    <row r="13" spans="1:17" x14ac:dyDescent="0.4">
      <c r="A13" s="58" t="s">
        <v>122</v>
      </c>
      <c r="B13" s="50">
        <v>38</v>
      </c>
      <c r="C13" s="44">
        <f>IF(B$3=0,0,B13/B$3)</f>
        <v>0.24203821656050956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0.24203821656050956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0.2929936305732484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9</v>
      </c>
      <c r="K19" s="38">
        <v>17</v>
      </c>
      <c r="L19" s="99">
        <v>-203.5</v>
      </c>
      <c r="N19" s="115" t="s">
        <v>171</v>
      </c>
      <c r="O19" s="125">
        <f t="shared" si="2"/>
        <v>-18.200000000000003</v>
      </c>
      <c r="P19" s="119">
        <v>4</v>
      </c>
      <c r="Q19" s="107">
        <v>-72.800000000000011</v>
      </c>
    </row>
    <row r="20" spans="1:17" x14ac:dyDescent="0.4">
      <c r="A20" s="55" t="s">
        <v>13</v>
      </c>
      <c r="B20" s="47">
        <v>36</v>
      </c>
      <c r="C20" s="39">
        <f>IF(B$3=0,0,B20/B$3)</f>
        <v>0.22929936305732485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128</v>
      </c>
      <c r="O20" s="125">
        <f t="shared" si="2"/>
        <v>-19.033333333333331</v>
      </c>
      <c r="P20" s="119">
        <v>9</v>
      </c>
      <c r="Q20" s="107">
        <v>-171.29999999999998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127</v>
      </c>
      <c r="O21" s="125">
        <f t="shared" si="2"/>
        <v>-22.991666666666671</v>
      </c>
      <c r="P21" s="119">
        <v>12</v>
      </c>
      <c r="Q21" s="107">
        <v>-275.90000000000003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-8722.2222222222226</v>
      </c>
      <c r="C24" s="45">
        <v>-314000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</v>
      </c>
      <c r="C2" s="151"/>
      <c r="E2" s="62" t="s">
        <v>73</v>
      </c>
      <c r="F2" s="59" t="s">
        <v>28</v>
      </c>
      <c r="G2" s="46">
        <v>31</v>
      </c>
      <c r="H2" s="132">
        <f>IF(B$17=0,0,G2/B$17)</f>
        <v>0.79487179487179482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-181.81818181818181</v>
      </c>
      <c r="P2" s="118">
        <v>11</v>
      </c>
      <c r="Q2" s="102">
        <v>-2000</v>
      </c>
    </row>
    <row r="3" spans="1:17" x14ac:dyDescent="0.4">
      <c r="A3" s="55" t="s">
        <v>8</v>
      </c>
      <c r="B3" s="152">
        <v>101</v>
      </c>
      <c r="C3" s="153"/>
      <c r="E3" s="63" t="s">
        <v>67</v>
      </c>
      <c r="F3" s="60" t="s">
        <v>23</v>
      </c>
      <c r="G3" s="47">
        <v>23</v>
      </c>
      <c r="H3" s="133">
        <f>IF(B$17=0,0,G3/B$17)</f>
        <v>0.58974358974358976</v>
      </c>
      <c r="I3" s="94">
        <v>12</v>
      </c>
      <c r="K3" s="38">
        <v>1</v>
      </c>
      <c r="L3" s="99">
        <v>-12.5</v>
      </c>
      <c r="N3" s="115" t="s">
        <v>133</v>
      </c>
      <c r="O3" s="122">
        <f t="shared" si="0"/>
        <v>1881.8181818181818</v>
      </c>
      <c r="P3" s="119">
        <v>11</v>
      </c>
      <c r="Q3" s="103">
        <v>20700</v>
      </c>
    </row>
    <row r="4" spans="1:17" x14ac:dyDescent="0.4">
      <c r="A4" s="55" t="s">
        <v>6</v>
      </c>
      <c r="B4" s="154">
        <v>100.69999999999999</v>
      </c>
      <c r="C4" s="155"/>
      <c r="E4" s="63" t="s">
        <v>65</v>
      </c>
      <c r="F4" s="60" t="s">
        <v>21</v>
      </c>
      <c r="G4" s="47">
        <v>16</v>
      </c>
      <c r="H4" s="133">
        <f>IF(B$17=0,0,G4/B$17)</f>
        <v>0.41025641025641024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-4481.818181818182</v>
      </c>
      <c r="P4" s="119">
        <v>11</v>
      </c>
      <c r="Q4" s="103">
        <v>-49300</v>
      </c>
    </row>
    <row r="5" spans="1:17" x14ac:dyDescent="0.4">
      <c r="A5" s="55" t="s">
        <v>7</v>
      </c>
      <c r="B5" s="156">
        <f>IF(B$2=0,0,B$4/B$2)</f>
        <v>9.1545454545454543</v>
      </c>
      <c r="C5" s="157"/>
      <c r="E5" s="63" t="s">
        <v>69</v>
      </c>
      <c r="F5" s="60" t="s">
        <v>12</v>
      </c>
      <c r="G5" s="47">
        <v>14</v>
      </c>
      <c r="H5" s="133">
        <f>IF(B$17=0,0,G5/B$17)</f>
        <v>0.35897435897435898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-818.18181818181813</v>
      </c>
      <c r="P5" s="119">
        <v>11</v>
      </c>
      <c r="Q5" s="103">
        <v>-9000</v>
      </c>
    </row>
    <row r="6" spans="1:17" x14ac:dyDescent="0.4">
      <c r="A6" s="55" t="s">
        <v>1</v>
      </c>
      <c r="B6" s="146">
        <f>IF(B$2=0,0,(B$7*1+B$8*2+B$9*3)/B$2)</f>
        <v>1.8181818181818181</v>
      </c>
      <c r="C6" s="147"/>
      <c r="E6" s="63" t="s">
        <v>68</v>
      </c>
      <c r="F6" s="60" t="s">
        <v>24</v>
      </c>
      <c r="G6" s="47">
        <v>11</v>
      </c>
      <c r="H6" s="133">
        <f>IF(B$17=0,0,G6/B$17)</f>
        <v>0.28205128205128205</v>
      </c>
      <c r="I6" s="94">
        <v>10</v>
      </c>
      <c r="K6" s="38">
        <v>4</v>
      </c>
      <c r="L6" s="99">
        <v>19.399999999999995</v>
      </c>
      <c r="N6" s="115" t="s">
        <v>136</v>
      </c>
      <c r="O6" s="122">
        <f t="shared" si="0"/>
        <v>11366.666666666666</v>
      </c>
      <c r="P6" s="119">
        <v>9</v>
      </c>
      <c r="Q6" s="103">
        <v>102300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245</v>
      </c>
      <c r="F7" s="60" t="s">
        <v>246</v>
      </c>
      <c r="G7" s="47">
        <v>11</v>
      </c>
      <c r="H7" s="133">
        <f>IF(B$17=0,0,G7/B$17)</f>
        <v>0.28205128205128205</v>
      </c>
      <c r="I7" s="94">
        <v>13</v>
      </c>
      <c r="K7" s="38">
        <v>5</v>
      </c>
      <c r="L7" s="99">
        <v>-16.100000000000005</v>
      </c>
      <c r="N7" s="116" t="s">
        <v>137</v>
      </c>
      <c r="O7" s="123">
        <f t="shared" si="0"/>
        <v>-250</v>
      </c>
      <c r="P7" s="120">
        <v>8</v>
      </c>
      <c r="Q7" s="104">
        <v>-2000</v>
      </c>
    </row>
    <row r="8" spans="1:17" x14ac:dyDescent="0.4">
      <c r="A8" s="55" t="s">
        <v>3</v>
      </c>
      <c r="B8" s="47">
        <v>7</v>
      </c>
      <c r="C8" s="39">
        <f>IF(B$2=0,0,B8/B$2)</f>
        <v>0.63636363636363635</v>
      </c>
      <c r="E8" s="63" t="s">
        <v>90</v>
      </c>
      <c r="F8" s="60" t="s">
        <v>45</v>
      </c>
      <c r="G8" s="47">
        <v>7</v>
      </c>
      <c r="H8" s="133">
        <f>IF(B$17=0,0,G8/B$17)</f>
        <v>0.17948717948717949</v>
      </c>
      <c r="I8" s="94">
        <v>3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9.0909090909090912E-2</v>
      </c>
      <c r="E9" s="63" t="s">
        <v>70</v>
      </c>
      <c r="F9" s="60" t="s">
        <v>25</v>
      </c>
      <c r="G9" s="47">
        <v>6</v>
      </c>
      <c r="H9" s="133">
        <f>IF(B$17=0,0,G9/B$17)</f>
        <v>0.15384615384615385</v>
      </c>
      <c r="I9" s="94">
        <v>9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4</v>
      </c>
      <c r="H10" s="133">
        <f>IF(B$17=0,0,G10/B$17)</f>
        <v>0.10256410256410256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1</v>
      </c>
      <c r="C11" s="40">
        <f>IF(B$2=0,0,B11/B$2)</f>
        <v>9.0909090909090912E-2</v>
      </c>
      <c r="E11" s="63" t="s">
        <v>79</v>
      </c>
      <c r="F11" s="60" t="s">
        <v>34</v>
      </c>
      <c r="G11" s="47">
        <v>3</v>
      </c>
      <c r="H11" s="133">
        <f>IF(B$17=0,0,G11/B$17)</f>
        <v>7.6923076923076927E-2</v>
      </c>
      <c r="I11" s="94">
        <v>2</v>
      </c>
      <c r="K11" s="38">
        <v>9</v>
      </c>
      <c r="L11" s="99">
        <v>18.099999999999994</v>
      </c>
      <c r="N11" s="115" t="s">
        <v>165</v>
      </c>
      <c r="O11" s="125">
        <f>IF(P11=0,0,Q11/P11)</f>
        <v>35.833333333333336</v>
      </c>
      <c r="P11" s="119">
        <v>3</v>
      </c>
      <c r="Q11" s="107">
        <v>107.5</v>
      </c>
    </row>
    <row r="12" spans="1:17" x14ac:dyDescent="0.4">
      <c r="A12" s="57" t="s">
        <v>160</v>
      </c>
      <c r="B12" s="49">
        <v>1</v>
      </c>
      <c r="C12" s="42">
        <f>IF(B$2=0,0,B12/B$2)</f>
        <v>9.0909090909090912E-2</v>
      </c>
      <c r="E12" s="63" t="s">
        <v>66</v>
      </c>
      <c r="F12" s="60" t="s">
        <v>22</v>
      </c>
      <c r="G12" s="47">
        <v>2</v>
      </c>
      <c r="H12" s="133">
        <f>IF(B$17=0,0,G12/B$17)</f>
        <v>5.128205128205128E-2</v>
      </c>
      <c r="I12" s="94">
        <v>9</v>
      </c>
      <c r="K12" s="38">
        <v>10</v>
      </c>
      <c r="L12" s="99">
        <v>109.39999999999999</v>
      </c>
      <c r="N12" s="116" t="s">
        <v>166</v>
      </c>
      <c r="O12" s="126">
        <f>IF(P12=0,0,Q12/P12)</f>
        <v>-3.4200000000000004</v>
      </c>
      <c r="P12" s="120">
        <v>5</v>
      </c>
      <c r="Q12" s="108">
        <v>-17.100000000000001</v>
      </c>
    </row>
    <row r="13" spans="1:17" x14ac:dyDescent="0.4">
      <c r="A13" s="58" t="s">
        <v>122</v>
      </c>
      <c r="B13" s="50">
        <v>23</v>
      </c>
      <c r="C13" s="44">
        <f>IF(B$3=0,0,B13/B$3)</f>
        <v>0.22772277227722773</v>
      </c>
      <c r="E13" s="63" t="s">
        <v>78</v>
      </c>
      <c r="F13" s="60" t="s">
        <v>33</v>
      </c>
      <c r="G13" s="47">
        <v>1</v>
      </c>
      <c r="H13" s="133">
        <f>IF(B$17=0,0,G13/B$17)</f>
        <v>2.564102564102564E-2</v>
      </c>
      <c r="I13" s="94">
        <v>1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</v>
      </c>
      <c r="C14" s="39">
        <f>IF(B$3=0,0,B14/B$3)</f>
        <v>0.34653465346534651</v>
      </c>
      <c r="E14" s="63" t="s">
        <v>80</v>
      </c>
      <c r="F14" s="60" t="s">
        <v>35</v>
      </c>
      <c r="G14" s="47">
        <v>1</v>
      </c>
      <c r="H14" s="133">
        <f>IF(B$17=0,0,G14/B$17)</f>
        <v>2.564102564102564E-2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0.69565217391304346</v>
      </c>
      <c r="E15" s="63" t="s">
        <v>84</v>
      </c>
      <c r="F15" s="60" t="s">
        <v>39</v>
      </c>
      <c r="G15" s="47">
        <v>1</v>
      </c>
      <c r="H15" s="133">
        <f>IF(B$17=0,0,G15/B$17)</f>
        <v>2.564102564102564E-2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18</v>
      </c>
      <c r="C16" s="37">
        <f>IF(B$14=0,0,B16/B$14)</f>
        <v>0.51428571428571423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0.38613861386138615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11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24</v>
      </c>
      <c r="C18" s="39">
        <f>IF(B$17=0,0,B18/B$17)</f>
        <v>0.61538461538461542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8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15</v>
      </c>
      <c r="C19" s="39">
        <f>IF(B$17=0,0,B19/B$17)</f>
        <v>0.38461538461538464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7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18</v>
      </c>
      <c r="C20" s="39">
        <f>IF(B$3=0,0,B20/B$3)</f>
        <v>0.17821782178217821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9</v>
      </c>
      <c r="N20" s="115" t="s">
        <v>177</v>
      </c>
      <c r="O20" s="125">
        <f>IF(P20=0,0,Q20/P20)</f>
        <v>2.4333333333333331</v>
      </c>
      <c r="P20" s="119">
        <v>6</v>
      </c>
      <c r="Q20" s="107">
        <v>14.599999999999998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7551.2820512820517</v>
      </c>
      <c r="C23" s="41">
        <v>294500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-7388.8888888888887</v>
      </c>
      <c r="C24" s="45">
        <v>-133000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0.3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-3250</v>
      </c>
      <c r="P2" s="118">
        <v>4</v>
      </c>
      <c r="Q2" s="102">
        <v>-13000</v>
      </c>
    </row>
    <row r="3" spans="1:17" x14ac:dyDescent="0.4">
      <c r="A3" s="55" t="s">
        <v>8</v>
      </c>
      <c r="B3" s="152">
        <v>38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3425</v>
      </c>
      <c r="P3" s="119">
        <v>4</v>
      </c>
      <c r="Q3" s="103">
        <v>13700</v>
      </c>
    </row>
    <row r="4" spans="1:17" x14ac:dyDescent="0.4">
      <c r="A4" s="55" t="s">
        <v>6</v>
      </c>
      <c r="B4" s="154">
        <v>-37.200000000000003</v>
      </c>
      <c r="C4" s="155"/>
      <c r="E4" s="63" t="s">
        <v>67</v>
      </c>
      <c r="F4" s="60" t="s">
        <v>23</v>
      </c>
      <c r="G4" s="47">
        <v>10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-5750</v>
      </c>
      <c r="P4" s="119">
        <v>4</v>
      </c>
      <c r="Q4" s="103">
        <v>-23000</v>
      </c>
    </row>
    <row r="5" spans="1:17" x14ac:dyDescent="0.4">
      <c r="A5" s="55" t="s">
        <v>7</v>
      </c>
      <c r="B5" s="156">
        <f>IF(B$2=0,0,B$4/B$2)</f>
        <v>-9.3000000000000007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0.3</v>
      </c>
      <c r="I5" s="94">
        <v>8</v>
      </c>
      <c r="K5" s="38">
        <v>3</v>
      </c>
      <c r="L5" s="99">
        <v>14.500000000000004</v>
      </c>
      <c r="N5" s="115" t="s">
        <v>135</v>
      </c>
      <c r="O5" s="122">
        <f t="shared" si="0"/>
        <v>-50</v>
      </c>
      <c r="P5" s="119">
        <v>4</v>
      </c>
      <c r="Q5" s="103">
        <v>-200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0.3</v>
      </c>
      <c r="I6" s="94">
        <v>9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0.25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9</v>
      </c>
      <c r="H10" s="133">
        <f>IF(B$17=0,0,G10/B$17)</f>
        <v>0.9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39.200000000000003</v>
      </c>
      <c r="P11" s="119">
        <v>1</v>
      </c>
      <c r="Q11" s="107">
        <v>39.200000000000003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5</v>
      </c>
      <c r="C13" s="44">
        <f>IF(B$3=0,0,B13/B$3)</f>
        <v>0.13157894736842105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0.36842105263157893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N15" s="114" t="s">
        <v>127</v>
      </c>
      <c r="O15" s="124">
        <f>IF(P15=0,0,Q15/P15)</f>
        <v>29.566666666666666</v>
      </c>
      <c r="P15" s="118">
        <v>3</v>
      </c>
      <c r="Q15" s="106">
        <v>88.7</v>
      </c>
    </row>
    <row r="16" spans="1:17" x14ac:dyDescent="0.4">
      <c r="A16" s="54" t="s">
        <v>125</v>
      </c>
      <c r="B16" s="46">
        <v>6</v>
      </c>
      <c r="C16" s="37">
        <f>IF(B$14=0,0,B16/B$14)</f>
        <v>0.42857142857142855</v>
      </c>
      <c r="E16" s="63" t="s">
        <v>79</v>
      </c>
      <c r="F16" s="60" t="s">
        <v>34</v>
      </c>
      <c r="G16" s="47">
        <v>1</v>
      </c>
      <c r="H16" s="133">
        <f>IF(B$17=0,0,G16/B$17)</f>
        <v>0.1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0.26315789473684209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129</v>
      </c>
      <c r="O17" s="125">
        <f>IF(P17=0,0,Q17/P17)</f>
        <v>-42.5</v>
      </c>
      <c r="P17" s="119">
        <v>4</v>
      </c>
      <c r="Q17" s="107">
        <v>-170</v>
      </c>
    </row>
    <row r="18" spans="1:17" x14ac:dyDescent="0.4">
      <c r="A18" s="55" t="s">
        <v>12</v>
      </c>
      <c r="B18" s="47">
        <v>7</v>
      </c>
      <c r="C18" s="39">
        <f>IF(B$17=0,0,B18/B$17)</f>
        <v>0.7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6</v>
      </c>
      <c r="C20" s="39">
        <f>IF(B$3=0,0,B20/B$3)</f>
        <v>0.15789473684210525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0.1</v>
      </c>
      <c r="I21" s="94">
        <v>2</v>
      </c>
    </row>
    <row r="22" spans="1:17" x14ac:dyDescent="0.4">
      <c r="A22" s="55" t="s">
        <v>192</v>
      </c>
      <c r="B22" s="47">
        <v>16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9270</v>
      </c>
      <c r="C23" s="41">
        <v>92700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0.2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4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2019-06-29T16:18:50Z</dcterms:modified>
</cp:coreProperties>
</file>