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D8098BEE-6D91-4EB5-9079-AA89AAE2F0A1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401" r:id="rId6"/>
    <sheet name="だいち" sheetId="5403" r:id="rId7"/>
    <sheet name="りくと" sheetId="5405" r:id="rId8"/>
    <sheet name="ただ" sheetId="5407" r:id="rId9"/>
    <sheet name="れんたろう" sheetId="5409" r:id="rId10"/>
    <sheet name="たかの" sheetId="5411" r:id="rId11"/>
    <sheet name="ぱぱ" sheetId="5413" r:id="rId12"/>
    <sheet name="まっつん" sheetId="5415" r:id="rId13"/>
    <sheet name="あさひ" sheetId="5417" r:id="rId14"/>
    <sheet name="いっしー" sheetId="5419" r:id="rId15"/>
    <sheet name="ほたに" sheetId="5421" r:id="rId16"/>
    <sheet name="かわたつ" sheetId="5423" r:id="rId17"/>
    <sheet name="やがさき" sheetId="5425" r:id="rId18"/>
    <sheet name="やがさき2" sheetId="5426" state="hidden" r:id="rId19"/>
    <sheet name="かわたつ2" sheetId="5424" state="hidden" r:id="rId20"/>
    <sheet name="ほたに2" sheetId="5422" state="hidden" r:id="rId21"/>
    <sheet name="いっしー2" sheetId="5420" state="hidden" r:id="rId22"/>
    <sheet name="あさひ2" sheetId="5418" state="hidden" r:id="rId23"/>
    <sheet name="まっつん2" sheetId="5416" state="hidden" r:id="rId24"/>
    <sheet name="ぱぱ2" sheetId="5414" state="hidden" r:id="rId25"/>
    <sheet name="たかの2" sheetId="5412" state="hidden" r:id="rId26"/>
    <sheet name="れんたろう2" sheetId="5410" state="hidden" r:id="rId27"/>
    <sheet name="ただ2" sheetId="5408" state="hidden" r:id="rId28"/>
    <sheet name="りくと2" sheetId="5406" state="hidden" r:id="rId29"/>
    <sheet name="だいち2" sheetId="5404" state="hidden" r:id="rId30"/>
    <sheet name="全体2" sheetId="5402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5" i="5403" l="1"/>
  <c r="O15" i="5425"/>
  <c r="O15" i="5407" l="1"/>
  <c r="O16" i="5411"/>
  <c r="O16" i="5401"/>
  <c r="O17" i="5425"/>
  <c r="O16" i="5425"/>
  <c r="C27" i="5425"/>
  <c r="B24" i="5425"/>
  <c r="C20" i="5425"/>
  <c r="B17" i="5425"/>
  <c r="H49" i="5425" s="1"/>
  <c r="C16" i="5425"/>
  <c r="C15" i="5425"/>
  <c r="C14" i="5425"/>
  <c r="C13" i="5425"/>
  <c r="O12" i="5425"/>
  <c r="C12" i="5425"/>
  <c r="O11" i="5425"/>
  <c r="C11" i="5425"/>
  <c r="O10" i="5425"/>
  <c r="C10" i="5425"/>
  <c r="C9" i="5425"/>
  <c r="C8" i="5425"/>
  <c r="O7" i="5425"/>
  <c r="C7" i="5425"/>
  <c r="O6" i="5425"/>
  <c r="B6" i="5425"/>
  <c r="O5" i="5425"/>
  <c r="B5" i="5425"/>
  <c r="O4" i="5425"/>
  <c r="O3" i="5425"/>
  <c r="O2" i="5425"/>
  <c r="O15" i="5423"/>
  <c r="O16" i="5423"/>
  <c r="C27" i="5423"/>
  <c r="B24" i="5423"/>
  <c r="C20" i="5423"/>
  <c r="B17" i="5423"/>
  <c r="H48" i="5423" s="1"/>
  <c r="C16" i="5423"/>
  <c r="C15" i="5423"/>
  <c r="C14" i="5423"/>
  <c r="C13" i="5423"/>
  <c r="O12" i="5423"/>
  <c r="C12" i="5423"/>
  <c r="O11" i="5423"/>
  <c r="C11" i="5423"/>
  <c r="O10" i="5423"/>
  <c r="H10" i="5423"/>
  <c r="C10" i="5423"/>
  <c r="C9" i="5423"/>
  <c r="C8" i="5423"/>
  <c r="O7" i="5423"/>
  <c r="C7" i="5423"/>
  <c r="O6" i="5423"/>
  <c r="B6" i="5423"/>
  <c r="O5" i="5423"/>
  <c r="B5" i="5423"/>
  <c r="O4" i="5423"/>
  <c r="O3" i="5423"/>
  <c r="O2" i="5423"/>
  <c r="O23" i="5409"/>
  <c r="O18" i="5403"/>
  <c r="O25" i="5401"/>
  <c r="H3" i="5425" l="1"/>
  <c r="H34" i="5425"/>
  <c r="H16" i="5425"/>
  <c r="H4" i="5425"/>
  <c r="H25" i="5425"/>
  <c r="H9" i="5425"/>
  <c r="H6" i="5425"/>
  <c r="H35" i="5425"/>
  <c r="H43" i="5425"/>
  <c r="H12" i="5425"/>
  <c r="H19" i="5425"/>
  <c r="H44" i="5425"/>
  <c r="H27" i="5425"/>
  <c r="H22" i="5425"/>
  <c r="H7" i="5425"/>
  <c r="H36" i="5425"/>
  <c r="H46" i="5425"/>
  <c r="H29" i="5425"/>
  <c r="H5" i="5425"/>
  <c r="H11" i="5425"/>
  <c r="C18" i="5425"/>
  <c r="H23" i="5425"/>
  <c r="H30" i="5425"/>
  <c r="H39" i="5425"/>
  <c r="H48" i="5425"/>
  <c r="C17" i="5425"/>
  <c r="H28" i="5425"/>
  <c r="H17" i="5425"/>
  <c r="H47" i="5425"/>
  <c r="H8" i="5425"/>
  <c r="H18" i="5425"/>
  <c r="H31" i="5425"/>
  <c r="H40" i="5425"/>
  <c r="H50" i="5425"/>
  <c r="H10" i="5425"/>
  <c r="H21" i="5425"/>
  <c r="H45" i="5425"/>
  <c r="H13" i="5425"/>
  <c r="H37" i="5425"/>
  <c r="B23" i="5425"/>
  <c r="H38" i="5425"/>
  <c r="H14" i="5425"/>
  <c r="H2" i="5425"/>
  <c r="H15" i="5425"/>
  <c r="C19" i="5425"/>
  <c r="H24" i="5425"/>
  <c r="H32" i="5425"/>
  <c r="H42" i="5425"/>
  <c r="H51" i="5425"/>
  <c r="H20" i="5425"/>
  <c r="H26" i="5425"/>
  <c r="H33" i="5425"/>
  <c r="H41" i="5425"/>
  <c r="C17" i="5423"/>
  <c r="H4" i="5423"/>
  <c r="H20" i="5423"/>
  <c r="H26" i="5423"/>
  <c r="H33" i="5423"/>
  <c r="H41" i="5423"/>
  <c r="H49" i="5423"/>
  <c r="H7" i="5423"/>
  <c r="H13" i="5423"/>
  <c r="H21" i="5423"/>
  <c r="H34" i="5423"/>
  <c r="H42" i="5423"/>
  <c r="H50" i="5423"/>
  <c r="H17" i="5423"/>
  <c r="H22" i="5423"/>
  <c r="H27" i="5423"/>
  <c r="H35" i="5423"/>
  <c r="H43" i="5423"/>
  <c r="H51" i="5423"/>
  <c r="H5" i="5423"/>
  <c r="H11" i="5423"/>
  <c r="H14" i="5423"/>
  <c r="C18" i="5423"/>
  <c r="B23" i="5423"/>
  <c r="H28" i="5423"/>
  <c r="H36" i="5423"/>
  <c r="H44" i="5423"/>
  <c r="H2" i="5423"/>
  <c r="H8" i="5423"/>
  <c r="H18" i="5423"/>
  <c r="H23" i="5423"/>
  <c r="H29" i="5423"/>
  <c r="H37" i="5423"/>
  <c r="H45" i="5423"/>
  <c r="H15" i="5423"/>
  <c r="C19" i="5423"/>
  <c r="H30" i="5423"/>
  <c r="H38" i="5423"/>
  <c r="H46" i="5423"/>
  <c r="H3" i="5423"/>
  <c r="H6" i="5423"/>
  <c r="H9" i="5423"/>
  <c r="H12" i="5423"/>
  <c r="H19" i="5423"/>
  <c r="H24" i="5423"/>
  <c r="H31" i="5423"/>
  <c r="H39" i="5423"/>
  <c r="H47" i="5423"/>
  <c r="H16" i="5423"/>
  <c r="H25" i="5423"/>
  <c r="H32" i="5423"/>
  <c r="H40" i="5423"/>
  <c r="O17" i="5411" l="1"/>
  <c r="O16" i="5419"/>
  <c r="O20" i="5421" l="1"/>
  <c r="O18" i="5421"/>
  <c r="O15" i="5415"/>
  <c r="O20" i="5405"/>
  <c r="O24" i="5403" l="1"/>
  <c r="O16" i="5421"/>
  <c r="O21" i="5413"/>
  <c r="O15" i="5421"/>
  <c r="O17" i="5421" l="1"/>
  <c r="O19" i="5421"/>
  <c r="C27" i="5421"/>
  <c r="B24" i="5421"/>
  <c r="C20" i="5421"/>
  <c r="B17" i="5421"/>
  <c r="H49" i="5421" s="1"/>
  <c r="C16" i="5421"/>
  <c r="C15" i="5421"/>
  <c r="C14" i="5421"/>
  <c r="C13" i="5421"/>
  <c r="O12" i="5421"/>
  <c r="C12" i="5421"/>
  <c r="O11" i="5421"/>
  <c r="C11" i="5421"/>
  <c r="O10" i="5421"/>
  <c r="C10" i="5421"/>
  <c r="C9" i="5421"/>
  <c r="C8" i="5421"/>
  <c r="O7" i="5421"/>
  <c r="C7" i="5421"/>
  <c r="O6" i="5421"/>
  <c r="B6" i="5421"/>
  <c r="O5" i="5421"/>
  <c r="B5" i="5421"/>
  <c r="O4" i="5421"/>
  <c r="O3" i="5421"/>
  <c r="O2" i="5421"/>
  <c r="O21" i="5409"/>
  <c r="O18" i="5411"/>
  <c r="O19" i="5401"/>
  <c r="H37" i="5421" l="1"/>
  <c r="C19" i="5421"/>
  <c r="H10" i="5421"/>
  <c r="H42" i="5421"/>
  <c r="H43" i="5421"/>
  <c r="H18" i="5421"/>
  <c r="H11" i="5421"/>
  <c r="H30" i="5421"/>
  <c r="H15" i="5421"/>
  <c r="H46" i="5421"/>
  <c r="H3" i="5421"/>
  <c r="H44" i="5421"/>
  <c r="H5" i="5421"/>
  <c r="H34" i="5421"/>
  <c r="H6" i="5421"/>
  <c r="H17" i="5421"/>
  <c r="H24" i="5421"/>
  <c r="H4" i="5421"/>
  <c r="C18" i="5421"/>
  <c r="H14" i="5421"/>
  <c r="H27" i="5421"/>
  <c r="H45" i="5421"/>
  <c r="H8" i="5421"/>
  <c r="H19" i="5421"/>
  <c r="H31" i="5421"/>
  <c r="H2" i="5421"/>
  <c r="H9" i="5421"/>
  <c r="H12" i="5421"/>
  <c r="H16" i="5421"/>
  <c r="B23" i="5421"/>
  <c r="H36" i="5421"/>
  <c r="H23" i="5421"/>
  <c r="H35" i="5421"/>
  <c r="H47" i="5421"/>
  <c r="H28" i="5421"/>
  <c r="H50" i="5421"/>
  <c r="H21" i="5421"/>
  <c r="H38" i="5421"/>
  <c r="H7" i="5421"/>
  <c r="H13" i="5421"/>
  <c r="C17" i="5421"/>
  <c r="H22" i="5421"/>
  <c r="H29" i="5421"/>
  <c r="H39" i="5421"/>
  <c r="H51" i="5421"/>
  <c r="H25" i="5421"/>
  <c r="H32" i="5421"/>
  <c r="H40" i="5421"/>
  <c r="H48" i="5421"/>
  <c r="H20" i="5421"/>
  <c r="H26" i="5421"/>
  <c r="H33" i="5421"/>
  <c r="H41" i="5421"/>
  <c r="O19" i="5411" l="1"/>
  <c r="O16" i="5407"/>
  <c r="O21" i="5415"/>
  <c r="O20" i="5415"/>
  <c r="O21" i="5403" l="1"/>
  <c r="O17" i="5419"/>
  <c r="O20" i="5419" l="1"/>
  <c r="O15" i="5419"/>
  <c r="O16" i="5409"/>
  <c r="O22" i="5407"/>
  <c r="O17" i="5417" l="1"/>
  <c r="O22" i="5413"/>
  <c r="O15" i="5417"/>
  <c r="O21" i="5419"/>
  <c r="O15" i="5405"/>
  <c r="O17" i="5415"/>
  <c r="O17" i="5401"/>
  <c r="O19" i="5419"/>
  <c r="O18" i="5419"/>
  <c r="C27" i="5419"/>
  <c r="B24" i="5419"/>
  <c r="C20" i="5419"/>
  <c r="B17" i="5419"/>
  <c r="H51" i="5419" s="1"/>
  <c r="C16" i="5419"/>
  <c r="C15" i="5419"/>
  <c r="C14" i="5419"/>
  <c r="C13" i="5419"/>
  <c r="O12" i="5419"/>
  <c r="C12" i="5419"/>
  <c r="O11" i="5419"/>
  <c r="C11" i="5419"/>
  <c r="O10" i="5419"/>
  <c r="C10" i="5419"/>
  <c r="C9" i="5419"/>
  <c r="C8" i="5419"/>
  <c r="O7" i="5419"/>
  <c r="C7" i="5419"/>
  <c r="O6" i="5419"/>
  <c r="B6" i="5419"/>
  <c r="O5" i="5419"/>
  <c r="B5" i="5419"/>
  <c r="O4" i="5419"/>
  <c r="O3" i="5419"/>
  <c r="O2" i="5419"/>
  <c r="O16" i="5417"/>
  <c r="O18" i="5417"/>
  <c r="C27" i="5417"/>
  <c r="B24" i="5417"/>
  <c r="C20" i="5417"/>
  <c r="B17" i="5417"/>
  <c r="H48" i="5417" s="1"/>
  <c r="C16" i="5417"/>
  <c r="C15" i="5417"/>
  <c r="C14" i="5417"/>
  <c r="C13" i="5417"/>
  <c r="O12" i="5417"/>
  <c r="C12" i="5417"/>
  <c r="O11" i="5417"/>
  <c r="C11" i="5417"/>
  <c r="O10" i="5417"/>
  <c r="C10" i="5417"/>
  <c r="C9" i="5417"/>
  <c r="C8" i="5417"/>
  <c r="O7" i="5417"/>
  <c r="C7" i="5417"/>
  <c r="O6" i="5417"/>
  <c r="B6" i="5417"/>
  <c r="O5" i="5417"/>
  <c r="B5" i="5417"/>
  <c r="O4" i="5417"/>
  <c r="O3" i="5417"/>
  <c r="O2" i="5417"/>
  <c r="O22" i="5415"/>
  <c r="O23" i="5415"/>
  <c r="O15" i="5403"/>
  <c r="O17" i="5403"/>
  <c r="O26" i="5401"/>
  <c r="H23" i="5417" l="1"/>
  <c r="H10" i="5417"/>
  <c r="H8" i="5417"/>
  <c r="H2" i="5417"/>
  <c r="H29" i="5417"/>
  <c r="H37" i="5417"/>
  <c r="C17" i="5417"/>
  <c r="H45" i="5417"/>
  <c r="H4" i="5417"/>
  <c r="H18" i="5417"/>
  <c r="H2" i="5419"/>
  <c r="H4" i="5419"/>
  <c r="C17" i="5419"/>
  <c r="H8" i="5419"/>
  <c r="H26" i="5419"/>
  <c r="H41" i="5419"/>
  <c r="H7" i="5419"/>
  <c r="H13" i="5419"/>
  <c r="H42" i="5419"/>
  <c r="H5" i="5419"/>
  <c r="H11" i="5419"/>
  <c r="H14" i="5419"/>
  <c r="C18" i="5419"/>
  <c r="B23" i="5419"/>
  <c r="H28" i="5419"/>
  <c r="H36" i="5419"/>
  <c r="H44" i="5419"/>
  <c r="H18" i="5419"/>
  <c r="H29" i="5419"/>
  <c r="H37" i="5419"/>
  <c r="H15" i="5419"/>
  <c r="H30" i="5419"/>
  <c r="H46" i="5419"/>
  <c r="H3" i="5419"/>
  <c r="H6" i="5419"/>
  <c r="H9" i="5419"/>
  <c r="H12" i="5419"/>
  <c r="H19" i="5419"/>
  <c r="H24" i="5419"/>
  <c r="H31" i="5419"/>
  <c r="H39" i="5419"/>
  <c r="H47" i="5419"/>
  <c r="H23" i="5419"/>
  <c r="H45" i="5419"/>
  <c r="C19" i="5419"/>
  <c r="H38" i="5419"/>
  <c r="H16" i="5419"/>
  <c r="H25" i="5419"/>
  <c r="H32" i="5419"/>
  <c r="H40" i="5419"/>
  <c r="H48" i="5419"/>
  <c r="H10" i="5419"/>
  <c r="H20" i="5419"/>
  <c r="H33" i="5419"/>
  <c r="H49" i="5419"/>
  <c r="H21" i="5419"/>
  <c r="H34" i="5419"/>
  <c r="H50" i="5419"/>
  <c r="H17" i="5419"/>
  <c r="H22" i="5419"/>
  <c r="H27" i="5419"/>
  <c r="H35" i="5419"/>
  <c r="H43" i="5419"/>
  <c r="H20" i="5417"/>
  <c r="H26" i="5417"/>
  <c r="H33" i="5417"/>
  <c r="H41" i="5417"/>
  <c r="H49" i="5417"/>
  <c r="H7" i="5417"/>
  <c r="H13" i="5417"/>
  <c r="H21" i="5417"/>
  <c r="H34" i="5417"/>
  <c r="H42" i="5417"/>
  <c r="H50" i="5417"/>
  <c r="H17" i="5417"/>
  <c r="H22" i="5417"/>
  <c r="H27" i="5417"/>
  <c r="H35" i="5417"/>
  <c r="H43" i="5417"/>
  <c r="H51" i="5417"/>
  <c r="H5" i="5417"/>
  <c r="H11" i="5417"/>
  <c r="H14" i="5417"/>
  <c r="C18" i="5417"/>
  <c r="B23" i="5417"/>
  <c r="H28" i="5417"/>
  <c r="H36" i="5417"/>
  <c r="H44" i="5417"/>
  <c r="H15" i="5417"/>
  <c r="C19" i="5417"/>
  <c r="H30" i="5417"/>
  <c r="H38" i="5417"/>
  <c r="H46" i="5417"/>
  <c r="H3" i="5417"/>
  <c r="H6" i="5417"/>
  <c r="H9" i="5417"/>
  <c r="H12" i="5417"/>
  <c r="H19" i="5417"/>
  <c r="H24" i="5417"/>
  <c r="H31" i="5417"/>
  <c r="H39" i="5417"/>
  <c r="H47" i="5417"/>
  <c r="H16" i="5417"/>
  <c r="H25" i="5417"/>
  <c r="H32" i="5417"/>
  <c r="H40" i="5417"/>
  <c r="O19" i="5415" l="1"/>
  <c r="O18" i="5413"/>
  <c r="O16" i="5413"/>
  <c r="O17" i="5405"/>
  <c r="O20" i="5411" l="1"/>
  <c r="O17" i="5409"/>
  <c r="O17" i="5413"/>
  <c r="O19" i="5413"/>
  <c r="O15" i="5411" l="1"/>
  <c r="O15" i="5409"/>
  <c r="O21" i="5407"/>
  <c r="O19" i="5407"/>
  <c r="O16" i="5415"/>
  <c r="O18" i="5415"/>
  <c r="C27" i="5415"/>
  <c r="B24" i="5415"/>
  <c r="C20" i="5415"/>
  <c r="B17" i="5415"/>
  <c r="H48" i="5415" s="1"/>
  <c r="C16" i="5415"/>
  <c r="C15" i="5415"/>
  <c r="C14" i="5415"/>
  <c r="C13" i="5415"/>
  <c r="O12" i="5415"/>
  <c r="C12" i="5415"/>
  <c r="O11" i="5415"/>
  <c r="C11" i="5415"/>
  <c r="O10" i="5415"/>
  <c r="H10" i="5415"/>
  <c r="C10" i="5415"/>
  <c r="C9" i="5415"/>
  <c r="C8" i="5415"/>
  <c r="O7" i="5415"/>
  <c r="C7" i="5415"/>
  <c r="O6" i="5415"/>
  <c r="B6" i="5415"/>
  <c r="O5" i="5415"/>
  <c r="B5" i="5415"/>
  <c r="O4" i="5415"/>
  <c r="O3" i="5415"/>
  <c r="O2" i="5415"/>
  <c r="O22" i="5409"/>
  <c r="O21" i="5405"/>
  <c r="O22" i="5401"/>
  <c r="H2" i="5415" l="1"/>
  <c r="C17" i="5415"/>
  <c r="H4" i="5415"/>
  <c r="H20" i="5415"/>
  <c r="H26" i="5415"/>
  <c r="H33" i="5415"/>
  <c r="H41" i="5415"/>
  <c r="H49" i="5415"/>
  <c r="H7" i="5415"/>
  <c r="H13" i="5415"/>
  <c r="H21" i="5415"/>
  <c r="H34" i="5415"/>
  <c r="H42" i="5415"/>
  <c r="H50" i="5415"/>
  <c r="H17" i="5415"/>
  <c r="H22" i="5415"/>
  <c r="H27" i="5415"/>
  <c r="H35" i="5415"/>
  <c r="H43" i="5415"/>
  <c r="H51" i="5415"/>
  <c r="H5" i="5415"/>
  <c r="H11" i="5415"/>
  <c r="H14" i="5415"/>
  <c r="C18" i="5415"/>
  <c r="B23" i="5415"/>
  <c r="H28" i="5415"/>
  <c r="H36" i="5415"/>
  <c r="H44" i="5415"/>
  <c r="H8" i="5415"/>
  <c r="H18" i="5415"/>
  <c r="H23" i="5415"/>
  <c r="H29" i="5415"/>
  <c r="H37" i="5415"/>
  <c r="H45" i="5415"/>
  <c r="H15" i="5415"/>
  <c r="C19" i="5415"/>
  <c r="H30" i="5415"/>
  <c r="H38" i="5415"/>
  <c r="H46" i="5415"/>
  <c r="H3" i="5415"/>
  <c r="H6" i="5415"/>
  <c r="H9" i="5415"/>
  <c r="H12" i="5415"/>
  <c r="H19" i="5415"/>
  <c r="H24" i="5415"/>
  <c r="H31" i="5415"/>
  <c r="H39" i="5415"/>
  <c r="H47" i="5415"/>
  <c r="H16" i="5415"/>
  <c r="H25" i="5415"/>
  <c r="H32" i="5415"/>
  <c r="H40" i="5415"/>
  <c r="O18" i="5407" l="1"/>
  <c r="O20" i="5413"/>
  <c r="O15" i="5413"/>
  <c r="C27" i="5413"/>
  <c r="B24" i="5413"/>
  <c r="C20" i="5413"/>
  <c r="B17" i="5413"/>
  <c r="H50" i="5413" s="1"/>
  <c r="C16" i="5413"/>
  <c r="C15" i="5413"/>
  <c r="C14" i="5413"/>
  <c r="C13" i="5413"/>
  <c r="O12" i="5413"/>
  <c r="C12" i="5413"/>
  <c r="O11" i="5413"/>
  <c r="C11" i="5413"/>
  <c r="O10" i="5413"/>
  <c r="C10" i="5413"/>
  <c r="C9" i="5413"/>
  <c r="C8" i="5413"/>
  <c r="O7" i="5413"/>
  <c r="C7" i="5413"/>
  <c r="O6" i="5413"/>
  <c r="B6" i="5413"/>
  <c r="O5" i="5413"/>
  <c r="B5" i="5413"/>
  <c r="O4" i="5413"/>
  <c r="O3" i="5413"/>
  <c r="O2" i="5413"/>
  <c r="O20" i="5403"/>
  <c r="O18" i="5401"/>
  <c r="O21" i="5411"/>
  <c r="O19" i="5405"/>
  <c r="O18" i="5405"/>
  <c r="O18" i="5409"/>
  <c r="O22" i="5411"/>
  <c r="O23" i="5411"/>
  <c r="C27" i="5411"/>
  <c r="B24" i="5411"/>
  <c r="C20" i="5411"/>
  <c r="B17" i="5411"/>
  <c r="H51" i="5411" s="1"/>
  <c r="C16" i="5411"/>
  <c r="C15" i="5411"/>
  <c r="C14" i="5411"/>
  <c r="C13" i="5411"/>
  <c r="O12" i="5411"/>
  <c r="C12" i="5411"/>
  <c r="O11" i="5411"/>
  <c r="C11" i="5411"/>
  <c r="O10" i="5411"/>
  <c r="C10" i="5411"/>
  <c r="C9" i="5411"/>
  <c r="C8" i="5411"/>
  <c r="O7" i="5411"/>
  <c r="C7" i="5411"/>
  <c r="O6" i="5411"/>
  <c r="B6" i="5411"/>
  <c r="O5" i="5411"/>
  <c r="B5" i="5411"/>
  <c r="O4" i="5411"/>
  <c r="O3" i="5411"/>
  <c r="O2" i="5411"/>
  <c r="O20" i="5409"/>
  <c r="O19" i="5409"/>
  <c r="C27" i="5409"/>
  <c r="B24" i="5409"/>
  <c r="C20" i="5409"/>
  <c r="B17" i="5409"/>
  <c r="H51" i="5409" s="1"/>
  <c r="C16" i="5409"/>
  <c r="C15" i="5409"/>
  <c r="C14" i="5409"/>
  <c r="C13" i="5409"/>
  <c r="O12" i="5409"/>
  <c r="C12" i="5409"/>
  <c r="O11" i="5409"/>
  <c r="C11" i="5409"/>
  <c r="O10" i="5409"/>
  <c r="C10" i="5409"/>
  <c r="C9" i="5409"/>
  <c r="C8" i="5409"/>
  <c r="O7" i="5409"/>
  <c r="C7" i="5409"/>
  <c r="O6" i="5409"/>
  <c r="B6" i="5409"/>
  <c r="O5" i="5409"/>
  <c r="B5" i="5409"/>
  <c r="O4" i="5409"/>
  <c r="O3" i="5409"/>
  <c r="O2" i="5409"/>
  <c r="O19" i="5403"/>
  <c r="O23" i="5403"/>
  <c r="O21" i="5401"/>
  <c r="O23" i="5401"/>
  <c r="H10" i="5413" l="1"/>
  <c r="H9" i="5409"/>
  <c r="H6" i="5409"/>
  <c r="H36" i="5409"/>
  <c r="H12" i="5409"/>
  <c r="B23" i="5409"/>
  <c r="H10" i="5409"/>
  <c r="H30" i="5409"/>
  <c r="H3" i="5409"/>
  <c r="H16" i="5409"/>
  <c r="H38" i="5409"/>
  <c r="H13" i="5409"/>
  <c r="H4" i="5409"/>
  <c r="H7" i="5409"/>
  <c r="H40" i="5409"/>
  <c r="H25" i="5409"/>
  <c r="H11" i="5409"/>
  <c r="H45" i="5409"/>
  <c r="C17" i="5409"/>
  <c r="C18" i="5409"/>
  <c r="H5" i="5409"/>
  <c r="H14" i="5409"/>
  <c r="H46" i="5409"/>
  <c r="H24" i="5409"/>
  <c r="H44" i="5409"/>
  <c r="H18" i="5409"/>
  <c r="H2" i="5409"/>
  <c r="H8" i="5409"/>
  <c r="C19" i="5409"/>
  <c r="H28" i="5409"/>
  <c r="H15" i="5409"/>
  <c r="H19" i="5409"/>
  <c r="H29" i="5409"/>
  <c r="C17" i="5413"/>
  <c r="H4" i="5413"/>
  <c r="H17" i="5413"/>
  <c r="H22" i="5413"/>
  <c r="H27" i="5413"/>
  <c r="H35" i="5413"/>
  <c r="H43" i="5413"/>
  <c r="H51" i="5413"/>
  <c r="H5" i="5413"/>
  <c r="H11" i="5413"/>
  <c r="H14" i="5413"/>
  <c r="C18" i="5413"/>
  <c r="B23" i="5413"/>
  <c r="H28" i="5413"/>
  <c r="H36" i="5413"/>
  <c r="H44" i="5413"/>
  <c r="H2" i="5413"/>
  <c r="H8" i="5413"/>
  <c r="H18" i="5413"/>
  <c r="H23" i="5413"/>
  <c r="H29" i="5413"/>
  <c r="H37" i="5413"/>
  <c r="H45" i="5413"/>
  <c r="H30" i="5413"/>
  <c r="H38" i="5413"/>
  <c r="H46" i="5413"/>
  <c r="C19" i="5413"/>
  <c r="H3" i="5413"/>
  <c r="H6" i="5413"/>
  <c r="H9" i="5413"/>
  <c r="H12" i="5413"/>
  <c r="H19" i="5413"/>
  <c r="H24" i="5413"/>
  <c r="H31" i="5413"/>
  <c r="H39" i="5413"/>
  <c r="H47" i="5413"/>
  <c r="H15" i="5413"/>
  <c r="H16" i="5413"/>
  <c r="H25" i="5413"/>
  <c r="H32" i="5413"/>
  <c r="H40" i="5413"/>
  <c r="H48" i="5413"/>
  <c r="H20" i="5413"/>
  <c r="H26" i="5413"/>
  <c r="H33" i="5413"/>
  <c r="H41" i="5413"/>
  <c r="H49" i="5413"/>
  <c r="H7" i="5413"/>
  <c r="H13" i="5413"/>
  <c r="H21" i="5413"/>
  <c r="H34" i="5413"/>
  <c r="H42" i="5413"/>
  <c r="H38" i="5411"/>
  <c r="H8" i="5411"/>
  <c r="H5" i="5411"/>
  <c r="H14" i="5411"/>
  <c r="H39" i="5411"/>
  <c r="H19" i="5411"/>
  <c r="H28" i="5411"/>
  <c r="C19" i="5411"/>
  <c r="H42" i="5411"/>
  <c r="H2" i="5411"/>
  <c r="H3" i="5411"/>
  <c r="H11" i="5411"/>
  <c r="H15" i="5411"/>
  <c r="H29" i="5411"/>
  <c r="H37" i="5409"/>
  <c r="H44" i="5411"/>
  <c r="H9" i="5411"/>
  <c r="B23" i="5411"/>
  <c r="C17" i="5411"/>
  <c r="H34" i="5411"/>
  <c r="H46" i="5411"/>
  <c r="H6" i="5411"/>
  <c r="H30" i="5411"/>
  <c r="H31" i="5411"/>
  <c r="H4" i="5411"/>
  <c r="H7" i="5411"/>
  <c r="H13" i="5411"/>
  <c r="C18" i="5411"/>
  <c r="H47" i="5411"/>
  <c r="H12" i="5411"/>
  <c r="H21" i="5411"/>
  <c r="H45" i="5411"/>
  <c r="H10" i="5411"/>
  <c r="H23" i="5411"/>
  <c r="H36" i="5411"/>
  <c r="H18" i="5411"/>
  <c r="H24" i="5411"/>
  <c r="H37" i="5411"/>
  <c r="H50" i="5411"/>
  <c r="H16" i="5411"/>
  <c r="H25" i="5411"/>
  <c r="H32" i="5411"/>
  <c r="H40" i="5411"/>
  <c r="H48" i="5411"/>
  <c r="H20" i="5411"/>
  <c r="H26" i="5411"/>
  <c r="H33" i="5411"/>
  <c r="H41" i="5411"/>
  <c r="H49" i="5411"/>
  <c r="H17" i="5411"/>
  <c r="H22" i="5411"/>
  <c r="H27" i="5411"/>
  <c r="H35" i="5411"/>
  <c r="H43" i="5411"/>
  <c r="H23" i="5409"/>
  <c r="H32" i="5409"/>
  <c r="H48" i="5409"/>
  <c r="H31" i="5409"/>
  <c r="H39" i="5409"/>
  <c r="H47" i="5409"/>
  <c r="H20" i="5409"/>
  <c r="H26" i="5409"/>
  <c r="H33" i="5409"/>
  <c r="H41" i="5409"/>
  <c r="H49" i="5409"/>
  <c r="H21" i="5409"/>
  <c r="H34" i="5409"/>
  <c r="H42" i="5409"/>
  <c r="H50" i="5409"/>
  <c r="H17" i="5409"/>
  <c r="H22" i="5409"/>
  <c r="H27" i="5409"/>
  <c r="H35" i="5409"/>
  <c r="H43" i="5409"/>
  <c r="O17" i="5407" l="1"/>
  <c r="O20" i="5407"/>
  <c r="C27" i="5407"/>
  <c r="B24" i="5407"/>
  <c r="C20" i="5407"/>
  <c r="B17" i="5407"/>
  <c r="H50" i="5407" s="1"/>
  <c r="C16" i="5407"/>
  <c r="C15" i="5407"/>
  <c r="C14" i="5407"/>
  <c r="C13" i="5407"/>
  <c r="O12" i="5407"/>
  <c r="C12" i="5407"/>
  <c r="O11" i="5407"/>
  <c r="C11" i="5407"/>
  <c r="O10" i="5407"/>
  <c r="C10" i="5407"/>
  <c r="C9" i="5407"/>
  <c r="C8" i="5407"/>
  <c r="O7" i="5407"/>
  <c r="C7" i="5407"/>
  <c r="O6" i="5407"/>
  <c r="B6" i="5407"/>
  <c r="O5" i="5407"/>
  <c r="B5" i="5407"/>
  <c r="O4" i="5407"/>
  <c r="O3" i="5407"/>
  <c r="O2" i="5407"/>
  <c r="O22" i="5405"/>
  <c r="O16" i="5405"/>
  <c r="C27" i="5405"/>
  <c r="B24" i="5405"/>
  <c r="C20" i="5405"/>
  <c r="B17" i="5405"/>
  <c r="H49" i="5405" s="1"/>
  <c r="C16" i="5405"/>
  <c r="C15" i="5405"/>
  <c r="C14" i="5405"/>
  <c r="C13" i="5405"/>
  <c r="O12" i="5405"/>
  <c r="C12" i="5405"/>
  <c r="O11" i="5405"/>
  <c r="C11" i="5405"/>
  <c r="O10" i="5405"/>
  <c r="C10" i="5405"/>
  <c r="C9" i="5405"/>
  <c r="C8" i="5405"/>
  <c r="O7" i="5405"/>
  <c r="C7" i="5405"/>
  <c r="O6" i="5405"/>
  <c r="B6" i="5405"/>
  <c r="O5" i="5405"/>
  <c r="B5" i="5405"/>
  <c r="O4" i="5405"/>
  <c r="O3" i="5405"/>
  <c r="O2" i="5405"/>
  <c r="O24" i="5401"/>
  <c r="O16" i="5403"/>
  <c r="O22" i="5403"/>
  <c r="C27" i="5403"/>
  <c r="B24" i="5403"/>
  <c r="C20" i="5403"/>
  <c r="B17" i="5403"/>
  <c r="H49" i="5403" s="1"/>
  <c r="C16" i="5403"/>
  <c r="C15" i="5403"/>
  <c r="C14" i="5403"/>
  <c r="C13" i="5403"/>
  <c r="O12" i="5403"/>
  <c r="C12" i="5403"/>
  <c r="O11" i="5403"/>
  <c r="C11" i="5403"/>
  <c r="O10" i="5403"/>
  <c r="C10" i="5403"/>
  <c r="C9" i="5403"/>
  <c r="C8" i="5403"/>
  <c r="O7" i="5403"/>
  <c r="C7" i="5403"/>
  <c r="O6" i="5403"/>
  <c r="B6" i="5403"/>
  <c r="O5" i="5403"/>
  <c r="B5" i="5403"/>
  <c r="O4" i="5403"/>
  <c r="O3" i="5403"/>
  <c r="O2" i="5403"/>
  <c r="O15" i="5401"/>
  <c r="O20" i="5401"/>
  <c r="C27" i="5401"/>
  <c r="B24" i="5401"/>
  <c r="C20" i="5401"/>
  <c r="B17" i="5401"/>
  <c r="H49" i="5401" s="1"/>
  <c r="C16" i="5401"/>
  <c r="C15" i="5401"/>
  <c r="C14" i="5401"/>
  <c r="C13" i="5401"/>
  <c r="O12" i="5401"/>
  <c r="C12" i="5401"/>
  <c r="O11" i="5401"/>
  <c r="C11" i="5401"/>
  <c r="O10" i="5401"/>
  <c r="C10" i="5401"/>
  <c r="C9" i="5401"/>
  <c r="C8" i="5401"/>
  <c r="O7" i="5401"/>
  <c r="C7" i="5401"/>
  <c r="O6" i="5401"/>
  <c r="B6" i="5401"/>
  <c r="O5" i="5401"/>
  <c r="B5" i="5401"/>
  <c r="O4" i="5401"/>
  <c r="O3" i="5401"/>
  <c r="O2" i="5401"/>
  <c r="H16" i="5407" l="1"/>
  <c r="H34" i="5403"/>
  <c r="H25" i="5403"/>
  <c r="H9" i="5403"/>
  <c r="H6" i="5403"/>
  <c r="H5" i="5407"/>
  <c r="H12" i="5407"/>
  <c r="H31" i="5407"/>
  <c r="H8" i="5407"/>
  <c r="H9" i="5407"/>
  <c r="H2" i="5407"/>
  <c r="H6" i="5407"/>
  <c r="H36" i="5407"/>
  <c r="H32" i="5407"/>
  <c r="H40" i="5407"/>
  <c r="H14" i="5407"/>
  <c r="H11" i="5407"/>
  <c r="H23" i="5407"/>
  <c r="H18" i="5407"/>
  <c r="H3" i="5407"/>
  <c r="C19" i="5407"/>
  <c r="H43" i="5407"/>
  <c r="H15" i="5407"/>
  <c r="H7" i="5407"/>
  <c r="C17" i="5407"/>
  <c r="H4" i="5407"/>
  <c r="H10" i="5407"/>
  <c r="H24" i="5407"/>
  <c r="H44" i="5407"/>
  <c r="H13" i="5407"/>
  <c r="C18" i="5407"/>
  <c r="H30" i="5407"/>
  <c r="H3" i="5403"/>
  <c r="H16" i="5403"/>
  <c r="H4" i="5403"/>
  <c r="H21" i="5403"/>
  <c r="H6" i="5401"/>
  <c r="H19" i="5407"/>
  <c r="H25" i="5407"/>
  <c r="H35" i="5407"/>
  <c r="H45" i="5407"/>
  <c r="H46" i="5407"/>
  <c r="H21" i="5407"/>
  <c r="H27" i="5407"/>
  <c r="H37" i="5407"/>
  <c r="H47" i="5407"/>
  <c r="H22" i="5407"/>
  <c r="H28" i="5407"/>
  <c r="H38" i="5407"/>
  <c r="H48" i="5407"/>
  <c r="H17" i="5407"/>
  <c r="B23" i="5407"/>
  <c r="H29" i="5407"/>
  <c r="H39" i="5407"/>
  <c r="H51" i="5407"/>
  <c r="H20" i="5407"/>
  <c r="H26" i="5407"/>
  <c r="H33" i="5407"/>
  <c r="H41" i="5407"/>
  <c r="H49" i="5407"/>
  <c r="H34" i="5407"/>
  <c r="H42" i="5407"/>
  <c r="H9" i="5401"/>
  <c r="H34" i="5401"/>
  <c r="H35" i="5401"/>
  <c r="H35" i="5405"/>
  <c r="C18" i="5405"/>
  <c r="H36" i="5405"/>
  <c r="H3" i="5405"/>
  <c r="H17" i="5405"/>
  <c r="H4" i="5405"/>
  <c r="H18" i="5405"/>
  <c r="C19" i="5405"/>
  <c r="H8" i="5405"/>
  <c r="H15" i="5405"/>
  <c r="H30" i="5405"/>
  <c r="H44" i="5405"/>
  <c r="H23" i="5405"/>
  <c r="H10" i="5405"/>
  <c r="H37" i="5405"/>
  <c r="H14" i="5405"/>
  <c r="H43" i="5405"/>
  <c r="H2" i="5405"/>
  <c r="H45" i="5405"/>
  <c r="H6" i="5405"/>
  <c r="H24" i="5405"/>
  <c r="H42" i="5405"/>
  <c r="H11" i="5405"/>
  <c r="H27" i="5405"/>
  <c r="H5" i="5405"/>
  <c r="H19" i="5405"/>
  <c r="H31" i="5405"/>
  <c r="H9" i="5405"/>
  <c r="H12" i="5405"/>
  <c r="H16" i="5405"/>
  <c r="B23" i="5405"/>
  <c r="H34" i="5405"/>
  <c r="H46" i="5405"/>
  <c r="H47" i="5405"/>
  <c r="H21" i="5405"/>
  <c r="H28" i="5405"/>
  <c r="H38" i="5405"/>
  <c r="H50" i="5405"/>
  <c r="H7" i="5405"/>
  <c r="H13" i="5405"/>
  <c r="C17" i="5405"/>
  <c r="H22" i="5405"/>
  <c r="H29" i="5405"/>
  <c r="H39" i="5405"/>
  <c r="H51" i="5405"/>
  <c r="H25" i="5405"/>
  <c r="H32" i="5405"/>
  <c r="H40" i="5405"/>
  <c r="H48" i="5405"/>
  <c r="H20" i="5405"/>
  <c r="H26" i="5405"/>
  <c r="H33" i="5405"/>
  <c r="H41" i="5405"/>
  <c r="H3" i="5401"/>
  <c r="H16" i="5401"/>
  <c r="H4" i="5401"/>
  <c r="H25" i="5401"/>
  <c r="H43" i="5403"/>
  <c r="H35" i="5403"/>
  <c r="H12" i="5403"/>
  <c r="H19" i="5403"/>
  <c r="H44" i="5403"/>
  <c r="H10" i="5403"/>
  <c r="H45" i="5403"/>
  <c r="H7" i="5403"/>
  <c r="H22" i="5403"/>
  <c r="H28" i="5403"/>
  <c r="H37" i="5403"/>
  <c r="H46" i="5403"/>
  <c r="H36" i="5403"/>
  <c r="H39" i="5403"/>
  <c r="H27" i="5403"/>
  <c r="H13" i="5403"/>
  <c r="H17" i="5403"/>
  <c r="H29" i="5403"/>
  <c r="H38" i="5403"/>
  <c r="H14" i="5403"/>
  <c r="H23" i="5403"/>
  <c r="H48" i="5403"/>
  <c r="H2" i="5403"/>
  <c r="H8" i="5403"/>
  <c r="H18" i="5403"/>
  <c r="H31" i="5403"/>
  <c r="H40" i="5403"/>
  <c r="H50" i="5403"/>
  <c r="C17" i="5403"/>
  <c r="B23" i="5403"/>
  <c r="H47" i="5403"/>
  <c r="H5" i="5403"/>
  <c r="H11" i="5403"/>
  <c r="C18" i="5403"/>
  <c r="H30" i="5403"/>
  <c r="H15" i="5403"/>
  <c r="C19" i="5403"/>
  <c r="H24" i="5403"/>
  <c r="H32" i="5403"/>
  <c r="H42" i="5403"/>
  <c r="H51" i="5403"/>
  <c r="H20" i="5403"/>
  <c r="H26" i="5403"/>
  <c r="H33" i="5403"/>
  <c r="H41" i="5403"/>
  <c r="H43" i="5401"/>
  <c r="H12" i="5401"/>
  <c r="H19" i="5401"/>
  <c r="H44" i="5401"/>
  <c r="H36" i="5401"/>
  <c r="C17" i="5401"/>
  <c r="H46" i="5401"/>
  <c r="H10" i="5401"/>
  <c r="H38" i="5401"/>
  <c r="H27" i="5401"/>
  <c r="H13" i="5401"/>
  <c r="H37" i="5401"/>
  <c r="H17" i="5401"/>
  <c r="H29" i="5401"/>
  <c r="H5" i="5401"/>
  <c r="H11" i="5401"/>
  <c r="C18" i="5401"/>
  <c r="H23" i="5401"/>
  <c r="H39" i="5401"/>
  <c r="H31" i="5401"/>
  <c r="H40" i="5401"/>
  <c r="H50" i="5401"/>
  <c r="H21" i="5401"/>
  <c r="H45" i="5401"/>
  <c r="H7" i="5401"/>
  <c r="H22" i="5401"/>
  <c r="H28" i="5401"/>
  <c r="B23" i="5401"/>
  <c r="H47" i="5401"/>
  <c r="H14" i="5401"/>
  <c r="H30" i="5401"/>
  <c r="H48" i="5401"/>
  <c r="H2" i="5401"/>
  <c r="H8" i="5401"/>
  <c r="H18" i="5401"/>
  <c r="H15" i="5401"/>
  <c r="C19" i="5401"/>
  <c r="H24" i="5401"/>
  <c r="H32" i="5401"/>
  <c r="H42" i="5401"/>
  <c r="H51" i="5401"/>
  <c r="H20" i="5401"/>
  <c r="H26" i="5401"/>
  <c r="H33" i="5401"/>
  <c r="H41" i="5401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51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<sst xmlns="http://schemas.openxmlformats.org/spreadsheetml/2006/main" count="3234" uniqueCount="242">
  <si>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</si>
  <si>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</si>
  <si>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</si>
  <si>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</si>
  <si>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</si>
  <si>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</si>
  <si>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</si>
  <si>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</si>
  <si>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</si>
  <si>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</si>
  <si>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</si>
  <si>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</si>
  <si>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</si>
  <si>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</si>
  <si>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</si>
  <si>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</si>
  <si>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</si>
  <si>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</si>
  <si>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</si>
  <si>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</si>
  <si>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</si>
  <si>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</si>
  <si>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</si>
  <si>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</si>
  <si>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</si>
  <si>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</si>
  <si>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</si>
  <si>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</si>
  <si>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</si>
  <si>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</si>
  <si>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</si>
  <si>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</si>
  <si>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</si>
  <si>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</si>
  <si>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</si>
  <si>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</si>
  <si>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</si>
  <si>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</si>
  <si>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</si>
  <si>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</si>
  <si>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</si>
  <si>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</si>
  <si>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</si>
  <si>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</si>
  <si>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</si>
  <si>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</si>
  <si>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</si>
  <si>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</si>
  <si>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</si>
  <si>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</si>
  <si>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</si>
  <si>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</si>
  <si>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</si>
  <si>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</si>
  <si>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</si>
  <si>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</si>
  <si>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</si>
  <si>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</si>
  <si>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</si>
  <si>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</si>
  <si>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</si>
  <si>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</si>
  <si>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</si>
  <si>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</si>
  <si>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</si>
  <si>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</si>
  <si>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</si>
  <si>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</si>
  <si>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</si>
  <si>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</si>
  <si>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</si>
  <si>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</si>
  <si>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</si>
  <si>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</si>
  <si>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</si>
  <si>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</si>
  <si>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</si>
  <si>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</si>
  <si>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</si>
  <si>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</si>
  <si>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</si>
  <si>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</si>
  <si>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</si>
  <si>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</si>
  <si>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</si>
  <si>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</si>
  <si>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</si>
  <si>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</si>
  <si>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</si>
  <si>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</si>
  <si>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</si>
  <si>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</si>
  <si>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</si>
  <si>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</si>
  <si>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</si>
  <si>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</si>
  <si>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</si>
  <si>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</si>
  <si>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</si>
  <si>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</si>
  <si>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</si>
  <si>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</si>
  <si>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</si>
  <si>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</si>
  <si>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</si>
  <si>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</si>
  <si>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</si>
  <si>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</si>
  <si>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</si>
  <si>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</si>
  <si>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</si>
  <si>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</si>
  <si>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</si>
  <si>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</si>
  <si>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</si>
  <si>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</si>
  <si>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</si>
  <si>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</si>
  <si>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</si>
  <si>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</si>
  <si>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</si>
  <si>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</si>
  <si>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</si>
  <si>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</si>
  <si>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</si>
  <si>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</si>
  <si>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</si>
  <si>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</si>
  <si>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</si>
  <si>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</si>
  <si>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</si>
  <si>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</si>
  <si>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</si>
  <si>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</si>
  <si>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</si>
  <si>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</si>
  <si>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</si>
  <si>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</si>
  <si>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</si>
  <si>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</si>
  <si>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</si>
  <si>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</si>
  <si>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</si>
  <si>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</si>
  <si>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</si>
  <si>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</si>
  <si>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</si>
  <si>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</si>
  <si>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</si>
  <si>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</si>
  <si>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</si>
  <si>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</si>
  <si>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</si>
  <si>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</si>
  <si>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</si>
  <si>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</si>
  <si>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</si>
  <si>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</si>
  <si>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</si>
  <si>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</si>
  <si>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</si>
  <si>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</si>
  <si>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</si>
  <si>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</si>
  <si>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</si>
  <si>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</si>
  <si>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</si>
  <si>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</si>
  <si>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</si>
  <si>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</si>
  <si>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</si>
  <si>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</si>
  <si>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</si>
  <si>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</si>
  <si>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</si>
  <si>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</si>
  <si>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</si>
  <si>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</si>
  <si>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</si>
  <si>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</si>
  <si>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</si>
  <si>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52</t>
    <phoneticPr fontId="1"/>
  </si>
  <si>
    <t>赤ドラ</t>
    <rPh sb="0" eb="1">
      <t>アカ</t>
    </rPh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</si>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</sst>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4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全体!$K$2:$K$578</c:f>
              <c:numCache>
                <c:formatCode>General</c:formatCode>
                <c:ptCount val="5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</c:numCache>
            </c:numRef>
          </c:xVal>
          <c:yVal>
            <c:numRef>
              <c:f>全体!$L$2:$L$578</c:f>
              <c:numCache>
                <c:formatCode>\+0.0;\-0.0;\±0</c:formatCode>
                <c:ptCount val="577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6B-4FE4-9336-E859B79F90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-13.888888888888889</c:v>
                </c:pt>
                <c:pt idx="1">
                  <c:v>-7.0921985815602833</c:v>
                </c:pt>
                <c:pt idx="2">
                  <c:v>5.6497175141242941</c:v>
                </c:pt>
                <c:pt idx="3">
                  <c:v>12.422360248447205</c:v>
                </c:pt>
                <c:pt idx="4">
                  <c:v>-13.888888888888889</c:v>
                </c:pt>
                <c:pt idx="5">
                  <c:v>23.255813953488371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C6-4E1F-9B27-78ACAF71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だいち!$K$2:$K$131</c:f>
              <c:numCache>
                <c:formatCode>General</c:formatCode>
                <c:ptCount val="1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</c:numCache>
            </c:numRef>
          </c:xVal>
          <c:yVal>
            <c:numRef>
              <c:f>だいち!$L$2:$L$131</c:f>
              <c:numCache>
                <c:formatCode>\+0.0;\-0.0;\±0</c:formatCode>
                <c:ptCount val="130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70-409D-9ACF-ADC5EE9DA4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1310.8527131782946</c:v>
                </c:pt>
                <c:pt idx="1">
                  <c:v>1136.5079365079366</c:v>
                </c:pt>
                <c:pt idx="2">
                  <c:v>1571.4285714285713</c:v>
                </c:pt>
                <c:pt idx="3">
                  <c:v>2882.5688073394494</c:v>
                </c:pt>
                <c:pt idx="4">
                  <c:v>309.4736842105263</c:v>
                </c:pt>
                <c:pt idx="5">
                  <c:v>867.07317073170736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76-4DBC-B978-7F9F67A2E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りくと!$K$2:$K$118</c:f>
              <c:numCache>
                <c:formatCode>General</c:formatCode>
                <c:ptCount val="1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</c:numCache>
            </c:numRef>
          </c:xVal>
          <c:yVal>
            <c:numRef>
              <c:f>りくと!$L$2:$L$118</c:f>
              <c:numCache>
                <c:formatCode>\+0.0;\-0.0;\±0</c:formatCode>
                <c:ptCount val="117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A0-45CA-8D70-BC0ECF224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496.55172413793105</c:v>
                </c:pt>
                <c:pt idx="1">
                  <c:v>-2231.25</c:v>
                </c:pt>
                <c:pt idx="2">
                  <c:v>38.532110091743121</c:v>
                </c:pt>
                <c:pt idx="3">
                  <c:v>171.13402061855669</c:v>
                </c:pt>
                <c:pt idx="4">
                  <c:v>424.41860465116281</c:v>
                </c:pt>
                <c:pt idx="5">
                  <c:v>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F4-4AB5-B8E1-2C6D0E5F1D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ただ!$L$2:$L$71</c:f>
              <c:numCache>
                <c:formatCode>\+0.0;\-0.0;\±0</c:formatCode>
                <c:ptCount val="70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F1-4C7D-B954-48E7F941E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-2057.9710144927535</c:v>
                </c:pt>
                <c:pt idx="1">
                  <c:v>-1313.4328358208954</c:v>
                </c:pt>
                <c:pt idx="2">
                  <c:v>-890.47619047619048</c:v>
                </c:pt>
                <c:pt idx="3">
                  <c:v>-4852.727272727273</c:v>
                </c:pt>
                <c:pt idx="4">
                  <c:v>-1510.204081632653</c:v>
                </c:pt>
                <c:pt idx="5">
                  <c:v>-2253.3333333333335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01-4AF5-8174-EA7E819D3F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れんたろう!$K$2:$K$81</c:f>
              <c:numCache>
                <c:formatCode>General</c:formatCode>
                <c:ptCount val="8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</c:numCache>
            </c:numRef>
          </c:xVal>
          <c:yVal>
            <c:numRef>
              <c:f>れんたろう!$L$2:$L$81</c:f>
              <c:numCache>
                <c:formatCode>\+0.0;\-0.0;\±0</c:formatCode>
                <c:ptCount val="80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A-4610-BE3C-BB15F39C7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-1070.8860759493671</c:v>
                </c:pt>
                <c:pt idx="1">
                  <c:v>1011.5384615384615</c:v>
                </c:pt>
                <c:pt idx="2">
                  <c:v>1584.7222222222222</c:v>
                </c:pt>
                <c:pt idx="3">
                  <c:v>1145.1612903225807</c:v>
                </c:pt>
                <c:pt idx="4">
                  <c:v>-677.77777777777783</c:v>
                </c:pt>
                <c:pt idx="5">
                  <c:v>134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8-4A73-A997-CDB312F6A8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たかの!$K$2:$K$66</c:f>
              <c:numCache>
                <c:formatCode>General</c:formatCode>
                <c:ptCount val="6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</c:numCache>
            </c:numRef>
          </c:xVal>
          <c:yVal>
            <c:numRef>
              <c:f>たかの!$L$2:$L$66</c:f>
              <c:numCache>
                <c:formatCode>\+0.0;\-0.0;\±0</c:formatCode>
                <c:ptCount val="65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F7-4856-96F5-722DB83312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1096.875</c:v>
                </c:pt>
                <c:pt idx="1">
                  <c:v>-490.625</c:v>
                </c:pt>
                <c:pt idx="2">
                  <c:v>-1405.2631578947369</c:v>
                </c:pt>
                <c:pt idx="3">
                  <c:v>450</c:v>
                </c:pt>
                <c:pt idx="4">
                  <c:v>709.61538461538464</c:v>
                </c:pt>
                <c:pt idx="5">
                  <c:v>-135.55555555555554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6D-42CB-9D1C-5E4CA17390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ぱぱ!$L$2:$L$46</c:f>
              <c:numCache>
                <c:formatCode>\+0.0;\-0.0;\±0</c:formatCode>
                <c:ptCount val="45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D0-4A09-BE8A-4CD7671A81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-3038.6363636363635</c:v>
                </c:pt>
                <c:pt idx="1">
                  <c:v>2159.090909090909</c:v>
                </c:pt>
                <c:pt idx="2">
                  <c:v>-738.09523809523807</c:v>
                </c:pt>
                <c:pt idx="3">
                  <c:v>-3689.7435897435898</c:v>
                </c:pt>
                <c:pt idx="4">
                  <c:v>-128.57142857142858</c:v>
                </c:pt>
                <c:pt idx="5">
                  <c:v>632.35294117647061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6F-4BC0-90B2-665790308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47-43F1-A748-A8533D45D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1260.4166666666667</c:v>
                </c:pt>
                <c:pt idx="1">
                  <c:v>604.3478260869565</c:v>
                </c:pt>
                <c:pt idx="2">
                  <c:v>-1323.8095238095239</c:v>
                </c:pt>
                <c:pt idx="3">
                  <c:v>1346.3414634146341</c:v>
                </c:pt>
                <c:pt idx="4">
                  <c:v>-1524.3243243243244</c:v>
                </c:pt>
                <c:pt idx="5">
                  <c:v>320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B8-49CB-88FC-37E86AF4D4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4C-45F4-8E88-BD4B51168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87-413C-A675-0ACD9EC674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いっしー!$L$2:$L$16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8F-43C5-A50A-728F714D58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-114.28571428571429</c:v>
                </c:pt>
                <c:pt idx="1">
                  <c:v>-328.57142857142856</c:v>
                </c:pt>
                <c:pt idx="2">
                  <c:v>-850</c:v>
                </c:pt>
                <c:pt idx="3">
                  <c:v>-4700</c:v>
                </c:pt>
                <c:pt idx="4">
                  <c:v>1869.2307692307693</c:v>
                </c:pt>
                <c:pt idx="5">
                  <c:v>-3650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9A-4DED-8F45-D897D9265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56-4F0C-9EF9-2590D2964F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-2071.4285714285716</c:v>
                </c:pt>
                <c:pt idx="1">
                  <c:v>2828.5714285714284</c:v>
                </c:pt>
                <c:pt idx="2">
                  <c:v>-6371.4285714285716</c:v>
                </c:pt>
                <c:pt idx="3">
                  <c:v>-2471.4285714285716</c:v>
                </c:pt>
                <c:pt idx="4">
                  <c:v>4240</c:v>
                </c:pt>
                <c:pt idx="5">
                  <c:v>2020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4F-45AE-A418-B021AE083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B7-4327-8A7F-FDBB2E65C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D4-4954-89E2-F76FCB5D65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やがさき!$L$2:$L$4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4E-4A33-AC71-AE2281A24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250</c:v>
                </c:pt>
                <c:pt idx="1">
                  <c:v>-7000</c:v>
                </c:pt>
                <c:pt idx="2">
                  <c:v>-3000</c:v>
                </c:pt>
                <c:pt idx="3">
                  <c:v>-1000</c:v>
                </c:pt>
                <c:pt idx="4">
                  <c:v>400</c:v>
                </c:pt>
                <c:pt idx="5">
                  <c:v>16000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2-42AC-A888-9D25723254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まっつん2!$B$3:$B$51</c:f>
              <c:numCache>
                <c:formatCode>\+0.0;\-0.0;\±0</c:formatCode>
                <c:ptCount val="49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6.6613381477509392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まっつん2!$C$3:$C$51</c:f>
              <c:numCache>
                <c:formatCode>\+0.0;\-0.0;\±0</c:formatCode>
                <c:ptCount val="49"/>
                <c:pt idx="1">
                  <c:v>-1.9</c:v>
                </c:pt>
                <c:pt idx="2">
                  <c:v>15</c:v>
                </c:pt>
                <c:pt idx="3">
                  <c:v>-3.3333333333333335</c:v>
                </c:pt>
                <c:pt idx="4">
                  <c:v>10</c:v>
                </c:pt>
                <c:pt idx="5">
                  <c:v>7.08</c:v>
                </c:pt>
                <c:pt idx="6">
                  <c:v>0.6499999999999998</c:v>
                </c:pt>
                <c:pt idx="7">
                  <c:v>-4.3</c:v>
                </c:pt>
                <c:pt idx="8">
                  <c:v>-10.887499999999999</c:v>
                </c:pt>
                <c:pt idx="9">
                  <c:v>-14.288888888888888</c:v>
                </c:pt>
                <c:pt idx="10">
                  <c:v>-18.369999999999997</c:v>
                </c:pt>
                <c:pt idx="11">
                  <c:v>-13.899999999999999</c:v>
                </c:pt>
                <c:pt idx="12">
                  <c:v>-17.341666666666665</c:v>
                </c:pt>
                <c:pt idx="13">
                  <c:v>-16.123076923076919</c:v>
                </c:pt>
                <c:pt idx="14">
                  <c:v>-12.749999999999998</c:v>
                </c:pt>
                <c:pt idx="15">
                  <c:v>-9.7466666666666661</c:v>
                </c:pt>
                <c:pt idx="16">
                  <c:v>-9.5812499999999989</c:v>
                </c:pt>
                <c:pt idx="17">
                  <c:v>-9.4823529411764707</c:v>
                </c:pt>
                <c:pt idx="18">
                  <c:v>-8.8333333333333339</c:v>
                </c:pt>
                <c:pt idx="19">
                  <c:v>-12.4</c:v>
                </c:pt>
                <c:pt idx="20">
                  <c:v>-10.040000000000001</c:v>
                </c:pt>
                <c:pt idx="21">
                  <c:v>-8.9809523809523828</c:v>
                </c:pt>
                <c:pt idx="22">
                  <c:v>-6.4818181818181833</c:v>
                </c:pt>
                <c:pt idx="23">
                  <c:v>-6.339130434782609</c:v>
                </c:pt>
                <c:pt idx="24">
                  <c:v>-8.5</c:v>
                </c:pt>
                <c:pt idx="25">
                  <c:v>-6.06</c:v>
                </c:pt>
                <c:pt idx="26">
                  <c:v>-4.4269230769230763</c:v>
                </c:pt>
                <c:pt idx="27">
                  <c:v>-1.0037037037037035</c:v>
                </c:pt>
                <c:pt idx="28">
                  <c:v>0.25714285714285723</c:v>
                </c:pt>
                <c:pt idx="29">
                  <c:v>-1.6896551724137931</c:v>
                </c:pt>
                <c:pt idx="30">
                  <c:v>-3.32</c:v>
                </c:pt>
                <c:pt idx="31">
                  <c:v>-1.7483870967741935</c:v>
                </c:pt>
                <c:pt idx="32">
                  <c:v>-2.875</c:v>
                </c:pt>
                <c:pt idx="33">
                  <c:v>-3.2545454545454549</c:v>
                </c:pt>
                <c:pt idx="34">
                  <c:v>-1.3470588235294119</c:v>
                </c:pt>
                <c:pt idx="35">
                  <c:v>0.55428571428571427</c:v>
                </c:pt>
                <c:pt idx="36">
                  <c:v>2.3833333333333337</c:v>
                </c:pt>
                <c:pt idx="37">
                  <c:v>1.2081081081081084</c:v>
                </c:pt>
                <c:pt idx="38">
                  <c:v>-0.49473684210526292</c:v>
                </c:pt>
                <c:pt idx="39">
                  <c:v>-0.42820512820512791</c:v>
                </c:pt>
                <c:pt idx="40">
                  <c:v>0.98250000000000026</c:v>
                </c:pt>
                <c:pt idx="41">
                  <c:v>2.3487804878048784</c:v>
                </c:pt>
                <c:pt idx="42">
                  <c:v>2.323809523809524</c:v>
                </c:pt>
                <c:pt idx="43">
                  <c:v>2.3976744186046512</c:v>
                </c:pt>
                <c:pt idx="44">
                  <c:v>2.1954545454545458</c:v>
                </c:pt>
                <c:pt idx="45">
                  <c:v>0.87777777777777799</c:v>
                </c:pt>
                <c:pt idx="46">
                  <c:v>0.8108695652173914</c:v>
                </c:pt>
                <c:pt idx="47">
                  <c:v>1.5127659574468084</c:v>
                </c:pt>
                <c:pt idx="48">
                  <c:v>0.85208333333333319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1564823173178713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まっつん2!$D$3:$D$51</c:f>
              <c:numCache>
                <c:formatCode>0.00\ "位"</c:formatCode>
                <c:ptCount val="49"/>
                <c:pt idx="1">
                  <c:v>2</c:v>
                </c:pt>
                <c:pt idx="2">
                  <c:v>1.5</c:v>
                </c:pt>
                <c:pt idx="3">
                  <c:v>2</c:v>
                </c:pt>
                <c:pt idx="4">
                  <c:v>1.75</c:v>
                </c:pt>
                <c:pt idx="5">
                  <c:v>1.8</c:v>
                </c:pt>
                <c:pt idx="6">
                  <c:v>2</c:v>
                </c:pt>
                <c:pt idx="7">
                  <c:v>2.1428571428571428</c:v>
                </c:pt>
                <c:pt idx="8">
                  <c:v>2.25</c:v>
                </c:pt>
                <c:pt idx="9">
                  <c:v>2.3333333333333335</c:v>
                </c:pt>
                <c:pt idx="10">
                  <c:v>2.4</c:v>
                </c:pt>
                <c:pt idx="11">
                  <c:v>2.2727272727272729</c:v>
                </c:pt>
                <c:pt idx="12">
                  <c:v>2.3333333333333335</c:v>
                </c:pt>
                <c:pt idx="13">
                  <c:v>2.3076923076923075</c:v>
                </c:pt>
                <c:pt idx="14">
                  <c:v>2.2142857142857144</c:v>
                </c:pt>
                <c:pt idx="15">
                  <c:v>2.1333333333333333</c:v>
                </c:pt>
                <c:pt idx="16">
                  <c:v>2.125</c:v>
                </c:pt>
                <c:pt idx="17">
                  <c:v>2.1176470588235294</c:v>
                </c:pt>
                <c:pt idx="18">
                  <c:v>2.1111111111111112</c:v>
                </c:pt>
                <c:pt idx="19">
                  <c:v>2.1578947368421053</c:v>
                </c:pt>
                <c:pt idx="20">
                  <c:v>2.1</c:v>
                </c:pt>
                <c:pt idx="21">
                  <c:v>2.0952380952380953</c:v>
                </c:pt>
                <c:pt idx="22">
                  <c:v>2.0454545454545454</c:v>
                </c:pt>
                <c:pt idx="23">
                  <c:v>2.0434782608695654</c:v>
                </c:pt>
                <c:pt idx="24">
                  <c:v>2.0833333333333335</c:v>
                </c:pt>
                <c:pt idx="25">
                  <c:v>2.04</c:v>
                </c:pt>
                <c:pt idx="26">
                  <c:v>2</c:v>
                </c:pt>
                <c:pt idx="27">
                  <c:v>1.962962962962963</c:v>
                </c:pt>
                <c:pt idx="28">
                  <c:v>1.9285714285714286</c:v>
                </c:pt>
                <c:pt idx="29">
                  <c:v>1.9655172413793103</c:v>
                </c:pt>
                <c:pt idx="30">
                  <c:v>2</c:v>
                </c:pt>
                <c:pt idx="31">
                  <c:v>1.967741935483871</c:v>
                </c:pt>
                <c:pt idx="32">
                  <c:v>2</c:v>
                </c:pt>
                <c:pt idx="33">
                  <c:v>2</c:v>
                </c:pt>
                <c:pt idx="34">
                  <c:v>1.9705882352941178</c:v>
                </c:pt>
                <c:pt idx="35">
                  <c:v>1.9428571428571428</c:v>
                </c:pt>
                <c:pt idx="36">
                  <c:v>1.9166666666666667</c:v>
                </c:pt>
                <c:pt idx="37">
                  <c:v>1.9459459459459461</c:v>
                </c:pt>
                <c:pt idx="38">
                  <c:v>1.9736842105263157</c:v>
                </c:pt>
                <c:pt idx="39">
                  <c:v>1.9743589743589745</c:v>
                </c:pt>
                <c:pt idx="40">
                  <c:v>1.95</c:v>
                </c:pt>
                <c:pt idx="41">
                  <c:v>1.9268292682926829</c:v>
                </c:pt>
                <c:pt idx="42">
                  <c:v>1.9285714285714286</c:v>
                </c:pt>
                <c:pt idx="43">
                  <c:v>1.930232558139535</c:v>
                </c:pt>
                <c:pt idx="44">
                  <c:v>1.9318181818181819</c:v>
                </c:pt>
                <c:pt idx="45">
                  <c:v>1.9555555555555555</c:v>
                </c:pt>
                <c:pt idx="46">
                  <c:v>1.9565217391304348</c:v>
                </c:pt>
                <c:pt idx="47">
                  <c:v>1.9361702127659575</c:v>
                </c:pt>
                <c:pt idx="48">
                  <c:v>1.9583333333333333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まっつん2!$E$3:$E$51</c:f>
              <c:numCache>
                <c:formatCode>0.0%</c:formatCode>
                <c:ptCount val="49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0.33333333333333331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0.29166666666666669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0.37037037037037035</c:v>
                </c:pt>
                <c:pt idx="28">
                  <c:v>0.39285714285714285</c:v>
                </c:pt>
                <c:pt idx="29">
                  <c:v>0.37931034482758619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0.38235294117647056</c:v>
                </c:pt>
                <c:pt idx="35">
                  <c:v>0.4</c:v>
                </c:pt>
                <c:pt idx="36">
                  <c:v>0.41666666666666669</c:v>
                </c:pt>
                <c:pt idx="37">
                  <c:v>0.40540540540540543</c:v>
                </c:pt>
                <c:pt idx="38">
                  <c:v>0.39473684210526316</c:v>
                </c:pt>
                <c:pt idx="39">
                  <c:v>0.38461538461538464</c:v>
                </c:pt>
                <c:pt idx="40">
                  <c:v>0.4</c:v>
                </c:pt>
                <c:pt idx="41">
                  <c:v>0.41463414634146339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0.38636363636363635</c:v>
                </c:pt>
                <c:pt idx="45">
                  <c:v>0.37777777777777777</c:v>
                </c:pt>
                <c:pt idx="46">
                  <c:v>0.36956521739130432</c:v>
                </c:pt>
                <c:pt idx="47">
                  <c:v>0.38297872340425532</c:v>
                </c:pt>
                <c:pt idx="48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まっつん2!$F$3:$F$51</c:f>
              <c:numCache>
                <c:formatCode>0.0%</c:formatCode>
                <c:ptCount val="49"/>
                <c:pt idx="1">
                  <c:v>0</c:v>
                </c:pt>
                <c:pt idx="2">
                  <c:v>0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0.42857142857142855</c:v>
                </c:pt>
                <c:pt idx="8">
                  <c:v>0.5</c:v>
                </c:pt>
                <c:pt idx="9">
                  <c:v>0.55555555555555558</c:v>
                </c:pt>
                <c:pt idx="10">
                  <c:v>0.6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0.53846153846153844</c:v>
                </c:pt>
                <c:pt idx="14">
                  <c:v>0.5</c:v>
                </c:pt>
                <c:pt idx="15">
                  <c:v>0.46666666666666667</c:v>
                </c:pt>
                <c:pt idx="16">
                  <c:v>0.4375</c:v>
                </c:pt>
                <c:pt idx="17">
                  <c:v>0.41176470588235292</c:v>
                </c:pt>
                <c:pt idx="18">
                  <c:v>0.3888888888888889</c:v>
                </c:pt>
                <c:pt idx="19">
                  <c:v>0.42105263157894735</c:v>
                </c:pt>
                <c:pt idx="20">
                  <c:v>0.4</c:v>
                </c:pt>
                <c:pt idx="21">
                  <c:v>0.38095238095238093</c:v>
                </c:pt>
                <c:pt idx="22">
                  <c:v>0.36363636363636365</c:v>
                </c:pt>
                <c:pt idx="23">
                  <c:v>0.34782608695652173</c:v>
                </c:pt>
                <c:pt idx="24">
                  <c:v>0.375</c:v>
                </c:pt>
                <c:pt idx="25">
                  <c:v>0.36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0.35483870967741937</c:v>
                </c:pt>
                <c:pt idx="32">
                  <c:v>0.375</c:v>
                </c:pt>
                <c:pt idx="33">
                  <c:v>0.36363636363636365</c:v>
                </c:pt>
                <c:pt idx="34">
                  <c:v>0.35294117647058826</c:v>
                </c:pt>
                <c:pt idx="35">
                  <c:v>0.34285714285714286</c:v>
                </c:pt>
                <c:pt idx="36">
                  <c:v>0.33333333333333331</c:v>
                </c:pt>
                <c:pt idx="37">
                  <c:v>0.35135135135135137</c:v>
                </c:pt>
                <c:pt idx="38">
                  <c:v>0.36842105263157893</c:v>
                </c:pt>
                <c:pt idx="39">
                  <c:v>0.35897435897435898</c:v>
                </c:pt>
                <c:pt idx="40">
                  <c:v>0.35</c:v>
                </c:pt>
                <c:pt idx="41">
                  <c:v>0.34146341463414637</c:v>
                </c:pt>
                <c:pt idx="42">
                  <c:v>0.33333333333333331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0.33333333333333331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まっつん2!$G$3:$G$51</c:f>
              <c:numCache>
                <c:formatCode>0.0%</c:formatCode>
                <c:ptCount val="49"/>
                <c:pt idx="1">
                  <c:v>0.2857142857142857</c:v>
                </c:pt>
                <c:pt idx="2">
                  <c:v>0.29411764705882354</c:v>
                </c:pt>
                <c:pt idx="3">
                  <c:v>0.29166666666666669</c:v>
                </c:pt>
                <c:pt idx="4">
                  <c:v>0.36363636363636365</c:v>
                </c:pt>
                <c:pt idx="5">
                  <c:v>0.33333333333333331</c:v>
                </c:pt>
                <c:pt idx="6">
                  <c:v>0.31111111111111112</c:v>
                </c:pt>
                <c:pt idx="7">
                  <c:v>0.27777777777777779</c:v>
                </c:pt>
                <c:pt idx="8">
                  <c:v>0.25</c:v>
                </c:pt>
                <c:pt idx="9">
                  <c:v>0.24637681159420291</c:v>
                </c:pt>
                <c:pt idx="10">
                  <c:v>0.2361111111111111</c:v>
                </c:pt>
                <c:pt idx="11">
                  <c:v>0.24691358024691357</c:v>
                </c:pt>
                <c:pt idx="12">
                  <c:v>0.22988505747126436</c:v>
                </c:pt>
                <c:pt idx="13">
                  <c:v>0.23404255319148937</c:v>
                </c:pt>
                <c:pt idx="14">
                  <c:v>0.25242718446601942</c:v>
                </c:pt>
                <c:pt idx="15">
                  <c:v>0.25663716814159293</c:v>
                </c:pt>
                <c:pt idx="16">
                  <c:v>0.25833333333333336</c:v>
                </c:pt>
                <c:pt idx="17">
                  <c:v>0.25190839694656486</c:v>
                </c:pt>
                <c:pt idx="18">
                  <c:v>0.24285714285714285</c:v>
                </c:pt>
                <c:pt idx="19">
                  <c:v>0.2348993288590604</c:v>
                </c:pt>
                <c:pt idx="20">
                  <c:v>0.24683544303797469</c:v>
                </c:pt>
                <c:pt idx="21">
                  <c:v>0.24848484848484848</c:v>
                </c:pt>
                <c:pt idx="22">
                  <c:v>0.26256983240223464</c:v>
                </c:pt>
                <c:pt idx="23">
                  <c:v>0.26595744680851063</c:v>
                </c:pt>
                <c:pt idx="24">
                  <c:v>0.26262626262626265</c:v>
                </c:pt>
                <c:pt idx="25">
                  <c:v>0.27450980392156865</c:v>
                </c:pt>
                <c:pt idx="26">
                  <c:v>0.27906976744186046</c:v>
                </c:pt>
                <c:pt idx="27">
                  <c:v>0.29223744292237441</c:v>
                </c:pt>
                <c:pt idx="28">
                  <c:v>0.29515418502202645</c:v>
                </c:pt>
                <c:pt idx="29">
                  <c:v>0.29487179487179488</c:v>
                </c:pt>
                <c:pt idx="30">
                  <c:v>0.28799999999999998</c:v>
                </c:pt>
                <c:pt idx="31">
                  <c:v>0.29296875</c:v>
                </c:pt>
                <c:pt idx="32">
                  <c:v>0.29056603773584905</c:v>
                </c:pt>
                <c:pt idx="33">
                  <c:v>0.28832116788321166</c:v>
                </c:pt>
                <c:pt idx="34">
                  <c:v>0.29328621908127206</c:v>
                </c:pt>
                <c:pt idx="35">
                  <c:v>0.2986111111111111</c:v>
                </c:pt>
                <c:pt idx="36">
                  <c:v>0.30132450331125826</c:v>
                </c:pt>
                <c:pt idx="37">
                  <c:v>0.29773462783171523</c:v>
                </c:pt>
                <c:pt idx="38">
                  <c:v>0.29153605015673983</c:v>
                </c:pt>
                <c:pt idx="39">
                  <c:v>0.29447852760736198</c:v>
                </c:pt>
                <c:pt idx="40">
                  <c:v>0.3</c:v>
                </c:pt>
                <c:pt idx="41">
                  <c:v>0.30630630630630629</c:v>
                </c:pt>
                <c:pt idx="42">
                  <c:v>0.30791788856304986</c:v>
                </c:pt>
                <c:pt idx="43">
                  <c:v>0.30945558739255014</c:v>
                </c:pt>
                <c:pt idx="44">
                  <c:v>0.30422535211267604</c:v>
                </c:pt>
                <c:pt idx="45">
                  <c:v>0.29700272479564033</c:v>
                </c:pt>
                <c:pt idx="46">
                  <c:v>0.29333333333333333</c:v>
                </c:pt>
                <c:pt idx="47">
                  <c:v>0.29396325459317585</c:v>
                </c:pt>
                <c:pt idx="48">
                  <c:v>0.29591836734693877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96044139079742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まっつん2!$H$3:$H$51</c:f>
              <c:numCache>
                <c:formatCode>0.0%</c:formatCode>
                <c:ptCount val="49"/>
                <c:pt idx="1">
                  <c:v>0.14285714285714285</c:v>
                </c:pt>
                <c:pt idx="2">
                  <c:v>0.17647058823529413</c:v>
                </c:pt>
                <c:pt idx="3">
                  <c:v>0.20833333333333334</c:v>
                </c:pt>
                <c:pt idx="4">
                  <c:v>0.15151515151515152</c:v>
                </c:pt>
                <c:pt idx="5">
                  <c:v>0.15384615384615385</c:v>
                </c:pt>
                <c:pt idx="6">
                  <c:v>0.2</c:v>
                </c:pt>
                <c:pt idx="7">
                  <c:v>0.18518518518518517</c:v>
                </c:pt>
                <c:pt idx="8">
                  <c:v>0.18333333333333332</c:v>
                </c:pt>
                <c:pt idx="9">
                  <c:v>0.17391304347826086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0.20689655172413793</c:v>
                </c:pt>
                <c:pt idx="13">
                  <c:v>0.20212765957446807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0.20610687022900764</c:v>
                </c:pt>
                <c:pt idx="18">
                  <c:v>0.2</c:v>
                </c:pt>
                <c:pt idx="19">
                  <c:v>0.19463087248322147</c:v>
                </c:pt>
                <c:pt idx="20">
                  <c:v>0.18354430379746836</c:v>
                </c:pt>
                <c:pt idx="21">
                  <c:v>0.17575757575757575</c:v>
                </c:pt>
                <c:pt idx="22">
                  <c:v>0.16759776536312848</c:v>
                </c:pt>
                <c:pt idx="23">
                  <c:v>0.16489361702127658</c:v>
                </c:pt>
                <c:pt idx="24">
                  <c:v>0.18686868686868688</c:v>
                </c:pt>
                <c:pt idx="25">
                  <c:v>0.18137254901960784</c:v>
                </c:pt>
                <c:pt idx="26">
                  <c:v>0.18139534883720931</c:v>
                </c:pt>
                <c:pt idx="27">
                  <c:v>0.17808219178082191</c:v>
                </c:pt>
                <c:pt idx="28">
                  <c:v>0.17180616740088106</c:v>
                </c:pt>
                <c:pt idx="29">
                  <c:v>0.17948717948717949</c:v>
                </c:pt>
                <c:pt idx="30">
                  <c:v>0.17199999999999999</c:v>
                </c:pt>
                <c:pt idx="31">
                  <c:v>0.16796875</c:v>
                </c:pt>
                <c:pt idx="32">
                  <c:v>0.17358490566037735</c:v>
                </c:pt>
                <c:pt idx="33">
                  <c:v>0.17153284671532848</c:v>
                </c:pt>
                <c:pt idx="34">
                  <c:v>0.16961130742049471</c:v>
                </c:pt>
                <c:pt idx="35">
                  <c:v>0.1701388888888889</c:v>
                </c:pt>
                <c:pt idx="36">
                  <c:v>0.16556291390728478</c:v>
                </c:pt>
                <c:pt idx="37">
                  <c:v>0.1650485436893204</c:v>
                </c:pt>
                <c:pt idx="38">
                  <c:v>0.16614420062695925</c:v>
                </c:pt>
                <c:pt idx="39">
                  <c:v>0.16257668711656442</c:v>
                </c:pt>
                <c:pt idx="40">
                  <c:v>0.16060606060606061</c:v>
                </c:pt>
                <c:pt idx="41">
                  <c:v>0.15915915915915915</c:v>
                </c:pt>
                <c:pt idx="42">
                  <c:v>0.15835777126099707</c:v>
                </c:pt>
                <c:pt idx="43">
                  <c:v>0.15759312320916904</c:v>
                </c:pt>
                <c:pt idx="44">
                  <c:v>0.16056338028169015</c:v>
                </c:pt>
                <c:pt idx="45">
                  <c:v>0.16621253405994552</c:v>
                </c:pt>
                <c:pt idx="46">
                  <c:v>0.16266666666666665</c:v>
                </c:pt>
                <c:pt idx="47">
                  <c:v>0.16010498687664043</c:v>
                </c:pt>
                <c:pt idx="48">
                  <c:v>0.16071428571428573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82281907141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まっつん2!$I$3:$I$51</c:f>
              <c:numCache>
                <c:formatCode>0</c:formatCode>
                <c:ptCount val="49"/>
                <c:pt idx="1">
                  <c:v>7050</c:v>
                </c:pt>
                <c:pt idx="2">
                  <c:v>8800</c:v>
                </c:pt>
                <c:pt idx="3">
                  <c:v>6828.5714285714284</c:v>
                </c:pt>
                <c:pt idx="4">
                  <c:v>7050</c:v>
                </c:pt>
                <c:pt idx="5">
                  <c:v>6607.6923076923076</c:v>
                </c:pt>
                <c:pt idx="6">
                  <c:v>6414.2857142857147</c:v>
                </c:pt>
                <c:pt idx="7">
                  <c:v>6253.333333333333</c:v>
                </c:pt>
                <c:pt idx="8">
                  <c:v>6253.333333333333</c:v>
                </c:pt>
                <c:pt idx="9">
                  <c:v>5694.1176470588234</c:v>
                </c:pt>
                <c:pt idx="10">
                  <c:v>5694.1176470588234</c:v>
                </c:pt>
                <c:pt idx="11">
                  <c:v>6480</c:v>
                </c:pt>
                <c:pt idx="12">
                  <c:v>6480</c:v>
                </c:pt>
                <c:pt idx="13">
                  <c:v>6218.181818181818</c:v>
                </c:pt>
                <c:pt idx="14">
                  <c:v>6103.8461538461543</c:v>
                </c:pt>
                <c:pt idx="15">
                  <c:v>6362.0689655172409</c:v>
                </c:pt>
                <c:pt idx="16">
                  <c:v>6458.0645161290322</c:v>
                </c:pt>
                <c:pt idx="17">
                  <c:v>7036.363636363636</c:v>
                </c:pt>
                <c:pt idx="18">
                  <c:v>7535.2941176470586</c:v>
                </c:pt>
                <c:pt idx="19">
                  <c:v>7431.4285714285716</c:v>
                </c:pt>
                <c:pt idx="20">
                  <c:v>7369.2307692307695</c:v>
                </c:pt>
                <c:pt idx="21">
                  <c:v>7512.1951219512193</c:v>
                </c:pt>
                <c:pt idx="22">
                  <c:v>7276.5957446808507</c:v>
                </c:pt>
                <c:pt idx="23">
                  <c:v>7186</c:v>
                </c:pt>
                <c:pt idx="24">
                  <c:v>7163.4615384615381</c:v>
                </c:pt>
                <c:pt idx="25">
                  <c:v>7285.7142857142853</c:v>
                </c:pt>
                <c:pt idx="26">
                  <c:v>7431.666666666667</c:v>
                </c:pt>
                <c:pt idx="27">
                  <c:v>7904.6875</c:v>
                </c:pt>
                <c:pt idx="28">
                  <c:v>7883.5820895522384</c:v>
                </c:pt>
                <c:pt idx="29">
                  <c:v>7846.376811594203</c:v>
                </c:pt>
                <c:pt idx="30">
                  <c:v>7775</c:v>
                </c:pt>
                <c:pt idx="31">
                  <c:v>7889.333333333333</c:v>
                </c:pt>
                <c:pt idx="32">
                  <c:v>7803.8961038961043</c:v>
                </c:pt>
                <c:pt idx="33">
                  <c:v>7783.5443037974683</c:v>
                </c:pt>
                <c:pt idx="34">
                  <c:v>7945.7831325301204</c:v>
                </c:pt>
                <c:pt idx="35">
                  <c:v>8409.3023255813951</c:v>
                </c:pt>
                <c:pt idx="36">
                  <c:v>8735.1648351648346</c:v>
                </c:pt>
                <c:pt idx="37">
                  <c:v>8683.6956521739139</c:v>
                </c:pt>
                <c:pt idx="38">
                  <c:v>8673.1182795698933</c:v>
                </c:pt>
                <c:pt idx="39">
                  <c:v>8621.875</c:v>
                </c:pt>
                <c:pt idx="40">
                  <c:v>8683.8383838383834</c:v>
                </c:pt>
                <c:pt idx="41">
                  <c:v>8781.3725490196084</c:v>
                </c:pt>
                <c:pt idx="42">
                  <c:v>8869.5238095238092</c:v>
                </c:pt>
                <c:pt idx="43">
                  <c:v>8845.3703703703704</c:v>
                </c:pt>
                <c:pt idx="44">
                  <c:v>8845.3703703703704</c:v>
                </c:pt>
                <c:pt idx="45">
                  <c:v>8874.3119266055037</c:v>
                </c:pt>
                <c:pt idx="46">
                  <c:v>8805.454545454546</c:v>
                </c:pt>
                <c:pt idx="47">
                  <c:v>8838.3928571428569</c:v>
                </c:pt>
                <c:pt idx="48">
                  <c:v>8723.2758620689656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677.345378735233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まっつん2!$J$3:$J$51</c:f>
              <c:numCache>
                <c:formatCode>0</c:formatCode>
                <c:ptCount val="49"/>
                <c:pt idx="1">
                  <c:v>-3900</c:v>
                </c:pt>
                <c:pt idx="2">
                  <c:v>-2933.3333333333335</c:v>
                </c:pt>
                <c:pt idx="3">
                  <c:v>-6560</c:v>
                </c:pt>
                <c:pt idx="4">
                  <c:v>-6560</c:v>
                </c:pt>
                <c:pt idx="5">
                  <c:v>-6116.666666666667</c:v>
                </c:pt>
                <c:pt idx="6">
                  <c:v>-5400</c:v>
                </c:pt>
                <c:pt idx="7">
                  <c:v>-6060</c:v>
                </c:pt>
                <c:pt idx="8">
                  <c:v>-6236.363636363636</c:v>
                </c:pt>
                <c:pt idx="9">
                  <c:v>-6358.333333333333</c:v>
                </c:pt>
                <c:pt idx="10">
                  <c:v>-6921.4285714285716</c:v>
                </c:pt>
                <c:pt idx="11">
                  <c:v>-7141.1764705882351</c:v>
                </c:pt>
                <c:pt idx="12">
                  <c:v>-7411.1111111111113</c:v>
                </c:pt>
                <c:pt idx="13">
                  <c:v>-7426.3157894736842</c:v>
                </c:pt>
                <c:pt idx="14">
                  <c:v>-7426.3157894736842</c:v>
                </c:pt>
                <c:pt idx="15">
                  <c:v>-7250</c:v>
                </c:pt>
                <c:pt idx="16">
                  <c:v>-7500</c:v>
                </c:pt>
                <c:pt idx="17">
                  <c:v>-7029.6296296296296</c:v>
                </c:pt>
                <c:pt idx="18">
                  <c:v>-6917.8571428571431</c:v>
                </c:pt>
                <c:pt idx="19">
                  <c:v>-7093.1034482758623</c:v>
                </c:pt>
                <c:pt idx="20">
                  <c:v>-7093.1034482758623</c:v>
                </c:pt>
                <c:pt idx="21">
                  <c:v>-7093.1034482758623</c:v>
                </c:pt>
                <c:pt idx="22">
                  <c:v>-7113.333333333333</c:v>
                </c:pt>
                <c:pt idx="23">
                  <c:v>-7464.5161290322585</c:v>
                </c:pt>
                <c:pt idx="24">
                  <c:v>-7291.8918918918916</c:v>
                </c:pt>
                <c:pt idx="25">
                  <c:v>-7291.8918918918916</c:v>
                </c:pt>
                <c:pt idx="26">
                  <c:v>-7292.3076923076924</c:v>
                </c:pt>
                <c:pt idx="27">
                  <c:v>-7292.3076923076924</c:v>
                </c:pt>
                <c:pt idx="28">
                  <c:v>-7292.3076923076924</c:v>
                </c:pt>
                <c:pt idx="29">
                  <c:v>-7771.4285714285716</c:v>
                </c:pt>
                <c:pt idx="30">
                  <c:v>-7769.7674418604647</c:v>
                </c:pt>
                <c:pt idx="31">
                  <c:v>-7769.7674418604647</c:v>
                </c:pt>
                <c:pt idx="32">
                  <c:v>-7741.304347826087</c:v>
                </c:pt>
                <c:pt idx="33">
                  <c:v>-7831.9148936170213</c:v>
                </c:pt>
                <c:pt idx="34">
                  <c:v>-7735.416666666667</c:v>
                </c:pt>
                <c:pt idx="35">
                  <c:v>-7822.4489795918371</c:v>
                </c:pt>
                <c:pt idx="36">
                  <c:v>-7782</c:v>
                </c:pt>
                <c:pt idx="37">
                  <c:v>-7680.3921568627447</c:v>
                </c:pt>
                <c:pt idx="38">
                  <c:v>-7664.1509433962265</c:v>
                </c:pt>
                <c:pt idx="39">
                  <c:v>-7664.1509433962265</c:v>
                </c:pt>
                <c:pt idx="40">
                  <c:v>-7664.1509433962265</c:v>
                </c:pt>
                <c:pt idx="41">
                  <c:v>-7664.1509433962265</c:v>
                </c:pt>
                <c:pt idx="42">
                  <c:v>-7670.3703703703704</c:v>
                </c:pt>
                <c:pt idx="43">
                  <c:v>-7749.090909090909</c:v>
                </c:pt>
                <c:pt idx="44">
                  <c:v>-7591.2280701754389</c:v>
                </c:pt>
                <c:pt idx="45">
                  <c:v>-7621.311475409836</c:v>
                </c:pt>
                <c:pt idx="46">
                  <c:v>-7621.311475409836</c:v>
                </c:pt>
                <c:pt idx="47">
                  <c:v>-7621.311475409836</c:v>
                </c:pt>
                <c:pt idx="48">
                  <c:v>-7787.3015873015875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23.76237623762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まっつん2!$K$3:$K$51</c:f>
              <c:numCache>
                <c:formatCode>0.0%</c:formatCode>
                <c:ptCount val="4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0.20689655172413793</c:v>
                </c:pt>
                <c:pt idx="30">
                  <c:v>0.2</c:v>
                </c:pt>
                <c:pt idx="31">
                  <c:v>0.19354838709677419</c:v>
                </c:pt>
                <c:pt idx="32">
                  <c:v>0.1875</c:v>
                </c:pt>
                <c:pt idx="33">
                  <c:v>0.18181818181818182</c:v>
                </c:pt>
                <c:pt idx="34">
                  <c:v>0.17647058823529413</c:v>
                </c:pt>
                <c:pt idx="35">
                  <c:v>0.17142857142857143</c:v>
                </c:pt>
                <c:pt idx="36">
                  <c:v>0.16666666666666666</c:v>
                </c:pt>
                <c:pt idx="37">
                  <c:v>0.16216216216216217</c:v>
                </c:pt>
                <c:pt idx="38">
                  <c:v>0.18421052631578946</c:v>
                </c:pt>
                <c:pt idx="39">
                  <c:v>0.17948717948717949</c:v>
                </c:pt>
                <c:pt idx="40">
                  <c:v>0.17499999999999999</c:v>
                </c:pt>
                <c:pt idx="41">
                  <c:v>0.17073170731707318</c:v>
                </c:pt>
                <c:pt idx="42">
                  <c:v>0.16666666666666666</c:v>
                </c:pt>
                <c:pt idx="43">
                  <c:v>0.16279069767441862</c:v>
                </c:pt>
                <c:pt idx="44">
                  <c:v>0.15909090909090909</c:v>
                </c:pt>
                <c:pt idx="45">
                  <c:v>0.17777777777777778</c:v>
                </c:pt>
                <c:pt idx="46">
                  <c:v>0.17391304347826086</c:v>
                </c:pt>
                <c:pt idx="47">
                  <c:v>0.1702127659574468</c:v>
                </c:pt>
                <c:pt idx="48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583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まっつん2!$L$3:$L$51</c:f>
              <c:numCache>
                <c:formatCode>0.0%</c:formatCode>
                <c:ptCount val="4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6.4516129032258063E-2</c:v>
                </c:pt>
                <c:pt idx="32">
                  <c:v>6.25E-2</c:v>
                </c:pt>
                <c:pt idx="33">
                  <c:v>6.0606060606060608E-2</c:v>
                </c:pt>
                <c:pt idx="34">
                  <c:v>5.8823529411764705E-2</c:v>
                </c:pt>
                <c:pt idx="35">
                  <c:v>8.5714285714285715E-2</c:v>
                </c:pt>
                <c:pt idx="36">
                  <c:v>8.3333333333333329E-2</c:v>
                </c:pt>
                <c:pt idx="37">
                  <c:v>8.1081081081081086E-2</c:v>
                </c:pt>
                <c:pt idx="38">
                  <c:v>7.8947368421052627E-2</c:v>
                </c:pt>
                <c:pt idx="39">
                  <c:v>7.6923076923076927E-2</c:v>
                </c:pt>
                <c:pt idx="40">
                  <c:v>0.1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14583333333333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まっつん2!$M$3:$M$51</c:f>
              <c:numCache>
                <c:formatCode>0.0%</c:formatCode>
                <c:ptCount val="49"/>
                <c:pt idx="1">
                  <c:v>0</c:v>
                </c:pt>
                <c:pt idx="2">
                  <c:v>0.11764705882352941</c:v>
                </c:pt>
                <c:pt idx="3">
                  <c:v>0.16666666666666666</c:v>
                </c:pt>
                <c:pt idx="4">
                  <c:v>0.24242424242424243</c:v>
                </c:pt>
                <c:pt idx="5">
                  <c:v>0.25641025641025639</c:v>
                </c:pt>
                <c:pt idx="6">
                  <c:v>0.26666666666666666</c:v>
                </c:pt>
                <c:pt idx="7">
                  <c:v>0.24074074074074073</c:v>
                </c:pt>
                <c:pt idx="8">
                  <c:v>0.23333333333333334</c:v>
                </c:pt>
                <c:pt idx="9">
                  <c:v>0.20289855072463769</c:v>
                </c:pt>
                <c:pt idx="10">
                  <c:v>0.19444444444444445</c:v>
                </c:pt>
                <c:pt idx="11">
                  <c:v>0.20987654320987653</c:v>
                </c:pt>
                <c:pt idx="12">
                  <c:v>0.19540229885057472</c:v>
                </c:pt>
                <c:pt idx="13">
                  <c:v>0.18085106382978725</c:v>
                </c:pt>
                <c:pt idx="14">
                  <c:v>0.18446601941747573</c:v>
                </c:pt>
                <c:pt idx="15">
                  <c:v>0.17699115044247787</c:v>
                </c:pt>
                <c:pt idx="16">
                  <c:v>0.18333333333333332</c:v>
                </c:pt>
                <c:pt idx="17">
                  <c:v>0.17557251908396945</c:v>
                </c:pt>
                <c:pt idx="18">
                  <c:v>0.17857142857142858</c:v>
                </c:pt>
                <c:pt idx="19">
                  <c:v>0.18120805369127516</c:v>
                </c:pt>
                <c:pt idx="20">
                  <c:v>0.17721518987341772</c:v>
                </c:pt>
                <c:pt idx="21">
                  <c:v>0.18181818181818182</c:v>
                </c:pt>
                <c:pt idx="22">
                  <c:v>0.18994413407821228</c:v>
                </c:pt>
                <c:pt idx="23">
                  <c:v>0.19680851063829788</c:v>
                </c:pt>
                <c:pt idx="24">
                  <c:v>0.20202020202020202</c:v>
                </c:pt>
                <c:pt idx="25">
                  <c:v>0.21568627450980393</c:v>
                </c:pt>
                <c:pt idx="26">
                  <c:v>0.21395348837209302</c:v>
                </c:pt>
                <c:pt idx="27">
                  <c:v>0.21917808219178081</c:v>
                </c:pt>
                <c:pt idx="28">
                  <c:v>0.22026431718061673</c:v>
                </c:pt>
                <c:pt idx="29">
                  <c:v>0.22222222222222221</c:v>
                </c:pt>
                <c:pt idx="30">
                  <c:v>0.21199999999999999</c:v>
                </c:pt>
                <c:pt idx="31">
                  <c:v>0.21484375</c:v>
                </c:pt>
                <c:pt idx="32">
                  <c:v>0.21509433962264152</c:v>
                </c:pt>
                <c:pt idx="33">
                  <c:v>0.21167883211678831</c:v>
                </c:pt>
                <c:pt idx="34">
                  <c:v>0.21201413427561838</c:v>
                </c:pt>
                <c:pt idx="35">
                  <c:v>0.20833333333333334</c:v>
                </c:pt>
                <c:pt idx="36">
                  <c:v>0.2251655629139073</c:v>
                </c:pt>
                <c:pt idx="37">
                  <c:v>0.22330097087378642</c:v>
                </c:pt>
                <c:pt idx="38">
                  <c:v>0.22884012539184953</c:v>
                </c:pt>
                <c:pt idx="39">
                  <c:v>0.23312883435582821</c:v>
                </c:pt>
                <c:pt idx="40">
                  <c:v>0.23636363636363636</c:v>
                </c:pt>
                <c:pt idx="41">
                  <c:v>0.24324324324324326</c:v>
                </c:pt>
                <c:pt idx="42">
                  <c:v>0.24926686217008798</c:v>
                </c:pt>
                <c:pt idx="43">
                  <c:v>0.25214899713467048</c:v>
                </c:pt>
                <c:pt idx="44">
                  <c:v>0.25352112676056338</c:v>
                </c:pt>
                <c:pt idx="45">
                  <c:v>0.2561307901907357</c:v>
                </c:pt>
                <c:pt idx="46">
                  <c:v>0.25866666666666666</c:v>
                </c:pt>
                <c:pt idx="47">
                  <c:v>0.25984251968503935</c:v>
                </c:pt>
                <c:pt idx="48">
                  <c:v>0.26020408163265307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8992296481365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まっつん2!$N$3:$N$51</c:f>
              <c:numCache>
                <c:formatCode>0.0%</c:formatCode>
                <c:ptCount val="49"/>
                <c:pt idx="1">
                  <c:v>0.14285714285714285</c:v>
                </c:pt>
                <c:pt idx="2">
                  <c:v>0.17647058823529413</c:v>
                </c:pt>
                <c:pt idx="3">
                  <c:v>0.25</c:v>
                </c:pt>
                <c:pt idx="4">
                  <c:v>0.27272727272727271</c:v>
                </c:pt>
                <c:pt idx="5">
                  <c:v>0.28205128205128205</c:v>
                </c:pt>
                <c:pt idx="6">
                  <c:v>0.26666666666666666</c:v>
                </c:pt>
                <c:pt idx="7">
                  <c:v>0.25925925925925924</c:v>
                </c:pt>
                <c:pt idx="8">
                  <c:v>0.25</c:v>
                </c:pt>
                <c:pt idx="9">
                  <c:v>0.2608695652173913</c:v>
                </c:pt>
                <c:pt idx="10">
                  <c:v>0.25</c:v>
                </c:pt>
                <c:pt idx="11">
                  <c:v>0.24691358024691357</c:v>
                </c:pt>
                <c:pt idx="12">
                  <c:v>0.2413793103448276</c:v>
                </c:pt>
                <c:pt idx="13">
                  <c:v>0.25531914893617019</c:v>
                </c:pt>
                <c:pt idx="14">
                  <c:v>0.25242718446601942</c:v>
                </c:pt>
                <c:pt idx="15">
                  <c:v>0.29203539823008851</c:v>
                </c:pt>
                <c:pt idx="16">
                  <c:v>0.27500000000000002</c:v>
                </c:pt>
                <c:pt idx="17">
                  <c:v>0.27480916030534353</c:v>
                </c:pt>
                <c:pt idx="18">
                  <c:v>0.27142857142857141</c:v>
                </c:pt>
                <c:pt idx="19">
                  <c:v>0.25503355704697989</c:v>
                </c:pt>
                <c:pt idx="20">
                  <c:v>0.25949367088607594</c:v>
                </c:pt>
                <c:pt idx="21">
                  <c:v>0.24848484848484848</c:v>
                </c:pt>
                <c:pt idx="22">
                  <c:v>0.23463687150837989</c:v>
                </c:pt>
                <c:pt idx="23">
                  <c:v>0.22872340425531915</c:v>
                </c:pt>
                <c:pt idx="24">
                  <c:v>0.22727272727272727</c:v>
                </c:pt>
                <c:pt idx="25">
                  <c:v>0.22058823529411764</c:v>
                </c:pt>
                <c:pt idx="26">
                  <c:v>0.21860465116279071</c:v>
                </c:pt>
                <c:pt idx="27">
                  <c:v>0.22374429223744291</c:v>
                </c:pt>
                <c:pt idx="28">
                  <c:v>0.21585903083700442</c:v>
                </c:pt>
                <c:pt idx="29">
                  <c:v>0.21367521367521367</c:v>
                </c:pt>
                <c:pt idx="30">
                  <c:v>0.22</c:v>
                </c:pt>
                <c:pt idx="31">
                  <c:v>0.21875</c:v>
                </c:pt>
                <c:pt idx="32">
                  <c:v>0.21886792452830189</c:v>
                </c:pt>
                <c:pt idx="33">
                  <c:v>0.22262773722627738</c:v>
                </c:pt>
                <c:pt idx="34">
                  <c:v>0.22614840989399293</c:v>
                </c:pt>
                <c:pt idx="35">
                  <c:v>0.22569444444444445</c:v>
                </c:pt>
                <c:pt idx="36">
                  <c:v>0.22185430463576158</c:v>
                </c:pt>
                <c:pt idx="37">
                  <c:v>0.2168284789644013</c:v>
                </c:pt>
                <c:pt idx="38">
                  <c:v>0.21316614420062696</c:v>
                </c:pt>
                <c:pt idx="39">
                  <c:v>0.21165644171779141</c:v>
                </c:pt>
                <c:pt idx="40">
                  <c:v>0.20909090909090908</c:v>
                </c:pt>
                <c:pt idx="41">
                  <c:v>0.2072072072072072</c:v>
                </c:pt>
                <c:pt idx="42">
                  <c:v>0.20527859237536658</c:v>
                </c:pt>
                <c:pt idx="43">
                  <c:v>0.20057306590257878</c:v>
                </c:pt>
                <c:pt idx="44">
                  <c:v>0.19718309859154928</c:v>
                </c:pt>
                <c:pt idx="45">
                  <c:v>0.1907356948228883</c:v>
                </c:pt>
                <c:pt idx="46">
                  <c:v>0.192</c:v>
                </c:pt>
                <c:pt idx="47">
                  <c:v>0.19160104986876642</c:v>
                </c:pt>
                <c:pt idx="48">
                  <c:v>0.18877551020408162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0909848011659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まっつん2!$O$3:$O$51</c:f>
              <c:numCache>
                <c:formatCode>0.0%</c:formatCode>
                <c:ptCount val="49"/>
                <c:pt idx="1">
                  <c:v>0</c:v>
                </c:pt>
                <c:pt idx="2">
                  <c:v>1</c:v>
                </c:pt>
                <c:pt idx="3">
                  <c:v>0.75</c:v>
                </c:pt>
                <c:pt idx="4">
                  <c:v>0.875</c:v>
                </c:pt>
                <c:pt idx="5">
                  <c:v>0.8</c:v>
                </c:pt>
                <c:pt idx="6">
                  <c:v>0.66666666666666663</c:v>
                </c:pt>
                <c:pt idx="7">
                  <c:v>0.61538461538461542</c:v>
                </c:pt>
                <c:pt idx="8">
                  <c:v>0.5714285714285714</c:v>
                </c:pt>
                <c:pt idx="9">
                  <c:v>0.5714285714285714</c:v>
                </c:pt>
                <c:pt idx="10">
                  <c:v>0.5714285714285714</c:v>
                </c:pt>
                <c:pt idx="11">
                  <c:v>0.52941176470588236</c:v>
                </c:pt>
                <c:pt idx="12">
                  <c:v>0.52941176470588236</c:v>
                </c:pt>
                <c:pt idx="13">
                  <c:v>0.52941176470588236</c:v>
                </c:pt>
                <c:pt idx="14">
                  <c:v>0.57894736842105265</c:v>
                </c:pt>
                <c:pt idx="15">
                  <c:v>0.55000000000000004</c:v>
                </c:pt>
                <c:pt idx="16">
                  <c:v>0.54545454545454541</c:v>
                </c:pt>
                <c:pt idx="17">
                  <c:v>0.52173913043478259</c:v>
                </c:pt>
                <c:pt idx="18">
                  <c:v>0.52</c:v>
                </c:pt>
                <c:pt idx="19">
                  <c:v>0.51851851851851849</c:v>
                </c:pt>
                <c:pt idx="20">
                  <c:v>0.5357142857142857</c:v>
                </c:pt>
                <c:pt idx="21">
                  <c:v>0.56666666666666665</c:v>
                </c:pt>
                <c:pt idx="22">
                  <c:v>0.61764705882352944</c:v>
                </c:pt>
                <c:pt idx="23">
                  <c:v>0.64864864864864868</c:v>
                </c:pt>
                <c:pt idx="24">
                  <c:v>0.625</c:v>
                </c:pt>
                <c:pt idx="25">
                  <c:v>0.65909090909090906</c:v>
                </c:pt>
                <c:pt idx="26">
                  <c:v>0.67391304347826086</c:v>
                </c:pt>
                <c:pt idx="27">
                  <c:v>0.6875</c:v>
                </c:pt>
                <c:pt idx="28">
                  <c:v>0.7</c:v>
                </c:pt>
                <c:pt idx="29">
                  <c:v>0.69230769230769229</c:v>
                </c:pt>
                <c:pt idx="30">
                  <c:v>0.69811320754716977</c:v>
                </c:pt>
                <c:pt idx="31">
                  <c:v>0.70909090909090911</c:v>
                </c:pt>
                <c:pt idx="32">
                  <c:v>0.70175438596491224</c:v>
                </c:pt>
                <c:pt idx="33">
                  <c:v>0.7068965517241379</c:v>
                </c:pt>
                <c:pt idx="34">
                  <c:v>0.7</c:v>
                </c:pt>
                <c:pt idx="35">
                  <c:v>0.7</c:v>
                </c:pt>
                <c:pt idx="36">
                  <c:v>0.69117647058823528</c:v>
                </c:pt>
                <c:pt idx="37">
                  <c:v>0.69565217391304346</c:v>
                </c:pt>
                <c:pt idx="38">
                  <c:v>0.67123287671232879</c:v>
                </c:pt>
                <c:pt idx="39">
                  <c:v>0.67105263157894735</c:v>
                </c:pt>
                <c:pt idx="40">
                  <c:v>0.67948717948717952</c:v>
                </c:pt>
                <c:pt idx="41">
                  <c:v>0.69135802469135799</c:v>
                </c:pt>
                <c:pt idx="42">
                  <c:v>0.69411764705882351</c:v>
                </c:pt>
                <c:pt idx="43">
                  <c:v>0.70454545454545459</c:v>
                </c:pt>
                <c:pt idx="44">
                  <c:v>0.68888888888888888</c:v>
                </c:pt>
                <c:pt idx="45">
                  <c:v>0.67021276595744683</c:v>
                </c:pt>
                <c:pt idx="46">
                  <c:v>0.65979381443298968</c:v>
                </c:pt>
                <c:pt idx="47">
                  <c:v>0.66666666666666663</c:v>
                </c:pt>
                <c:pt idx="48">
                  <c:v>0.67647058823529416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81343283582089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まっつん2!$P$3:$P$51</c:f>
              <c:numCache>
                <c:formatCode>0.0%</c:formatCode>
                <c:ptCount val="49"/>
                <c:pt idx="1">
                  <c:v>0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0.27272727272727271</c:v>
                </c:pt>
                <c:pt idx="6">
                  <c:v>0.33333333333333331</c:v>
                </c:pt>
                <c:pt idx="7">
                  <c:v>0.35714285714285715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0.35</c:v>
                </c:pt>
                <c:pt idx="12">
                  <c:v>0.33333333333333331</c:v>
                </c:pt>
                <c:pt idx="13">
                  <c:v>0.375</c:v>
                </c:pt>
                <c:pt idx="14">
                  <c:v>0.38461538461538464</c:v>
                </c:pt>
                <c:pt idx="15">
                  <c:v>0.39393939393939392</c:v>
                </c:pt>
                <c:pt idx="16">
                  <c:v>0.39393939393939392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0.36842105263157893</c:v>
                </c:pt>
                <c:pt idx="20">
                  <c:v>0.41463414634146339</c:v>
                </c:pt>
                <c:pt idx="21">
                  <c:v>0.41463414634146339</c:v>
                </c:pt>
                <c:pt idx="22">
                  <c:v>0.40476190476190477</c:v>
                </c:pt>
                <c:pt idx="23">
                  <c:v>0.39534883720930231</c:v>
                </c:pt>
                <c:pt idx="24">
                  <c:v>0.4</c:v>
                </c:pt>
                <c:pt idx="25">
                  <c:v>0.4</c:v>
                </c:pt>
                <c:pt idx="26">
                  <c:v>0.40425531914893614</c:v>
                </c:pt>
                <c:pt idx="27">
                  <c:v>0.42857142857142855</c:v>
                </c:pt>
                <c:pt idx="28">
                  <c:v>0.42857142857142855</c:v>
                </c:pt>
                <c:pt idx="29">
                  <c:v>0.42</c:v>
                </c:pt>
                <c:pt idx="30">
                  <c:v>0.4</c:v>
                </c:pt>
                <c:pt idx="31">
                  <c:v>0.4107142857142857</c:v>
                </c:pt>
                <c:pt idx="32">
                  <c:v>0.41379310344827586</c:v>
                </c:pt>
                <c:pt idx="33">
                  <c:v>0.39344262295081966</c:v>
                </c:pt>
                <c:pt idx="34">
                  <c:v>0.390625</c:v>
                </c:pt>
                <c:pt idx="35">
                  <c:v>0.38461538461538464</c:v>
                </c:pt>
                <c:pt idx="36">
                  <c:v>0.37313432835820898</c:v>
                </c:pt>
                <c:pt idx="37">
                  <c:v>0.37313432835820898</c:v>
                </c:pt>
                <c:pt idx="38">
                  <c:v>0.36764705882352944</c:v>
                </c:pt>
                <c:pt idx="39">
                  <c:v>0.37681159420289856</c:v>
                </c:pt>
                <c:pt idx="40">
                  <c:v>0.37681159420289856</c:v>
                </c:pt>
                <c:pt idx="41">
                  <c:v>0.37681159420289856</c:v>
                </c:pt>
                <c:pt idx="42">
                  <c:v>0.37142857142857144</c:v>
                </c:pt>
                <c:pt idx="43">
                  <c:v>0.37142857142857144</c:v>
                </c:pt>
                <c:pt idx="44">
                  <c:v>0.37142857142857144</c:v>
                </c:pt>
                <c:pt idx="45">
                  <c:v>0.37142857142857144</c:v>
                </c:pt>
                <c:pt idx="46">
                  <c:v>0.3611111111111111</c:v>
                </c:pt>
                <c:pt idx="47">
                  <c:v>0.35616438356164382</c:v>
                </c:pt>
                <c:pt idx="48">
                  <c:v>0.35135135135135137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09180651530108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まっつん2!$A$3:$A$51</c:f>
              <c:numCache>
                <c:formatCode>0\ "回"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まっつん2!$Q$3:$Q$51</c:f>
              <c:numCache>
                <c:formatCode>0.0%</c:formatCode>
                <c:ptCount val="49"/>
                <c:pt idx="1">
                  <c:v>0.5</c:v>
                </c:pt>
                <c:pt idx="2">
                  <c:v>0.4</c:v>
                </c:pt>
                <c:pt idx="3">
                  <c:v>0.42857142857142855</c:v>
                </c:pt>
                <c:pt idx="4">
                  <c:v>0.33333333333333331</c:v>
                </c:pt>
                <c:pt idx="5">
                  <c:v>0.30769230769230771</c:v>
                </c:pt>
                <c:pt idx="6">
                  <c:v>0.2857142857142857</c:v>
                </c:pt>
                <c:pt idx="7">
                  <c:v>0.33333333333333331</c:v>
                </c:pt>
                <c:pt idx="8">
                  <c:v>0.33333333333333331</c:v>
                </c:pt>
                <c:pt idx="9">
                  <c:v>0.29411764705882354</c:v>
                </c:pt>
                <c:pt idx="10">
                  <c:v>0.29411764705882354</c:v>
                </c:pt>
                <c:pt idx="11">
                  <c:v>0.35</c:v>
                </c:pt>
                <c:pt idx="12">
                  <c:v>0.35</c:v>
                </c:pt>
                <c:pt idx="13">
                  <c:v>0.40909090909090912</c:v>
                </c:pt>
                <c:pt idx="14">
                  <c:v>0.38461538461538464</c:v>
                </c:pt>
                <c:pt idx="15">
                  <c:v>0.37931034482758619</c:v>
                </c:pt>
                <c:pt idx="16">
                  <c:v>0.35483870967741937</c:v>
                </c:pt>
                <c:pt idx="17">
                  <c:v>0.39393939393939392</c:v>
                </c:pt>
                <c:pt idx="18">
                  <c:v>0.41176470588235292</c:v>
                </c:pt>
                <c:pt idx="19">
                  <c:v>0.4</c:v>
                </c:pt>
                <c:pt idx="20">
                  <c:v>0.38461538461538464</c:v>
                </c:pt>
                <c:pt idx="21">
                  <c:v>0.3902439024390244</c:v>
                </c:pt>
                <c:pt idx="22">
                  <c:v>0.38297872340425532</c:v>
                </c:pt>
                <c:pt idx="23">
                  <c:v>0.38</c:v>
                </c:pt>
                <c:pt idx="24">
                  <c:v>0.38461538461538464</c:v>
                </c:pt>
                <c:pt idx="25">
                  <c:v>0.39285714285714285</c:v>
                </c:pt>
                <c:pt idx="26">
                  <c:v>0.38333333333333336</c:v>
                </c:pt>
                <c:pt idx="27">
                  <c:v>0.390625</c:v>
                </c:pt>
                <c:pt idx="28">
                  <c:v>0.40298507462686567</c:v>
                </c:pt>
                <c:pt idx="29">
                  <c:v>0.40579710144927539</c:v>
                </c:pt>
                <c:pt idx="30">
                  <c:v>0.43055555555555558</c:v>
                </c:pt>
                <c:pt idx="31">
                  <c:v>0.41333333333333333</c:v>
                </c:pt>
                <c:pt idx="32">
                  <c:v>0.41558441558441561</c:v>
                </c:pt>
                <c:pt idx="33">
                  <c:v>0.4050632911392405</c:v>
                </c:pt>
                <c:pt idx="34">
                  <c:v>0.39759036144578314</c:v>
                </c:pt>
                <c:pt idx="35">
                  <c:v>0.39534883720930231</c:v>
                </c:pt>
                <c:pt idx="36">
                  <c:v>0.40659340659340659</c:v>
                </c:pt>
                <c:pt idx="37">
                  <c:v>0.41304347826086957</c:v>
                </c:pt>
                <c:pt idx="38">
                  <c:v>0.41935483870967744</c:v>
                </c:pt>
                <c:pt idx="39">
                  <c:v>0.41666666666666669</c:v>
                </c:pt>
                <c:pt idx="40">
                  <c:v>0.41414141414141414</c:v>
                </c:pt>
                <c:pt idx="41">
                  <c:v>0.40196078431372551</c:v>
                </c:pt>
                <c:pt idx="42">
                  <c:v>0.41904761904761906</c:v>
                </c:pt>
                <c:pt idx="43">
                  <c:v>0.41666666666666669</c:v>
                </c:pt>
                <c:pt idx="44">
                  <c:v>0.41666666666666669</c:v>
                </c:pt>
                <c:pt idx="45">
                  <c:v>0.41284403669724773</c:v>
                </c:pt>
                <c:pt idx="46">
                  <c:v>0.40909090909090912</c:v>
                </c:pt>
                <c:pt idx="47">
                  <c:v>0.41964285714285715</c:v>
                </c:pt>
                <c:pt idx="48">
                  <c:v>0.42241379310344829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29395413481584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4"/>
      <c r="C1" s="145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46">
        <v>0</v>
      </c>
      <c r="C2" s="147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48">
        <v>0</v>
      </c>
      <c r="C3" s="149"/>
      <c r="E3" s="63" t="s">
        <v>66</v>
      </c>
      <c r="F3" s="28" t="s">
        <v>22</v>
      </c>
      <c r="G3" s="15">
        <v>0</v>
      </c>
      <c r="H3" s="133">
        <f t="shared" ref="H3:H51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0">
        <v>0</v>
      </c>
      <c r="C4" s="151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2">
        <f>IF(B$2=0,0,B$4/B$2)</f>
        <v>0</v>
      </c>
      <c r="C5" s="153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2">
        <f>IF(B$2=0,0,(B$7*1+B$8*2+B$9*3)/B$2)</f>
        <v>0</v>
      </c>
      <c r="C6" s="143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193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194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0">
        <v>0</v>
      </c>
      <c r="C25" s="141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38">
        <v>0</v>
      </c>
      <c r="C26" s="139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183</v>
      </c>
      <c r="G50" s="47">
        <v>0</v>
      </c>
      <c r="H50" s="133">
        <f t="shared" si="1"/>
        <v>0</v>
      </c>
      <c r="I50" s="94"/>
    </row>
    <row r="51" spans="5:9" x14ac:dyDescent="0.4">
      <c r="E51" s="64" t="s">
        <v>181</v>
      </c>
      <c r="F51" s="61" t="s">
        <v>182</v>
      </c>
      <c r="G51" s="49">
        <v>0</v>
      </c>
      <c r="H51" s="134">
        <f t="shared" si="1"/>
        <v>0</v>
      </c>
      <c r="I51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53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43555.865243055552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43557.861886574072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43559.023634259262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43560.077002314814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43561.108229166668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184</v>
      </c>
      <c r="B7" s="31">
        <v>43562.38486111111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187</v>
      </c>
      <c r="I7" s="30" t="s">
        <v>188</v>
      </c>
      <c r="J7" s="30" t="s">
        <v>189</v>
      </c>
    </row>
    <row r="8" spans="1:10" x14ac:dyDescent="0.4">
      <c r="A8" s="30" t="s">
        <v>190</v>
      </c>
      <c r="B8" s="31">
        <v>43566.4999537037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187</v>
      </c>
      <c r="I8" s="30" t="s">
        <v>188</v>
      </c>
    </row>
    <row r="9" spans="1:10" x14ac:dyDescent="0.4">
      <c r="A9" s="30" t="s">
        <v>191</v>
      </c>
      <c r="B9" s="31">
        <v>43564.018368055556</v>
      </c>
      <c r="C9" s="30" t="s">
        <v>130</v>
      </c>
      <c r="D9" s="30" t="s">
        <v>131</v>
      </c>
    </row>
    <row r="10" spans="1:10" x14ac:dyDescent="0.4">
      <c r="A10" s="30" t="s">
        <v>192</v>
      </c>
      <c r="B10" s="31">
        <v>43565.03292824074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195</v>
      </c>
      <c r="B11" s="31">
        <v>43566.030462962961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196</v>
      </c>
      <c r="B12" s="31">
        <v>43567.091620370367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197</v>
      </c>
      <c r="B13" s="31">
        <v>43568.067812499998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198</v>
      </c>
      <c r="B14" s="31">
        <v>43569.100613425922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199</v>
      </c>
      <c r="B15" s="31">
        <v>43570.006145833337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187</v>
      </c>
    </row>
    <row r="16" spans="1:10" x14ac:dyDescent="0.4">
      <c r="A16" s="30" t="s">
        <v>200</v>
      </c>
      <c r="B16" s="31">
        <v>43571.043113425927</v>
      </c>
      <c r="C16" s="30" t="s">
        <v>130</v>
      </c>
      <c r="D16" s="30" t="s">
        <v>131</v>
      </c>
    </row>
    <row r="17" spans="1:10" x14ac:dyDescent="0.4">
      <c r="A17" s="30" t="s">
        <v>201</v>
      </c>
      <c r="B17" s="31">
        <v>43573.057604166665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203</v>
      </c>
      <c r="B18" s="31">
        <v>43574.063946759263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204</v>
      </c>
      <c r="B19" s="31">
        <v>43575.082013888888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205</v>
      </c>
      <c r="B20" s="31">
        <v>43576.05164351852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187</v>
      </c>
    </row>
    <row r="21" spans="1:10" x14ac:dyDescent="0.4">
      <c r="A21" s="30" t="s">
        <v>206</v>
      </c>
      <c r="B21" s="31">
        <v>43577.022303240738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187</v>
      </c>
      <c r="I21" s="30" t="s">
        <v>188</v>
      </c>
      <c r="J21" s="30" t="s">
        <v>189</v>
      </c>
    </row>
    <row r="22" spans="1:10" x14ac:dyDescent="0.4">
      <c r="A22" s="30" t="s">
        <v>207</v>
      </c>
      <c r="B22" s="31">
        <v>43579.04246527778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208</v>
      </c>
      <c r="B23" s="31">
        <v>43580.060023148151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209</v>
      </c>
      <c r="B24" s="31">
        <v>43581.023761574077</v>
      </c>
      <c r="C24" s="30" t="s">
        <v>130</v>
      </c>
      <c r="D24" s="30" t="s">
        <v>131</v>
      </c>
    </row>
    <row r="25" spans="1:10" x14ac:dyDescent="0.4">
      <c r="A25" s="30" t="s">
        <v>210</v>
      </c>
      <c r="B25" s="31">
        <v>43582.061377314814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211</v>
      </c>
      <c r="B26" s="31">
        <v>43582.9065162037</v>
      </c>
      <c r="C26" s="30" t="s">
        <v>130</v>
      </c>
      <c r="D26" s="30" t="s">
        <v>131</v>
      </c>
    </row>
    <row r="27" spans="1:10" x14ac:dyDescent="0.4">
      <c r="A27" s="30" t="s">
        <v>212</v>
      </c>
      <c r="B27" s="31">
        <v>43590.780706018515</v>
      </c>
      <c r="C27" s="30" t="s">
        <v>130</v>
      </c>
      <c r="D27" s="30" t="s">
        <v>131</v>
      </c>
    </row>
    <row r="28" spans="1:10" x14ac:dyDescent="0.4">
      <c r="A28" s="30" t="s">
        <v>213</v>
      </c>
      <c r="B28" s="31">
        <v>43595.016736111109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214</v>
      </c>
      <c r="B29" s="31">
        <v>43592.020555555559</v>
      </c>
      <c r="C29" s="30" t="s">
        <v>130</v>
      </c>
      <c r="D29" s="30" t="s">
        <v>131</v>
      </c>
    </row>
    <row r="30" spans="1:10" x14ac:dyDescent="0.4">
      <c r="A30" s="30" t="s">
        <v>215</v>
      </c>
      <c r="B30" s="31">
        <v>43593.086956018517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216</v>
      </c>
      <c r="B31" s="31">
        <v>43593.980173611111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217</v>
      </c>
      <c r="B32" s="31">
        <v>43595.036122685182</v>
      </c>
      <c r="C32" s="30" t="s">
        <v>130</v>
      </c>
      <c r="D32" s="30" t="s">
        <v>131</v>
      </c>
    </row>
    <row r="33" spans="1:11" x14ac:dyDescent="0.4">
      <c r="A33" s="30" t="s">
        <v>218</v>
      </c>
      <c r="B33" s="31">
        <v>43596.111006944448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219</v>
      </c>
      <c r="B34" s="31">
        <v>43597.633912037039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220</v>
      </c>
      <c r="B35" s="31">
        <v>43597.749386574076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221</v>
      </c>
      <c r="B36" s="31">
        <v>43599.035104166665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222</v>
      </c>
      <c r="B37" s="31">
        <v>43599.989502314813</v>
      </c>
      <c r="C37" s="30" t="s">
        <v>130</v>
      </c>
      <c r="D37" s="30" t="s">
        <v>131</v>
      </c>
    </row>
    <row r="38" spans="1:11" x14ac:dyDescent="0.4">
      <c r="A38" s="30" t="s">
        <v>223</v>
      </c>
      <c r="B38" s="31">
        <v>43601.497303240743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226</v>
      </c>
      <c r="B39" s="31">
        <v>43602.380266203705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227</v>
      </c>
      <c r="B40" s="31">
        <v>43606.438171296293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187</v>
      </c>
      <c r="I40" s="30" t="s">
        <v>188</v>
      </c>
      <c r="J40" s="30" t="s">
        <v>189</v>
      </c>
      <c r="K40" s="30" t="s">
        <v>230</v>
      </c>
    </row>
    <row r="41" spans="1:11" x14ac:dyDescent="0.4">
      <c r="A41" s="30" t="s">
        <v>228</v>
      </c>
      <c r="B41" s="31">
        <v>43606.438171296293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229</v>
      </c>
      <c r="B42" s="31">
        <v>43608.928032407406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231</v>
      </c>
      <c r="B43" s="31">
        <v>43606.438171296293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187</v>
      </c>
    </row>
    <row r="44" spans="1:11" x14ac:dyDescent="0.4">
      <c r="A44" s="30" t="s">
        <v>233</v>
      </c>
      <c r="B44" s="31">
        <v>43607.939467592594</v>
      </c>
      <c r="C44" s="30" t="s">
        <v>130</v>
      </c>
    </row>
    <row r="45" spans="1:11" x14ac:dyDescent="0.4">
      <c r="A45" s="30" t="s">
        <v>232</v>
      </c>
      <c r="B45" s="31">
        <v>43607.939467592594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234</v>
      </c>
      <c r="B46" s="31">
        <v>43608.029363425929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235</v>
      </c>
      <c r="B47" s="31">
        <v>43608.535393518519</v>
      </c>
      <c r="C47" s="30" t="s">
        <v>130</v>
      </c>
    </row>
    <row r="48" spans="1:11" x14ac:dyDescent="0.4">
      <c r="A48" s="30" t="s">
        <v>237</v>
      </c>
      <c r="B48" s="31">
        <v>43609.017604166664</v>
      </c>
      <c r="C48" s="30" t="s">
        <v>130</v>
      </c>
    </row>
    <row r="49" spans="1:7" x14ac:dyDescent="0.4">
      <c r="A49" s="30" t="s">
        <v>236</v>
      </c>
      <c r="B49" s="31">
        <v>43609.016342592593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238</v>
      </c>
      <c r="B50" s="31">
        <v>43610.908877314818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240</v>
      </c>
      <c r="B51" s="31">
        <v>43611.023946759262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239</v>
      </c>
      <c r="B52" s="31">
        <v>43612.976331018515</v>
      </c>
      <c r="C52" s="30" t="s">
        <v>130</v>
      </c>
    </row>
    <row r="53" spans="1:7" x14ac:dyDescent="0.4">
      <c r="A53" s="30" t="s">
        <v>241</v>
      </c>
      <c r="B53" s="31">
        <v>43613.794409722221</v>
      </c>
      <c r="C53" s="30" t="s">
        <v>130</v>
      </c>
      <c r="D53" s="30" t="s">
        <v>131</v>
      </c>
      <c r="E53" s="30" t="s">
        <v>169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576</v>
      </c>
    </row>
    <row r="2" spans="1:2" x14ac:dyDescent="0.4">
      <c r="A2" t="s">
        <v>127</v>
      </c>
      <c r="B2">
        <v>129</v>
      </c>
    </row>
    <row r="3" spans="1:2" x14ac:dyDescent="0.4">
      <c r="A3" t="s">
        <v>128</v>
      </c>
      <c r="B3">
        <v>116</v>
      </c>
    </row>
    <row r="4" spans="1:2" x14ac:dyDescent="0.4">
      <c r="A4" t="s">
        <v>129</v>
      </c>
      <c r="B4">
        <v>69</v>
      </c>
    </row>
    <row r="5" spans="1:2" x14ac:dyDescent="0.4">
      <c r="A5" t="s">
        <v>171</v>
      </c>
      <c r="B5">
        <v>79</v>
      </c>
    </row>
    <row r="6" spans="1:2" x14ac:dyDescent="0.4">
      <c r="A6" t="s">
        <v>172</v>
      </c>
      <c r="B6">
        <v>64</v>
      </c>
    </row>
    <row r="7" spans="1:2" x14ac:dyDescent="0.4">
      <c r="A7" t="s">
        <v>173</v>
      </c>
      <c r="B7">
        <v>44</v>
      </c>
    </row>
    <row r="8" spans="1:2" x14ac:dyDescent="0.4">
      <c r="A8" t="s">
        <v>177</v>
      </c>
      <c r="B8">
        <v>48</v>
      </c>
    </row>
    <row r="9" spans="1:2" x14ac:dyDescent="0.4">
      <c r="A9" t="s">
        <v>185</v>
      </c>
      <c r="B9">
        <v>3</v>
      </c>
    </row>
    <row r="10" spans="1:2" x14ac:dyDescent="0.4">
      <c r="A10" t="s">
        <v>186</v>
      </c>
      <c r="B10">
        <v>14</v>
      </c>
    </row>
    <row r="11" spans="1:2" x14ac:dyDescent="0.4">
      <c r="A11" t="s">
        <v>202</v>
      </c>
      <c r="B11">
        <v>7</v>
      </c>
    </row>
    <row r="12" spans="1:2" x14ac:dyDescent="0.4">
      <c r="A12" t="s">
        <v>224</v>
      </c>
      <c r="B12">
        <v>1</v>
      </c>
    </row>
    <row r="13" spans="1:2" x14ac:dyDescent="0.4">
      <c r="A13" t="s">
        <v>225</v>
      </c>
      <c r="B13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56" t="s">
        <v>6</v>
      </c>
      <c r="C1" s="157"/>
      <c r="D1" s="156" t="s">
        <v>7</v>
      </c>
      <c r="E1" s="157"/>
      <c r="F1" s="156" t="s">
        <v>16</v>
      </c>
      <c r="G1" s="157"/>
      <c r="H1" s="156" t="s">
        <v>15</v>
      </c>
      <c r="I1" s="157"/>
      <c r="J1" s="156" t="s">
        <v>162</v>
      </c>
      <c r="K1" s="157"/>
      <c r="L1" s="156" t="s">
        <v>149</v>
      </c>
      <c r="M1" s="157"/>
      <c r="N1" s="156" t="s">
        <v>150</v>
      </c>
      <c r="O1" s="157"/>
      <c r="P1" s="156" t="s">
        <v>5</v>
      </c>
      <c r="Q1" s="157"/>
      <c r="R1" s="156" t="s">
        <v>17</v>
      </c>
      <c r="S1" s="157"/>
      <c r="T1" s="156" t="s">
        <v>18</v>
      </c>
      <c r="U1" s="157"/>
      <c r="V1" s="156" t="s">
        <v>141</v>
      </c>
      <c r="W1" s="157"/>
      <c r="X1" s="156" t="s">
        <v>123</v>
      </c>
      <c r="Y1" s="157"/>
      <c r="Z1" s="156" t="s">
        <v>120</v>
      </c>
      <c r="AA1" s="157"/>
      <c r="AB1" s="156" t="s">
        <v>126</v>
      </c>
      <c r="AC1" s="157"/>
      <c r="AD1" s="156" t="s">
        <v>151</v>
      </c>
      <c r="AE1" s="157"/>
      <c r="AF1" s="156" t="s">
        <v>144</v>
      </c>
      <c r="AG1" s="157"/>
      <c r="AH1" s="156" t="s">
        <v>153</v>
      </c>
      <c r="AI1" s="157"/>
    </row>
    <row r="2" spans="1:35" x14ac:dyDescent="0.4">
      <c r="A2" s="72" t="s">
        <v>161</v>
      </c>
      <c r="B2" s="158"/>
      <c r="C2" s="159"/>
      <c r="D2" s="158"/>
      <c r="E2" s="159"/>
      <c r="F2" s="154">
        <v>0.9669969305414523</v>
      </c>
      <c r="G2" s="155"/>
      <c r="H2" s="154">
        <v>0.73350659317632172</v>
      </c>
      <c r="I2" s="155"/>
      <c r="J2" s="154">
        <v>0.93963691095679891</v>
      </c>
      <c r="K2" s="155"/>
      <c r="L2" s="154">
        <v>0.76782147722611949</v>
      </c>
      <c r="M2" s="155"/>
      <c r="N2" s="154">
        <v>0.64765262461287265</v>
      </c>
      <c r="O2" s="155"/>
      <c r="P2" s="154">
        <v>0.26476546623045399</v>
      </c>
      <c r="Q2" s="155"/>
      <c r="R2" s="154">
        <v>0.30076563518477956</v>
      </c>
      <c r="S2" s="155"/>
      <c r="T2" s="154">
        <v>0.46253563600153091</v>
      </c>
      <c r="U2" s="155"/>
      <c r="V2" s="154">
        <v>0.62082263945687011</v>
      </c>
      <c r="W2" s="155"/>
      <c r="X2" s="154">
        <v>0.46581026475041493</v>
      </c>
      <c r="Y2" s="155"/>
      <c r="Z2" s="154">
        <v>0.28981205418300604</v>
      </c>
      <c r="AA2" s="155"/>
      <c r="AB2" s="154">
        <v>8.3872260493647377E-2</v>
      </c>
      <c r="AC2" s="155"/>
      <c r="AD2" s="154">
        <v>0.73848576371506947</v>
      </c>
      <c r="AE2" s="155"/>
      <c r="AF2" s="154">
        <v>-0.74596936844299588</v>
      </c>
      <c r="AG2" s="155"/>
      <c r="AH2" s="154">
        <v>0.63069357869230758</v>
      </c>
      <c r="AI2" s="155"/>
    </row>
    <row r="3" spans="1:35" x14ac:dyDescent="0.4">
      <c r="A3" s="74">
        <v>1</v>
      </c>
      <c r="B3" s="75" t="s">
        <v>127</v>
      </c>
      <c r="C3" s="76">
        <v>1603.0000000000011</v>
      </c>
      <c r="D3" s="77" t="s">
        <v>185</v>
      </c>
      <c r="E3" s="96">
        <v>20.333333333333332</v>
      </c>
      <c r="F3" s="77" t="s">
        <v>185</v>
      </c>
      <c r="G3" s="78">
        <v>1.3333333333333333</v>
      </c>
      <c r="H3" s="77" t="s">
        <v>185</v>
      </c>
      <c r="I3" s="79">
        <v>0.66666666666666663</v>
      </c>
      <c r="J3" s="77" t="s">
        <v>185</v>
      </c>
      <c r="K3" s="79">
        <v>0</v>
      </c>
      <c r="L3" s="77" t="s">
        <v>172</v>
      </c>
      <c r="M3" s="80">
        <v>0.3579136690647482</v>
      </c>
      <c r="N3" s="77" t="s">
        <v>224</v>
      </c>
      <c r="O3" s="80">
        <v>7.6923076923076927E-2</v>
      </c>
      <c r="P3" s="77" t="s">
        <v>224</v>
      </c>
      <c r="Q3" s="81">
        <v>13800</v>
      </c>
      <c r="R3" s="77" t="s">
        <v>185</v>
      </c>
      <c r="S3" s="81">
        <v>-5150</v>
      </c>
      <c r="T3" s="77" t="s">
        <v>185</v>
      </c>
      <c r="U3" s="79">
        <v>0</v>
      </c>
      <c r="V3" s="77" t="s">
        <v>127</v>
      </c>
      <c r="W3" s="79">
        <v>0.17054263565891473</v>
      </c>
      <c r="X3" s="77" t="s">
        <v>127</v>
      </c>
      <c r="Y3" s="80">
        <v>0.32316491897044802</v>
      </c>
      <c r="Z3" s="77" t="s">
        <v>172</v>
      </c>
      <c r="AA3" s="80">
        <v>0.29136690647482016</v>
      </c>
      <c r="AB3" s="77" t="s">
        <v>225</v>
      </c>
      <c r="AC3" s="80">
        <v>1</v>
      </c>
      <c r="AD3" s="77" t="s">
        <v>127</v>
      </c>
      <c r="AE3" s="80">
        <v>0.51515151515151514</v>
      </c>
      <c r="AF3" s="77" t="s">
        <v>225</v>
      </c>
      <c r="AG3" s="80">
        <v>0.6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171</v>
      </c>
      <c r="C4" s="84">
        <v>118.49999999999999</v>
      </c>
      <c r="D4" s="85" t="s">
        <v>224</v>
      </c>
      <c r="E4" s="97">
        <v>13.3</v>
      </c>
      <c r="F4" s="85" t="s">
        <v>127</v>
      </c>
      <c r="G4" s="86">
        <v>1.7364341085271318</v>
      </c>
      <c r="H4" s="85" t="s">
        <v>127</v>
      </c>
      <c r="I4" s="87">
        <v>0.49612403100775193</v>
      </c>
      <c r="J4" s="85" t="s">
        <v>224</v>
      </c>
      <c r="K4" s="87">
        <v>0</v>
      </c>
      <c r="L4" s="85" t="s">
        <v>127</v>
      </c>
      <c r="M4" s="88">
        <v>0.34699714013346045</v>
      </c>
      <c r="N4" s="85" t="s">
        <v>185</v>
      </c>
      <c r="O4" s="88">
        <v>0.10526315789473684</v>
      </c>
      <c r="P4" s="85" t="s">
        <v>225</v>
      </c>
      <c r="Q4" s="89">
        <v>10600</v>
      </c>
      <c r="R4" s="85" t="s">
        <v>202</v>
      </c>
      <c r="S4" s="89">
        <v>-6683.333333333333</v>
      </c>
      <c r="T4" s="85" t="s">
        <v>202</v>
      </c>
      <c r="U4" s="87">
        <v>0</v>
      </c>
      <c r="V4" s="85" t="s">
        <v>171</v>
      </c>
      <c r="W4" s="87">
        <v>0.12658227848101267</v>
      </c>
      <c r="X4" s="85" t="s">
        <v>128</v>
      </c>
      <c r="Y4" s="88">
        <v>0.2988505747126437</v>
      </c>
      <c r="Z4" s="85" t="s">
        <v>202</v>
      </c>
      <c r="AA4" s="88">
        <v>0.27536231884057971</v>
      </c>
      <c r="AB4" s="85" t="s">
        <v>202</v>
      </c>
      <c r="AC4" s="88">
        <v>0.70588235294117652</v>
      </c>
      <c r="AD4" s="85" t="s">
        <v>185</v>
      </c>
      <c r="AE4" s="88">
        <v>0.5</v>
      </c>
      <c r="AF4" s="85" t="s">
        <v>202</v>
      </c>
      <c r="AG4" s="88">
        <v>0.5714285714285714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185</v>
      </c>
      <c r="C5" s="84">
        <v>61</v>
      </c>
      <c r="D5" s="85" t="s">
        <v>127</v>
      </c>
      <c r="E5" s="97">
        <v>12.426356589147296</v>
      </c>
      <c r="F5" s="85" t="s">
        <v>177</v>
      </c>
      <c r="G5" s="86">
        <v>1.9583333333333333</v>
      </c>
      <c r="H5" s="85" t="s">
        <v>177</v>
      </c>
      <c r="I5" s="87">
        <v>0.375</v>
      </c>
      <c r="J5" s="85" t="s">
        <v>202</v>
      </c>
      <c r="K5" s="87">
        <v>0.14285714285714285</v>
      </c>
      <c r="L5" s="85" t="s">
        <v>202</v>
      </c>
      <c r="M5" s="88">
        <v>0.30434782608695654</v>
      </c>
      <c r="N5" s="85" t="s">
        <v>172</v>
      </c>
      <c r="O5" s="88">
        <v>0.12949640287769784</v>
      </c>
      <c r="P5" s="85" t="s">
        <v>171</v>
      </c>
      <c r="Q5" s="89">
        <v>9977.5401069518721</v>
      </c>
      <c r="R5" s="85" t="s">
        <v>128</v>
      </c>
      <c r="S5" s="89">
        <v>-7742.6829268292686</v>
      </c>
      <c r="T5" s="85" t="s">
        <v>224</v>
      </c>
      <c r="U5" s="87">
        <v>0</v>
      </c>
      <c r="V5" s="85" t="s">
        <v>129</v>
      </c>
      <c r="W5" s="87">
        <v>0.11594202898550725</v>
      </c>
      <c r="X5" s="85" t="s">
        <v>171</v>
      </c>
      <c r="Y5" s="88">
        <v>0.2898330804248862</v>
      </c>
      <c r="Z5" s="85" t="s">
        <v>173</v>
      </c>
      <c r="AA5" s="88">
        <v>0.25654450261780104</v>
      </c>
      <c r="AB5" s="85" t="s">
        <v>186</v>
      </c>
      <c r="AC5" s="88">
        <v>0.6785714285714286</v>
      </c>
      <c r="AD5" s="85" t="s">
        <v>186</v>
      </c>
      <c r="AE5" s="88">
        <v>0.44</v>
      </c>
      <c r="AF5" s="85" t="s">
        <v>186</v>
      </c>
      <c r="AG5" s="88">
        <v>0.52941176470588236</v>
      </c>
      <c r="AH5" s="85" t="s">
        <v>177</v>
      </c>
      <c r="AI5" s="92">
        <v>103000</v>
      </c>
    </row>
    <row r="6" spans="1:35" x14ac:dyDescent="0.4">
      <c r="A6" s="82">
        <v>4</v>
      </c>
      <c r="B6" s="83" t="s">
        <v>172</v>
      </c>
      <c r="C6" s="84">
        <v>45.899999999999977</v>
      </c>
      <c r="D6" s="85" t="s">
        <v>171</v>
      </c>
      <c r="E6" s="97">
        <v>1.4999999999999998</v>
      </c>
      <c r="F6" s="85" t="s">
        <v>145</v>
      </c>
      <c r="G6" s="86">
        <v>2</v>
      </c>
      <c r="H6" s="85" t="s">
        <v>186</v>
      </c>
      <c r="I6" s="87">
        <v>0.35714285714285715</v>
      </c>
      <c r="J6" s="85" t="s">
        <v>127</v>
      </c>
      <c r="K6" s="87">
        <v>0.23255813953488372</v>
      </c>
      <c r="L6" s="85" t="s">
        <v>145</v>
      </c>
      <c r="M6" s="88">
        <v>0.29960441390797421</v>
      </c>
      <c r="N6" s="85" t="s">
        <v>127</v>
      </c>
      <c r="O6" s="88">
        <v>0.15824594852240229</v>
      </c>
      <c r="P6" s="85" t="s">
        <v>128</v>
      </c>
      <c r="Q6" s="89">
        <v>9297.318007662836</v>
      </c>
      <c r="R6" s="85" t="s">
        <v>177</v>
      </c>
      <c r="S6" s="89">
        <v>-7787.3015873015875</v>
      </c>
      <c r="T6" s="85" t="s">
        <v>225</v>
      </c>
      <c r="U6" s="87">
        <v>0</v>
      </c>
      <c r="V6" s="85" t="s">
        <v>145</v>
      </c>
      <c r="W6" s="87">
        <v>0.11458333333333333</v>
      </c>
      <c r="X6" s="85" t="s">
        <v>145</v>
      </c>
      <c r="Y6" s="88">
        <v>0.27899229648136581</v>
      </c>
      <c r="Z6" s="85" t="s">
        <v>225</v>
      </c>
      <c r="AA6" s="88">
        <v>0.23529411764705882</v>
      </c>
      <c r="AB6" s="85" t="s">
        <v>177</v>
      </c>
      <c r="AC6" s="88">
        <v>0.67647058823529416</v>
      </c>
      <c r="AD6" s="85" t="s">
        <v>172</v>
      </c>
      <c r="AE6" s="88">
        <v>0.43827160493827161</v>
      </c>
      <c r="AF6" s="85" t="s">
        <v>173</v>
      </c>
      <c r="AG6" s="88">
        <v>0.50877192982456143</v>
      </c>
      <c r="AH6" s="85" t="s">
        <v>172</v>
      </c>
      <c r="AI6" s="92">
        <v>97500</v>
      </c>
    </row>
    <row r="7" spans="1:35" x14ac:dyDescent="0.4">
      <c r="A7" s="82">
        <v>5</v>
      </c>
      <c r="B7" s="83" t="s">
        <v>177</v>
      </c>
      <c r="C7" s="84">
        <v>40.899999999999991</v>
      </c>
      <c r="D7" s="85" t="s">
        <v>177</v>
      </c>
      <c r="E7" s="97">
        <v>0.85208333333333319</v>
      </c>
      <c r="F7" s="85" t="s">
        <v>202</v>
      </c>
      <c r="G7" s="86">
        <v>2</v>
      </c>
      <c r="H7" s="85" t="s">
        <v>145</v>
      </c>
      <c r="I7" s="87">
        <v>0.33333333333333331</v>
      </c>
      <c r="J7" s="85" t="s">
        <v>172</v>
      </c>
      <c r="K7" s="87">
        <v>0.296875</v>
      </c>
      <c r="L7" s="85" t="s">
        <v>173</v>
      </c>
      <c r="M7" s="88">
        <v>0.29842931937172773</v>
      </c>
      <c r="N7" s="85" t="s">
        <v>177</v>
      </c>
      <c r="O7" s="88">
        <v>0.16071428571428573</v>
      </c>
      <c r="P7" s="85" t="s">
        <v>127</v>
      </c>
      <c r="Q7" s="89">
        <v>9240.1098901098903</v>
      </c>
      <c r="R7" s="85" t="s">
        <v>173</v>
      </c>
      <c r="S7" s="89">
        <v>-7866.1971830985913</v>
      </c>
      <c r="T7" s="85" t="s">
        <v>172</v>
      </c>
      <c r="U7" s="87">
        <v>4.6875E-2</v>
      </c>
      <c r="V7" s="85" t="s">
        <v>172</v>
      </c>
      <c r="W7" s="87">
        <v>0.109375</v>
      </c>
      <c r="X7" s="85" t="s">
        <v>129</v>
      </c>
      <c r="Y7" s="88">
        <v>0.27272727272727271</v>
      </c>
      <c r="Z7" s="85" t="s">
        <v>127</v>
      </c>
      <c r="AA7" s="88">
        <v>0.2202097235462345</v>
      </c>
      <c r="AB7" s="85" t="s">
        <v>185</v>
      </c>
      <c r="AC7" s="88">
        <v>0.6</v>
      </c>
      <c r="AD7" s="85" t="s">
        <v>202</v>
      </c>
      <c r="AE7" s="88">
        <v>0.42105263157894735</v>
      </c>
      <c r="AF7" s="85" t="s">
        <v>224</v>
      </c>
      <c r="AG7" s="88">
        <v>0.5</v>
      </c>
      <c r="AH7" s="85" t="s">
        <v>128</v>
      </c>
      <c r="AI7" s="92">
        <v>97300</v>
      </c>
    </row>
    <row r="8" spans="1:35" x14ac:dyDescent="0.4">
      <c r="A8" s="82">
        <v>6</v>
      </c>
      <c r="B8" s="83" t="s">
        <v>224</v>
      </c>
      <c r="C8" s="84">
        <v>13.3</v>
      </c>
      <c r="D8" s="85" t="s">
        <v>172</v>
      </c>
      <c r="E8" s="97">
        <v>0.71718749999999964</v>
      </c>
      <c r="F8" s="85" t="s">
        <v>224</v>
      </c>
      <c r="G8" s="86">
        <v>2</v>
      </c>
      <c r="H8" s="85" t="s">
        <v>171</v>
      </c>
      <c r="I8" s="87">
        <v>0.30379746835443039</v>
      </c>
      <c r="J8" s="85" t="s">
        <v>177</v>
      </c>
      <c r="K8" s="87">
        <v>0.33333333333333331</v>
      </c>
      <c r="L8" s="85" t="s">
        <v>177</v>
      </c>
      <c r="M8" s="88">
        <v>0.29591836734693877</v>
      </c>
      <c r="N8" s="85" t="s">
        <v>145</v>
      </c>
      <c r="O8" s="88">
        <v>0.168228190714137</v>
      </c>
      <c r="P8" s="85" t="s">
        <v>129</v>
      </c>
      <c r="Q8" s="89">
        <v>8883.9694656488555</v>
      </c>
      <c r="R8" s="85" t="s">
        <v>171</v>
      </c>
      <c r="S8" s="89">
        <v>-8087.1794871794873</v>
      </c>
      <c r="T8" s="85" t="s">
        <v>171</v>
      </c>
      <c r="U8" s="87">
        <v>7.5949367088607597E-2</v>
      </c>
      <c r="V8" s="85" t="s">
        <v>177</v>
      </c>
      <c r="W8" s="87">
        <v>0.10416666666666667</v>
      </c>
      <c r="X8" s="85" t="s">
        <v>185</v>
      </c>
      <c r="Y8" s="88">
        <v>0.26315789473684209</v>
      </c>
      <c r="Z8" s="85" t="s">
        <v>186</v>
      </c>
      <c r="AA8" s="88">
        <v>0.21186440677966101</v>
      </c>
      <c r="AB8" s="85" t="s">
        <v>173</v>
      </c>
      <c r="AC8" s="88">
        <v>0.59090909090909094</v>
      </c>
      <c r="AD8" s="85" t="s">
        <v>171</v>
      </c>
      <c r="AE8" s="88">
        <v>0.40625</v>
      </c>
      <c r="AF8" s="85" t="s">
        <v>129</v>
      </c>
      <c r="AG8" s="88">
        <v>0.47328244274809161</v>
      </c>
      <c r="AH8" s="85" t="s">
        <v>129</v>
      </c>
      <c r="AI8" s="92">
        <v>96900</v>
      </c>
    </row>
    <row r="9" spans="1:35" x14ac:dyDescent="0.4">
      <c r="A9" s="82">
        <v>7</v>
      </c>
      <c r="B9" s="83" t="s">
        <v>145</v>
      </c>
      <c r="C9" s="84">
        <v>-6.6613381477509392E-16</v>
      </c>
      <c r="D9" s="85" t="s">
        <v>145</v>
      </c>
      <c r="E9" s="97">
        <v>-1.1564823173178713E-18</v>
      </c>
      <c r="F9" s="85" t="s">
        <v>172</v>
      </c>
      <c r="G9" s="86">
        <v>2.015625</v>
      </c>
      <c r="H9" s="85" t="s">
        <v>173</v>
      </c>
      <c r="I9" s="87">
        <v>0.29545454545454547</v>
      </c>
      <c r="J9" s="85" t="s">
        <v>145</v>
      </c>
      <c r="K9" s="87">
        <v>0.33333333333333331</v>
      </c>
      <c r="L9" s="85" t="s">
        <v>225</v>
      </c>
      <c r="M9" s="88">
        <v>0.29411764705882354</v>
      </c>
      <c r="N9" s="85" t="s">
        <v>128</v>
      </c>
      <c r="O9" s="88">
        <v>0.17136886102403343</v>
      </c>
      <c r="P9" s="85" t="s">
        <v>177</v>
      </c>
      <c r="Q9" s="89">
        <v>8723.2758620689656</v>
      </c>
      <c r="R9" s="85" t="s">
        <v>186</v>
      </c>
      <c r="S9" s="89">
        <v>-8107.6923076923076</v>
      </c>
      <c r="T9" s="85" t="s">
        <v>173</v>
      </c>
      <c r="U9" s="87">
        <v>0.11363636363636363</v>
      </c>
      <c r="V9" s="85" t="s">
        <v>128</v>
      </c>
      <c r="W9" s="87">
        <v>9.4827586206896547E-2</v>
      </c>
      <c r="X9" s="85" t="s">
        <v>177</v>
      </c>
      <c r="Y9" s="88">
        <v>0.26020408163265307</v>
      </c>
      <c r="Z9" s="85" t="s">
        <v>145</v>
      </c>
      <c r="AA9" s="88">
        <v>0.21090984801165938</v>
      </c>
      <c r="AB9" s="85" t="s">
        <v>128</v>
      </c>
      <c r="AC9" s="88">
        <v>0.58391608391608396</v>
      </c>
      <c r="AD9" s="85" t="s">
        <v>145</v>
      </c>
      <c r="AE9" s="88">
        <v>0.39091806515301086</v>
      </c>
      <c r="AF9" s="85" t="s">
        <v>145</v>
      </c>
      <c r="AG9" s="88">
        <v>0.43293954134815843</v>
      </c>
      <c r="AH9" s="85" t="s">
        <v>171</v>
      </c>
      <c r="AI9" s="92">
        <v>91700</v>
      </c>
    </row>
    <row r="10" spans="1:35" x14ac:dyDescent="0.4">
      <c r="A10" s="82">
        <v>8</v>
      </c>
      <c r="B10" s="83" t="s">
        <v>225</v>
      </c>
      <c r="C10" s="84">
        <v>-24.7</v>
      </c>
      <c r="D10" s="85" t="s">
        <v>128</v>
      </c>
      <c r="E10" s="97">
        <v>-2.7241379310344831</v>
      </c>
      <c r="F10" s="85" t="s">
        <v>171</v>
      </c>
      <c r="G10" s="86">
        <v>2.037974683544304</v>
      </c>
      <c r="H10" s="85" t="s">
        <v>172</v>
      </c>
      <c r="I10" s="87">
        <v>0.28125</v>
      </c>
      <c r="J10" s="85" t="s">
        <v>171</v>
      </c>
      <c r="K10" s="87">
        <v>0.34177215189873417</v>
      </c>
      <c r="L10" s="85" t="s">
        <v>186</v>
      </c>
      <c r="M10" s="88">
        <v>0.28813559322033899</v>
      </c>
      <c r="N10" s="85" t="s">
        <v>202</v>
      </c>
      <c r="O10" s="88">
        <v>0.17391304347826086</v>
      </c>
      <c r="P10" s="85" t="s">
        <v>145</v>
      </c>
      <c r="Q10" s="89">
        <v>8677.3453787352337</v>
      </c>
      <c r="R10" s="85" t="s">
        <v>127</v>
      </c>
      <c r="S10" s="89">
        <v>-8291.5662650602408</v>
      </c>
      <c r="T10" s="85" t="s">
        <v>145</v>
      </c>
      <c r="U10" s="87">
        <v>0.11458333333333333</v>
      </c>
      <c r="V10" s="85" t="s">
        <v>173</v>
      </c>
      <c r="W10" s="87">
        <v>6.8181818181818177E-2</v>
      </c>
      <c r="X10" s="85" t="s">
        <v>202</v>
      </c>
      <c r="Y10" s="88">
        <v>0.24637681159420291</v>
      </c>
      <c r="Z10" s="85" t="s">
        <v>185</v>
      </c>
      <c r="AA10" s="88">
        <v>0.21052631578947367</v>
      </c>
      <c r="AB10" s="85" t="s">
        <v>145</v>
      </c>
      <c r="AC10" s="88">
        <v>0.58134328358208953</v>
      </c>
      <c r="AD10" s="85" t="s">
        <v>177</v>
      </c>
      <c r="AE10" s="88">
        <v>0.35135135135135137</v>
      </c>
      <c r="AF10" s="85" t="s">
        <v>171</v>
      </c>
      <c r="AG10" s="88">
        <v>0.42245989304812837</v>
      </c>
      <c r="AH10" s="85" t="s">
        <v>173</v>
      </c>
      <c r="AI10" s="92">
        <v>85900</v>
      </c>
    </row>
    <row r="11" spans="1:35" x14ac:dyDescent="0.4">
      <c r="A11" s="82">
        <v>9</v>
      </c>
      <c r="B11" s="83" t="s">
        <v>202</v>
      </c>
      <c r="C11" s="84">
        <v>-25.300000000000004</v>
      </c>
      <c r="D11" s="85" t="s">
        <v>202</v>
      </c>
      <c r="E11" s="97">
        <v>-3.6142857142857148</v>
      </c>
      <c r="F11" s="85" t="s">
        <v>173</v>
      </c>
      <c r="G11" s="86">
        <v>2.0681818181818183</v>
      </c>
      <c r="H11" s="85" t="s">
        <v>128</v>
      </c>
      <c r="I11" s="87">
        <v>0.26724137931034481</v>
      </c>
      <c r="J11" s="85" t="s">
        <v>128</v>
      </c>
      <c r="K11" s="87">
        <v>0.34482758620689657</v>
      </c>
      <c r="L11" s="85" t="s">
        <v>171</v>
      </c>
      <c r="M11" s="88">
        <v>0.28376327769347498</v>
      </c>
      <c r="N11" s="85" t="s">
        <v>171</v>
      </c>
      <c r="O11" s="88">
        <v>0.17754172989377845</v>
      </c>
      <c r="P11" s="85" t="s">
        <v>185</v>
      </c>
      <c r="Q11" s="89">
        <v>7860</v>
      </c>
      <c r="R11" s="85" t="s">
        <v>145</v>
      </c>
      <c r="S11" s="89">
        <v>-8323.7623762376243</v>
      </c>
      <c r="T11" s="85" t="s">
        <v>127</v>
      </c>
      <c r="U11" s="87">
        <v>0.11627906976744186</v>
      </c>
      <c r="V11" s="85" t="s">
        <v>186</v>
      </c>
      <c r="W11" s="87">
        <v>0</v>
      </c>
      <c r="X11" s="85" t="s">
        <v>186</v>
      </c>
      <c r="Y11" s="88">
        <v>0.23728813559322035</v>
      </c>
      <c r="Z11" s="85" t="s">
        <v>171</v>
      </c>
      <c r="AA11" s="88">
        <v>0.19423368740515934</v>
      </c>
      <c r="AB11" s="85" t="s">
        <v>171</v>
      </c>
      <c r="AC11" s="88">
        <v>0.5759162303664922</v>
      </c>
      <c r="AD11" s="85" t="s">
        <v>173</v>
      </c>
      <c r="AE11" s="88">
        <v>0.33673469387755101</v>
      </c>
      <c r="AF11" s="85" t="s">
        <v>177</v>
      </c>
      <c r="AG11" s="88">
        <v>0.42241379310344829</v>
      </c>
      <c r="AH11" s="85" t="s">
        <v>186</v>
      </c>
      <c r="AI11" s="92">
        <v>62700</v>
      </c>
    </row>
    <row r="12" spans="1:35" x14ac:dyDescent="0.4">
      <c r="A12" s="82">
        <v>10</v>
      </c>
      <c r="B12" s="83" t="s">
        <v>186</v>
      </c>
      <c r="C12" s="84">
        <v>-138.69999999999999</v>
      </c>
      <c r="D12" s="85" t="s">
        <v>173</v>
      </c>
      <c r="E12" s="97">
        <v>-5.9681818181818178</v>
      </c>
      <c r="F12" s="85" t="s">
        <v>128</v>
      </c>
      <c r="G12" s="86">
        <v>2.0775862068965516</v>
      </c>
      <c r="H12" s="85" t="s">
        <v>129</v>
      </c>
      <c r="I12" s="87">
        <v>0.2318840579710145</v>
      </c>
      <c r="J12" s="85" t="s">
        <v>173</v>
      </c>
      <c r="K12" s="87">
        <v>0.36363636363636365</v>
      </c>
      <c r="L12" s="85" t="s">
        <v>128</v>
      </c>
      <c r="M12" s="88">
        <v>0.27272727272727271</v>
      </c>
      <c r="N12" s="85" t="s">
        <v>173</v>
      </c>
      <c r="O12" s="88">
        <v>0.18586387434554974</v>
      </c>
      <c r="P12" s="85" t="s">
        <v>186</v>
      </c>
      <c r="Q12" s="89">
        <v>7494.1176470588234</v>
      </c>
      <c r="R12" s="85" t="s">
        <v>172</v>
      </c>
      <c r="S12" s="89">
        <v>-9381.9444444444453</v>
      </c>
      <c r="T12" s="85" t="s">
        <v>128</v>
      </c>
      <c r="U12" s="87">
        <v>0.12931034482758622</v>
      </c>
      <c r="V12" s="85" t="s">
        <v>185</v>
      </c>
      <c r="W12" s="87">
        <v>0</v>
      </c>
      <c r="X12" s="85" t="s">
        <v>224</v>
      </c>
      <c r="Y12" s="88">
        <v>0.23076923076923078</v>
      </c>
      <c r="Z12" s="85" t="s">
        <v>177</v>
      </c>
      <c r="AA12" s="88">
        <v>0.18877551020408162</v>
      </c>
      <c r="AB12" s="85" t="s">
        <v>127</v>
      </c>
      <c r="AC12" s="88">
        <v>0.57227138643067843</v>
      </c>
      <c r="AD12" s="85" t="s">
        <v>128</v>
      </c>
      <c r="AE12" s="88">
        <v>0.30057803468208094</v>
      </c>
      <c r="AF12" s="85" t="s">
        <v>172</v>
      </c>
      <c r="AG12" s="88">
        <v>0.42211055276381909</v>
      </c>
      <c r="AH12" s="85" t="s">
        <v>202</v>
      </c>
      <c r="AI12" s="92">
        <v>54800</v>
      </c>
    </row>
    <row r="13" spans="1:35" x14ac:dyDescent="0.4">
      <c r="A13" s="82">
        <v>11</v>
      </c>
      <c r="B13" s="83" t="s">
        <v>173</v>
      </c>
      <c r="C13" s="84">
        <v>-262.59999999999997</v>
      </c>
      <c r="D13" s="85" t="s">
        <v>186</v>
      </c>
      <c r="E13" s="97">
        <v>-9.9071428571428566</v>
      </c>
      <c r="F13" s="85" t="s">
        <v>186</v>
      </c>
      <c r="G13" s="86">
        <v>2.1428571428571428</v>
      </c>
      <c r="H13" s="85" t="s">
        <v>202</v>
      </c>
      <c r="I13" s="87">
        <v>0.14285714285714285</v>
      </c>
      <c r="J13" s="85" t="s">
        <v>186</v>
      </c>
      <c r="K13" s="87">
        <v>0.5</v>
      </c>
      <c r="L13" s="85" t="s">
        <v>185</v>
      </c>
      <c r="M13" s="88">
        <v>0.26315789473684209</v>
      </c>
      <c r="N13" s="85" t="s">
        <v>129</v>
      </c>
      <c r="O13" s="88">
        <v>0.19230769230769232</v>
      </c>
      <c r="P13" s="85" t="s">
        <v>202</v>
      </c>
      <c r="Q13" s="89">
        <v>7438.0952380952385</v>
      </c>
      <c r="R13" s="85" t="s">
        <v>129</v>
      </c>
      <c r="S13" s="89">
        <v>-9505.454545454546</v>
      </c>
      <c r="T13" s="85" t="s">
        <v>186</v>
      </c>
      <c r="U13" s="87">
        <v>0.14285714285714285</v>
      </c>
      <c r="V13" s="85" t="s">
        <v>202</v>
      </c>
      <c r="W13" s="87">
        <v>0</v>
      </c>
      <c r="X13" s="85" t="s">
        <v>173</v>
      </c>
      <c r="Y13" s="88">
        <v>0.23036649214659685</v>
      </c>
      <c r="Z13" s="85" t="s">
        <v>128</v>
      </c>
      <c r="AA13" s="88">
        <v>0.18077324973876699</v>
      </c>
      <c r="AB13" s="85" t="s">
        <v>172</v>
      </c>
      <c r="AC13" s="88">
        <v>0.56557377049180324</v>
      </c>
      <c r="AD13" s="85" t="s">
        <v>225</v>
      </c>
      <c r="AE13" s="88">
        <v>0.25</v>
      </c>
      <c r="AF13" s="85" t="s">
        <v>128</v>
      </c>
      <c r="AG13" s="88">
        <v>0.42145593869731801</v>
      </c>
      <c r="AH13" s="85" t="s">
        <v>185</v>
      </c>
      <c r="AI13" s="92">
        <v>53500</v>
      </c>
    </row>
    <row r="14" spans="1:35" x14ac:dyDescent="0.4">
      <c r="A14" s="82">
        <v>12</v>
      </c>
      <c r="B14" s="83" t="s">
        <v>128</v>
      </c>
      <c r="C14" s="84">
        <v>-316.00000000000006</v>
      </c>
      <c r="D14" s="85" t="s">
        <v>225</v>
      </c>
      <c r="E14" s="97">
        <v>-12.35</v>
      </c>
      <c r="F14" s="85" t="s">
        <v>129</v>
      </c>
      <c r="G14" s="86">
        <v>2.2753623188405796</v>
      </c>
      <c r="H14" s="85" t="s">
        <v>224</v>
      </c>
      <c r="I14" s="87">
        <v>0</v>
      </c>
      <c r="J14" s="85" t="s">
        <v>225</v>
      </c>
      <c r="K14" s="87">
        <v>0.5</v>
      </c>
      <c r="L14" s="85" t="s">
        <v>129</v>
      </c>
      <c r="M14" s="88">
        <v>0.22902097902097901</v>
      </c>
      <c r="N14" s="85" t="s">
        <v>186</v>
      </c>
      <c r="O14" s="88">
        <v>0.22033898305084745</v>
      </c>
      <c r="P14" s="85" t="s">
        <v>173</v>
      </c>
      <c r="Q14" s="89">
        <v>6998.2456140350878</v>
      </c>
      <c r="R14" s="85" t="s">
        <v>224</v>
      </c>
      <c r="S14" s="89">
        <v>-12000</v>
      </c>
      <c r="T14" s="85" t="s">
        <v>177</v>
      </c>
      <c r="U14" s="87">
        <v>0.16666666666666666</v>
      </c>
      <c r="V14" s="85" t="s">
        <v>224</v>
      </c>
      <c r="W14" s="87">
        <v>0</v>
      </c>
      <c r="X14" s="85" t="s">
        <v>172</v>
      </c>
      <c r="Y14" s="88">
        <v>0.21942446043165467</v>
      </c>
      <c r="Z14" s="85" t="s">
        <v>129</v>
      </c>
      <c r="AA14" s="88">
        <v>0.16433566433566432</v>
      </c>
      <c r="AB14" s="85" t="s">
        <v>129</v>
      </c>
      <c r="AC14" s="88">
        <v>0.51282051282051277</v>
      </c>
      <c r="AD14" s="85" t="s">
        <v>129</v>
      </c>
      <c r="AE14" s="88">
        <v>0.22340425531914893</v>
      </c>
      <c r="AF14" s="85" t="s">
        <v>127</v>
      </c>
      <c r="AG14" s="88">
        <v>0.40109890109890112</v>
      </c>
      <c r="AH14" s="85" t="s">
        <v>224</v>
      </c>
      <c r="AI14" s="92">
        <v>48300</v>
      </c>
    </row>
    <row r="15" spans="1:35" x14ac:dyDescent="0.4">
      <c r="A15" s="82">
        <v>13</v>
      </c>
      <c r="B15" s="83" t="s">
        <v>129</v>
      </c>
      <c r="C15" s="84">
        <v>-1115.2999999999997</v>
      </c>
      <c r="D15" s="85" t="s">
        <v>129</v>
      </c>
      <c r="E15" s="97">
        <v>-16.163768115942027</v>
      </c>
      <c r="F15" s="85" t="s">
        <v>225</v>
      </c>
      <c r="G15" s="86">
        <v>2.5</v>
      </c>
      <c r="H15" s="85" t="s">
        <v>225</v>
      </c>
      <c r="I15" s="87">
        <v>0</v>
      </c>
      <c r="J15" s="85" t="s">
        <v>129</v>
      </c>
      <c r="K15" s="87">
        <v>0.50724637681159424</v>
      </c>
      <c r="L15" s="85" t="s">
        <v>224</v>
      </c>
      <c r="M15" s="88">
        <v>0.15384615384615385</v>
      </c>
      <c r="N15" s="85" t="s">
        <v>225</v>
      </c>
      <c r="O15" s="88">
        <v>0.23529411764705882</v>
      </c>
      <c r="P15" s="85" t="s">
        <v>172</v>
      </c>
      <c r="Q15" s="89">
        <v>6665.8291457286432</v>
      </c>
      <c r="R15" s="85" t="s">
        <v>225</v>
      </c>
      <c r="S15" s="89">
        <v>-12425</v>
      </c>
      <c r="T15" s="85" t="s">
        <v>129</v>
      </c>
      <c r="U15" s="87">
        <v>0.17391304347826086</v>
      </c>
      <c r="V15" s="85" t="s">
        <v>225</v>
      </c>
      <c r="W15" s="87">
        <v>0</v>
      </c>
      <c r="X15" s="85" t="s">
        <v>225</v>
      </c>
      <c r="Y15" s="88">
        <v>0.17647058823529413</v>
      </c>
      <c r="Z15" s="85" t="s">
        <v>224</v>
      </c>
      <c r="AA15" s="88">
        <v>7.6923076923076927E-2</v>
      </c>
      <c r="AB15" s="85" t="s">
        <v>224</v>
      </c>
      <c r="AC15" s="88">
        <v>0.33333333333333331</v>
      </c>
      <c r="AD15" s="85" t="s">
        <v>224</v>
      </c>
      <c r="AE15" s="88">
        <v>0</v>
      </c>
      <c r="AF15" s="85" t="s">
        <v>185</v>
      </c>
      <c r="AG15" s="88">
        <v>0.2</v>
      </c>
      <c r="AH15" s="85" t="s">
        <v>225</v>
      </c>
      <c r="AI15" s="92">
        <v>47300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39B12-1E75-41C6-86D1-ED6EBFED1F8E}">
  <sheetPr codeName="Sheet4"/>
  <dimension ref="A1:Q57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145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576</v>
      </c>
      <c r="C2" s="147"/>
      <c r="E2" s="62" t="s">
        <v>65</v>
      </c>
      <c r="F2" s="59" t="s">
        <v>21</v>
      </c>
      <c r="G2" s="46">
        <v>743</v>
      </c>
      <c r="H2" s="132">
        <f>IF(B$17=0,0,G2/B$17)</f>
        <v>0.51633078526754694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-13.888888888888889</v>
      </c>
      <c r="P2" s="118">
        <v>576</v>
      </c>
      <c r="Q2" s="102">
        <v>-8000</v>
      </c>
    </row>
    <row r="3" spans="1:17" x14ac:dyDescent="0.4">
      <c r="A3" s="55" t="s">
        <v>8</v>
      </c>
      <c r="B3" s="148">
        <v>4803</v>
      </c>
      <c r="C3" s="149"/>
      <c r="E3" s="63" t="s">
        <v>66</v>
      </c>
      <c r="F3" s="60" t="s">
        <v>22</v>
      </c>
      <c r="G3" s="47">
        <v>178</v>
      </c>
      <c r="H3" s="133">
        <f>IF(B$17=0,0,G3/B$17)</f>
        <v>0.12369701181375956</v>
      </c>
      <c r="I3" s="94">
        <v>4</v>
      </c>
      <c r="K3" s="38">
        <v>1</v>
      </c>
      <c r="L3" s="99">
        <v>-5.0999999999999996</v>
      </c>
      <c r="N3" s="115" t="s">
        <v>133</v>
      </c>
      <c r="O3" s="122">
        <f t="shared" si="0"/>
        <v>-7.0921985815602833</v>
      </c>
      <c r="P3" s="119">
        <v>564</v>
      </c>
      <c r="Q3" s="103">
        <v>-4000</v>
      </c>
    </row>
    <row r="4" spans="1:17" x14ac:dyDescent="0.4">
      <c r="A4" s="55" t="s">
        <v>6</v>
      </c>
      <c r="B4" s="150">
        <v>-6.6613381477509392E-16</v>
      </c>
      <c r="C4" s="151"/>
      <c r="E4" s="63" t="s">
        <v>67</v>
      </c>
      <c r="F4" s="60" t="s">
        <v>23</v>
      </c>
      <c r="G4" s="47">
        <v>1073</v>
      </c>
      <c r="H4" s="133">
        <f>IF(B$17=0,0,G4/B$17)</f>
        <v>0.7456567060458652</v>
      </c>
      <c r="I4" s="94">
        <v>8</v>
      </c>
      <c r="K4" s="38">
        <v>2</v>
      </c>
      <c r="L4" s="99">
        <v>40.4</v>
      </c>
      <c r="N4" s="115" t="s">
        <v>134</v>
      </c>
      <c r="O4" s="122">
        <f t="shared" si="0"/>
        <v>5.6497175141242941</v>
      </c>
      <c r="P4" s="119">
        <v>531</v>
      </c>
      <c r="Q4" s="103">
        <v>3000</v>
      </c>
    </row>
    <row r="5" spans="1:17" x14ac:dyDescent="0.4">
      <c r="A5" s="55" t="s">
        <v>7</v>
      </c>
      <c r="B5" s="152">
        <f>IF(B$2=0,0,B$4/B$2)</f>
        <v>-1.1564823173178713E-18</v>
      </c>
      <c r="C5" s="153"/>
      <c r="E5" s="63" t="s">
        <v>68</v>
      </c>
      <c r="F5" s="60" t="s">
        <v>24</v>
      </c>
      <c r="G5" s="47">
        <v>435</v>
      </c>
      <c r="H5" s="133">
        <f>IF(B$17=0,0,G5/B$17)</f>
        <v>0.30229325920778316</v>
      </c>
      <c r="I5" s="94">
        <v>9</v>
      </c>
      <c r="K5" s="38">
        <v>3</v>
      </c>
      <c r="L5" s="99">
        <v>0</v>
      </c>
      <c r="N5" s="115" t="s">
        <v>135</v>
      </c>
      <c r="O5" s="122">
        <f t="shared" si="0"/>
        <v>12.422360248447205</v>
      </c>
      <c r="P5" s="119">
        <v>483</v>
      </c>
      <c r="Q5" s="103">
        <v>6000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450</v>
      </c>
      <c r="H6" s="133">
        <f>IF(B$17=0,0,G6/B$17)</f>
        <v>0.31271716469770672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-13.888888888888889</v>
      </c>
      <c r="P6" s="119">
        <v>432</v>
      </c>
      <c r="Q6" s="103">
        <v>-6000</v>
      </c>
    </row>
    <row r="7" spans="1:17" x14ac:dyDescent="0.4">
      <c r="A7" s="55" t="s">
        <v>2</v>
      </c>
      <c r="B7" s="47">
        <v>192</v>
      </c>
      <c r="C7" s="39">
        <f>IF(B$2=0,0,B7/B$2)</f>
        <v>0.33333333333333331</v>
      </c>
      <c r="E7" s="63" t="s">
        <v>70</v>
      </c>
      <c r="F7" s="60" t="s">
        <v>25</v>
      </c>
      <c r="G7" s="47">
        <v>261</v>
      </c>
      <c r="H7" s="133">
        <f>IF(B$17=0,0,G7/B$17)</f>
        <v>0.1813759555246699</v>
      </c>
      <c r="I7" s="94">
        <v>6</v>
      </c>
      <c r="K7" s="38">
        <v>5</v>
      </c>
      <c r="L7" s="99">
        <v>-37</v>
      </c>
      <c r="N7" s="116" t="s">
        <v>137</v>
      </c>
      <c r="O7" s="123">
        <f t="shared" si="0"/>
        <v>23.255813953488371</v>
      </c>
      <c r="P7" s="120">
        <v>387</v>
      </c>
      <c r="Q7" s="104">
        <v>9000</v>
      </c>
    </row>
    <row r="8" spans="1:17" x14ac:dyDescent="0.4">
      <c r="A8" s="55" t="s">
        <v>3</v>
      </c>
      <c r="B8" s="47">
        <v>192</v>
      </c>
      <c r="C8" s="39">
        <f>IF(B$2=0,0,B8/B$2)</f>
        <v>0.33333333333333331</v>
      </c>
      <c r="E8" s="63" t="s">
        <v>71</v>
      </c>
      <c r="F8" s="60" t="s">
        <v>26</v>
      </c>
      <c r="G8" s="47">
        <v>143</v>
      </c>
      <c r="H8" s="133">
        <f>IF(B$17=0,0,G8/B$17)</f>
        <v>9.9374565670604584E-2</v>
      </c>
      <c r="I8" s="94">
        <v>6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192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97</v>
      </c>
      <c r="H9" s="133">
        <f>IF(B$17=0,0,G9/B$17)</f>
        <v>6.7407922168172346E-2</v>
      </c>
      <c r="I9" s="94">
        <v>5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66</v>
      </c>
      <c r="C10" s="40">
        <f>IF(B$2=0,0,B10/B$2)</f>
        <v>0.11458333333333333</v>
      </c>
      <c r="E10" s="63" t="s">
        <v>73</v>
      </c>
      <c r="F10" s="60" t="s">
        <v>28</v>
      </c>
      <c r="G10" s="47">
        <v>739</v>
      </c>
      <c r="H10" s="133">
        <f>IF(B$17=0,0,G10/B$17)</f>
        <v>0.51355107713690062</v>
      </c>
      <c r="I10" s="94">
        <v>9</v>
      </c>
      <c r="K10" s="38">
        <v>8</v>
      </c>
      <c r="L10" s="99">
        <v>19.699999999999996</v>
      </c>
      <c r="N10" s="114" t="s">
        <v>164</v>
      </c>
      <c r="O10" s="124">
        <f>IF(P10=0,0,Q10/P10)</f>
        <v>-2.9375</v>
      </c>
      <c r="P10" s="118">
        <v>192</v>
      </c>
      <c r="Q10" s="106">
        <v>-564</v>
      </c>
    </row>
    <row r="11" spans="1:17" x14ac:dyDescent="0.4">
      <c r="A11" s="56" t="s">
        <v>140</v>
      </c>
      <c r="B11" s="48">
        <v>66</v>
      </c>
      <c r="C11" s="40">
        <f>IF(B$2=0,0,B11/B$2)</f>
        <v>0.11458333333333333</v>
      </c>
      <c r="E11" s="63" t="s">
        <v>74</v>
      </c>
      <c r="F11" s="60" t="s">
        <v>29</v>
      </c>
      <c r="G11" s="47">
        <v>9</v>
      </c>
      <c r="H11" s="133">
        <f>IF(B$17=0,0,G11/B$17)</f>
        <v>6.2543432939541352E-3</v>
      </c>
      <c r="I11" s="94">
        <v>4</v>
      </c>
      <c r="K11" s="38">
        <v>9</v>
      </c>
      <c r="L11" s="99">
        <v>-3.5527136788005009E-15</v>
      </c>
      <c r="N11" s="115" t="s">
        <v>165</v>
      </c>
      <c r="O11" s="125">
        <f>IF(P11=0,0,Q11/P11)</f>
        <v>-0.5921875000000002</v>
      </c>
      <c r="P11" s="119">
        <v>192</v>
      </c>
      <c r="Q11" s="107">
        <v>-113.70000000000003</v>
      </c>
    </row>
    <row r="12" spans="1:17" x14ac:dyDescent="0.4">
      <c r="A12" s="57" t="s">
        <v>160</v>
      </c>
      <c r="B12" s="49">
        <v>51</v>
      </c>
      <c r="C12" s="42">
        <f>IF(B$2=0,0,B12/B$2)</f>
        <v>8.8541666666666671E-2</v>
      </c>
      <c r="E12" s="63" t="s">
        <v>75</v>
      </c>
      <c r="F12" s="60" t="s">
        <v>30</v>
      </c>
      <c r="G12" s="47">
        <v>6</v>
      </c>
      <c r="H12" s="133">
        <f>IF(B$17=0,0,G12/B$17)</f>
        <v>4.1695621959694229E-3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3.5296875000000001</v>
      </c>
      <c r="P12" s="120">
        <v>192</v>
      </c>
      <c r="Q12" s="108">
        <v>677.7</v>
      </c>
    </row>
    <row r="13" spans="1:17" x14ac:dyDescent="0.4">
      <c r="A13" s="58" t="s">
        <v>122</v>
      </c>
      <c r="B13" s="50">
        <v>1340</v>
      </c>
      <c r="C13" s="44">
        <f>IF(B$3=0,0,B13/B$3)</f>
        <v>0.27899229648136581</v>
      </c>
      <c r="E13" s="63" t="s">
        <v>76</v>
      </c>
      <c r="F13" s="60" t="s">
        <v>31</v>
      </c>
      <c r="G13" s="47">
        <v>9</v>
      </c>
      <c r="H13" s="133">
        <f>IF(B$17=0,0,G13/B$17)</f>
        <v>6.2543432939541352E-3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1013</v>
      </c>
      <c r="C14" s="39">
        <f>IF(B$3=0,0,B14/B$3)</f>
        <v>0.21090984801165938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779</v>
      </c>
      <c r="C15" s="37">
        <f>IF(B$13=0,0,B15/B$13)</f>
        <v>0.58134328358208953</v>
      </c>
      <c r="E15" s="63" t="s">
        <v>78</v>
      </c>
      <c r="F15" s="60" t="s">
        <v>33</v>
      </c>
      <c r="G15" s="47">
        <v>3</v>
      </c>
      <c r="H15" s="133">
        <f>IF(B$17=0,0,G15/B$17)</f>
        <v>2.0847810979847115E-3</v>
      </c>
      <c r="I15" s="94">
        <v>4</v>
      </c>
      <c r="K15" s="38">
        <v>13</v>
      </c>
      <c r="L15" s="99">
        <v>-42.100000000000009</v>
      </c>
      <c r="N15" s="114" t="s">
        <v>129</v>
      </c>
      <c r="O15" s="124">
        <f t="shared" ref="O15:O26" si="2">IF(P15=0,0,Q15/P15)</f>
        <v>24.245652173913065</v>
      </c>
      <c r="P15" s="118">
        <v>138</v>
      </c>
      <c r="Q15" s="106">
        <v>3345.9000000000028</v>
      </c>
    </row>
    <row r="16" spans="1:17" x14ac:dyDescent="0.4">
      <c r="A16" s="54" t="s">
        <v>125</v>
      </c>
      <c r="B16" s="46">
        <v>396</v>
      </c>
      <c r="C16" s="37">
        <f>IF(B$14=0,0,B16/B$14)</f>
        <v>0.39091806515301086</v>
      </c>
      <c r="E16" s="63" t="s">
        <v>79</v>
      </c>
      <c r="F16" s="60" t="s">
        <v>34</v>
      </c>
      <c r="G16" s="47">
        <v>37</v>
      </c>
      <c r="H16" s="133">
        <f>IF(B$17=0,0,G16/B$17)</f>
        <v>2.571230020847811E-2</v>
      </c>
      <c r="I16" s="94">
        <v>6</v>
      </c>
      <c r="K16" s="38">
        <v>14</v>
      </c>
      <c r="L16" s="99">
        <v>18.79999999999999</v>
      </c>
      <c r="N16" s="115" t="s">
        <v>225</v>
      </c>
      <c r="O16" s="125">
        <f t="shared" si="2"/>
        <v>18.524999999999995</v>
      </c>
      <c r="P16" s="119">
        <v>4</v>
      </c>
      <c r="Q16" s="107">
        <v>74.09999999999998</v>
      </c>
    </row>
    <row r="17" spans="1:17" x14ac:dyDescent="0.4">
      <c r="A17" s="54" t="s">
        <v>10</v>
      </c>
      <c r="B17" s="46">
        <f>B19+B18</f>
        <v>1439</v>
      </c>
      <c r="C17" s="37">
        <f>IF(B$3=0,0,B17/B$3)</f>
        <v>0.29960441390797421</v>
      </c>
      <c r="E17" s="63" t="s">
        <v>80</v>
      </c>
      <c r="F17" s="60" t="s">
        <v>35</v>
      </c>
      <c r="G17" s="47">
        <v>23</v>
      </c>
      <c r="H17" s="133">
        <f>IF(B$17=0,0,G17/B$17)</f>
        <v>1.5983321751216122E-2</v>
      </c>
      <c r="I17" s="94">
        <v>6</v>
      </c>
      <c r="K17" s="38">
        <v>15</v>
      </c>
      <c r="L17" s="99">
        <v>-1.0658141036401503E-14</v>
      </c>
      <c r="N17" s="115" t="s">
        <v>186</v>
      </c>
      <c r="O17" s="125">
        <f t="shared" si="2"/>
        <v>14.860714285714284</v>
      </c>
      <c r="P17" s="119">
        <v>28</v>
      </c>
      <c r="Q17" s="107">
        <v>416.09999999999997</v>
      </c>
    </row>
    <row r="18" spans="1:17" x14ac:dyDescent="0.4">
      <c r="A18" s="55" t="s">
        <v>12</v>
      </c>
      <c r="B18" s="47">
        <v>623</v>
      </c>
      <c r="C18" s="39">
        <f>IF(B$17=0,0,B18/B$17)</f>
        <v>0.43293954134815843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90.899999999999991</v>
      </c>
      <c r="N18" s="115" t="s">
        <v>173</v>
      </c>
      <c r="O18" s="125">
        <f t="shared" si="2"/>
        <v>8.9522727272727263</v>
      </c>
      <c r="P18" s="119">
        <v>88</v>
      </c>
      <c r="Q18" s="107">
        <v>787.79999999999984</v>
      </c>
    </row>
    <row r="19" spans="1:17" x14ac:dyDescent="0.4">
      <c r="A19" s="55" t="s">
        <v>11</v>
      </c>
      <c r="B19" s="47">
        <v>816</v>
      </c>
      <c r="C19" s="39">
        <f>IF(B$17=0,0,B19/B$17)</f>
        <v>0.56706045865184151</v>
      </c>
      <c r="E19" s="63" t="s">
        <v>82</v>
      </c>
      <c r="F19" s="60" t="s">
        <v>37</v>
      </c>
      <c r="G19" s="47">
        <v>39</v>
      </c>
      <c r="H19" s="133">
        <f>IF(B$17=0,0,G19/B$17)</f>
        <v>2.7102154273801252E-2</v>
      </c>
      <c r="I19" s="94">
        <v>7</v>
      </c>
      <c r="K19" s="38">
        <v>17</v>
      </c>
      <c r="L19" s="99">
        <v>8.2999999999999972</v>
      </c>
      <c r="N19" s="115" t="s">
        <v>202</v>
      </c>
      <c r="O19" s="125">
        <f t="shared" si="2"/>
        <v>5.4214285714285699</v>
      </c>
      <c r="P19" s="119">
        <v>14</v>
      </c>
      <c r="Q19" s="107">
        <v>75.899999999999977</v>
      </c>
    </row>
    <row r="20" spans="1:17" x14ac:dyDescent="0.4">
      <c r="A20" s="55" t="s">
        <v>13</v>
      </c>
      <c r="B20" s="47">
        <v>808</v>
      </c>
      <c r="C20" s="39">
        <f>IF(B$3=0,0,B20/B$3)</f>
        <v>0.168228190714137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-3.5527136788005009E-15</v>
      </c>
      <c r="N20" s="115" t="s">
        <v>128</v>
      </c>
      <c r="O20" s="125">
        <f t="shared" si="2"/>
        <v>4.086206896551726</v>
      </c>
      <c r="P20" s="119">
        <v>232</v>
      </c>
      <c r="Q20" s="107">
        <v>948.00000000000034</v>
      </c>
    </row>
    <row r="21" spans="1:17" x14ac:dyDescent="0.4">
      <c r="A21" s="55" t="s">
        <v>193</v>
      </c>
      <c r="B21" s="47">
        <v>7</v>
      </c>
      <c r="C21" s="135">
        <v>0</v>
      </c>
      <c r="E21" s="63" t="s">
        <v>84</v>
      </c>
      <c r="F21" s="60" t="s">
        <v>39</v>
      </c>
      <c r="G21" s="47">
        <v>67</v>
      </c>
      <c r="H21" s="133">
        <f>IF(B$17=0,0,G21/B$17)</f>
        <v>4.6560111188325225E-2</v>
      </c>
      <c r="I21" s="94">
        <v>6</v>
      </c>
      <c r="K21" s="38">
        <v>19</v>
      </c>
      <c r="L21" s="99">
        <v>30.999999999999996</v>
      </c>
      <c r="N21" s="115" t="s">
        <v>172</v>
      </c>
      <c r="O21" s="125">
        <f t="shared" si="2"/>
        <v>-1.0757812500000012</v>
      </c>
      <c r="P21" s="119">
        <v>128</v>
      </c>
      <c r="Q21" s="107">
        <v>-137.70000000000016</v>
      </c>
    </row>
    <row r="22" spans="1:17" x14ac:dyDescent="0.4">
      <c r="A22" s="55" t="s">
        <v>194</v>
      </c>
      <c r="B22" s="47">
        <v>31</v>
      </c>
      <c r="C22" s="135">
        <v>6</v>
      </c>
      <c r="E22" s="63" t="s">
        <v>85</v>
      </c>
      <c r="F22" s="60" t="s">
        <v>40</v>
      </c>
      <c r="G22" s="47">
        <v>4</v>
      </c>
      <c r="H22" s="133">
        <f>IF(B$17=0,0,G22/B$17)</f>
        <v>2.7797081306462821E-3</v>
      </c>
      <c r="I22" s="94">
        <v>3</v>
      </c>
      <c r="K22" s="38">
        <v>20</v>
      </c>
      <c r="L22" s="99">
        <v>0.79999999999999716</v>
      </c>
      <c r="N22" s="115" t="s">
        <v>177</v>
      </c>
      <c r="O22" s="125">
        <f t="shared" si="2"/>
        <v>-1.2781250000000017</v>
      </c>
      <c r="P22" s="119">
        <v>96</v>
      </c>
      <c r="Q22" s="107">
        <v>-122.70000000000017</v>
      </c>
    </row>
    <row r="23" spans="1:17" x14ac:dyDescent="0.4">
      <c r="A23" s="55" t="s">
        <v>5</v>
      </c>
      <c r="B23" s="51">
        <f>IF(B$17=0,0,C23/B$17)</f>
        <v>8677.3453787352337</v>
      </c>
      <c r="C23" s="41">
        <v>12486700</v>
      </c>
      <c r="E23" s="63" t="s">
        <v>86</v>
      </c>
      <c r="F23" s="60" t="s">
        <v>41</v>
      </c>
      <c r="G23" s="47">
        <v>4</v>
      </c>
      <c r="H23" s="133">
        <f>IF(B$17=0,0,G23/B$17)</f>
        <v>2.7797081306462821E-3</v>
      </c>
      <c r="I23" s="94">
        <v>3</v>
      </c>
      <c r="K23" s="38">
        <v>21</v>
      </c>
      <c r="L23" s="99">
        <v>-2.886579864025407E-15</v>
      </c>
      <c r="N23" s="115" t="s">
        <v>171</v>
      </c>
      <c r="O23" s="125">
        <f t="shared" si="2"/>
        <v>-2.2499999999999973</v>
      </c>
      <c r="P23" s="119">
        <v>158</v>
      </c>
      <c r="Q23" s="107">
        <v>-355.4999999999996</v>
      </c>
    </row>
    <row r="24" spans="1:17" x14ac:dyDescent="0.4">
      <c r="A24" s="57" t="s">
        <v>14</v>
      </c>
      <c r="B24" s="52">
        <f>IF(B$20=0,0,C24/B$20)</f>
        <v>-8323.7623762376243</v>
      </c>
      <c r="C24" s="45">
        <v>-6725600</v>
      </c>
      <c r="E24" s="63" t="s">
        <v>87</v>
      </c>
      <c r="F24" s="60" t="s">
        <v>42</v>
      </c>
      <c r="G24" s="47">
        <v>79</v>
      </c>
      <c r="H24" s="133">
        <f>IF(B$17=0,0,G24/B$17)</f>
        <v>5.4899235580264071E-2</v>
      </c>
      <c r="I24" s="94">
        <v>6</v>
      </c>
      <c r="K24" s="38">
        <v>22</v>
      </c>
      <c r="L24" s="99">
        <v>23.699999999999996</v>
      </c>
      <c r="N24" s="115" t="s">
        <v>127</v>
      </c>
      <c r="O24" s="125">
        <f t="shared" si="2"/>
        <v>-18.639534883720899</v>
      </c>
      <c r="P24" s="119">
        <v>258</v>
      </c>
      <c r="Q24" s="107">
        <v>-4808.9999999999918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5</v>
      </c>
      <c r="H25" s="133">
        <f>IF(B$17=0,0,G25/B$17)</f>
        <v>3.4746351633078527E-3</v>
      </c>
      <c r="I25" s="94">
        <v>5</v>
      </c>
      <c r="K25" s="38">
        <v>23</v>
      </c>
      <c r="L25" s="99">
        <v>26.299999999999997</v>
      </c>
      <c r="N25" s="115" t="s">
        <v>224</v>
      </c>
      <c r="O25" s="125">
        <f t="shared" si="2"/>
        <v>-19.950000000000003</v>
      </c>
      <c r="P25" s="119">
        <v>2</v>
      </c>
      <c r="Q25" s="107">
        <v>-39.900000000000006</v>
      </c>
    </row>
    <row r="26" spans="1:17" x14ac:dyDescent="0.4">
      <c r="A26" s="58" t="s">
        <v>152</v>
      </c>
      <c r="B26" s="138">
        <v>116000</v>
      </c>
      <c r="C26" s="139"/>
      <c r="E26" s="63" t="s">
        <v>89</v>
      </c>
      <c r="F26" s="60" t="s">
        <v>44</v>
      </c>
      <c r="G26" s="47">
        <v>2</v>
      </c>
      <c r="H26" s="133">
        <f>IF(B$17=0,0,G26/B$17)</f>
        <v>1.389854065323141E-3</v>
      </c>
      <c r="I26" s="94">
        <v>3</v>
      </c>
      <c r="K26" s="38">
        <v>24</v>
      </c>
      <c r="L26" s="99">
        <v>-3.5527136788005009E-15</v>
      </c>
      <c r="N26" s="115" t="s">
        <v>185</v>
      </c>
      <c r="O26" s="125">
        <f t="shared" si="2"/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14</v>
      </c>
      <c r="C27" s="42">
        <f>IF(B$3=0,0,B27/B$3)</f>
        <v>2.9148448886112846E-3</v>
      </c>
      <c r="E27" s="63" t="s">
        <v>90</v>
      </c>
      <c r="F27" s="60" t="s">
        <v>45</v>
      </c>
      <c r="G27" s="47">
        <v>178</v>
      </c>
      <c r="H27" s="133">
        <f>IF(B$17=0,0,G27/B$17)</f>
        <v>0.12369701181375956</v>
      </c>
      <c r="I27" s="94">
        <v>7</v>
      </c>
      <c r="K27" s="38">
        <v>25</v>
      </c>
      <c r="L27" s="99">
        <v>-31.300000000000004</v>
      </c>
    </row>
    <row r="28" spans="1:17" x14ac:dyDescent="0.4">
      <c r="E28" s="63" t="s">
        <v>91</v>
      </c>
      <c r="F28" s="60" t="s">
        <v>46</v>
      </c>
      <c r="G28" s="47">
        <v>3</v>
      </c>
      <c r="H28" s="133">
        <f>IF(B$17=0,0,G28/B$17)</f>
        <v>2.0847810979847115E-3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92</v>
      </c>
      <c r="F29" s="60" t="s">
        <v>47</v>
      </c>
      <c r="G29" s="47">
        <v>27</v>
      </c>
      <c r="H29" s="133">
        <f>IF(B$17=0,0,G29/B$17)</f>
        <v>1.8763029881862403E-2</v>
      </c>
      <c r="I29" s="94">
        <v>5</v>
      </c>
      <c r="K29" s="38">
        <v>27</v>
      </c>
      <c r="L29" s="99">
        <v>-1.3322676295501878E-15</v>
      </c>
    </row>
    <row r="30" spans="1:17" x14ac:dyDescent="0.4">
      <c r="E30" s="63" t="s">
        <v>93</v>
      </c>
      <c r="F30" s="60" t="s">
        <v>48</v>
      </c>
      <c r="G30" s="47">
        <v>6</v>
      </c>
      <c r="H30" s="133">
        <f>IF(B$17=0,0,G30/B$17)</f>
        <v>4.1695621959694229E-3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94</v>
      </c>
      <c r="F31" s="60" t="s">
        <v>49</v>
      </c>
      <c r="G31" s="47">
        <v>5</v>
      </c>
      <c r="H31" s="133">
        <f>IF(B$17=0,0,G31/B$17)</f>
        <v>3.4746351633078527E-3</v>
      </c>
      <c r="I31" s="94">
        <v>4</v>
      </c>
      <c r="K31" s="38">
        <v>29</v>
      </c>
      <c r="L31" s="99">
        <v>-9.5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0</v>
      </c>
    </row>
    <row r="33" spans="5:12" x14ac:dyDescent="0.4">
      <c r="E33" s="63" t="s">
        <v>96</v>
      </c>
      <c r="F33" s="60" t="s">
        <v>51</v>
      </c>
      <c r="G33" s="47">
        <v>2</v>
      </c>
      <c r="H33" s="133">
        <f>IF(B$17=0,0,G33/B$17)</f>
        <v>1.389854065323141E-3</v>
      </c>
      <c r="I33" s="94">
        <v>3</v>
      </c>
      <c r="K33" s="38">
        <v>31</v>
      </c>
      <c r="L33" s="99">
        <v>29.1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6.9492703266157052E-4</v>
      </c>
      <c r="I39" s="94">
        <v>2</v>
      </c>
      <c r="K39" s="38">
        <v>37</v>
      </c>
      <c r="L39" s="99">
        <v>-31.699999999999992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180</v>
      </c>
      <c r="F50" s="60" t="s">
        <v>183</v>
      </c>
      <c r="G50" s="47">
        <v>23</v>
      </c>
      <c r="H50" s="133">
        <f>IF(B$17=0,0,G50/B$17)</f>
        <v>1.5983321751216122E-2</v>
      </c>
      <c r="I50" s="94">
        <v>5</v>
      </c>
      <c r="K50" s="38">
        <v>48</v>
      </c>
      <c r="L50" s="99">
        <v>-7.1054273576010019E-15</v>
      </c>
    </row>
    <row r="51" spans="5:12" x14ac:dyDescent="0.4">
      <c r="E51" s="64" t="s">
        <v>181</v>
      </c>
      <c r="F51" s="61" t="s">
        <v>182</v>
      </c>
      <c r="G51" s="49">
        <v>598</v>
      </c>
      <c r="H51" s="134">
        <f>IF(B$17=0,0,G51/B$17)</f>
        <v>0.41556636553161919</v>
      </c>
      <c r="I51" s="95">
        <v>5</v>
      </c>
      <c r="K51" s="38">
        <v>49</v>
      </c>
      <c r="L51" s="99">
        <v>38.399999999999991</v>
      </c>
    </row>
    <row r="52" spans="5:12" x14ac:dyDescent="0.4"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</sheetData>
  <sortState ref="E2:I57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450AE-DA29-4E70-9649-0D746880031C}">
  <sheetPr codeName="Sheet7"/>
  <dimension ref="A1:Q13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129</v>
      </c>
      <c r="C2" s="147"/>
      <c r="E2" s="62" t="s">
        <v>65</v>
      </c>
      <c r="F2" s="59" t="s">
        <v>21</v>
      </c>
      <c r="G2" s="46">
        <v>179</v>
      </c>
      <c r="H2" s="132">
        <f>IF(B$17=0,0,G2/B$17)</f>
        <v>0.49175824175824173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1310.8527131782946</v>
      </c>
      <c r="P2" s="118">
        <v>129</v>
      </c>
      <c r="Q2" s="102">
        <v>169100</v>
      </c>
    </row>
    <row r="3" spans="1:17" x14ac:dyDescent="0.4">
      <c r="A3" s="55" t="s">
        <v>8</v>
      </c>
      <c r="B3" s="148">
        <v>1049</v>
      </c>
      <c r="C3" s="149"/>
      <c r="E3" s="63" t="s">
        <v>66</v>
      </c>
      <c r="F3" s="60" t="s">
        <v>22</v>
      </c>
      <c r="G3" s="47">
        <v>51</v>
      </c>
      <c r="H3" s="133">
        <f>IF(B$17=0,0,G3/B$17)</f>
        <v>0.14010989010989011</v>
      </c>
      <c r="I3" s="94">
        <v>2</v>
      </c>
      <c r="K3" s="38">
        <v>1</v>
      </c>
      <c r="L3" s="99">
        <v>-5.0999999999999996</v>
      </c>
      <c r="N3" s="115" t="s">
        <v>133</v>
      </c>
      <c r="O3" s="122">
        <f t="shared" si="0"/>
        <v>1136.5079365079366</v>
      </c>
      <c r="P3" s="119">
        <v>126</v>
      </c>
      <c r="Q3" s="103">
        <v>143200</v>
      </c>
    </row>
    <row r="4" spans="1:17" x14ac:dyDescent="0.4">
      <c r="A4" s="55" t="s">
        <v>6</v>
      </c>
      <c r="B4" s="150">
        <v>1603.0000000000011</v>
      </c>
      <c r="C4" s="151"/>
      <c r="E4" s="63" t="s">
        <v>67</v>
      </c>
      <c r="F4" s="60" t="s">
        <v>23</v>
      </c>
      <c r="G4" s="47">
        <v>273</v>
      </c>
      <c r="H4" s="133">
        <f>IF(B$17=0,0,G4/B$17)</f>
        <v>0.75</v>
      </c>
      <c r="I4" s="94">
        <v>7</v>
      </c>
      <c r="K4" s="38">
        <v>2</v>
      </c>
      <c r="L4" s="99">
        <v>-2.8999999999999995</v>
      </c>
      <c r="N4" s="115" t="s">
        <v>134</v>
      </c>
      <c r="O4" s="122">
        <f t="shared" si="0"/>
        <v>1571.4285714285713</v>
      </c>
      <c r="P4" s="119">
        <v>119</v>
      </c>
      <c r="Q4" s="103">
        <v>187000</v>
      </c>
    </row>
    <row r="5" spans="1:17" x14ac:dyDescent="0.4">
      <c r="A5" s="55" t="s">
        <v>7</v>
      </c>
      <c r="B5" s="152">
        <f>IF(B$2=0,0,B$4/B$2)</f>
        <v>12.426356589147296</v>
      </c>
      <c r="C5" s="153"/>
      <c r="E5" s="63" t="s">
        <v>68</v>
      </c>
      <c r="F5" s="60" t="s">
        <v>24</v>
      </c>
      <c r="G5" s="47">
        <v>107</v>
      </c>
      <c r="H5" s="133">
        <f>IF(B$17=0,0,G5/B$17)</f>
        <v>0.29395604395604397</v>
      </c>
      <c r="I5" s="94">
        <v>10</v>
      </c>
      <c r="K5" s="38">
        <v>3</v>
      </c>
      <c r="L5" s="99">
        <v>70.399999999999991</v>
      </c>
      <c r="N5" s="115" t="s">
        <v>135</v>
      </c>
      <c r="O5" s="122">
        <f t="shared" si="0"/>
        <v>2882.5688073394494</v>
      </c>
      <c r="P5" s="119">
        <v>109</v>
      </c>
      <c r="Q5" s="103">
        <v>314200</v>
      </c>
    </row>
    <row r="6" spans="1:17" x14ac:dyDescent="0.4">
      <c r="A6" s="55" t="s">
        <v>1</v>
      </c>
      <c r="B6" s="142">
        <f>IF(B$2=0,0,(B$7*1+B$8*2+B$9*3)/B$2)</f>
        <v>1.7364341085271318</v>
      </c>
      <c r="C6" s="143"/>
      <c r="E6" s="63" t="s">
        <v>69</v>
      </c>
      <c r="F6" s="60" t="s">
        <v>12</v>
      </c>
      <c r="G6" s="47">
        <v>94</v>
      </c>
      <c r="H6" s="133">
        <f>IF(B$17=0,0,G6/B$17)</f>
        <v>0.25824175824175827</v>
      </c>
      <c r="I6" s="94">
        <v>12</v>
      </c>
      <c r="K6" s="38">
        <v>4</v>
      </c>
      <c r="L6" s="99">
        <v>110.5</v>
      </c>
      <c r="N6" s="115" t="s">
        <v>136</v>
      </c>
      <c r="O6" s="122">
        <f t="shared" si="0"/>
        <v>309.4736842105263</v>
      </c>
      <c r="P6" s="119">
        <v>95</v>
      </c>
      <c r="Q6" s="103">
        <v>29400</v>
      </c>
    </row>
    <row r="7" spans="1:17" x14ac:dyDescent="0.4">
      <c r="A7" s="55" t="s">
        <v>2</v>
      </c>
      <c r="B7" s="47">
        <v>64</v>
      </c>
      <c r="C7" s="39">
        <f>IF(B$2=0,0,B7/B$2)</f>
        <v>0.49612403100775193</v>
      </c>
      <c r="E7" s="63" t="s">
        <v>70</v>
      </c>
      <c r="F7" s="60" t="s">
        <v>25</v>
      </c>
      <c r="G7" s="47">
        <v>62</v>
      </c>
      <c r="H7" s="133">
        <f>IF(B$17=0,0,G7/B$17)</f>
        <v>0.17032967032967034</v>
      </c>
      <c r="I7" s="94">
        <v>9</v>
      </c>
      <c r="K7" s="38">
        <v>5</v>
      </c>
      <c r="L7" s="99">
        <v>201.4</v>
      </c>
      <c r="N7" s="116" t="s">
        <v>137</v>
      </c>
      <c r="O7" s="123">
        <f t="shared" si="0"/>
        <v>867.07317073170736</v>
      </c>
      <c r="P7" s="120">
        <v>82</v>
      </c>
      <c r="Q7" s="104">
        <v>71100</v>
      </c>
    </row>
    <row r="8" spans="1:17" x14ac:dyDescent="0.4">
      <c r="A8" s="55" t="s">
        <v>3</v>
      </c>
      <c r="B8" s="47">
        <v>35</v>
      </c>
      <c r="C8" s="39">
        <f>IF(B$2=0,0,B8/B$2)</f>
        <v>0.27131782945736432</v>
      </c>
      <c r="E8" s="63" t="s">
        <v>71</v>
      </c>
      <c r="F8" s="60" t="s">
        <v>26</v>
      </c>
      <c r="G8" s="47">
        <v>34</v>
      </c>
      <c r="H8" s="133">
        <f>IF(B$17=0,0,G8/B$17)</f>
        <v>9.3406593406593408E-2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30</v>
      </c>
      <c r="C9" s="40">
        <f t="shared" ref="C9" si="1">IF(B$2=0,0,B9/B$2)</f>
        <v>0.23255813953488372</v>
      </c>
      <c r="E9" s="63" t="s">
        <v>72</v>
      </c>
      <c r="F9" s="60" t="s">
        <v>27</v>
      </c>
      <c r="G9" s="47">
        <v>25</v>
      </c>
      <c r="H9" s="133">
        <f>IF(B$17=0,0,G9/B$17)</f>
        <v>6.8681318681318687E-2</v>
      </c>
      <c r="I9" s="94">
        <v>4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0.11627906976744186</v>
      </c>
      <c r="E10" s="63" t="s">
        <v>73</v>
      </c>
      <c r="F10" s="60" t="s">
        <v>28</v>
      </c>
      <c r="G10" s="47">
        <v>210</v>
      </c>
      <c r="H10" s="133">
        <f>IF(B$17=0,0,G10/B$17)</f>
        <v>0.57692307692307687</v>
      </c>
      <c r="I10" s="94">
        <v>5</v>
      </c>
      <c r="K10" s="38">
        <v>8</v>
      </c>
      <c r="L10" s="99">
        <v>285.20000000000005</v>
      </c>
      <c r="N10" s="114" t="s">
        <v>164</v>
      </c>
      <c r="O10" s="124">
        <f>IF(P10=0,0,Q10/P10)</f>
        <v>13.476315789473684</v>
      </c>
      <c r="P10" s="118">
        <v>38</v>
      </c>
      <c r="Q10" s="106">
        <v>512.1</v>
      </c>
    </row>
    <row r="11" spans="1:17" x14ac:dyDescent="0.4">
      <c r="A11" s="56" t="s">
        <v>140</v>
      </c>
      <c r="B11" s="48">
        <v>22</v>
      </c>
      <c r="C11" s="40">
        <f>IF(B$2=0,0,B11/B$2)</f>
        <v>0.17054263565891473</v>
      </c>
      <c r="E11" s="63" t="s">
        <v>74</v>
      </c>
      <c r="F11" s="60" t="s">
        <v>29</v>
      </c>
      <c r="G11" s="47">
        <v>2</v>
      </c>
      <c r="H11" s="133">
        <f>IF(B$17=0,0,G11/B$17)</f>
        <v>5.4945054945054949E-3</v>
      </c>
      <c r="I11" s="94">
        <v>5</v>
      </c>
      <c r="K11" s="38">
        <v>9</v>
      </c>
      <c r="L11" s="99">
        <v>277.90000000000003</v>
      </c>
      <c r="N11" s="115" t="s">
        <v>165</v>
      </c>
      <c r="O11" s="125">
        <f>IF(P11=0,0,Q11/P11)</f>
        <v>9.0897435897435894</v>
      </c>
      <c r="P11" s="119">
        <v>39</v>
      </c>
      <c r="Q11" s="107">
        <v>354.5</v>
      </c>
    </row>
    <row r="12" spans="1:17" x14ac:dyDescent="0.4">
      <c r="A12" s="57" t="s">
        <v>160</v>
      </c>
      <c r="B12" s="49">
        <v>19</v>
      </c>
      <c r="C12" s="42">
        <f>IF(B$2=0,0,B12/B$2)</f>
        <v>0.14728682170542637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246.20000000000005</v>
      </c>
      <c r="N12" s="116" t="s">
        <v>166</v>
      </c>
      <c r="O12" s="126">
        <f>IF(P12=0,0,Q12/P12)</f>
        <v>14.161538461538466</v>
      </c>
      <c r="P12" s="120">
        <v>52</v>
      </c>
      <c r="Q12" s="108">
        <v>736.4000000000002</v>
      </c>
    </row>
    <row r="13" spans="1:17" x14ac:dyDescent="0.4">
      <c r="A13" s="58" t="s">
        <v>122</v>
      </c>
      <c r="B13" s="50">
        <v>339</v>
      </c>
      <c r="C13" s="44">
        <f>IF(B$3=0,0,B13/B$3)</f>
        <v>0.32316491897044802</v>
      </c>
      <c r="E13" s="63" t="s">
        <v>76</v>
      </c>
      <c r="F13" s="60" t="s">
        <v>31</v>
      </c>
      <c r="G13" s="47">
        <v>1</v>
      </c>
      <c r="H13" s="133">
        <f>IF(B$17=0,0,G13/B$17)</f>
        <v>2.7472527472527475E-3</v>
      </c>
      <c r="I13" s="94">
        <v>7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231</v>
      </c>
      <c r="C14" s="39">
        <f>IF(B$3=0,0,B14/B$3)</f>
        <v>0.2202097235462345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194</v>
      </c>
      <c r="C15" s="37">
        <f>IF(B$13=0,0,B15/B$13)</f>
        <v>0.57227138643067843</v>
      </c>
      <c r="E15" s="63" t="s">
        <v>78</v>
      </c>
      <c r="F15" s="60" t="s">
        <v>33</v>
      </c>
      <c r="G15" s="47">
        <v>1</v>
      </c>
      <c r="H15" s="133">
        <f>IF(B$17=0,0,G15/B$17)</f>
        <v>2.7472527472527475E-3</v>
      </c>
      <c r="I15" s="94">
        <v>3</v>
      </c>
      <c r="K15" s="38">
        <v>13</v>
      </c>
      <c r="L15" s="99">
        <v>418.90000000000003</v>
      </c>
      <c r="N15" s="114" t="s">
        <v>185</v>
      </c>
      <c r="O15" s="124">
        <f t="shared" ref="O15:O25" si="2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119</v>
      </c>
      <c r="C16" s="37">
        <f>IF(B$14=0,0,B16/B$14)</f>
        <v>0.51515151515151514</v>
      </c>
      <c r="E16" s="63" t="s">
        <v>79</v>
      </c>
      <c r="F16" s="60" t="s">
        <v>34</v>
      </c>
      <c r="G16" s="47">
        <v>7</v>
      </c>
      <c r="H16" s="133">
        <f>IF(B$17=0,0,G16/B$17)</f>
        <v>1.9230769230769232E-2</v>
      </c>
      <c r="I16" s="94">
        <v>7</v>
      </c>
      <c r="K16" s="38">
        <v>14</v>
      </c>
      <c r="L16" s="99">
        <v>473.50000000000006</v>
      </c>
      <c r="N16" s="115" t="s">
        <v>129</v>
      </c>
      <c r="O16" s="125">
        <f t="shared" si="2"/>
        <v>31.390243902439028</v>
      </c>
      <c r="P16" s="119">
        <v>41</v>
      </c>
      <c r="Q16" s="107">
        <v>1287.0000000000002</v>
      </c>
    </row>
    <row r="17" spans="1:17" x14ac:dyDescent="0.4">
      <c r="A17" s="54" t="s">
        <v>10</v>
      </c>
      <c r="B17" s="46">
        <f>B19+B18</f>
        <v>364</v>
      </c>
      <c r="C17" s="37">
        <f>IF(B$3=0,0,B17/B$3)</f>
        <v>0.34699714013346045</v>
      </c>
      <c r="E17" s="63" t="s">
        <v>80</v>
      </c>
      <c r="F17" s="60" t="s">
        <v>35</v>
      </c>
      <c r="G17" s="47">
        <v>5</v>
      </c>
      <c r="H17" s="133">
        <f>IF(B$17=0,0,G17/B$17)</f>
        <v>1.3736263736263736E-2</v>
      </c>
      <c r="I17" s="94">
        <v>8</v>
      </c>
      <c r="K17" s="38">
        <v>15</v>
      </c>
      <c r="L17" s="99">
        <v>481.50000000000006</v>
      </c>
      <c r="N17" s="115" t="s">
        <v>177</v>
      </c>
      <c r="O17" s="125">
        <f t="shared" si="2"/>
        <v>31.266666666666673</v>
      </c>
      <c r="P17" s="119">
        <v>21</v>
      </c>
      <c r="Q17" s="107">
        <v>656.60000000000014</v>
      </c>
    </row>
    <row r="18" spans="1:17" x14ac:dyDescent="0.4">
      <c r="A18" s="55" t="s">
        <v>12</v>
      </c>
      <c r="B18" s="47">
        <v>146</v>
      </c>
      <c r="C18" s="39">
        <f>IF(B$17=0,0,B18/B$17)</f>
        <v>0.40109890109890112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224</v>
      </c>
      <c r="O18" s="125">
        <f t="shared" si="2"/>
        <v>29.599999999999998</v>
      </c>
      <c r="P18" s="119">
        <v>1</v>
      </c>
      <c r="Q18" s="107">
        <v>29.599999999999998</v>
      </c>
    </row>
    <row r="19" spans="1:17" x14ac:dyDescent="0.4">
      <c r="A19" s="55" t="s">
        <v>11</v>
      </c>
      <c r="B19" s="47">
        <v>218</v>
      </c>
      <c r="C19" s="39">
        <f>IF(B$17=0,0,B19/B$17)</f>
        <v>0.59890109890109888</v>
      </c>
      <c r="E19" s="63" t="s">
        <v>82</v>
      </c>
      <c r="F19" s="60" t="s">
        <v>37</v>
      </c>
      <c r="G19" s="47">
        <v>11</v>
      </c>
      <c r="H19" s="133">
        <f>IF(B$17=0,0,G19/B$17)</f>
        <v>3.021978021978022E-2</v>
      </c>
      <c r="I19" s="94">
        <v>4</v>
      </c>
      <c r="K19" s="38">
        <v>17</v>
      </c>
      <c r="L19" s="99">
        <v>427.40000000000003</v>
      </c>
      <c r="N19" s="115" t="s">
        <v>172</v>
      </c>
      <c r="O19" s="125">
        <f t="shared" si="2"/>
        <v>24.126470588235296</v>
      </c>
      <c r="P19" s="119">
        <v>34</v>
      </c>
      <c r="Q19" s="107">
        <v>820.30000000000007</v>
      </c>
    </row>
    <row r="20" spans="1:17" x14ac:dyDescent="0.4">
      <c r="A20" s="55" t="s">
        <v>13</v>
      </c>
      <c r="B20" s="47">
        <v>166</v>
      </c>
      <c r="C20" s="39">
        <f>IF(B$3=0,0,B20/B$3)</f>
        <v>0.15824594852240229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173</v>
      </c>
      <c r="O20" s="125">
        <f t="shared" si="2"/>
        <v>21.768181818181816</v>
      </c>
      <c r="P20" s="119">
        <v>22</v>
      </c>
      <c r="Q20" s="107">
        <v>478.9</v>
      </c>
    </row>
    <row r="21" spans="1:17" x14ac:dyDescent="0.4">
      <c r="A21" s="55" t="s">
        <v>193</v>
      </c>
      <c r="B21" s="47">
        <v>7</v>
      </c>
      <c r="C21" s="135">
        <v>1</v>
      </c>
      <c r="E21" s="63" t="s">
        <v>84</v>
      </c>
      <c r="F21" s="60" t="s">
        <v>39</v>
      </c>
      <c r="G21" s="47">
        <v>19</v>
      </c>
      <c r="H21" s="133">
        <f>IF(B$17=0,0,G21/B$17)</f>
        <v>5.21978021978022E-2</v>
      </c>
      <c r="I21" s="94">
        <v>4</v>
      </c>
      <c r="K21" s="38">
        <v>19</v>
      </c>
      <c r="L21" s="99">
        <v>405.40000000000003</v>
      </c>
      <c r="N21" s="115" t="s">
        <v>186</v>
      </c>
      <c r="O21" s="125">
        <f t="shared" si="2"/>
        <v>20.222222222222214</v>
      </c>
      <c r="P21" s="119">
        <v>9</v>
      </c>
      <c r="Q21" s="107">
        <v>181.99999999999994</v>
      </c>
    </row>
    <row r="22" spans="1:17" x14ac:dyDescent="0.4">
      <c r="A22" s="55" t="s">
        <v>194</v>
      </c>
      <c r="B22" s="47">
        <v>39</v>
      </c>
      <c r="C22" s="135">
        <v>5</v>
      </c>
      <c r="E22" s="63" t="s">
        <v>85</v>
      </c>
      <c r="F22" s="60" t="s">
        <v>40</v>
      </c>
      <c r="G22" s="47">
        <v>1</v>
      </c>
      <c r="H22" s="133">
        <f>IF(B$17=0,0,G22/B$17)</f>
        <v>2.7472527472527475E-3</v>
      </c>
      <c r="I22" s="94">
        <v>4</v>
      </c>
      <c r="K22" s="38">
        <v>20</v>
      </c>
      <c r="L22" s="99">
        <v>469.6</v>
      </c>
      <c r="N22" s="115" t="s">
        <v>128</v>
      </c>
      <c r="O22" s="125">
        <f t="shared" si="2"/>
        <v>17.662025316455697</v>
      </c>
      <c r="P22" s="119">
        <v>79</v>
      </c>
      <c r="Q22" s="107">
        <v>1395.3000000000002</v>
      </c>
    </row>
    <row r="23" spans="1:17" x14ac:dyDescent="0.4">
      <c r="A23" s="55" t="s">
        <v>5</v>
      </c>
      <c r="B23" s="51">
        <f>IF(B$17=0,0,C23/B$17)</f>
        <v>9240.1098901098903</v>
      </c>
      <c r="C23" s="41">
        <v>3363400</v>
      </c>
      <c r="E23" s="63" t="s">
        <v>86</v>
      </c>
      <c r="F23" s="60" t="s">
        <v>41</v>
      </c>
      <c r="G23" s="47">
        <v>2</v>
      </c>
      <c r="H23" s="133">
        <f>IF(B$17=0,0,G23/B$17)</f>
        <v>5.4945054945054949E-3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2"/>
        <v>-2.5531914893619577E-2</v>
      </c>
      <c r="P23" s="119">
        <v>47</v>
      </c>
      <c r="Q23" s="107">
        <v>-1.2000000000001201</v>
      </c>
    </row>
    <row r="24" spans="1:17" x14ac:dyDescent="0.4">
      <c r="A24" s="57" t="s">
        <v>14</v>
      </c>
      <c r="B24" s="52">
        <f>IF(B$20=0,0,C24/B$20)</f>
        <v>-8291.5662650602408</v>
      </c>
      <c r="C24" s="45">
        <v>-1376400</v>
      </c>
      <c r="E24" s="63" t="s">
        <v>87</v>
      </c>
      <c r="F24" s="60" t="s">
        <v>42</v>
      </c>
      <c r="G24" s="47">
        <v>26</v>
      </c>
      <c r="H24" s="133">
        <f>IF(B$17=0,0,G24/B$17)</f>
        <v>7.1428571428571425E-2</v>
      </c>
      <c r="I24" s="94">
        <v>3</v>
      </c>
      <c r="K24" s="38">
        <v>22</v>
      </c>
      <c r="L24" s="99">
        <v>519.20000000000005</v>
      </c>
      <c r="N24" s="115" t="s">
        <v>202</v>
      </c>
      <c r="O24" s="125">
        <f t="shared" si="2"/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2.7472527472527475E-3</v>
      </c>
      <c r="I25" s="94">
        <v>6</v>
      </c>
      <c r="K25" s="38">
        <v>23</v>
      </c>
      <c r="L25" s="99">
        <v>555.90000000000009</v>
      </c>
      <c r="N25" s="115" t="s">
        <v>225</v>
      </c>
      <c r="O25" s="125">
        <f t="shared" si="2"/>
        <v>-81.8</v>
      </c>
      <c r="P25" s="119">
        <v>1</v>
      </c>
      <c r="Q25" s="107">
        <v>-81.8</v>
      </c>
    </row>
    <row r="26" spans="1:17" x14ac:dyDescent="0.4">
      <c r="A26" s="58" t="s">
        <v>152</v>
      </c>
      <c r="B26" s="138">
        <v>116000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9.5328884652049568E-4</v>
      </c>
      <c r="E27" s="63" t="s">
        <v>90</v>
      </c>
      <c r="F27" s="60" t="s">
        <v>45</v>
      </c>
      <c r="G27" s="47">
        <v>56</v>
      </c>
      <c r="H27" s="133">
        <f>IF(B$17=0,0,G27/B$17)</f>
        <v>0.15384615384615385</v>
      </c>
      <c r="I27" s="94">
        <v>5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2.7472527472527475E-3</v>
      </c>
      <c r="I28" s="94">
        <v>3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7</v>
      </c>
      <c r="H29" s="133">
        <f>IF(B$17=0,0,G29/B$17)</f>
        <v>1.9230769230769232E-2</v>
      </c>
      <c r="I29" s="94">
        <v>4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5.4945054945054949E-3</v>
      </c>
      <c r="I30" s="94">
        <v>3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2.7472527472527475E-3</v>
      </c>
      <c r="I31" s="94">
        <v>5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2.7472527472527475E-3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183</v>
      </c>
      <c r="G50" s="47">
        <v>12</v>
      </c>
      <c r="H50" s="133">
        <f>IF(B$17=0,0,G50/B$17)</f>
        <v>3.2967032967032968E-2</v>
      </c>
      <c r="I50" s="94">
        <v>1</v>
      </c>
      <c r="K50" s="38">
        <v>48</v>
      </c>
      <c r="L50" s="99">
        <v>1259.3</v>
      </c>
    </row>
    <row r="51" spans="5:12" x14ac:dyDescent="0.4">
      <c r="E51" s="64" t="s">
        <v>181</v>
      </c>
      <c r="F51" s="61" t="s">
        <v>182</v>
      </c>
      <c r="G51" s="49">
        <v>151</v>
      </c>
      <c r="H51" s="134">
        <f>IF(B$17=0,0,G51/B$17)</f>
        <v>0.41483516483516486</v>
      </c>
      <c r="I51" s="95">
        <v>6</v>
      </c>
      <c r="K51" s="38">
        <v>49</v>
      </c>
      <c r="L51" s="99">
        <v>1289.8999999999999</v>
      </c>
    </row>
    <row r="52" spans="5:12" x14ac:dyDescent="0.4"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</sheetData>
  <sortState ref="E2:I13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E2CBA-37F2-4102-BBDC-57BDC2FCAC6B}">
  <sheetPr codeName="Sheet9"/>
  <dimension ref="A1:Q11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128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116</v>
      </c>
      <c r="C2" s="147"/>
      <c r="E2" s="62" t="s">
        <v>65</v>
      </c>
      <c r="F2" s="59" t="s">
        <v>21</v>
      </c>
      <c r="G2" s="46">
        <v>158</v>
      </c>
      <c r="H2" s="132">
        <f>IF(B$17=0,0,G2/B$17)</f>
        <v>0.6053639846743295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496.55172413793105</v>
      </c>
      <c r="P2" s="118">
        <v>116</v>
      </c>
      <c r="Q2" s="102">
        <v>57600</v>
      </c>
    </row>
    <row r="3" spans="1:17" x14ac:dyDescent="0.4">
      <c r="A3" s="55" t="s">
        <v>8</v>
      </c>
      <c r="B3" s="148">
        <v>957</v>
      </c>
      <c r="C3" s="149"/>
      <c r="E3" s="63" t="s">
        <v>66</v>
      </c>
      <c r="F3" s="60" t="s">
        <v>22</v>
      </c>
      <c r="G3" s="47">
        <v>42</v>
      </c>
      <c r="H3" s="133">
        <f>IF(B$17=0,0,G3/B$17)</f>
        <v>0.16091954022988506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-2231.25</v>
      </c>
      <c r="P3" s="119">
        <v>112</v>
      </c>
      <c r="Q3" s="103">
        <v>-249900</v>
      </c>
    </row>
    <row r="4" spans="1:17" x14ac:dyDescent="0.4">
      <c r="A4" s="55" t="s">
        <v>6</v>
      </c>
      <c r="B4" s="150">
        <v>-316.00000000000006</v>
      </c>
      <c r="C4" s="151"/>
      <c r="E4" s="63" t="s">
        <v>67</v>
      </c>
      <c r="F4" s="60" t="s">
        <v>23</v>
      </c>
      <c r="G4" s="47">
        <v>200</v>
      </c>
      <c r="H4" s="133">
        <f>IF(B$17=0,0,G4/B$17)</f>
        <v>0.76628352490421459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38.532110091743121</v>
      </c>
      <c r="P4" s="119">
        <v>109</v>
      </c>
      <c r="Q4" s="103">
        <v>4200</v>
      </c>
    </row>
    <row r="5" spans="1:17" x14ac:dyDescent="0.4">
      <c r="A5" s="55" t="s">
        <v>7</v>
      </c>
      <c r="B5" s="152">
        <f>IF(B$2=0,0,B$4/B$2)</f>
        <v>-2.7241379310344831</v>
      </c>
      <c r="C5" s="153"/>
      <c r="E5" s="63" t="s">
        <v>68</v>
      </c>
      <c r="F5" s="60" t="s">
        <v>24</v>
      </c>
      <c r="G5" s="47">
        <v>97</v>
      </c>
      <c r="H5" s="133">
        <f>IF(B$17=0,0,G5/B$17)</f>
        <v>0.37164750957854409</v>
      </c>
      <c r="I5" s="94">
        <v>5</v>
      </c>
      <c r="K5" s="38">
        <v>3</v>
      </c>
      <c r="L5" s="99">
        <v>-47.300000000000004</v>
      </c>
      <c r="N5" s="115" t="s">
        <v>135</v>
      </c>
      <c r="O5" s="122">
        <f t="shared" si="0"/>
        <v>171.13402061855669</v>
      </c>
      <c r="P5" s="119">
        <v>97</v>
      </c>
      <c r="Q5" s="103">
        <v>16600</v>
      </c>
    </row>
    <row r="6" spans="1:17" x14ac:dyDescent="0.4">
      <c r="A6" s="55" t="s">
        <v>1</v>
      </c>
      <c r="B6" s="142">
        <f>IF(B$2=0,0,(B$7*1+B$8*2+B$9*3)/B$2)</f>
        <v>2.0775862068965516</v>
      </c>
      <c r="C6" s="143"/>
      <c r="E6" s="63" t="s">
        <v>69</v>
      </c>
      <c r="F6" s="60" t="s">
        <v>12</v>
      </c>
      <c r="G6" s="47">
        <v>88</v>
      </c>
      <c r="H6" s="133">
        <f>IF(B$17=0,0,G6/B$17)</f>
        <v>0.33716475095785442</v>
      </c>
      <c r="I6" s="94">
        <v>7</v>
      </c>
      <c r="K6" s="38">
        <v>4</v>
      </c>
      <c r="L6" s="99">
        <v>13.599999999999994</v>
      </c>
      <c r="N6" s="115" t="s">
        <v>136</v>
      </c>
      <c r="O6" s="122">
        <f t="shared" si="0"/>
        <v>424.41860465116281</v>
      </c>
      <c r="P6" s="119">
        <v>86</v>
      </c>
      <c r="Q6" s="103">
        <v>36500</v>
      </c>
    </row>
    <row r="7" spans="1:17" x14ac:dyDescent="0.4">
      <c r="A7" s="55" t="s">
        <v>2</v>
      </c>
      <c r="B7" s="47">
        <v>31</v>
      </c>
      <c r="C7" s="39">
        <f>IF(B$2=0,0,B7/B$2)</f>
        <v>0.26724137931034481</v>
      </c>
      <c r="E7" s="63" t="s">
        <v>70</v>
      </c>
      <c r="F7" s="60" t="s">
        <v>25</v>
      </c>
      <c r="G7" s="47">
        <v>58</v>
      </c>
      <c r="H7" s="133">
        <f>IF(B$17=0,0,G7/B$17)</f>
        <v>0.22222222222222221</v>
      </c>
      <c r="I7" s="94">
        <v>2</v>
      </c>
      <c r="K7" s="38">
        <v>5</v>
      </c>
      <c r="L7" s="99">
        <v>-16.600000000000005</v>
      </c>
      <c r="N7" s="116" t="s">
        <v>137</v>
      </c>
      <c r="O7" s="123">
        <f t="shared" si="0"/>
        <v>450</v>
      </c>
      <c r="P7" s="120">
        <v>80</v>
      </c>
      <c r="Q7" s="104">
        <v>36000</v>
      </c>
    </row>
    <row r="8" spans="1:17" x14ac:dyDescent="0.4">
      <c r="A8" s="55" t="s">
        <v>3</v>
      </c>
      <c r="B8" s="47">
        <v>45</v>
      </c>
      <c r="C8" s="39">
        <f>IF(B$2=0,0,B8/B$2)</f>
        <v>0.38793103448275862</v>
      </c>
      <c r="E8" s="63" t="s">
        <v>71</v>
      </c>
      <c r="F8" s="60" t="s">
        <v>26</v>
      </c>
      <c r="G8" s="47">
        <v>31</v>
      </c>
      <c r="H8" s="133">
        <f>IF(B$17=0,0,G8/B$17)</f>
        <v>0.11877394636015326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40</v>
      </c>
      <c r="C9" s="40">
        <f t="shared" ref="C9" si="1">IF(B$2=0,0,B9/B$2)</f>
        <v>0.34482758620689657</v>
      </c>
      <c r="E9" s="63" t="s">
        <v>72</v>
      </c>
      <c r="F9" s="60" t="s">
        <v>27</v>
      </c>
      <c r="G9" s="47">
        <v>15</v>
      </c>
      <c r="H9" s="133">
        <f>IF(B$17=0,0,G9/B$17)</f>
        <v>5.7471264367816091E-2</v>
      </c>
      <c r="I9" s="94">
        <v>8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0.12931034482758622</v>
      </c>
      <c r="E10" s="63" t="s">
        <v>73</v>
      </c>
      <c r="F10" s="60" t="s">
        <v>28</v>
      </c>
      <c r="G10" s="47">
        <v>121</v>
      </c>
      <c r="H10" s="133">
        <f>IF(B$17=0,0,G10/B$17)</f>
        <v>0.46360153256704983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-6.8819672131147556</v>
      </c>
      <c r="P10" s="118">
        <v>61</v>
      </c>
      <c r="Q10" s="106">
        <v>-419.80000000000007</v>
      </c>
    </row>
    <row r="11" spans="1:17" x14ac:dyDescent="0.4">
      <c r="A11" s="56" t="s">
        <v>140</v>
      </c>
      <c r="B11" s="48">
        <v>11</v>
      </c>
      <c r="C11" s="40">
        <f>IF(B$2=0,0,B11/B$2)</f>
        <v>9.4827586206896547E-2</v>
      </c>
      <c r="E11" s="63" t="s">
        <v>74</v>
      </c>
      <c r="F11" s="60" t="s">
        <v>29</v>
      </c>
      <c r="G11" s="47">
        <v>2</v>
      </c>
      <c r="H11" s="133">
        <f>IF(B$17=0,0,G11/B$17)</f>
        <v>7.6628352490421452E-3</v>
      </c>
      <c r="I11" s="94">
        <v>3</v>
      </c>
      <c r="K11" s="38">
        <v>9</v>
      </c>
      <c r="L11" s="99">
        <v>-79.5</v>
      </c>
      <c r="N11" s="115" t="s">
        <v>165</v>
      </c>
      <c r="O11" s="125">
        <f>IF(P11=0,0,Q11/P11)</f>
        <v>-2.3846153846153828</v>
      </c>
      <c r="P11" s="119">
        <v>26</v>
      </c>
      <c r="Q11" s="107">
        <v>-61.99999999999995</v>
      </c>
    </row>
    <row r="12" spans="1:17" x14ac:dyDescent="0.4">
      <c r="A12" s="57" t="s">
        <v>160</v>
      </c>
      <c r="B12" s="49">
        <v>8</v>
      </c>
      <c r="C12" s="42">
        <f>IF(B$2=0,0,B12/B$2)</f>
        <v>6.8965517241379309E-2</v>
      </c>
      <c r="E12" s="63" t="s">
        <v>75</v>
      </c>
      <c r="F12" s="60" t="s">
        <v>30</v>
      </c>
      <c r="G12" s="47">
        <v>2</v>
      </c>
      <c r="H12" s="133">
        <f>IF(B$17=0,0,G12/B$17)</f>
        <v>7.6628352490421452E-3</v>
      </c>
      <c r="I12" s="94">
        <v>3</v>
      </c>
      <c r="K12" s="38">
        <v>10</v>
      </c>
      <c r="L12" s="99">
        <v>-80.900000000000006</v>
      </c>
      <c r="N12" s="116" t="s">
        <v>166</v>
      </c>
      <c r="O12" s="126">
        <f>IF(P12=0,0,Q12/P12)</f>
        <v>5.7172413793103445</v>
      </c>
      <c r="P12" s="120">
        <v>29</v>
      </c>
      <c r="Q12" s="108">
        <v>165.79999999999998</v>
      </c>
    </row>
    <row r="13" spans="1:17" x14ac:dyDescent="0.4">
      <c r="A13" s="58" t="s">
        <v>122</v>
      </c>
      <c r="B13" s="50">
        <v>286</v>
      </c>
      <c r="C13" s="44">
        <f>IF(B$3=0,0,B13/B$3)</f>
        <v>0.2988505747126437</v>
      </c>
      <c r="E13" s="63" t="s">
        <v>76</v>
      </c>
      <c r="F13" s="60" t="s">
        <v>31</v>
      </c>
      <c r="G13" s="47">
        <v>2</v>
      </c>
      <c r="H13" s="133">
        <f>IF(B$17=0,0,G13/B$17)</f>
        <v>7.6628352490421452E-3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173</v>
      </c>
      <c r="C14" s="39">
        <f>IF(B$3=0,0,B14/B$3)</f>
        <v>0.18077324973876699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167</v>
      </c>
      <c r="C15" s="37">
        <f>IF(B$13=0,0,B15/B$13)</f>
        <v>0.58391608391608396</v>
      </c>
      <c r="E15" s="63" t="s">
        <v>78</v>
      </c>
      <c r="F15" s="60" t="s">
        <v>33</v>
      </c>
      <c r="G15" s="47">
        <v>1</v>
      </c>
      <c r="H15" s="133">
        <f>IF(B$17=0,0,G15/B$17)</f>
        <v>3.8314176245210726E-3</v>
      </c>
      <c r="I15" s="94">
        <v>2</v>
      </c>
      <c r="K15" s="38">
        <v>13</v>
      </c>
      <c r="L15" s="99">
        <v>-81.900000000000006</v>
      </c>
      <c r="N15" s="114" t="s">
        <v>186</v>
      </c>
      <c r="O15" s="124">
        <f t="shared" ref="O15:O22" si="2">IF(P15=0,0,Q15/P15)</f>
        <v>22.250000000000004</v>
      </c>
      <c r="P15" s="118">
        <v>6</v>
      </c>
      <c r="Q15" s="106">
        <v>133.50000000000003</v>
      </c>
    </row>
    <row r="16" spans="1:17" x14ac:dyDescent="0.4">
      <c r="A16" s="54" t="s">
        <v>125</v>
      </c>
      <c r="B16" s="46">
        <v>52</v>
      </c>
      <c r="C16" s="37">
        <f>IF(B$14=0,0,B16/B$14)</f>
        <v>0.30057803468208094</v>
      </c>
      <c r="E16" s="63" t="s">
        <v>79</v>
      </c>
      <c r="F16" s="60" t="s">
        <v>34</v>
      </c>
      <c r="G16" s="47">
        <v>4</v>
      </c>
      <c r="H16" s="133">
        <f>IF(B$17=0,0,G16/B$17)</f>
        <v>1.532567049808429E-2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15.997222222222222</v>
      </c>
      <c r="P16" s="119">
        <v>36</v>
      </c>
      <c r="Q16" s="107">
        <v>575.9</v>
      </c>
    </row>
    <row r="17" spans="1:17" x14ac:dyDescent="0.4">
      <c r="A17" s="54" t="s">
        <v>10</v>
      </c>
      <c r="B17" s="46">
        <f>B19+B18</f>
        <v>261</v>
      </c>
      <c r="C17" s="37">
        <f>IF(B$3=0,0,B17/B$3)</f>
        <v>0.27272727272727271</v>
      </c>
      <c r="E17" s="63" t="s">
        <v>80</v>
      </c>
      <c r="F17" s="60" t="s">
        <v>35</v>
      </c>
      <c r="G17" s="47">
        <v>5</v>
      </c>
      <c r="H17" s="133">
        <f>IF(B$17=0,0,G17/B$17)</f>
        <v>1.9157088122605363E-2</v>
      </c>
      <c r="I17" s="94">
        <v>2</v>
      </c>
      <c r="K17" s="38">
        <v>15</v>
      </c>
      <c r="L17" s="99">
        <v>47.999999999999986</v>
      </c>
      <c r="N17" s="115" t="s">
        <v>173</v>
      </c>
      <c r="O17" s="125">
        <f t="shared" si="2"/>
        <v>2.7285714285714278</v>
      </c>
      <c r="P17" s="119">
        <v>21</v>
      </c>
      <c r="Q17" s="107">
        <v>57.299999999999983</v>
      </c>
    </row>
    <row r="18" spans="1:17" x14ac:dyDescent="0.4">
      <c r="A18" s="55" t="s">
        <v>12</v>
      </c>
      <c r="B18" s="47">
        <v>110</v>
      </c>
      <c r="C18" s="39">
        <f>IF(B$17=0,0,B18/B$17)</f>
        <v>0.42145593869731801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172</v>
      </c>
      <c r="O18" s="125">
        <f t="shared" si="2"/>
        <v>0.21290322580645257</v>
      </c>
      <c r="P18" s="119">
        <v>31</v>
      </c>
      <c r="Q18" s="107">
        <v>6.6000000000000298</v>
      </c>
    </row>
    <row r="19" spans="1:17" x14ac:dyDescent="0.4">
      <c r="A19" s="55" t="s">
        <v>11</v>
      </c>
      <c r="B19" s="47">
        <v>151</v>
      </c>
      <c r="C19" s="39">
        <f>IF(B$17=0,0,B19/B$17)</f>
        <v>0.57854406130268199</v>
      </c>
      <c r="E19" s="63" t="s">
        <v>82</v>
      </c>
      <c r="F19" s="60" t="s">
        <v>37</v>
      </c>
      <c r="G19" s="47">
        <v>8</v>
      </c>
      <c r="H19" s="133">
        <f>IF(B$17=0,0,G19/B$17)</f>
        <v>3.0651340996168581E-2</v>
      </c>
      <c r="I19" s="94">
        <v>3</v>
      </c>
      <c r="K19" s="38">
        <v>17</v>
      </c>
      <c r="L19" s="99">
        <v>94.6</v>
      </c>
      <c r="N19" s="115" t="s">
        <v>171</v>
      </c>
      <c r="O19" s="125">
        <f t="shared" si="2"/>
        <v>-2.3171428571428518</v>
      </c>
      <c r="P19" s="119">
        <v>35</v>
      </c>
      <c r="Q19" s="107">
        <v>-81.09999999999981</v>
      </c>
    </row>
    <row r="20" spans="1:17" x14ac:dyDescent="0.4">
      <c r="A20" s="55" t="s">
        <v>13</v>
      </c>
      <c r="B20" s="47">
        <v>164</v>
      </c>
      <c r="C20" s="39">
        <f>IF(B$3=0,0,B20/B$3)</f>
        <v>0.17136886102403343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202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193</v>
      </c>
      <c r="B21" s="47">
        <v>6</v>
      </c>
      <c r="C21" s="135">
        <v>0</v>
      </c>
      <c r="E21" s="63" t="s">
        <v>84</v>
      </c>
      <c r="F21" s="60" t="s">
        <v>39</v>
      </c>
      <c r="G21" s="47">
        <v>10</v>
      </c>
      <c r="H21" s="133">
        <f>IF(B$17=0,0,G21/B$17)</f>
        <v>3.8314176245210725E-2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-10.631818181818183</v>
      </c>
      <c r="P21" s="119">
        <v>22</v>
      </c>
      <c r="Q21" s="107">
        <v>-233.9</v>
      </c>
    </row>
    <row r="22" spans="1:17" x14ac:dyDescent="0.4">
      <c r="A22" s="55" t="s">
        <v>194</v>
      </c>
      <c r="B22" s="47">
        <v>24</v>
      </c>
      <c r="C22" s="135">
        <v>4</v>
      </c>
      <c r="E22" s="63" t="s">
        <v>85</v>
      </c>
      <c r="F22" s="60" t="s">
        <v>40</v>
      </c>
      <c r="G22" s="47">
        <v>1</v>
      </c>
      <c r="H22" s="133">
        <f>IF(B$17=0,0,G22/B$17)</f>
        <v>3.8314176245210726E-3</v>
      </c>
      <c r="I22" s="94">
        <v>2</v>
      </c>
      <c r="K22" s="38">
        <v>20</v>
      </c>
      <c r="L22" s="99">
        <v>164.49999999999997</v>
      </c>
      <c r="N22" s="115" t="s">
        <v>127</v>
      </c>
      <c r="O22" s="125">
        <f t="shared" si="2"/>
        <v>-17.662025316455697</v>
      </c>
      <c r="P22" s="119">
        <v>79</v>
      </c>
      <c r="Q22" s="107">
        <v>-1395.3000000000002</v>
      </c>
    </row>
    <row r="23" spans="1:17" x14ac:dyDescent="0.4">
      <c r="A23" s="55" t="s">
        <v>5</v>
      </c>
      <c r="B23" s="51">
        <f>IF(B$17=0,0,C23/B$17)</f>
        <v>9297.318007662836</v>
      </c>
      <c r="C23" s="41">
        <v>2426600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-7742.6829268292686</v>
      </c>
      <c r="C24" s="45">
        <v>-1269800</v>
      </c>
      <c r="E24" s="63" t="s">
        <v>87</v>
      </c>
      <c r="F24" s="60" t="s">
        <v>42</v>
      </c>
      <c r="G24" s="47">
        <v>14</v>
      </c>
      <c r="H24" s="133">
        <f>IF(B$17=0,0,G24/B$17)</f>
        <v>5.3639846743295021E-2</v>
      </c>
      <c r="I24" s="94">
        <v>7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38">
        <v>97300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3.8314176245210726E-3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5.2246603970741903E-3</v>
      </c>
      <c r="E27" s="63" t="s">
        <v>90</v>
      </c>
      <c r="F27" s="60" t="s">
        <v>45</v>
      </c>
      <c r="G27" s="47">
        <v>26</v>
      </c>
      <c r="H27" s="133">
        <f>IF(B$17=0,0,G27/B$17)</f>
        <v>9.9616858237547887E-2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2.2988505747126436E-2</v>
      </c>
      <c r="I29" s="94">
        <v>2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3.8314176245210726E-3</v>
      </c>
      <c r="I30" s="94">
        <v>5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3.8314176245210726E-3</v>
      </c>
      <c r="I31" s="94">
        <v>3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3.8314176245210726E-3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183</v>
      </c>
      <c r="G50" s="47">
        <v>5</v>
      </c>
      <c r="H50" s="133">
        <f>IF(B$17=0,0,G50/B$17)</f>
        <v>1.9157088122605363E-2</v>
      </c>
      <c r="I50" s="94">
        <v>3</v>
      </c>
      <c r="K50" s="38">
        <v>48</v>
      </c>
      <c r="L50" s="99">
        <v>50.599999999999959</v>
      </c>
    </row>
    <row r="51" spans="5:12" x14ac:dyDescent="0.4">
      <c r="E51" s="64" t="s">
        <v>181</v>
      </c>
      <c r="F51" s="61" t="s">
        <v>182</v>
      </c>
      <c r="G51" s="49">
        <v>115</v>
      </c>
      <c r="H51" s="134">
        <f>IF(B$17=0,0,G51/B$17)</f>
        <v>0.44061302681992337</v>
      </c>
      <c r="I51" s="95">
        <v>3</v>
      </c>
      <c r="K51" s="38">
        <v>49</v>
      </c>
      <c r="L51" s="99">
        <v>-4.8000000000000398</v>
      </c>
    </row>
    <row r="52" spans="5:12" x14ac:dyDescent="0.4"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</sheetData>
  <sortState ref="E2:I11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1F3E6-FF15-4C3B-8BEC-532C8E294859}">
  <sheetPr codeName="Sheet11"/>
  <dimension ref="A1:Q7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129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69</v>
      </c>
      <c r="C2" s="147"/>
      <c r="E2" s="62" t="s">
        <v>65</v>
      </c>
      <c r="F2" s="59" t="s">
        <v>21</v>
      </c>
      <c r="G2" s="46">
        <v>77</v>
      </c>
      <c r="H2" s="132">
        <f>IF(B$17=0,0,G2/B$17)</f>
        <v>0.58778625954198471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-2057.9710144927535</v>
      </c>
      <c r="P2" s="118">
        <v>69</v>
      </c>
      <c r="Q2" s="102">
        <v>-142000</v>
      </c>
    </row>
    <row r="3" spans="1:17" x14ac:dyDescent="0.4">
      <c r="A3" s="55" t="s">
        <v>8</v>
      </c>
      <c r="B3" s="148">
        <v>572</v>
      </c>
      <c r="C3" s="149"/>
      <c r="E3" s="63" t="s">
        <v>66</v>
      </c>
      <c r="F3" s="60" t="s">
        <v>22</v>
      </c>
      <c r="G3" s="47">
        <v>10</v>
      </c>
      <c r="H3" s="133">
        <f>IF(B$17=0,0,G3/B$17)</f>
        <v>7.6335877862595422E-2</v>
      </c>
      <c r="I3" s="94">
        <v>8</v>
      </c>
      <c r="K3" s="38">
        <v>1</v>
      </c>
      <c r="L3" s="99">
        <v>-40.4</v>
      </c>
      <c r="N3" s="115" t="s">
        <v>133</v>
      </c>
      <c r="O3" s="122">
        <f t="shared" si="0"/>
        <v>-1313.4328358208954</v>
      </c>
      <c r="P3" s="119">
        <v>67</v>
      </c>
      <c r="Q3" s="103">
        <v>-88000</v>
      </c>
    </row>
    <row r="4" spans="1:17" x14ac:dyDescent="0.4">
      <c r="A4" s="55" t="s">
        <v>6</v>
      </c>
      <c r="B4" s="150">
        <v>-1115.2999999999997</v>
      </c>
      <c r="C4" s="151"/>
      <c r="E4" s="63" t="s">
        <v>67</v>
      </c>
      <c r="F4" s="60" t="s">
        <v>23</v>
      </c>
      <c r="G4" s="47">
        <v>118</v>
      </c>
      <c r="H4" s="133">
        <f>IF(B$17=0,0,G4/B$17)</f>
        <v>0.9007633587786259</v>
      </c>
      <c r="I4" s="94">
        <v>2</v>
      </c>
      <c r="K4" s="38">
        <v>2</v>
      </c>
      <c r="L4" s="99">
        <v>-3.3999999999999986</v>
      </c>
      <c r="N4" s="115" t="s">
        <v>134</v>
      </c>
      <c r="O4" s="122">
        <f t="shared" si="0"/>
        <v>-890.47619047619048</v>
      </c>
      <c r="P4" s="119">
        <v>63</v>
      </c>
      <c r="Q4" s="103">
        <v>-56100</v>
      </c>
    </row>
    <row r="5" spans="1:17" x14ac:dyDescent="0.4">
      <c r="A5" s="55" t="s">
        <v>7</v>
      </c>
      <c r="B5" s="152">
        <f>IF(B$2=0,0,B$4/B$2)</f>
        <v>-16.163768115942027</v>
      </c>
      <c r="C5" s="153"/>
      <c r="E5" s="63" t="s">
        <v>68</v>
      </c>
      <c r="F5" s="60" t="s">
        <v>24</v>
      </c>
      <c r="G5" s="47">
        <v>45</v>
      </c>
      <c r="H5" s="133">
        <f>IF(B$17=0,0,G5/B$17)</f>
        <v>0.34351145038167941</v>
      </c>
      <c r="I5" s="94">
        <v>7</v>
      </c>
      <c r="K5" s="38">
        <v>3</v>
      </c>
      <c r="L5" s="99">
        <v>-23.099999999999998</v>
      </c>
      <c r="N5" s="115" t="s">
        <v>135</v>
      </c>
      <c r="O5" s="122">
        <f t="shared" si="0"/>
        <v>-4852.727272727273</v>
      </c>
      <c r="P5" s="119">
        <v>55</v>
      </c>
      <c r="Q5" s="103">
        <v>-266900</v>
      </c>
    </row>
    <row r="6" spans="1:17" x14ac:dyDescent="0.4">
      <c r="A6" s="55" t="s">
        <v>1</v>
      </c>
      <c r="B6" s="142">
        <f>IF(B$2=0,0,(B$7*1+B$8*2+B$9*3)/B$2)</f>
        <v>2.2753623188405796</v>
      </c>
      <c r="C6" s="143"/>
      <c r="E6" s="63" t="s">
        <v>69</v>
      </c>
      <c r="F6" s="60" t="s">
        <v>12</v>
      </c>
      <c r="G6" s="47">
        <v>54</v>
      </c>
      <c r="H6" s="133">
        <f>IF(B$17=0,0,G6/B$17)</f>
        <v>0.41221374045801529</v>
      </c>
      <c r="I6" s="94">
        <v>3</v>
      </c>
      <c r="K6" s="38">
        <v>4</v>
      </c>
      <c r="L6" s="99">
        <v>-31.4</v>
      </c>
      <c r="N6" s="115" t="s">
        <v>136</v>
      </c>
      <c r="O6" s="122">
        <f t="shared" si="0"/>
        <v>-1510.204081632653</v>
      </c>
      <c r="P6" s="119">
        <v>49</v>
      </c>
      <c r="Q6" s="103">
        <v>-74000</v>
      </c>
    </row>
    <row r="7" spans="1:17" x14ac:dyDescent="0.4">
      <c r="A7" s="55" t="s">
        <v>2</v>
      </c>
      <c r="B7" s="47">
        <v>16</v>
      </c>
      <c r="C7" s="39">
        <f>IF(B$2=0,0,B7/B$2)</f>
        <v>0.2318840579710145</v>
      </c>
      <c r="E7" s="63" t="s">
        <v>70</v>
      </c>
      <c r="F7" s="60" t="s">
        <v>25</v>
      </c>
      <c r="G7" s="47">
        <v>29</v>
      </c>
      <c r="H7" s="133">
        <f>IF(B$17=0,0,G7/B$17)</f>
        <v>0.22137404580152673</v>
      </c>
      <c r="I7" s="94">
        <v>3</v>
      </c>
      <c r="K7" s="38">
        <v>5</v>
      </c>
      <c r="L7" s="99">
        <v>-32.199999999999996</v>
      </c>
      <c r="N7" s="116" t="s">
        <v>137</v>
      </c>
      <c r="O7" s="123">
        <f t="shared" si="0"/>
        <v>-2253.3333333333335</v>
      </c>
      <c r="P7" s="120">
        <v>45</v>
      </c>
      <c r="Q7" s="104">
        <v>-101400</v>
      </c>
    </row>
    <row r="8" spans="1:17" x14ac:dyDescent="0.4">
      <c r="A8" s="55" t="s">
        <v>3</v>
      </c>
      <c r="B8" s="47">
        <v>18</v>
      </c>
      <c r="C8" s="39">
        <f>IF(B$2=0,0,B8/B$2)</f>
        <v>0.2608695652173913</v>
      </c>
      <c r="E8" s="63" t="s">
        <v>71</v>
      </c>
      <c r="F8" s="60" t="s">
        <v>26</v>
      </c>
      <c r="G8" s="47">
        <v>20</v>
      </c>
      <c r="H8" s="133">
        <f>IF(B$17=0,0,G8/B$17)</f>
        <v>0.15267175572519084</v>
      </c>
      <c r="I8" s="94">
        <v>1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35</v>
      </c>
      <c r="C9" s="40">
        <f t="shared" ref="C9" si="1">IF(B$2=0,0,B9/B$2)</f>
        <v>0.50724637681159424</v>
      </c>
      <c r="E9" s="63" t="s">
        <v>72</v>
      </c>
      <c r="F9" s="60" t="s">
        <v>27</v>
      </c>
      <c r="G9" s="47">
        <v>14</v>
      </c>
      <c r="H9" s="133">
        <f>IF(B$17=0,0,G9/B$17)</f>
        <v>0.10687022900763359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12</v>
      </c>
      <c r="C10" s="40">
        <f>IF(B$2=0,0,B10/B$2)</f>
        <v>0.17391304347826086</v>
      </c>
      <c r="E10" s="63" t="s">
        <v>73</v>
      </c>
      <c r="F10" s="60" t="s">
        <v>28</v>
      </c>
      <c r="G10" s="47">
        <v>43</v>
      </c>
      <c r="H10" s="133">
        <f>IF(B$17=0,0,G10/B$17)</f>
        <v>0.3282442748091603</v>
      </c>
      <c r="I10" s="94">
        <v>12</v>
      </c>
      <c r="K10" s="38">
        <v>8</v>
      </c>
      <c r="L10" s="99">
        <v>-79.599999999999994</v>
      </c>
      <c r="N10" s="114" t="s">
        <v>164</v>
      </c>
      <c r="O10" s="124">
        <f>IF(P10=0,0,Q10/P10)</f>
        <v>-20.042857142857137</v>
      </c>
      <c r="P10" s="118">
        <v>21</v>
      </c>
      <c r="Q10" s="106">
        <v>-420.89999999999992</v>
      </c>
    </row>
    <row r="11" spans="1:17" x14ac:dyDescent="0.4">
      <c r="A11" s="56" t="s">
        <v>140</v>
      </c>
      <c r="B11" s="48">
        <v>8</v>
      </c>
      <c r="C11" s="40">
        <f>IF(B$2=0,0,B11/B$2)</f>
        <v>0.11594202898550725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-127.6</v>
      </c>
      <c r="N11" s="115" t="s">
        <v>165</v>
      </c>
      <c r="O11" s="125">
        <f>IF(P11=0,0,Q11/P11)</f>
        <v>-12.150000000000004</v>
      </c>
      <c r="P11" s="119">
        <v>30</v>
      </c>
      <c r="Q11" s="107">
        <v>-364.50000000000011</v>
      </c>
    </row>
    <row r="12" spans="1:17" x14ac:dyDescent="0.4">
      <c r="A12" s="57" t="s">
        <v>160</v>
      </c>
      <c r="B12" s="49">
        <v>5</v>
      </c>
      <c r="C12" s="42">
        <f>IF(B$2=0,0,B12/B$2)</f>
        <v>7.2463768115942032E-2</v>
      </c>
      <c r="E12" s="63" t="s">
        <v>75</v>
      </c>
      <c r="F12" s="60" t="s">
        <v>30</v>
      </c>
      <c r="G12" s="47">
        <v>2</v>
      </c>
      <c r="H12" s="133">
        <f>IF(B$17=0,0,G12/B$17)</f>
        <v>1.5267175572519083E-2</v>
      </c>
      <c r="I12" s="94">
        <v>1</v>
      </c>
      <c r="K12" s="38">
        <v>10</v>
      </c>
      <c r="L12" s="99">
        <v>-231.39999999999998</v>
      </c>
      <c r="N12" s="116" t="s">
        <v>166</v>
      </c>
      <c r="O12" s="126">
        <f>IF(P12=0,0,Q12/P12)</f>
        <v>-18.327777777777776</v>
      </c>
      <c r="P12" s="120">
        <v>18</v>
      </c>
      <c r="Q12" s="108">
        <v>-329.9</v>
      </c>
    </row>
    <row r="13" spans="1:17" x14ac:dyDescent="0.4">
      <c r="A13" s="58" t="s">
        <v>122</v>
      </c>
      <c r="B13" s="50">
        <v>156</v>
      </c>
      <c r="C13" s="44">
        <f>IF(B$3=0,0,B13/B$3)</f>
        <v>0.27272727272727271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94</v>
      </c>
      <c r="C14" s="39">
        <f>IF(B$3=0,0,B14/B$3)</f>
        <v>0.16433566433566432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80</v>
      </c>
      <c r="C15" s="37">
        <f>IF(B$13=0,0,B15/B$13)</f>
        <v>0.51282051282051277</v>
      </c>
      <c r="E15" s="63" t="s">
        <v>78</v>
      </c>
      <c r="F15" s="60" t="s">
        <v>33</v>
      </c>
      <c r="G15" s="47">
        <v>1</v>
      </c>
      <c r="H15" s="133">
        <f>IF(B$17=0,0,G15/B$17)</f>
        <v>7.6335877862595417E-3</v>
      </c>
      <c r="I15" s="94">
        <v>1</v>
      </c>
      <c r="K15" s="38">
        <v>13</v>
      </c>
      <c r="L15" s="99">
        <v>-369.1</v>
      </c>
      <c r="N15" s="114" t="s">
        <v>225</v>
      </c>
      <c r="O15" s="124">
        <f t="shared" ref="O15:O22" si="2">IF(P15=0,0,Q15/P15)</f>
        <v>62.800000000000004</v>
      </c>
      <c r="P15" s="118">
        <v>2</v>
      </c>
      <c r="Q15" s="106">
        <v>125.60000000000001</v>
      </c>
    </row>
    <row r="16" spans="1:17" x14ac:dyDescent="0.4">
      <c r="A16" s="54" t="s">
        <v>125</v>
      </c>
      <c r="B16" s="46">
        <v>21</v>
      </c>
      <c r="C16" s="37">
        <f>IF(B$14=0,0,B16/B$14)</f>
        <v>0.22340425531914893</v>
      </c>
      <c r="E16" s="63" t="s">
        <v>79</v>
      </c>
      <c r="F16" s="60" t="s">
        <v>34</v>
      </c>
      <c r="G16" s="47">
        <v>5</v>
      </c>
      <c r="H16" s="133">
        <f>IF(B$17=0,0,G16/B$17)</f>
        <v>3.8167938931297711E-2</v>
      </c>
      <c r="I16" s="94">
        <v>5</v>
      </c>
      <c r="K16" s="38">
        <v>14</v>
      </c>
      <c r="L16" s="99">
        <v>-394.6</v>
      </c>
      <c r="N16" s="115" t="s">
        <v>177</v>
      </c>
      <c r="O16" s="125">
        <f t="shared" si="2"/>
        <v>-4.4153846153846148</v>
      </c>
      <c r="P16" s="119">
        <v>13</v>
      </c>
      <c r="Q16" s="107">
        <v>-57.399999999999991</v>
      </c>
    </row>
    <row r="17" spans="1:17" x14ac:dyDescent="0.4">
      <c r="A17" s="54" t="s">
        <v>10</v>
      </c>
      <c r="B17" s="46">
        <f>B19+B18</f>
        <v>131</v>
      </c>
      <c r="C17" s="37">
        <f>IF(B$3=0,0,B17/B$3)</f>
        <v>0.22902097902097901</v>
      </c>
      <c r="E17" s="63" t="s">
        <v>80</v>
      </c>
      <c r="F17" s="60" t="s">
        <v>35</v>
      </c>
      <c r="G17" s="47">
        <v>1</v>
      </c>
      <c r="H17" s="133">
        <f>IF(B$17=0,0,G17/B$17)</f>
        <v>7.6335877862595417E-3</v>
      </c>
      <c r="I17" s="94">
        <v>9</v>
      </c>
      <c r="K17" s="38">
        <v>15</v>
      </c>
      <c r="L17" s="99">
        <v>-424.5</v>
      </c>
      <c r="N17" s="115" t="s">
        <v>128</v>
      </c>
      <c r="O17" s="125">
        <f t="shared" si="2"/>
        <v>-15.997222222222218</v>
      </c>
      <c r="P17" s="119">
        <v>36</v>
      </c>
      <c r="Q17" s="107">
        <v>-575.89999999999986</v>
      </c>
    </row>
    <row r="18" spans="1:17" x14ac:dyDescent="0.4">
      <c r="A18" s="55" t="s">
        <v>12</v>
      </c>
      <c r="B18" s="47">
        <v>62</v>
      </c>
      <c r="C18" s="39">
        <f>IF(B$17=0,0,B18/B$17)</f>
        <v>0.47328244274809161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-472</v>
      </c>
      <c r="N18" s="115" t="s">
        <v>173</v>
      </c>
      <c r="O18" s="125">
        <f t="shared" si="2"/>
        <v>-21.862499999999997</v>
      </c>
      <c r="P18" s="119">
        <v>8</v>
      </c>
      <c r="Q18" s="107">
        <v>-174.89999999999998</v>
      </c>
    </row>
    <row r="19" spans="1:17" x14ac:dyDescent="0.4">
      <c r="A19" s="55" t="s">
        <v>11</v>
      </c>
      <c r="B19" s="47">
        <v>69</v>
      </c>
      <c r="C19" s="39">
        <f>IF(B$17=0,0,B19/B$17)</f>
        <v>0.52671755725190839</v>
      </c>
      <c r="E19" s="63" t="s">
        <v>82</v>
      </c>
      <c r="F19" s="60" t="s">
        <v>37</v>
      </c>
      <c r="G19" s="47">
        <v>2</v>
      </c>
      <c r="H19" s="133">
        <f>IF(B$17=0,0,G19/B$17)</f>
        <v>1.5267175572519083E-2</v>
      </c>
      <c r="I19" s="94">
        <v>9</v>
      </c>
      <c r="K19" s="38">
        <v>17</v>
      </c>
      <c r="L19" s="99">
        <v>-538.29999999999995</v>
      </c>
      <c r="N19" s="115" t="s">
        <v>171</v>
      </c>
      <c r="O19" s="125">
        <f t="shared" si="2"/>
        <v>-26.328571428571429</v>
      </c>
      <c r="P19" s="119">
        <v>21</v>
      </c>
      <c r="Q19" s="107">
        <v>-552.9</v>
      </c>
    </row>
    <row r="20" spans="1:17" x14ac:dyDescent="0.4">
      <c r="A20" s="55" t="s">
        <v>13</v>
      </c>
      <c r="B20" s="47">
        <v>110</v>
      </c>
      <c r="C20" s="39">
        <f>IF(B$3=0,0,B20/B$3)</f>
        <v>0.19230769230769232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-537.19999999999993</v>
      </c>
      <c r="N20" s="115" t="s">
        <v>127</v>
      </c>
      <c r="O20" s="125">
        <f t="shared" si="2"/>
        <v>-31.390243902439035</v>
      </c>
      <c r="P20" s="119">
        <v>41</v>
      </c>
      <c r="Q20" s="107">
        <v>-1287.0000000000005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3.8167938931297711E-2</v>
      </c>
      <c r="I21" s="94">
        <v>10</v>
      </c>
      <c r="K21" s="38">
        <v>19</v>
      </c>
      <c r="L21" s="99">
        <v>-569.49999999999989</v>
      </c>
      <c r="N21" s="115" t="s">
        <v>172</v>
      </c>
      <c r="O21" s="125">
        <f t="shared" si="2"/>
        <v>-47.692857142857136</v>
      </c>
      <c r="P21" s="119">
        <v>14</v>
      </c>
      <c r="Q21" s="107">
        <v>-667.69999999999993</v>
      </c>
    </row>
    <row r="22" spans="1:17" x14ac:dyDescent="0.4">
      <c r="A22" s="55" t="s">
        <v>194</v>
      </c>
      <c r="B22" s="47">
        <v>31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-632.99999999999989</v>
      </c>
      <c r="N22" s="115" t="s">
        <v>186</v>
      </c>
      <c r="O22" s="125">
        <f t="shared" si="2"/>
        <v>-51.9</v>
      </c>
      <c r="P22" s="119">
        <v>3</v>
      </c>
      <c r="Q22" s="107">
        <v>-155.69999999999999</v>
      </c>
    </row>
    <row r="23" spans="1:17" x14ac:dyDescent="0.4">
      <c r="A23" s="55" t="s">
        <v>5</v>
      </c>
      <c r="B23" s="51">
        <f>IF(B$17=0,0,C23/B$17)</f>
        <v>8883.9694656488555</v>
      </c>
      <c r="C23" s="41">
        <v>1163800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-629.49999999999989</v>
      </c>
    </row>
    <row r="24" spans="1:17" x14ac:dyDescent="0.4">
      <c r="A24" s="57" t="s">
        <v>14</v>
      </c>
      <c r="B24" s="52">
        <f>IF(B$20=0,0,C24/B$20)</f>
        <v>-9505.454545454546</v>
      </c>
      <c r="C24" s="45">
        <v>-1045600</v>
      </c>
      <c r="E24" s="63" t="s">
        <v>87</v>
      </c>
      <c r="F24" s="60" t="s">
        <v>42</v>
      </c>
      <c r="G24" s="47">
        <v>9</v>
      </c>
      <c r="H24" s="133">
        <f>IF(B$17=0,0,G24/B$17)</f>
        <v>6.8702290076335881E-2</v>
      </c>
      <c r="I24" s="94">
        <v>5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7.6335877862595417E-3</v>
      </c>
      <c r="I25" s="94">
        <v>2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38">
        <v>96900</v>
      </c>
      <c r="C26" s="139"/>
      <c r="E26" s="63" t="s">
        <v>89</v>
      </c>
      <c r="F26" s="60" t="s">
        <v>44</v>
      </c>
      <c r="G26" s="47">
        <v>1</v>
      </c>
      <c r="H26" s="133">
        <f>IF(B$17=0,0,G26/B$17)</f>
        <v>7.6335877862595417E-3</v>
      </c>
      <c r="I26" s="94">
        <v>1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1</v>
      </c>
      <c r="C27" s="42">
        <f>IF(B$3=0,0,B27/B$3)</f>
        <v>1.7482517482517483E-3</v>
      </c>
      <c r="E27" s="63" t="s">
        <v>90</v>
      </c>
      <c r="F27" s="60" t="s">
        <v>45</v>
      </c>
      <c r="G27" s="47">
        <v>11</v>
      </c>
      <c r="H27" s="133">
        <f>IF(B$17=0,0,G27/B$17)</f>
        <v>8.3969465648854963E-2</v>
      </c>
      <c r="I27" s="94">
        <v>11</v>
      </c>
      <c r="K27" s="38">
        <v>25</v>
      </c>
      <c r="L27" s="99">
        <v>-783.69999999999993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-818.49999999999989</v>
      </c>
    </row>
    <row r="29" spans="1:17" x14ac:dyDescent="0.4">
      <c r="E29" s="63" t="s">
        <v>92</v>
      </c>
      <c r="F29" s="60" t="s">
        <v>47</v>
      </c>
      <c r="G29" s="47">
        <v>1</v>
      </c>
      <c r="H29" s="133">
        <f>IF(B$17=0,0,G29/B$17)</f>
        <v>7.6335877862595417E-3</v>
      </c>
      <c r="I29" s="94">
        <v>8</v>
      </c>
      <c r="K29" s="38">
        <v>27</v>
      </c>
      <c r="L29" s="99">
        <v>-876.19999999999993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-931.09999999999991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1.5267175572519083E-2</v>
      </c>
      <c r="I31" s="94">
        <v>1</v>
      </c>
      <c r="K31" s="38">
        <v>29</v>
      </c>
      <c r="L31" s="99">
        <v>-908.69999999999993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-826.8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-835.69999999999993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-838.69999999999993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-833.19999999999993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-826.89999999999986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-829.99999999999989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-699.39999999999975</v>
      </c>
    </row>
    <row r="51" spans="5:12" x14ac:dyDescent="0.4">
      <c r="E51" s="64" t="s">
        <v>181</v>
      </c>
      <c r="F51" s="61" t="s">
        <v>182</v>
      </c>
      <c r="G51" s="49">
        <v>50</v>
      </c>
      <c r="H51" s="134">
        <f>IF(B$17=0,0,G51/B$17)</f>
        <v>0.38167938931297712</v>
      </c>
      <c r="I51" s="95">
        <v>10</v>
      </c>
      <c r="K51" s="38">
        <v>49</v>
      </c>
      <c r="L51" s="99">
        <v>-715.0999999999998</v>
      </c>
    </row>
    <row r="52" spans="5:12" x14ac:dyDescent="0.4"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</sheetData>
  <sortState ref="E2:I7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4CE30F-E13F-4FFB-96FA-76FE87A50D23}">
  <sheetPr codeName="Sheet13"/>
  <dimension ref="A1:Q8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171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79</v>
      </c>
      <c r="C2" s="147"/>
      <c r="E2" s="62" t="s">
        <v>65</v>
      </c>
      <c r="F2" s="59" t="s">
        <v>21</v>
      </c>
      <c r="G2" s="46">
        <v>103</v>
      </c>
      <c r="H2" s="132">
        <f>IF(B$17=0,0,G2/B$17)</f>
        <v>0.55080213903743314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-1070.8860759493671</v>
      </c>
      <c r="P2" s="118">
        <v>79</v>
      </c>
      <c r="Q2" s="102">
        <v>-84600</v>
      </c>
    </row>
    <row r="3" spans="1:17" x14ac:dyDescent="0.4">
      <c r="A3" s="55" t="s">
        <v>8</v>
      </c>
      <c r="B3" s="148">
        <v>659</v>
      </c>
      <c r="C3" s="149"/>
      <c r="E3" s="63" t="s">
        <v>66</v>
      </c>
      <c r="F3" s="60" t="s">
        <v>22</v>
      </c>
      <c r="G3" s="47">
        <v>26</v>
      </c>
      <c r="H3" s="133">
        <f>IF(B$17=0,0,G3/B$17)</f>
        <v>0.13903743315508021</v>
      </c>
      <c r="I3" s="94">
        <v>3</v>
      </c>
      <c r="K3" s="38">
        <v>1</v>
      </c>
      <c r="L3" s="99">
        <v>-51.2</v>
      </c>
      <c r="N3" s="115" t="s">
        <v>133</v>
      </c>
      <c r="O3" s="122">
        <f t="shared" si="0"/>
        <v>1011.5384615384615</v>
      </c>
      <c r="P3" s="119">
        <v>78</v>
      </c>
      <c r="Q3" s="103">
        <v>78900</v>
      </c>
    </row>
    <row r="4" spans="1:17" x14ac:dyDescent="0.4">
      <c r="A4" s="55" t="s">
        <v>6</v>
      </c>
      <c r="B4" s="150">
        <v>118.49999999999999</v>
      </c>
      <c r="C4" s="151"/>
      <c r="E4" s="63" t="s">
        <v>67</v>
      </c>
      <c r="F4" s="60" t="s">
        <v>23</v>
      </c>
      <c r="G4" s="47">
        <v>162</v>
      </c>
      <c r="H4" s="133">
        <f>IF(B$17=0,0,G4/B$17)</f>
        <v>0.86631016042780751</v>
      </c>
      <c r="I4" s="94">
        <v>3</v>
      </c>
      <c r="K4" s="38">
        <v>2</v>
      </c>
      <c r="L4" s="99">
        <v>-93.300000000000011</v>
      </c>
      <c r="N4" s="115" t="s">
        <v>134</v>
      </c>
      <c r="O4" s="122">
        <f t="shared" si="0"/>
        <v>1584.7222222222222</v>
      </c>
      <c r="P4" s="119">
        <v>72</v>
      </c>
      <c r="Q4" s="103">
        <v>114100</v>
      </c>
    </row>
    <row r="5" spans="1:17" x14ac:dyDescent="0.4">
      <c r="A5" s="55" t="s">
        <v>7</v>
      </c>
      <c r="B5" s="152">
        <f>IF(B$2=0,0,B$4/B$2)</f>
        <v>1.4999999999999998</v>
      </c>
      <c r="C5" s="153"/>
      <c r="E5" s="63" t="s">
        <v>68</v>
      </c>
      <c r="F5" s="60" t="s">
        <v>24</v>
      </c>
      <c r="G5" s="47">
        <v>63</v>
      </c>
      <c r="H5" s="133">
        <f>IF(B$17=0,0,G5/B$17)</f>
        <v>0.33689839572192515</v>
      </c>
      <c r="I5" s="94">
        <v>7</v>
      </c>
      <c r="K5" s="38">
        <v>3</v>
      </c>
      <c r="L5" s="99">
        <v>-60.100000000000009</v>
      </c>
      <c r="N5" s="115" t="s">
        <v>135</v>
      </c>
      <c r="O5" s="122">
        <f t="shared" si="0"/>
        <v>1145.1612903225807</v>
      </c>
      <c r="P5" s="119">
        <v>62</v>
      </c>
      <c r="Q5" s="103">
        <v>71000</v>
      </c>
    </row>
    <row r="6" spans="1:17" x14ac:dyDescent="0.4">
      <c r="A6" s="55" t="s">
        <v>1</v>
      </c>
      <c r="B6" s="142">
        <f>IF(B$2=0,0,(B$7*1+B$8*2+B$9*3)/B$2)</f>
        <v>2.037974683544304</v>
      </c>
      <c r="C6" s="143"/>
      <c r="E6" s="63" t="s">
        <v>69</v>
      </c>
      <c r="F6" s="60" t="s">
        <v>12</v>
      </c>
      <c r="G6" s="47">
        <v>58</v>
      </c>
      <c r="H6" s="133">
        <f>IF(B$17=0,0,G6/B$17)</f>
        <v>0.31016042780748665</v>
      </c>
      <c r="I6" s="94">
        <v>9</v>
      </c>
      <c r="K6" s="38">
        <v>4</v>
      </c>
      <c r="L6" s="99">
        <v>-11.300000000000011</v>
      </c>
      <c r="N6" s="115" t="s">
        <v>136</v>
      </c>
      <c r="O6" s="122">
        <f t="shared" si="0"/>
        <v>-677.77777777777783</v>
      </c>
      <c r="P6" s="119">
        <v>54</v>
      </c>
      <c r="Q6" s="103">
        <v>-36600</v>
      </c>
    </row>
    <row r="7" spans="1:17" x14ac:dyDescent="0.4">
      <c r="A7" s="55" t="s">
        <v>2</v>
      </c>
      <c r="B7" s="47">
        <v>24</v>
      </c>
      <c r="C7" s="39">
        <f>IF(B$2=0,0,B7/B$2)</f>
        <v>0.30379746835443039</v>
      </c>
      <c r="E7" s="63" t="s">
        <v>70</v>
      </c>
      <c r="F7" s="60" t="s">
        <v>25</v>
      </c>
      <c r="G7" s="47">
        <v>37</v>
      </c>
      <c r="H7" s="133">
        <f>IF(B$17=0,0,G7/B$17)</f>
        <v>0.19786096256684493</v>
      </c>
      <c r="I7" s="94">
        <v>5</v>
      </c>
      <c r="K7" s="38">
        <v>5</v>
      </c>
      <c r="L7" s="99">
        <v>-36.100000000000009</v>
      </c>
      <c r="N7" s="116" t="s">
        <v>137</v>
      </c>
      <c r="O7" s="123">
        <f t="shared" si="0"/>
        <v>134</v>
      </c>
      <c r="P7" s="120">
        <v>50</v>
      </c>
      <c r="Q7" s="104">
        <v>6700</v>
      </c>
    </row>
    <row r="8" spans="1:17" x14ac:dyDescent="0.4">
      <c r="A8" s="55" t="s">
        <v>3</v>
      </c>
      <c r="B8" s="47">
        <v>28</v>
      </c>
      <c r="C8" s="39">
        <f>IF(B$2=0,0,B8/B$2)</f>
        <v>0.35443037974683544</v>
      </c>
      <c r="E8" s="63" t="s">
        <v>71</v>
      </c>
      <c r="F8" s="60" t="s">
        <v>26</v>
      </c>
      <c r="G8" s="47">
        <v>20</v>
      </c>
      <c r="H8" s="133">
        <f>IF(B$17=0,0,G8/B$17)</f>
        <v>0.10695187165775401</v>
      </c>
      <c r="I8" s="94">
        <v>5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27</v>
      </c>
      <c r="C9" s="40">
        <f t="shared" ref="C9" si="1">IF(B$2=0,0,B9/B$2)</f>
        <v>0.34177215189873417</v>
      </c>
      <c r="E9" s="63" t="s">
        <v>72</v>
      </c>
      <c r="F9" s="60" t="s">
        <v>27</v>
      </c>
      <c r="G9" s="47">
        <v>12</v>
      </c>
      <c r="H9" s="133">
        <f>IF(B$17=0,0,G9/B$17)</f>
        <v>6.4171122994652413E-2</v>
      </c>
      <c r="I9" s="94">
        <v>6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6</v>
      </c>
      <c r="C10" s="40">
        <f>IF(B$2=0,0,B10/B$2)</f>
        <v>7.5949367088607597E-2</v>
      </c>
      <c r="E10" s="63" t="s">
        <v>73</v>
      </c>
      <c r="F10" s="60" t="s">
        <v>28</v>
      </c>
      <c r="G10" s="47">
        <v>99</v>
      </c>
      <c r="H10" s="133">
        <f>IF(B$17=0,0,G10/B$17)</f>
        <v>0.52941176470588236</v>
      </c>
      <c r="I10" s="94">
        <v>6</v>
      </c>
      <c r="K10" s="38">
        <v>8</v>
      </c>
      <c r="L10" s="99">
        <v>-1.7000000000000028</v>
      </c>
      <c r="N10" s="114" t="s">
        <v>164</v>
      </c>
      <c r="O10" s="124">
        <f>IF(P10=0,0,Q10/P10)</f>
        <v>4.68</v>
      </c>
      <c r="P10" s="118">
        <v>20</v>
      </c>
      <c r="Q10" s="106">
        <v>93.6</v>
      </c>
    </row>
    <row r="11" spans="1:17" x14ac:dyDescent="0.4">
      <c r="A11" s="56" t="s">
        <v>140</v>
      </c>
      <c r="B11" s="48">
        <v>10</v>
      </c>
      <c r="C11" s="40">
        <f>IF(B$2=0,0,B11/B$2)</f>
        <v>0.12658227848101267</v>
      </c>
      <c r="E11" s="63" t="s">
        <v>74</v>
      </c>
      <c r="F11" s="60" t="s">
        <v>29</v>
      </c>
      <c r="G11" s="47">
        <v>1</v>
      </c>
      <c r="H11" s="133">
        <f>IF(B$17=0,0,G11/B$17)</f>
        <v>5.3475935828877002E-3</v>
      </c>
      <c r="I11" s="94">
        <v>6</v>
      </c>
      <c r="K11" s="38">
        <v>9</v>
      </c>
      <c r="L11" s="99">
        <v>-5.8000000000000025</v>
      </c>
      <c r="N11" s="115" t="s">
        <v>165</v>
      </c>
      <c r="O11" s="125">
        <f>IF(P11=0,0,Q11/P11)</f>
        <v>-4.1161290322580628</v>
      </c>
      <c r="P11" s="119">
        <v>31</v>
      </c>
      <c r="Q11" s="107">
        <v>-127.59999999999995</v>
      </c>
    </row>
    <row r="12" spans="1:17" x14ac:dyDescent="0.4">
      <c r="A12" s="57" t="s">
        <v>160</v>
      </c>
      <c r="B12" s="49">
        <v>6</v>
      </c>
      <c r="C12" s="42">
        <f>IF(B$2=0,0,B12/B$2)</f>
        <v>7.5949367088607597E-2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-56.500000000000007</v>
      </c>
      <c r="N12" s="116" t="s">
        <v>166</v>
      </c>
      <c r="O12" s="126">
        <f>IF(P12=0,0,Q12/P12)</f>
        <v>5.4464285714285712</v>
      </c>
      <c r="P12" s="120">
        <v>28</v>
      </c>
      <c r="Q12" s="108">
        <v>152.5</v>
      </c>
    </row>
    <row r="13" spans="1:17" x14ac:dyDescent="0.4">
      <c r="A13" s="58" t="s">
        <v>122</v>
      </c>
      <c r="B13" s="50">
        <v>191</v>
      </c>
      <c r="C13" s="44">
        <f>IF(B$3=0,0,B13/B$3)</f>
        <v>0.2898330804248862</v>
      </c>
      <c r="E13" s="63" t="s">
        <v>76</v>
      </c>
      <c r="F13" s="60" t="s">
        <v>31</v>
      </c>
      <c r="G13" s="47">
        <v>3</v>
      </c>
      <c r="H13" s="133">
        <f>IF(B$17=0,0,G13/B$17)</f>
        <v>1.6042780748663103E-2</v>
      </c>
      <c r="I13" s="94">
        <v>2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128</v>
      </c>
      <c r="C14" s="39">
        <f>IF(B$3=0,0,B14/B$3)</f>
        <v>0.19423368740515934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110</v>
      </c>
      <c r="C15" s="37">
        <f>IF(B$13=0,0,B15/B$13)</f>
        <v>0.5759162303664922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-58.7</v>
      </c>
      <c r="N15" s="114" t="s">
        <v>129</v>
      </c>
      <c r="O15" s="124">
        <f t="shared" ref="O15:O23" si="2">IF(P15=0,0,Q15/P15)</f>
        <v>26.328571428571422</v>
      </c>
      <c r="P15" s="118">
        <v>21</v>
      </c>
      <c r="Q15" s="106">
        <v>552.89999999999986</v>
      </c>
    </row>
    <row r="16" spans="1:17" x14ac:dyDescent="0.4">
      <c r="A16" s="54" t="s">
        <v>125</v>
      </c>
      <c r="B16" s="46">
        <v>52</v>
      </c>
      <c r="C16" s="37">
        <f>IF(B$14=0,0,B16/B$14)</f>
        <v>0.40625</v>
      </c>
      <c r="E16" s="63" t="s">
        <v>79</v>
      </c>
      <c r="F16" s="60" t="s">
        <v>34</v>
      </c>
      <c r="G16" s="47">
        <v>9</v>
      </c>
      <c r="H16" s="133">
        <f>IF(B$17=0,0,G16/B$17)</f>
        <v>4.8128342245989303E-2</v>
      </c>
      <c r="I16" s="94">
        <v>3</v>
      </c>
      <c r="K16" s="38">
        <v>14</v>
      </c>
      <c r="L16" s="99">
        <v>-29.400000000000002</v>
      </c>
      <c r="N16" s="115" t="s">
        <v>186</v>
      </c>
      <c r="O16" s="125">
        <f t="shared" si="2"/>
        <v>25.400000000000002</v>
      </c>
      <c r="P16" s="119">
        <v>2</v>
      </c>
      <c r="Q16" s="107">
        <v>50.800000000000004</v>
      </c>
    </row>
    <row r="17" spans="1:17" x14ac:dyDescent="0.4">
      <c r="A17" s="54" t="s">
        <v>10</v>
      </c>
      <c r="B17" s="46">
        <f>B19+B18</f>
        <v>187</v>
      </c>
      <c r="C17" s="37">
        <f>IF(B$3=0,0,B17/B$3)</f>
        <v>0.28376327769347498</v>
      </c>
      <c r="E17" s="63" t="s">
        <v>80</v>
      </c>
      <c r="F17" s="60" t="s">
        <v>35</v>
      </c>
      <c r="G17" s="47">
        <v>3</v>
      </c>
      <c r="H17" s="133">
        <f>IF(B$17=0,0,G17/B$17)</f>
        <v>1.6042780748663103E-2</v>
      </c>
      <c r="I17" s="94">
        <v>6</v>
      </c>
      <c r="K17" s="38">
        <v>15</v>
      </c>
      <c r="L17" s="99">
        <v>-26.3</v>
      </c>
      <c r="N17" s="115" t="s">
        <v>173</v>
      </c>
      <c r="O17" s="125">
        <f t="shared" si="2"/>
        <v>11.647058823529409</v>
      </c>
      <c r="P17" s="119">
        <v>17</v>
      </c>
      <c r="Q17" s="107">
        <v>197.99999999999997</v>
      </c>
    </row>
    <row r="18" spans="1:17" x14ac:dyDescent="0.4">
      <c r="A18" s="55" t="s">
        <v>12</v>
      </c>
      <c r="B18" s="47">
        <v>79</v>
      </c>
      <c r="C18" s="39">
        <f>IF(B$17=0,0,B18/B$17)</f>
        <v>0.42245989304812837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-50.3</v>
      </c>
      <c r="N18" s="115" t="s">
        <v>128</v>
      </c>
      <c r="O18" s="125">
        <f t="shared" si="2"/>
        <v>2.3171428571428523</v>
      </c>
      <c r="P18" s="119">
        <v>35</v>
      </c>
      <c r="Q18" s="107">
        <v>81.099999999999824</v>
      </c>
    </row>
    <row r="19" spans="1:17" x14ac:dyDescent="0.4">
      <c r="A19" s="55" t="s">
        <v>11</v>
      </c>
      <c r="B19" s="47">
        <v>108</v>
      </c>
      <c r="C19" s="39">
        <f>IF(B$17=0,0,B19/B$17)</f>
        <v>0.57754010695187163</v>
      </c>
      <c r="E19" s="63" t="s">
        <v>82</v>
      </c>
      <c r="F19" s="60" t="s">
        <v>37</v>
      </c>
      <c r="G19" s="47">
        <v>7</v>
      </c>
      <c r="H19" s="133">
        <f>IF(B$17=0,0,G19/B$17)</f>
        <v>3.7433155080213901E-2</v>
      </c>
      <c r="I19" s="94">
        <v>2</v>
      </c>
      <c r="K19" s="38">
        <v>17</v>
      </c>
      <c r="L19" s="99">
        <v>-74.3</v>
      </c>
      <c r="N19" s="115" t="s">
        <v>172</v>
      </c>
      <c r="O19" s="125">
        <f t="shared" si="2"/>
        <v>1.1473684210526311</v>
      </c>
      <c r="P19" s="119">
        <v>19</v>
      </c>
      <c r="Q19" s="107">
        <v>21.799999999999994</v>
      </c>
    </row>
    <row r="20" spans="1:17" x14ac:dyDescent="0.4">
      <c r="A20" s="55" t="s">
        <v>13</v>
      </c>
      <c r="B20" s="47">
        <v>117</v>
      </c>
      <c r="C20" s="39">
        <f>IF(B$3=0,0,B20/B$3)</f>
        <v>0.17754172989377845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-76.099999999999994</v>
      </c>
      <c r="N20" s="115" t="s">
        <v>127</v>
      </c>
      <c r="O20" s="125">
        <f t="shared" si="2"/>
        <v>2.5531914893621391E-2</v>
      </c>
      <c r="P20" s="119">
        <v>47</v>
      </c>
      <c r="Q20" s="107">
        <v>1.2000000000002053</v>
      </c>
    </row>
    <row r="21" spans="1:17" x14ac:dyDescent="0.4">
      <c r="A21" s="55" t="s">
        <v>193</v>
      </c>
      <c r="B21" s="47">
        <v>6</v>
      </c>
      <c r="C21" s="135">
        <v>2</v>
      </c>
      <c r="E21" s="63" t="s">
        <v>84</v>
      </c>
      <c r="F21" s="60" t="s">
        <v>39</v>
      </c>
      <c r="G21" s="47">
        <v>8</v>
      </c>
      <c r="H21" s="133">
        <f>IF(B$17=0,0,G21/B$17)</f>
        <v>4.2780748663101602E-2</v>
      </c>
      <c r="I21" s="94">
        <v>7</v>
      </c>
      <c r="K21" s="38">
        <v>19</v>
      </c>
      <c r="L21" s="99">
        <v>0.60000000000000853</v>
      </c>
      <c r="N21" s="115" t="s">
        <v>202</v>
      </c>
      <c r="O21" s="125">
        <f t="shared" si="2"/>
        <v>-8.9999999999999947</v>
      </c>
      <c r="P21" s="119">
        <v>3</v>
      </c>
      <c r="Q21" s="107">
        <v>-26.999999999999986</v>
      </c>
    </row>
    <row r="22" spans="1:17" x14ac:dyDescent="0.4">
      <c r="A22" s="55" t="s">
        <v>194</v>
      </c>
      <c r="B22" s="47">
        <v>20</v>
      </c>
      <c r="C22" s="135">
        <v>4</v>
      </c>
      <c r="E22" s="63" t="s">
        <v>85</v>
      </c>
      <c r="F22" s="60" t="s">
        <v>40</v>
      </c>
      <c r="G22" s="47">
        <v>2</v>
      </c>
      <c r="H22" s="133">
        <f>IF(B$17=0,0,G22/B$17)</f>
        <v>1.06951871657754E-2</v>
      </c>
      <c r="I22" s="94">
        <v>1</v>
      </c>
      <c r="K22" s="38">
        <v>20</v>
      </c>
      <c r="L22" s="99">
        <v>-3.5999999999999917</v>
      </c>
      <c r="N22" s="115" t="s">
        <v>177</v>
      </c>
      <c r="O22" s="125">
        <f t="shared" si="2"/>
        <v>-34.907692307692308</v>
      </c>
      <c r="P22" s="119">
        <v>13</v>
      </c>
      <c r="Q22" s="107">
        <v>-453.8</v>
      </c>
    </row>
    <row r="23" spans="1:17" x14ac:dyDescent="0.4">
      <c r="A23" s="55" t="s">
        <v>5</v>
      </c>
      <c r="B23" s="51">
        <f>IF(B$17=0,0,C23/B$17)</f>
        <v>9977.5401069518721</v>
      </c>
      <c r="C23" s="41">
        <v>1865800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-3.0999999999999917</v>
      </c>
      <c r="N23" s="115" t="s">
        <v>224</v>
      </c>
      <c r="O23" s="125">
        <f t="shared" si="2"/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-8087.1794871794873</v>
      </c>
      <c r="C24" s="45">
        <v>-946200</v>
      </c>
      <c r="E24" s="63" t="s">
        <v>87</v>
      </c>
      <c r="F24" s="60" t="s">
        <v>42</v>
      </c>
      <c r="G24" s="47">
        <v>13</v>
      </c>
      <c r="H24" s="133">
        <f>IF(B$17=0,0,G24/B$17)</f>
        <v>6.9518716577540107E-2</v>
      </c>
      <c r="I24" s="94">
        <v>4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5.3475935828877002E-3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38">
        <v>91700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1</v>
      </c>
      <c r="C27" s="42">
        <f>IF(B$3=0,0,B27/B$3)</f>
        <v>1.5174506828528073E-3</v>
      </c>
      <c r="E27" s="63" t="s">
        <v>90</v>
      </c>
      <c r="F27" s="60" t="s">
        <v>45</v>
      </c>
      <c r="G27" s="47">
        <v>30</v>
      </c>
      <c r="H27" s="133">
        <f>IF(B$17=0,0,G27/B$17)</f>
        <v>0.16042780748663102</v>
      </c>
      <c r="I27" s="94">
        <v>4</v>
      </c>
      <c r="K27" s="38">
        <v>25</v>
      </c>
      <c r="L27" s="99">
        <v>-39.999999999999986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-71.099999999999994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2.1390374331550801E-2</v>
      </c>
      <c r="I29" s="94">
        <v>3</v>
      </c>
      <c r="K29" s="38">
        <v>27</v>
      </c>
      <c r="L29" s="99">
        <v>-66.199999999999989</v>
      </c>
    </row>
    <row r="30" spans="1:17" x14ac:dyDescent="0.4">
      <c r="E30" s="63" t="s">
        <v>93</v>
      </c>
      <c r="F30" s="60" t="s">
        <v>48</v>
      </c>
      <c r="G30" s="47">
        <v>2</v>
      </c>
      <c r="H30" s="133">
        <f>IF(B$17=0,0,G30/B$17)</f>
        <v>1.06951871657754E-2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5.3475935828877002E-3</v>
      </c>
      <c r="I31" s="94">
        <v>2</v>
      </c>
      <c r="K31" s="38">
        <v>29</v>
      </c>
      <c r="L31" s="99">
        <v>-121.79999999999998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-156.19999999999999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-91.899999999999991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-108.9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-88.4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-64.099999999999994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-71.3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180</v>
      </c>
      <c r="F50" s="60" t="s">
        <v>183</v>
      </c>
      <c r="G50" s="47">
        <v>4</v>
      </c>
      <c r="H50" s="133">
        <f>IF(B$17=0,0,G50/B$17)</f>
        <v>2.1390374331550801E-2</v>
      </c>
      <c r="I50" s="94">
        <v>2</v>
      </c>
      <c r="K50" s="38">
        <v>48</v>
      </c>
      <c r="L50" s="99">
        <v>-33.800000000000004</v>
      </c>
    </row>
    <row r="51" spans="5:12" x14ac:dyDescent="0.4">
      <c r="E51" s="64" t="s">
        <v>181</v>
      </c>
      <c r="F51" s="61" t="s">
        <v>182</v>
      </c>
      <c r="G51" s="49">
        <v>75</v>
      </c>
      <c r="H51" s="134">
        <f>IF(B$17=0,0,G51/B$17)</f>
        <v>0.40106951871657753</v>
      </c>
      <c r="I51" s="95">
        <v>7</v>
      </c>
      <c r="K51" s="38">
        <v>49</v>
      </c>
      <c r="L51" s="99">
        <v>-23.100000000000005</v>
      </c>
    </row>
    <row r="52" spans="5:12" x14ac:dyDescent="0.4"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</sheetData>
  <sortState ref="E2:I8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BD0BA-E07C-42E4-9AFB-CB7ED8CD5116}">
  <sheetPr codeName="Sheet15"/>
  <dimension ref="A1:Q6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64</v>
      </c>
      <c r="C2" s="147"/>
      <c r="E2" s="62" t="s">
        <v>65</v>
      </c>
      <c r="F2" s="59" t="s">
        <v>21</v>
      </c>
      <c r="G2" s="46">
        <v>69</v>
      </c>
      <c r="H2" s="132">
        <f>IF(B$17=0,0,G2/B$17)</f>
        <v>0.34673366834170855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1096.875</v>
      </c>
      <c r="P2" s="118">
        <v>64</v>
      </c>
      <c r="Q2" s="102">
        <v>70200</v>
      </c>
    </row>
    <row r="3" spans="1:17" x14ac:dyDescent="0.4">
      <c r="A3" s="55" t="s">
        <v>8</v>
      </c>
      <c r="B3" s="148">
        <v>556</v>
      </c>
      <c r="C3" s="149"/>
      <c r="E3" s="63" t="s">
        <v>66</v>
      </c>
      <c r="F3" s="60" t="s">
        <v>22</v>
      </c>
      <c r="G3" s="47">
        <v>24</v>
      </c>
      <c r="H3" s="133">
        <f>IF(B$17=0,0,G3/B$17)</f>
        <v>0.12060301507537688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-490.625</v>
      </c>
      <c r="P3" s="119">
        <v>64</v>
      </c>
      <c r="Q3" s="103">
        <v>-31400</v>
      </c>
    </row>
    <row r="4" spans="1:17" x14ac:dyDescent="0.4">
      <c r="A4" s="55" t="s">
        <v>6</v>
      </c>
      <c r="B4" s="150">
        <v>45.899999999999977</v>
      </c>
      <c r="C4" s="151"/>
      <c r="E4" s="63" t="s">
        <v>67</v>
      </c>
      <c r="F4" s="60" t="s">
        <v>23</v>
      </c>
      <c r="G4" s="47">
        <v>132</v>
      </c>
      <c r="H4" s="133">
        <f>IF(B$17=0,0,G4/B$17)</f>
        <v>0.66331658291457285</v>
      </c>
      <c r="I4" s="94">
        <v>10</v>
      </c>
      <c r="K4" s="38">
        <v>2</v>
      </c>
      <c r="L4" s="99">
        <v>-7.7000000000000011</v>
      </c>
      <c r="N4" s="115" t="s">
        <v>134</v>
      </c>
      <c r="O4" s="122">
        <f t="shared" si="0"/>
        <v>-1405.2631578947369</v>
      </c>
      <c r="P4" s="119">
        <v>57</v>
      </c>
      <c r="Q4" s="103">
        <v>-80100</v>
      </c>
    </row>
    <row r="5" spans="1:17" x14ac:dyDescent="0.4">
      <c r="A5" s="55" t="s">
        <v>7</v>
      </c>
      <c r="B5" s="152">
        <f>IF(B$2=0,0,B$4/B$2)</f>
        <v>0.71718749999999964</v>
      </c>
      <c r="C5" s="153"/>
      <c r="E5" s="63" t="s">
        <v>68</v>
      </c>
      <c r="F5" s="60" t="s">
        <v>24</v>
      </c>
      <c r="G5" s="47">
        <v>33</v>
      </c>
      <c r="H5" s="133">
        <f>IF(B$17=0,0,G5/B$17)</f>
        <v>0.16582914572864321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450</v>
      </c>
      <c r="P5" s="119">
        <v>54</v>
      </c>
      <c r="Q5" s="103">
        <v>24300</v>
      </c>
    </row>
    <row r="6" spans="1:17" x14ac:dyDescent="0.4">
      <c r="A6" s="55" t="s">
        <v>1</v>
      </c>
      <c r="B6" s="142">
        <f>IF(B$2=0,0,(B$7*1+B$8*2+B$9*3)/B$2)</f>
        <v>2.015625</v>
      </c>
      <c r="C6" s="143"/>
      <c r="E6" s="63" t="s">
        <v>69</v>
      </c>
      <c r="F6" s="60" t="s">
        <v>12</v>
      </c>
      <c r="G6" s="47">
        <v>52</v>
      </c>
      <c r="H6" s="133">
        <f>IF(B$17=0,0,G6/B$17)</f>
        <v>0.2613065326633166</v>
      </c>
      <c r="I6" s="94">
        <v>11</v>
      </c>
      <c r="K6" s="38">
        <v>4</v>
      </c>
      <c r="L6" s="99">
        <v>34.9</v>
      </c>
      <c r="N6" s="115" t="s">
        <v>136</v>
      </c>
      <c r="O6" s="122">
        <f t="shared" si="0"/>
        <v>709.61538461538464</v>
      </c>
      <c r="P6" s="119">
        <v>52</v>
      </c>
      <c r="Q6" s="103">
        <v>36900</v>
      </c>
    </row>
    <row r="7" spans="1:17" x14ac:dyDescent="0.4">
      <c r="A7" s="55" t="s">
        <v>2</v>
      </c>
      <c r="B7" s="47">
        <v>18</v>
      </c>
      <c r="C7" s="39">
        <f>IF(B$2=0,0,B7/B$2)</f>
        <v>0.28125</v>
      </c>
      <c r="E7" s="63" t="s">
        <v>70</v>
      </c>
      <c r="F7" s="60" t="s">
        <v>25</v>
      </c>
      <c r="G7" s="47">
        <v>30</v>
      </c>
      <c r="H7" s="133">
        <f>IF(B$17=0,0,G7/B$17)</f>
        <v>0.15075376884422109</v>
      </c>
      <c r="I7" s="94">
        <v>10</v>
      </c>
      <c r="K7" s="38">
        <v>5</v>
      </c>
      <c r="L7" s="99">
        <v>29.4</v>
      </c>
      <c r="N7" s="116" t="s">
        <v>137</v>
      </c>
      <c r="O7" s="123">
        <f t="shared" si="0"/>
        <v>-135.55555555555554</v>
      </c>
      <c r="P7" s="120">
        <v>45</v>
      </c>
      <c r="Q7" s="104">
        <v>-6100</v>
      </c>
    </row>
    <row r="8" spans="1:17" x14ac:dyDescent="0.4">
      <c r="A8" s="55" t="s">
        <v>3</v>
      </c>
      <c r="B8" s="47">
        <v>27</v>
      </c>
      <c r="C8" s="39">
        <f>IF(B$2=0,0,B8/B$2)</f>
        <v>0.421875</v>
      </c>
      <c r="E8" s="63" t="s">
        <v>71</v>
      </c>
      <c r="F8" s="60" t="s">
        <v>26</v>
      </c>
      <c r="G8" s="47">
        <v>12</v>
      </c>
      <c r="H8" s="133">
        <f>IF(B$17=0,0,G8/B$17)</f>
        <v>6.030150753768844E-2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0.296875</v>
      </c>
      <c r="E9" s="63" t="s">
        <v>72</v>
      </c>
      <c r="F9" s="60" t="s">
        <v>27</v>
      </c>
      <c r="G9" s="47">
        <v>16</v>
      </c>
      <c r="H9" s="133">
        <f>IF(B$17=0,0,G9/B$17)</f>
        <v>8.0402010050251257E-2</v>
      </c>
      <c r="I9" s="94">
        <v>3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3</v>
      </c>
      <c r="C10" s="40">
        <f>IF(B$2=0,0,B10/B$2)</f>
        <v>4.6875E-2</v>
      </c>
      <c r="E10" s="63" t="s">
        <v>73</v>
      </c>
      <c r="F10" s="60" t="s">
        <v>28</v>
      </c>
      <c r="G10" s="47">
        <v>113</v>
      </c>
      <c r="H10" s="133">
        <f>IF(B$17=0,0,G10/B$17)</f>
        <v>0.56783919597989951</v>
      </c>
      <c r="I10" s="94">
        <v>6</v>
      </c>
      <c r="K10" s="38">
        <v>8</v>
      </c>
      <c r="L10" s="99">
        <v>-29.5</v>
      </c>
      <c r="N10" s="114" t="s">
        <v>164</v>
      </c>
      <c r="O10" s="124">
        <f>IF(P10=0,0,Q10/P10)</f>
        <v>-7.6722222222222252</v>
      </c>
      <c r="P10" s="118">
        <v>18</v>
      </c>
      <c r="Q10" s="106">
        <v>-138.10000000000005</v>
      </c>
    </row>
    <row r="11" spans="1:17" x14ac:dyDescent="0.4">
      <c r="A11" s="56" t="s">
        <v>140</v>
      </c>
      <c r="B11" s="48">
        <v>7</v>
      </c>
      <c r="C11" s="40">
        <f>IF(B$2=0,0,B11/B$2)</f>
        <v>0.109375</v>
      </c>
      <c r="E11" s="63" t="s">
        <v>74</v>
      </c>
      <c r="F11" s="60" t="s">
        <v>29</v>
      </c>
      <c r="G11" s="47">
        <v>1</v>
      </c>
      <c r="H11" s="133">
        <f>IF(B$17=0,0,G11/B$17)</f>
        <v>5.0251256281407036E-3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6.4523809523809526</v>
      </c>
      <c r="P11" s="119">
        <v>21</v>
      </c>
      <c r="Q11" s="107">
        <v>135.5</v>
      </c>
    </row>
    <row r="12" spans="1:17" x14ac:dyDescent="0.4">
      <c r="A12" s="57" t="s">
        <v>160</v>
      </c>
      <c r="B12" s="49">
        <v>5</v>
      </c>
      <c r="C12" s="42">
        <f>IF(B$2=0,0,B12/B$2)</f>
        <v>7.8125E-2</v>
      </c>
      <c r="E12" s="63" t="s">
        <v>75</v>
      </c>
      <c r="F12" s="60" t="s">
        <v>30</v>
      </c>
      <c r="G12" s="47">
        <v>1</v>
      </c>
      <c r="H12" s="133">
        <f>IF(B$17=0,0,G12/B$17)</f>
        <v>5.0251256281407036E-3</v>
      </c>
      <c r="I12" s="94">
        <v>4</v>
      </c>
      <c r="K12" s="38">
        <v>10</v>
      </c>
      <c r="L12" s="99">
        <v>24.200000000000003</v>
      </c>
      <c r="N12" s="116" t="s">
        <v>166</v>
      </c>
      <c r="O12" s="126">
        <f>IF(P12=0,0,Q12/P12)</f>
        <v>1.94</v>
      </c>
      <c r="P12" s="120">
        <v>25</v>
      </c>
      <c r="Q12" s="108">
        <v>48.5</v>
      </c>
    </row>
    <row r="13" spans="1:17" x14ac:dyDescent="0.4">
      <c r="A13" s="58" t="s">
        <v>122</v>
      </c>
      <c r="B13" s="50">
        <v>122</v>
      </c>
      <c r="C13" s="44">
        <f>IF(B$3=0,0,B13/B$3)</f>
        <v>0.21942446043165467</v>
      </c>
      <c r="E13" s="63" t="s">
        <v>76</v>
      </c>
      <c r="F13" s="60" t="s">
        <v>31</v>
      </c>
      <c r="G13" s="47">
        <v>1</v>
      </c>
      <c r="H13" s="133">
        <f>IF(B$17=0,0,G13/B$17)</f>
        <v>5.0251256281407036E-3</v>
      </c>
      <c r="I13" s="94">
        <v>6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162</v>
      </c>
      <c r="C14" s="39">
        <f>IF(B$3=0,0,B14/B$3)</f>
        <v>0.29136690647482016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69</v>
      </c>
      <c r="C15" s="37">
        <f>IF(B$13=0,0,B15/B$13)</f>
        <v>0.56557377049180324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</v>
      </c>
      <c r="N15" s="114" t="s">
        <v>129</v>
      </c>
      <c r="O15" s="124">
        <f t="shared" ref="O15:O23" si="2">IF(P15=0,0,Q15/P15)</f>
        <v>47.692857142857129</v>
      </c>
      <c r="P15" s="118">
        <v>14</v>
      </c>
      <c r="Q15" s="106">
        <v>667.69999999999982</v>
      </c>
    </row>
    <row r="16" spans="1:17" x14ac:dyDescent="0.4">
      <c r="A16" s="54" t="s">
        <v>125</v>
      </c>
      <c r="B16" s="46">
        <v>71</v>
      </c>
      <c r="C16" s="37">
        <f>IF(B$14=0,0,B16/B$14)</f>
        <v>0.43827160493827161</v>
      </c>
      <c r="E16" s="63" t="s">
        <v>79</v>
      </c>
      <c r="F16" s="60" t="s">
        <v>34</v>
      </c>
      <c r="G16" s="47">
        <v>2</v>
      </c>
      <c r="H16" s="133">
        <f>IF(B$17=0,0,G16/B$17)</f>
        <v>1.0050251256281407E-2</v>
      </c>
      <c r="I16" s="94">
        <v>10</v>
      </c>
      <c r="K16" s="38">
        <v>14</v>
      </c>
      <c r="L16" s="99">
        <v>-12.3</v>
      </c>
      <c r="N16" s="115" t="s">
        <v>225</v>
      </c>
      <c r="O16" s="125">
        <f t="shared" si="2"/>
        <v>30.3</v>
      </c>
      <c r="P16" s="119">
        <v>1</v>
      </c>
      <c r="Q16" s="107">
        <v>30.3</v>
      </c>
    </row>
    <row r="17" spans="1:17" x14ac:dyDescent="0.4">
      <c r="A17" s="54" t="s">
        <v>10</v>
      </c>
      <c r="B17" s="46">
        <f>B19+B18</f>
        <v>199</v>
      </c>
      <c r="C17" s="37">
        <f>IF(B$3=0,0,B17/B$3)</f>
        <v>0.3579136690647482</v>
      </c>
      <c r="E17" s="63" t="s">
        <v>80</v>
      </c>
      <c r="F17" s="60" t="s">
        <v>35</v>
      </c>
      <c r="G17" s="47">
        <v>3</v>
      </c>
      <c r="H17" s="133">
        <f>IF(B$17=0,0,G17/B$17)</f>
        <v>1.507537688442211E-2</v>
      </c>
      <c r="I17" s="94">
        <v>7</v>
      </c>
      <c r="K17" s="38">
        <v>15</v>
      </c>
      <c r="L17" s="99">
        <v>-80.3</v>
      </c>
      <c r="N17" s="115" t="s">
        <v>186</v>
      </c>
      <c r="O17" s="125">
        <f t="shared" si="2"/>
        <v>17.349999999999998</v>
      </c>
      <c r="P17" s="119">
        <v>2</v>
      </c>
      <c r="Q17" s="107">
        <v>34.699999999999996</v>
      </c>
    </row>
    <row r="18" spans="1:17" x14ac:dyDescent="0.4">
      <c r="A18" s="55" t="s">
        <v>12</v>
      </c>
      <c r="B18" s="47">
        <v>84</v>
      </c>
      <c r="C18" s="39">
        <f>IF(B$17=0,0,B18/B$17)</f>
        <v>0.42211055276381909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202</v>
      </c>
      <c r="O18" s="125">
        <f t="shared" si="2"/>
        <v>16.449999999999996</v>
      </c>
      <c r="P18" s="119">
        <v>4</v>
      </c>
      <c r="Q18" s="107">
        <v>65.799999999999983</v>
      </c>
    </row>
    <row r="19" spans="1:17" x14ac:dyDescent="0.4">
      <c r="A19" s="55" t="s">
        <v>11</v>
      </c>
      <c r="B19" s="47">
        <v>115</v>
      </c>
      <c r="C19" s="39">
        <f>IF(B$17=0,0,B19/B$17)</f>
        <v>0.57788944723618085</v>
      </c>
      <c r="E19" s="63" t="s">
        <v>82</v>
      </c>
      <c r="F19" s="60" t="s">
        <v>37</v>
      </c>
      <c r="G19" s="47">
        <v>6</v>
      </c>
      <c r="H19" s="133">
        <f>IF(B$17=0,0,G19/B$17)</f>
        <v>3.015075376884422E-2</v>
      </c>
      <c r="I19" s="94">
        <v>5</v>
      </c>
      <c r="K19" s="38">
        <v>17</v>
      </c>
      <c r="L19" s="99">
        <v>-55.099999999999994</v>
      </c>
      <c r="N19" s="115" t="s">
        <v>177</v>
      </c>
      <c r="O19" s="125">
        <f t="shared" si="2"/>
        <v>9.8454545454545457</v>
      </c>
      <c r="P19" s="119">
        <v>11</v>
      </c>
      <c r="Q19" s="107">
        <v>108.3</v>
      </c>
    </row>
    <row r="20" spans="1:17" x14ac:dyDescent="0.4">
      <c r="A20" s="55" t="s">
        <v>13</v>
      </c>
      <c r="B20" s="47">
        <v>72</v>
      </c>
      <c r="C20" s="39">
        <f>IF(B$3=0,0,B20/B$3)</f>
        <v>0.12949640287769784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173</v>
      </c>
      <c r="O20" s="125">
        <f t="shared" si="2"/>
        <v>6.6333333333333302</v>
      </c>
      <c r="P20" s="119">
        <v>12</v>
      </c>
      <c r="Q20" s="107">
        <v>79.599999999999966</v>
      </c>
    </row>
    <row r="21" spans="1:17" x14ac:dyDescent="0.4">
      <c r="A21" s="55" t="s">
        <v>193</v>
      </c>
      <c r="B21" s="47">
        <v>10</v>
      </c>
      <c r="C21" s="135">
        <v>0</v>
      </c>
      <c r="E21" s="63" t="s">
        <v>84</v>
      </c>
      <c r="F21" s="60" t="s">
        <v>39</v>
      </c>
      <c r="G21" s="47">
        <v>12</v>
      </c>
      <c r="H21" s="133">
        <f>IF(B$17=0,0,G21/B$17)</f>
        <v>6.030150753768844E-2</v>
      </c>
      <c r="I21" s="94">
        <v>3</v>
      </c>
      <c r="K21" s="38">
        <v>19</v>
      </c>
      <c r="L21" s="99">
        <v>29.200000000000003</v>
      </c>
      <c r="N21" s="115" t="s">
        <v>128</v>
      </c>
      <c r="O21" s="125">
        <f t="shared" si="2"/>
        <v>-0.21290322580645182</v>
      </c>
      <c r="P21" s="119">
        <v>31</v>
      </c>
      <c r="Q21" s="107">
        <v>-6.6000000000000068</v>
      </c>
    </row>
    <row r="22" spans="1:17" x14ac:dyDescent="0.4">
      <c r="A22" s="55" t="s">
        <v>194</v>
      </c>
      <c r="B22" s="47">
        <v>23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43</v>
      </c>
      <c r="N22" s="115" t="s">
        <v>171</v>
      </c>
      <c r="O22" s="125">
        <f t="shared" si="2"/>
        <v>-1.1473684210526323</v>
      </c>
      <c r="P22" s="119">
        <v>19</v>
      </c>
      <c r="Q22" s="107">
        <v>-21.800000000000011</v>
      </c>
    </row>
    <row r="23" spans="1:17" x14ac:dyDescent="0.4">
      <c r="A23" s="55" t="s">
        <v>5</v>
      </c>
      <c r="B23" s="51">
        <f>IF(B$17=0,0,C23/B$17)</f>
        <v>6665.8291457286432</v>
      </c>
      <c r="C23" s="41">
        <v>1326500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127</v>
      </c>
      <c r="O23" s="125">
        <f t="shared" si="2"/>
        <v>-24.126470588235296</v>
      </c>
      <c r="P23" s="119">
        <v>34</v>
      </c>
      <c r="Q23" s="107">
        <v>-820.30000000000007</v>
      </c>
    </row>
    <row r="24" spans="1:17" x14ac:dyDescent="0.4">
      <c r="A24" s="57" t="s">
        <v>14</v>
      </c>
      <c r="B24" s="52">
        <f>IF(B$20=0,0,C24/B$20)</f>
        <v>-9381.9444444444453</v>
      </c>
      <c r="C24" s="45">
        <v>-675500</v>
      </c>
      <c r="E24" s="63" t="s">
        <v>87</v>
      </c>
      <c r="F24" s="60" t="s">
        <v>42</v>
      </c>
      <c r="G24" s="47">
        <v>8</v>
      </c>
      <c r="H24" s="133">
        <f>IF(B$17=0,0,G24/B$17)</f>
        <v>4.0201005025125629E-2</v>
      </c>
      <c r="I24" s="94">
        <v>8</v>
      </c>
      <c r="K24" s="38">
        <v>22</v>
      </c>
      <c r="L24" s="99">
        <v>54.7</v>
      </c>
    </row>
    <row r="25" spans="1:17" x14ac:dyDescent="0.4">
      <c r="A25" s="90" t="s">
        <v>142</v>
      </c>
      <c r="B25" s="140">
        <v>7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5.0251256281407036E-3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38">
        <v>97500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1.7985611510791368E-3</v>
      </c>
      <c r="E27" s="63" t="s">
        <v>90</v>
      </c>
      <c r="F27" s="60" t="s">
        <v>45</v>
      </c>
      <c r="G27" s="47">
        <v>15</v>
      </c>
      <c r="H27" s="133">
        <f>IF(B$17=0,0,G27/B$17)</f>
        <v>7.5376884422110546E-2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5.0251256281407036E-3</v>
      </c>
      <c r="I28" s="94">
        <v>2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1.0050251256281407E-2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111.4</v>
      </c>
    </row>
    <row r="51" spans="5:12" x14ac:dyDescent="0.4">
      <c r="E51" s="64" t="s">
        <v>181</v>
      </c>
      <c r="F51" s="61" t="s">
        <v>182</v>
      </c>
      <c r="G51" s="49">
        <v>90</v>
      </c>
      <c r="H51" s="134">
        <f>IF(B$17=0,0,G51/B$17)</f>
        <v>0.45226130653266333</v>
      </c>
      <c r="I51" s="95">
        <v>2</v>
      </c>
      <c r="K51" s="38">
        <v>49</v>
      </c>
      <c r="L51" s="99">
        <v>113</v>
      </c>
    </row>
    <row r="52" spans="5:12" x14ac:dyDescent="0.4"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</sheetData>
  <sortState ref="E2:I6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B1133-79AB-45FE-8D71-29DF8E5C13DA}">
  <sheetPr codeName="Sheet1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173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44</v>
      </c>
      <c r="C2" s="147"/>
      <c r="E2" s="62" t="s">
        <v>65</v>
      </c>
      <c r="F2" s="59" t="s">
        <v>21</v>
      </c>
      <c r="G2" s="46">
        <v>50</v>
      </c>
      <c r="H2" s="132">
        <f>IF(B$17=0,0,G2/B$17)</f>
        <v>0.43859649122807015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-3038.6363636363635</v>
      </c>
      <c r="P2" s="118">
        <v>44</v>
      </c>
      <c r="Q2" s="102">
        <v>-133700</v>
      </c>
    </row>
    <row r="3" spans="1:17" x14ac:dyDescent="0.4">
      <c r="A3" s="55" t="s">
        <v>8</v>
      </c>
      <c r="B3" s="148">
        <v>382</v>
      </c>
      <c r="C3" s="149"/>
      <c r="E3" s="63" t="s">
        <v>66</v>
      </c>
      <c r="F3" s="60" t="s">
        <v>22</v>
      </c>
      <c r="G3" s="47">
        <v>9</v>
      </c>
      <c r="H3" s="133">
        <f>IF(B$17=0,0,G3/B$17)</f>
        <v>7.8947368421052627E-2</v>
      </c>
      <c r="I3" s="94">
        <v>7</v>
      </c>
      <c r="K3" s="38">
        <v>1</v>
      </c>
      <c r="L3" s="99">
        <v>-82.6</v>
      </c>
      <c r="N3" s="115" t="s">
        <v>133</v>
      </c>
      <c r="O3" s="122">
        <f t="shared" si="0"/>
        <v>2159.090909090909</v>
      </c>
      <c r="P3" s="119">
        <v>44</v>
      </c>
      <c r="Q3" s="103">
        <v>95000</v>
      </c>
    </row>
    <row r="4" spans="1:17" x14ac:dyDescent="0.4">
      <c r="A4" s="55" t="s">
        <v>6</v>
      </c>
      <c r="B4" s="150">
        <v>-262.59999999999997</v>
      </c>
      <c r="C4" s="151"/>
      <c r="E4" s="63" t="s">
        <v>67</v>
      </c>
      <c r="F4" s="60" t="s">
        <v>23</v>
      </c>
      <c r="G4" s="47">
        <v>77</v>
      </c>
      <c r="H4" s="133">
        <f>IF(B$17=0,0,G4/B$17)</f>
        <v>0.67543859649122806</v>
      </c>
      <c r="I4" s="94">
        <v>9</v>
      </c>
      <c r="K4" s="38">
        <v>2</v>
      </c>
      <c r="L4" s="99">
        <v>-122.3</v>
      </c>
      <c r="N4" s="115" t="s">
        <v>134</v>
      </c>
      <c r="O4" s="122">
        <f t="shared" si="0"/>
        <v>-738.09523809523807</v>
      </c>
      <c r="P4" s="119">
        <v>42</v>
      </c>
      <c r="Q4" s="103">
        <v>-31000</v>
      </c>
    </row>
    <row r="5" spans="1:17" x14ac:dyDescent="0.4">
      <c r="A5" s="55" t="s">
        <v>7</v>
      </c>
      <c r="B5" s="152">
        <f>IF(B$2=0,0,B$4/B$2)</f>
        <v>-5.9681818181818178</v>
      </c>
      <c r="C5" s="153"/>
      <c r="E5" s="63" t="s">
        <v>68</v>
      </c>
      <c r="F5" s="60" t="s">
        <v>24</v>
      </c>
      <c r="G5" s="47">
        <v>28</v>
      </c>
      <c r="H5" s="133">
        <f>IF(B$17=0,0,G5/B$17)</f>
        <v>0.24561403508771928</v>
      </c>
      <c r="I5" s="94">
        <v>11</v>
      </c>
      <c r="K5" s="38">
        <v>3</v>
      </c>
      <c r="L5" s="99">
        <v>-149</v>
      </c>
      <c r="N5" s="115" t="s">
        <v>135</v>
      </c>
      <c r="O5" s="122">
        <f t="shared" si="0"/>
        <v>-3689.7435897435898</v>
      </c>
      <c r="P5" s="119">
        <v>39</v>
      </c>
      <c r="Q5" s="103">
        <v>-143900</v>
      </c>
    </row>
    <row r="6" spans="1:17" x14ac:dyDescent="0.4">
      <c r="A6" s="55" t="s">
        <v>1</v>
      </c>
      <c r="B6" s="142">
        <f>IF(B$2=0,0,(B$7*1+B$8*2+B$9*3)/B$2)</f>
        <v>2.0681818181818183</v>
      </c>
      <c r="C6" s="143"/>
      <c r="E6" s="63" t="s">
        <v>69</v>
      </c>
      <c r="F6" s="60" t="s">
        <v>12</v>
      </c>
      <c r="G6" s="47">
        <v>44</v>
      </c>
      <c r="H6" s="133">
        <f>IF(B$17=0,0,G6/B$17)</f>
        <v>0.38596491228070173</v>
      </c>
      <c r="I6" s="94">
        <v>4</v>
      </c>
      <c r="K6" s="38">
        <v>4</v>
      </c>
      <c r="L6" s="99">
        <v>-150.6</v>
      </c>
      <c r="N6" s="115" t="s">
        <v>136</v>
      </c>
      <c r="O6" s="122">
        <f t="shared" si="0"/>
        <v>-128.57142857142858</v>
      </c>
      <c r="P6" s="119">
        <v>35</v>
      </c>
      <c r="Q6" s="103">
        <v>-4500</v>
      </c>
    </row>
    <row r="7" spans="1:17" x14ac:dyDescent="0.4">
      <c r="A7" s="55" t="s">
        <v>2</v>
      </c>
      <c r="B7" s="47">
        <v>13</v>
      </c>
      <c r="C7" s="39">
        <f>IF(B$2=0,0,B7/B$2)</f>
        <v>0.29545454545454547</v>
      </c>
      <c r="E7" s="63" t="s">
        <v>70</v>
      </c>
      <c r="F7" s="60" t="s">
        <v>25</v>
      </c>
      <c r="G7" s="47">
        <v>13</v>
      </c>
      <c r="H7" s="133">
        <f>IF(B$17=0,0,G7/B$17)</f>
        <v>0.11403508771929824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632.35294117647061</v>
      </c>
      <c r="P7" s="120">
        <v>34</v>
      </c>
      <c r="Q7" s="104">
        <v>21500</v>
      </c>
    </row>
    <row r="8" spans="1:17" x14ac:dyDescent="0.4">
      <c r="A8" s="55" t="s">
        <v>3</v>
      </c>
      <c r="B8" s="47">
        <v>15</v>
      </c>
      <c r="C8" s="39">
        <f>IF(B$2=0,0,B8/B$2)</f>
        <v>0.34090909090909088</v>
      </c>
      <c r="E8" s="63" t="s">
        <v>71</v>
      </c>
      <c r="F8" s="60" t="s">
        <v>26</v>
      </c>
      <c r="G8" s="47">
        <v>14</v>
      </c>
      <c r="H8" s="133">
        <f>IF(B$17=0,0,G8/B$17)</f>
        <v>0.12280701754385964</v>
      </c>
      <c r="I8" s="94">
        <v>2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0.36363636363636365</v>
      </c>
      <c r="E9" s="63" t="s">
        <v>72</v>
      </c>
      <c r="F9" s="60" t="s">
        <v>27</v>
      </c>
      <c r="G9" s="47">
        <v>6</v>
      </c>
      <c r="H9" s="133">
        <f>IF(B$17=0,0,G9/B$17)</f>
        <v>5.2631578947368418E-2</v>
      </c>
      <c r="I9" s="94">
        <v>9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0.11363636363636363</v>
      </c>
      <c r="E10" s="63" t="s">
        <v>73</v>
      </c>
      <c r="F10" s="60" t="s">
        <v>28</v>
      </c>
      <c r="G10" s="47">
        <v>59</v>
      </c>
      <c r="H10" s="133">
        <f>IF(B$17=0,0,G10/B$17)</f>
        <v>0.51754385964912286</v>
      </c>
      <c r="I10" s="94">
        <v>7</v>
      </c>
      <c r="K10" s="38">
        <v>8</v>
      </c>
      <c r="L10" s="99">
        <v>-219.59999999999997</v>
      </c>
      <c r="N10" s="114" t="s">
        <v>164</v>
      </c>
      <c r="O10" s="124">
        <f>IF(P10=0,0,Q10/P10)</f>
        <v>-3.9</v>
      </c>
      <c r="P10" s="118">
        <v>11</v>
      </c>
      <c r="Q10" s="106">
        <v>-42.9</v>
      </c>
    </row>
    <row r="11" spans="1:17" x14ac:dyDescent="0.4">
      <c r="A11" s="56" t="s">
        <v>140</v>
      </c>
      <c r="B11" s="48">
        <v>3</v>
      </c>
      <c r="C11" s="40">
        <f>IF(B$2=0,0,B11/B$2)</f>
        <v>6.8181818181818177E-2</v>
      </c>
      <c r="E11" s="63" t="s">
        <v>74</v>
      </c>
      <c r="F11" s="60" t="s">
        <v>29</v>
      </c>
      <c r="G11" s="47">
        <v>2</v>
      </c>
      <c r="H11" s="133">
        <f>IF(B$17=0,0,G11/B$17)</f>
        <v>1.7543859649122806E-2</v>
      </c>
      <c r="I11" s="94">
        <v>2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4.5454545454545456E-2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-318.39999999999998</v>
      </c>
      <c r="N12" s="116" t="s">
        <v>166</v>
      </c>
      <c r="O12" s="126">
        <f>IF(P12=0,0,Q12/P12)</f>
        <v>-9.6749999999999989</v>
      </c>
      <c r="P12" s="120">
        <v>12</v>
      </c>
      <c r="Q12" s="108">
        <v>-116.1</v>
      </c>
    </row>
    <row r="13" spans="1:17" x14ac:dyDescent="0.4">
      <c r="A13" s="58" t="s">
        <v>122</v>
      </c>
      <c r="B13" s="50">
        <v>88</v>
      </c>
      <c r="C13" s="44">
        <f>IF(B$3=0,0,B13/B$3)</f>
        <v>0.23036649214659685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98</v>
      </c>
      <c r="C14" s="39">
        <f>IF(B$3=0,0,B14/B$3)</f>
        <v>0.25654450261780104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52</v>
      </c>
      <c r="C15" s="37">
        <f>IF(B$13=0,0,B15/B$13)</f>
        <v>0.59090909090909094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-302.59999999999997</v>
      </c>
      <c r="N15" s="114" t="s">
        <v>129</v>
      </c>
      <c r="O15" s="124">
        <f t="shared" ref="O15:O22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33</v>
      </c>
      <c r="C16" s="37">
        <f>IF(B$14=0,0,B16/B$14)</f>
        <v>0.33673469387755101</v>
      </c>
      <c r="E16" s="63" t="s">
        <v>79</v>
      </c>
      <c r="F16" s="60" t="s">
        <v>34</v>
      </c>
      <c r="G16" s="47">
        <v>2</v>
      </c>
      <c r="H16" s="133">
        <f>IF(B$17=0,0,G16/B$17)</f>
        <v>1.7543859649122806E-2</v>
      </c>
      <c r="I16" s="94">
        <v>8</v>
      </c>
      <c r="K16" s="38">
        <v>14</v>
      </c>
      <c r="L16" s="99">
        <v>-269.99999999999994</v>
      </c>
      <c r="N16" s="115" t="s">
        <v>128</v>
      </c>
      <c r="O16" s="125">
        <f t="shared" si="2"/>
        <v>-2.7285714285714269</v>
      </c>
      <c r="P16" s="119">
        <v>21</v>
      </c>
      <c r="Q16" s="107">
        <v>-57.299999999999969</v>
      </c>
    </row>
    <row r="17" spans="1:17" x14ac:dyDescent="0.4">
      <c r="A17" s="54" t="s">
        <v>10</v>
      </c>
      <c r="B17" s="46">
        <f>B19+B18</f>
        <v>114</v>
      </c>
      <c r="C17" s="37">
        <f>IF(B$3=0,0,B17/B$3)</f>
        <v>0.29842931937172773</v>
      </c>
      <c r="E17" s="63" t="s">
        <v>80</v>
      </c>
      <c r="F17" s="60" t="s">
        <v>35</v>
      </c>
      <c r="G17" s="47">
        <v>2</v>
      </c>
      <c r="H17" s="133">
        <f>IF(B$17=0,0,G17/B$17)</f>
        <v>1.7543859649122806E-2</v>
      </c>
      <c r="I17" s="94">
        <v>4</v>
      </c>
      <c r="K17" s="38">
        <v>15</v>
      </c>
      <c r="L17" s="99">
        <v>-264.59999999999997</v>
      </c>
      <c r="N17" s="115" t="s">
        <v>172</v>
      </c>
      <c r="O17" s="125">
        <f t="shared" si="2"/>
        <v>-6.633333333333332</v>
      </c>
      <c r="P17" s="119">
        <v>12</v>
      </c>
      <c r="Q17" s="107">
        <v>-79.59999999999998</v>
      </c>
    </row>
    <row r="18" spans="1:17" x14ac:dyDescent="0.4">
      <c r="A18" s="55" t="s">
        <v>12</v>
      </c>
      <c r="B18" s="47">
        <v>58</v>
      </c>
      <c r="C18" s="39">
        <f>IF(B$17=0,0,B18/B$17)</f>
        <v>0.50877192982456143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177</v>
      </c>
      <c r="O18" s="125">
        <f t="shared" si="2"/>
        <v>-10.050000000000001</v>
      </c>
      <c r="P18" s="119">
        <v>6</v>
      </c>
      <c r="Q18" s="107">
        <v>-60.300000000000004</v>
      </c>
    </row>
    <row r="19" spans="1:17" x14ac:dyDescent="0.4">
      <c r="A19" s="55" t="s">
        <v>11</v>
      </c>
      <c r="B19" s="47">
        <v>56</v>
      </c>
      <c r="C19" s="39">
        <f>IF(B$17=0,0,B19/B$17)</f>
        <v>0.49122807017543857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K19" s="38">
        <v>17</v>
      </c>
      <c r="L19" s="99">
        <v>-248.89999999999995</v>
      </c>
      <c r="N19" s="115" t="s">
        <v>171</v>
      </c>
      <c r="O19" s="125">
        <f t="shared" si="2"/>
        <v>-11.647058823529409</v>
      </c>
      <c r="P19" s="119">
        <v>17</v>
      </c>
      <c r="Q19" s="107">
        <v>-197.99999999999997</v>
      </c>
    </row>
    <row r="20" spans="1:17" x14ac:dyDescent="0.4">
      <c r="A20" s="55" t="s">
        <v>13</v>
      </c>
      <c r="B20" s="47">
        <v>71</v>
      </c>
      <c r="C20" s="39">
        <f>IF(B$3=0,0,B20/B$3)</f>
        <v>0.18586387434554974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127</v>
      </c>
      <c r="O20" s="125">
        <f t="shared" si="2"/>
        <v>-21.768181818181816</v>
      </c>
      <c r="P20" s="119">
        <v>22</v>
      </c>
      <c r="Q20" s="107">
        <v>-478.9</v>
      </c>
    </row>
    <row r="21" spans="1:17" x14ac:dyDescent="0.4">
      <c r="A21" s="55" t="s">
        <v>193</v>
      </c>
      <c r="B21" s="47">
        <v>4</v>
      </c>
      <c r="C21" s="135">
        <v>1</v>
      </c>
      <c r="E21" s="63" t="s">
        <v>84</v>
      </c>
      <c r="F21" s="60" t="s">
        <v>39</v>
      </c>
      <c r="G21" s="47">
        <v>2</v>
      </c>
      <c r="H21" s="133">
        <f>IF(B$17=0,0,G21/B$17)</f>
        <v>1.7543859649122806E-2</v>
      </c>
      <c r="I21" s="94">
        <v>10</v>
      </c>
      <c r="K21" s="38">
        <v>19</v>
      </c>
      <c r="L21" s="99">
        <v>-188.59999999999994</v>
      </c>
      <c r="N21" s="115" t="s">
        <v>202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194</v>
      </c>
      <c r="B22" s="47">
        <v>24</v>
      </c>
      <c r="C22" s="135">
        <v>6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-182.79999999999993</v>
      </c>
      <c r="N22" s="115" t="s">
        <v>185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6998.2456140350878</v>
      </c>
      <c r="C23" s="41">
        <v>797800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</row>
    <row r="24" spans="1:17" x14ac:dyDescent="0.4">
      <c r="A24" s="57" t="s">
        <v>14</v>
      </c>
      <c r="B24" s="52">
        <f>IF(B$20=0,0,C24/B$20)</f>
        <v>-7866.1971830985913</v>
      </c>
      <c r="C24" s="45">
        <v>-558500</v>
      </c>
      <c r="E24" s="63" t="s">
        <v>87</v>
      </c>
      <c r="F24" s="60" t="s">
        <v>42</v>
      </c>
      <c r="G24" s="47">
        <v>4</v>
      </c>
      <c r="H24" s="133">
        <f>IF(B$17=0,0,G24/B$17)</f>
        <v>3.5087719298245612E-2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1</v>
      </c>
      <c r="H25" s="133">
        <f>IF(B$17=0,0,G25/B$17)</f>
        <v>8.771929824561403E-3</v>
      </c>
      <c r="I25" s="94">
        <v>1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38">
        <v>85900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5.235602094240838E-3</v>
      </c>
      <c r="E27" s="63" t="s">
        <v>90</v>
      </c>
      <c r="F27" s="60" t="s">
        <v>45</v>
      </c>
      <c r="G27" s="47">
        <v>14</v>
      </c>
      <c r="H27" s="133">
        <f>IF(B$17=0,0,G27/B$17)</f>
        <v>0.12280701754385964</v>
      </c>
      <c r="I27" s="94">
        <v>8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1.7543859649122806E-2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2</v>
      </c>
      <c r="H50" s="133">
        <f>IF(B$17=0,0,G50/B$17)</f>
        <v>1.7543859649122806E-2</v>
      </c>
      <c r="I50" s="94">
        <v>4</v>
      </c>
    </row>
    <row r="51" spans="5:9" x14ac:dyDescent="0.4">
      <c r="E51" s="64" t="s">
        <v>181</v>
      </c>
      <c r="F51" s="61" t="s">
        <v>182</v>
      </c>
      <c r="G51" s="49">
        <v>45</v>
      </c>
      <c r="H51" s="134">
        <f>IF(B$17=0,0,G51/B$17)</f>
        <v>0.39473684210526316</v>
      </c>
      <c r="I51" s="95">
        <v>9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2FBDC-342F-4138-BB74-3BE4FEDC9D1A}">
  <sheetPr codeName="Sheet1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177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48</v>
      </c>
      <c r="C2" s="147"/>
      <c r="E2" s="62" t="s">
        <v>65</v>
      </c>
      <c r="F2" s="59" t="s">
        <v>21</v>
      </c>
      <c r="G2" s="46">
        <v>69</v>
      </c>
      <c r="H2" s="132">
        <f>IF(B$17=0,0,G2/B$17)</f>
        <v>0.59482758620689657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1260.4166666666667</v>
      </c>
      <c r="P2" s="118">
        <v>48</v>
      </c>
      <c r="Q2" s="102">
        <v>60500</v>
      </c>
    </row>
    <row r="3" spans="1:17" x14ac:dyDescent="0.4">
      <c r="A3" s="55" t="s">
        <v>8</v>
      </c>
      <c r="B3" s="148">
        <v>392</v>
      </c>
      <c r="C3" s="149"/>
      <c r="E3" s="63" t="s">
        <v>66</v>
      </c>
      <c r="F3" s="60" t="s">
        <v>22</v>
      </c>
      <c r="G3" s="47">
        <v>14</v>
      </c>
      <c r="H3" s="133">
        <f>IF(B$17=0,0,G3/B$17)</f>
        <v>0.1206896551724138</v>
      </c>
      <c r="I3" s="94">
        <v>5</v>
      </c>
      <c r="K3" s="38">
        <v>1</v>
      </c>
      <c r="L3" s="99">
        <v>-1.9</v>
      </c>
      <c r="N3" s="115" t="s">
        <v>133</v>
      </c>
      <c r="O3" s="122">
        <f t="shared" si="0"/>
        <v>604.3478260869565</v>
      </c>
      <c r="P3" s="119">
        <v>46</v>
      </c>
      <c r="Q3" s="103">
        <v>27800</v>
      </c>
    </row>
    <row r="4" spans="1:17" x14ac:dyDescent="0.4">
      <c r="A4" s="55" t="s">
        <v>6</v>
      </c>
      <c r="B4" s="150">
        <v>40.899999999999991</v>
      </c>
      <c r="C4" s="151"/>
      <c r="E4" s="63" t="s">
        <v>67</v>
      </c>
      <c r="F4" s="60" t="s">
        <v>23</v>
      </c>
      <c r="G4" s="47">
        <v>62</v>
      </c>
      <c r="H4" s="133">
        <f>IF(B$17=0,0,G4/B$17)</f>
        <v>0.53448275862068961</v>
      </c>
      <c r="I4" s="94">
        <v>12</v>
      </c>
      <c r="K4" s="38">
        <v>2</v>
      </c>
      <c r="L4" s="99">
        <v>30</v>
      </c>
      <c r="N4" s="115" t="s">
        <v>134</v>
      </c>
      <c r="O4" s="122">
        <f t="shared" si="0"/>
        <v>-1323.8095238095239</v>
      </c>
      <c r="P4" s="119">
        <v>42</v>
      </c>
      <c r="Q4" s="103">
        <v>-55600</v>
      </c>
    </row>
    <row r="5" spans="1:17" x14ac:dyDescent="0.4">
      <c r="A5" s="55" t="s">
        <v>7</v>
      </c>
      <c r="B5" s="152">
        <f>IF(B$2=0,0,B$4/B$2)</f>
        <v>0.85208333333333319</v>
      </c>
      <c r="C5" s="153"/>
      <c r="E5" s="63" t="s">
        <v>68</v>
      </c>
      <c r="F5" s="60" t="s">
        <v>24</v>
      </c>
      <c r="G5" s="47">
        <v>41</v>
      </c>
      <c r="H5" s="133">
        <f>IF(B$17=0,0,G5/B$17)</f>
        <v>0.35344827586206895</v>
      </c>
      <c r="I5" s="94">
        <v>6</v>
      </c>
      <c r="K5" s="38">
        <v>3</v>
      </c>
      <c r="L5" s="99">
        <v>-10</v>
      </c>
      <c r="N5" s="115" t="s">
        <v>135</v>
      </c>
      <c r="O5" s="122">
        <f t="shared" si="0"/>
        <v>1346.3414634146341</v>
      </c>
      <c r="P5" s="119">
        <v>41</v>
      </c>
      <c r="Q5" s="103">
        <v>55200</v>
      </c>
    </row>
    <row r="6" spans="1:17" x14ac:dyDescent="0.4">
      <c r="A6" s="55" t="s">
        <v>1</v>
      </c>
      <c r="B6" s="142">
        <f>IF(B$2=0,0,(B$7*1+B$8*2+B$9*3)/B$2)</f>
        <v>1.9583333333333333</v>
      </c>
      <c r="C6" s="143"/>
      <c r="E6" s="63" t="s">
        <v>69</v>
      </c>
      <c r="F6" s="60" t="s">
        <v>12</v>
      </c>
      <c r="G6" s="47">
        <v>35</v>
      </c>
      <c r="H6" s="133">
        <f>IF(B$17=0,0,G6/B$17)</f>
        <v>0.30172413793103448</v>
      </c>
      <c r="I6" s="94">
        <v>10</v>
      </c>
      <c r="K6" s="38">
        <v>4</v>
      </c>
      <c r="L6" s="99">
        <v>40</v>
      </c>
      <c r="N6" s="115" t="s">
        <v>136</v>
      </c>
      <c r="O6" s="122">
        <f t="shared" si="0"/>
        <v>-1524.3243243243244</v>
      </c>
      <c r="P6" s="119">
        <v>37</v>
      </c>
      <c r="Q6" s="103">
        <v>-56400</v>
      </c>
    </row>
    <row r="7" spans="1:17" x14ac:dyDescent="0.4">
      <c r="A7" s="55" t="s">
        <v>2</v>
      </c>
      <c r="B7" s="47">
        <v>18</v>
      </c>
      <c r="C7" s="39">
        <f>IF(B$2=0,0,B7/B$2)</f>
        <v>0.375</v>
      </c>
      <c r="E7" s="63" t="s">
        <v>70</v>
      </c>
      <c r="F7" s="60" t="s">
        <v>25</v>
      </c>
      <c r="G7" s="47">
        <v>20</v>
      </c>
      <c r="H7" s="133">
        <f>IF(B$17=0,0,G7/B$17)</f>
        <v>0.17241379310344829</v>
      </c>
      <c r="I7" s="94">
        <v>8</v>
      </c>
      <c r="K7" s="38">
        <v>5</v>
      </c>
      <c r="L7" s="99">
        <v>35.4</v>
      </c>
      <c r="N7" s="116" t="s">
        <v>137</v>
      </c>
      <c r="O7" s="123">
        <f t="shared" si="0"/>
        <v>320</v>
      </c>
      <c r="P7" s="120">
        <v>30</v>
      </c>
      <c r="Q7" s="104">
        <v>9600</v>
      </c>
    </row>
    <row r="8" spans="1:17" x14ac:dyDescent="0.4">
      <c r="A8" s="55" t="s">
        <v>3</v>
      </c>
      <c r="B8" s="47">
        <v>14</v>
      </c>
      <c r="C8" s="39">
        <f>IF(B$2=0,0,B8/B$2)</f>
        <v>0.29166666666666669</v>
      </c>
      <c r="E8" s="63" t="s">
        <v>71</v>
      </c>
      <c r="F8" s="60" t="s">
        <v>26</v>
      </c>
      <c r="G8" s="47">
        <v>8</v>
      </c>
      <c r="H8" s="133">
        <f>IF(B$17=0,0,G8/B$17)</f>
        <v>6.8965517241379309E-2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16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6</v>
      </c>
      <c r="H9" s="133">
        <f>IF(B$17=0,0,G9/B$17)</f>
        <v>5.1724137931034482E-2</v>
      </c>
      <c r="I9" s="94">
        <v>10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8</v>
      </c>
      <c r="C10" s="40">
        <f>IF(B$2=0,0,B10/B$2)</f>
        <v>0.16666666666666666</v>
      </c>
      <c r="E10" s="63" t="s">
        <v>73</v>
      </c>
      <c r="F10" s="60" t="s">
        <v>28</v>
      </c>
      <c r="G10" s="47">
        <v>52</v>
      </c>
      <c r="H10" s="133">
        <f>IF(B$17=0,0,G10/B$17)</f>
        <v>0.44827586206896552</v>
      </c>
      <c r="I10" s="94">
        <v>11</v>
      </c>
      <c r="K10" s="38">
        <v>8</v>
      </c>
      <c r="L10" s="99">
        <v>-87.1</v>
      </c>
      <c r="N10" s="114" t="s">
        <v>164</v>
      </c>
      <c r="O10" s="124">
        <f>IF(P10=0,0,Q10/P10)</f>
        <v>-0.67142857142857204</v>
      </c>
      <c r="P10" s="118">
        <v>14</v>
      </c>
      <c r="Q10" s="106">
        <v>-9.4000000000000092</v>
      </c>
    </row>
    <row r="11" spans="1:17" x14ac:dyDescent="0.4">
      <c r="A11" s="56" t="s">
        <v>140</v>
      </c>
      <c r="B11" s="48">
        <v>5</v>
      </c>
      <c r="C11" s="40">
        <f>IF(B$2=0,0,B11/B$2)</f>
        <v>0.10416666666666667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5.6888888888888882</v>
      </c>
      <c r="P11" s="119">
        <v>18</v>
      </c>
      <c r="Q11" s="107">
        <v>102.39999999999999</v>
      </c>
    </row>
    <row r="12" spans="1:17" x14ac:dyDescent="0.4">
      <c r="A12" s="57" t="s">
        <v>160</v>
      </c>
      <c r="B12" s="49">
        <v>5</v>
      </c>
      <c r="C12" s="42">
        <f>IF(B$2=0,0,B12/B$2)</f>
        <v>0.10416666666666667</v>
      </c>
      <c r="E12" s="63" t="s">
        <v>75</v>
      </c>
      <c r="F12" s="60" t="s">
        <v>30</v>
      </c>
      <c r="G12" s="47">
        <v>1</v>
      </c>
      <c r="H12" s="133">
        <f>IF(B$17=0,0,G12/B$17)</f>
        <v>8.6206896551724137E-3</v>
      </c>
      <c r="I12" s="94">
        <v>2</v>
      </c>
      <c r="K12" s="38">
        <v>10</v>
      </c>
      <c r="L12" s="99">
        <v>-183.7</v>
      </c>
      <c r="N12" s="116" t="s">
        <v>166</v>
      </c>
      <c r="O12" s="126">
        <f>IF(P12=0,0,Q12/P12)</f>
        <v>-3.2562499999999996</v>
      </c>
      <c r="P12" s="120">
        <v>16</v>
      </c>
      <c r="Q12" s="108">
        <v>-52.099999999999994</v>
      </c>
    </row>
    <row r="13" spans="1:17" x14ac:dyDescent="0.4">
      <c r="A13" s="58" t="s">
        <v>122</v>
      </c>
      <c r="B13" s="50">
        <v>102</v>
      </c>
      <c r="C13" s="44">
        <f>IF(B$3=0,0,B13/B$3)</f>
        <v>0.26020408163265307</v>
      </c>
      <c r="E13" s="63" t="s">
        <v>76</v>
      </c>
      <c r="F13" s="60" t="s">
        <v>31</v>
      </c>
      <c r="G13" s="47">
        <v>1</v>
      </c>
      <c r="H13" s="133">
        <f>IF(B$17=0,0,G13/B$17)</f>
        <v>8.6206896551724137E-3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74</v>
      </c>
      <c r="C14" s="39">
        <f>IF(B$3=0,0,B14/B$3)</f>
        <v>0.18877551020408162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69</v>
      </c>
      <c r="C15" s="37">
        <f>IF(B$13=0,0,B15/B$13)</f>
        <v>0.67647058823529416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-209.59999999999997</v>
      </c>
      <c r="N15" s="114" t="s">
        <v>202</v>
      </c>
      <c r="O15" s="124">
        <f t="shared" ref="O15:O23" si="2">IF(P15=0,0,Q15/P15)</f>
        <v>59.050000000000004</v>
      </c>
      <c r="P15" s="118">
        <v>2</v>
      </c>
      <c r="Q15" s="106">
        <v>118.10000000000001</v>
      </c>
    </row>
    <row r="16" spans="1:17" x14ac:dyDescent="0.4">
      <c r="A16" s="54" t="s">
        <v>125</v>
      </c>
      <c r="B16" s="46">
        <v>26</v>
      </c>
      <c r="C16" s="37">
        <f>IF(B$14=0,0,B16/B$14)</f>
        <v>0.35135135135135137</v>
      </c>
      <c r="E16" s="63" t="s">
        <v>79</v>
      </c>
      <c r="F16" s="60" t="s">
        <v>34</v>
      </c>
      <c r="G16" s="47">
        <v>5</v>
      </c>
      <c r="H16" s="133">
        <f>IF(B$17=0,0,G16/B$17)</f>
        <v>4.3103448275862072E-2</v>
      </c>
      <c r="I16" s="94">
        <v>4</v>
      </c>
      <c r="K16" s="38">
        <v>14</v>
      </c>
      <c r="L16" s="99">
        <v>-178.49999999999997</v>
      </c>
      <c r="N16" s="115" t="s">
        <v>171</v>
      </c>
      <c r="O16" s="125">
        <f t="shared" si="2"/>
        <v>34.907692307692315</v>
      </c>
      <c r="P16" s="119">
        <v>13</v>
      </c>
      <c r="Q16" s="107">
        <v>453.80000000000007</v>
      </c>
    </row>
    <row r="17" spans="1:17" x14ac:dyDescent="0.4">
      <c r="A17" s="54" t="s">
        <v>10</v>
      </c>
      <c r="B17" s="46">
        <f>B19+B18</f>
        <v>116</v>
      </c>
      <c r="C17" s="37">
        <f>IF(B$3=0,0,B17/B$3)</f>
        <v>0.29591836734693877</v>
      </c>
      <c r="E17" s="63" t="s">
        <v>80</v>
      </c>
      <c r="F17" s="60" t="s">
        <v>35</v>
      </c>
      <c r="G17" s="47">
        <v>2</v>
      </c>
      <c r="H17" s="133">
        <f>IF(B$17=0,0,G17/B$17)</f>
        <v>1.7241379310344827E-2</v>
      </c>
      <c r="I17" s="94">
        <v>4</v>
      </c>
      <c r="K17" s="38">
        <v>15</v>
      </c>
      <c r="L17" s="99">
        <v>-146.19999999999999</v>
      </c>
      <c r="N17" s="115" t="s">
        <v>186</v>
      </c>
      <c r="O17" s="125">
        <f t="shared" si="2"/>
        <v>20.240000000000002</v>
      </c>
      <c r="P17" s="119">
        <v>5</v>
      </c>
      <c r="Q17" s="107">
        <v>101.20000000000002</v>
      </c>
    </row>
    <row r="18" spans="1:17" x14ac:dyDescent="0.4">
      <c r="A18" s="55" t="s">
        <v>12</v>
      </c>
      <c r="B18" s="47">
        <v>49</v>
      </c>
      <c r="C18" s="39">
        <f>IF(B$17=0,0,B18/B$17)</f>
        <v>0.42241379310344829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10.631818181818183</v>
      </c>
      <c r="P18" s="119">
        <v>22</v>
      </c>
      <c r="Q18" s="107">
        <v>233.9</v>
      </c>
    </row>
    <row r="19" spans="1:17" x14ac:dyDescent="0.4">
      <c r="A19" s="55" t="s">
        <v>11</v>
      </c>
      <c r="B19" s="47">
        <v>67</v>
      </c>
      <c r="C19" s="39">
        <f>IF(B$17=0,0,B19/B$17)</f>
        <v>0.57758620689655171</v>
      </c>
      <c r="E19" s="63" t="s">
        <v>82</v>
      </c>
      <c r="F19" s="60" t="s">
        <v>37</v>
      </c>
      <c r="G19" s="47">
        <v>3</v>
      </c>
      <c r="H19" s="133">
        <f>IF(B$17=0,0,G19/B$17)</f>
        <v>2.5862068965517241E-2</v>
      </c>
      <c r="I19" s="94">
        <v>8</v>
      </c>
      <c r="K19" s="38">
        <v>17</v>
      </c>
      <c r="L19" s="99">
        <v>-161.19999999999999</v>
      </c>
      <c r="N19" s="115" t="s">
        <v>173</v>
      </c>
      <c r="O19" s="125">
        <f t="shared" si="2"/>
        <v>10.050000000000002</v>
      </c>
      <c r="P19" s="119">
        <v>6</v>
      </c>
      <c r="Q19" s="107">
        <v>60.300000000000011</v>
      </c>
    </row>
    <row r="20" spans="1:17" x14ac:dyDescent="0.4">
      <c r="A20" s="55" t="s">
        <v>13</v>
      </c>
      <c r="B20" s="47">
        <v>63</v>
      </c>
      <c r="C20" s="39">
        <f>IF(B$3=0,0,B20/B$3)</f>
        <v>0.16071428571428573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129</v>
      </c>
      <c r="O20" s="125">
        <f t="shared" si="2"/>
        <v>4.4153846153846121</v>
      </c>
      <c r="P20" s="119">
        <v>13</v>
      </c>
      <c r="Q20" s="107">
        <v>57.399999999999963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5</v>
      </c>
      <c r="H21" s="133">
        <f>IF(B$17=0,0,G21/B$17)</f>
        <v>4.3103448275862072E-2</v>
      </c>
      <c r="I21" s="94">
        <v>7</v>
      </c>
      <c r="K21" s="38">
        <v>19</v>
      </c>
      <c r="L21" s="99">
        <v>-235.6</v>
      </c>
      <c r="N21" s="115" t="s">
        <v>172</v>
      </c>
      <c r="O21" s="125">
        <f t="shared" si="2"/>
        <v>-9.8454545454545492</v>
      </c>
      <c r="P21" s="119">
        <v>11</v>
      </c>
      <c r="Q21" s="107">
        <v>-108.30000000000004</v>
      </c>
    </row>
    <row r="22" spans="1:17" x14ac:dyDescent="0.4">
      <c r="A22" s="55" t="s">
        <v>194</v>
      </c>
      <c r="B22" s="47">
        <v>22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  <c r="K22" s="38">
        <v>20</v>
      </c>
      <c r="L22" s="99">
        <v>-200.8</v>
      </c>
      <c r="N22" s="115" t="s">
        <v>127</v>
      </c>
      <c r="O22" s="125">
        <f t="shared" si="2"/>
        <v>-31.266666666666673</v>
      </c>
      <c r="P22" s="119">
        <v>21</v>
      </c>
      <c r="Q22" s="107">
        <v>-656.60000000000014</v>
      </c>
    </row>
    <row r="23" spans="1:17" x14ac:dyDescent="0.4">
      <c r="A23" s="55" t="s">
        <v>5</v>
      </c>
      <c r="B23" s="51">
        <f>IF(B$17=0,0,C23/B$17)</f>
        <v>8723.2758620689656</v>
      </c>
      <c r="C23" s="41">
        <v>1011900</v>
      </c>
      <c r="E23" s="63" t="s">
        <v>86</v>
      </c>
      <c r="F23" s="60" t="s">
        <v>41</v>
      </c>
      <c r="G23" s="47">
        <v>2</v>
      </c>
      <c r="H23" s="133">
        <f>IF(B$17=0,0,G23/B$17)</f>
        <v>1.7241379310344827E-2</v>
      </c>
      <c r="I23" s="94">
        <v>1</v>
      </c>
      <c r="K23" s="38">
        <v>21</v>
      </c>
      <c r="L23" s="99">
        <v>-188.60000000000002</v>
      </c>
      <c r="N23" s="115" t="s">
        <v>185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-7787.3015873015875</v>
      </c>
      <c r="C24" s="45">
        <v>-490600</v>
      </c>
      <c r="E24" s="63" t="s">
        <v>87</v>
      </c>
      <c r="F24" s="60" t="s">
        <v>42</v>
      </c>
      <c r="G24" s="47">
        <v>2</v>
      </c>
      <c r="H24" s="133">
        <f>IF(B$17=0,0,G24/B$17)</f>
        <v>1.7241379310344827E-2</v>
      </c>
      <c r="I24" s="94">
        <v>10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0">
        <v>8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38">
        <v>103000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7.6530612244897957E-3</v>
      </c>
      <c r="E27" s="63" t="s">
        <v>90</v>
      </c>
      <c r="F27" s="60" t="s">
        <v>45</v>
      </c>
      <c r="G27" s="47">
        <v>13</v>
      </c>
      <c r="H27" s="133">
        <f>IF(B$17=0,0,G27/B$17)</f>
        <v>0.11206896551724138</v>
      </c>
      <c r="I27" s="94">
        <v>9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8.6206896551724137E-3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4.3103448275862072E-2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8.6206896551724137E-3</v>
      </c>
      <c r="I30" s="94">
        <v>2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8.6206896551724137E-3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  <c r="K50" s="38">
        <v>48</v>
      </c>
      <c r="L50" s="99">
        <v>40.899999999999991</v>
      </c>
    </row>
    <row r="51" spans="5:12" x14ac:dyDescent="0.4">
      <c r="E51" s="64" t="s">
        <v>181</v>
      </c>
      <c r="F51" s="61" t="s">
        <v>182</v>
      </c>
      <c r="G51" s="49">
        <v>49</v>
      </c>
      <c r="H51" s="134">
        <f>IF(B$17=0,0,G51/B$17)</f>
        <v>0.42241379310344829</v>
      </c>
      <c r="I51" s="95">
        <v>4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0C7C3-9624-41CA-8645-C823EEAEDF0F}">
  <sheetPr codeName="Sheet21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3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48">
        <v>19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0">
        <v>61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10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2">
        <f>IF(B$2=0,0,B$4/B$2)</f>
        <v>20.333333333333332</v>
      </c>
      <c r="C5" s="153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3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2">
        <f>IF(B$2=0,0,(B$7*1+B$8*2+B$9*3)/B$2)</f>
        <v>1.3333333333333333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4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186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17" x14ac:dyDescent="0.4">
      <c r="A22" s="55" t="s">
        <v>194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53500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2</v>
      </c>
      <c r="H51" s="134">
        <f>IF(B$17=0,0,G51/B$17)</f>
        <v>0.4</v>
      </c>
      <c r="I51" s="95">
        <v>8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77EE8-AF3A-480B-A62F-DA784E761B62}">
  <sheetPr codeName="Sheet23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186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14</v>
      </c>
      <c r="C2" s="147"/>
      <c r="E2" s="62" t="s">
        <v>65</v>
      </c>
      <c r="F2" s="59" t="s">
        <v>21</v>
      </c>
      <c r="G2" s="46">
        <v>19</v>
      </c>
      <c r="H2" s="132">
        <f>IF(B$17=0,0,G2/B$17)</f>
        <v>0.55882352941176472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-114.28571428571429</v>
      </c>
      <c r="P2" s="118">
        <v>14</v>
      </c>
      <c r="Q2" s="102">
        <v>-1600</v>
      </c>
    </row>
    <row r="3" spans="1:17" x14ac:dyDescent="0.4">
      <c r="A3" s="55" t="s">
        <v>8</v>
      </c>
      <c r="B3" s="148">
        <v>118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2.9411764705882353E-2</v>
      </c>
      <c r="I3" s="94">
        <v>10</v>
      </c>
      <c r="K3" s="38">
        <v>1</v>
      </c>
      <c r="L3" s="99">
        <v>-43.7</v>
      </c>
      <c r="N3" s="115" t="s">
        <v>133</v>
      </c>
      <c r="O3" s="122">
        <f t="shared" si="0"/>
        <v>-328.57142857142856</v>
      </c>
      <c r="P3" s="119">
        <v>14</v>
      </c>
      <c r="Q3" s="103">
        <v>-4600</v>
      </c>
    </row>
    <row r="4" spans="1:17" x14ac:dyDescent="0.4">
      <c r="A4" s="55" t="s">
        <v>6</v>
      </c>
      <c r="B4" s="150">
        <v>-138.69999999999999</v>
      </c>
      <c r="C4" s="151"/>
      <c r="E4" s="63" t="s">
        <v>67</v>
      </c>
      <c r="F4" s="60" t="s">
        <v>23</v>
      </c>
      <c r="G4" s="47">
        <v>28</v>
      </c>
      <c r="H4" s="133">
        <f>IF(B$17=0,0,G4/B$17)</f>
        <v>0.82352941176470584</v>
      </c>
      <c r="I4" s="94">
        <v>4</v>
      </c>
      <c r="K4" s="38">
        <v>2</v>
      </c>
      <c r="L4" s="99">
        <v>-76.2</v>
      </c>
      <c r="N4" s="115" t="s">
        <v>134</v>
      </c>
      <c r="O4" s="122">
        <f t="shared" si="0"/>
        <v>-850</v>
      </c>
      <c r="P4" s="119">
        <v>14</v>
      </c>
      <c r="Q4" s="103">
        <v>-11900</v>
      </c>
    </row>
    <row r="5" spans="1:17" x14ac:dyDescent="0.4">
      <c r="A5" s="55" t="s">
        <v>7</v>
      </c>
      <c r="B5" s="152">
        <f>IF(B$2=0,0,B$4/B$2)</f>
        <v>-9.9071428571428566</v>
      </c>
      <c r="C5" s="153"/>
      <c r="E5" s="63" t="s">
        <v>68</v>
      </c>
      <c r="F5" s="60" t="s">
        <v>24</v>
      </c>
      <c r="G5" s="47">
        <v>7</v>
      </c>
      <c r="H5" s="133">
        <f>IF(B$17=0,0,G5/B$17)</f>
        <v>0.20588235294117646</v>
      </c>
      <c r="I5" s="94">
        <v>12</v>
      </c>
      <c r="K5" s="38">
        <v>3</v>
      </c>
      <c r="L5" s="99">
        <v>-78.400000000000006</v>
      </c>
      <c r="N5" s="115" t="s">
        <v>135</v>
      </c>
      <c r="O5" s="122">
        <f t="shared" si="0"/>
        <v>-4700</v>
      </c>
      <c r="P5" s="119">
        <v>13</v>
      </c>
      <c r="Q5" s="103">
        <v>-61100</v>
      </c>
    </row>
    <row r="6" spans="1:17" x14ac:dyDescent="0.4">
      <c r="A6" s="55" t="s">
        <v>1</v>
      </c>
      <c r="B6" s="142">
        <f>IF(B$2=0,0,(B$7*1+B$8*2+B$9*3)/B$2)</f>
        <v>2.1428571428571428</v>
      </c>
      <c r="C6" s="143"/>
      <c r="E6" s="63" t="s">
        <v>69</v>
      </c>
      <c r="F6" s="60" t="s">
        <v>12</v>
      </c>
      <c r="G6" s="47">
        <v>12</v>
      </c>
      <c r="H6" s="133">
        <f>IF(B$17=0,0,G6/B$17)</f>
        <v>0.35294117647058826</v>
      </c>
      <c r="I6" s="94">
        <v>6</v>
      </c>
      <c r="K6" s="38">
        <v>4</v>
      </c>
      <c r="L6" s="99">
        <v>-49.800000000000004</v>
      </c>
      <c r="N6" s="115" t="s">
        <v>136</v>
      </c>
      <c r="O6" s="122">
        <f t="shared" si="0"/>
        <v>1869.2307692307693</v>
      </c>
      <c r="P6" s="119">
        <v>13</v>
      </c>
      <c r="Q6" s="103">
        <v>24300</v>
      </c>
    </row>
    <row r="7" spans="1:17" x14ac:dyDescent="0.4">
      <c r="A7" s="55" t="s">
        <v>2</v>
      </c>
      <c r="B7" s="47">
        <v>5</v>
      </c>
      <c r="C7" s="39">
        <f>IF(B$2=0,0,B7/B$2)</f>
        <v>0.35714285714285715</v>
      </c>
      <c r="E7" s="63" t="s">
        <v>70</v>
      </c>
      <c r="F7" s="60" t="s">
        <v>25</v>
      </c>
      <c r="G7" s="47">
        <v>6</v>
      </c>
      <c r="H7" s="133">
        <f>IF(B$17=0,0,G7/B$17)</f>
        <v>0.17647058823529413</v>
      </c>
      <c r="I7" s="94">
        <v>7</v>
      </c>
      <c r="K7" s="38">
        <v>5</v>
      </c>
      <c r="L7" s="99">
        <v>-121</v>
      </c>
      <c r="N7" s="116" t="s">
        <v>137</v>
      </c>
      <c r="O7" s="123">
        <f t="shared" si="0"/>
        <v>-3650</v>
      </c>
      <c r="P7" s="120">
        <v>12</v>
      </c>
      <c r="Q7" s="104">
        <v>-43800</v>
      </c>
    </row>
    <row r="8" spans="1:17" x14ac:dyDescent="0.4">
      <c r="A8" s="55" t="s">
        <v>3</v>
      </c>
      <c r="B8" s="47">
        <v>2</v>
      </c>
      <c r="C8" s="39">
        <f>IF(B$2=0,0,B8/B$2)</f>
        <v>0.14285714285714285</v>
      </c>
      <c r="E8" s="63" t="s">
        <v>71</v>
      </c>
      <c r="F8" s="60" t="s">
        <v>26</v>
      </c>
      <c r="G8" s="47">
        <v>4</v>
      </c>
      <c r="H8" s="133">
        <f>IF(B$17=0,0,G8/B$17)</f>
        <v>0.11764705882352941</v>
      </c>
      <c r="I8" s="94">
        <v>4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7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2</v>
      </c>
      <c r="H9" s="133">
        <f>IF(B$17=0,0,G9/B$17)</f>
        <v>5.8823529411764705E-2</v>
      </c>
      <c r="I9" s="94">
        <v>7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2</v>
      </c>
      <c r="C10" s="40">
        <f>IF(B$2=0,0,B10/B$2)</f>
        <v>0.14285714285714285</v>
      </c>
      <c r="E10" s="63" t="s">
        <v>73</v>
      </c>
      <c r="F10" s="60" t="s">
        <v>28</v>
      </c>
      <c r="G10" s="47">
        <v>21</v>
      </c>
      <c r="H10" s="133">
        <f>IF(B$17=0,0,G10/B$17)</f>
        <v>0.61764705882352944</v>
      </c>
      <c r="I10" s="94">
        <v>2</v>
      </c>
      <c r="K10" s="38">
        <v>8</v>
      </c>
      <c r="L10" s="99">
        <v>-170.5</v>
      </c>
      <c r="N10" s="114" t="s">
        <v>164</v>
      </c>
      <c r="O10" s="124">
        <f>IF(P10=0,0,Q10/P10)</f>
        <v>-12.83333333333333</v>
      </c>
      <c r="P10" s="118">
        <v>6</v>
      </c>
      <c r="Q10" s="106">
        <v>-76.999999999999986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1</v>
      </c>
      <c r="H11" s="133">
        <f>IF(B$17=0,0,G11/B$17)</f>
        <v>2.9411764705882353E-2</v>
      </c>
      <c r="I11" s="94">
        <v>1</v>
      </c>
      <c r="K11" s="38">
        <v>9</v>
      </c>
      <c r="L11" s="99">
        <v>-228.1</v>
      </c>
      <c r="N11" s="115" t="s">
        <v>165</v>
      </c>
      <c r="O11" s="125">
        <f>IF(P11=0,0,Q11/P11)</f>
        <v>-17.350000000000001</v>
      </c>
      <c r="P11" s="119">
        <v>4</v>
      </c>
      <c r="Q11" s="107">
        <v>-69.400000000000006</v>
      </c>
    </row>
    <row r="12" spans="1:17" x14ac:dyDescent="0.4">
      <c r="A12" s="57" t="s">
        <v>160</v>
      </c>
      <c r="B12" s="49">
        <v>1</v>
      </c>
      <c r="C12" s="42">
        <f>IF(B$2=0,0,B12/B$2)</f>
        <v>7.1428571428571425E-2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K12" s="38">
        <v>10</v>
      </c>
      <c r="L12" s="99">
        <v>-197.5</v>
      </c>
      <c r="N12" s="116" t="s">
        <v>166</v>
      </c>
      <c r="O12" s="126">
        <f>IF(P12=0,0,Q12/P12)</f>
        <v>1.9250000000000003</v>
      </c>
      <c r="P12" s="120">
        <v>4</v>
      </c>
      <c r="Q12" s="108">
        <v>7.7000000000000011</v>
      </c>
    </row>
    <row r="13" spans="1:17" x14ac:dyDescent="0.4">
      <c r="A13" s="58" t="s">
        <v>122</v>
      </c>
      <c r="B13" s="50">
        <v>28</v>
      </c>
      <c r="C13" s="44">
        <f>IF(B$3=0,0,B13/B$3)</f>
        <v>0.23728813559322035</v>
      </c>
      <c r="E13" s="63" t="s">
        <v>76</v>
      </c>
      <c r="F13" s="60" t="s">
        <v>31</v>
      </c>
      <c r="G13" s="47">
        <v>1</v>
      </c>
      <c r="H13" s="133">
        <f>IF(B$17=0,0,G13/B$17)</f>
        <v>2.9411764705882353E-2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25</v>
      </c>
      <c r="C14" s="39">
        <f>IF(B$3=0,0,B14/B$3)</f>
        <v>0.21186440677966101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</v>
      </c>
      <c r="C15" s="37">
        <f>IF(B$13=0,0,B15/B$13)</f>
        <v>0.6785714285714286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K15" s="38">
        <v>13</v>
      </c>
      <c r="L15" s="99">
        <v>-144.79999999999998</v>
      </c>
      <c r="N15" s="114" t="s">
        <v>129</v>
      </c>
      <c r="O15" s="124">
        <f t="shared" ref="O15:O21" si="2">IF(P15=0,0,Q15/P15)</f>
        <v>51.9</v>
      </c>
      <c r="P15" s="118">
        <v>3</v>
      </c>
      <c r="Q15" s="106">
        <v>155.69999999999999</v>
      </c>
    </row>
    <row r="16" spans="1:17" x14ac:dyDescent="0.4">
      <c r="A16" s="54" t="s">
        <v>125</v>
      </c>
      <c r="B16" s="46">
        <v>11</v>
      </c>
      <c r="C16" s="37">
        <f>IF(B$14=0,0,B16/B$14)</f>
        <v>0.44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172</v>
      </c>
      <c r="O16" s="125">
        <f t="shared" si="2"/>
        <v>-17.350000000000001</v>
      </c>
      <c r="P16" s="119">
        <v>2</v>
      </c>
      <c r="Q16" s="107">
        <v>-34.700000000000003</v>
      </c>
    </row>
    <row r="17" spans="1:17" x14ac:dyDescent="0.4">
      <c r="A17" s="54" t="s">
        <v>10</v>
      </c>
      <c r="B17" s="46">
        <f>B19+B18</f>
        <v>34</v>
      </c>
      <c r="C17" s="37">
        <f>IF(B$3=0,0,B17/B$3)</f>
        <v>0.28813559322033899</v>
      </c>
      <c r="E17" s="63" t="s">
        <v>80</v>
      </c>
      <c r="F17" s="60" t="s">
        <v>35</v>
      </c>
      <c r="G17" s="47">
        <v>2</v>
      </c>
      <c r="H17" s="133">
        <f>IF(B$17=0,0,G17/B$17)</f>
        <v>5.8823529411764705E-2</v>
      </c>
      <c r="I17" s="94">
        <v>1</v>
      </c>
      <c r="N17" s="115" t="s">
        <v>127</v>
      </c>
      <c r="O17" s="125">
        <f t="shared" si="2"/>
        <v>-20.222222222222225</v>
      </c>
      <c r="P17" s="119">
        <v>9</v>
      </c>
      <c r="Q17" s="107">
        <v>-182.00000000000003</v>
      </c>
    </row>
    <row r="18" spans="1:17" x14ac:dyDescent="0.4">
      <c r="A18" s="55" t="s">
        <v>12</v>
      </c>
      <c r="B18" s="47">
        <v>18</v>
      </c>
      <c r="C18" s="39">
        <f>IF(B$17=0,0,B18/B$17)</f>
        <v>0.52941176470588236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177</v>
      </c>
      <c r="O18" s="125">
        <f t="shared" si="2"/>
        <v>-20.240000000000002</v>
      </c>
      <c r="P18" s="119">
        <v>5</v>
      </c>
      <c r="Q18" s="107">
        <v>-101.20000000000002</v>
      </c>
    </row>
    <row r="19" spans="1:17" x14ac:dyDescent="0.4">
      <c r="A19" s="55" t="s">
        <v>11</v>
      </c>
      <c r="B19" s="47">
        <v>16</v>
      </c>
      <c r="C19" s="39">
        <f>IF(B$17=0,0,B19/B$17)</f>
        <v>0.47058823529411764</v>
      </c>
      <c r="E19" s="63" t="s">
        <v>82</v>
      </c>
      <c r="F19" s="60" t="s">
        <v>37</v>
      </c>
      <c r="G19" s="47">
        <v>1</v>
      </c>
      <c r="H19" s="133">
        <f>IF(B$17=0,0,G19/B$17)</f>
        <v>2.9411764705882353E-2</v>
      </c>
      <c r="I19" s="94">
        <v>6</v>
      </c>
      <c r="N19" s="115" t="s">
        <v>128</v>
      </c>
      <c r="O19" s="125">
        <f t="shared" si="2"/>
        <v>-22.25</v>
      </c>
      <c r="P19" s="119">
        <v>6</v>
      </c>
      <c r="Q19" s="107">
        <v>-133.5</v>
      </c>
    </row>
    <row r="20" spans="1:17" x14ac:dyDescent="0.4">
      <c r="A20" s="55" t="s">
        <v>13</v>
      </c>
      <c r="B20" s="47">
        <v>26</v>
      </c>
      <c r="C20" s="39">
        <f>IF(B$3=0,0,B20/B$3)</f>
        <v>0.22033898305084745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171</v>
      </c>
      <c r="O20" s="125">
        <f t="shared" si="2"/>
        <v>-25.400000000000002</v>
      </c>
      <c r="P20" s="119">
        <v>2</v>
      </c>
      <c r="Q20" s="107">
        <v>-50.800000000000004</v>
      </c>
    </row>
    <row r="21" spans="1:17" x14ac:dyDescent="0.4">
      <c r="A21" s="55" t="s">
        <v>193</v>
      </c>
      <c r="B21" s="47">
        <v>4</v>
      </c>
      <c r="C21" s="135">
        <v>0</v>
      </c>
      <c r="E21" s="63" t="s">
        <v>84</v>
      </c>
      <c r="F21" s="60" t="s">
        <v>39</v>
      </c>
      <c r="G21" s="47">
        <v>4</v>
      </c>
      <c r="H21" s="133">
        <f>IF(B$17=0,0,G21/B$17)</f>
        <v>0.11764705882352941</v>
      </c>
      <c r="I21" s="94">
        <v>1</v>
      </c>
      <c r="N21" s="115" t="s">
        <v>185</v>
      </c>
      <c r="O21" s="125">
        <f t="shared" si="2"/>
        <v>-69.599999999999994</v>
      </c>
      <c r="P21" s="119">
        <v>1</v>
      </c>
      <c r="Q21" s="107">
        <v>-69.599999999999994</v>
      </c>
    </row>
    <row r="22" spans="1:17" x14ac:dyDescent="0.4">
      <c r="A22" s="55" t="s">
        <v>194</v>
      </c>
      <c r="B22" s="47">
        <v>17</v>
      </c>
      <c r="C22" s="135">
        <v>7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7494.1176470588234</v>
      </c>
      <c r="C23" s="41">
        <v>254800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-8107.6923076923076</v>
      </c>
      <c r="C24" s="45">
        <v>-210800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6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62700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0.14705882352941177</v>
      </c>
      <c r="I27" s="94">
        <v>6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12</v>
      </c>
      <c r="H51" s="134">
        <f>IF(B$17=0,0,G51/B$17)</f>
        <v>0.35294117647058826</v>
      </c>
      <c r="I51" s="95">
        <v>11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FA9AF-16F8-4BBF-89F8-E69A75F604F1}">
  <sheetPr codeName="Sheet25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202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7</v>
      </c>
      <c r="C2" s="147"/>
      <c r="E2" s="62" t="s">
        <v>65</v>
      </c>
      <c r="F2" s="59" t="s">
        <v>21</v>
      </c>
      <c r="G2" s="46">
        <v>12</v>
      </c>
      <c r="H2" s="132">
        <f>IF(B$17=0,0,G2/B$17)</f>
        <v>0.5714285714285714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-2071.4285714285716</v>
      </c>
      <c r="P2" s="118">
        <v>7</v>
      </c>
      <c r="Q2" s="102">
        <v>-14500</v>
      </c>
    </row>
    <row r="3" spans="1:17" x14ac:dyDescent="0.4">
      <c r="A3" s="55" t="s">
        <v>8</v>
      </c>
      <c r="B3" s="148">
        <v>69</v>
      </c>
      <c r="C3" s="149"/>
      <c r="E3" s="63" t="s">
        <v>66</v>
      </c>
      <c r="F3" s="60" t="s">
        <v>22</v>
      </c>
      <c r="G3" s="47">
        <v>1</v>
      </c>
      <c r="H3" s="133">
        <f>IF(B$17=0,0,G3/B$17)</f>
        <v>4.7619047619047616E-2</v>
      </c>
      <c r="I3" s="94">
        <v>9</v>
      </c>
      <c r="K3" s="38">
        <v>1</v>
      </c>
      <c r="L3" s="99">
        <v>-12.5</v>
      </c>
      <c r="N3" s="115" t="s">
        <v>133</v>
      </c>
      <c r="O3" s="122">
        <f t="shared" si="0"/>
        <v>2828.5714285714284</v>
      </c>
      <c r="P3" s="119">
        <v>7</v>
      </c>
      <c r="Q3" s="103">
        <v>19800</v>
      </c>
    </row>
    <row r="4" spans="1:17" x14ac:dyDescent="0.4">
      <c r="A4" s="55" t="s">
        <v>6</v>
      </c>
      <c r="B4" s="150">
        <v>-25.300000000000004</v>
      </c>
      <c r="C4" s="151"/>
      <c r="E4" s="63" t="s">
        <v>67</v>
      </c>
      <c r="F4" s="60" t="s">
        <v>23</v>
      </c>
      <c r="G4" s="47">
        <v>11</v>
      </c>
      <c r="H4" s="133">
        <f>IF(B$17=0,0,G4/B$17)</f>
        <v>0.52380952380952384</v>
      </c>
      <c r="I4" s="94">
        <v>12</v>
      </c>
      <c r="K4" s="38">
        <v>2</v>
      </c>
      <c r="L4" s="99">
        <v>-28.1</v>
      </c>
      <c r="N4" s="115" t="s">
        <v>134</v>
      </c>
      <c r="O4" s="122">
        <f t="shared" si="0"/>
        <v>-6371.4285714285716</v>
      </c>
      <c r="P4" s="119">
        <v>7</v>
      </c>
      <c r="Q4" s="103">
        <v>-44600</v>
      </c>
    </row>
    <row r="5" spans="1:17" x14ac:dyDescent="0.4">
      <c r="A5" s="55" t="s">
        <v>7</v>
      </c>
      <c r="B5" s="152">
        <f>IF(B$2=0,0,B$4/B$2)</f>
        <v>-3.6142857142857148</v>
      </c>
      <c r="C5" s="153"/>
      <c r="E5" s="63" t="s">
        <v>68</v>
      </c>
      <c r="F5" s="60" t="s">
        <v>24</v>
      </c>
      <c r="G5" s="47">
        <v>8</v>
      </c>
      <c r="H5" s="133">
        <f>IF(B$17=0,0,G5/B$17)</f>
        <v>0.38095238095238093</v>
      </c>
      <c r="I5" s="94">
        <v>4</v>
      </c>
      <c r="K5" s="38">
        <v>3</v>
      </c>
      <c r="L5" s="99">
        <v>-20.400000000000002</v>
      </c>
      <c r="N5" s="115" t="s">
        <v>135</v>
      </c>
      <c r="O5" s="122">
        <f t="shared" si="0"/>
        <v>-2471.4285714285716</v>
      </c>
      <c r="P5" s="119">
        <v>7</v>
      </c>
      <c r="Q5" s="103">
        <v>-17300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8</v>
      </c>
      <c r="H6" s="133">
        <f>IF(B$17=0,0,G6/B$17)</f>
        <v>0.38095238095238093</v>
      </c>
      <c r="I6" s="94">
        <v>5</v>
      </c>
      <c r="K6" s="38">
        <v>4</v>
      </c>
      <c r="L6" s="99">
        <v>19.399999999999995</v>
      </c>
      <c r="N6" s="115" t="s">
        <v>136</v>
      </c>
      <c r="O6" s="122">
        <f t="shared" si="0"/>
        <v>4240</v>
      </c>
      <c r="P6" s="119">
        <v>5</v>
      </c>
      <c r="Q6" s="103">
        <v>21200</v>
      </c>
    </row>
    <row r="7" spans="1:17" x14ac:dyDescent="0.4">
      <c r="A7" s="55" t="s">
        <v>2</v>
      </c>
      <c r="B7" s="47">
        <v>1</v>
      </c>
      <c r="C7" s="39">
        <f>IF(B$2=0,0,B7/B$2)</f>
        <v>0.14285714285714285</v>
      </c>
      <c r="E7" s="63" t="s">
        <v>70</v>
      </c>
      <c r="F7" s="60" t="s">
        <v>25</v>
      </c>
      <c r="G7" s="47">
        <v>5</v>
      </c>
      <c r="H7" s="133">
        <f>IF(B$17=0,0,G7/B$17)</f>
        <v>0.23809523809523808</v>
      </c>
      <c r="I7" s="94">
        <v>1</v>
      </c>
      <c r="K7" s="38">
        <v>5</v>
      </c>
      <c r="L7" s="99">
        <v>-16.100000000000005</v>
      </c>
      <c r="N7" s="116" t="s">
        <v>137</v>
      </c>
      <c r="O7" s="123">
        <f t="shared" si="0"/>
        <v>2020</v>
      </c>
      <c r="P7" s="120">
        <v>5</v>
      </c>
      <c r="Q7" s="104">
        <v>10100</v>
      </c>
    </row>
    <row r="8" spans="1:17" x14ac:dyDescent="0.4">
      <c r="A8" s="55" t="s">
        <v>3</v>
      </c>
      <c r="B8" s="47">
        <v>5</v>
      </c>
      <c r="C8" s="39">
        <f>IF(B$2=0,0,B8/B$2)</f>
        <v>0.7142857142857143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0.14285714285714285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13</v>
      </c>
      <c r="H10" s="133">
        <f>IF(B$17=0,0,G10/B$17)</f>
        <v>0.61904761904761907</v>
      </c>
      <c r="I10" s="94">
        <v>1</v>
      </c>
      <c r="N10" s="114" t="s">
        <v>164</v>
      </c>
      <c r="O10" s="124">
        <f>IF(P10=0,0,Q10/P10)</f>
        <v>-12.3</v>
      </c>
      <c r="P10" s="118">
        <v>2</v>
      </c>
      <c r="Q10" s="106">
        <v>-24.6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7.7</v>
      </c>
      <c r="P11" s="119">
        <v>1</v>
      </c>
      <c r="Q11" s="107">
        <v>7.7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-2.1000000000000005</v>
      </c>
      <c r="P12" s="120">
        <v>4</v>
      </c>
      <c r="Q12" s="108">
        <v>-8.4000000000000021</v>
      </c>
    </row>
    <row r="13" spans="1:17" x14ac:dyDescent="0.4">
      <c r="A13" s="58" t="s">
        <v>122</v>
      </c>
      <c r="B13" s="50">
        <v>17</v>
      </c>
      <c r="C13" s="44">
        <f>IF(B$3=0,0,B13/B$3)</f>
        <v>0.24637681159420291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</v>
      </c>
      <c r="C14" s="39">
        <f>IF(B$3=0,0,B14/B$3)</f>
        <v>0.27536231884057971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</v>
      </c>
      <c r="C15" s="37">
        <f>IF(B$13=0,0,B15/B$13)</f>
        <v>0.70588235294117652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173</v>
      </c>
      <c r="O15" s="124">
        <f t="shared" ref="O15:O20" si="2"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8</v>
      </c>
      <c r="C16" s="37">
        <f>IF(B$14=0,0,B16/B$14)</f>
        <v>0.42105263157894735</v>
      </c>
      <c r="E16" s="63" t="s">
        <v>79</v>
      </c>
      <c r="F16" s="60" t="s">
        <v>34</v>
      </c>
      <c r="G16" s="47">
        <v>2</v>
      </c>
      <c r="H16" s="133">
        <f>IF(B$17=0,0,G16/B$17)</f>
        <v>9.5238095238095233E-2</v>
      </c>
      <c r="I16" s="94">
        <v>2</v>
      </c>
      <c r="N16" s="115" t="s">
        <v>127</v>
      </c>
      <c r="O16" s="125">
        <f t="shared" si="2"/>
        <v>13.45</v>
      </c>
      <c r="P16" s="119">
        <v>2</v>
      </c>
      <c r="Q16" s="107">
        <v>26.9</v>
      </c>
    </row>
    <row r="17" spans="1:17" x14ac:dyDescent="0.4">
      <c r="A17" s="54" t="s">
        <v>10</v>
      </c>
      <c r="B17" s="46">
        <f>B19+B18</f>
        <v>21</v>
      </c>
      <c r="C17" s="37">
        <f>IF(B$3=0,0,B17/B$3)</f>
        <v>0.30434782608695654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171</v>
      </c>
      <c r="O17" s="125">
        <f t="shared" si="2"/>
        <v>9</v>
      </c>
      <c r="P17" s="119">
        <v>3</v>
      </c>
      <c r="Q17" s="107">
        <v>27</v>
      </c>
    </row>
    <row r="18" spans="1:17" x14ac:dyDescent="0.4">
      <c r="A18" s="55" t="s">
        <v>12</v>
      </c>
      <c r="B18" s="47">
        <v>12</v>
      </c>
      <c r="C18" s="39">
        <f>IF(B$17=0,0,B18/B$17)</f>
        <v>0.5714285714285714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128</v>
      </c>
      <c r="O18" s="125">
        <f t="shared" si="2"/>
        <v>5.5000000000000018</v>
      </c>
      <c r="P18" s="119">
        <v>2</v>
      </c>
      <c r="Q18" s="107">
        <v>11.000000000000004</v>
      </c>
    </row>
    <row r="19" spans="1:17" x14ac:dyDescent="0.4">
      <c r="A19" s="55" t="s">
        <v>11</v>
      </c>
      <c r="B19" s="47">
        <v>9</v>
      </c>
      <c r="C19" s="39">
        <f>IF(B$17=0,0,B19/B$17)</f>
        <v>0.42857142857142855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  <c r="N19" s="115" t="s">
        <v>172</v>
      </c>
      <c r="O19" s="125">
        <f t="shared" si="2"/>
        <v>-16.450000000000006</v>
      </c>
      <c r="P19" s="119">
        <v>4</v>
      </c>
      <c r="Q19" s="107">
        <v>-65.800000000000026</v>
      </c>
    </row>
    <row r="20" spans="1:17" x14ac:dyDescent="0.4">
      <c r="A20" s="55" t="s">
        <v>13</v>
      </c>
      <c r="B20" s="47">
        <v>12</v>
      </c>
      <c r="C20" s="39">
        <f>IF(B$3=0,0,B20/B$3)</f>
        <v>0.17391304347826086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N20" s="115" t="s">
        <v>177</v>
      </c>
      <c r="O20" s="125">
        <f t="shared" si="2"/>
        <v>-59.05</v>
      </c>
      <c r="P20" s="119">
        <v>2</v>
      </c>
      <c r="Q20" s="107">
        <v>-118.1</v>
      </c>
    </row>
    <row r="21" spans="1:17" x14ac:dyDescent="0.4">
      <c r="A21" s="55" t="s">
        <v>193</v>
      </c>
      <c r="B21" s="47">
        <v>3</v>
      </c>
      <c r="C21" s="135">
        <v>0</v>
      </c>
      <c r="E21" s="63" t="s">
        <v>84</v>
      </c>
      <c r="F21" s="60" t="s">
        <v>39</v>
      </c>
      <c r="G21" s="47">
        <v>1</v>
      </c>
      <c r="H21" s="133">
        <f>IF(B$17=0,0,G21/B$17)</f>
        <v>4.7619047619047616E-2</v>
      </c>
      <c r="I21" s="94">
        <v>4</v>
      </c>
    </row>
    <row r="22" spans="1:17" x14ac:dyDescent="0.4">
      <c r="A22" s="55" t="s">
        <v>194</v>
      </c>
      <c r="B22" s="47">
        <v>12</v>
      </c>
      <c r="C22" s="135">
        <v>4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7438.0952380952385</v>
      </c>
      <c r="C23" s="41">
        <v>156200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-6683.333333333333</v>
      </c>
      <c r="C24" s="45">
        <v>-80200</v>
      </c>
      <c r="E24" s="63" t="s">
        <v>87</v>
      </c>
      <c r="F24" s="60" t="s">
        <v>42</v>
      </c>
      <c r="G24" s="47">
        <v>2</v>
      </c>
      <c r="H24" s="133">
        <f>IF(B$17=0,0,G24/B$17)</f>
        <v>9.5238095238095233E-2</v>
      </c>
      <c r="I24" s="94">
        <v>2</v>
      </c>
    </row>
    <row r="25" spans="1:17" x14ac:dyDescent="0.4">
      <c r="A25" s="90" t="s">
        <v>142</v>
      </c>
      <c r="B25" s="140">
        <v>4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54800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4</v>
      </c>
      <c r="H27" s="133">
        <f>IF(B$17=0,0,G27/B$17)</f>
        <v>0.19047619047619047</v>
      </c>
      <c r="I27" s="94">
        <v>3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7</v>
      </c>
      <c r="H51" s="134">
        <f>IF(B$17=0,0,G51/B$17)</f>
        <v>0.33333333333333331</v>
      </c>
      <c r="I51" s="95">
        <v>12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B973-011A-4428-B1F2-AC68ABE15893}">
  <sheetPr codeName="Sheet27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224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1</v>
      </c>
      <c r="C2" s="147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10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48">
        <v>13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0">
        <v>13.3</v>
      </c>
      <c r="C4" s="151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2">
        <f>IF(B$2=0,0,B$4/B$2)</f>
        <v>13.3</v>
      </c>
      <c r="C5" s="153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2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2">
        <f>IF(B$2=0,0,(B$7*1+B$8*2+B$9*3)/B$2)</f>
        <v>2</v>
      </c>
      <c r="C6" s="143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2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11</v>
      </c>
    </row>
    <row r="22" spans="1:9" x14ac:dyDescent="0.4">
      <c r="A22" s="55" t="s">
        <v>194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0">
        <v>5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38">
        <v>48300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0.5</v>
      </c>
      <c r="I51" s="95">
        <v>1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E32C9-A4A1-46D8-BCFE-4929E709E70D}">
  <sheetPr codeName="Sheet29"/>
  <dimension ref="A1:Q51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4" t="s">
        <v>225</v>
      </c>
      <c r="C1" s="145"/>
      <c r="E1" s="129" t="s">
        <v>167</v>
      </c>
      <c r="F1" s="137" t="s">
        <v>116</v>
      </c>
      <c r="G1" s="136" t="s">
        <v>117</v>
      </c>
      <c r="H1" s="130" t="s">
        <v>118</v>
      </c>
      <c r="I1" s="137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46">
        <v>2</v>
      </c>
      <c r="C2" s="147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250</v>
      </c>
      <c r="P2" s="118">
        <v>2</v>
      </c>
      <c r="Q2" s="102">
        <v>500</v>
      </c>
    </row>
    <row r="3" spans="1:17" x14ac:dyDescent="0.4">
      <c r="A3" s="55" t="s">
        <v>8</v>
      </c>
      <c r="B3" s="148">
        <v>17</v>
      </c>
      <c r="C3" s="149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11</v>
      </c>
      <c r="K3" s="38">
        <v>1</v>
      </c>
      <c r="L3" s="99">
        <v>-37</v>
      </c>
      <c r="N3" s="115" t="s">
        <v>133</v>
      </c>
      <c r="O3" s="122">
        <f t="shared" si="0"/>
        <v>-7000</v>
      </c>
      <c r="P3" s="119">
        <v>2</v>
      </c>
      <c r="Q3" s="103">
        <v>-14000</v>
      </c>
    </row>
    <row r="4" spans="1:17" x14ac:dyDescent="0.4">
      <c r="A4" s="55" t="s">
        <v>6</v>
      </c>
      <c r="B4" s="150">
        <v>-24.7</v>
      </c>
      <c r="C4" s="151"/>
      <c r="E4" s="63" t="s">
        <v>67</v>
      </c>
      <c r="F4" s="60" t="s">
        <v>23</v>
      </c>
      <c r="G4" s="47">
        <v>4</v>
      </c>
      <c r="H4" s="133">
        <f>IF(B$17=0,0,G4/B$17)</f>
        <v>0.8</v>
      </c>
      <c r="I4" s="94">
        <v>5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2</v>
      </c>
      <c r="Q4" s="103">
        <v>-6000</v>
      </c>
    </row>
    <row r="5" spans="1:17" x14ac:dyDescent="0.4">
      <c r="A5" s="55" t="s">
        <v>7</v>
      </c>
      <c r="B5" s="152">
        <f>IF(B$2=0,0,B$4/B$2)</f>
        <v>-12.35</v>
      </c>
      <c r="C5" s="153"/>
      <c r="E5" s="63" t="s">
        <v>68</v>
      </c>
      <c r="F5" s="60" t="s">
        <v>24</v>
      </c>
      <c r="G5" s="47">
        <v>3</v>
      </c>
      <c r="H5" s="133">
        <f>IF(B$17=0,0,G5/B$17)</f>
        <v>0.6</v>
      </c>
      <c r="I5" s="94">
        <v>1</v>
      </c>
      <c r="N5" s="115" t="s">
        <v>135</v>
      </c>
      <c r="O5" s="122">
        <f t="shared" si="0"/>
        <v>-1000</v>
      </c>
      <c r="P5" s="119">
        <v>2</v>
      </c>
      <c r="Q5" s="103">
        <v>-2000</v>
      </c>
    </row>
    <row r="6" spans="1:17" x14ac:dyDescent="0.4">
      <c r="A6" s="55" t="s">
        <v>1</v>
      </c>
      <c r="B6" s="142">
        <f>IF(B$2=0,0,(B$7*1+B$8*2+B$9*3)/B$2)</f>
        <v>2.5</v>
      </c>
      <c r="C6" s="143"/>
      <c r="E6" s="63" t="s">
        <v>69</v>
      </c>
      <c r="F6" s="60" t="s">
        <v>12</v>
      </c>
      <c r="G6" s="47">
        <v>3</v>
      </c>
      <c r="H6" s="133">
        <f>IF(B$17=0,0,G6/B$17)</f>
        <v>0.6</v>
      </c>
      <c r="I6" s="94">
        <v>1</v>
      </c>
      <c r="N6" s="115" t="s">
        <v>136</v>
      </c>
      <c r="O6" s="122">
        <f t="shared" si="0"/>
        <v>400</v>
      </c>
      <c r="P6" s="119">
        <v>2</v>
      </c>
      <c r="Q6" s="103">
        <v>800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12</v>
      </c>
      <c r="N7" s="116" t="s">
        <v>137</v>
      </c>
      <c r="O7" s="123">
        <f t="shared" si="0"/>
        <v>16000</v>
      </c>
      <c r="P7" s="120">
        <v>1</v>
      </c>
      <c r="Q7" s="104">
        <v>16000</v>
      </c>
    </row>
    <row r="8" spans="1:17" x14ac:dyDescent="0.4">
      <c r="A8" s="55" t="s">
        <v>3</v>
      </c>
      <c r="B8" s="47">
        <v>1</v>
      </c>
      <c r="C8" s="39">
        <f>IF(B$2=0,0,B8/B$2)</f>
        <v>0.5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10</v>
      </c>
      <c r="N8" s="43"/>
      <c r="O8" s="127"/>
      <c r="P8" s="111"/>
      <c r="Q8" s="109"/>
    </row>
    <row r="9" spans="1:17" x14ac:dyDescent="0.4">
      <c r="A9" s="56" t="s">
        <v>4</v>
      </c>
      <c r="B9" s="48">
        <v>1</v>
      </c>
      <c r="C9" s="40">
        <f t="shared" ref="C9" si="1">IF(B$2=0,0,B9/B$2)</f>
        <v>0.5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5</v>
      </c>
      <c r="H10" s="133">
        <f>IF(B$17=0,0,G10/B$17)</f>
        <v>1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6</v>
      </c>
      <c r="N12" s="116" t="s">
        <v>166</v>
      </c>
      <c r="O12" s="126">
        <f>IF(P12=0,0,Q12/P12)</f>
        <v>12.3</v>
      </c>
      <c r="P12" s="120">
        <v>1</v>
      </c>
      <c r="Q12" s="108">
        <v>12.3</v>
      </c>
    </row>
    <row r="13" spans="1:17" x14ac:dyDescent="0.4">
      <c r="A13" s="58" t="s">
        <v>122</v>
      </c>
      <c r="B13" s="50">
        <v>3</v>
      </c>
      <c r="C13" s="44">
        <f>IF(B$3=0,0,B13/B$3)</f>
        <v>0.17647058823529413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0.23529411764705882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5</v>
      </c>
      <c r="N15" s="114" t="s">
        <v>127</v>
      </c>
      <c r="O15" s="124">
        <f>IF(P15=0,0,Q15/P15)</f>
        <v>81.8</v>
      </c>
      <c r="P15" s="118">
        <v>1</v>
      </c>
      <c r="Q15" s="106">
        <v>81.8</v>
      </c>
    </row>
    <row r="16" spans="1:17" x14ac:dyDescent="0.4">
      <c r="A16" s="54" t="s">
        <v>125</v>
      </c>
      <c r="B16" s="46">
        <v>1</v>
      </c>
      <c r="C16" s="37">
        <f>IF(B$14=0,0,B16/B$14)</f>
        <v>0.25</v>
      </c>
      <c r="E16" s="63" t="s">
        <v>79</v>
      </c>
      <c r="F16" s="60" t="s">
        <v>34</v>
      </c>
      <c r="G16" s="47">
        <v>1</v>
      </c>
      <c r="H16" s="133">
        <f>IF(B$17=0,0,G16/B$17)</f>
        <v>0.2</v>
      </c>
      <c r="I16" s="94">
        <v>1</v>
      </c>
      <c r="N16" s="115" t="s">
        <v>172</v>
      </c>
      <c r="O16" s="125">
        <f>IF(P16=0,0,Q16/P16)</f>
        <v>-30.3</v>
      </c>
      <c r="P16" s="119">
        <v>1</v>
      </c>
      <c r="Q16" s="107">
        <v>-30.3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0.29411764705882354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10</v>
      </c>
      <c r="N17" s="115" t="s">
        <v>129</v>
      </c>
      <c r="O17" s="125">
        <f>IF(P17=0,0,Q17/P17)</f>
        <v>-62.800000000000004</v>
      </c>
      <c r="P17" s="119">
        <v>2</v>
      </c>
      <c r="Q17" s="107">
        <v>-125.60000000000001</v>
      </c>
    </row>
    <row r="18" spans="1:17" x14ac:dyDescent="0.4">
      <c r="A18" s="55" t="s">
        <v>12</v>
      </c>
      <c r="B18" s="47">
        <v>3</v>
      </c>
      <c r="C18" s="39">
        <f>IF(B$17=0,0,B18/B$17)</f>
        <v>0.6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17" x14ac:dyDescent="0.4">
      <c r="A19" s="55" t="s">
        <v>11</v>
      </c>
      <c r="B19" s="47">
        <v>2</v>
      </c>
      <c r="C19" s="39">
        <f>IF(B$17=0,0,B19/B$17)</f>
        <v>0.4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10</v>
      </c>
    </row>
    <row r="20" spans="1:17" x14ac:dyDescent="0.4">
      <c r="A20" s="55" t="s">
        <v>13</v>
      </c>
      <c r="B20" s="47">
        <v>4</v>
      </c>
      <c r="C20" s="39">
        <f>IF(B$3=0,0,B20/B$3)</f>
        <v>0.23529411764705882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193</v>
      </c>
      <c r="B21" s="47">
        <v>1</v>
      </c>
      <c r="C21" s="135">
        <v>1</v>
      </c>
      <c r="E21" s="63" t="s">
        <v>84</v>
      </c>
      <c r="F21" s="60" t="s">
        <v>39</v>
      </c>
      <c r="G21" s="47">
        <v>1</v>
      </c>
      <c r="H21" s="133">
        <f>IF(B$17=0,0,G21/B$17)</f>
        <v>0.2</v>
      </c>
      <c r="I21" s="94">
        <v>1</v>
      </c>
    </row>
    <row r="22" spans="1:17" x14ac:dyDescent="0.4">
      <c r="A22" s="55" t="s">
        <v>194</v>
      </c>
      <c r="B22" s="47">
        <v>7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5</v>
      </c>
    </row>
    <row r="23" spans="1:17" x14ac:dyDescent="0.4">
      <c r="A23" s="55" t="s">
        <v>5</v>
      </c>
      <c r="B23" s="51">
        <f>IF(B$17=0,0,C23/B$17)</f>
        <v>10600</v>
      </c>
      <c r="C23" s="41">
        <v>53000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-12425</v>
      </c>
      <c r="C24" s="45">
        <v>-49700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0">
        <v>3</v>
      </c>
      <c r="C25" s="141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38">
        <v>47300</v>
      </c>
      <c r="C26" s="139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4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6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6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183</v>
      </c>
      <c r="G50" s="47">
        <v>0</v>
      </c>
      <c r="H50" s="133">
        <f>IF(B$17=0,0,G50/B$17)</f>
        <v>0</v>
      </c>
      <c r="I50" s="94">
        <v>6</v>
      </c>
    </row>
    <row r="51" spans="5:9" x14ac:dyDescent="0.4">
      <c r="E51" s="64" t="s">
        <v>181</v>
      </c>
      <c r="F51" s="61" t="s">
        <v>182</v>
      </c>
      <c r="G51" s="49">
        <v>1</v>
      </c>
      <c r="H51" s="134">
        <f>IF(B$17=0,0,G51/B$17)</f>
        <v>0.2</v>
      </c>
      <c r="I51" s="95">
        <v>13</v>
      </c>
    </row>
  </sheetData>
  <sortState ref="E2:I51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90463-E9D4-4F54-B586-E4B426072385}">
  <sheetPr codeName="Sheet30"/>
  <dimension ref="A1:Q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225</v>
      </c>
      <c r="B1" s="70" t="s">
        <v>225</v>
      </c>
      <c r="C1" s="70" t="s">
        <v>225</v>
      </c>
      <c r="D1" s="71" t="s">
        <v>225</v>
      </c>
      <c r="E1" s="70" t="s">
        <v>225</v>
      </c>
      <c r="F1" s="70" t="s">
        <v>225</v>
      </c>
      <c r="G1" s="70" t="s">
        <v>225</v>
      </c>
      <c r="H1" s="70" t="s">
        <v>225</v>
      </c>
      <c r="I1" s="70" t="s">
        <v>225</v>
      </c>
      <c r="J1" s="70" t="s">
        <v>225</v>
      </c>
      <c r="K1" s="70" t="s">
        <v>225</v>
      </c>
      <c r="L1" s="70" t="s">
        <v>225</v>
      </c>
      <c r="M1" s="70" t="s">
        <v>225</v>
      </c>
      <c r="N1" s="70" t="s">
        <v>225</v>
      </c>
      <c r="O1" s="70" t="s">
        <v>225</v>
      </c>
      <c r="P1" s="70" t="s">
        <v>225</v>
      </c>
      <c r="Q1" s="70" t="s">
        <v>225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BC944-47BA-4346-B964-30BC2BE8F181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224</v>
      </c>
      <c r="B1" s="70" t="s">
        <v>224</v>
      </c>
      <c r="C1" s="70" t="s">
        <v>224</v>
      </c>
      <c r="D1" s="71" t="s">
        <v>224</v>
      </c>
      <c r="E1" s="70" t="s">
        <v>224</v>
      </c>
      <c r="F1" s="70" t="s">
        <v>224</v>
      </c>
      <c r="G1" s="70" t="s">
        <v>224</v>
      </c>
      <c r="H1" s="70" t="s">
        <v>224</v>
      </c>
      <c r="I1" s="70" t="s">
        <v>224</v>
      </c>
      <c r="J1" s="70" t="s">
        <v>224</v>
      </c>
      <c r="K1" s="70" t="s">
        <v>224</v>
      </c>
      <c r="L1" s="70" t="s">
        <v>224</v>
      </c>
      <c r="M1" s="70" t="s">
        <v>224</v>
      </c>
      <c r="N1" s="70" t="s">
        <v>224</v>
      </c>
      <c r="O1" s="70" t="s">
        <v>224</v>
      </c>
      <c r="P1" s="70" t="s">
        <v>224</v>
      </c>
      <c r="Q1" s="70" t="s">
        <v>224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447DE-E6BE-41F4-B1A4-C48C4100B371}">
  <sheetPr codeName="Sheet26"/>
  <dimension ref="A1:Q1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202</v>
      </c>
      <c r="B1" s="70" t="s">
        <v>202</v>
      </c>
      <c r="C1" s="70" t="s">
        <v>202</v>
      </c>
      <c r="D1" s="71" t="s">
        <v>202</v>
      </c>
      <c r="E1" s="70" t="s">
        <v>202</v>
      </c>
      <c r="F1" s="70" t="s">
        <v>202</v>
      </c>
      <c r="G1" s="70" t="s">
        <v>202</v>
      </c>
      <c r="H1" s="70" t="s">
        <v>202</v>
      </c>
      <c r="I1" s="70" t="s">
        <v>202</v>
      </c>
      <c r="J1" s="70" t="s">
        <v>202</v>
      </c>
      <c r="K1" s="70" t="s">
        <v>202</v>
      </c>
      <c r="L1" s="70" t="s">
        <v>202</v>
      </c>
      <c r="M1" s="70" t="s">
        <v>202</v>
      </c>
      <c r="N1" s="70" t="s">
        <v>202</v>
      </c>
      <c r="O1" s="70" t="s">
        <v>202</v>
      </c>
      <c r="P1" s="70" t="s">
        <v>202</v>
      </c>
      <c r="Q1" s="70" t="s">
        <v>202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66B0C-D27F-4F50-A79C-9D446360AC94}">
  <sheetPr codeName="Sheet24"/>
  <dimension ref="A1:Q1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186</v>
      </c>
      <c r="B1" s="70" t="s">
        <v>186</v>
      </c>
      <c r="C1" s="70" t="s">
        <v>186</v>
      </c>
      <c r="D1" s="71" t="s">
        <v>186</v>
      </c>
      <c r="E1" s="70" t="s">
        <v>186</v>
      </c>
      <c r="F1" s="70" t="s">
        <v>186</v>
      </c>
      <c r="G1" s="70" t="s">
        <v>186</v>
      </c>
      <c r="H1" s="70" t="s">
        <v>186</v>
      </c>
      <c r="I1" s="70" t="s">
        <v>186</v>
      </c>
      <c r="J1" s="70" t="s">
        <v>186</v>
      </c>
      <c r="K1" s="70" t="s">
        <v>186</v>
      </c>
      <c r="L1" s="70" t="s">
        <v>186</v>
      </c>
      <c r="M1" s="70" t="s">
        <v>186</v>
      </c>
      <c r="N1" s="70" t="s">
        <v>186</v>
      </c>
      <c r="O1" s="70" t="s">
        <v>186</v>
      </c>
      <c r="P1" s="70" t="s">
        <v>186</v>
      </c>
      <c r="Q1" s="70" t="s">
        <v>186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30BF0-A030-447F-8EB7-62E22A795A0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185</v>
      </c>
      <c r="B1" s="70" t="s">
        <v>185</v>
      </c>
      <c r="C1" s="70" t="s">
        <v>185</v>
      </c>
      <c r="D1" s="71" t="s">
        <v>185</v>
      </c>
      <c r="E1" s="70" t="s">
        <v>185</v>
      </c>
      <c r="F1" s="70" t="s">
        <v>185</v>
      </c>
      <c r="G1" s="70" t="s">
        <v>185</v>
      </c>
      <c r="H1" s="70" t="s">
        <v>185</v>
      </c>
      <c r="I1" s="70" t="s">
        <v>185</v>
      </c>
      <c r="J1" s="70" t="s">
        <v>185</v>
      </c>
      <c r="K1" s="70" t="s">
        <v>185</v>
      </c>
      <c r="L1" s="70" t="s">
        <v>185</v>
      </c>
      <c r="M1" s="70" t="s">
        <v>185</v>
      </c>
      <c r="N1" s="70" t="s">
        <v>185</v>
      </c>
      <c r="O1" s="70" t="s">
        <v>185</v>
      </c>
      <c r="P1" s="70" t="s">
        <v>185</v>
      </c>
      <c r="Q1" s="70" t="s">
        <v>185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5A80-C2DB-4B73-89C9-6D1ED061EA8C}">
  <sheetPr codeName="Sheet20"/>
  <dimension ref="A1:Q5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0D0BA-9D02-4A98-9B14-A28D91D9D786}">
  <sheetPr codeName="Sheet18"/>
  <dimension ref="A1:Q4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91A8D-3CA3-4084-A762-9E13F4878089}">
  <sheetPr codeName="Sheet16"/>
  <dimension ref="A1:Q6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B78AC-2ABB-42B1-ACE0-8D066F7B562A}">
  <sheetPr codeName="Sheet14"/>
  <dimension ref="A1:Q8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01373-4BCA-45A0-9AE6-F03DDA15F41B}">
  <sheetPr codeName="Sheet12"/>
  <dimension ref="A1:Q7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522FB-3CE2-49D5-88E2-5076225D124B}">
  <sheetPr codeName="Sheet10"/>
  <dimension ref="A1:Q11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FA857-042E-4367-8664-591F8300E266}">
  <sheetPr codeName="Sheet8"/>
  <dimension ref="A1:Q132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82B1D-4505-4407-B9E5-483651E2F222}">
  <sheetPr codeName="Sheet6"/>
  <dimension ref="A1:Q19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2019-05-28T10:07:04Z</dcterms:modified>
</cp:coreProperties>
</file>