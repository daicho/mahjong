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646D8A40-0294-4A73-BE9D-B057090168D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7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1" i="5463" l="1"/>
  <c r="O16" i="5459"/>
  <c r="O21" i="5467"/>
  <c r="O19" i="5467"/>
  <c r="O22" i="5455" l="1"/>
  <c r="O16" i="5471"/>
  <c r="O20" i="5471" l="1"/>
  <c r="O15" i="5471"/>
  <c r="O15" i="5461"/>
  <c r="O22" i="5459"/>
  <c r="O17" i="5469" l="1"/>
  <c r="O22" i="5465"/>
  <c r="O15" i="5469"/>
  <c r="O21" i="5471"/>
  <c r="O15" i="5457"/>
  <c r="O17" i="5467"/>
  <c r="O18" i="5453"/>
  <c r="O19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8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4" i="5471"/>
  <c r="H16" i="5471"/>
  <c r="C17" i="5471"/>
  <c r="H11" i="5471"/>
  <c r="H2" i="5471"/>
  <c r="H9" i="5471"/>
  <c r="H3" i="5471"/>
  <c r="H14" i="5471"/>
  <c r="C18" i="5471"/>
  <c r="H8" i="5471"/>
  <c r="H21" i="5471"/>
  <c r="H6" i="5471"/>
  <c r="H12" i="5471"/>
  <c r="H19" i="5471"/>
  <c r="H7" i="5471"/>
  <c r="H15" i="5471"/>
  <c r="H20" i="5471"/>
  <c r="H22" i="5471"/>
  <c r="C19" i="5471"/>
  <c r="H23" i="5471"/>
  <c r="H24" i="5471"/>
  <c r="H26" i="5471"/>
  <c r="H29" i="5471"/>
  <c r="H31" i="5471"/>
  <c r="H35" i="5471"/>
  <c r="H38" i="5471"/>
  <c r="H42" i="5471"/>
  <c r="H46" i="5471"/>
  <c r="H50" i="5471"/>
  <c r="H32" i="5471"/>
  <c r="H36" i="5471"/>
  <c r="H39" i="5471"/>
  <c r="H43" i="5471"/>
  <c r="H47" i="5471"/>
  <c r="H51" i="5471"/>
  <c r="H13" i="5471"/>
  <c r="H17" i="5471"/>
  <c r="H25" i="5471"/>
  <c r="H27" i="5471"/>
  <c r="H10" i="5471"/>
  <c r="H33" i="5471"/>
  <c r="H18" i="5471"/>
  <c r="H40" i="5471"/>
  <c r="H44" i="5471"/>
  <c r="H48" i="5471"/>
  <c r="H5" i="5471"/>
  <c r="B23" i="5471"/>
  <c r="H28" i="5471"/>
  <c r="H30" i="5471"/>
  <c r="H34" i="5471"/>
  <c r="H37" i="5471"/>
  <c r="H41" i="5471"/>
  <c r="H45" i="5471"/>
  <c r="H49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20" i="5467" l="1"/>
  <c r="O18" i="5465"/>
  <c r="O16" i="5465"/>
  <c r="O17" i="5457"/>
  <c r="O18" i="5463" l="1"/>
  <c r="O17" i="5461"/>
  <c r="O17" i="5465"/>
  <c r="O19" i="5465"/>
  <c r="O15" i="5463" l="1"/>
  <c r="O16" i="5461"/>
  <c r="O21" i="5459"/>
  <c r="O18" i="5459"/>
  <c r="O15" i="5467"/>
  <c r="O18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8" i="5467" l="1"/>
  <c r="H2" i="5467"/>
  <c r="C17" i="5467"/>
  <c r="H4" i="5467"/>
  <c r="H10" i="5467"/>
  <c r="H18" i="5467"/>
  <c r="H20" i="5467"/>
  <c r="H23" i="5467"/>
  <c r="H26" i="5467"/>
  <c r="H29" i="5467"/>
  <c r="H33" i="5467"/>
  <c r="H37" i="5467"/>
  <c r="H41" i="5467"/>
  <c r="H45" i="5467"/>
  <c r="H49" i="5467"/>
  <c r="H7" i="5467"/>
  <c r="H13" i="5467"/>
  <c r="H15" i="5467"/>
  <c r="C19" i="5467"/>
  <c r="H21" i="5467"/>
  <c r="H30" i="5467"/>
  <c r="H34" i="5467"/>
  <c r="H38" i="5467"/>
  <c r="H42" i="5467"/>
  <c r="H46" i="5467"/>
  <c r="H50" i="5467"/>
  <c r="H3" i="5467"/>
  <c r="H6" i="5467"/>
  <c r="H9" i="5467"/>
  <c r="H12" i="5467"/>
  <c r="H17" i="5467"/>
  <c r="H19" i="5467"/>
  <c r="H22" i="5467"/>
  <c r="H24" i="5467"/>
  <c r="H27" i="5467"/>
  <c r="H31" i="5467"/>
  <c r="H35" i="5467"/>
  <c r="H39" i="5467"/>
  <c r="H43" i="5467"/>
  <c r="H47" i="5467"/>
  <c r="H51" i="5467"/>
  <c r="H5" i="5467"/>
  <c r="H11" i="5467"/>
  <c r="H14" i="5467"/>
  <c r="H16" i="5467"/>
  <c r="C18" i="5467"/>
  <c r="B23" i="5467"/>
  <c r="H25" i="5467"/>
  <c r="H28" i="5467"/>
  <c r="H32" i="5467"/>
  <c r="H36" i="5467"/>
  <c r="H40" i="5467"/>
  <c r="H44" i="5467"/>
  <c r="H48" i="5467"/>
  <c r="O19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0" i="5455"/>
  <c r="O17" i="5453"/>
  <c r="O19" i="5463"/>
  <c r="O19" i="5457"/>
  <c r="O18" i="5457"/>
  <c r="O19" i="5461"/>
  <c r="O22" i="5463"/>
  <c r="O23" i="5463"/>
  <c r="C27" i="5463"/>
  <c r="B24" i="5463"/>
  <c r="C20" i="5463"/>
  <c r="B17" i="5463"/>
  <c r="H50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9" i="5455"/>
  <c r="O23" i="5455"/>
  <c r="O20" i="5453"/>
  <c r="O21" i="5453"/>
  <c r="C17" i="5465" l="1"/>
  <c r="H4" i="5465"/>
  <c r="H10" i="5465"/>
  <c r="H2" i="5465"/>
  <c r="H8" i="5465"/>
  <c r="H4" i="5463"/>
  <c r="H2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2" i="5463"/>
  <c r="C17" i="5463"/>
  <c r="H39" i="5463"/>
  <c r="H31" i="5463"/>
  <c r="H25" i="5463"/>
  <c r="H9" i="5463"/>
  <c r="H12" i="5463"/>
  <c r="H14" i="5463"/>
  <c r="H3" i="5463"/>
  <c r="H6" i="5463"/>
  <c r="H11" i="5463"/>
  <c r="H17" i="5463"/>
  <c r="H47" i="5463"/>
  <c r="H5" i="5463"/>
  <c r="H8" i="5463"/>
  <c r="H10" i="5463"/>
  <c r="H10" i="5461"/>
  <c r="H16" i="5463"/>
  <c r="C18" i="5463"/>
  <c r="B23" i="5463"/>
  <c r="H32" i="5463"/>
  <c r="H40" i="5463"/>
  <c r="H48" i="5463"/>
  <c r="H19" i="5463"/>
  <c r="H27" i="5463"/>
  <c r="H35" i="5463"/>
  <c r="H43" i="5463"/>
  <c r="H51" i="5463"/>
  <c r="H24" i="5463"/>
  <c r="H28" i="5463"/>
  <c r="H36" i="5463"/>
  <c r="H44" i="5463"/>
  <c r="H52" i="5463"/>
  <c r="H18" i="5463"/>
  <c r="H20" i="5463"/>
  <c r="H23" i="5463"/>
  <c r="H26" i="5463"/>
  <c r="H29" i="5463"/>
  <c r="H33" i="5463"/>
  <c r="H37" i="5463"/>
  <c r="H41" i="5463"/>
  <c r="H45" i="5463"/>
  <c r="H49" i="5463"/>
  <c r="H7" i="5463"/>
  <c r="H13" i="5463"/>
  <c r="H15" i="5463"/>
  <c r="C19" i="5463"/>
  <c r="H21" i="5463"/>
  <c r="H30" i="5463"/>
  <c r="H34" i="5463"/>
  <c r="H38" i="5463"/>
  <c r="H42" i="5463"/>
  <c r="H46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7" i="5459" l="1"/>
  <c r="O20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1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9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6" i="5457" l="1"/>
  <c r="H4" i="5457"/>
  <c r="H21" i="5457"/>
  <c r="H2" i="5457"/>
  <c r="H12" i="5459"/>
  <c r="H7" i="5459"/>
  <c r="H44" i="5459"/>
  <c r="H11" i="5459"/>
  <c r="H5" i="5459"/>
  <c r="H30" i="5459"/>
  <c r="H9" i="5459"/>
  <c r="C17" i="5459"/>
  <c r="H23" i="5455"/>
  <c r="H13" i="5455"/>
  <c r="H38" i="5455"/>
  <c r="H4" i="5455"/>
  <c r="H2" i="5455"/>
  <c r="H7" i="5455"/>
  <c r="H30" i="5455"/>
  <c r="B23" i="5455"/>
  <c r="H10" i="5455"/>
  <c r="H40" i="5459"/>
  <c r="H17" i="5459"/>
  <c r="H21" i="5459"/>
  <c r="H19" i="5459"/>
  <c r="H48" i="5459"/>
  <c r="H3" i="5459"/>
  <c r="H2" i="5459"/>
  <c r="H10" i="5459"/>
  <c r="H16" i="5459"/>
  <c r="H13" i="5459"/>
  <c r="H36" i="5459"/>
  <c r="H4" i="5459"/>
  <c r="H28" i="5459"/>
  <c r="H29" i="5459"/>
  <c r="H31" i="5459"/>
  <c r="H22" i="5459"/>
  <c r="H23" i="5459"/>
  <c r="H34" i="5459"/>
  <c r="H38" i="5459"/>
  <c r="H42" i="5459"/>
  <c r="H46" i="5459"/>
  <c r="H50" i="5459"/>
  <c r="H8" i="5459"/>
  <c r="H26" i="5459"/>
  <c r="H20" i="5459"/>
  <c r="C19" i="5459"/>
  <c r="H14" i="5459"/>
  <c r="H24" i="5459"/>
  <c r="H35" i="5459"/>
  <c r="H39" i="5459"/>
  <c r="H43" i="5459"/>
  <c r="H47" i="5459"/>
  <c r="H51" i="5459"/>
  <c r="H6" i="5459"/>
  <c r="H25" i="5459"/>
  <c r="H27" i="5459"/>
  <c r="H15" i="5459"/>
  <c r="C18" i="5459"/>
  <c r="B23" i="5459"/>
  <c r="H18" i="5459"/>
  <c r="H32" i="5459"/>
  <c r="H33" i="5459"/>
  <c r="H37" i="5459"/>
  <c r="H41" i="5459"/>
  <c r="H45" i="5459"/>
  <c r="H49" i="5459"/>
  <c r="H8" i="5457"/>
  <c r="C18" i="5457"/>
  <c r="H14" i="5457"/>
  <c r="H5" i="5457"/>
  <c r="H11" i="5457"/>
  <c r="H39" i="5457"/>
  <c r="H22" i="5457"/>
  <c r="H27" i="5457"/>
  <c r="H15" i="5457"/>
  <c r="H47" i="5457"/>
  <c r="H10" i="5457"/>
  <c r="C19" i="5457"/>
  <c r="H43" i="5457"/>
  <c r="H7" i="5457"/>
  <c r="H13" i="5457"/>
  <c r="C17" i="5457"/>
  <c r="H19" i="5457"/>
  <c r="H31" i="5457"/>
  <c r="H3" i="5457"/>
  <c r="H6" i="5457"/>
  <c r="H9" i="5457"/>
  <c r="H12" i="5457"/>
  <c r="H17" i="5457"/>
  <c r="H24" i="5457"/>
  <c r="H35" i="5457"/>
  <c r="H51" i="5457"/>
  <c r="H18" i="5457"/>
  <c r="H20" i="5457"/>
  <c r="H23" i="5457"/>
  <c r="H26" i="5457"/>
  <c r="H29" i="5457"/>
  <c r="H33" i="5457"/>
  <c r="H37" i="5457"/>
  <c r="H41" i="5457"/>
  <c r="H45" i="5457"/>
  <c r="H49" i="5457"/>
  <c r="H30" i="5457"/>
  <c r="H34" i="5457"/>
  <c r="H38" i="5457"/>
  <c r="H42" i="5457"/>
  <c r="H46" i="5457"/>
  <c r="H50" i="5457"/>
  <c r="B23" i="5457"/>
  <c r="H25" i="5457"/>
  <c r="H28" i="5457"/>
  <c r="H32" i="5457"/>
  <c r="H36" i="5457"/>
  <c r="H40" i="5457"/>
  <c r="H44" i="5457"/>
  <c r="H48" i="5457"/>
  <c r="H2" i="5453"/>
  <c r="H3" i="5453"/>
  <c r="H4" i="5453"/>
  <c r="H37" i="5453"/>
  <c r="H11" i="5453"/>
  <c r="H33" i="5453"/>
  <c r="H12" i="5453"/>
  <c r="H16" i="5453"/>
  <c r="H25" i="5453"/>
  <c r="H7" i="5453"/>
  <c r="H24" i="5453"/>
  <c r="C18" i="5453"/>
  <c r="H46" i="5455"/>
  <c r="H6" i="5455"/>
  <c r="H11" i="5455"/>
  <c r="H3" i="5455"/>
  <c r="C18" i="5455"/>
  <c r="H52" i="5455"/>
  <c r="H21" i="5455"/>
  <c r="H31" i="5455"/>
  <c r="H17" i="5455"/>
  <c r="C19" i="5455"/>
  <c r="H24" i="5455"/>
  <c r="H40" i="5455"/>
  <c r="H48" i="5455"/>
  <c r="H27" i="5455"/>
  <c r="H35" i="5455"/>
  <c r="H42" i="5455"/>
  <c r="H50" i="5455"/>
  <c r="H8" i="5455"/>
  <c r="H25" i="5455"/>
  <c r="H22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6" i="5455"/>
  <c r="H26" i="5455"/>
  <c r="H12" i="5455"/>
  <c r="H9" i="5455"/>
  <c r="H28" i="5455"/>
  <c r="H37" i="5455"/>
  <c r="H41" i="5455"/>
  <c r="H45" i="5455"/>
  <c r="H49" i="5455"/>
  <c r="H34" i="5453"/>
  <c r="H28" i="5453"/>
  <c r="H42" i="5453"/>
  <c r="H10" i="5453"/>
  <c r="H6" i="5453"/>
  <c r="H20" i="5453"/>
  <c r="H18" i="5453"/>
  <c r="B23" i="5453"/>
  <c r="H26" i="5453"/>
  <c r="H49" i="5453"/>
  <c r="H50" i="5453"/>
  <c r="H15" i="5453"/>
  <c r="H9" i="5453"/>
  <c r="H32" i="5453"/>
  <c r="H45" i="5453"/>
  <c r="H5" i="5453"/>
  <c r="C17" i="5453"/>
  <c r="H13" i="5453"/>
  <c r="H29" i="5453"/>
  <c r="H39" i="5453"/>
  <c r="H46" i="5453"/>
  <c r="H52" i="5453"/>
  <c r="H35" i="5453"/>
  <c r="H36" i="5453"/>
  <c r="H22" i="5453"/>
  <c r="H30" i="5453"/>
  <c r="H17" i="5453"/>
  <c r="H31" i="5453"/>
  <c r="H40" i="5453"/>
  <c r="H43" i="5453"/>
  <c r="H47" i="5453"/>
  <c r="H51" i="5453"/>
  <c r="H8" i="5453"/>
  <c r="H21" i="5453"/>
  <c r="H27" i="5453"/>
  <c r="C19" i="5453"/>
  <c r="H14" i="5453"/>
  <c r="H23" i="5453"/>
  <c r="H38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<sst xmlns="http://schemas.openxmlformats.org/spreadsheetml/2006/main" count="3297" uniqueCount="255">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</sst>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全体!$K$2:$K$650</c:f>
              <c:numCache>
                <c:formatCode>General</c:formatCode>
                <c:ptCount val="6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</c:numCache>
            </c:numRef>
          </c:xVal>
          <c:yVal>
            <c:numRef>
              <c:f>全体!$L$2:$L$650</c:f>
              <c:numCache>
                <c:formatCode>\+0.0;\-0.0;\±0</c:formatCode>
                <c:ptCount val="64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-13.888888888888889</c:v>
                </c:pt>
                <c:pt idx="1">
                  <c:v>-7.8988941548183256</c:v>
                </c:pt>
                <c:pt idx="2">
                  <c:v>8.3752093802345051</c:v>
                </c:pt>
                <c:pt idx="3">
                  <c:v>9.2081031307550649</c:v>
                </c:pt>
                <c:pt idx="4">
                  <c:v>-14.314928425357873</c:v>
                </c:pt>
                <c:pt idx="5">
                  <c:v>22.831050228310502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だいち!$L$2:$L$148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2197.2602739726026</c:v>
                </c:pt>
                <c:pt idx="1">
                  <c:v>1227.4647887323943</c:v>
                </c:pt>
                <c:pt idx="2">
                  <c:v>796.2962962962963</c:v>
                </c:pt>
                <c:pt idx="3">
                  <c:v>2520.1612903225805</c:v>
                </c:pt>
                <c:pt idx="4">
                  <c:v>216.36363636363637</c:v>
                </c:pt>
                <c:pt idx="5">
                  <c:v>823.95833333333337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299.17355371900828</c:v>
                </c:pt>
                <c:pt idx="1">
                  <c:v>-2208.5470085470088</c:v>
                </c:pt>
                <c:pt idx="2">
                  <c:v>293.85964912280701</c:v>
                </c:pt>
                <c:pt idx="3">
                  <c:v>16.831683168316832</c:v>
                </c:pt>
                <c:pt idx="4">
                  <c:v>203.33333333333334</c:v>
                </c:pt>
                <c:pt idx="5">
                  <c:v>280.95238095238096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ただ!$L$2:$L$91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-3150.5617977528091</c:v>
                </c:pt>
                <c:pt idx="1">
                  <c:v>-1397.7011494252874</c:v>
                </c:pt>
                <c:pt idx="2">
                  <c:v>-14.634146341463415</c:v>
                </c:pt>
                <c:pt idx="3">
                  <c:v>-4527.7777777777774</c:v>
                </c:pt>
                <c:pt idx="4">
                  <c:v>-1000</c:v>
                </c:pt>
                <c:pt idx="5">
                  <c:v>-1135.593220338983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れんたろう!$L$2:$L$90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-618.18181818181813</c:v>
                </c:pt>
                <c:pt idx="1">
                  <c:v>496.51162790697674</c:v>
                </c:pt>
                <c:pt idx="2">
                  <c:v>1178.4810126582279</c:v>
                </c:pt>
                <c:pt idx="3">
                  <c:v>998.52941176470586</c:v>
                </c:pt>
                <c:pt idx="4">
                  <c:v>-588.33333333333337</c:v>
                </c:pt>
                <c:pt idx="5">
                  <c:v>-303.63636363636363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たかの!$L$2:$L$74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745.83333333333337</c:v>
                </c:pt>
                <c:pt idx="1">
                  <c:v>-1040.2777777777778</c:v>
                </c:pt>
                <c:pt idx="2">
                  <c:v>-1564.6153846153845</c:v>
                </c:pt>
                <c:pt idx="3">
                  <c:v>985.48387096774195</c:v>
                </c:pt>
                <c:pt idx="4">
                  <c:v>769.49152542372883</c:v>
                </c:pt>
                <c:pt idx="5">
                  <c:v>-472.54901960784315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984.48275862068965</c:v>
                </c:pt>
                <c:pt idx="1">
                  <c:v>1969.090909090909</c:v>
                </c:pt>
                <c:pt idx="2">
                  <c:v>-1154</c:v>
                </c:pt>
                <c:pt idx="3">
                  <c:v>1956.25</c:v>
                </c:pt>
                <c:pt idx="4">
                  <c:v>-1288.3720930232557</c:v>
                </c:pt>
                <c:pt idx="5">
                  <c:v>531.42857142857144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-106.66666666666667</c:v>
                </c:pt>
                <c:pt idx="1">
                  <c:v>-820</c:v>
                </c:pt>
                <c:pt idx="2">
                  <c:v>1273.3333333333333</c:v>
                </c:pt>
                <c:pt idx="3">
                  <c:v>-4364.2857142857147</c:v>
                </c:pt>
                <c:pt idx="4">
                  <c:v>2485.7142857142858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いっしー2!$B$3:$B$18</c:f>
              <c:numCache>
                <c:formatCode>\+0.0;\-0.0;\±0</c:formatCode>
                <c:ptCount val="16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000000000002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いっしー2!$C$3:$C$18</c:f>
              <c:numCache>
                <c:formatCode>\+0.0;\-0.0;\±0</c:formatCode>
                <c:ptCount val="16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  <c:pt idx="8">
                  <c:v>-21.3125</c:v>
                </c:pt>
                <c:pt idx="9">
                  <c:v>-25.344444444444445</c:v>
                </c:pt>
                <c:pt idx="10">
                  <c:v>-19.75</c:v>
                </c:pt>
                <c:pt idx="11">
                  <c:v>-14.654545454545454</c:v>
                </c:pt>
                <c:pt idx="12">
                  <c:v>-9.7166666666666668</c:v>
                </c:pt>
                <c:pt idx="13">
                  <c:v>-11.138461538461538</c:v>
                </c:pt>
                <c:pt idx="14">
                  <c:v>-9.9071428571428566</c:v>
                </c:pt>
                <c:pt idx="15">
                  <c:v>-5.6933333333333325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432098765432428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いっしー2!$D$3:$D$18</c:f>
              <c:numCache>
                <c:formatCode>0.00\ "位"</c:formatCode>
                <c:ptCount val="16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  <c:pt idx="8">
                  <c:v>2.375</c:v>
                </c:pt>
                <c:pt idx="9">
                  <c:v>2.4444444444444446</c:v>
                </c:pt>
                <c:pt idx="10">
                  <c:v>2.2999999999999998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2.0666666666666669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いっしー2!$E$3:$E$18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いっしー2!$F$3:$F$18</c:f>
              <c:numCache>
                <c:formatCode>0.0%</c:formatCode>
                <c:ptCount val="1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いっしー2!$G$3:$G$18</c:f>
              <c:numCache>
                <c:formatCode>0.0%</c:formatCode>
                <c:ptCount val="16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  <c:pt idx="8">
                  <c:v>0.25</c:v>
                </c:pt>
                <c:pt idx="9">
                  <c:v>0.23076923076923078</c:v>
                </c:pt>
                <c:pt idx="10">
                  <c:v>0.23529411764705882</c:v>
                </c:pt>
                <c:pt idx="11">
                  <c:v>0.25531914893617019</c:v>
                </c:pt>
                <c:pt idx="12">
                  <c:v>0.26923076923076922</c:v>
                </c:pt>
                <c:pt idx="13">
                  <c:v>0.2767857142857143</c:v>
                </c:pt>
                <c:pt idx="14">
                  <c:v>0.28813559322033899</c:v>
                </c:pt>
                <c:pt idx="15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297077321494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いっしー2!$H$3:$H$18</c:f>
              <c:numCache>
                <c:formatCode>0.0%</c:formatCode>
                <c:ptCount val="16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  <c:pt idx="8">
                  <c:v>0.25</c:v>
                </c:pt>
                <c:pt idx="9">
                  <c:v>0.26923076923076922</c:v>
                </c:pt>
                <c:pt idx="10">
                  <c:v>0.27058823529411763</c:v>
                </c:pt>
                <c:pt idx="11">
                  <c:v>0.25531914893617019</c:v>
                </c:pt>
                <c:pt idx="12">
                  <c:v>0.23076923076923078</c:v>
                </c:pt>
                <c:pt idx="13">
                  <c:v>0.23214285714285715</c:v>
                </c:pt>
                <c:pt idx="14">
                  <c:v>0.22033898305084745</c:v>
                </c:pt>
                <c:pt idx="15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5164631890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いっしー2!$I$3:$I$18</c:f>
              <c:numCache>
                <c:formatCode>0</c:formatCode>
                <c:ptCount val="16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  <c:pt idx="8">
                  <c:v>7364.7058823529414</c:v>
                </c:pt>
                <c:pt idx="9">
                  <c:v>7072.2222222222226</c:v>
                </c:pt>
                <c:pt idx="10">
                  <c:v>7365</c:v>
                </c:pt>
                <c:pt idx="11">
                  <c:v>7358.333333333333</c:v>
                </c:pt>
                <c:pt idx="12">
                  <c:v>7700</c:v>
                </c:pt>
                <c:pt idx="13">
                  <c:v>7577.4193548387093</c:v>
                </c:pt>
                <c:pt idx="14">
                  <c:v>7494.1176470588234</c:v>
                </c:pt>
                <c:pt idx="15">
                  <c:v>8300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50.61804697156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いっしー2!$J$3:$J$18</c:f>
              <c:numCache>
                <c:formatCode>0</c:formatCode>
                <c:ptCount val="16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  <c:pt idx="8">
                  <c:v>-8323.5294117647063</c:v>
                </c:pt>
                <c:pt idx="9">
                  <c:v>-8233.3333333333339</c:v>
                </c:pt>
                <c:pt idx="10">
                  <c:v>-7686.95652173913</c:v>
                </c:pt>
                <c:pt idx="11">
                  <c:v>-7700</c:v>
                </c:pt>
                <c:pt idx="12">
                  <c:v>-7700</c:v>
                </c:pt>
                <c:pt idx="13">
                  <c:v>-8107.6923076923076</c:v>
                </c:pt>
                <c:pt idx="14">
                  <c:v>-8107.6923076923076</c:v>
                </c:pt>
                <c:pt idx="15">
                  <c:v>-8092.5925925925922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09.33040614709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いっしー2!$K$3:$K$18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740740740740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いっしー2!$L$3:$L$18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740740740740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いっしー2!$M$3:$M$18</c:f>
              <c:numCache>
                <c:formatCode>0.0%</c:formatCode>
                <c:ptCount val="16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  <c:pt idx="8">
                  <c:v>0.17647058823529413</c:v>
                </c:pt>
                <c:pt idx="9">
                  <c:v>0.20512820512820512</c:v>
                </c:pt>
                <c:pt idx="10">
                  <c:v>0.21176470588235294</c:v>
                </c:pt>
                <c:pt idx="11">
                  <c:v>0.21276595744680851</c:v>
                </c:pt>
                <c:pt idx="12">
                  <c:v>0.23076923076923078</c:v>
                </c:pt>
                <c:pt idx="13">
                  <c:v>0.22321428571428573</c:v>
                </c:pt>
                <c:pt idx="14">
                  <c:v>0.23728813559322035</c:v>
                </c:pt>
                <c:pt idx="15">
                  <c:v>0.23015873015873015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429152793192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いっしー2!$N$3:$N$18</c:f>
              <c:numCache>
                <c:formatCode>0.0%</c:formatCode>
                <c:ptCount val="16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  <c:pt idx="8">
                  <c:v>0.22058823529411764</c:v>
                </c:pt>
                <c:pt idx="9">
                  <c:v>0.20512820512820512</c:v>
                </c:pt>
                <c:pt idx="10">
                  <c:v>0.2</c:v>
                </c:pt>
                <c:pt idx="11">
                  <c:v>0.21276595744680851</c:v>
                </c:pt>
                <c:pt idx="12">
                  <c:v>0.19230769230769232</c:v>
                </c:pt>
                <c:pt idx="13">
                  <c:v>0.21428571428571427</c:v>
                </c:pt>
                <c:pt idx="14">
                  <c:v>0.21186440677966101</c:v>
                </c:pt>
                <c:pt idx="15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287088420273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いっしー2!$O$3:$O$18</c:f>
              <c:numCache>
                <c:formatCode>0.0%</c:formatCode>
                <c:ptCount val="1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  <c:pt idx="8">
                  <c:v>0.66666666666666663</c:v>
                </c:pt>
                <c:pt idx="9">
                  <c:v>0.5625</c:v>
                </c:pt>
                <c:pt idx="10">
                  <c:v>0.55555555555555558</c:v>
                </c:pt>
                <c:pt idx="11">
                  <c:v>0.6</c:v>
                </c:pt>
                <c:pt idx="12">
                  <c:v>0.625</c:v>
                </c:pt>
                <c:pt idx="13">
                  <c:v>0.64</c:v>
                </c:pt>
                <c:pt idx="14">
                  <c:v>0.6785714285714286</c:v>
                </c:pt>
                <c:pt idx="15">
                  <c:v>0.68965517241379315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496042216358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いっしー2!$P$3:$P$18</c:f>
              <c:numCache>
                <c:formatCode>0.0%</c:formatCode>
                <c:ptCount val="16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0.46666666666666667</c:v>
                </c:pt>
                <c:pt idx="9">
                  <c:v>0.4375</c:v>
                </c:pt>
                <c:pt idx="10">
                  <c:v>0.47058823529411764</c:v>
                </c:pt>
                <c:pt idx="11">
                  <c:v>0.45</c:v>
                </c:pt>
                <c:pt idx="12">
                  <c:v>0.45</c:v>
                </c:pt>
                <c:pt idx="13">
                  <c:v>0.45833333333333331</c:v>
                </c:pt>
                <c:pt idx="14">
                  <c:v>0.44</c:v>
                </c:pt>
                <c:pt idx="15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4316163410301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いっしー2!$Q$3:$Q$18</c:f>
              <c:numCache>
                <c:formatCode>0.0%</c:formatCode>
                <c:ptCount val="16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  <c:pt idx="8">
                  <c:v>0.52941176470588236</c:v>
                </c:pt>
                <c:pt idx="9">
                  <c:v>0.55555555555555558</c:v>
                </c:pt>
                <c:pt idx="10">
                  <c:v>0.55000000000000004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0.5161290322580645</c:v>
                </c:pt>
                <c:pt idx="14">
                  <c:v>0.52941176470588236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778739184177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4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43628.869618055556</v>
      </c>
      <c r="C64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648</v>
      </c>
    </row>
    <row r="2" spans="1:2" x14ac:dyDescent="0.4">
      <c r="A2" t="s">
        <v>127</v>
      </c>
      <c r="B2">
        <v>146</v>
      </c>
    </row>
    <row r="3" spans="1:2" x14ac:dyDescent="0.4">
      <c r="A3" t="s">
        <v>128</v>
      </c>
      <c r="B3">
        <v>121</v>
      </c>
    </row>
    <row r="4" spans="1:2" x14ac:dyDescent="0.4">
      <c r="A4" t="s">
        <v>129</v>
      </c>
      <c r="B4">
        <v>89</v>
      </c>
    </row>
    <row r="5" spans="1:2" x14ac:dyDescent="0.4">
      <c r="A5" t="s">
        <v>171</v>
      </c>
      <c r="B5">
        <v>88</v>
      </c>
    </row>
    <row r="6" spans="1:2" x14ac:dyDescent="0.4">
      <c r="A6" t="s">
        <v>172</v>
      </c>
      <c r="B6">
        <v>72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58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15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0.96192714821701453</v>
      </c>
      <c r="G2" s="159"/>
      <c r="H2" s="158">
        <v>0.73945069699657617</v>
      </c>
      <c r="I2" s="159"/>
      <c r="J2" s="158">
        <v>0.91529546599345257</v>
      </c>
      <c r="K2" s="159"/>
      <c r="L2" s="158">
        <v>0.79161395671622636</v>
      </c>
      <c r="M2" s="159"/>
      <c r="N2" s="158">
        <v>0.59977770932827734</v>
      </c>
      <c r="O2" s="159"/>
      <c r="P2" s="158">
        <v>0.21685722625315501</v>
      </c>
      <c r="Q2" s="159"/>
      <c r="R2" s="158">
        <v>0.40363689765063959</v>
      </c>
      <c r="S2" s="159"/>
      <c r="T2" s="158">
        <v>0.44665259094999943</v>
      </c>
      <c r="U2" s="159"/>
      <c r="V2" s="158">
        <v>0.63788894724420686</v>
      </c>
      <c r="W2" s="159"/>
      <c r="X2" s="158">
        <v>0.35475279682249872</v>
      </c>
      <c r="Y2" s="159"/>
      <c r="Z2" s="158">
        <v>0.18487997357019315</v>
      </c>
      <c r="AA2" s="159"/>
      <c r="AB2" s="158">
        <v>0.2165834037187879</v>
      </c>
      <c r="AC2" s="159"/>
      <c r="AD2" s="158">
        <v>0.78435224503836443</v>
      </c>
      <c r="AE2" s="159"/>
      <c r="AF2" s="158">
        <v>-0.41820903918975399</v>
      </c>
      <c r="AG2" s="159"/>
      <c r="AH2" s="158">
        <v>0.59337456565809987</v>
      </c>
      <c r="AI2" s="159"/>
    </row>
    <row r="3" spans="1:35" x14ac:dyDescent="0.4">
      <c r="A3" s="74">
        <v>1</v>
      </c>
      <c r="B3" s="75" t="s">
        <v>127</v>
      </c>
      <c r="C3" s="76">
        <v>1767.0000000000009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0.34670008354218879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0.17123287671232876</v>
      </c>
      <c r="X3" s="77" t="s">
        <v>127</v>
      </c>
      <c r="Y3" s="80">
        <v>0.31244778613199664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0.51908396946564883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244.60000000000002</v>
      </c>
      <c r="D4" s="85" t="s">
        <v>222</v>
      </c>
      <c r="E4" s="97">
        <v>13.3</v>
      </c>
      <c r="F4" s="85" t="s">
        <v>127</v>
      </c>
      <c r="G4" s="86">
        <v>1.7465753424657535</v>
      </c>
      <c r="H4" s="85" t="s">
        <v>127</v>
      </c>
      <c r="I4" s="87">
        <v>0.4863013698630137</v>
      </c>
      <c r="J4" s="85" t="s">
        <v>222</v>
      </c>
      <c r="K4" s="87">
        <v>0</v>
      </c>
      <c r="L4" s="85" t="s">
        <v>172</v>
      </c>
      <c r="M4" s="88">
        <v>0.34460547504025762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0.13793103448275862</v>
      </c>
      <c r="X4" s="85" t="s">
        <v>128</v>
      </c>
      <c r="Y4" s="88">
        <v>0.30149253731343284</v>
      </c>
      <c r="Z4" s="85" t="s">
        <v>172</v>
      </c>
      <c r="AA4" s="88">
        <v>0.28824476650563607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12.102739726027403</v>
      </c>
      <c r="F5" s="85" t="s">
        <v>200</v>
      </c>
      <c r="G5" s="86">
        <v>1.8888888888888888</v>
      </c>
      <c r="H5" s="85" t="s">
        <v>184</v>
      </c>
      <c r="I5" s="87">
        <v>0.4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0.13687600644122383</v>
      </c>
      <c r="P5" s="85" t="s">
        <v>171</v>
      </c>
      <c r="Q5" s="89">
        <v>10010.731707317073</v>
      </c>
      <c r="R5" s="85" t="s">
        <v>128</v>
      </c>
      <c r="S5" s="89">
        <v>-7776.6081871345032</v>
      </c>
      <c r="T5" s="85" t="s">
        <v>222</v>
      </c>
      <c r="U5" s="87">
        <v>0</v>
      </c>
      <c r="V5" s="85" t="s">
        <v>171</v>
      </c>
      <c r="W5" s="87">
        <v>0.13636363636363635</v>
      </c>
      <c r="X5" s="85" t="s">
        <v>171</v>
      </c>
      <c r="Y5" s="88">
        <v>0.29120879120879123</v>
      </c>
      <c r="Z5" s="85" t="s">
        <v>173</v>
      </c>
      <c r="AA5" s="88">
        <v>0.25654450261780104</v>
      </c>
      <c r="AB5" s="85" t="s">
        <v>184</v>
      </c>
      <c r="AC5" s="88">
        <v>0.68965517241379315</v>
      </c>
      <c r="AD5" s="85" t="s">
        <v>200</v>
      </c>
      <c r="AE5" s="88">
        <v>0.48</v>
      </c>
      <c r="AF5" s="85" t="s">
        <v>173</v>
      </c>
      <c r="AG5" s="88">
        <v>0.50877192982456143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46.300000000000026</v>
      </c>
      <c r="D6" s="85" t="s">
        <v>177</v>
      </c>
      <c r="E6" s="97">
        <v>4.2172413793103454</v>
      </c>
      <c r="F6" s="85" t="s">
        <v>177</v>
      </c>
      <c r="G6" s="86">
        <v>1.896551724137931</v>
      </c>
      <c r="H6" s="85" t="s">
        <v>177</v>
      </c>
      <c r="I6" s="87">
        <v>0.39655172413793105</v>
      </c>
      <c r="J6" s="85" t="s">
        <v>127</v>
      </c>
      <c r="K6" s="87">
        <v>0.23287671232876711</v>
      </c>
      <c r="L6" s="85" t="s">
        <v>177</v>
      </c>
      <c r="M6" s="88">
        <v>0.30916844349680173</v>
      </c>
      <c r="N6" s="85" t="s">
        <v>177</v>
      </c>
      <c r="O6" s="88">
        <v>0.15351812366737741</v>
      </c>
      <c r="P6" s="85" t="s">
        <v>128</v>
      </c>
      <c r="Q6" s="89">
        <v>9253.1365313653132</v>
      </c>
      <c r="R6" s="85" t="s">
        <v>177</v>
      </c>
      <c r="S6" s="89">
        <v>-7793.0555555555557</v>
      </c>
      <c r="T6" s="85" t="s">
        <v>223</v>
      </c>
      <c r="U6" s="87">
        <v>0</v>
      </c>
      <c r="V6" s="85" t="s">
        <v>145</v>
      </c>
      <c r="W6" s="87">
        <v>0.11574074074074074</v>
      </c>
      <c r="X6" s="85" t="s">
        <v>129</v>
      </c>
      <c r="Y6" s="88">
        <v>0.28629032258064518</v>
      </c>
      <c r="Z6" s="85" t="s">
        <v>223</v>
      </c>
      <c r="AA6" s="88">
        <v>0.23529411764705882</v>
      </c>
      <c r="AB6" s="85" t="s">
        <v>177</v>
      </c>
      <c r="AC6" s="88">
        <v>0.66917293233082709</v>
      </c>
      <c r="AD6" s="85" t="s">
        <v>184</v>
      </c>
      <c r="AE6" s="88">
        <v>0.44444444444444442</v>
      </c>
      <c r="AF6" s="85" t="s">
        <v>184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0.29310344827586204</v>
      </c>
      <c r="L7" s="85" t="s">
        <v>145</v>
      </c>
      <c r="M7" s="88">
        <v>0.29929707732149463</v>
      </c>
      <c r="N7" s="85" t="s">
        <v>127</v>
      </c>
      <c r="O7" s="88">
        <v>0.16040100250626566</v>
      </c>
      <c r="P7" s="85" t="s">
        <v>127</v>
      </c>
      <c r="Q7" s="89">
        <v>9091.0843373493972</v>
      </c>
      <c r="R7" s="85" t="s">
        <v>173</v>
      </c>
      <c r="S7" s="89">
        <v>-7866.1971830985913</v>
      </c>
      <c r="T7" s="85" t="s">
        <v>172</v>
      </c>
      <c r="U7" s="87">
        <v>4.1666666666666664E-2</v>
      </c>
      <c r="V7" s="85" t="s">
        <v>129</v>
      </c>
      <c r="W7" s="87">
        <v>0.10112359550561797</v>
      </c>
      <c r="X7" s="85" t="s">
        <v>177</v>
      </c>
      <c r="Y7" s="88">
        <v>0.28358208955223879</v>
      </c>
      <c r="Z7" s="85" t="s">
        <v>127</v>
      </c>
      <c r="AA7" s="88">
        <v>0.21888053467000834</v>
      </c>
      <c r="AB7" s="85" t="s">
        <v>183</v>
      </c>
      <c r="AC7" s="88">
        <v>0.6</v>
      </c>
      <c r="AD7" s="85" t="s">
        <v>172</v>
      </c>
      <c r="AE7" s="88">
        <v>0.42458100558659218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0.52613636363636396</v>
      </c>
      <c r="F8" s="85" t="s">
        <v>222</v>
      </c>
      <c r="G8" s="86">
        <v>2</v>
      </c>
      <c r="H8" s="85" t="s">
        <v>171</v>
      </c>
      <c r="I8" s="87">
        <v>0.30681818181818182</v>
      </c>
      <c r="J8" s="85" t="s">
        <v>172</v>
      </c>
      <c r="K8" s="87">
        <v>0.31944444444444442</v>
      </c>
      <c r="L8" s="85" t="s">
        <v>173</v>
      </c>
      <c r="M8" s="88">
        <v>0.29842931937172773</v>
      </c>
      <c r="N8" s="85" t="s">
        <v>200</v>
      </c>
      <c r="O8" s="88">
        <v>0.16470588235294117</v>
      </c>
      <c r="P8" s="85" t="s">
        <v>129</v>
      </c>
      <c r="Q8" s="89">
        <v>8809.0395480225998</v>
      </c>
      <c r="R8" s="85" t="s">
        <v>184</v>
      </c>
      <c r="S8" s="89">
        <v>-8092.5925925925922</v>
      </c>
      <c r="T8" s="85" t="s">
        <v>171</v>
      </c>
      <c r="U8" s="87">
        <v>0.10227272727272728</v>
      </c>
      <c r="V8" s="85" t="s">
        <v>172</v>
      </c>
      <c r="W8" s="87">
        <v>9.7222222222222224E-2</v>
      </c>
      <c r="X8" s="85" t="s">
        <v>145</v>
      </c>
      <c r="Y8" s="88">
        <v>0.28042915279319275</v>
      </c>
      <c r="Z8" s="85" t="s">
        <v>184</v>
      </c>
      <c r="AA8" s="88">
        <v>0.21428571428571427</v>
      </c>
      <c r="AB8" s="85" t="s">
        <v>173</v>
      </c>
      <c r="AC8" s="88">
        <v>0.59090909090909094</v>
      </c>
      <c r="AD8" s="85" t="s">
        <v>171</v>
      </c>
      <c r="AE8" s="88">
        <v>0.41605839416058393</v>
      </c>
      <c r="AF8" s="85" t="s">
        <v>177</v>
      </c>
      <c r="AG8" s="88">
        <v>0.43448275862068964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-1.0000000000000213</v>
      </c>
      <c r="D9" s="85" t="s">
        <v>145</v>
      </c>
      <c r="E9" s="97">
        <v>-1.5432098765432428E-3</v>
      </c>
      <c r="F9" s="85" t="s">
        <v>171</v>
      </c>
      <c r="G9" s="86">
        <v>2.0454545454545454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223</v>
      </c>
      <c r="M9" s="88">
        <v>0.29411764705882354</v>
      </c>
      <c r="N9" s="85" t="s">
        <v>145</v>
      </c>
      <c r="O9" s="88">
        <v>0.1685164631890492</v>
      </c>
      <c r="P9" s="85" t="s">
        <v>177</v>
      </c>
      <c r="Q9" s="89">
        <v>8762.0689655172409</v>
      </c>
      <c r="R9" s="85" t="s">
        <v>127</v>
      </c>
      <c r="S9" s="89">
        <v>-8247.9166666666661</v>
      </c>
      <c r="T9" s="85" t="s">
        <v>127</v>
      </c>
      <c r="U9" s="87">
        <v>0.10273972602739725</v>
      </c>
      <c r="V9" s="85" t="s">
        <v>128</v>
      </c>
      <c r="W9" s="87">
        <v>9.0909090909090912E-2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145</v>
      </c>
      <c r="AC9" s="88">
        <v>0.57849604221635886</v>
      </c>
      <c r="AD9" s="85" t="s">
        <v>145</v>
      </c>
      <c r="AE9" s="88">
        <v>0.39431616341030196</v>
      </c>
      <c r="AF9" s="85" t="s">
        <v>145</v>
      </c>
      <c r="AG9" s="88">
        <v>0.43077873918417797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-0.95000000000000029</v>
      </c>
      <c r="F10" s="85" t="s">
        <v>172</v>
      </c>
      <c r="G10" s="86">
        <v>2.0555555555555554</v>
      </c>
      <c r="H10" s="85" t="s">
        <v>172</v>
      </c>
      <c r="I10" s="87">
        <v>0.2638888888888889</v>
      </c>
      <c r="J10" s="85" t="s">
        <v>171</v>
      </c>
      <c r="K10" s="87">
        <v>0.35227272727272729</v>
      </c>
      <c r="L10" s="85" t="s">
        <v>184</v>
      </c>
      <c r="M10" s="88">
        <v>0.2857142857142857</v>
      </c>
      <c r="N10" s="85" t="s">
        <v>128</v>
      </c>
      <c r="O10" s="88">
        <v>0.17014925373134329</v>
      </c>
      <c r="P10" s="85" t="s">
        <v>145</v>
      </c>
      <c r="Q10" s="89">
        <v>8650.6180469715691</v>
      </c>
      <c r="R10" s="85" t="s">
        <v>145</v>
      </c>
      <c r="S10" s="89">
        <v>-8309.3304061470917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200</v>
      </c>
      <c r="Y10" s="88">
        <v>0.23529411764705882</v>
      </c>
      <c r="Z10" s="85" t="s">
        <v>145</v>
      </c>
      <c r="AA10" s="88">
        <v>0.20828708842027377</v>
      </c>
      <c r="AB10" s="85" t="s">
        <v>128</v>
      </c>
      <c r="AC10" s="88">
        <v>0.57755775577557755</v>
      </c>
      <c r="AD10" s="85" t="s">
        <v>177</v>
      </c>
      <c r="AE10" s="88">
        <v>0.37931034482758619</v>
      </c>
      <c r="AF10" s="85" t="s">
        <v>129</v>
      </c>
      <c r="AG10" s="88">
        <v>0.42937853107344631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-68.40000000000002</v>
      </c>
      <c r="D11" s="85" t="s">
        <v>128</v>
      </c>
      <c r="E11" s="97">
        <v>-3.4884297520661165</v>
      </c>
      <c r="F11" s="85" t="s">
        <v>184</v>
      </c>
      <c r="G11" s="86">
        <v>2.0666666666666669</v>
      </c>
      <c r="H11" s="85" t="s">
        <v>128</v>
      </c>
      <c r="I11" s="87">
        <v>0.256198347107438</v>
      </c>
      <c r="J11" s="85" t="s">
        <v>128</v>
      </c>
      <c r="K11" s="87">
        <v>0.35537190082644626</v>
      </c>
      <c r="L11" s="85" t="s">
        <v>171</v>
      </c>
      <c r="M11" s="88">
        <v>0.28159340659340659</v>
      </c>
      <c r="N11" s="85" t="s">
        <v>171</v>
      </c>
      <c r="O11" s="88">
        <v>0.17445054945054944</v>
      </c>
      <c r="P11" s="85" t="s">
        <v>184</v>
      </c>
      <c r="Q11" s="89">
        <v>8300</v>
      </c>
      <c r="R11" s="85" t="s">
        <v>171</v>
      </c>
      <c r="S11" s="89">
        <v>-8534.645669291338</v>
      </c>
      <c r="T11" s="85" t="s">
        <v>145</v>
      </c>
      <c r="U11" s="87">
        <v>0.11574074074074074</v>
      </c>
      <c r="V11" s="85" t="s">
        <v>184</v>
      </c>
      <c r="W11" s="87">
        <v>0</v>
      </c>
      <c r="X11" s="85" t="s">
        <v>222</v>
      </c>
      <c r="Y11" s="88">
        <v>0.23076923076923078</v>
      </c>
      <c r="Z11" s="85" t="s">
        <v>171</v>
      </c>
      <c r="AA11" s="88">
        <v>0.18818681318681318</v>
      </c>
      <c r="AB11" s="85" t="s">
        <v>127</v>
      </c>
      <c r="AC11" s="88">
        <v>0.57486631016042777</v>
      </c>
      <c r="AD11" s="85" t="s">
        <v>173</v>
      </c>
      <c r="AE11" s="88">
        <v>0.33673469387755101</v>
      </c>
      <c r="AF11" s="85" t="s">
        <v>172</v>
      </c>
      <c r="AG11" s="88">
        <v>0.42523364485981308</v>
      </c>
      <c r="AH11" s="85" t="s">
        <v>184</v>
      </c>
      <c r="AI11" s="92">
        <v>68300</v>
      </c>
    </row>
    <row r="12" spans="1:35" x14ac:dyDescent="0.4">
      <c r="A12" s="82">
        <v>10</v>
      </c>
      <c r="B12" s="83" t="s">
        <v>184</v>
      </c>
      <c r="C12" s="84">
        <v>-85.399999999999991</v>
      </c>
      <c r="D12" s="85" t="s">
        <v>184</v>
      </c>
      <c r="E12" s="97">
        <v>-5.6933333333333325</v>
      </c>
      <c r="F12" s="85" t="s">
        <v>173</v>
      </c>
      <c r="G12" s="86">
        <v>2.0681818181818183</v>
      </c>
      <c r="H12" s="85" t="s">
        <v>129</v>
      </c>
      <c r="I12" s="87">
        <v>0.24719101123595505</v>
      </c>
      <c r="J12" s="85" t="s">
        <v>173</v>
      </c>
      <c r="K12" s="87">
        <v>0.36363636363636365</v>
      </c>
      <c r="L12" s="85" t="s">
        <v>128</v>
      </c>
      <c r="M12" s="88">
        <v>0.26965174129353237</v>
      </c>
      <c r="N12" s="85" t="s">
        <v>173</v>
      </c>
      <c r="O12" s="88">
        <v>0.18586387434554974</v>
      </c>
      <c r="P12" s="85" t="s">
        <v>183</v>
      </c>
      <c r="Q12" s="89">
        <v>7860</v>
      </c>
      <c r="R12" s="85" t="s">
        <v>172</v>
      </c>
      <c r="S12" s="89">
        <v>-8638.823529411764</v>
      </c>
      <c r="T12" s="85" t="s">
        <v>128</v>
      </c>
      <c r="U12" s="87">
        <v>0.12396694214876033</v>
      </c>
      <c r="V12" s="85" t="s">
        <v>183</v>
      </c>
      <c r="W12" s="87">
        <v>0</v>
      </c>
      <c r="X12" s="85" t="s">
        <v>173</v>
      </c>
      <c r="Y12" s="88">
        <v>0.23036649214659685</v>
      </c>
      <c r="Z12" s="85" t="s">
        <v>177</v>
      </c>
      <c r="AA12" s="88">
        <v>0.18550106609808104</v>
      </c>
      <c r="AB12" s="85" t="s">
        <v>171</v>
      </c>
      <c r="AC12" s="88">
        <v>0.56603773584905659</v>
      </c>
      <c r="AD12" s="85" t="s">
        <v>128</v>
      </c>
      <c r="AE12" s="88">
        <v>0.287292817679558</v>
      </c>
      <c r="AF12" s="85" t="s">
        <v>128</v>
      </c>
      <c r="AG12" s="88">
        <v>0.42435424354243545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173</v>
      </c>
      <c r="E13" s="97">
        <v>-5.9681818181818178</v>
      </c>
      <c r="F13" s="85" t="s">
        <v>128</v>
      </c>
      <c r="G13" s="86">
        <v>2.0991735537190084</v>
      </c>
      <c r="H13" s="85" t="s">
        <v>200</v>
      </c>
      <c r="I13" s="87">
        <v>0.22222222222222221</v>
      </c>
      <c r="J13" s="85" t="s">
        <v>184</v>
      </c>
      <c r="K13" s="87">
        <v>0.46666666666666667</v>
      </c>
      <c r="L13" s="85" t="s">
        <v>183</v>
      </c>
      <c r="M13" s="88">
        <v>0.26315789473684209</v>
      </c>
      <c r="N13" s="85" t="s">
        <v>129</v>
      </c>
      <c r="O13" s="88">
        <v>0.19489247311827956</v>
      </c>
      <c r="P13" s="85" t="s">
        <v>173</v>
      </c>
      <c r="Q13" s="89">
        <v>6998.2456140350878</v>
      </c>
      <c r="R13" s="85" t="s">
        <v>129</v>
      </c>
      <c r="S13" s="89">
        <v>-9233.1034482758623</v>
      </c>
      <c r="T13" s="85" t="s">
        <v>184</v>
      </c>
      <c r="U13" s="87">
        <v>0.13333333333333333</v>
      </c>
      <c r="V13" s="85" t="s">
        <v>200</v>
      </c>
      <c r="W13" s="87">
        <v>0</v>
      </c>
      <c r="X13" s="85" t="s">
        <v>184</v>
      </c>
      <c r="Y13" s="88">
        <v>0.23015873015873015</v>
      </c>
      <c r="Z13" s="85" t="s">
        <v>128</v>
      </c>
      <c r="AA13" s="88">
        <v>0.18009950248756218</v>
      </c>
      <c r="AB13" s="85" t="s">
        <v>172</v>
      </c>
      <c r="AC13" s="88">
        <v>0.55639097744360899</v>
      </c>
      <c r="AD13" s="85" t="s">
        <v>223</v>
      </c>
      <c r="AE13" s="88">
        <v>0.25</v>
      </c>
      <c r="AF13" s="85" t="s">
        <v>171</v>
      </c>
      <c r="AG13" s="88">
        <v>0.40975609756097559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-422.10000000000008</v>
      </c>
      <c r="D14" s="85" t="s">
        <v>223</v>
      </c>
      <c r="E14" s="97">
        <v>-12.35</v>
      </c>
      <c r="F14" s="85" t="s">
        <v>129</v>
      </c>
      <c r="G14" s="86">
        <v>2.2359550561797752</v>
      </c>
      <c r="H14" s="85" t="s">
        <v>222</v>
      </c>
      <c r="I14" s="87">
        <v>0</v>
      </c>
      <c r="J14" s="85" t="s">
        <v>129</v>
      </c>
      <c r="K14" s="87">
        <v>0.48314606741573035</v>
      </c>
      <c r="L14" s="85" t="s">
        <v>129</v>
      </c>
      <c r="M14" s="88">
        <v>0.23790322580645162</v>
      </c>
      <c r="N14" s="85" t="s">
        <v>184</v>
      </c>
      <c r="O14" s="88">
        <v>0.21428571428571427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0.15517241379310345</v>
      </c>
      <c r="V14" s="85" t="s">
        <v>222</v>
      </c>
      <c r="W14" s="87">
        <v>0</v>
      </c>
      <c r="X14" s="85" t="s">
        <v>172</v>
      </c>
      <c r="Y14" s="88">
        <v>0.214170692431562</v>
      </c>
      <c r="Z14" s="85" t="s">
        <v>129</v>
      </c>
      <c r="AA14" s="88">
        <v>0.16263440860215053</v>
      </c>
      <c r="AB14" s="85" t="s">
        <v>129</v>
      </c>
      <c r="AC14" s="88">
        <v>0.52112676056338025</v>
      </c>
      <c r="AD14" s="85" t="s">
        <v>129</v>
      </c>
      <c r="AE14" s="88">
        <v>0.24793388429752067</v>
      </c>
      <c r="AF14" s="85" t="s">
        <v>127</v>
      </c>
      <c r="AG14" s="88">
        <v>0.40963855421686746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-1288.1000000000001</v>
      </c>
      <c r="D15" s="85" t="s">
        <v>129</v>
      </c>
      <c r="E15" s="97">
        <v>-14.47303370786517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6643.4579439252338</v>
      </c>
      <c r="R15" s="85" t="s">
        <v>223</v>
      </c>
      <c r="S15" s="89">
        <v>-12425</v>
      </c>
      <c r="T15" s="85" t="s">
        <v>129</v>
      </c>
      <c r="U15" s="87">
        <v>0.19101123595505617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5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648</v>
      </c>
      <c r="C2" s="151"/>
      <c r="E2" s="62" t="s">
        <v>67</v>
      </c>
      <c r="F2" s="59" t="s">
        <v>23</v>
      </c>
      <c r="G2" s="46">
        <v>1185</v>
      </c>
      <c r="H2" s="132">
        <f>IF(B$17=0,0,G2/B$17)</f>
        <v>0.73238566131025962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-13.888888888888889</v>
      </c>
      <c r="P2" s="118">
        <v>648</v>
      </c>
      <c r="Q2" s="102">
        <v>-9000</v>
      </c>
    </row>
    <row r="3" spans="1:17" x14ac:dyDescent="0.4">
      <c r="A3" s="55" t="s">
        <v>8</v>
      </c>
      <c r="B3" s="152">
        <v>5406</v>
      </c>
      <c r="C3" s="153"/>
      <c r="E3" s="63" t="s">
        <v>65</v>
      </c>
      <c r="F3" s="60" t="s">
        <v>21</v>
      </c>
      <c r="G3" s="47">
        <v>837</v>
      </c>
      <c r="H3" s="133">
        <f>IF(B$17=0,0,G3/B$17)</f>
        <v>0.51730531520395551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-7.8988941548183256</v>
      </c>
      <c r="P3" s="119">
        <v>633</v>
      </c>
      <c r="Q3" s="103">
        <v>-5000</v>
      </c>
    </row>
    <row r="4" spans="1:17" x14ac:dyDescent="0.4">
      <c r="A4" s="55" t="s">
        <v>6</v>
      </c>
      <c r="B4" s="154">
        <v>-1.0000000000000213</v>
      </c>
      <c r="C4" s="155"/>
      <c r="E4" s="63" t="s">
        <v>73</v>
      </c>
      <c r="F4" s="60" t="s">
        <v>28</v>
      </c>
      <c r="G4" s="47">
        <v>813</v>
      </c>
      <c r="H4" s="133">
        <f>IF(B$17=0,0,G4/B$17)</f>
        <v>0.50247218788627934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8.3752093802345051</v>
      </c>
      <c r="P4" s="119">
        <v>597</v>
      </c>
      <c r="Q4" s="103">
        <v>5000</v>
      </c>
    </row>
    <row r="5" spans="1:17" x14ac:dyDescent="0.4">
      <c r="A5" s="55" t="s">
        <v>7</v>
      </c>
      <c r="B5" s="156">
        <f>IF(B$2=0,0,B$4/B$2)</f>
        <v>-1.5432098765432428E-3</v>
      </c>
      <c r="C5" s="157"/>
      <c r="E5" s="63" t="s">
        <v>245</v>
      </c>
      <c r="F5" s="60" t="s">
        <v>246</v>
      </c>
      <c r="G5" s="47">
        <v>666</v>
      </c>
      <c r="H5" s="133">
        <f>IF(B$17=0,0,G5/B$17)</f>
        <v>0.41161928306551299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9.2081031307550649</v>
      </c>
      <c r="P5" s="119">
        <v>543</v>
      </c>
      <c r="Q5" s="103">
        <v>5000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503</v>
      </c>
      <c r="H6" s="133">
        <f>IF(B$17=0,0,G6/B$17)</f>
        <v>0.31087762669962915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-14.314928425357873</v>
      </c>
      <c r="P6" s="119">
        <v>489</v>
      </c>
      <c r="Q6" s="103">
        <v>-7000</v>
      </c>
    </row>
    <row r="7" spans="1:17" x14ac:dyDescent="0.4">
      <c r="A7" s="55" t="s">
        <v>2</v>
      </c>
      <c r="B7" s="47">
        <v>216</v>
      </c>
      <c r="C7" s="39">
        <f>IF(B$2=0,0,B7/B$2)</f>
        <v>0.33333333333333331</v>
      </c>
      <c r="E7" s="63" t="s">
        <v>68</v>
      </c>
      <c r="F7" s="60" t="s">
        <v>24</v>
      </c>
      <c r="G7" s="47">
        <v>490</v>
      </c>
      <c r="H7" s="133">
        <f>IF(B$17=0,0,G7/B$17)</f>
        <v>0.30284301606922126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22.831050228310502</v>
      </c>
      <c r="P7" s="120">
        <v>438</v>
      </c>
      <c r="Q7" s="104">
        <v>10000</v>
      </c>
    </row>
    <row r="8" spans="1:17" x14ac:dyDescent="0.4">
      <c r="A8" s="55" t="s">
        <v>3</v>
      </c>
      <c r="B8" s="47">
        <v>216</v>
      </c>
      <c r="C8" s="39">
        <f>IF(B$2=0,0,B8/B$2)</f>
        <v>0.33333333333333331</v>
      </c>
      <c r="E8" s="63" t="s">
        <v>70</v>
      </c>
      <c r="F8" s="60" t="s">
        <v>25</v>
      </c>
      <c r="G8" s="47">
        <v>287</v>
      </c>
      <c r="H8" s="133">
        <f>IF(B$17=0,0,G8/B$17)</f>
        <v>0.17737948084054389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216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202</v>
      </c>
      <c r="H9" s="133">
        <f>IF(B$17=0,0,G9/B$17)</f>
        <v>0.12484548825710753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75</v>
      </c>
      <c r="C10" s="40">
        <f>IF(B$2=0,0,B10/B$2)</f>
        <v>0.11574074074074074</v>
      </c>
      <c r="E10" s="63" t="s">
        <v>66</v>
      </c>
      <c r="F10" s="60" t="s">
        <v>22</v>
      </c>
      <c r="G10" s="47">
        <v>196</v>
      </c>
      <c r="H10" s="133">
        <f>IF(B$17=0,0,G10/B$17)</f>
        <v>0.12113720642768851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-1.3138888888888884</v>
      </c>
      <c r="P10" s="118">
        <v>216</v>
      </c>
      <c r="Q10" s="106">
        <v>-283.7999999999999</v>
      </c>
    </row>
    <row r="11" spans="1:17" x14ac:dyDescent="0.4">
      <c r="A11" s="56" t="s">
        <v>140</v>
      </c>
      <c r="B11" s="48">
        <v>75</v>
      </c>
      <c r="C11" s="40">
        <f>IF(B$2=0,0,B11/B$2)</f>
        <v>0.11574074074074074</v>
      </c>
      <c r="E11" s="63" t="s">
        <v>71</v>
      </c>
      <c r="F11" s="60" t="s">
        <v>26</v>
      </c>
      <c r="G11" s="47">
        <v>162</v>
      </c>
      <c r="H11" s="133">
        <f>IF(B$17=0,0,G11/B$17)</f>
        <v>0.10012360939431397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-5.0925925925926055E-2</v>
      </c>
      <c r="P11" s="119">
        <v>216</v>
      </c>
      <c r="Q11" s="107">
        <v>-11.000000000000028</v>
      </c>
    </row>
    <row r="12" spans="1:17" x14ac:dyDescent="0.4">
      <c r="A12" s="57" t="s">
        <v>160</v>
      </c>
      <c r="B12" s="49">
        <v>55</v>
      </c>
      <c r="C12" s="42">
        <f>IF(B$2=0,0,B12/B$2)</f>
        <v>8.4876543209876545E-2</v>
      </c>
      <c r="E12" s="63" t="s">
        <v>72</v>
      </c>
      <c r="F12" s="60" t="s">
        <v>27</v>
      </c>
      <c r="G12" s="47">
        <v>112</v>
      </c>
      <c r="H12" s="133">
        <f>IF(B$17=0,0,G12/B$17)</f>
        <v>6.9221260815822E-2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1.3601851851851849</v>
      </c>
      <c r="P12" s="120">
        <v>216</v>
      </c>
      <c r="Q12" s="108">
        <v>293.79999999999995</v>
      </c>
    </row>
    <row r="13" spans="1:17" x14ac:dyDescent="0.4">
      <c r="A13" s="58" t="s">
        <v>122</v>
      </c>
      <c r="B13" s="50">
        <v>1516</v>
      </c>
      <c r="C13" s="44">
        <f>IF(B$3=0,0,B13/B$3)</f>
        <v>0.28042915279319275</v>
      </c>
      <c r="E13" s="63" t="s">
        <v>87</v>
      </c>
      <c r="F13" s="60" t="s">
        <v>42</v>
      </c>
      <c r="G13" s="47">
        <v>89</v>
      </c>
      <c r="H13" s="133">
        <f>IF(B$17=0,0,G13/B$17)</f>
        <v>5.5006180469715699E-2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1126</v>
      </c>
      <c r="C14" s="39">
        <f>IF(B$3=0,0,B14/B$3)</f>
        <v>0.20828708842027377</v>
      </c>
      <c r="E14" s="63" t="s">
        <v>84</v>
      </c>
      <c r="F14" s="60" t="s">
        <v>39</v>
      </c>
      <c r="G14" s="47">
        <v>81</v>
      </c>
      <c r="H14" s="133">
        <f>IF(B$17=0,0,G14/B$17)</f>
        <v>5.0061804697156986E-2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877</v>
      </c>
      <c r="C15" s="37">
        <f>IF(B$13=0,0,B15/B$13)</f>
        <v>0.57849604221635886</v>
      </c>
      <c r="E15" s="63" t="s">
        <v>82</v>
      </c>
      <c r="F15" s="60" t="s">
        <v>37</v>
      </c>
      <c r="G15" s="47">
        <v>46</v>
      </c>
      <c r="H15" s="133">
        <f>IF(B$17=0,0,G15/B$17)</f>
        <v>2.843016069221261E-2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21.70393258426969</v>
      </c>
      <c r="P15" s="118">
        <v>178</v>
      </c>
      <c r="Q15" s="106">
        <v>3863.3000000000047</v>
      </c>
    </row>
    <row r="16" spans="1:17" x14ac:dyDescent="0.4">
      <c r="A16" s="54" t="s">
        <v>125</v>
      </c>
      <c r="B16" s="46">
        <v>444</v>
      </c>
      <c r="C16" s="37">
        <f>IF(B$14=0,0,B16/B$14)</f>
        <v>0.39431616341030196</v>
      </c>
      <c r="E16" s="63" t="s">
        <v>79</v>
      </c>
      <c r="F16" s="60" t="s">
        <v>34</v>
      </c>
      <c r="G16" s="47">
        <v>43</v>
      </c>
      <c r="H16" s="133">
        <f>IF(B$17=0,0,G16/B$17)</f>
        <v>2.6576019777503089E-2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1618</v>
      </c>
      <c r="C17" s="37">
        <f>IF(B$3=0,0,B17/B$3)</f>
        <v>0.29929707732149463</v>
      </c>
      <c r="E17" s="63" t="s">
        <v>92</v>
      </c>
      <c r="F17" s="60" t="s">
        <v>47</v>
      </c>
      <c r="G17" s="47">
        <v>30</v>
      </c>
      <c r="H17" s="133">
        <f>IF(B$17=0,0,G17/B$17)</f>
        <v>1.8541409147095178E-2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8.9522727272727263</v>
      </c>
      <c r="P17" s="119">
        <v>88</v>
      </c>
      <c r="Q17" s="107">
        <v>787.79999999999984</v>
      </c>
    </row>
    <row r="18" spans="1:17" x14ac:dyDescent="0.4">
      <c r="A18" s="55" t="s">
        <v>12</v>
      </c>
      <c r="B18" s="47">
        <v>697</v>
      </c>
      <c r="C18" s="39">
        <f>IF(B$17=0,0,B18/B$17)</f>
        <v>0.43077873918417797</v>
      </c>
      <c r="E18" s="63" t="s">
        <v>80</v>
      </c>
      <c r="F18" s="60" t="s">
        <v>35</v>
      </c>
      <c r="G18" s="47">
        <v>25</v>
      </c>
      <c r="H18" s="133">
        <f>IF(B$17=0,0,G18/B$17)</f>
        <v>1.5451174289245983E-2</v>
      </c>
      <c r="I18" s="94">
        <v>5</v>
      </c>
      <c r="K18" s="38">
        <v>16</v>
      </c>
      <c r="L18" s="99">
        <v>90.899999999999991</v>
      </c>
      <c r="N18" s="115" t="s">
        <v>184</v>
      </c>
      <c r="O18" s="125">
        <f>IF(P18=0,0,Q18/P18)</f>
        <v>8.5066666666666642</v>
      </c>
      <c r="P18" s="119">
        <v>30</v>
      </c>
      <c r="Q18" s="107">
        <v>255.19999999999993</v>
      </c>
    </row>
    <row r="19" spans="1:17" x14ac:dyDescent="0.4">
      <c r="A19" s="55" t="s">
        <v>11</v>
      </c>
      <c r="B19" s="47">
        <v>921</v>
      </c>
      <c r="C19" s="39">
        <f>IF(B$17=0,0,B19/B$17)</f>
        <v>0.56922126081582203</v>
      </c>
      <c r="E19" s="63" t="s">
        <v>180</v>
      </c>
      <c r="F19" s="60" t="s">
        <v>181</v>
      </c>
      <c r="G19" s="47">
        <v>25</v>
      </c>
      <c r="H19" s="133">
        <f>IF(B$17=0,0,G19/B$17)</f>
        <v>1.5451174289245983E-2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5.2326446280991732</v>
      </c>
      <c r="P19" s="119">
        <v>242</v>
      </c>
      <c r="Q19" s="107">
        <v>1266.3</v>
      </c>
    </row>
    <row r="20" spans="1:17" x14ac:dyDescent="0.4">
      <c r="A20" s="55" t="s">
        <v>13</v>
      </c>
      <c r="B20" s="47">
        <v>911</v>
      </c>
      <c r="C20" s="39">
        <f>IF(B$3=0,0,B20/B$3)</f>
        <v>0.1685164631890492</v>
      </c>
      <c r="E20" s="63" t="s">
        <v>74</v>
      </c>
      <c r="F20" s="60" t="s">
        <v>29</v>
      </c>
      <c r="G20" s="47">
        <v>11</v>
      </c>
      <c r="H20" s="133">
        <f>IF(B$17=0,0,G20/B$17)</f>
        <v>6.798516687268232E-3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1.4249999999999992</v>
      </c>
      <c r="P20" s="119">
        <v>144</v>
      </c>
      <c r="Q20" s="107">
        <v>205.19999999999987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5.5624227441285539E-3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-0.78920454545454277</v>
      </c>
      <c r="P21" s="119">
        <v>176</v>
      </c>
      <c r="Q21" s="107">
        <v>-138.89999999999952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86</v>
      </c>
      <c r="F22" s="60" t="s">
        <v>41</v>
      </c>
      <c r="G22" s="47">
        <v>7</v>
      </c>
      <c r="H22" s="133">
        <f>IF(B$17=0,0,G22/B$17)</f>
        <v>4.326328800988875E-3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8650.6180469715691</v>
      </c>
      <c r="C23" s="41">
        <v>13996700</v>
      </c>
      <c r="E23" s="63" t="s">
        <v>93</v>
      </c>
      <c r="F23" s="60" t="s">
        <v>48</v>
      </c>
      <c r="G23" s="47">
        <v>7</v>
      </c>
      <c r="H23" s="133">
        <f>IF(B$17=0,0,G23/B$17)</f>
        <v>4.326328800988875E-3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-6.3258620689655185</v>
      </c>
      <c r="P23" s="119">
        <v>116</v>
      </c>
      <c r="Q23" s="107">
        <v>-733.80000000000018</v>
      </c>
    </row>
    <row r="24" spans="1:17" x14ac:dyDescent="0.4">
      <c r="A24" s="57" t="s">
        <v>14</v>
      </c>
      <c r="B24" s="52">
        <f>IF(B$20=0,0,C24/B$20)</f>
        <v>-8309.3304061470917</v>
      </c>
      <c r="C24" s="45">
        <v>-7569800</v>
      </c>
      <c r="E24" s="63" t="s">
        <v>75</v>
      </c>
      <c r="F24" s="60" t="s">
        <v>30</v>
      </c>
      <c r="G24" s="47">
        <v>6</v>
      </c>
      <c r="H24" s="133">
        <f>IF(B$17=0,0,G24/B$17)</f>
        <v>3.708281829419036E-3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-18.157534246575317</v>
      </c>
      <c r="P24" s="119">
        <v>292</v>
      </c>
      <c r="Q24" s="107">
        <v>-5301.9999999999927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3.708281829419036E-3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5</v>
      </c>
      <c r="H26" s="133">
        <f>IF(B$17=0,0,G26/B$17)</f>
        <v>3.0902348578491965E-3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2.5897151313355529E-3</v>
      </c>
      <c r="E27" s="63" t="s">
        <v>78</v>
      </c>
      <c r="F27" s="60" t="s">
        <v>33</v>
      </c>
      <c r="G27" s="47">
        <v>4</v>
      </c>
      <c r="H27" s="133">
        <f>IF(B$17=0,0,G27/B$17)</f>
        <v>2.472187886279357E-3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4</v>
      </c>
      <c r="H28" s="133">
        <f>IF(B$17=0,0,G28/B$17)</f>
        <v>2.472187886279357E-3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2.472187886279357E-3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1.2360939431396785E-3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1.2360939431396785E-3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6.1804697156983925E-4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6.1804697156983925E-4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4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146</v>
      </c>
      <c r="C2" s="151"/>
      <c r="E2" s="62" t="s">
        <v>67</v>
      </c>
      <c r="F2" s="59" t="s">
        <v>23</v>
      </c>
      <c r="G2" s="46">
        <v>299</v>
      </c>
      <c r="H2" s="132">
        <f>IF(B$17=0,0,G2/B$17)</f>
        <v>0.72048192771084341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2197.2602739726026</v>
      </c>
      <c r="P2" s="118">
        <v>146</v>
      </c>
      <c r="Q2" s="102">
        <v>320800</v>
      </c>
    </row>
    <row r="3" spans="1:17" x14ac:dyDescent="0.4">
      <c r="A3" s="55" t="s">
        <v>8</v>
      </c>
      <c r="B3" s="152">
        <v>1197</v>
      </c>
      <c r="C3" s="153"/>
      <c r="E3" s="63" t="s">
        <v>73</v>
      </c>
      <c r="F3" s="60" t="s">
        <v>28</v>
      </c>
      <c r="G3" s="47">
        <v>237</v>
      </c>
      <c r="H3" s="133">
        <f>IF(B$17=0,0,G3/B$17)</f>
        <v>0.57108433734939756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1227.4647887323943</v>
      </c>
      <c r="P3" s="119">
        <v>142</v>
      </c>
      <c r="Q3" s="103">
        <v>174300</v>
      </c>
    </row>
    <row r="4" spans="1:17" x14ac:dyDescent="0.4">
      <c r="A4" s="55" t="s">
        <v>6</v>
      </c>
      <c r="B4" s="154">
        <v>1767.0000000000009</v>
      </c>
      <c r="C4" s="155"/>
      <c r="E4" s="63" t="s">
        <v>65</v>
      </c>
      <c r="F4" s="60" t="s">
        <v>21</v>
      </c>
      <c r="G4" s="47">
        <v>197</v>
      </c>
      <c r="H4" s="133">
        <f>IF(B$17=0,0,G4/B$17)</f>
        <v>0.47469879518072289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796.2962962962963</v>
      </c>
      <c r="P4" s="119">
        <v>135</v>
      </c>
      <c r="Q4" s="103">
        <v>107500</v>
      </c>
    </row>
    <row r="5" spans="1:17" x14ac:dyDescent="0.4">
      <c r="A5" s="55" t="s">
        <v>7</v>
      </c>
      <c r="B5" s="156">
        <f>IF(B$2=0,0,B$4/B$2)</f>
        <v>12.102739726027403</v>
      </c>
      <c r="C5" s="157"/>
      <c r="E5" s="63" t="s">
        <v>245</v>
      </c>
      <c r="F5" s="60" t="s">
        <v>246</v>
      </c>
      <c r="G5" s="47">
        <v>172</v>
      </c>
      <c r="H5" s="133">
        <f>IF(B$17=0,0,G5/B$17)</f>
        <v>0.41445783132530123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2520.1612903225805</v>
      </c>
      <c r="P5" s="119">
        <v>124</v>
      </c>
      <c r="Q5" s="103">
        <v>312500</v>
      </c>
    </row>
    <row r="6" spans="1:17" x14ac:dyDescent="0.4">
      <c r="A6" s="55" t="s">
        <v>1</v>
      </c>
      <c r="B6" s="146">
        <f>IF(B$2=0,0,(B$7*1+B$8*2+B$9*3)/B$2)</f>
        <v>1.7465753424657535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0.27710843373493976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216.36363636363637</v>
      </c>
      <c r="P6" s="119">
        <v>110</v>
      </c>
      <c r="Q6" s="103">
        <v>23800</v>
      </c>
    </row>
    <row r="7" spans="1:17" x14ac:dyDescent="0.4">
      <c r="A7" s="55" t="s">
        <v>2</v>
      </c>
      <c r="B7" s="47">
        <v>71</v>
      </c>
      <c r="C7" s="39">
        <f>IF(B$2=0,0,B7/B$2)</f>
        <v>0.4863013698630137</v>
      </c>
      <c r="E7" s="63" t="s">
        <v>69</v>
      </c>
      <c r="F7" s="60" t="s">
        <v>12</v>
      </c>
      <c r="G7" s="47">
        <v>109</v>
      </c>
      <c r="H7" s="133">
        <f>IF(B$17=0,0,G7/B$17)</f>
        <v>0.26265060240963856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823.95833333333337</v>
      </c>
      <c r="P7" s="120">
        <v>96</v>
      </c>
      <c r="Q7" s="104">
        <v>79100</v>
      </c>
    </row>
    <row r="8" spans="1:17" x14ac:dyDescent="0.4">
      <c r="A8" s="55" t="s">
        <v>3</v>
      </c>
      <c r="B8" s="47">
        <v>41</v>
      </c>
      <c r="C8" s="39">
        <f>IF(B$2=0,0,B8/B$2)</f>
        <v>0.28082191780821919</v>
      </c>
      <c r="E8" s="63" t="s">
        <v>70</v>
      </c>
      <c r="F8" s="60" t="s">
        <v>25</v>
      </c>
      <c r="G8" s="47">
        <v>68</v>
      </c>
      <c r="H8" s="133">
        <f>IF(B$17=0,0,G8/B$17)</f>
        <v>0.16385542168674699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0.23287671232876711</v>
      </c>
      <c r="E9" s="63" t="s">
        <v>90</v>
      </c>
      <c r="F9" s="60" t="s">
        <v>45</v>
      </c>
      <c r="G9" s="47">
        <v>64</v>
      </c>
      <c r="H9" s="133">
        <f>IF(B$17=0,0,G9/B$17)</f>
        <v>0.15421686746987953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0.10273972602739725</v>
      </c>
      <c r="E10" s="63" t="s">
        <v>66</v>
      </c>
      <c r="F10" s="60" t="s">
        <v>22</v>
      </c>
      <c r="G10" s="47">
        <v>53</v>
      </c>
      <c r="H10" s="133">
        <f>IF(B$17=0,0,G10/B$17)</f>
        <v>0.12771084337349398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14.331914893617022</v>
      </c>
      <c r="P10" s="118">
        <v>47</v>
      </c>
      <c r="Q10" s="106">
        <v>673.6</v>
      </c>
    </row>
    <row r="11" spans="1:17" x14ac:dyDescent="0.4">
      <c r="A11" s="56" t="s">
        <v>140</v>
      </c>
      <c r="B11" s="48">
        <v>25</v>
      </c>
      <c r="C11" s="40">
        <f>IF(B$2=0,0,B11/B$2)</f>
        <v>0.17123287671232876</v>
      </c>
      <c r="E11" s="63" t="s">
        <v>71</v>
      </c>
      <c r="F11" s="60" t="s">
        <v>26</v>
      </c>
      <c r="G11" s="47">
        <v>37</v>
      </c>
      <c r="H11" s="133">
        <f>IF(B$17=0,0,G11/B$17)</f>
        <v>8.91566265060241E-2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0.14383561643835616</v>
      </c>
      <c r="E12" s="63" t="s">
        <v>87</v>
      </c>
      <c r="F12" s="60" t="s">
        <v>42</v>
      </c>
      <c r="G12" s="47">
        <v>30</v>
      </c>
      <c r="H12" s="133">
        <f>IF(B$17=0,0,G12/B$17)</f>
        <v>7.2289156626506021E-2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11.705357142857144</v>
      </c>
      <c r="P12" s="120">
        <v>56</v>
      </c>
      <c r="Q12" s="108">
        <v>655.50000000000011</v>
      </c>
    </row>
    <row r="13" spans="1:17" x14ac:dyDescent="0.4">
      <c r="A13" s="58" t="s">
        <v>122</v>
      </c>
      <c r="B13" s="50">
        <v>374</v>
      </c>
      <c r="C13" s="44">
        <f>IF(B$3=0,0,B13/B$3)</f>
        <v>0.31244778613199664</v>
      </c>
      <c r="E13" s="63" t="s">
        <v>72</v>
      </c>
      <c r="F13" s="60" t="s">
        <v>27</v>
      </c>
      <c r="G13" s="47">
        <v>29</v>
      </c>
      <c r="H13" s="133">
        <f>IF(B$17=0,0,G13/B$17)</f>
        <v>6.9879518072289162E-2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262</v>
      </c>
      <c r="C14" s="39">
        <f>IF(B$3=0,0,B14/B$3)</f>
        <v>0.21888053467000834</v>
      </c>
      <c r="E14" s="63" t="s">
        <v>84</v>
      </c>
      <c r="F14" s="60" t="s">
        <v>39</v>
      </c>
      <c r="G14" s="47">
        <v>25</v>
      </c>
      <c r="H14" s="133">
        <f>IF(B$17=0,0,G14/B$17)</f>
        <v>6.0240963855421686E-2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215</v>
      </c>
      <c r="C15" s="37">
        <f>IF(B$13=0,0,B15/B$13)</f>
        <v>0.57486631016042777</v>
      </c>
      <c r="E15" s="63" t="s">
        <v>180</v>
      </c>
      <c r="F15" s="60" t="s">
        <v>181</v>
      </c>
      <c r="G15" s="47">
        <v>14</v>
      </c>
      <c r="H15" s="133">
        <f>IF(B$17=0,0,G15/B$17)</f>
        <v>3.3734939759036145E-2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136</v>
      </c>
      <c r="C16" s="37">
        <f>IF(B$14=0,0,B16/B$14)</f>
        <v>0.51908396946564883</v>
      </c>
      <c r="E16" s="63" t="s">
        <v>82</v>
      </c>
      <c r="F16" s="60" t="s">
        <v>37</v>
      </c>
      <c r="G16" s="47">
        <v>12</v>
      </c>
      <c r="H16" s="133">
        <f>IF(B$17=0,0,G16/B$17)</f>
        <v>2.891566265060241E-2</v>
      </c>
      <c r="I16" s="94">
        <v>5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415</v>
      </c>
      <c r="C17" s="37">
        <f>IF(B$3=0,0,B17/B$3)</f>
        <v>0.34670008354218879</v>
      </c>
      <c r="E17" s="63" t="s">
        <v>79</v>
      </c>
      <c r="F17" s="60" t="s">
        <v>34</v>
      </c>
      <c r="G17" s="47">
        <v>10</v>
      </c>
      <c r="H17" s="133">
        <f>IF(B$17=0,0,G17/B$17)</f>
        <v>2.4096385542168676E-2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27.735714285714291</v>
      </c>
      <c r="P17" s="119">
        <v>56</v>
      </c>
      <c r="Q17" s="107">
        <v>1553.2000000000003</v>
      </c>
    </row>
    <row r="18" spans="1:17" x14ac:dyDescent="0.4">
      <c r="A18" s="55" t="s">
        <v>12</v>
      </c>
      <c r="B18" s="47">
        <v>170</v>
      </c>
      <c r="C18" s="39">
        <f>IF(B$17=0,0,B18/B$17)</f>
        <v>0.40963855421686746</v>
      </c>
      <c r="E18" s="63" t="s">
        <v>92</v>
      </c>
      <c r="F18" s="60" t="s">
        <v>47</v>
      </c>
      <c r="G18" s="47">
        <v>8</v>
      </c>
      <c r="H18" s="133">
        <f>IF(B$17=0,0,G18/B$17)</f>
        <v>1.9277108433734941E-2</v>
      </c>
      <c r="I18" s="94">
        <v>4</v>
      </c>
      <c r="K18" s="38">
        <v>16</v>
      </c>
      <c r="L18" s="99">
        <v>425.50000000000006</v>
      </c>
      <c r="N18" s="115" t="s">
        <v>177</v>
      </c>
      <c r="O18" s="125">
        <f>IF(P18=0,0,Q18/P18)</f>
        <v>25.936000000000007</v>
      </c>
      <c r="P18" s="119">
        <v>25</v>
      </c>
      <c r="Q18" s="107">
        <v>648.4000000000002</v>
      </c>
    </row>
    <row r="19" spans="1:17" x14ac:dyDescent="0.4">
      <c r="A19" s="55" t="s">
        <v>11</v>
      </c>
      <c r="B19" s="47">
        <v>245</v>
      </c>
      <c r="C19" s="39">
        <f>IF(B$17=0,0,B19/B$17)</f>
        <v>0.59036144578313254</v>
      </c>
      <c r="E19" s="63" t="s">
        <v>80</v>
      </c>
      <c r="F19" s="60" t="s">
        <v>35</v>
      </c>
      <c r="G19" s="47">
        <v>5</v>
      </c>
      <c r="H19" s="133">
        <f>IF(B$17=0,0,G19/B$17)</f>
        <v>1.2048192771084338E-2</v>
      </c>
      <c r="I19" s="94">
        <v>9</v>
      </c>
      <c r="K19" s="38">
        <v>17</v>
      </c>
      <c r="L19" s="99">
        <v>427.40000000000003</v>
      </c>
      <c r="N19" s="115" t="s">
        <v>172</v>
      </c>
      <c r="O19" s="125">
        <f>IF(P19=0,0,Q19/P19)</f>
        <v>22.892105263157895</v>
      </c>
      <c r="P19" s="119">
        <v>38</v>
      </c>
      <c r="Q19" s="107">
        <v>869.9</v>
      </c>
    </row>
    <row r="20" spans="1:17" x14ac:dyDescent="0.4">
      <c r="A20" s="55" t="s">
        <v>13</v>
      </c>
      <c r="B20" s="47">
        <v>192</v>
      </c>
      <c r="C20" s="39">
        <f>IF(B$3=0,0,B20/B$3)</f>
        <v>0.16040100250626566</v>
      </c>
      <c r="E20" s="63" t="s">
        <v>86</v>
      </c>
      <c r="F20" s="60" t="s">
        <v>41</v>
      </c>
      <c r="G20" s="47">
        <v>4</v>
      </c>
      <c r="H20" s="133">
        <f>IF(B$17=0,0,G20/B$17)</f>
        <v>9.6385542168674707E-3</v>
      </c>
      <c r="I20" s="94">
        <v>2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7.2289156626506026E-3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>IF(P21=0,0,Q21/P21)</f>
        <v>19.230952380952381</v>
      </c>
      <c r="P21" s="119">
        <v>84</v>
      </c>
      <c r="Q21" s="107">
        <v>1615.4</v>
      </c>
    </row>
    <row r="22" spans="1:17" x14ac:dyDescent="0.4">
      <c r="A22" s="55" t="s">
        <v>192</v>
      </c>
      <c r="B22" s="47">
        <v>39</v>
      </c>
      <c r="C22" s="135">
        <v>3</v>
      </c>
      <c r="E22" s="63" t="s">
        <v>78</v>
      </c>
      <c r="F22" s="60" t="s">
        <v>33</v>
      </c>
      <c r="G22" s="47">
        <v>2</v>
      </c>
      <c r="H22" s="133">
        <f>IF(B$17=0,0,G22/B$17)</f>
        <v>4.8192771084337354E-3</v>
      </c>
      <c r="I22" s="94">
        <v>2</v>
      </c>
      <c r="K22" s="38">
        <v>20</v>
      </c>
      <c r="L22" s="99">
        <v>469.6</v>
      </c>
      <c r="N22" s="115" t="s">
        <v>184</v>
      </c>
      <c r="O22" s="125">
        <f>IF(P22=0,0,Q22/P22)</f>
        <v>12.139999999999993</v>
      </c>
      <c r="P22" s="119">
        <v>10</v>
      </c>
      <c r="Q22" s="107">
        <v>121.39999999999993</v>
      </c>
    </row>
    <row r="23" spans="1:17" x14ac:dyDescent="0.4">
      <c r="A23" s="55" t="s">
        <v>5</v>
      </c>
      <c r="B23" s="51">
        <f>IF(B$17=0,0,C23/B$17)</f>
        <v>9091.0843373493972</v>
      </c>
      <c r="C23" s="41">
        <v>3772800</v>
      </c>
      <c r="E23" s="63" t="s">
        <v>91</v>
      </c>
      <c r="F23" s="60" t="s">
        <v>46</v>
      </c>
      <c r="G23" s="47">
        <v>2</v>
      </c>
      <c r="H23" s="133">
        <f>IF(B$17=0,0,G23/B$17)</f>
        <v>4.8192771084337354E-3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-8247.9166666666661</v>
      </c>
      <c r="C24" s="45">
        <v>-1583600</v>
      </c>
      <c r="E24" s="63" t="s">
        <v>93</v>
      </c>
      <c r="F24" s="60" t="s">
        <v>48</v>
      </c>
      <c r="G24" s="47">
        <v>2</v>
      </c>
      <c r="H24" s="133">
        <f>IF(B$17=0,0,G24/B$17)</f>
        <v>4.8192771084337354E-3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2.4096385542168677E-3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2.4096385542168677E-3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8.3542188805346695E-4</v>
      </c>
      <c r="E27" s="63" t="s">
        <v>88</v>
      </c>
      <c r="F27" s="60" t="s">
        <v>43</v>
      </c>
      <c r="G27" s="47">
        <v>1</v>
      </c>
      <c r="H27" s="133">
        <f>IF(B$17=0,0,G27/B$17)</f>
        <v>2.4096385542168677E-3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2.4096385542168677E-3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2.4096385542168677E-3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65</v>
      </c>
      <c r="F2" s="59" t="s">
        <v>21</v>
      </c>
      <c r="G2" s="46">
        <v>166</v>
      </c>
      <c r="H2" s="132">
        <f>IF(B$17=0,0,G2/B$17)</f>
        <v>0.61254612546125464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299.17355371900828</v>
      </c>
      <c r="P2" s="118">
        <v>121</v>
      </c>
      <c r="Q2" s="102">
        <v>36200</v>
      </c>
    </row>
    <row r="3" spans="1:17" x14ac:dyDescent="0.4">
      <c r="A3" s="55" t="s">
        <v>8</v>
      </c>
      <c r="B3" s="152">
        <v>1005</v>
      </c>
      <c r="C3" s="153"/>
      <c r="E3" s="63" t="s">
        <v>66</v>
      </c>
      <c r="F3" s="60" t="s">
        <v>22</v>
      </c>
      <c r="G3" s="47">
        <v>43</v>
      </c>
      <c r="H3" s="133">
        <f>IF(B$17=0,0,G3/B$17)</f>
        <v>0.15867158671586715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-2208.5470085470088</v>
      </c>
      <c r="P3" s="119">
        <v>117</v>
      </c>
      <c r="Q3" s="103">
        <v>-258400</v>
      </c>
    </row>
    <row r="4" spans="1:17" x14ac:dyDescent="0.4">
      <c r="A4" s="55" t="s">
        <v>6</v>
      </c>
      <c r="B4" s="154">
        <v>-422.10000000000008</v>
      </c>
      <c r="C4" s="155"/>
      <c r="E4" s="63" t="s">
        <v>67</v>
      </c>
      <c r="F4" s="60" t="s">
        <v>23</v>
      </c>
      <c r="G4" s="47">
        <v>209</v>
      </c>
      <c r="H4" s="133">
        <f>IF(B$17=0,0,G4/B$17)</f>
        <v>0.77121771217712176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293.85964912280701</v>
      </c>
      <c r="P4" s="119">
        <v>114</v>
      </c>
      <c r="Q4" s="103">
        <v>33500</v>
      </c>
    </row>
    <row r="5" spans="1:17" x14ac:dyDescent="0.4">
      <c r="A5" s="55" t="s">
        <v>7</v>
      </c>
      <c r="B5" s="156">
        <f>IF(B$2=0,0,B$4/B$2)</f>
        <v>-3.4884297520661165</v>
      </c>
      <c r="C5" s="157"/>
      <c r="E5" s="63" t="s">
        <v>68</v>
      </c>
      <c r="F5" s="60" t="s">
        <v>24</v>
      </c>
      <c r="G5" s="47">
        <v>102</v>
      </c>
      <c r="H5" s="133">
        <f>IF(B$17=0,0,G5/B$17)</f>
        <v>0.37638376383763839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16.831683168316832</v>
      </c>
      <c r="P5" s="119">
        <v>101</v>
      </c>
      <c r="Q5" s="103">
        <v>1700</v>
      </c>
    </row>
    <row r="6" spans="1:17" x14ac:dyDescent="0.4">
      <c r="A6" s="55" t="s">
        <v>1</v>
      </c>
      <c r="B6" s="146">
        <f>IF(B$2=0,0,(B$7*1+B$8*2+B$9*3)/B$2)</f>
        <v>2.0991735537190084</v>
      </c>
      <c r="C6" s="147"/>
      <c r="E6" s="63" t="s">
        <v>69</v>
      </c>
      <c r="F6" s="60" t="s">
        <v>12</v>
      </c>
      <c r="G6" s="47">
        <v>93</v>
      </c>
      <c r="H6" s="133">
        <f>IF(B$17=0,0,G6/B$17)</f>
        <v>0.34317343173431736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203.33333333333334</v>
      </c>
      <c r="P6" s="119">
        <v>90</v>
      </c>
      <c r="Q6" s="103">
        <v>18300</v>
      </c>
    </row>
    <row r="7" spans="1:17" x14ac:dyDescent="0.4">
      <c r="A7" s="55" t="s">
        <v>2</v>
      </c>
      <c r="B7" s="47">
        <v>31</v>
      </c>
      <c r="C7" s="39">
        <f>IF(B$2=0,0,B7/B$2)</f>
        <v>0.256198347107438</v>
      </c>
      <c r="E7" s="63" t="s">
        <v>70</v>
      </c>
      <c r="F7" s="60" t="s">
        <v>25</v>
      </c>
      <c r="G7" s="47">
        <v>60</v>
      </c>
      <c r="H7" s="133">
        <f>IF(B$17=0,0,G7/B$17)</f>
        <v>0.22140221402214022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280.95238095238096</v>
      </c>
      <c r="P7" s="120">
        <v>84</v>
      </c>
      <c r="Q7" s="104">
        <v>23600</v>
      </c>
    </row>
    <row r="8" spans="1:17" x14ac:dyDescent="0.4">
      <c r="A8" s="55" t="s">
        <v>3</v>
      </c>
      <c r="B8" s="47">
        <v>47</v>
      </c>
      <c r="C8" s="39">
        <f>IF(B$2=0,0,B8/B$2)</f>
        <v>0.38842975206611569</v>
      </c>
      <c r="E8" s="63" t="s">
        <v>71</v>
      </c>
      <c r="F8" s="60" t="s">
        <v>26</v>
      </c>
      <c r="G8" s="47">
        <v>33</v>
      </c>
      <c r="H8" s="133">
        <f>IF(B$17=0,0,G8/B$17)</f>
        <v>0.12177121771217712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43</v>
      </c>
      <c r="C9" s="40">
        <f t="shared" ref="C9" si="1">IF(B$2=0,0,B9/B$2)</f>
        <v>0.35537190082644626</v>
      </c>
      <c r="E9" s="63" t="s">
        <v>72</v>
      </c>
      <c r="F9" s="60" t="s">
        <v>27</v>
      </c>
      <c r="G9" s="47">
        <v>17</v>
      </c>
      <c r="H9" s="133">
        <f>IF(B$17=0,0,G9/B$17)</f>
        <v>6.273062730627306E-2</v>
      </c>
      <c r="I9" s="94">
        <v>6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0.12396694214876033</v>
      </c>
      <c r="E10" s="63" t="s">
        <v>73</v>
      </c>
      <c r="F10" s="60" t="s">
        <v>28</v>
      </c>
      <c r="G10" s="47">
        <v>123</v>
      </c>
      <c r="H10" s="133">
        <f>IF(B$17=0,0,G10/B$17)</f>
        <v>0.45387453874538747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2</v>
      </c>
      <c r="H11" s="133">
        <f>IF(B$17=0,0,G11/B$17)</f>
        <v>7.3800738007380072E-3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-4.5758620689655158</v>
      </c>
      <c r="P11" s="119">
        <v>29</v>
      </c>
      <c r="Q11" s="107">
        <v>-132.69999999999996</v>
      </c>
    </row>
    <row r="12" spans="1:17" x14ac:dyDescent="0.4">
      <c r="A12" s="57" t="s">
        <v>160</v>
      </c>
      <c r="B12" s="49">
        <v>8</v>
      </c>
      <c r="C12" s="42">
        <f>IF(B$2=0,0,B12/B$2)</f>
        <v>6.6115702479338845E-2</v>
      </c>
      <c r="E12" s="63" t="s">
        <v>75</v>
      </c>
      <c r="F12" s="60" t="s">
        <v>30</v>
      </c>
      <c r="G12" s="47">
        <v>2</v>
      </c>
      <c r="H12" s="133">
        <f>IF(B$17=0,0,G12/B$17)</f>
        <v>7.3800738007380072E-3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303</v>
      </c>
      <c r="C13" s="44">
        <f>IF(B$3=0,0,B13/B$3)</f>
        <v>0.30149253731343284</v>
      </c>
      <c r="E13" s="63" t="s">
        <v>76</v>
      </c>
      <c r="F13" s="60" t="s">
        <v>31</v>
      </c>
      <c r="G13" s="47">
        <v>2</v>
      </c>
      <c r="H13" s="133">
        <f>IF(B$17=0,0,G13/B$17)</f>
        <v>7.3800738007380072E-3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0.18009950248756218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175</v>
      </c>
      <c r="C15" s="37">
        <f>IF(B$13=0,0,B15/B$13)</f>
        <v>0.57755775577557755</v>
      </c>
      <c r="E15" s="63" t="s">
        <v>78</v>
      </c>
      <c r="F15" s="60" t="s">
        <v>33</v>
      </c>
      <c r="G15" s="47">
        <v>1</v>
      </c>
      <c r="H15" s="133">
        <f>IF(B$17=0,0,G15/B$17)</f>
        <v>3.6900369003690036E-3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0.287292817679558</v>
      </c>
      <c r="E16" s="63" t="s">
        <v>79</v>
      </c>
      <c r="F16" s="60" t="s">
        <v>34</v>
      </c>
      <c r="G16" s="47">
        <v>5</v>
      </c>
      <c r="H16" s="133">
        <f>IF(B$17=0,0,G16/B$17)</f>
        <v>1.8450184501845018E-2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 t="shared" si="2"/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271</v>
      </c>
      <c r="C17" s="37">
        <f>IF(B$3=0,0,B17/B$3)</f>
        <v>0.26965174129353237</v>
      </c>
      <c r="E17" s="63" t="s">
        <v>80</v>
      </c>
      <c r="F17" s="60" t="s">
        <v>35</v>
      </c>
      <c r="G17" s="47">
        <v>6</v>
      </c>
      <c r="H17" s="133">
        <f>IF(B$17=0,0,G17/B$17)</f>
        <v>2.2140221402214021E-2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115</v>
      </c>
      <c r="C18" s="39">
        <f>IF(B$17=0,0,B18/B$17)</f>
        <v>0.42435424354243545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156</v>
      </c>
      <c r="C19" s="39">
        <f>IF(B$17=0,0,B19/B$17)</f>
        <v>0.57564575645756455</v>
      </c>
      <c r="E19" s="63" t="s">
        <v>82</v>
      </c>
      <c r="F19" s="60" t="s">
        <v>37</v>
      </c>
      <c r="G19" s="47">
        <v>8</v>
      </c>
      <c r="H19" s="133">
        <f>IF(B$17=0,0,G19/B$17)</f>
        <v>2.9520295202952029E-2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171</v>
      </c>
      <c r="C20" s="39">
        <f>IF(B$3=0,0,B20/B$3)</f>
        <v>0.17014925373134329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3.6900369003690037E-2</v>
      </c>
      <c r="I21" s="94">
        <v>8</v>
      </c>
      <c r="K21" s="38">
        <v>19</v>
      </c>
      <c r="L21" s="99">
        <v>138.79999999999998</v>
      </c>
      <c r="N21" s="115" t="s">
        <v>177</v>
      </c>
      <c r="O21" s="125">
        <f t="shared" si="2"/>
        <v>-12.139130434782608</v>
      </c>
      <c r="P21" s="119">
        <v>23</v>
      </c>
      <c r="Q21" s="107">
        <v>-279.2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1</v>
      </c>
      <c r="H22" s="133">
        <f>IF(B$17=0,0,G22/B$17)</f>
        <v>3.6900369003690036E-3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-19.230952380952381</v>
      </c>
      <c r="P22" s="119">
        <v>84</v>
      </c>
      <c r="Q22" s="107">
        <v>-1615.4</v>
      </c>
    </row>
    <row r="23" spans="1:17" x14ac:dyDescent="0.4">
      <c r="A23" s="55" t="s">
        <v>5</v>
      </c>
      <c r="B23" s="51">
        <f>IF(B$17=0,0,C23/B$17)</f>
        <v>9253.1365313653132</v>
      </c>
      <c r="C23" s="41">
        <v>2507600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-7776.6081871345032</v>
      </c>
      <c r="C24" s="45">
        <v>-1329800</v>
      </c>
      <c r="E24" s="63" t="s">
        <v>87</v>
      </c>
      <c r="F24" s="60" t="s">
        <v>42</v>
      </c>
      <c r="G24" s="47">
        <v>14</v>
      </c>
      <c r="H24" s="133">
        <f>IF(B$17=0,0,G24/B$17)</f>
        <v>5.1660516605166053E-2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3.6900369003690036E-3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4.9751243781094526E-3</v>
      </c>
      <c r="E27" s="63" t="s">
        <v>90</v>
      </c>
      <c r="F27" s="60" t="s">
        <v>45</v>
      </c>
      <c r="G27" s="47">
        <v>26</v>
      </c>
      <c r="H27" s="133">
        <f>IF(B$17=0,0,G27/B$17)</f>
        <v>9.5940959409594101E-2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2.2140221402214021E-2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3.6900369003690036E-3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3.6900369003690036E-3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3.6900369003690036E-3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1.8450184501845018E-2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8" t="s">
        <v>245</v>
      </c>
      <c r="F51" s="139" t="s">
        <v>246</v>
      </c>
      <c r="G51" s="48">
        <v>120</v>
      </c>
      <c r="H51" s="140">
        <f>IF(B$17=0,0,G51/B$17)</f>
        <v>0.44280442804428044</v>
      </c>
      <c r="I51" s="141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</sheetData>
  <sortState ref="E2:I12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89</v>
      </c>
      <c r="C2" s="151"/>
      <c r="E2" s="62" t="s">
        <v>67</v>
      </c>
      <c r="F2" s="59" t="s">
        <v>23</v>
      </c>
      <c r="G2" s="46">
        <v>144</v>
      </c>
      <c r="H2" s="132">
        <f>IF(B$17=0,0,G2/B$17)</f>
        <v>0.81355932203389836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-3150.5617977528091</v>
      </c>
      <c r="P2" s="118">
        <v>89</v>
      </c>
      <c r="Q2" s="102">
        <v>-280400</v>
      </c>
    </row>
    <row r="3" spans="1:17" x14ac:dyDescent="0.4">
      <c r="A3" s="55" t="s">
        <v>8</v>
      </c>
      <c r="B3" s="152">
        <v>744</v>
      </c>
      <c r="C3" s="153"/>
      <c r="E3" s="63" t="s">
        <v>65</v>
      </c>
      <c r="F3" s="60" t="s">
        <v>21</v>
      </c>
      <c r="G3" s="47">
        <v>108</v>
      </c>
      <c r="H3" s="133">
        <f>IF(B$17=0,0,G3/B$17)</f>
        <v>0.61016949152542377</v>
      </c>
      <c r="I3" s="94">
        <v>3</v>
      </c>
      <c r="K3" s="38">
        <v>1</v>
      </c>
      <c r="L3" s="99">
        <v>-40.4</v>
      </c>
      <c r="N3" s="115" t="s">
        <v>133</v>
      </c>
      <c r="O3" s="122">
        <f t="shared" si="0"/>
        <v>-1397.7011494252874</v>
      </c>
      <c r="P3" s="119">
        <v>87</v>
      </c>
      <c r="Q3" s="103">
        <v>-121600</v>
      </c>
    </row>
    <row r="4" spans="1:17" x14ac:dyDescent="0.4">
      <c r="A4" s="55" t="s">
        <v>6</v>
      </c>
      <c r="B4" s="154">
        <v>-1288.1000000000001</v>
      </c>
      <c r="C4" s="155"/>
      <c r="E4" s="63" t="s">
        <v>245</v>
      </c>
      <c r="F4" s="60" t="s">
        <v>246</v>
      </c>
      <c r="G4" s="47">
        <v>68</v>
      </c>
      <c r="H4" s="133">
        <f>IF(B$17=0,0,G4/B$17)</f>
        <v>0.38418079096045199</v>
      </c>
      <c r="I4" s="94">
        <v>10</v>
      </c>
      <c r="K4" s="38">
        <v>2</v>
      </c>
      <c r="L4" s="99">
        <v>-3.3999999999999986</v>
      </c>
      <c r="N4" s="115" t="s">
        <v>134</v>
      </c>
      <c r="O4" s="122">
        <f t="shared" si="0"/>
        <v>-14.634146341463415</v>
      </c>
      <c r="P4" s="119">
        <v>82</v>
      </c>
      <c r="Q4" s="103">
        <v>-1200</v>
      </c>
    </row>
    <row r="5" spans="1:17" x14ac:dyDescent="0.4">
      <c r="A5" s="55" t="s">
        <v>7</v>
      </c>
      <c r="B5" s="156">
        <f>IF(B$2=0,0,B$4/B$2)</f>
        <v>-14.47303370786517</v>
      </c>
      <c r="C5" s="157"/>
      <c r="E5" s="63" t="s">
        <v>69</v>
      </c>
      <c r="F5" s="60" t="s">
        <v>12</v>
      </c>
      <c r="G5" s="47">
        <v>66</v>
      </c>
      <c r="H5" s="133">
        <f>IF(B$17=0,0,G5/B$17)</f>
        <v>0.3728813559322034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-4527.7777777777774</v>
      </c>
      <c r="P5" s="119">
        <v>72</v>
      </c>
      <c r="Q5" s="103">
        <v>-326000</v>
      </c>
    </row>
    <row r="6" spans="1:17" x14ac:dyDescent="0.4">
      <c r="A6" s="55" t="s">
        <v>1</v>
      </c>
      <c r="B6" s="146">
        <f>IF(B$2=0,0,(B$7*1+B$8*2+B$9*3)/B$2)</f>
        <v>2.2359550561797752</v>
      </c>
      <c r="C6" s="147"/>
      <c r="E6" s="63" t="s">
        <v>68</v>
      </c>
      <c r="F6" s="60" t="s">
        <v>24</v>
      </c>
      <c r="G6" s="47">
        <v>63</v>
      </c>
      <c r="H6" s="133">
        <f>IF(B$17=0,0,G6/B$17)</f>
        <v>0.3559322033898305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-1000</v>
      </c>
      <c r="P6" s="119">
        <v>65</v>
      </c>
      <c r="Q6" s="103">
        <v>-65000</v>
      </c>
    </row>
    <row r="7" spans="1:17" x14ac:dyDescent="0.4">
      <c r="A7" s="55" t="s">
        <v>2</v>
      </c>
      <c r="B7" s="47">
        <v>22</v>
      </c>
      <c r="C7" s="39">
        <f>IF(B$2=0,0,B7/B$2)</f>
        <v>0.24719101123595505</v>
      </c>
      <c r="E7" s="63" t="s">
        <v>73</v>
      </c>
      <c r="F7" s="60" t="s">
        <v>28</v>
      </c>
      <c r="G7" s="47">
        <v>59</v>
      </c>
      <c r="H7" s="133">
        <f>IF(B$17=0,0,G7/B$17)</f>
        <v>0.33333333333333331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-1135.593220338983</v>
      </c>
      <c r="P7" s="120">
        <v>59</v>
      </c>
      <c r="Q7" s="104">
        <v>-67000</v>
      </c>
    </row>
    <row r="8" spans="1:17" x14ac:dyDescent="0.4">
      <c r="A8" s="55" t="s">
        <v>3</v>
      </c>
      <c r="B8" s="47">
        <v>24</v>
      </c>
      <c r="C8" s="39">
        <f>IF(B$2=0,0,B8/B$2)</f>
        <v>0.2696629213483146</v>
      </c>
      <c r="E8" s="63" t="s">
        <v>70</v>
      </c>
      <c r="F8" s="60" t="s">
        <v>25</v>
      </c>
      <c r="G8" s="47">
        <v>36</v>
      </c>
      <c r="H8" s="133">
        <f>IF(B$17=0,0,G8/B$17)</f>
        <v>0.20338983050847459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43</v>
      </c>
      <c r="C9" s="40">
        <f t="shared" ref="C9" si="1">IF(B$2=0,0,B9/B$2)</f>
        <v>0.48314606741573035</v>
      </c>
      <c r="E9" s="63" t="s">
        <v>71</v>
      </c>
      <c r="F9" s="60" t="s">
        <v>26</v>
      </c>
      <c r="G9" s="47">
        <v>28</v>
      </c>
      <c r="H9" s="133">
        <f>IF(B$17=0,0,G9/B$17)</f>
        <v>0.15819209039548024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0.19101123595505617</v>
      </c>
      <c r="E10" s="63" t="s">
        <v>72</v>
      </c>
      <c r="F10" s="60" t="s">
        <v>27</v>
      </c>
      <c r="G10" s="47">
        <v>20</v>
      </c>
      <c r="H10" s="133">
        <f>IF(B$17=0,0,G10/B$17)</f>
        <v>0.11299435028248588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0.10112359550561797</v>
      </c>
      <c r="E11" s="63" t="s">
        <v>66</v>
      </c>
      <c r="F11" s="60" t="s">
        <v>22</v>
      </c>
      <c r="G11" s="47">
        <v>18</v>
      </c>
      <c r="H11" s="133">
        <f>IF(B$17=0,0,G11/B$17)</f>
        <v>0.10169491525423729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-12.160000000000004</v>
      </c>
      <c r="P11" s="119">
        <v>35</v>
      </c>
      <c r="Q11" s="107">
        <v>-425.60000000000014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7.8651685393258425E-2</v>
      </c>
      <c r="E12" s="63" t="s">
        <v>90</v>
      </c>
      <c r="F12" s="60" t="s">
        <v>45</v>
      </c>
      <c r="G12" s="47">
        <v>16</v>
      </c>
      <c r="H12" s="133">
        <f>IF(B$17=0,0,G12/B$17)</f>
        <v>9.03954802259887E-2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-14.199999999999998</v>
      </c>
      <c r="P12" s="120">
        <v>27</v>
      </c>
      <c r="Q12" s="108">
        <v>-383.39999999999992</v>
      </c>
    </row>
    <row r="13" spans="1:17" x14ac:dyDescent="0.4">
      <c r="A13" s="58" t="s">
        <v>122</v>
      </c>
      <c r="B13" s="50">
        <v>213</v>
      </c>
      <c r="C13" s="44">
        <f>IF(B$3=0,0,B13/B$3)</f>
        <v>0.28629032258064518</v>
      </c>
      <c r="E13" s="63" t="s">
        <v>87</v>
      </c>
      <c r="F13" s="60" t="s">
        <v>42</v>
      </c>
      <c r="G13" s="47">
        <v>10</v>
      </c>
      <c r="H13" s="133">
        <f>IF(B$17=0,0,G13/B$17)</f>
        <v>5.6497175141242938E-2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121</v>
      </c>
      <c r="C14" s="39">
        <f>IF(B$3=0,0,B14/B$3)</f>
        <v>0.16263440860215053</v>
      </c>
      <c r="E14" s="63" t="s">
        <v>84</v>
      </c>
      <c r="F14" s="60" t="s">
        <v>39</v>
      </c>
      <c r="G14" s="47">
        <v>7</v>
      </c>
      <c r="H14" s="133">
        <f>IF(B$17=0,0,G14/B$17)</f>
        <v>3.954802259887006E-2</v>
      </c>
      <c r="I14" s="94">
        <v>8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111</v>
      </c>
      <c r="C15" s="37">
        <f>IF(B$13=0,0,B15/B$13)</f>
        <v>0.52112676056338025</v>
      </c>
      <c r="E15" s="63" t="s">
        <v>79</v>
      </c>
      <c r="F15" s="60" t="s">
        <v>34</v>
      </c>
      <c r="G15" s="47">
        <v>6</v>
      </c>
      <c r="H15" s="133">
        <f>IF(B$17=0,0,G15/B$17)</f>
        <v>3.3898305084745763E-2</v>
      </c>
      <c r="I15" s="94">
        <v>5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30</v>
      </c>
      <c r="C16" s="37">
        <f>IF(B$14=0,0,B16/B$14)</f>
        <v>0.24793388429752067</v>
      </c>
      <c r="E16" s="63" t="s">
        <v>82</v>
      </c>
      <c r="F16" s="60" t="s">
        <v>37</v>
      </c>
      <c r="G16" s="47">
        <v>4</v>
      </c>
      <c r="H16" s="133">
        <f>IF(B$17=0,0,G16/B$17)</f>
        <v>2.2598870056497175E-2</v>
      </c>
      <c r="I16" s="94">
        <v>9</v>
      </c>
      <c r="K16" s="38">
        <v>14</v>
      </c>
      <c r="L16" s="99">
        <v>-394.6</v>
      </c>
      <c r="N16" s="115" t="s">
        <v>177</v>
      </c>
      <c r="O16" s="125">
        <f>IF(P16=0,0,Q16/P16)</f>
        <v>-12.031578947368423</v>
      </c>
      <c r="P16" s="119">
        <v>19</v>
      </c>
      <c r="Q16" s="107">
        <v>-228.60000000000005</v>
      </c>
    </row>
    <row r="17" spans="1:17" x14ac:dyDescent="0.4">
      <c r="A17" s="54" t="s">
        <v>10</v>
      </c>
      <c r="B17" s="46">
        <f>B19+B18</f>
        <v>177</v>
      </c>
      <c r="C17" s="37">
        <f>IF(B$3=0,0,B17/B$3)</f>
        <v>0.23790322580645162</v>
      </c>
      <c r="E17" s="63" t="s">
        <v>75</v>
      </c>
      <c r="F17" s="60" t="s">
        <v>30</v>
      </c>
      <c r="G17" s="47">
        <v>2</v>
      </c>
      <c r="H17" s="133">
        <f>IF(B$17=0,0,G17/B$17)</f>
        <v>1.1299435028248588E-2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-13.074999999999998</v>
      </c>
      <c r="P17" s="119">
        <v>40</v>
      </c>
      <c r="Q17" s="107">
        <v>-522.99999999999989</v>
      </c>
    </row>
    <row r="18" spans="1:17" x14ac:dyDescent="0.4">
      <c r="A18" s="55" t="s">
        <v>12</v>
      </c>
      <c r="B18" s="47">
        <v>76</v>
      </c>
      <c r="C18" s="39">
        <f>IF(B$17=0,0,B18/B$17)</f>
        <v>0.42937853107344631</v>
      </c>
      <c r="E18" s="63" t="s">
        <v>88</v>
      </c>
      <c r="F18" s="60" t="s">
        <v>43</v>
      </c>
      <c r="G18" s="47">
        <v>2</v>
      </c>
      <c r="H18" s="133">
        <f>IF(B$17=0,0,G18/B$17)</f>
        <v>1.1299435028248588E-2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-20.678571428571423</v>
      </c>
      <c r="P18" s="119">
        <v>28</v>
      </c>
      <c r="Q18" s="107">
        <v>-578.99999999999989</v>
      </c>
    </row>
    <row r="19" spans="1:17" x14ac:dyDescent="0.4">
      <c r="A19" s="55" t="s">
        <v>11</v>
      </c>
      <c r="B19" s="47">
        <v>101</v>
      </c>
      <c r="C19" s="39">
        <f>IF(B$17=0,0,B19/B$17)</f>
        <v>0.57062146892655363</v>
      </c>
      <c r="E19" s="63" t="s">
        <v>94</v>
      </c>
      <c r="F19" s="60" t="s">
        <v>49</v>
      </c>
      <c r="G19" s="47">
        <v>2</v>
      </c>
      <c r="H19" s="133">
        <f>IF(B$17=0,0,G19/B$17)</f>
        <v>1.1299435028248588E-2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145</v>
      </c>
      <c r="C20" s="39">
        <f>IF(B$3=0,0,B20/B$3)</f>
        <v>0.19489247311827956</v>
      </c>
      <c r="E20" s="63" t="s">
        <v>78</v>
      </c>
      <c r="F20" s="60" t="s">
        <v>33</v>
      </c>
      <c r="G20" s="47">
        <v>1</v>
      </c>
      <c r="H20" s="133">
        <f>IF(B$17=0,0,G20/B$17)</f>
        <v>5.6497175141242938E-3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-27.735714285714295</v>
      </c>
      <c r="P20" s="119">
        <v>56</v>
      </c>
      <c r="Q20" s="107">
        <v>-1553.2000000000005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5.6497175141242938E-3</v>
      </c>
      <c r="I21" s="94">
        <v>10</v>
      </c>
      <c r="K21" s="38">
        <v>19</v>
      </c>
      <c r="L21" s="99">
        <v>-569.49999999999989</v>
      </c>
      <c r="N21" s="115" t="s">
        <v>172</v>
      </c>
      <c r="O21" s="125">
        <f>IF(P21=0,0,Q21/P21)</f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89</v>
      </c>
      <c r="F22" s="60" t="s">
        <v>44</v>
      </c>
      <c r="G22" s="47">
        <v>1</v>
      </c>
      <c r="H22" s="133">
        <f>IF(B$17=0,0,G22/B$17)</f>
        <v>5.6497175141242938E-3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-64</v>
      </c>
      <c r="P22" s="119">
        <v>4</v>
      </c>
      <c r="Q22" s="107">
        <v>-256</v>
      </c>
    </row>
    <row r="23" spans="1:17" x14ac:dyDescent="0.4">
      <c r="A23" s="55" t="s">
        <v>5</v>
      </c>
      <c r="B23" s="51">
        <f>IF(B$17=0,0,C23/B$17)</f>
        <v>8809.0395480225998</v>
      </c>
      <c r="C23" s="41">
        <v>1559200</v>
      </c>
      <c r="E23" s="63" t="s">
        <v>92</v>
      </c>
      <c r="F23" s="60" t="s">
        <v>47</v>
      </c>
      <c r="G23" s="47">
        <v>1</v>
      </c>
      <c r="H23" s="133">
        <f>IF(B$17=0,0,G23/B$17)</f>
        <v>5.6497175141242938E-3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-9233.1034482758623</v>
      </c>
      <c r="C24" s="45">
        <v>-1338800</v>
      </c>
      <c r="E24" s="63" t="s">
        <v>93</v>
      </c>
      <c r="F24" s="60" t="s">
        <v>48</v>
      </c>
      <c r="G24" s="47">
        <v>1</v>
      </c>
      <c r="H24" s="133">
        <f>IF(B$17=0,0,G24/B$17)</f>
        <v>5.6497175141242938E-3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1.3440860215053765E-3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65</v>
      </c>
      <c r="F2" s="59" t="s">
        <v>21</v>
      </c>
      <c r="G2" s="46">
        <v>112</v>
      </c>
      <c r="H2" s="132">
        <f>IF(B$17=0,0,G2/B$17)</f>
        <v>0.54634146341463419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-618.18181818181813</v>
      </c>
      <c r="P2" s="118">
        <v>88</v>
      </c>
      <c r="Q2" s="102">
        <v>-54400</v>
      </c>
    </row>
    <row r="3" spans="1:17" x14ac:dyDescent="0.4">
      <c r="A3" s="55" t="s">
        <v>8</v>
      </c>
      <c r="B3" s="152">
        <v>728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0.13658536585365855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496.51162790697674</v>
      </c>
      <c r="P3" s="119">
        <v>86</v>
      </c>
      <c r="Q3" s="103">
        <v>42700</v>
      </c>
    </row>
    <row r="4" spans="1:17" x14ac:dyDescent="0.4">
      <c r="A4" s="55" t="s">
        <v>6</v>
      </c>
      <c r="B4" s="154">
        <v>46.300000000000026</v>
      </c>
      <c r="C4" s="155"/>
      <c r="E4" s="63" t="s">
        <v>67</v>
      </c>
      <c r="F4" s="60" t="s">
        <v>23</v>
      </c>
      <c r="G4" s="47">
        <v>173</v>
      </c>
      <c r="H4" s="133">
        <f>IF(B$17=0,0,G4/B$17)</f>
        <v>0.84390243902439022</v>
      </c>
      <c r="I4" s="94">
        <v>2</v>
      </c>
      <c r="K4" s="38">
        <v>2</v>
      </c>
      <c r="L4" s="99">
        <v>-93.300000000000011</v>
      </c>
      <c r="N4" s="115" t="s">
        <v>134</v>
      </c>
      <c r="O4" s="122">
        <f t="shared" si="0"/>
        <v>1178.4810126582279</v>
      </c>
      <c r="P4" s="119">
        <v>79</v>
      </c>
      <c r="Q4" s="103">
        <v>93100</v>
      </c>
    </row>
    <row r="5" spans="1:17" x14ac:dyDescent="0.4">
      <c r="A5" s="55" t="s">
        <v>7</v>
      </c>
      <c r="B5" s="156">
        <f>IF(B$2=0,0,B$4/B$2)</f>
        <v>0.52613636363636396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0.34146341463414637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998.52941176470586</v>
      </c>
      <c r="P5" s="119">
        <v>68</v>
      </c>
      <c r="Q5" s="103">
        <v>67900</v>
      </c>
    </row>
    <row r="6" spans="1:17" x14ac:dyDescent="0.4">
      <c r="A6" s="55" t="s">
        <v>1</v>
      </c>
      <c r="B6" s="146">
        <f>IF(B$2=0,0,(B$7*1+B$8*2+B$9*3)/B$2)</f>
        <v>2.0454545454545454</v>
      </c>
      <c r="C6" s="147"/>
      <c r="E6" s="63" t="s">
        <v>69</v>
      </c>
      <c r="F6" s="60" t="s">
        <v>12</v>
      </c>
      <c r="G6" s="47">
        <v>61</v>
      </c>
      <c r="H6" s="133">
        <f>IF(B$17=0,0,G6/B$17)</f>
        <v>0.29756097560975608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-588.33333333333337</v>
      </c>
      <c r="P6" s="119">
        <v>60</v>
      </c>
      <c r="Q6" s="103">
        <v>-35300</v>
      </c>
    </row>
    <row r="7" spans="1:17" x14ac:dyDescent="0.4">
      <c r="A7" s="55" t="s">
        <v>2</v>
      </c>
      <c r="B7" s="47">
        <v>27</v>
      </c>
      <c r="C7" s="39">
        <f>IF(B$2=0,0,B7/B$2)</f>
        <v>0.30681818181818182</v>
      </c>
      <c r="E7" s="63" t="s">
        <v>70</v>
      </c>
      <c r="F7" s="60" t="s">
        <v>25</v>
      </c>
      <c r="G7" s="47">
        <v>40</v>
      </c>
      <c r="H7" s="133">
        <f>IF(B$17=0,0,G7/B$17)</f>
        <v>0.1951219512195122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-303.63636363636363</v>
      </c>
      <c r="P7" s="120">
        <v>55</v>
      </c>
      <c r="Q7" s="104">
        <v>-16700</v>
      </c>
    </row>
    <row r="8" spans="1:17" x14ac:dyDescent="0.4">
      <c r="A8" s="55" t="s">
        <v>3</v>
      </c>
      <c r="B8" s="47">
        <v>30</v>
      </c>
      <c r="C8" s="39">
        <f>IF(B$2=0,0,B8/B$2)</f>
        <v>0.34090909090909088</v>
      </c>
      <c r="E8" s="63" t="s">
        <v>71</v>
      </c>
      <c r="F8" s="60" t="s">
        <v>26</v>
      </c>
      <c r="G8" s="47">
        <v>21</v>
      </c>
      <c r="H8" s="133">
        <f>IF(B$17=0,0,G8/B$17)</f>
        <v>0.1024390243902439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0.35227272727272729</v>
      </c>
      <c r="E9" s="63" t="s">
        <v>72</v>
      </c>
      <c r="F9" s="60" t="s">
        <v>27</v>
      </c>
      <c r="G9" s="47">
        <v>12</v>
      </c>
      <c r="H9" s="133">
        <f>IF(B$17=0,0,G9/B$17)</f>
        <v>5.8536585365853662E-2</v>
      </c>
      <c r="I9" s="94">
        <v>8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0.10227272727272728</v>
      </c>
      <c r="E10" s="63" t="s">
        <v>73</v>
      </c>
      <c r="F10" s="60" t="s">
        <v>28</v>
      </c>
      <c r="G10" s="47">
        <v>107</v>
      </c>
      <c r="H10" s="133">
        <f>IF(B$17=0,0,G10/B$17)</f>
        <v>0.52195121951219514</v>
      </c>
      <c r="I10" s="94">
        <v>7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0.13636363636363635</v>
      </c>
      <c r="E11" s="63" t="s">
        <v>74</v>
      </c>
      <c r="F11" s="60" t="s">
        <v>29</v>
      </c>
      <c r="G11" s="47">
        <v>2</v>
      </c>
      <c r="H11" s="133">
        <f>IF(B$17=0,0,G11/B$17)</f>
        <v>9.7560975609756097E-3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6.8181818181818177E-2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-0.65483870967741953</v>
      </c>
      <c r="P12" s="120">
        <v>31</v>
      </c>
      <c r="Q12" s="108">
        <v>-20.300000000000004</v>
      </c>
    </row>
    <row r="13" spans="1:17" x14ac:dyDescent="0.4">
      <c r="A13" s="58" t="s">
        <v>122</v>
      </c>
      <c r="B13" s="50">
        <v>212</v>
      </c>
      <c r="C13" s="44">
        <f>IF(B$3=0,0,B13/B$3)</f>
        <v>0.29120879120879123</v>
      </c>
      <c r="E13" s="63" t="s">
        <v>76</v>
      </c>
      <c r="F13" s="60" t="s">
        <v>31</v>
      </c>
      <c r="G13" s="47">
        <v>3</v>
      </c>
      <c r="H13" s="133">
        <f>IF(B$17=0,0,G13/B$17)</f>
        <v>1.4634146341463415E-2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0.18818681318681318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120</v>
      </c>
      <c r="C15" s="37">
        <f>IF(B$13=0,0,B15/B$13)</f>
        <v>0.56603773584905659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57</v>
      </c>
      <c r="C16" s="37">
        <f>IF(B$14=0,0,B16/B$14)</f>
        <v>0.41605839416058393</v>
      </c>
      <c r="E16" s="63" t="s">
        <v>79</v>
      </c>
      <c r="F16" s="60" t="s">
        <v>34</v>
      </c>
      <c r="G16" s="47">
        <v>9</v>
      </c>
      <c r="H16" s="133">
        <f>IF(B$17=0,0,G16/B$17)</f>
        <v>4.3902439024390241E-2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20.67857142857142</v>
      </c>
      <c r="P16" s="119">
        <v>28</v>
      </c>
      <c r="Q16" s="107">
        <v>578.99999999999977</v>
      </c>
    </row>
    <row r="17" spans="1:17" x14ac:dyDescent="0.4">
      <c r="A17" s="54" t="s">
        <v>10</v>
      </c>
      <c r="B17" s="46">
        <f>B19+B18</f>
        <v>205</v>
      </c>
      <c r="C17" s="37">
        <f>IF(B$3=0,0,B17/B$3)</f>
        <v>0.28159340659340659</v>
      </c>
      <c r="E17" s="63" t="s">
        <v>80</v>
      </c>
      <c r="F17" s="60" t="s">
        <v>35</v>
      </c>
      <c r="G17" s="47">
        <v>3</v>
      </c>
      <c r="H17" s="133">
        <f>IF(B$17=0,0,G17/B$17)</f>
        <v>1.4634146341463415E-2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84</v>
      </c>
      <c r="C18" s="39">
        <f>IF(B$17=0,0,B18/B$17)</f>
        <v>0.40975609756097559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121</v>
      </c>
      <c r="C19" s="39">
        <f>IF(B$17=0,0,B19/B$17)</f>
        <v>0.59024390243902436</v>
      </c>
      <c r="E19" s="63" t="s">
        <v>82</v>
      </c>
      <c r="F19" s="60" t="s">
        <v>37</v>
      </c>
      <c r="G19" s="47">
        <v>8</v>
      </c>
      <c r="H19" s="133">
        <f>IF(B$17=0,0,G19/B$17)</f>
        <v>3.9024390243902439E-2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127</v>
      </c>
      <c r="C20" s="39">
        <f>IF(B$3=0,0,B20/B$3)</f>
        <v>0.17445054945054944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5.3658536585365853E-2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9.7560975609756097E-3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-39.917647058823533</v>
      </c>
      <c r="P22" s="119">
        <v>17</v>
      </c>
      <c r="Q22" s="107">
        <v>-678.6</v>
      </c>
    </row>
    <row r="23" spans="1:17" x14ac:dyDescent="0.4">
      <c r="A23" s="55" t="s">
        <v>5</v>
      </c>
      <c r="B23" s="51">
        <f>IF(B$17=0,0,C23/B$17)</f>
        <v>10010.731707317073</v>
      </c>
      <c r="C23" s="41">
        <v>2052200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-8534.645669291338</v>
      </c>
      <c r="C24" s="45">
        <v>-1083900</v>
      </c>
      <c r="E24" s="63" t="s">
        <v>87</v>
      </c>
      <c r="F24" s="60" t="s">
        <v>42</v>
      </c>
      <c r="G24" s="47">
        <v>15</v>
      </c>
      <c r="H24" s="133">
        <f>IF(B$17=0,0,G24/B$17)</f>
        <v>7.3170731707317069E-2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4.8780487804878049E-3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1.3736263736263737E-3</v>
      </c>
      <c r="E27" s="63" t="s">
        <v>90</v>
      </c>
      <c r="F27" s="60" t="s">
        <v>45</v>
      </c>
      <c r="G27" s="47">
        <v>35</v>
      </c>
      <c r="H27" s="133">
        <f>IF(B$17=0,0,G27/B$17)</f>
        <v>0.17073170731707318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2.9268292682926831E-2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9.7560975609756097E-3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4.8780487804878049E-3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1.9512195121951219E-2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79</v>
      </c>
      <c r="H51" s="140">
        <f>IF(B$17=0,0,G51/B$17)</f>
        <v>0.38536585365853659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</sheetData>
  <sortState ref="E2:I9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65</v>
      </c>
      <c r="F2" s="59" t="s">
        <v>21</v>
      </c>
      <c r="G2" s="46">
        <v>74</v>
      </c>
      <c r="H2" s="132">
        <f>IF(B$17=0,0,G2/B$17)</f>
        <v>0.34579439252336447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745.83333333333337</v>
      </c>
      <c r="P2" s="118">
        <v>72</v>
      </c>
      <c r="Q2" s="102">
        <v>53700</v>
      </c>
    </row>
    <row r="3" spans="1:17" x14ac:dyDescent="0.4">
      <c r="A3" s="55" t="s">
        <v>8</v>
      </c>
      <c r="B3" s="152">
        <v>621</v>
      </c>
      <c r="C3" s="153"/>
      <c r="E3" s="63" t="s">
        <v>66</v>
      </c>
      <c r="F3" s="60" t="s">
        <v>22</v>
      </c>
      <c r="G3" s="47">
        <v>25</v>
      </c>
      <c r="H3" s="133">
        <f>IF(B$17=0,0,G3/B$17)</f>
        <v>0.11682242990654206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-1040.2777777777778</v>
      </c>
      <c r="P3" s="119">
        <v>72</v>
      </c>
      <c r="Q3" s="103">
        <v>-74900</v>
      </c>
    </row>
    <row r="4" spans="1:17" x14ac:dyDescent="0.4">
      <c r="A4" s="55" t="s">
        <v>6</v>
      </c>
      <c r="B4" s="154">
        <v>-68.40000000000002</v>
      </c>
      <c r="C4" s="155"/>
      <c r="E4" s="63" t="s">
        <v>67</v>
      </c>
      <c r="F4" s="60" t="s">
        <v>23</v>
      </c>
      <c r="G4" s="47">
        <v>140</v>
      </c>
      <c r="H4" s="133">
        <f>IF(B$17=0,0,G4/B$17)</f>
        <v>0.65420560747663548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-1564.6153846153845</v>
      </c>
      <c r="P4" s="119">
        <v>65</v>
      </c>
      <c r="Q4" s="103">
        <v>-101700</v>
      </c>
    </row>
    <row r="5" spans="1:17" x14ac:dyDescent="0.4">
      <c r="A5" s="55" t="s">
        <v>7</v>
      </c>
      <c r="B5" s="156">
        <f>IF(B$2=0,0,B$4/B$2)</f>
        <v>-0.95000000000000029</v>
      </c>
      <c r="C5" s="157"/>
      <c r="E5" s="63" t="s">
        <v>68</v>
      </c>
      <c r="F5" s="60" t="s">
        <v>24</v>
      </c>
      <c r="G5" s="47">
        <v>36</v>
      </c>
      <c r="H5" s="133">
        <f>IF(B$17=0,0,G5/B$17)</f>
        <v>0.16822429906542055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985.48387096774195</v>
      </c>
      <c r="P5" s="119">
        <v>62</v>
      </c>
      <c r="Q5" s="103">
        <v>61100</v>
      </c>
    </row>
    <row r="6" spans="1:17" x14ac:dyDescent="0.4">
      <c r="A6" s="55" t="s">
        <v>1</v>
      </c>
      <c r="B6" s="146">
        <f>IF(B$2=0,0,(B$7*1+B$8*2+B$9*3)/B$2)</f>
        <v>2.0555555555555554</v>
      </c>
      <c r="C6" s="147"/>
      <c r="E6" s="63" t="s">
        <v>69</v>
      </c>
      <c r="F6" s="60" t="s">
        <v>12</v>
      </c>
      <c r="G6" s="47">
        <v>57</v>
      </c>
      <c r="H6" s="133">
        <f>IF(B$17=0,0,G6/B$17)</f>
        <v>0.26635514018691586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769.49152542372883</v>
      </c>
      <c r="P6" s="119">
        <v>59</v>
      </c>
      <c r="Q6" s="103">
        <v>45400</v>
      </c>
    </row>
    <row r="7" spans="1:17" x14ac:dyDescent="0.4">
      <c r="A7" s="55" t="s">
        <v>2</v>
      </c>
      <c r="B7" s="47">
        <v>19</v>
      </c>
      <c r="C7" s="39">
        <f>IF(B$2=0,0,B7/B$2)</f>
        <v>0.2638888888888889</v>
      </c>
      <c r="E7" s="63" t="s">
        <v>70</v>
      </c>
      <c r="F7" s="60" t="s">
        <v>25</v>
      </c>
      <c r="G7" s="47">
        <v>31</v>
      </c>
      <c r="H7" s="133">
        <f>IF(B$17=0,0,G7/B$17)</f>
        <v>0.14485981308411214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-472.54901960784315</v>
      </c>
      <c r="P7" s="120">
        <v>51</v>
      </c>
      <c r="Q7" s="104">
        <v>-24100</v>
      </c>
    </row>
    <row r="8" spans="1:17" x14ac:dyDescent="0.4">
      <c r="A8" s="55" t="s">
        <v>3</v>
      </c>
      <c r="B8" s="47">
        <v>30</v>
      </c>
      <c r="C8" s="39">
        <f>IF(B$2=0,0,B8/B$2)</f>
        <v>0.41666666666666669</v>
      </c>
      <c r="E8" s="63" t="s">
        <v>71</v>
      </c>
      <c r="F8" s="60" t="s">
        <v>26</v>
      </c>
      <c r="G8" s="47">
        <v>14</v>
      </c>
      <c r="H8" s="133">
        <f>IF(B$17=0,0,G8/B$17)</f>
        <v>6.5420560747663545E-2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0.31944444444444442</v>
      </c>
      <c r="E9" s="63" t="s">
        <v>72</v>
      </c>
      <c r="F9" s="60" t="s">
        <v>27</v>
      </c>
      <c r="G9" s="47">
        <v>17</v>
      </c>
      <c r="H9" s="133">
        <f>IF(B$17=0,0,G9/B$17)</f>
        <v>7.9439252336448593E-2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4.1666666666666664E-2</v>
      </c>
      <c r="E10" s="63" t="s">
        <v>73</v>
      </c>
      <c r="F10" s="60" t="s">
        <v>28</v>
      </c>
      <c r="G10" s="47">
        <v>120</v>
      </c>
      <c r="H10" s="133">
        <f>IF(B$17=0,0,G10/B$17)</f>
        <v>0.56074766355140182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9.7222222222222224E-2</v>
      </c>
      <c r="E11" s="63" t="s">
        <v>74</v>
      </c>
      <c r="F11" s="60" t="s">
        <v>29</v>
      </c>
      <c r="G11" s="47">
        <v>1</v>
      </c>
      <c r="H11" s="133">
        <f>IF(B$17=0,0,G11/B$17)</f>
        <v>4.6728971962616819E-3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2.4500000000000002</v>
      </c>
      <c r="P11" s="119">
        <v>24</v>
      </c>
      <c r="Q11" s="107">
        <v>58.800000000000004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75</v>
      </c>
      <c r="F12" s="60" t="s">
        <v>30</v>
      </c>
      <c r="G12" s="47">
        <v>1</v>
      </c>
      <c r="H12" s="133">
        <f>IF(B$17=0,0,G12/B$17)</f>
        <v>4.6728971962616819E-3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0.72857142857142854</v>
      </c>
      <c r="P12" s="120">
        <v>28</v>
      </c>
      <c r="Q12" s="108">
        <v>20.399999999999999</v>
      </c>
    </row>
    <row r="13" spans="1:17" x14ac:dyDescent="0.4">
      <c r="A13" s="58" t="s">
        <v>122</v>
      </c>
      <c r="B13" s="50">
        <v>133</v>
      </c>
      <c r="C13" s="44">
        <f>IF(B$3=0,0,B13/B$3)</f>
        <v>0.214170692431562</v>
      </c>
      <c r="E13" s="63" t="s">
        <v>76</v>
      </c>
      <c r="F13" s="60" t="s">
        <v>31</v>
      </c>
      <c r="G13" s="47">
        <v>1</v>
      </c>
      <c r="H13" s="133">
        <f>IF(B$17=0,0,G13/B$17)</f>
        <v>4.6728971962616819E-3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0.28824476650563607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0.55639097744360899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76</v>
      </c>
      <c r="C16" s="37">
        <f>IF(B$14=0,0,B16/B$14)</f>
        <v>0.42458100558659218</v>
      </c>
      <c r="E16" s="63" t="s">
        <v>79</v>
      </c>
      <c r="F16" s="60" t="s">
        <v>34</v>
      </c>
      <c r="G16" s="47">
        <v>3</v>
      </c>
      <c r="H16" s="133">
        <f>IF(B$17=0,0,G16/B$17)</f>
        <v>1.4018691588785047E-2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214</v>
      </c>
      <c r="C17" s="37">
        <f>IF(B$3=0,0,B17/B$3)</f>
        <v>0.34460547504025762</v>
      </c>
      <c r="E17" s="63" t="s">
        <v>80</v>
      </c>
      <c r="F17" s="60" t="s">
        <v>35</v>
      </c>
      <c r="G17" s="47">
        <v>3</v>
      </c>
      <c r="H17" s="133">
        <f>IF(B$17=0,0,G17/B$17)</f>
        <v>1.4018691588785047E-2</v>
      </c>
      <c r="I17" s="94">
        <v>8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91</v>
      </c>
      <c r="C18" s="39">
        <f>IF(B$17=0,0,B18/B$17)</f>
        <v>0.42523364485981308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123</v>
      </c>
      <c r="C19" s="39">
        <f>IF(B$17=0,0,B19/B$17)</f>
        <v>0.57476635514018692</v>
      </c>
      <c r="E19" s="63" t="s">
        <v>82</v>
      </c>
      <c r="F19" s="60" t="s">
        <v>37</v>
      </c>
      <c r="G19" s="47">
        <v>8</v>
      </c>
      <c r="H19" s="133">
        <f>IF(B$17=0,0,G19/B$17)</f>
        <v>3.7383177570093455E-2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-0.21290322580645182</v>
      </c>
      <c r="P19" s="119">
        <v>31</v>
      </c>
      <c r="Q19" s="107">
        <v>-6.6000000000000068</v>
      </c>
    </row>
    <row r="20" spans="1:17" x14ac:dyDescent="0.4">
      <c r="A20" s="55" t="s">
        <v>13</v>
      </c>
      <c r="B20" s="47">
        <v>85</v>
      </c>
      <c r="C20" s="39">
        <f>IF(B$3=0,0,B20/B$3)</f>
        <v>0.13687600644122383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13</v>
      </c>
      <c r="H21" s="133">
        <f>IF(B$17=0,0,G21/B$17)</f>
        <v>6.0747663551401869E-2</v>
      </c>
      <c r="I21" s="94">
        <v>3</v>
      </c>
      <c r="K21" s="38">
        <v>19</v>
      </c>
      <c r="L21" s="99">
        <v>29.200000000000003</v>
      </c>
      <c r="N21" s="115" t="s">
        <v>177</v>
      </c>
      <c r="O21" s="125">
        <f t="shared" si="2"/>
        <v>-2.9214285714285722</v>
      </c>
      <c r="P21" s="119">
        <v>14</v>
      </c>
      <c r="Q21" s="107">
        <v>-40.900000000000013</v>
      </c>
    </row>
    <row r="22" spans="1:17" x14ac:dyDescent="0.4">
      <c r="A22" s="55" t="s">
        <v>192</v>
      </c>
      <c r="B22" s="47">
        <v>23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6643.4579439252338</v>
      </c>
      <c r="C23" s="41">
        <v>1421700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-22.892105263157895</v>
      </c>
      <c r="P23" s="119">
        <v>38</v>
      </c>
      <c r="Q23" s="107">
        <v>-869.9</v>
      </c>
    </row>
    <row r="24" spans="1:17" x14ac:dyDescent="0.4">
      <c r="A24" s="57" t="s">
        <v>14</v>
      </c>
      <c r="B24" s="52">
        <f>IF(B$20=0,0,C24/B$20)</f>
        <v>-8638.823529411764</v>
      </c>
      <c r="C24" s="45">
        <v>-734300</v>
      </c>
      <c r="E24" s="63" t="s">
        <v>87</v>
      </c>
      <c r="F24" s="60" t="s">
        <v>42</v>
      </c>
      <c r="G24" s="47">
        <v>8</v>
      </c>
      <c r="H24" s="133">
        <f>IF(B$17=0,0,G24/B$17)</f>
        <v>3.7383177570093455E-2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4.6728971962616819E-3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1.6103059581320451E-3</v>
      </c>
      <c r="E27" s="63" t="s">
        <v>90</v>
      </c>
      <c r="F27" s="60" t="s">
        <v>45</v>
      </c>
      <c r="G27" s="47">
        <v>17</v>
      </c>
      <c r="H27" s="133">
        <f>IF(B$17=0,0,G27/B$17)</f>
        <v>7.9439252336448593E-2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4.6728971962616819E-3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9.3457943925233638E-3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8" t="s">
        <v>245</v>
      </c>
      <c r="F51" s="139" t="s">
        <v>246</v>
      </c>
      <c r="G51" s="48">
        <v>95</v>
      </c>
      <c r="H51" s="140">
        <f>IF(B$17=0,0,G51/B$17)</f>
        <v>0.44392523364485981</v>
      </c>
      <c r="I51" s="141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</sheetData>
  <sortState ref="E2:I7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45</v>
      </c>
      <c r="H51" s="140">
        <f>IF(B$17=0,0,G51/B$17)</f>
        <v>0.39473684210526316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58</v>
      </c>
      <c r="C2" s="151"/>
      <c r="E2" s="62" t="s">
        <v>65</v>
      </c>
      <c r="F2" s="59" t="s">
        <v>21</v>
      </c>
      <c r="G2" s="46">
        <v>89</v>
      </c>
      <c r="H2" s="132">
        <f>IF(B$17=0,0,G2/B$17)</f>
        <v>0.61379310344827587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984.48275862068965</v>
      </c>
      <c r="P2" s="118">
        <v>58</v>
      </c>
      <c r="Q2" s="102">
        <v>57100</v>
      </c>
    </row>
    <row r="3" spans="1:17" x14ac:dyDescent="0.4">
      <c r="A3" s="55" t="s">
        <v>8</v>
      </c>
      <c r="B3" s="152">
        <v>469</v>
      </c>
      <c r="C3" s="153"/>
      <c r="E3" s="63" t="s">
        <v>66</v>
      </c>
      <c r="F3" s="60" t="s">
        <v>22</v>
      </c>
      <c r="G3" s="47">
        <v>17</v>
      </c>
      <c r="H3" s="133">
        <f>IF(B$17=0,0,G3/B$17)</f>
        <v>0.11724137931034483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1969.090909090909</v>
      </c>
      <c r="P3" s="119">
        <v>55</v>
      </c>
      <c r="Q3" s="103">
        <v>108300</v>
      </c>
    </row>
    <row r="4" spans="1:17" x14ac:dyDescent="0.4">
      <c r="A4" s="55" t="s">
        <v>6</v>
      </c>
      <c r="B4" s="154">
        <v>244.60000000000002</v>
      </c>
      <c r="C4" s="155"/>
      <c r="E4" s="63" t="s">
        <v>67</v>
      </c>
      <c r="F4" s="60" t="s">
        <v>23</v>
      </c>
      <c r="G4" s="47">
        <v>88</v>
      </c>
      <c r="H4" s="133">
        <f>IF(B$17=0,0,G4/B$17)</f>
        <v>0.60689655172413792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-1154</v>
      </c>
      <c r="P4" s="119">
        <v>50</v>
      </c>
      <c r="Q4" s="103">
        <v>-57700</v>
      </c>
    </row>
    <row r="5" spans="1:17" x14ac:dyDescent="0.4">
      <c r="A5" s="55" t="s">
        <v>7</v>
      </c>
      <c r="B5" s="156">
        <f>IF(B$2=0,0,B$4/B$2)</f>
        <v>4.2172413793103454</v>
      </c>
      <c r="C5" s="157"/>
      <c r="E5" s="63" t="s">
        <v>68</v>
      </c>
      <c r="F5" s="60" t="s">
        <v>24</v>
      </c>
      <c r="G5" s="47">
        <v>54</v>
      </c>
      <c r="H5" s="133">
        <f>IF(B$17=0,0,G5/B$17)</f>
        <v>0.3724137931034483</v>
      </c>
      <c r="I5" s="94">
        <v>5</v>
      </c>
      <c r="K5" s="38">
        <v>3</v>
      </c>
      <c r="L5" s="99">
        <v>-10</v>
      </c>
      <c r="N5" s="115" t="s">
        <v>135</v>
      </c>
      <c r="O5" s="122">
        <f t="shared" si="0"/>
        <v>1956.25</v>
      </c>
      <c r="P5" s="119">
        <v>48</v>
      </c>
      <c r="Q5" s="103">
        <v>93900</v>
      </c>
    </row>
    <row r="6" spans="1:17" x14ac:dyDescent="0.4">
      <c r="A6" s="55" t="s">
        <v>1</v>
      </c>
      <c r="B6" s="146">
        <f>IF(B$2=0,0,(B$7*1+B$8*2+B$9*3)/B$2)</f>
        <v>1.896551724137931</v>
      </c>
      <c r="C6" s="147"/>
      <c r="E6" s="63" t="s">
        <v>69</v>
      </c>
      <c r="F6" s="60" t="s">
        <v>12</v>
      </c>
      <c r="G6" s="47">
        <v>45</v>
      </c>
      <c r="H6" s="133">
        <f>IF(B$17=0,0,G6/B$17)</f>
        <v>0.31034482758620691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-1288.3720930232557</v>
      </c>
      <c r="P6" s="119">
        <v>43</v>
      </c>
      <c r="Q6" s="103">
        <v>-55400</v>
      </c>
    </row>
    <row r="7" spans="1:17" x14ac:dyDescent="0.4">
      <c r="A7" s="55" t="s">
        <v>2</v>
      </c>
      <c r="B7" s="47">
        <v>23</v>
      </c>
      <c r="C7" s="39">
        <f>IF(B$2=0,0,B7/B$2)</f>
        <v>0.39655172413793105</v>
      </c>
      <c r="E7" s="63" t="s">
        <v>70</v>
      </c>
      <c r="F7" s="60" t="s">
        <v>25</v>
      </c>
      <c r="G7" s="47">
        <v>26</v>
      </c>
      <c r="H7" s="133">
        <f>IF(B$17=0,0,G7/B$17)</f>
        <v>0.1793103448275862</v>
      </c>
      <c r="I7" s="94">
        <v>5</v>
      </c>
      <c r="K7" s="38">
        <v>5</v>
      </c>
      <c r="L7" s="99">
        <v>35.4</v>
      </c>
      <c r="N7" s="116" t="s">
        <v>137</v>
      </c>
      <c r="O7" s="123">
        <f t="shared" si="0"/>
        <v>531.42857142857144</v>
      </c>
      <c r="P7" s="120">
        <v>35</v>
      </c>
      <c r="Q7" s="104">
        <v>18600</v>
      </c>
    </row>
    <row r="8" spans="1:17" x14ac:dyDescent="0.4">
      <c r="A8" s="55" t="s">
        <v>3</v>
      </c>
      <c r="B8" s="47">
        <v>18</v>
      </c>
      <c r="C8" s="39">
        <f>IF(B$2=0,0,B8/B$2)</f>
        <v>0.31034482758620691</v>
      </c>
      <c r="E8" s="63" t="s">
        <v>71</v>
      </c>
      <c r="F8" s="60" t="s">
        <v>26</v>
      </c>
      <c r="G8" s="47">
        <v>10</v>
      </c>
      <c r="H8" s="133">
        <f>IF(B$17=0,0,G8/B$17)</f>
        <v>6.8965517241379309E-2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0.29310344827586204</v>
      </c>
      <c r="E9" s="63" t="s">
        <v>72</v>
      </c>
      <c r="F9" s="60" t="s">
        <v>27</v>
      </c>
      <c r="G9" s="47">
        <v>8</v>
      </c>
      <c r="H9" s="133">
        <f>IF(B$17=0,0,G9/B$17)</f>
        <v>5.5172413793103448E-2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0.15517241379310345</v>
      </c>
      <c r="E10" s="63" t="s">
        <v>73</v>
      </c>
      <c r="F10" s="60" t="s">
        <v>28</v>
      </c>
      <c r="G10" s="47">
        <v>60</v>
      </c>
      <c r="H10" s="133">
        <f>IF(B$17=0,0,G10/B$17)</f>
        <v>0.41379310344827586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5.511764705882352</v>
      </c>
      <c r="P10" s="118">
        <v>17</v>
      </c>
      <c r="Q10" s="106">
        <v>93.699999999999989</v>
      </c>
    </row>
    <row r="11" spans="1:17" x14ac:dyDescent="0.4">
      <c r="A11" s="56" t="s">
        <v>140</v>
      </c>
      <c r="B11" s="48">
        <v>8</v>
      </c>
      <c r="C11" s="40">
        <f>IF(B$2=0,0,B11/B$2)</f>
        <v>0.13793103448275862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9.8272727272727263</v>
      </c>
      <c r="P11" s="119">
        <v>22</v>
      </c>
      <c r="Q11" s="107">
        <v>216.2</v>
      </c>
    </row>
    <row r="12" spans="1:17" x14ac:dyDescent="0.4">
      <c r="A12" s="57" t="s">
        <v>160</v>
      </c>
      <c r="B12" s="49">
        <v>5</v>
      </c>
      <c r="C12" s="42">
        <f>IF(B$2=0,0,B12/B$2)</f>
        <v>8.6206896551724144E-2</v>
      </c>
      <c r="E12" s="63" t="s">
        <v>75</v>
      </c>
      <c r="F12" s="60" t="s">
        <v>30</v>
      </c>
      <c r="G12" s="47">
        <v>1</v>
      </c>
      <c r="H12" s="133">
        <f>IF(B$17=0,0,G12/B$17)</f>
        <v>6.8965517241379309E-3</v>
      </c>
      <c r="I12" s="94">
        <v>3</v>
      </c>
      <c r="K12" s="38">
        <v>10</v>
      </c>
      <c r="L12" s="99">
        <v>-183.7</v>
      </c>
      <c r="N12" s="116" t="s">
        <v>166</v>
      </c>
      <c r="O12" s="126">
        <f>IF(P12=0,0,Q12/P12)</f>
        <v>-3.4368421052631577</v>
      </c>
      <c r="P12" s="120">
        <v>19</v>
      </c>
      <c r="Q12" s="108">
        <v>-65.3</v>
      </c>
    </row>
    <row r="13" spans="1:17" x14ac:dyDescent="0.4">
      <c r="A13" s="58" t="s">
        <v>122</v>
      </c>
      <c r="B13" s="50">
        <v>133</v>
      </c>
      <c r="C13" s="44">
        <f>IF(B$3=0,0,B13/B$3)</f>
        <v>0.28358208955223879</v>
      </c>
      <c r="E13" s="63" t="s">
        <v>76</v>
      </c>
      <c r="F13" s="60" t="s">
        <v>31</v>
      </c>
      <c r="G13" s="47">
        <v>1</v>
      </c>
      <c r="H13" s="133">
        <f>IF(B$17=0,0,G13/B$17)</f>
        <v>6.8965517241379309E-3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87</v>
      </c>
      <c r="C14" s="39">
        <f>IF(B$3=0,0,B14/B$3)</f>
        <v>0.18550106609808104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89</v>
      </c>
      <c r="C15" s="37">
        <f>IF(B$13=0,0,B15/B$13)</f>
        <v>0.66917293233082709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 t="shared" ref="O15:O23" si="2">IF(P15=0,0,Q15/P15)</f>
        <v>39.91764705882354</v>
      </c>
      <c r="P15" s="118">
        <v>17</v>
      </c>
      <c r="Q15" s="106">
        <v>678.60000000000014</v>
      </c>
    </row>
    <row r="16" spans="1:17" x14ac:dyDescent="0.4">
      <c r="A16" s="54" t="s">
        <v>125</v>
      </c>
      <c r="B16" s="46">
        <v>33</v>
      </c>
      <c r="C16" s="37">
        <f>IF(B$14=0,0,B16/B$14)</f>
        <v>0.37931034482758619</v>
      </c>
      <c r="E16" s="63" t="s">
        <v>79</v>
      </c>
      <c r="F16" s="60" t="s">
        <v>34</v>
      </c>
      <c r="G16" s="47">
        <v>5</v>
      </c>
      <c r="H16" s="133">
        <f>IF(B$17=0,0,G16/B$17)</f>
        <v>3.4482758620689655E-2</v>
      </c>
      <c r="I16" s="94">
        <v>4</v>
      </c>
      <c r="K16" s="38">
        <v>14</v>
      </c>
      <c r="L16" s="99">
        <v>-178.49999999999997</v>
      </c>
      <c r="N16" s="115" t="s">
        <v>200</v>
      </c>
      <c r="O16" s="125">
        <f t="shared" si="2"/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145</v>
      </c>
      <c r="C17" s="37">
        <f>IF(B$3=0,0,B17/B$3)</f>
        <v>0.30916844349680173</v>
      </c>
      <c r="E17" s="63" t="s">
        <v>80</v>
      </c>
      <c r="F17" s="60" t="s">
        <v>35</v>
      </c>
      <c r="G17" s="47">
        <v>2</v>
      </c>
      <c r="H17" s="133">
        <f>IF(B$17=0,0,G17/B$17)</f>
        <v>1.3793103448275862E-2</v>
      </c>
      <c r="I17" s="94">
        <v>8</v>
      </c>
      <c r="K17" s="38">
        <v>15</v>
      </c>
      <c r="L17" s="99">
        <v>-146.19999999999999</v>
      </c>
      <c r="N17" s="115" t="s">
        <v>184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63</v>
      </c>
      <c r="C18" s="39">
        <f>IF(B$17=0,0,B18/B$17)</f>
        <v>0.43448275862068964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82</v>
      </c>
      <c r="C19" s="39">
        <f>IF(B$17=0,0,B19/B$17)</f>
        <v>0.56551724137931036</v>
      </c>
      <c r="E19" s="63" t="s">
        <v>82</v>
      </c>
      <c r="F19" s="60" t="s">
        <v>37</v>
      </c>
      <c r="G19" s="47">
        <v>4</v>
      </c>
      <c r="H19" s="133">
        <f>IF(B$17=0,0,G19/B$17)</f>
        <v>2.7586206896551724E-2</v>
      </c>
      <c r="I19" s="94">
        <v>8</v>
      </c>
      <c r="K19" s="38">
        <v>17</v>
      </c>
      <c r="L19" s="99">
        <v>-161.19999999999999</v>
      </c>
      <c r="N19" s="115" t="s">
        <v>129</v>
      </c>
      <c r="O19" s="125">
        <f t="shared" si="2"/>
        <v>12.031578947368422</v>
      </c>
      <c r="P19" s="119">
        <v>19</v>
      </c>
      <c r="Q19" s="107">
        <v>228.60000000000002</v>
      </c>
    </row>
    <row r="20" spans="1:17" x14ac:dyDescent="0.4">
      <c r="A20" s="55" t="s">
        <v>13</v>
      </c>
      <c r="B20" s="47">
        <v>72</v>
      </c>
      <c r="C20" s="39">
        <f>IF(B$3=0,0,B20/B$3)</f>
        <v>0.15351812366737741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173</v>
      </c>
      <c r="O20" s="125">
        <f t="shared" si="2"/>
        <v>10.050000000000002</v>
      </c>
      <c r="P20" s="119">
        <v>6</v>
      </c>
      <c r="Q20" s="107">
        <v>60.300000000000011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4.8275862068965517E-2</v>
      </c>
      <c r="I21" s="94">
        <v>7</v>
      </c>
      <c r="K21" s="38">
        <v>19</v>
      </c>
      <c r="L21" s="99">
        <v>-235.6</v>
      </c>
      <c r="N21" s="115" t="s">
        <v>172</v>
      </c>
      <c r="O21" s="125">
        <f t="shared" si="2"/>
        <v>2.9214285714285686</v>
      </c>
      <c r="P21" s="119">
        <v>14</v>
      </c>
      <c r="Q21" s="107">
        <v>40.899999999999963</v>
      </c>
    </row>
    <row r="22" spans="1:17" x14ac:dyDescent="0.4">
      <c r="A22" s="55" t="s">
        <v>192</v>
      </c>
      <c r="B22" s="47">
        <v>45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-25.936000000000007</v>
      </c>
      <c r="P22" s="119">
        <v>25</v>
      </c>
      <c r="Q22" s="107">
        <v>-648.4000000000002</v>
      </c>
    </row>
    <row r="23" spans="1:17" x14ac:dyDescent="0.4">
      <c r="A23" s="55" t="s">
        <v>5</v>
      </c>
      <c r="B23" s="51">
        <f>IF(B$17=0,0,C23/B$17)</f>
        <v>8762.0689655172409</v>
      </c>
      <c r="C23" s="41">
        <v>1270500</v>
      </c>
      <c r="E23" s="63" t="s">
        <v>86</v>
      </c>
      <c r="F23" s="60" t="s">
        <v>41</v>
      </c>
      <c r="G23" s="47">
        <v>3</v>
      </c>
      <c r="H23" s="133">
        <f>IF(B$17=0,0,G23/B$17)</f>
        <v>2.0689655172413793E-2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-7793.0555555555557</v>
      </c>
      <c r="C24" s="45">
        <v>-561100</v>
      </c>
      <c r="E24" s="63" t="s">
        <v>87</v>
      </c>
      <c r="F24" s="60" t="s">
        <v>42</v>
      </c>
      <c r="G24" s="47">
        <v>4</v>
      </c>
      <c r="H24" s="133">
        <f>IF(B$17=0,0,G24/B$17)</f>
        <v>2.7586206896551724E-2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6.3965884861407248E-3</v>
      </c>
      <c r="E27" s="63" t="s">
        <v>90</v>
      </c>
      <c r="F27" s="60" t="s">
        <v>45</v>
      </c>
      <c r="G27" s="47">
        <v>17</v>
      </c>
      <c r="H27" s="133">
        <f>IF(B$17=0,0,G27/B$17)</f>
        <v>0.11724137931034483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6.8965517241379309E-3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3.4482758620689655E-2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6.8965517241379309E-3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6.8965517241379309E-3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138" t="s">
        <v>245</v>
      </c>
      <c r="F51" s="139" t="s">
        <v>246</v>
      </c>
      <c r="G51" s="48">
        <v>61</v>
      </c>
      <c r="H51" s="140">
        <f>IF(B$17=0,0,G51/B$17)</f>
        <v>0.4206896551724138</v>
      </c>
      <c r="I51" s="141">
        <v>4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</sheetData>
  <sortState ref="E2:I6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</v>
      </c>
      <c r="C2" s="151"/>
      <c r="E2" s="62" t="s">
        <v>67</v>
      </c>
      <c r="F2" s="59" t="s">
        <v>23</v>
      </c>
      <c r="G2" s="46">
        <v>29</v>
      </c>
      <c r="H2" s="132">
        <f>IF(B$17=0,0,G2/B$17)</f>
        <v>0.80555555555555558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-106.66666666666667</v>
      </c>
      <c r="P2" s="118">
        <v>15</v>
      </c>
      <c r="Q2" s="102">
        <v>-1600</v>
      </c>
    </row>
    <row r="3" spans="1:17" x14ac:dyDescent="0.4">
      <c r="A3" s="55" t="s">
        <v>8</v>
      </c>
      <c r="B3" s="152">
        <v>126</v>
      </c>
      <c r="C3" s="153"/>
      <c r="E3" s="63" t="s">
        <v>73</v>
      </c>
      <c r="F3" s="60" t="s">
        <v>28</v>
      </c>
      <c r="G3" s="47">
        <v>21</v>
      </c>
      <c r="H3" s="133">
        <f>IF(B$17=0,0,G3/B$17)</f>
        <v>0.58333333333333337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0"/>
        <v>-820</v>
      </c>
      <c r="P3" s="119">
        <v>15</v>
      </c>
      <c r="Q3" s="103">
        <v>-12300</v>
      </c>
    </row>
    <row r="4" spans="1:17" x14ac:dyDescent="0.4">
      <c r="A4" s="55" t="s">
        <v>6</v>
      </c>
      <c r="B4" s="154">
        <v>-85.399999999999991</v>
      </c>
      <c r="C4" s="155"/>
      <c r="E4" s="63" t="s">
        <v>65</v>
      </c>
      <c r="F4" s="60" t="s">
        <v>21</v>
      </c>
      <c r="G4" s="47">
        <v>20</v>
      </c>
      <c r="H4" s="133">
        <f>IF(B$17=0,0,G4/B$17)</f>
        <v>0.55555555555555558</v>
      </c>
      <c r="I4" s="94">
        <v>6</v>
      </c>
      <c r="K4" s="38">
        <v>2</v>
      </c>
      <c r="L4" s="99">
        <v>-76.2</v>
      </c>
      <c r="N4" s="115" t="s">
        <v>134</v>
      </c>
      <c r="O4" s="122">
        <f t="shared" si="0"/>
        <v>1273.3333333333333</v>
      </c>
      <c r="P4" s="119">
        <v>15</v>
      </c>
      <c r="Q4" s="103">
        <v>19100</v>
      </c>
    </row>
    <row r="5" spans="1:17" x14ac:dyDescent="0.4">
      <c r="A5" s="55" t="s">
        <v>7</v>
      </c>
      <c r="B5" s="156">
        <f>IF(B$2=0,0,B$4/B$2)</f>
        <v>-5.6933333333333325</v>
      </c>
      <c r="C5" s="157"/>
      <c r="E5" s="63" t="s">
        <v>245</v>
      </c>
      <c r="F5" s="60" t="s">
        <v>246</v>
      </c>
      <c r="G5" s="47">
        <v>13</v>
      </c>
      <c r="H5" s="133">
        <f>IF(B$17=0,0,G5/B$17)</f>
        <v>0.3611111111111111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-4364.2857142857147</v>
      </c>
      <c r="P5" s="119">
        <v>14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2.0666666666666669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0.33333333333333331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2485.7142857142858</v>
      </c>
      <c r="P6" s="119">
        <v>14</v>
      </c>
      <c r="Q6" s="103">
        <v>34800</v>
      </c>
    </row>
    <row r="7" spans="1:17" x14ac:dyDescent="0.4">
      <c r="A7" s="55" t="s">
        <v>2</v>
      </c>
      <c r="B7" s="47">
        <v>6</v>
      </c>
      <c r="C7" s="39">
        <f>IF(B$2=0,0,B7/B$2)</f>
        <v>0.4</v>
      </c>
      <c r="E7" s="63" t="s">
        <v>68</v>
      </c>
      <c r="F7" s="60" t="s">
        <v>24</v>
      </c>
      <c r="G7" s="47">
        <v>7</v>
      </c>
      <c r="H7" s="133">
        <f>IF(B$17=0,0,G7/B$17)</f>
        <v>0.19444444444444445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0.13333333333333333</v>
      </c>
      <c r="E8" s="63" t="s">
        <v>70</v>
      </c>
      <c r="F8" s="60" t="s">
        <v>25</v>
      </c>
      <c r="G8" s="47">
        <v>7</v>
      </c>
      <c r="H8" s="133">
        <f>IF(B$17=0,0,G8/B$17)</f>
        <v>0.19444444444444445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71</v>
      </c>
      <c r="F9" s="60" t="s">
        <v>26</v>
      </c>
      <c r="G9" s="47">
        <v>5</v>
      </c>
      <c r="H9" s="133">
        <f>IF(B$17=0,0,G9/B$17)</f>
        <v>0.1388888888888889</v>
      </c>
      <c r="I9" s="94">
        <v>2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0.13333333333333333</v>
      </c>
      <c r="E10" s="63" t="s">
        <v>90</v>
      </c>
      <c r="F10" s="60" t="s">
        <v>45</v>
      </c>
      <c r="G10" s="47">
        <v>5</v>
      </c>
      <c r="H10" s="133">
        <f>IF(B$17=0,0,G10/B$17)</f>
        <v>0.1388888888888889</v>
      </c>
      <c r="I10" s="94">
        <v>5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4</v>
      </c>
      <c r="H11" s="133">
        <f>IF(B$17=0,0,G11/B$17)</f>
        <v>0.1111111111111111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-3.2200000000000015</v>
      </c>
      <c r="P11" s="119">
        <v>5</v>
      </c>
      <c r="Q11" s="107">
        <v>-16.100000000000009</v>
      </c>
    </row>
    <row r="12" spans="1:17" x14ac:dyDescent="0.4">
      <c r="A12" s="57" t="s">
        <v>160</v>
      </c>
      <c r="B12" s="49">
        <v>1</v>
      </c>
      <c r="C12" s="42">
        <f>IF(B$2=0,0,B12/B$2)</f>
        <v>6.6666666666666666E-2</v>
      </c>
      <c r="E12" s="63" t="s">
        <v>72</v>
      </c>
      <c r="F12" s="60" t="s">
        <v>27</v>
      </c>
      <c r="G12" s="47">
        <v>2</v>
      </c>
      <c r="H12" s="133">
        <f>IF(B$17=0,0,G12/B$17)</f>
        <v>5.5555555555555552E-2</v>
      </c>
      <c r="I12" s="94">
        <v>8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29</v>
      </c>
      <c r="C13" s="44">
        <f>IF(B$3=0,0,B13/B$3)</f>
        <v>0.23015873015873015</v>
      </c>
      <c r="E13" s="63" t="s">
        <v>80</v>
      </c>
      <c r="F13" s="60" t="s">
        <v>35</v>
      </c>
      <c r="G13" s="47">
        <v>2</v>
      </c>
      <c r="H13" s="133">
        <f>IF(B$17=0,0,G13/B$17)</f>
        <v>5.5555555555555552E-2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</v>
      </c>
      <c r="C14" s="39">
        <f>IF(B$3=0,0,B14/B$3)</f>
        <v>0.21428571428571427</v>
      </c>
      <c r="E14" s="63" t="s">
        <v>66</v>
      </c>
      <c r="F14" s="60" t="s">
        <v>22</v>
      </c>
      <c r="G14" s="47">
        <v>1</v>
      </c>
      <c r="H14" s="133">
        <f>IF(B$17=0,0,G14/B$17)</f>
        <v>2.7777777777777776E-2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</v>
      </c>
      <c r="C15" s="37">
        <f>IF(B$13=0,0,B15/B$13)</f>
        <v>0.68965517241379315</v>
      </c>
      <c r="E15" s="63" t="s">
        <v>74</v>
      </c>
      <c r="F15" s="60" t="s">
        <v>29</v>
      </c>
      <c r="G15" s="47">
        <v>1</v>
      </c>
      <c r="H15" s="133">
        <f>IF(B$17=0,0,G15/B$17)</f>
        <v>2.7777777777777776E-2</v>
      </c>
      <c r="I15" s="94">
        <v>1</v>
      </c>
      <c r="K15" s="38">
        <v>13</v>
      </c>
      <c r="L15" s="99">
        <v>-144.79999999999998</v>
      </c>
      <c r="N15" s="114" t="s">
        <v>129</v>
      </c>
      <c r="O15" s="124">
        <f>IF(P15=0,0,Q15/P15)</f>
        <v>64</v>
      </c>
      <c r="P15" s="118">
        <v>4</v>
      </c>
      <c r="Q15" s="106">
        <v>256</v>
      </c>
    </row>
    <row r="16" spans="1:17" x14ac:dyDescent="0.4">
      <c r="A16" s="54" t="s">
        <v>125</v>
      </c>
      <c r="B16" s="46">
        <v>12</v>
      </c>
      <c r="C16" s="37">
        <f>IF(B$14=0,0,B16/B$14)</f>
        <v>0.44444444444444442</v>
      </c>
      <c r="E16" s="63" t="s">
        <v>76</v>
      </c>
      <c r="F16" s="60" t="s">
        <v>31</v>
      </c>
      <c r="G16" s="47">
        <v>1</v>
      </c>
      <c r="H16" s="133">
        <f>IF(B$17=0,0,G16/B$17)</f>
        <v>2.7777777777777776E-2</v>
      </c>
      <c r="I16" s="94">
        <v>1</v>
      </c>
      <c r="K16" s="38">
        <v>14</v>
      </c>
      <c r="L16" s="99">
        <v>-138.69999999999999</v>
      </c>
      <c r="N16" s="115" t="s">
        <v>127</v>
      </c>
      <c r="O16" s="125">
        <f>IF(P16=0,0,Q16/P16)</f>
        <v>-12.140000000000004</v>
      </c>
      <c r="P16" s="119">
        <v>10</v>
      </c>
      <c r="Q16" s="107">
        <v>-121.40000000000005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0.2857142857142857</v>
      </c>
      <c r="E17" s="63" t="s">
        <v>82</v>
      </c>
      <c r="F17" s="60" t="s">
        <v>37</v>
      </c>
      <c r="G17" s="47">
        <v>1</v>
      </c>
      <c r="H17" s="133">
        <f>IF(B$17=0,0,G17/B$17)</f>
        <v>2.7777777777777776E-2</v>
      </c>
      <c r="I17" s="94">
        <v>7</v>
      </c>
      <c r="K17" s="38">
        <v>15</v>
      </c>
      <c r="L17" s="99">
        <v>-85.399999999999991</v>
      </c>
      <c r="N17" s="115" t="s">
        <v>172</v>
      </c>
      <c r="O17" s="125">
        <f>IF(P17=0,0,Q17/P17)</f>
        <v>-17.350000000000001</v>
      </c>
      <c r="P17" s="119">
        <v>2</v>
      </c>
      <c r="Q17" s="107">
        <v>-34.700000000000003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</v>
      </c>
      <c r="E18" s="63" t="s">
        <v>98</v>
      </c>
      <c r="F18" s="60" t="s">
        <v>53</v>
      </c>
      <c r="G18" s="47">
        <v>1</v>
      </c>
      <c r="H18" s="133">
        <f>IF(B$17=0,0,G18/B$17)</f>
        <v>2.7777777777777776E-2</v>
      </c>
      <c r="I18" s="94">
        <v>1</v>
      </c>
      <c r="N18" s="115" t="s">
        <v>177</v>
      </c>
      <c r="O18" s="125">
        <f>IF(P18=0,0,Q18/P18)</f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18</v>
      </c>
      <c r="C19" s="39">
        <f>IF(B$17=0,0,B19/B$17)</f>
        <v>0.5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6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27</v>
      </c>
      <c r="C20" s="39">
        <f>IF(B$3=0,0,B20/B$3)</f>
        <v>0.21428571428571427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  <c r="N21" s="115" t="s">
        <v>183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6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11</v>
      </c>
    </row>
    <row r="23" spans="1:17" x14ac:dyDescent="0.4">
      <c r="A23" s="55" t="s">
        <v>5</v>
      </c>
      <c r="B23" s="51">
        <f>IF(B$17=0,0,C23/B$17)</f>
        <v>8300</v>
      </c>
      <c r="C23" s="41">
        <v>298800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-8092.5925925925922</v>
      </c>
      <c r="C24" s="45">
        <v>-218500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68300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9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2019-06-12T11:52:33Z</dcterms:modified>
</cp:coreProperties>
</file>