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2055B37C-DAAA-41E6-927F-CAC7F6215874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79" r:id="rId6"/>
    <sheet name="だいち" sheetId="5481" r:id="rId7"/>
    <sheet name="りくと" sheetId="5483" r:id="rId8"/>
    <sheet name="ただ" sheetId="5485" r:id="rId9"/>
    <sheet name="れんたろう" sheetId="5487" r:id="rId10"/>
    <sheet name="たかの" sheetId="5489" r:id="rId11"/>
    <sheet name="ぱぱ" sheetId="5491" r:id="rId12"/>
    <sheet name="まっつん" sheetId="5493" r:id="rId13"/>
    <sheet name="あさひ" sheetId="5495" r:id="rId14"/>
    <sheet name="いっしー" sheetId="5497" r:id="rId15"/>
    <sheet name="ほたに" sheetId="5499" r:id="rId16"/>
    <sheet name="かわたつ" sheetId="5501" r:id="rId17"/>
    <sheet name="やがさき" sheetId="5503" r:id="rId18"/>
    <sheet name="やがさき2" sheetId="5504" state="hidden" r:id="rId19"/>
    <sheet name="かわたつ2" sheetId="5502" state="hidden" r:id="rId20"/>
    <sheet name="ほたに2" sheetId="5500" state="hidden" r:id="rId21"/>
    <sheet name="いっしー2" sheetId="5498" state="hidden" r:id="rId22"/>
    <sheet name="あさひ2" sheetId="5496" state="hidden" r:id="rId23"/>
    <sheet name="まっつん2" sheetId="5494" state="hidden" r:id="rId24"/>
    <sheet name="ぱぱ2" sheetId="5492" state="hidden" r:id="rId25"/>
    <sheet name="たかの2" sheetId="5490" state="hidden" r:id="rId26"/>
    <sheet name="れんたろう2" sheetId="5488" state="hidden" r:id="rId27"/>
    <sheet name="ただ2" sheetId="5486" state="hidden" r:id="rId28"/>
    <sheet name="りくと2" sheetId="5484" state="hidden" r:id="rId29"/>
    <sheet name="だいち2" sheetId="5482" state="hidden" r:id="rId30"/>
    <sheet name="全体2" sheetId="5480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3" i="5491" l="1"/>
  <c r="O15" i="5497"/>
  <c r="O25" i="5481" l="1"/>
  <c r="O15" i="5503"/>
  <c r="O15" i="5485" l="1"/>
  <c r="O16" i="5489"/>
  <c r="O16" i="5479"/>
  <c r="O17" i="5503"/>
  <c r="O16" i="5503"/>
  <c r="C27" i="5503"/>
  <c r="B24" i="5503"/>
  <c r="C20" i="5503"/>
  <c r="B17" i="5503"/>
  <c r="H52" i="5503" s="1"/>
  <c r="C16" i="5503"/>
  <c r="C15" i="5503"/>
  <c r="C14" i="5503"/>
  <c r="C13" i="5503"/>
  <c r="O12" i="5503"/>
  <c r="C12" i="5503"/>
  <c r="O11" i="5503"/>
  <c r="C11" i="5503"/>
  <c r="O10" i="5503"/>
  <c r="C10" i="5503"/>
  <c r="C9" i="5503"/>
  <c r="C8" i="5503"/>
  <c r="O7" i="5503"/>
  <c r="C7" i="5503"/>
  <c r="O6" i="5503"/>
  <c r="B6" i="5503"/>
  <c r="O5" i="5503"/>
  <c r="B5" i="5503"/>
  <c r="O4" i="5503"/>
  <c r="O3" i="5503"/>
  <c r="O2" i="5503"/>
  <c r="O15" i="5501"/>
  <c r="O16" i="5501"/>
  <c r="H45" i="5501"/>
  <c r="H44" i="5501"/>
  <c r="H40" i="5501"/>
  <c r="H35" i="5501"/>
  <c r="H33" i="5501"/>
  <c r="H29" i="5501"/>
  <c r="C27" i="5501"/>
  <c r="H25" i="5501"/>
  <c r="B24" i="5501"/>
  <c r="C20" i="5501"/>
  <c r="C18" i="5501"/>
  <c r="H19" i="5501"/>
  <c r="B17" i="5501"/>
  <c r="H50" i="5501" s="1"/>
  <c r="H18" i="5501"/>
  <c r="C16" i="5501"/>
  <c r="C15" i="5501"/>
  <c r="H16" i="5501"/>
  <c r="C14" i="5501"/>
  <c r="C13" i="5501"/>
  <c r="O12" i="5501"/>
  <c r="H14" i="5501"/>
  <c r="C12" i="5501"/>
  <c r="O11" i="5501"/>
  <c r="H13" i="5501"/>
  <c r="C11" i="5501"/>
  <c r="O10" i="5501"/>
  <c r="C10" i="5501"/>
  <c r="H11" i="5501"/>
  <c r="C9" i="5501"/>
  <c r="H10" i="5501"/>
  <c r="C8" i="5501"/>
  <c r="O7" i="5501"/>
  <c r="C7" i="5501"/>
  <c r="O6" i="5501"/>
  <c r="H5" i="5501"/>
  <c r="B6" i="5501"/>
  <c r="O5" i="5501"/>
  <c r="H4" i="5501"/>
  <c r="B5" i="5501"/>
  <c r="O4" i="5501"/>
  <c r="H2" i="5501"/>
  <c r="O3" i="5501"/>
  <c r="H8" i="5501"/>
  <c r="O2" i="5501"/>
  <c r="H3" i="5501"/>
  <c r="O23" i="5487"/>
  <c r="O16" i="5481"/>
  <c r="O25" i="5479"/>
  <c r="H2" i="5503" l="1"/>
  <c r="C19" i="5503"/>
  <c r="H12" i="5503"/>
  <c r="H19" i="5503"/>
  <c r="H4" i="5503"/>
  <c r="H3" i="5503"/>
  <c r="H17" i="5503"/>
  <c r="H9" i="5503"/>
  <c r="H13" i="5503"/>
  <c r="C17" i="5503"/>
  <c r="H21" i="5503"/>
  <c r="H23" i="5503"/>
  <c r="H25" i="5503"/>
  <c r="H28" i="5503"/>
  <c r="H30" i="5503"/>
  <c r="H34" i="5503"/>
  <c r="H38" i="5503"/>
  <c r="H42" i="5503"/>
  <c r="H46" i="5503"/>
  <c r="H50" i="5503"/>
  <c r="H31" i="5503"/>
  <c r="H35" i="5503"/>
  <c r="H39" i="5503"/>
  <c r="H43" i="5503"/>
  <c r="H47" i="5503"/>
  <c r="H51" i="5503"/>
  <c r="H11" i="5503"/>
  <c r="H6" i="5503"/>
  <c r="H14" i="5503"/>
  <c r="H16" i="5503"/>
  <c r="H20" i="5503"/>
  <c r="H22" i="5503"/>
  <c r="H24" i="5503"/>
  <c r="H26" i="5503"/>
  <c r="H7" i="5503"/>
  <c r="H32" i="5503"/>
  <c r="H36" i="5503"/>
  <c r="H40" i="5503"/>
  <c r="H44" i="5503"/>
  <c r="H48" i="5503"/>
  <c r="H10" i="5503"/>
  <c r="H5" i="5503"/>
  <c r="H15" i="5503"/>
  <c r="H18" i="5503"/>
  <c r="H8" i="5503"/>
  <c r="C18" i="5503"/>
  <c r="B23" i="5503"/>
  <c r="H27" i="5503"/>
  <c r="H29" i="5503"/>
  <c r="H33" i="5503"/>
  <c r="H37" i="5503"/>
  <c r="H41" i="5503"/>
  <c r="H45" i="5503"/>
  <c r="H49" i="5503"/>
  <c r="H22" i="5501"/>
  <c r="H28" i="5501"/>
  <c r="H39" i="5501"/>
  <c r="H49" i="5501"/>
  <c r="H51" i="5501"/>
  <c r="H23" i="5501"/>
  <c r="H26" i="5501"/>
  <c r="H36" i="5501"/>
  <c r="H41" i="5501"/>
  <c r="H47" i="5501"/>
  <c r="H7" i="5501"/>
  <c r="H12" i="5501"/>
  <c r="C19" i="5501"/>
  <c r="H31" i="5501"/>
  <c r="H9" i="5501"/>
  <c r="H15" i="5501"/>
  <c r="H17" i="5501"/>
  <c r="C17" i="5501"/>
  <c r="H6" i="5501"/>
  <c r="B23" i="5501"/>
  <c r="H32" i="5501"/>
  <c r="H37" i="5501"/>
  <c r="H43" i="5501"/>
  <c r="H48" i="5501"/>
  <c r="H52" i="5501"/>
  <c r="H20" i="5501"/>
  <c r="H21" i="5501"/>
  <c r="H24" i="5501"/>
  <c r="H27" i="5501"/>
  <c r="H30" i="5501"/>
  <c r="H34" i="5501"/>
  <c r="H38" i="5501"/>
  <c r="H42" i="5501"/>
  <c r="H46" i="5501"/>
  <c r="O17" i="5489" l="1"/>
  <c r="O18" i="5497"/>
  <c r="O20" i="5499" l="1"/>
  <c r="O18" i="5499"/>
  <c r="O16" i="5493"/>
  <c r="O20" i="5483"/>
  <c r="O24" i="5481" l="1"/>
  <c r="O17" i="5499"/>
  <c r="O21" i="5491"/>
  <c r="O15" i="5499"/>
  <c r="O16" i="5499" l="1"/>
  <c r="O19" i="5499"/>
  <c r="C27" i="5499"/>
  <c r="B24" i="5499"/>
  <c r="C20" i="5499"/>
  <c r="B17" i="5499"/>
  <c r="H51" i="5499" s="1"/>
  <c r="C16" i="5499"/>
  <c r="C15" i="5499"/>
  <c r="C14" i="5499"/>
  <c r="C13" i="5499"/>
  <c r="O12" i="5499"/>
  <c r="C12" i="5499"/>
  <c r="O11" i="5499"/>
  <c r="C11" i="5499"/>
  <c r="O10" i="5499"/>
  <c r="C10" i="5499"/>
  <c r="C9" i="5499"/>
  <c r="C8" i="5499"/>
  <c r="O7" i="5499"/>
  <c r="C7" i="5499"/>
  <c r="O6" i="5499"/>
  <c r="B6" i="5499"/>
  <c r="O5" i="5499"/>
  <c r="B5" i="5499"/>
  <c r="O4" i="5499"/>
  <c r="O3" i="5499"/>
  <c r="O2" i="5499"/>
  <c r="O21" i="5487"/>
  <c r="O20" i="5489"/>
  <c r="O22" i="5479"/>
  <c r="H33" i="5499" l="1"/>
  <c r="H4" i="5499"/>
  <c r="H12" i="5499"/>
  <c r="H40" i="5499"/>
  <c r="H6" i="5499"/>
  <c r="H16" i="5499"/>
  <c r="H27" i="5499"/>
  <c r="H3" i="5499"/>
  <c r="C18" i="5499"/>
  <c r="H41" i="5499"/>
  <c r="H25" i="5499"/>
  <c r="H15" i="5499"/>
  <c r="H2" i="5499"/>
  <c r="H13" i="5499"/>
  <c r="B23" i="5499"/>
  <c r="H32" i="5499"/>
  <c r="H48" i="5499"/>
  <c r="H49" i="5499"/>
  <c r="H23" i="5499"/>
  <c r="H36" i="5499"/>
  <c r="H44" i="5499"/>
  <c r="H7" i="5499"/>
  <c r="H18" i="5499"/>
  <c r="H20" i="5499"/>
  <c r="H9" i="5499"/>
  <c r="H11" i="5499"/>
  <c r="H5" i="5499"/>
  <c r="H17" i="5499"/>
  <c r="C17" i="5499"/>
  <c r="H10" i="5499"/>
  <c r="H29" i="5499"/>
  <c r="H37" i="5499"/>
  <c r="H45" i="5499"/>
  <c r="H52" i="5499"/>
  <c r="H22" i="5499"/>
  <c r="H24" i="5499"/>
  <c r="H26" i="5499"/>
  <c r="H28" i="5499"/>
  <c r="H30" i="5499"/>
  <c r="H34" i="5499"/>
  <c r="H38" i="5499"/>
  <c r="H42" i="5499"/>
  <c r="H46" i="5499"/>
  <c r="H50" i="5499"/>
  <c r="H8" i="5499"/>
  <c r="H19" i="5499"/>
  <c r="H21" i="5499"/>
  <c r="C19" i="5499"/>
  <c r="H14" i="5499"/>
  <c r="H31" i="5499"/>
  <c r="H35" i="5499"/>
  <c r="H39" i="5499"/>
  <c r="H43" i="5499"/>
  <c r="H47" i="5499"/>
  <c r="O22" i="5489" l="1"/>
  <c r="O17" i="5485"/>
  <c r="O20" i="5493"/>
  <c r="O18" i="5493"/>
  <c r="O20" i="5481" l="1"/>
  <c r="O19" i="5497"/>
  <c r="O20" i="5497" l="1"/>
  <c r="O16" i="5497"/>
  <c r="O15" i="5487"/>
  <c r="O20" i="5485"/>
  <c r="O17" i="5495" l="1"/>
  <c r="O22" i="5491"/>
  <c r="O15" i="5495"/>
  <c r="O22" i="5497"/>
  <c r="O15" i="5483"/>
  <c r="O21" i="5493"/>
  <c r="O18" i="5479"/>
  <c r="O21" i="5497"/>
  <c r="O17" i="5497"/>
  <c r="C27" i="5497"/>
  <c r="B24" i="5497"/>
  <c r="C20" i="5497"/>
  <c r="B17" i="5497"/>
  <c r="H51" i="5497" s="1"/>
  <c r="C16" i="5497"/>
  <c r="C15" i="5497"/>
  <c r="C14" i="5497"/>
  <c r="C13" i="5497"/>
  <c r="O12" i="5497"/>
  <c r="H16" i="5497"/>
  <c r="C12" i="5497"/>
  <c r="O11" i="5497"/>
  <c r="C11" i="5497"/>
  <c r="O10" i="5497"/>
  <c r="C10" i="5497"/>
  <c r="C9" i="5497"/>
  <c r="C8" i="5497"/>
  <c r="O7" i="5497"/>
  <c r="C7" i="5497"/>
  <c r="O6" i="5497"/>
  <c r="H6" i="5497"/>
  <c r="B6" i="5497"/>
  <c r="O5" i="5497"/>
  <c r="B5" i="5497"/>
  <c r="O4" i="5497"/>
  <c r="O3" i="5497"/>
  <c r="O2" i="5497"/>
  <c r="O16" i="5495"/>
  <c r="O18" i="5495"/>
  <c r="C27" i="5495"/>
  <c r="H27" i="5495"/>
  <c r="B24" i="5495"/>
  <c r="C20" i="5495"/>
  <c r="B17" i="5495"/>
  <c r="H51" i="5495" s="1"/>
  <c r="C16" i="5495"/>
  <c r="C15" i="5495"/>
  <c r="C14" i="5495"/>
  <c r="C13" i="5495"/>
  <c r="O12" i="5495"/>
  <c r="C12" i="5495"/>
  <c r="O11" i="5495"/>
  <c r="C11" i="5495"/>
  <c r="O10" i="5495"/>
  <c r="C10" i="5495"/>
  <c r="C9" i="5495"/>
  <c r="C8" i="5495"/>
  <c r="O7" i="5495"/>
  <c r="C7" i="5495"/>
  <c r="O6" i="5495"/>
  <c r="B6" i="5495"/>
  <c r="O5" i="5495"/>
  <c r="B5" i="5495"/>
  <c r="O4" i="5495"/>
  <c r="O3" i="5495"/>
  <c r="O2" i="5495"/>
  <c r="O22" i="5493"/>
  <c r="O23" i="5493"/>
  <c r="O15" i="5481"/>
  <c r="O19" i="5481"/>
  <c r="O26" i="5479"/>
  <c r="H14" i="5497" l="1"/>
  <c r="H33" i="5495"/>
  <c r="H5" i="5495"/>
  <c r="H10" i="5495"/>
  <c r="H3" i="5495"/>
  <c r="C18" i="5495"/>
  <c r="H2" i="5495"/>
  <c r="H19" i="5495"/>
  <c r="H40" i="5495"/>
  <c r="H41" i="5495"/>
  <c r="H25" i="5495"/>
  <c r="H13" i="5495"/>
  <c r="H4" i="5495"/>
  <c r="H20" i="5495"/>
  <c r="B23" i="5495"/>
  <c r="H32" i="5495"/>
  <c r="H49" i="5495"/>
  <c r="H48" i="5495"/>
  <c r="H6" i="5495"/>
  <c r="H44" i="5495"/>
  <c r="H7" i="5495"/>
  <c r="H15" i="5495"/>
  <c r="H17" i="5495"/>
  <c r="H22" i="5495"/>
  <c r="H36" i="5495"/>
  <c r="H12" i="5495"/>
  <c r="H8" i="5495"/>
  <c r="H14" i="5495"/>
  <c r="C17" i="5495"/>
  <c r="H11" i="5495"/>
  <c r="H29" i="5495"/>
  <c r="H37" i="5495"/>
  <c r="H45" i="5495"/>
  <c r="H52" i="5495"/>
  <c r="H22" i="5497"/>
  <c r="H28" i="5497"/>
  <c r="H40" i="5497"/>
  <c r="H20" i="5497"/>
  <c r="H41" i="5497"/>
  <c r="H7" i="5497"/>
  <c r="H13" i="5497"/>
  <c r="H33" i="5497"/>
  <c r="H48" i="5497"/>
  <c r="H25" i="5497"/>
  <c r="H9" i="5497"/>
  <c r="B23" i="5497"/>
  <c r="H4" i="5497"/>
  <c r="H2" i="5497"/>
  <c r="C18" i="5497"/>
  <c r="H34" i="5497"/>
  <c r="H49" i="5497"/>
  <c r="H18" i="5497"/>
  <c r="H11" i="5497"/>
  <c r="H19" i="5497"/>
  <c r="H44" i="5497"/>
  <c r="H5" i="5497"/>
  <c r="H12" i="5497"/>
  <c r="H15" i="5497"/>
  <c r="C17" i="5497"/>
  <c r="H27" i="5497"/>
  <c r="H30" i="5497"/>
  <c r="H37" i="5497"/>
  <c r="H45" i="5497"/>
  <c r="H52" i="5497"/>
  <c r="H31" i="5497"/>
  <c r="H50" i="5497"/>
  <c r="H3" i="5497"/>
  <c r="H23" i="5497"/>
  <c r="H24" i="5497"/>
  <c r="H26" i="5497"/>
  <c r="H29" i="5497"/>
  <c r="H35" i="5497"/>
  <c r="H38" i="5497"/>
  <c r="H42" i="5497"/>
  <c r="H46" i="5497"/>
  <c r="H8" i="5497"/>
  <c r="H17" i="5497"/>
  <c r="H21" i="5497"/>
  <c r="C19" i="5497"/>
  <c r="H10" i="5497"/>
  <c r="H32" i="5497"/>
  <c r="H36" i="5497"/>
  <c r="H39" i="5497"/>
  <c r="H43" i="5497"/>
  <c r="H47" i="5497"/>
  <c r="H21" i="5495"/>
  <c r="H23" i="5495"/>
  <c r="H26" i="5495"/>
  <c r="H28" i="5495"/>
  <c r="H30" i="5495"/>
  <c r="H34" i="5495"/>
  <c r="H38" i="5495"/>
  <c r="H42" i="5495"/>
  <c r="H46" i="5495"/>
  <c r="H50" i="5495"/>
  <c r="H9" i="5495"/>
  <c r="H16" i="5495"/>
  <c r="H18" i="5495"/>
  <c r="C19" i="5495"/>
  <c r="H24" i="5495"/>
  <c r="H31" i="5495"/>
  <c r="H35" i="5495"/>
  <c r="H39" i="5495"/>
  <c r="H43" i="5495"/>
  <c r="H47" i="5495"/>
  <c r="O17" i="5493" l="1"/>
  <c r="O20" i="5491"/>
  <c r="O17" i="5491"/>
  <c r="O17" i="5483"/>
  <c r="O18" i="5489" l="1"/>
  <c r="O17" i="5487"/>
  <c r="O16" i="5491"/>
  <c r="O18" i="5491"/>
  <c r="O15" i="5489" l="1"/>
  <c r="O16" i="5487"/>
  <c r="O22" i="5485"/>
  <c r="O18" i="5485"/>
  <c r="O15" i="5493"/>
  <c r="O19" i="5493"/>
  <c r="C27" i="5493"/>
  <c r="B24" i="5493"/>
  <c r="C20" i="5493"/>
  <c r="B17" i="5493"/>
  <c r="H4" i="5493" s="1"/>
  <c r="C16" i="5493"/>
  <c r="C15" i="5493"/>
  <c r="C14" i="5493"/>
  <c r="C13" i="5493"/>
  <c r="O12" i="5493"/>
  <c r="C12" i="5493"/>
  <c r="O11" i="5493"/>
  <c r="C11" i="5493"/>
  <c r="O10" i="5493"/>
  <c r="C10" i="5493"/>
  <c r="C9" i="5493"/>
  <c r="C8" i="5493"/>
  <c r="O7" i="5493"/>
  <c r="C7" i="5493"/>
  <c r="O6" i="5493"/>
  <c r="B6" i="5493"/>
  <c r="O5" i="5493"/>
  <c r="B5" i="5493"/>
  <c r="O4" i="5493"/>
  <c r="O3" i="5493"/>
  <c r="O2" i="5493"/>
  <c r="O22" i="5487"/>
  <c r="O21" i="5483"/>
  <c r="O23" i="5479"/>
  <c r="H3" i="5493" l="1"/>
  <c r="H21" i="5493"/>
  <c r="H27" i="5493"/>
  <c r="H12" i="5493"/>
  <c r="H34" i="5493"/>
  <c r="H2" i="5493"/>
  <c r="H41" i="5493"/>
  <c r="H15" i="5493"/>
  <c r="C18" i="5493"/>
  <c r="B23" i="5493"/>
  <c r="H9" i="5493"/>
  <c r="H7" i="5493"/>
  <c r="H26" i="5493"/>
  <c r="H6" i="5493"/>
  <c r="H11" i="5493"/>
  <c r="H5" i="5493"/>
  <c r="C19" i="5493"/>
  <c r="H8" i="5493"/>
  <c r="H22" i="5493"/>
  <c r="H28" i="5493"/>
  <c r="C17" i="5493"/>
  <c r="H14" i="5493"/>
  <c r="H20" i="5493"/>
  <c r="H45" i="5493"/>
  <c r="H49" i="5493"/>
  <c r="H32" i="5493"/>
  <c r="H38" i="5493"/>
  <c r="H52" i="5493"/>
  <c r="H29" i="5493"/>
  <c r="H30" i="5493"/>
  <c r="H18" i="5493"/>
  <c r="H33" i="5493"/>
  <c r="H16" i="5493"/>
  <c r="H35" i="5493"/>
  <c r="H39" i="5493"/>
  <c r="H42" i="5493"/>
  <c r="H46" i="5493"/>
  <c r="H50" i="5493"/>
  <c r="H23" i="5493"/>
  <c r="H36" i="5493"/>
  <c r="H40" i="5493"/>
  <c r="H43" i="5493"/>
  <c r="H47" i="5493"/>
  <c r="H51" i="5493"/>
  <c r="H19" i="5493"/>
  <c r="H17" i="5493"/>
  <c r="H31" i="5493"/>
  <c r="H13" i="5493"/>
  <c r="H10" i="5493"/>
  <c r="H24" i="5493"/>
  <c r="H37" i="5493"/>
  <c r="H25" i="5493"/>
  <c r="H44" i="5493"/>
  <c r="H48" i="5493"/>
  <c r="O19" i="5485" l="1"/>
  <c r="O19" i="5491"/>
  <c r="O15" i="5491"/>
  <c r="C27" i="5491"/>
  <c r="B24" i="5491"/>
  <c r="C20" i="5491"/>
  <c r="B17" i="5491"/>
  <c r="H52" i="5491" s="1"/>
  <c r="C16" i="5491"/>
  <c r="C15" i="5491"/>
  <c r="C14" i="5491"/>
  <c r="C13" i="5491"/>
  <c r="O12" i="5491"/>
  <c r="C12" i="5491"/>
  <c r="O11" i="5491"/>
  <c r="C11" i="5491"/>
  <c r="O10" i="5491"/>
  <c r="C10" i="5491"/>
  <c r="C9" i="5491"/>
  <c r="C8" i="5491"/>
  <c r="O7" i="5491"/>
  <c r="C7" i="5491"/>
  <c r="O6" i="5491"/>
  <c r="B6" i="5491"/>
  <c r="O5" i="5491"/>
  <c r="B5" i="5491"/>
  <c r="O4" i="5491"/>
  <c r="O3" i="5491"/>
  <c r="O2" i="5491"/>
  <c r="O21" i="5481"/>
  <c r="O17" i="5479"/>
  <c r="O19" i="5489"/>
  <c r="O18" i="5483"/>
  <c r="O19" i="5483"/>
  <c r="O19" i="5487"/>
  <c r="O21" i="5489"/>
  <c r="O23" i="5489"/>
  <c r="C27" i="5489"/>
  <c r="B24" i="5489"/>
  <c r="C20" i="5489"/>
  <c r="B17" i="5489"/>
  <c r="H51" i="5489" s="1"/>
  <c r="C16" i="5489"/>
  <c r="C15" i="5489"/>
  <c r="C14" i="5489"/>
  <c r="C13" i="5489"/>
  <c r="O12" i="5489"/>
  <c r="C12" i="5489"/>
  <c r="O11" i="5489"/>
  <c r="C11" i="5489"/>
  <c r="O10" i="5489"/>
  <c r="C10" i="5489"/>
  <c r="C9" i="5489"/>
  <c r="C8" i="5489"/>
  <c r="O7" i="5489"/>
  <c r="C7" i="5489"/>
  <c r="O6" i="5489"/>
  <c r="B6" i="5489"/>
  <c r="O5" i="5489"/>
  <c r="B5" i="5489"/>
  <c r="O4" i="5489"/>
  <c r="O3" i="5489"/>
  <c r="O2" i="5489"/>
  <c r="O20" i="5487"/>
  <c r="O18" i="5487"/>
  <c r="C27" i="5487"/>
  <c r="B24" i="5487"/>
  <c r="C20" i="5487"/>
  <c r="B17" i="5487"/>
  <c r="H19" i="5487" s="1"/>
  <c r="C16" i="5487"/>
  <c r="C15" i="5487"/>
  <c r="C14" i="5487"/>
  <c r="C13" i="5487"/>
  <c r="O12" i="5487"/>
  <c r="C12" i="5487"/>
  <c r="O11" i="5487"/>
  <c r="C11" i="5487"/>
  <c r="O10" i="5487"/>
  <c r="C10" i="5487"/>
  <c r="C9" i="5487"/>
  <c r="C8" i="5487"/>
  <c r="O7" i="5487"/>
  <c r="C7" i="5487"/>
  <c r="O6" i="5487"/>
  <c r="B6" i="5487"/>
  <c r="O5" i="5487"/>
  <c r="B5" i="5487"/>
  <c r="O4" i="5487"/>
  <c r="O3" i="5487"/>
  <c r="O2" i="5487"/>
  <c r="O18" i="5481"/>
  <c r="O23" i="5481"/>
  <c r="O20" i="5479"/>
  <c r="O21" i="5479"/>
  <c r="H5" i="5491" l="1"/>
  <c r="H10" i="5489"/>
  <c r="H2" i="5489"/>
  <c r="H40" i="5489"/>
  <c r="H5" i="5489"/>
  <c r="H17" i="5489"/>
  <c r="H22" i="5489"/>
  <c r="H6" i="5487"/>
  <c r="H13" i="5487"/>
  <c r="H41" i="5491"/>
  <c r="C17" i="5491"/>
  <c r="H28" i="5491"/>
  <c r="H45" i="5491"/>
  <c r="H11" i="5491"/>
  <c r="H8" i="5491"/>
  <c r="H3" i="5491"/>
  <c r="H9" i="5491"/>
  <c r="H21" i="5491"/>
  <c r="H16" i="5491"/>
  <c r="H33" i="5491"/>
  <c r="H49" i="5491"/>
  <c r="H4" i="5491"/>
  <c r="H2" i="5491"/>
  <c r="H12" i="5491"/>
  <c r="H26" i="5491"/>
  <c r="H13" i="5491"/>
  <c r="H37" i="5491"/>
  <c r="H6" i="5491"/>
  <c r="H25" i="5491"/>
  <c r="H27" i="5491"/>
  <c r="H29" i="5491"/>
  <c r="H30" i="5491"/>
  <c r="H18" i="5491"/>
  <c r="H35" i="5491"/>
  <c r="H39" i="5491"/>
  <c r="H43" i="5491"/>
  <c r="H47" i="5491"/>
  <c r="H51" i="5491"/>
  <c r="H10" i="5491"/>
  <c r="H22" i="5491"/>
  <c r="H24" i="5491"/>
  <c r="C19" i="5491"/>
  <c r="H17" i="5491"/>
  <c r="H32" i="5491"/>
  <c r="H36" i="5491"/>
  <c r="H40" i="5491"/>
  <c r="H44" i="5491"/>
  <c r="H48" i="5491"/>
  <c r="H19" i="5491"/>
  <c r="H7" i="5491"/>
  <c r="H14" i="5491"/>
  <c r="H23" i="5491"/>
  <c r="H15" i="5491"/>
  <c r="C18" i="5491"/>
  <c r="B23" i="5491"/>
  <c r="H20" i="5491"/>
  <c r="H31" i="5491"/>
  <c r="H34" i="5491"/>
  <c r="H38" i="5491"/>
  <c r="H42" i="5491"/>
  <c r="H46" i="5491"/>
  <c r="H50" i="5491"/>
  <c r="H41" i="5489"/>
  <c r="H48" i="5489"/>
  <c r="H28" i="5489"/>
  <c r="H13" i="5489"/>
  <c r="H3" i="5489"/>
  <c r="H18" i="5489"/>
  <c r="B23" i="5489"/>
  <c r="H32" i="5489"/>
  <c r="H7" i="5489"/>
  <c r="C18" i="5489"/>
  <c r="H33" i="5489"/>
  <c r="H26" i="5487"/>
  <c r="H27" i="5487"/>
  <c r="H49" i="5489"/>
  <c r="H11" i="5489"/>
  <c r="H36" i="5489"/>
  <c r="H44" i="5489"/>
  <c r="H4" i="5489"/>
  <c r="H20" i="5489"/>
  <c r="H24" i="5489"/>
  <c r="H15" i="5489"/>
  <c r="H9" i="5489"/>
  <c r="H6" i="5489"/>
  <c r="H19" i="5489"/>
  <c r="C17" i="5489"/>
  <c r="H14" i="5489"/>
  <c r="H23" i="5489"/>
  <c r="H37" i="5489"/>
  <c r="H45" i="5489"/>
  <c r="H52" i="5489"/>
  <c r="H26" i="5489"/>
  <c r="H27" i="5489"/>
  <c r="H29" i="5489"/>
  <c r="H30" i="5489"/>
  <c r="H16" i="5489"/>
  <c r="H34" i="5489"/>
  <c r="H38" i="5489"/>
  <c r="H42" i="5489"/>
  <c r="H46" i="5489"/>
  <c r="H50" i="5489"/>
  <c r="H8" i="5489"/>
  <c r="H21" i="5489"/>
  <c r="H25" i="5489"/>
  <c r="C19" i="5489"/>
  <c r="H12" i="5489"/>
  <c r="H31" i="5489"/>
  <c r="H35" i="5489"/>
  <c r="H39" i="5489"/>
  <c r="H43" i="5489"/>
  <c r="H47" i="5489"/>
  <c r="H11" i="5487"/>
  <c r="H4" i="5487"/>
  <c r="H18" i="5487"/>
  <c r="H22" i="5487"/>
  <c r="H24" i="5487"/>
  <c r="H25" i="5487"/>
  <c r="H41" i="5487"/>
  <c r="H49" i="5487"/>
  <c r="H3" i="5487"/>
  <c r="H2" i="5487"/>
  <c r="H15" i="5487"/>
  <c r="C18" i="5487"/>
  <c r="B23" i="5487"/>
  <c r="H34" i="5487"/>
  <c r="H42" i="5487"/>
  <c r="H50" i="5487"/>
  <c r="H16" i="5487"/>
  <c r="H9" i="5487"/>
  <c r="H37" i="5487"/>
  <c r="H45" i="5487"/>
  <c r="H5" i="5487"/>
  <c r="H10" i="5487"/>
  <c r="H7" i="5487"/>
  <c r="H21" i="5487"/>
  <c r="C17" i="5487"/>
  <c r="H12" i="5487"/>
  <c r="H33" i="5487"/>
  <c r="H38" i="5487"/>
  <c r="H46" i="5487"/>
  <c r="H52" i="5487"/>
  <c r="H29" i="5487"/>
  <c r="H30" i="5487"/>
  <c r="H31" i="5487"/>
  <c r="H32" i="5487"/>
  <c r="H17" i="5487"/>
  <c r="H35" i="5487"/>
  <c r="H39" i="5487"/>
  <c r="H43" i="5487"/>
  <c r="H47" i="5487"/>
  <c r="H51" i="5487"/>
  <c r="H8" i="5487"/>
  <c r="H20" i="5487"/>
  <c r="H28" i="5487"/>
  <c r="C19" i="5487"/>
  <c r="H14" i="5487"/>
  <c r="H23" i="5487"/>
  <c r="H36" i="5487"/>
  <c r="H40" i="5487"/>
  <c r="H44" i="5487"/>
  <c r="H48" i="5487"/>
  <c r="O16" i="5485" l="1"/>
  <c r="O21" i="5485"/>
  <c r="C27" i="5485"/>
  <c r="B24" i="5485"/>
  <c r="C20" i="5485"/>
  <c r="B17" i="5485"/>
  <c r="H51" i="5485" s="1"/>
  <c r="C16" i="5485"/>
  <c r="C15" i="5485"/>
  <c r="C14" i="5485"/>
  <c r="C13" i="5485"/>
  <c r="O12" i="5485"/>
  <c r="C12" i="5485"/>
  <c r="O11" i="5485"/>
  <c r="C11" i="5485"/>
  <c r="O10" i="5485"/>
  <c r="C10" i="5485"/>
  <c r="C9" i="5485"/>
  <c r="C8" i="5485"/>
  <c r="O7" i="5485"/>
  <c r="C7" i="5485"/>
  <c r="O6" i="5485"/>
  <c r="B6" i="5485"/>
  <c r="O5" i="5485"/>
  <c r="B5" i="5485"/>
  <c r="O4" i="5485"/>
  <c r="O3" i="5485"/>
  <c r="O2" i="5485"/>
  <c r="O22" i="5483"/>
  <c r="O16" i="5483"/>
  <c r="C27" i="5483"/>
  <c r="B24" i="5483"/>
  <c r="C20" i="5483"/>
  <c r="B17" i="5483"/>
  <c r="H5" i="5483" s="1"/>
  <c r="C16" i="5483"/>
  <c r="C15" i="5483"/>
  <c r="C14" i="5483"/>
  <c r="C13" i="5483"/>
  <c r="O12" i="5483"/>
  <c r="C12" i="5483"/>
  <c r="O11" i="5483"/>
  <c r="C11" i="5483"/>
  <c r="O10" i="5483"/>
  <c r="C10" i="5483"/>
  <c r="C9" i="5483"/>
  <c r="C8" i="5483"/>
  <c r="O7" i="5483"/>
  <c r="C7" i="5483"/>
  <c r="O6" i="5483"/>
  <c r="B6" i="5483"/>
  <c r="O5" i="5483"/>
  <c r="B5" i="5483"/>
  <c r="O4" i="5483"/>
  <c r="O3" i="5483"/>
  <c r="O2" i="5483"/>
  <c r="O24" i="5479"/>
  <c r="O17" i="5481"/>
  <c r="O22" i="5481"/>
  <c r="C27" i="5481"/>
  <c r="B24" i="5481"/>
  <c r="C20" i="5481"/>
  <c r="B17" i="5481"/>
  <c r="H15" i="5481" s="1"/>
  <c r="C16" i="5481"/>
  <c r="C15" i="5481"/>
  <c r="C14" i="5481"/>
  <c r="C13" i="5481"/>
  <c r="O12" i="5481"/>
  <c r="C12" i="5481"/>
  <c r="O11" i="5481"/>
  <c r="C11" i="5481"/>
  <c r="O10" i="5481"/>
  <c r="C10" i="5481"/>
  <c r="C9" i="5481"/>
  <c r="C8" i="5481"/>
  <c r="O7" i="5481"/>
  <c r="C7" i="5481"/>
  <c r="O6" i="5481"/>
  <c r="B6" i="5481"/>
  <c r="O5" i="5481"/>
  <c r="B5" i="5481"/>
  <c r="O4" i="5481"/>
  <c r="O3" i="5481"/>
  <c r="O2" i="5481"/>
  <c r="O15" i="5479"/>
  <c r="O19" i="5479"/>
  <c r="C27" i="5479"/>
  <c r="B24" i="5479"/>
  <c r="C20" i="5479"/>
  <c r="B17" i="5479"/>
  <c r="H19" i="5479" s="1"/>
  <c r="C16" i="5479"/>
  <c r="C15" i="5479"/>
  <c r="C14" i="5479"/>
  <c r="C13" i="5479"/>
  <c r="O12" i="5479"/>
  <c r="C12" i="5479"/>
  <c r="O11" i="5479"/>
  <c r="C11" i="5479"/>
  <c r="O10" i="5479"/>
  <c r="C10" i="5479"/>
  <c r="C9" i="5479"/>
  <c r="C8" i="5479"/>
  <c r="O7" i="5479"/>
  <c r="C7" i="5479"/>
  <c r="O6" i="5479"/>
  <c r="B6" i="5479"/>
  <c r="O5" i="5479"/>
  <c r="B5" i="5479"/>
  <c r="O4" i="5479"/>
  <c r="O3" i="5479"/>
  <c r="O2" i="5479"/>
  <c r="H9" i="5485" l="1"/>
  <c r="H3" i="5485"/>
  <c r="H20" i="5485"/>
  <c r="H20" i="5483"/>
  <c r="H15" i="5479"/>
  <c r="H25" i="5479"/>
  <c r="H2" i="5485"/>
  <c r="H6" i="5485"/>
  <c r="H3" i="5483"/>
  <c r="C17" i="5483"/>
  <c r="C19" i="5485"/>
  <c r="H30" i="5485"/>
  <c r="H18" i="5485"/>
  <c r="H19" i="5485"/>
  <c r="H40" i="5485"/>
  <c r="H48" i="5485"/>
  <c r="H8" i="5485"/>
  <c r="C17" i="5485"/>
  <c r="H16" i="5485"/>
  <c r="B23" i="5485"/>
  <c r="H33" i="5485"/>
  <c r="H41" i="5485"/>
  <c r="H49" i="5485"/>
  <c r="H21" i="5485"/>
  <c r="H11" i="5485"/>
  <c r="H5" i="5485"/>
  <c r="H10" i="5485"/>
  <c r="H17" i="5485"/>
  <c r="H22" i="5485"/>
  <c r="H12" i="5485"/>
  <c r="H36" i="5485"/>
  <c r="H44" i="5485"/>
  <c r="H4" i="5485"/>
  <c r="H7" i="5485"/>
  <c r="H26" i="5485"/>
  <c r="H27" i="5485"/>
  <c r="H14" i="5485"/>
  <c r="C18" i="5485"/>
  <c r="H15" i="5485"/>
  <c r="H13" i="5485"/>
  <c r="H32" i="5485"/>
  <c r="H37" i="5485"/>
  <c r="H45" i="5485"/>
  <c r="H52" i="5485"/>
  <c r="H28" i="5485"/>
  <c r="H29" i="5485"/>
  <c r="H31" i="5485"/>
  <c r="H23" i="5485"/>
  <c r="H24" i="5485"/>
  <c r="H34" i="5485"/>
  <c r="H38" i="5485"/>
  <c r="H42" i="5485"/>
  <c r="H46" i="5485"/>
  <c r="H50" i="5485"/>
  <c r="H25" i="5485"/>
  <c r="H35" i="5485"/>
  <c r="H39" i="5485"/>
  <c r="H43" i="5485"/>
  <c r="H47" i="5485"/>
  <c r="H34" i="5483"/>
  <c r="H23" i="5483"/>
  <c r="H6" i="5483"/>
  <c r="C18" i="5483"/>
  <c r="B23" i="5483"/>
  <c r="H35" i="5483"/>
  <c r="H4" i="5483"/>
  <c r="H22" i="5483"/>
  <c r="H14" i="5483"/>
  <c r="H10" i="5483"/>
  <c r="H2" i="5483"/>
  <c r="H8" i="5483"/>
  <c r="H29" i="5483"/>
  <c r="H18" i="5483"/>
  <c r="C19" i="5483"/>
  <c r="H42" i="5483"/>
  <c r="H46" i="5483"/>
  <c r="H50" i="5483"/>
  <c r="H33" i="5483"/>
  <c r="H38" i="5483"/>
  <c r="H52" i="5483"/>
  <c r="H30" i="5483"/>
  <c r="H31" i="5483"/>
  <c r="H32" i="5483"/>
  <c r="H25" i="5483"/>
  <c r="H17" i="5483"/>
  <c r="H28" i="5483"/>
  <c r="H39" i="5483"/>
  <c r="H43" i="5483"/>
  <c r="H47" i="5483"/>
  <c r="H51" i="5483"/>
  <c r="H26" i="5483"/>
  <c r="H36" i="5483"/>
  <c r="H40" i="5483"/>
  <c r="H44" i="5483"/>
  <c r="H48" i="5483"/>
  <c r="H19" i="5483"/>
  <c r="H9" i="5483"/>
  <c r="H7" i="5483"/>
  <c r="H12" i="5483"/>
  <c r="H21" i="5483"/>
  <c r="H16" i="5483"/>
  <c r="H15" i="5483"/>
  <c r="H24" i="5483"/>
  <c r="H13" i="5483"/>
  <c r="H11" i="5483"/>
  <c r="H27" i="5483"/>
  <c r="H37" i="5483"/>
  <c r="H41" i="5483"/>
  <c r="H45" i="5483"/>
  <c r="H49" i="5483"/>
  <c r="H3" i="5479"/>
  <c r="H33" i="5479"/>
  <c r="H30" i="5481"/>
  <c r="H31" i="5481"/>
  <c r="H13" i="5481"/>
  <c r="H6" i="5481"/>
  <c r="H11" i="5481"/>
  <c r="H3" i="5481"/>
  <c r="H19" i="5481"/>
  <c r="H26" i="5481"/>
  <c r="H27" i="5481"/>
  <c r="H28" i="5481"/>
  <c r="H41" i="5481"/>
  <c r="H49" i="5481"/>
  <c r="H4" i="5481"/>
  <c r="H2" i="5481"/>
  <c r="H16" i="5481"/>
  <c r="C18" i="5481"/>
  <c r="B23" i="5481"/>
  <c r="H35" i="5481"/>
  <c r="H42" i="5481"/>
  <c r="H50" i="5481"/>
  <c r="H17" i="5481"/>
  <c r="H9" i="5481"/>
  <c r="H37" i="5481"/>
  <c r="H45" i="5481"/>
  <c r="H5" i="5481"/>
  <c r="H10" i="5481"/>
  <c r="H7" i="5481"/>
  <c r="H21" i="5481"/>
  <c r="C17" i="5481"/>
  <c r="H12" i="5481"/>
  <c r="H24" i="5481"/>
  <c r="H38" i="5481"/>
  <c r="H46" i="5481"/>
  <c r="H52" i="5481"/>
  <c r="H32" i="5481"/>
  <c r="H33" i="5481"/>
  <c r="H20" i="5481"/>
  <c r="H34" i="5481"/>
  <c r="H18" i="5481"/>
  <c r="H29" i="5481"/>
  <c r="H39" i="5481"/>
  <c r="H43" i="5481"/>
  <c r="H47" i="5481"/>
  <c r="H51" i="5481"/>
  <c r="H8" i="5481"/>
  <c r="H25" i="5481"/>
  <c r="H23" i="5481"/>
  <c r="C19" i="5481"/>
  <c r="H14" i="5481"/>
  <c r="H22" i="5481"/>
  <c r="H36" i="5481"/>
  <c r="H40" i="5481"/>
  <c r="H44" i="5481"/>
  <c r="H48" i="5481"/>
  <c r="H42" i="5479"/>
  <c r="H18" i="5479"/>
  <c r="H49" i="5479"/>
  <c r="H11" i="5479"/>
  <c r="H4" i="5479"/>
  <c r="H29" i="5479"/>
  <c r="H7" i="5479"/>
  <c r="H22" i="5479"/>
  <c r="B23" i="5479"/>
  <c r="H26" i="5479"/>
  <c r="H2" i="5479"/>
  <c r="H12" i="5479"/>
  <c r="C18" i="5479"/>
  <c r="H37" i="5479"/>
  <c r="H50" i="5479"/>
  <c r="H16" i="5479"/>
  <c r="H9" i="5479"/>
  <c r="H32" i="5479"/>
  <c r="H45" i="5479"/>
  <c r="H5" i="5479"/>
  <c r="H34" i="5479"/>
  <c r="H10" i="5479"/>
  <c r="H6" i="5479"/>
  <c r="H20" i="5479"/>
  <c r="C17" i="5479"/>
  <c r="H13" i="5479"/>
  <c r="H27" i="5479"/>
  <c r="H39" i="5479"/>
  <c r="H46" i="5479"/>
  <c r="H52" i="5479"/>
  <c r="H35" i="5479"/>
  <c r="H36" i="5479"/>
  <c r="H24" i="5479"/>
  <c r="H30" i="5479"/>
  <c r="H17" i="5479"/>
  <c r="H31" i="5479"/>
  <c r="H40" i="5479"/>
  <c r="H43" i="5479"/>
  <c r="H47" i="5479"/>
  <c r="H51" i="5479"/>
  <c r="H8" i="5479"/>
  <c r="H21" i="5479"/>
  <c r="H28" i="5479"/>
  <c r="C19" i="5479"/>
  <c r="H14" i="5479"/>
  <c r="H23" i="5479"/>
  <c r="H38" i="5479"/>
  <c r="H41" i="5479"/>
  <c r="H44" i="5479"/>
  <c r="H48" i="5479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<sst xmlns="http://schemas.openxmlformats.org/spreadsheetml/2006/main" count="3320" uniqueCount="261">
  <si>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</si>
  <si>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</si>
  <si>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</si>
  <si>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</si>
  <si>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</si>
  <si>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</si>
  <si>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</si>
  <si>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</si>
  <si>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</si>
  <si>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</si>
  <si>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</si>
  <si>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</si>
  <si>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</si>
  <si>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</si>
  <si>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</si>
  <si>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</si>
  <si>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</si>
  <si>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</si>
  <si>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</si>
  <si>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</si>
  <si>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</si>
  <si>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</si>
  <si>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</si>
  <si>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</si>
  <si>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</si>
  <si>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</si>
  <si>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</si>
  <si>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</si>
  <si>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</si>
  <si>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</si>
  <si>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</si>
  <si>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</si>
  <si>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</si>
  <si>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</si>
  <si>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</si>
  <si>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</si>
  <si>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</si>
  <si>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</si>
  <si>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</si>
  <si>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</si>
  <si>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</si>
  <si>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</si>
  <si>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</si>
  <si>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</si>
  <si>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</si>
  <si>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</si>
  <si>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</si>
  <si>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</si>
  <si>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</si>
  <si>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</si>
  <si>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</si>
  <si>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</si>
  <si>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</si>
  <si>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</si>
  <si>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</si>
  <si>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</si>
  <si>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</si>
  <si>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</si>
  <si>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</si>
  <si>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</si>
  <si>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</si>
  <si>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</si>
  <si>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</si>
  <si>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</si>
  <si>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</si>
  <si>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</si>
  <si>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</si>
  <si>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</si>
  <si>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</si>
  <si>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</si>
  <si>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</si>
  <si>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</si>
  <si>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</si>
  <si>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</si>
  <si>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</si>
  <si>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</si>
  <si>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</si>
  <si>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</si>
  <si>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</si>
  <si>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</si>
  <si>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</si>
  <si>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</si>
  <si>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</si>
  <si>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</si>
  <si>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</si>
  <si>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</si>
  <si>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</si>
  <si>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</si>
  <si>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</si>
  <si>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</si>
  <si>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</si>
  <si>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</si>
  <si>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</si>
  <si>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</si>
  <si>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</si>
  <si>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</si>
  <si>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</si>
  <si>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</si>
  <si>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</si>
  <si>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</si>
  <si>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</si>
  <si>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</si>
  <si>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</si>
  <si>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</si>
  <si>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</si>
  <si>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</si>
  <si>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</si>
  <si>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</si>
  <si>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</si>
  <si>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</si>
  <si>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</si>
  <si>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</si>
  <si>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</si>
  <si>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</si>
  <si>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</si>
  <si>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</si>
  <si>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</si>
  <si>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</si>
  <si>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</si>
  <si>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</si>
  <si>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</si>
  <si>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</si>
  <si>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</si>
  <si>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</si>
  <si>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</si>
  <si>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</si>
  <si>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</si>
  <si>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</si>
  <si>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</si>
  <si>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</si>
  <si>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</si>
  <si>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</si>
  <si>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</si>
  <si>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</si>
  <si>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</si>
  <si>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</si>
  <si>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</si>
  <si>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</si>
  <si>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</si>
  <si>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</si>
  <si>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</si>
  <si>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</si>
  <si>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</si>
  <si>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</si>
  <si>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</si>
  <si>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</si>
  <si>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</si>
  <si>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</si>
  <si>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</si>
  <si>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</si>
  <si>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</si>
  <si>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</si>
  <si>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</si>
  <si>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</si>
  <si>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</si>
  <si>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</si>
  <si>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</si>
  <si>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</si>
  <si>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</si>
  <si>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</si>
  <si>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</si>
  <si>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</si>
  <si>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</si>
  <si>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</si>
  <si>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</si>
  <si>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</si>
  <si>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</si>
  <si>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</si>
  <si>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</si>
  <si>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</si>
  <si>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</si>
  <si>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</si>
  <si>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</si>
  <si>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</si>
  <si>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</si>
  <si>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</si>
  <si>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</si>
  <si>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</si>
  <si>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</si>
  <si>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</si>
  <si>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</si>
  <si>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</si>
  <si>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</si>
  <si>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</si>
  <si>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</si>
  <si>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</si>
  <si>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</si>
  <si>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</si>
  <si>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</si>
  <si>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</si>
  <si>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</si>
  <si>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</si>
  <si>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</si>
  <si>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</si>
  <si>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</si>
  <si>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</si>
  <si>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</si>
  <si>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</si>
  <si>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</si>
  <si>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</si>
  <si>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</si>
  <si>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</si>
  <si>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</si>
  <si>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</si>
  <si>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</si>
  <si>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</si>
  <si>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</si>
  <si>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</si>
  <si>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</si>
  <si>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</si>
  <si>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</si>
  <si>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</si>
  <si>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</si>
  <si>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</si>
  <si>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</si>
  <si>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</si>
  <si>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</si>
  <si>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</si>
  <si>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</si>
  <si>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</si>
  <si>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</si>
  <si>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</si>
  <si>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</si>
  <si>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</si>
  <si>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</si>
  <si>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</si>
  <si>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</si>
  <si>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</si>
  <si>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</si>
  <si>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</si>
  <si>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</si>
  <si>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</si>
  <si>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</si>
  <si>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</si>
  <si>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</si>
  <si>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</si>
  <si>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</si>
  <si>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</si>
  <si>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</si>
  <si>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</si>
  <si>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</si>
  <si>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</si>
  <si>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</si>
  <si>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</si>
  <si>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</si>
  <si>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</si>
  <si>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</si>
  <si>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</si>
  <si>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</si>
  <si>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</si>
  <si>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</si>
  <si>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</si>
  <si>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</si>
  <si>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</si>
  <si>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</si>
  <si>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</si>
  <si>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</si>
  <si>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</si>
  <si>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</si>
  <si>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2019-06-18@2.xlsm</t>
  </si>
  <si>
    <t>2019-06-18@1.xlsm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</si>
</sst>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全体!$K$2:$K$695</c:f>
              <c:numCache>
                <c:formatCode>General</c:formatCode>
                <c:ptCount val="6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</c:numCache>
            </c:numRef>
          </c:xVal>
          <c:yVal>
            <c:numRef>
              <c:f>全体!$L$2:$L$695</c:f>
              <c:numCache>
                <c:formatCode>\+0.0;\-0.0;\±0</c:formatCode>
                <c:ptCount val="694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9D-4184-BE77-9E118DE6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-17.316017316017316</c:v>
                </c:pt>
                <c:pt idx="1">
                  <c:v>-4.4247787610619467</c:v>
                </c:pt>
                <c:pt idx="2">
                  <c:v>9.4786729857819907</c:v>
                </c:pt>
                <c:pt idx="3">
                  <c:v>6.9084628670120898</c:v>
                </c:pt>
                <c:pt idx="4">
                  <c:v>-11.560693641618498</c:v>
                </c:pt>
                <c:pt idx="5">
                  <c:v>23.965141612200437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F8-4710-A8CE-A28E763AA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だいち!$K$2:$K$158</c:f>
              <c:numCache>
                <c:formatCode>General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だいち!$L$2:$L$158</c:f>
              <c:numCache>
                <c:formatCode>\+0.0;\-0.0;\±0</c:formatCode>
                <c:ptCount val="157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B2-48DD-99FA-A48BE0756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2201.9230769230771</c:v>
                </c:pt>
                <c:pt idx="1">
                  <c:v>2006.578947368421</c:v>
                </c:pt>
                <c:pt idx="2">
                  <c:v>964.58333333333337</c:v>
                </c:pt>
                <c:pt idx="3">
                  <c:v>2236.8421052631579</c:v>
                </c:pt>
                <c:pt idx="4">
                  <c:v>171.7948717948718</c:v>
                </c:pt>
                <c:pt idx="5">
                  <c:v>948.51485148514848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A-4B57-A04B-3A47E7869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りくと!$K$2:$K$129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りくと!$L$2:$L$129</c:f>
              <c:numCache>
                <c:formatCode>\+0.0;\-0.0;\±0</c:formatCode>
                <c:ptCount val="128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E4-4145-97F2-68188FB05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135.43307086614172</c:v>
                </c:pt>
                <c:pt idx="1">
                  <c:v>-2125.2032520325201</c:v>
                </c:pt>
                <c:pt idx="2">
                  <c:v>375.63025210084032</c:v>
                </c:pt>
                <c:pt idx="3">
                  <c:v>77.35849056603773</c:v>
                </c:pt>
                <c:pt idx="4">
                  <c:v>791.48936170212767</c:v>
                </c:pt>
                <c:pt idx="5">
                  <c:v>330.23255813953489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FA-4F91-9773-27F119D74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ただ!$L$2:$L$95</c:f>
              <c:numCache>
                <c:formatCode>\+0.0;\-0.0;\±0</c:formatCode>
                <c:ptCount val="94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EC-451E-9E41-677F6D840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-3084.9462365591398</c:v>
                </c:pt>
                <c:pt idx="1">
                  <c:v>-1496.7032967032967</c:v>
                </c:pt>
                <c:pt idx="2">
                  <c:v>-307.05882352941177</c:v>
                </c:pt>
                <c:pt idx="3">
                  <c:v>-4301.333333333333</c:v>
                </c:pt>
                <c:pt idx="4">
                  <c:v>-467.64705882352939</c:v>
                </c:pt>
                <c:pt idx="5">
                  <c:v>-1285.2459016393443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7-49C1-8E58-14B6F8C16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れんたろう!$L$2:$L$93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61-4878-925F-1C35A1D12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-665.93406593406598</c:v>
                </c:pt>
                <c:pt idx="1">
                  <c:v>202.24719101123594</c:v>
                </c:pt>
                <c:pt idx="2">
                  <c:v>1231.7073170731708</c:v>
                </c:pt>
                <c:pt idx="3">
                  <c:v>838.02816901408448</c:v>
                </c:pt>
                <c:pt idx="4">
                  <c:v>-1033.3333333333333</c:v>
                </c:pt>
                <c:pt idx="5">
                  <c:v>-192.98245614035088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2-48F0-BDDE-F75672C66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たかの!$L$2:$L$82</c:f>
              <c:numCache>
                <c:formatCode>\+0.0;\-0.0;\±0</c:formatCode>
                <c:ptCount val="81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62-403F-8530-EC9B6F247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527.5</c:v>
                </c:pt>
                <c:pt idx="1">
                  <c:v>-1382.5</c:v>
                </c:pt>
                <c:pt idx="2">
                  <c:v>-1616.9014084507041</c:v>
                </c:pt>
                <c:pt idx="3">
                  <c:v>964.70588235294122</c:v>
                </c:pt>
                <c:pt idx="4">
                  <c:v>861.90476190476193</c:v>
                </c:pt>
                <c:pt idx="5">
                  <c:v>-427.27272727272725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35-4C80-80E6-F4A34996C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ぱぱ!$L$2:$L$49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69-4AD2-B87C-D7D580C4B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-2731.9148936170213</c:v>
                </c:pt>
                <c:pt idx="1">
                  <c:v>2059.5744680851062</c:v>
                </c:pt>
                <c:pt idx="2">
                  <c:v>-1050</c:v>
                </c:pt>
                <c:pt idx="3">
                  <c:v>-3870.731707317073</c:v>
                </c:pt>
                <c:pt idx="4">
                  <c:v>-902.70270270270271</c:v>
                </c:pt>
                <c:pt idx="5">
                  <c:v>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F5-47BC-B708-52F38F084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まっつん!$L$2:$L$68</c:f>
              <c:numCache>
                <c:formatCode>\+0.0;\-0.0;\±0</c:formatCode>
                <c:ptCount val="67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79-4DFF-A543-CF34F2FF2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1303.030303030303</c:v>
                </c:pt>
                <c:pt idx="1">
                  <c:v>988.88888888888891</c:v>
                </c:pt>
                <c:pt idx="2">
                  <c:v>-669.64285714285711</c:v>
                </c:pt>
                <c:pt idx="3">
                  <c:v>2285.1851851851852</c:v>
                </c:pt>
                <c:pt idx="4">
                  <c:v>-1072.9166666666667</c:v>
                </c:pt>
                <c:pt idx="5">
                  <c:v>137.5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1-4EE5-9B4F-4BA98D9E4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36-4E00-945E-A4295EB1E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58-4BCF-8D78-8462139A7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いっしー!$L$2:$L$20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64-456D-8A2C-B4C092E43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-1016.6666666666666</c:v>
                </c:pt>
                <c:pt idx="1">
                  <c:v>-1044.4444444444443</c:v>
                </c:pt>
                <c:pt idx="2">
                  <c:v>152.94117647058823</c:v>
                </c:pt>
                <c:pt idx="3">
                  <c:v>-4237.5</c:v>
                </c:pt>
                <c:pt idx="4">
                  <c:v>-243.75</c:v>
                </c:pt>
                <c:pt idx="5">
                  <c:v>-3330.7692307692309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78-4064-9EAE-85A29CC68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ほたに!$L$2:$L$11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F4-4511-95A3-50896A52F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-1966.6666666666667</c:v>
                </c:pt>
                <c:pt idx="1">
                  <c:v>4077.7777777777778</c:v>
                </c:pt>
                <c:pt idx="2">
                  <c:v>-3733.3333333333335</c:v>
                </c:pt>
                <c:pt idx="3">
                  <c:v>-1666.6666666666667</c:v>
                </c:pt>
                <c:pt idx="4">
                  <c:v>1957.1428571428571</c:v>
                </c:pt>
                <c:pt idx="5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91-4A7E-867C-54E3D3F64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B-440D-9FD4-7FBB8A86F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FE-4768-AED9-AC56CBA02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86-40BE-B2A0-962C64700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A-403C-BAB8-D4DACEF26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やがさき2!$B$1:$B$2</c:f>
              <c:strCache>
                <c:ptCount val="2"/>
                <c:pt idx="0">
                  <c:v>やがさき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やがさき2!$C$1:$C$2</c:f>
              <c:strCache>
                <c:ptCount val="2"/>
                <c:pt idx="0">
                  <c:v>やがさき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やがさき2!$C$3:$C$5</c:f>
              <c:numCache>
                <c:formatCode>\+0.0;\-0.0;\±0</c:formatCode>
                <c:ptCount val="3"/>
                <c:pt idx="1">
                  <c:v>-37</c:v>
                </c:pt>
                <c:pt idx="2">
                  <c:v>-12.35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0506283860320352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やがさき2!$D$1:$D$2</c:f>
              <c:strCache>
                <c:ptCount val="2"/>
                <c:pt idx="0">
                  <c:v>やがさき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やがさき2!$D$3:$D$5</c:f>
              <c:numCache>
                <c:formatCode>0.00\ "位"</c:formatCode>
                <c:ptCount val="3"/>
                <c:pt idx="1">
                  <c:v>3</c:v>
                </c:pt>
                <c:pt idx="2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やがさき2!$E$1:$E$2</c:f>
              <c:strCache>
                <c:ptCount val="2"/>
                <c:pt idx="0">
                  <c:v>やがさき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やがさき2!$E$3:$E$5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やがさき2!$F$1:$F$2</c:f>
              <c:strCache>
                <c:ptCount val="2"/>
                <c:pt idx="0">
                  <c:v>やがさき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やがさき2!$F$3:$F$5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やがさき2!$G$1:$G$2</c:f>
              <c:strCache>
                <c:ptCount val="2"/>
                <c:pt idx="0">
                  <c:v>やがさき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やがさき2!$G$3:$G$5</c:f>
              <c:numCache>
                <c:formatCode>0.0%</c:formatCode>
                <c:ptCount val="3"/>
                <c:pt idx="1">
                  <c:v>0.375</c:v>
                </c:pt>
                <c:pt idx="2">
                  <c:v>0.29411764705882354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647242455775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やがさき2!$H$1:$H$2</c:f>
              <c:strCache>
                <c:ptCount val="2"/>
                <c:pt idx="0">
                  <c:v>やがさき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やがさき2!$H$3:$H$5</c:f>
              <c:numCache>
                <c:formatCode>0.0%</c:formatCode>
                <c:ptCount val="3"/>
                <c:pt idx="1">
                  <c:v>0.375</c:v>
                </c:pt>
                <c:pt idx="2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88067984738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やがさき2!$I$1:$I$2</c:f>
              <c:strCache>
                <c:ptCount val="2"/>
                <c:pt idx="0">
                  <c:v>やがさき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やがさき2!$I$3:$I$5</c:f>
              <c:numCache>
                <c:formatCode>0</c:formatCode>
                <c:ptCount val="3"/>
                <c:pt idx="1">
                  <c:v>8666.6666666666661</c:v>
                </c:pt>
                <c:pt idx="2">
                  <c:v>10600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99.41927990708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やがさき2!$J$1:$J$2</c:f>
              <c:strCache>
                <c:ptCount val="2"/>
                <c:pt idx="0">
                  <c:v>やがさき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やがさき2!$J$3:$J$5</c:f>
              <c:numCache>
                <c:formatCode>0</c:formatCode>
                <c:ptCount val="3"/>
                <c:pt idx="1">
                  <c:v>-14000</c:v>
                </c:pt>
                <c:pt idx="2">
                  <c:v>-12425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02.99586776859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やがさき2!$K$1:$K$2</c:f>
              <c:strCache>
                <c:ptCount val="2"/>
                <c:pt idx="0">
                  <c:v>やがさき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1212121212121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やがさき2!$L$1:$L$2</c:f>
              <c:strCache>
                <c:ptCount val="2"/>
                <c:pt idx="0">
                  <c:v>やがさき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やがさき2!$L$3:$L$5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1212121212121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やがさき2!$M$1:$M$2</c:f>
              <c:strCache>
                <c:ptCount val="2"/>
                <c:pt idx="0">
                  <c:v>やがさき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やがさき2!$M$3:$M$5</c:f>
              <c:numCache>
                <c:formatCode>0.0%</c:formatCode>
                <c:ptCount val="3"/>
                <c:pt idx="1">
                  <c:v>0.375</c:v>
                </c:pt>
                <c:pt idx="2">
                  <c:v>0.17647058823529413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8529309746791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やがさき2!$N$1:$N$2</c:f>
              <c:strCache>
                <c:ptCount val="2"/>
                <c:pt idx="0">
                  <c:v>やがさき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やがさき2!$N$3:$N$5</c:f>
              <c:numCache>
                <c:formatCode>0.0%</c:formatCode>
                <c:ptCount val="3"/>
                <c:pt idx="1">
                  <c:v>0.125</c:v>
                </c:pt>
                <c:pt idx="2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7422823447797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やがさき2!$O$1:$O$2</c:f>
              <c:strCache>
                <c:ptCount val="2"/>
                <c:pt idx="0">
                  <c:v>やがさき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やがさき2!$O$3:$O$5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8455790784557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やがさき2!$P$1:$P$2</c:f>
              <c:strCache>
                <c:ptCount val="2"/>
                <c:pt idx="0">
                  <c:v>やがさき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やがさき2!$P$3:$P$5</c:f>
              <c:numCache>
                <c:formatCode>0.0%</c:formatCode>
                <c:ptCount val="3"/>
                <c:pt idx="1">
                  <c:v>0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2140468227424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やがさき2!$Q$1:$Q$2</c:f>
              <c:strCache>
                <c:ptCount val="2"/>
                <c:pt idx="0">
                  <c:v>やがさき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やがさき2!$Q$3:$Q$5</c:f>
              <c:numCache>
                <c:formatCode>0.0%</c:formatCode>
                <c:ptCount val="3"/>
                <c:pt idx="1">
                  <c:v>0.66666666666666663</c:v>
                </c:pt>
                <c:pt idx="2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1475029036004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01BA7EB-357C-4132-B1F3-EB83D049F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DD8E018-8C77-41E6-B5D0-0C4F6E8779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7C51281-7C23-4CDC-9E67-ED3EEF28CE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661F44B-5909-49BB-9560-0C6B04DE5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3225FCE-AD02-4438-8E92-0A49168058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893C20B-A54E-4FA0-BAD7-744BA5918B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B46FC2C-9661-4DDC-91A5-39C1FE00BF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FE7B3C1-78B3-4F29-8E05-BFBEFF864F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7E2B899-789E-4295-8C95-92D225C4B2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F29686F-DF8A-4FBA-981B-F4820F50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E250DCE-4446-44BA-870A-48A54D35F1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7EF20A5-B384-4F1A-AF7A-BB4B8E8427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DA67D56-4F9A-449E-9983-D8FCDE85C4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699E3FA-533F-4791-9526-B5C3932070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237146C-AAC9-4A06-AE55-E3AC86BE0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DEE63F-E063-425E-804A-496A05B140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C75B94F-9876-4671-B2D4-C2B3D197F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59CF8DD-1B85-479A-9C8D-F0EDF23440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43841F4-D95A-4BFA-912A-1ED533D1A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68D6A72-0309-4AB5-8F95-3DF7A0E107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A63F795-01D6-4729-ADA2-8360267D96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5A0DB11-FE51-4A35-A49A-A0F74CC9E7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EE90BF1-5B97-4BA7-B6C3-6C322E068D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B15C9DB-6EC1-4352-88AC-72D50B1102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535791-82D2-42B5-AE35-49C2331B67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8AA3AFF-7BCB-4EF5-A315-0CA3748CD8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70"/>
  <sheetViews>
    <sheetView topLeftCell="A56"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43560.923958333333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43560.923958333333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43560.923958333333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43560.923958333333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43561.114791666667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43563.354502314818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43566.043888888889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43566.04109953704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43566.04109953704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43566.04109953704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43567.62232638889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43568.073333333334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43569.506898148145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43570.561921296299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43571.057638888888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43573.881539351853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43574.073113425926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43575.795416666668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43576.362476851849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43577.448182870372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43579.070729166669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43583.728298611109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43583.728298611109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43583.728298611109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43583.728298611109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43591.888472222221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43601.059386574074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43601.059386574074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43601.059386574074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43601.059386574074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43601.059386574074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43601.059386574074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43601.059386574074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43601.059386574074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43601.059386574074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43601.059386574074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43601.059942129628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43602.105740740742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43605.86346064815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43605.863437499997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43608.863275462965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43606.051539351851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43607.022546296299</v>
      </c>
      <c r="C44" s="30" t="s">
        <v>130</v>
      </c>
    </row>
    <row r="45" spans="1:11" x14ac:dyDescent="0.4">
      <c r="A45" s="30" t="s">
        <v>230</v>
      </c>
      <c r="B45" s="31">
        <v>43607.022546296299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43608.770729166667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43608.770729166667</v>
      </c>
      <c r="C47" s="30" t="s">
        <v>130</v>
      </c>
    </row>
    <row r="48" spans="1:11" x14ac:dyDescent="0.4">
      <c r="A48" s="30" t="s">
        <v>235</v>
      </c>
      <c r="B48" s="31">
        <v>43609.351793981485</v>
      </c>
      <c r="C48" s="30" t="s">
        <v>130</v>
      </c>
    </row>
    <row r="49" spans="1:7" x14ac:dyDescent="0.4">
      <c r="A49" s="30" t="s">
        <v>234</v>
      </c>
      <c r="B49" s="31">
        <v>43609.351793981485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43609.958668981482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43611.059386574074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43613.341041666667</v>
      </c>
      <c r="C52" s="30" t="s">
        <v>130</v>
      </c>
    </row>
    <row r="53" spans="1:7" x14ac:dyDescent="0.4">
      <c r="A53" s="30" t="s">
        <v>239</v>
      </c>
      <c r="B53" s="31">
        <v>43614.346238425926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43618.928472222222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43618.928472222222</v>
      </c>
      <c r="C55" s="30" t="s">
        <v>130</v>
      </c>
    </row>
    <row r="56" spans="1:7" x14ac:dyDescent="0.4">
      <c r="A56" s="30" t="s">
        <v>242</v>
      </c>
      <c r="B56" s="31">
        <v>43618.953240740739</v>
      </c>
      <c r="C56" s="30" t="s">
        <v>130</v>
      </c>
    </row>
    <row r="57" spans="1:7" x14ac:dyDescent="0.4">
      <c r="A57" s="30" t="s">
        <v>243</v>
      </c>
      <c r="B57" s="31">
        <v>43620.343842592592</v>
      </c>
      <c r="C57" s="30" t="s">
        <v>130</v>
      </c>
    </row>
    <row r="58" spans="1:7" x14ac:dyDescent="0.4">
      <c r="A58" s="30" t="s">
        <v>244</v>
      </c>
      <c r="B58" s="31">
        <v>43627.737962962965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43627.737962962965</v>
      </c>
      <c r="C59" s="30" t="s">
        <v>130</v>
      </c>
    </row>
    <row r="60" spans="1:7" x14ac:dyDescent="0.4">
      <c r="A60" s="30" t="s">
        <v>250</v>
      </c>
      <c r="B60" s="31">
        <v>43627.737962962965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43627.737962962965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43627.737962962965</v>
      </c>
      <c r="C62" s="30" t="s">
        <v>130</v>
      </c>
    </row>
    <row r="63" spans="1:7" x14ac:dyDescent="0.4">
      <c r="A63" s="30" t="s">
        <v>253</v>
      </c>
      <c r="B63" s="31">
        <v>43628.012662037036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43635.039722222224</v>
      </c>
      <c r="C64" s="30" t="s">
        <v>130</v>
      </c>
      <c r="D64" s="30" t="s">
        <v>131</v>
      </c>
    </row>
    <row r="65" spans="1:5" x14ac:dyDescent="0.4">
      <c r="A65" s="30" t="s">
        <v>255</v>
      </c>
      <c r="B65" s="31">
        <v>43635.038402777776</v>
      </c>
      <c r="C65" s="30" t="s">
        <v>130</v>
      </c>
      <c r="D65" s="30" t="s">
        <v>131</v>
      </c>
      <c r="E65" s="30" t="s">
        <v>169</v>
      </c>
    </row>
    <row r="66" spans="1:5" x14ac:dyDescent="0.4">
      <c r="A66" s="30" t="s">
        <v>256</v>
      </c>
      <c r="B66" s="31">
        <v>43635.038402777776</v>
      </c>
      <c r="C66" s="30" t="s">
        <v>130</v>
      </c>
      <c r="D66" s="30" t="s">
        <v>131</v>
      </c>
    </row>
    <row r="67" spans="1:5" x14ac:dyDescent="0.4">
      <c r="A67" s="30" t="s">
        <v>257</v>
      </c>
      <c r="B67" s="31">
        <v>43635.038402777776</v>
      </c>
      <c r="C67" s="30" t="s">
        <v>130</v>
      </c>
      <c r="D67" s="30" t="s">
        <v>131</v>
      </c>
      <c r="E67" s="30" t="s">
        <v>169</v>
      </c>
    </row>
    <row r="68" spans="1:5" x14ac:dyDescent="0.4">
      <c r="A68" s="30" t="s">
        <v>258</v>
      </c>
      <c r="B68" s="31">
        <v>43635.038402777776</v>
      </c>
      <c r="C68" s="30" t="s">
        <v>130</v>
      </c>
      <c r="D68" s="30" t="s">
        <v>131</v>
      </c>
    </row>
    <row r="69" spans="1:5" x14ac:dyDescent="0.4">
      <c r="A69" s="30" t="s">
        <v>260</v>
      </c>
      <c r="B69" s="31">
        <v>43635.041076388887</v>
      </c>
      <c r="C69" s="30" t="s">
        <v>130</v>
      </c>
    </row>
    <row r="70" spans="1:5" x14ac:dyDescent="0.4">
      <c r="A70" s="30" t="s">
        <v>259</v>
      </c>
      <c r="B70" s="31">
        <v>43635.038402777776</v>
      </c>
      <c r="C70" s="30" t="s">
        <v>130</v>
      </c>
      <c r="D70" s="30" t="s">
        <v>131</v>
      </c>
      <c r="E70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693</v>
      </c>
    </row>
    <row r="2" spans="1:2" x14ac:dyDescent="0.4">
      <c r="A2" t="s">
        <v>127</v>
      </c>
      <c r="B2">
        <v>156</v>
      </c>
    </row>
    <row r="3" spans="1:2" x14ac:dyDescent="0.4">
      <c r="A3" t="s">
        <v>128</v>
      </c>
      <c r="B3">
        <v>127</v>
      </c>
    </row>
    <row r="4" spans="1:2" x14ac:dyDescent="0.4">
      <c r="A4" t="s">
        <v>129</v>
      </c>
      <c r="B4">
        <v>93</v>
      </c>
    </row>
    <row r="5" spans="1:2" x14ac:dyDescent="0.4">
      <c r="A5" t="s">
        <v>171</v>
      </c>
      <c r="B5">
        <v>91</v>
      </c>
    </row>
    <row r="6" spans="1:2" x14ac:dyDescent="0.4">
      <c r="A6" t="s">
        <v>172</v>
      </c>
      <c r="B6">
        <v>80</v>
      </c>
    </row>
    <row r="7" spans="1:2" x14ac:dyDescent="0.4">
      <c r="A7" t="s">
        <v>173</v>
      </c>
      <c r="B7">
        <v>47</v>
      </c>
    </row>
    <row r="8" spans="1:2" x14ac:dyDescent="0.4">
      <c r="A8" t="s">
        <v>177</v>
      </c>
      <c r="B8">
        <v>66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18</v>
      </c>
    </row>
    <row r="11" spans="1:2" x14ac:dyDescent="0.4">
      <c r="A11" t="s">
        <v>200</v>
      </c>
      <c r="B11">
        <v>9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162</v>
      </c>
      <c r="K1" s="159"/>
      <c r="L1" s="158" t="s">
        <v>149</v>
      </c>
      <c r="M1" s="159"/>
      <c r="N1" s="158" t="s">
        <v>150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141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151</v>
      </c>
      <c r="AE1" s="159"/>
      <c r="AF1" s="158" t="s">
        <v>144</v>
      </c>
      <c r="AG1" s="159"/>
      <c r="AH1" s="158" t="s">
        <v>153</v>
      </c>
      <c r="AI1" s="159"/>
    </row>
    <row r="2" spans="1:35" x14ac:dyDescent="0.4">
      <c r="A2" s="72" t="s">
        <v>161</v>
      </c>
      <c r="B2" s="160"/>
      <c r="C2" s="161"/>
      <c r="D2" s="160"/>
      <c r="E2" s="161"/>
      <c r="F2" s="162">
        <v>0.97710989519400648</v>
      </c>
      <c r="G2" s="163"/>
      <c r="H2" s="162">
        <v>0.75189177470675495</v>
      </c>
      <c r="I2" s="163"/>
      <c r="J2" s="162">
        <v>0.90853521328897968</v>
      </c>
      <c r="K2" s="163"/>
      <c r="L2" s="162">
        <v>0.75077126782288972</v>
      </c>
      <c r="M2" s="163"/>
      <c r="N2" s="162">
        <v>0.59480758543738188</v>
      </c>
      <c r="O2" s="163"/>
      <c r="P2" s="162">
        <v>0.33758016539025476</v>
      </c>
      <c r="Q2" s="163"/>
      <c r="R2" s="162">
        <v>0.56234370383644727</v>
      </c>
      <c r="S2" s="163"/>
      <c r="T2" s="162">
        <v>0.56223537661767753</v>
      </c>
      <c r="U2" s="163"/>
      <c r="V2" s="162">
        <v>0.79656957343141588</v>
      </c>
      <c r="W2" s="163"/>
      <c r="X2" s="162">
        <v>0.51056078291206008</v>
      </c>
      <c r="Y2" s="163"/>
      <c r="Z2" s="162">
        <v>7.8076070231691636E-2</v>
      </c>
      <c r="AA2" s="163"/>
      <c r="AB2" s="162">
        <v>0.31427703514022381</v>
      </c>
      <c r="AC2" s="163"/>
      <c r="AD2" s="162">
        <v>0.74210401839210327</v>
      </c>
      <c r="AE2" s="163"/>
      <c r="AF2" s="162">
        <v>-0.4325716147351058</v>
      </c>
      <c r="AG2" s="163"/>
      <c r="AH2" s="162">
        <v>0.72094563272476275</v>
      </c>
      <c r="AI2" s="163"/>
    </row>
    <row r="3" spans="1:35" x14ac:dyDescent="0.4">
      <c r="A3" s="74">
        <v>1</v>
      </c>
      <c r="B3" s="75" t="s">
        <v>127</v>
      </c>
      <c r="C3" s="76">
        <v>2009.8000000000006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127</v>
      </c>
      <c r="M3" s="80">
        <v>0.34536891679748821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127</v>
      </c>
      <c r="W3" s="79">
        <v>0.17948717948717949</v>
      </c>
      <c r="X3" s="77" t="s">
        <v>127</v>
      </c>
      <c r="Y3" s="80">
        <v>0.31240188383045525</v>
      </c>
      <c r="Z3" s="77" t="s">
        <v>200</v>
      </c>
      <c r="AA3" s="80">
        <v>0.29411764705882354</v>
      </c>
      <c r="AB3" s="77" t="s">
        <v>223</v>
      </c>
      <c r="AC3" s="80">
        <v>1</v>
      </c>
      <c r="AD3" s="77" t="s">
        <v>127</v>
      </c>
      <c r="AE3" s="80">
        <v>0.51624548736462095</v>
      </c>
      <c r="AF3" s="77" t="s">
        <v>223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307</v>
      </c>
      <c r="D4" s="85" t="s">
        <v>222</v>
      </c>
      <c r="E4" s="97">
        <v>13.3</v>
      </c>
      <c r="F4" s="85" t="s">
        <v>127</v>
      </c>
      <c r="G4" s="86">
        <v>1.7435897435897436</v>
      </c>
      <c r="H4" s="85" t="s">
        <v>127</v>
      </c>
      <c r="I4" s="87">
        <v>0.48717948717948717</v>
      </c>
      <c r="J4" s="85" t="s">
        <v>222</v>
      </c>
      <c r="K4" s="87">
        <v>0</v>
      </c>
      <c r="L4" s="85" t="s">
        <v>172</v>
      </c>
      <c r="M4" s="88">
        <v>0.34264705882352942</v>
      </c>
      <c r="N4" s="85" t="s">
        <v>183</v>
      </c>
      <c r="O4" s="88">
        <v>0.10526315789473684</v>
      </c>
      <c r="P4" s="85" t="s">
        <v>223</v>
      </c>
      <c r="Q4" s="89">
        <v>10600</v>
      </c>
      <c r="R4" s="85" t="s">
        <v>200</v>
      </c>
      <c r="S4" s="89">
        <v>-6378.5714285714284</v>
      </c>
      <c r="T4" s="85" t="s">
        <v>200</v>
      </c>
      <c r="U4" s="87">
        <v>0</v>
      </c>
      <c r="V4" s="85" t="s">
        <v>177</v>
      </c>
      <c r="W4" s="87">
        <v>0.13636363636363635</v>
      </c>
      <c r="X4" s="85" t="s">
        <v>128</v>
      </c>
      <c r="Y4" s="88">
        <v>0.30133079847908745</v>
      </c>
      <c r="Z4" s="85" t="s">
        <v>172</v>
      </c>
      <c r="AA4" s="88">
        <v>0.29264705882352943</v>
      </c>
      <c r="AB4" s="85" t="s">
        <v>200</v>
      </c>
      <c r="AC4" s="88">
        <v>0.7</v>
      </c>
      <c r="AD4" s="85" t="s">
        <v>183</v>
      </c>
      <c r="AE4" s="88">
        <v>0.5</v>
      </c>
      <c r="AF4" s="85" t="s">
        <v>200</v>
      </c>
      <c r="AG4" s="88">
        <v>0.58620689655172409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183</v>
      </c>
      <c r="C5" s="84">
        <v>61</v>
      </c>
      <c r="D5" s="85" t="s">
        <v>127</v>
      </c>
      <c r="E5" s="97">
        <v>12.883333333333338</v>
      </c>
      <c r="F5" s="85" t="s">
        <v>177</v>
      </c>
      <c r="G5" s="86">
        <v>1.8787878787878789</v>
      </c>
      <c r="H5" s="85" t="s">
        <v>177</v>
      </c>
      <c r="I5" s="87">
        <v>0.39393939393939392</v>
      </c>
      <c r="J5" s="85" t="s">
        <v>200</v>
      </c>
      <c r="K5" s="87">
        <v>0.1111111111111111</v>
      </c>
      <c r="L5" s="85" t="s">
        <v>200</v>
      </c>
      <c r="M5" s="88">
        <v>0.3411764705882353</v>
      </c>
      <c r="N5" s="85" t="s">
        <v>172</v>
      </c>
      <c r="O5" s="88">
        <v>0.13970588235294118</v>
      </c>
      <c r="P5" s="85" t="s">
        <v>171</v>
      </c>
      <c r="Q5" s="89">
        <v>9848.3720930232557</v>
      </c>
      <c r="R5" s="85" t="s">
        <v>177</v>
      </c>
      <c r="S5" s="89">
        <v>-7460.4938271604942</v>
      </c>
      <c r="T5" s="85" t="s">
        <v>222</v>
      </c>
      <c r="U5" s="87">
        <v>0</v>
      </c>
      <c r="V5" s="85" t="s">
        <v>171</v>
      </c>
      <c r="W5" s="87">
        <v>0.13186813186813187</v>
      </c>
      <c r="X5" s="85" t="s">
        <v>177</v>
      </c>
      <c r="Y5" s="88">
        <v>0.29158878504672897</v>
      </c>
      <c r="Z5" s="85" t="s">
        <v>173</v>
      </c>
      <c r="AA5" s="88">
        <v>0.25185185185185183</v>
      </c>
      <c r="AB5" s="85" t="s">
        <v>177</v>
      </c>
      <c r="AC5" s="88">
        <v>0.64102564102564108</v>
      </c>
      <c r="AD5" s="85" t="s">
        <v>200</v>
      </c>
      <c r="AE5" s="88">
        <v>0.48</v>
      </c>
      <c r="AF5" s="85" t="s">
        <v>173</v>
      </c>
      <c r="AG5" s="88">
        <v>0.51282051282051277</v>
      </c>
      <c r="AH5" s="85" t="s">
        <v>128</v>
      </c>
      <c r="AI5" s="92">
        <v>107600</v>
      </c>
    </row>
    <row r="6" spans="1:35" x14ac:dyDescent="0.4">
      <c r="A6" s="82">
        <v>4</v>
      </c>
      <c r="B6" s="83" t="s">
        <v>200</v>
      </c>
      <c r="C6" s="84">
        <v>18.099999999999994</v>
      </c>
      <c r="D6" s="85" t="s">
        <v>177</v>
      </c>
      <c r="E6" s="97">
        <v>4.6515151515151514</v>
      </c>
      <c r="F6" s="85" t="s">
        <v>200</v>
      </c>
      <c r="G6" s="86">
        <v>1.8888888888888888</v>
      </c>
      <c r="H6" s="85" t="s">
        <v>184</v>
      </c>
      <c r="I6" s="87">
        <v>0.3888888888888889</v>
      </c>
      <c r="J6" s="85" t="s">
        <v>127</v>
      </c>
      <c r="K6" s="87">
        <v>0.23076923076923078</v>
      </c>
      <c r="L6" s="85" t="s">
        <v>177</v>
      </c>
      <c r="M6" s="88">
        <v>0.29906542056074764</v>
      </c>
      <c r="N6" s="85" t="s">
        <v>177</v>
      </c>
      <c r="O6" s="88">
        <v>0.15140186915887852</v>
      </c>
      <c r="P6" s="85" t="s">
        <v>128</v>
      </c>
      <c r="Q6" s="89">
        <v>9320.279720279721</v>
      </c>
      <c r="R6" s="85" t="s">
        <v>128</v>
      </c>
      <c r="S6" s="89">
        <v>-7768.7150837988829</v>
      </c>
      <c r="T6" s="85" t="s">
        <v>223</v>
      </c>
      <c r="U6" s="87">
        <v>0</v>
      </c>
      <c r="V6" s="85" t="s">
        <v>145</v>
      </c>
      <c r="W6" s="87">
        <v>0.12121212121212122</v>
      </c>
      <c r="X6" s="85" t="s">
        <v>171</v>
      </c>
      <c r="Y6" s="88">
        <v>0.29040735873850199</v>
      </c>
      <c r="Z6" s="85" t="s">
        <v>223</v>
      </c>
      <c r="AA6" s="88">
        <v>0.23529411764705882</v>
      </c>
      <c r="AB6" s="85" t="s">
        <v>184</v>
      </c>
      <c r="AC6" s="88">
        <v>0.63888888888888884</v>
      </c>
      <c r="AD6" s="85" t="s">
        <v>172</v>
      </c>
      <c r="AE6" s="88">
        <v>0.42713567839195982</v>
      </c>
      <c r="AF6" s="85" t="s">
        <v>222</v>
      </c>
      <c r="AG6" s="88">
        <v>0.5</v>
      </c>
      <c r="AH6" s="85" t="s">
        <v>177</v>
      </c>
      <c r="AI6" s="92">
        <v>103000</v>
      </c>
    </row>
    <row r="7" spans="1:35" x14ac:dyDescent="0.4">
      <c r="A7" s="82">
        <v>5</v>
      </c>
      <c r="B7" s="83" t="s">
        <v>222</v>
      </c>
      <c r="C7" s="84">
        <v>13.3</v>
      </c>
      <c r="D7" s="85" t="s">
        <v>200</v>
      </c>
      <c r="E7" s="97">
        <v>2.0111111111111106</v>
      </c>
      <c r="F7" s="85" t="s">
        <v>145</v>
      </c>
      <c r="G7" s="86">
        <v>2</v>
      </c>
      <c r="H7" s="85" t="s">
        <v>145</v>
      </c>
      <c r="I7" s="87">
        <v>0.33333333333333331</v>
      </c>
      <c r="J7" s="85" t="s">
        <v>177</v>
      </c>
      <c r="K7" s="87">
        <v>0.27272727272727271</v>
      </c>
      <c r="L7" s="85" t="s">
        <v>145</v>
      </c>
      <c r="M7" s="88">
        <v>0.29864724245577523</v>
      </c>
      <c r="N7" s="85" t="s">
        <v>127</v>
      </c>
      <c r="O7" s="88">
        <v>0.15620094191522763</v>
      </c>
      <c r="P7" s="85" t="s">
        <v>127</v>
      </c>
      <c r="Q7" s="89">
        <v>9240.681818181818</v>
      </c>
      <c r="R7" s="85" t="s">
        <v>127</v>
      </c>
      <c r="S7" s="89">
        <v>-8216.0804020100495</v>
      </c>
      <c r="T7" s="85" t="s">
        <v>172</v>
      </c>
      <c r="U7" s="87">
        <v>0.05</v>
      </c>
      <c r="V7" s="85" t="s">
        <v>172</v>
      </c>
      <c r="W7" s="87">
        <v>0.1125</v>
      </c>
      <c r="X7" s="85" t="s">
        <v>145</v>
      </c>
      <c r="Y7" s="88">
        <v>0.27852930974679152</v>
      </c>
      <c r="Z7" s="85" t="s">
        <v>184</v>
      </c>
      <c r="AA7" s="88">
        <v>0.22448979591836735</v>
      </c>
      <c r="AB7" s="85" t="s">
        <v>183</v>
      </c>
      <c r="AC7" s="88">
        <v>0.6</v>
      </c>
      <c r="AD7" s="85" t="s">
        <v>184</v>
      </c>
      <c r="AE7" s="88">
        <v>0.42424242424242425</v>
      </c>
      <c r="AF7" s="85" t="s">
        <v>184</v>
      </c>
      <c r="AG7" s="88">
        <v>0.47619047619047616</v>
      </c>
      <c r="AH7" s="85" t="s">
        <v>172</v>
      </c>
      <c r="AI7" s="92">
        <v>97500</v>
      </c>
    </row>
    <row r="8" spans="1:35" x14ac:dyDescent="0.4">
      <c r="A8" s="82">
        <v>6</v>
      </c>
      <c r="B8" s="83" t="s">
        <v>145</v>
      </c>
      <c r="C8" s="84">
        <v>-1.4210854715202004E-14</v>
      </c>
      <c r="D8" s="85" t="s">
        <v>145</v>
      </c>
      <c r="E8" s="97">
        <v>-2.0506283860320352E-17</v>
      </c>
      <c r="F8" s="85" t="s">
        <v>222</v>
      </c>
      <c r="G8" s="86">
        <v>2</v>
      </c>
      <c r="H8" s="85" t="s">
        <v>171</v>
      </c>
      <c r="I8" s="87">
        <v>0.2967032967032967</v>
      </c>
      <c r="J8" s="85" t="s">
        <v>172</v>
      </c>
      <c r="K8" s="87">
        <v>0.3125</v>
      </c>
      <c r="L8" s="85" t="s">
        <v>223</v>
      </c>
      <c r="M8" s="88">
        <v>0.29411764705882354</v>
      </c>
      <c r="N8" s="85" t="s">
        <v>200</v>
      </c>
      <c r="O8" s="88">
        <v>0.16470588235294117</v>
      </c>
      <c r="P8" s="85" t="s">
        <v>177</v>
      </c>
      <c r="Q8" s="89">
        <v>8905.625</v>
      </c>
      <c r="R8" s="85" t="s">
        <v>173</v>
      </c>
      <c r="S8" s="89">
        <v>-8290.9090909090901</v>
      </c>
      <c r="T8" s="85" t="s">
        <v>127</v>
      </c>
      <c r="U8" s="87">
        <v>9.6153846153846159E-2</v>
      </c>
      <c r="V8" s="85" t="s">
        <v>129</v>
      </c>
      <c r="W8" s="87">
        <v>0.10752688172043011</v>
      </c>
      <c r="X8" s="85" t="s">
        <v>129</v>
      </c>
      <c r="Y8" s="88">
        <v>0.2763496143958869</v>
      </c>
      <c r="Z8" s="85" t="s">
        <v>127</v>
      </c>
      <c r="AA8" s="88">
        <v>0.21742543171114601</v>
      </c>
      <c r="AB8" s="85" t="s">
        <v>128</v>
      </c>
      <c r="AC8" s="88">
        <v>0.58675078864353314</v>
      </c>
      <c r="AD8" s="85" t="s">
        <v>171</v>
      </c>
      <c r="AE8" s="88">
        <v>0.40972222222222221</v>
      </c>
      <c r="AF8" s="85" t="s">
        <v>177</v>
      </c>
      <c r="AG8" s="88">
        <v>0.44374999999999998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171</v>
      </c>
      <c r="C9" s="84">
        <v>-9.1999999999999726</v>
      </c>
      <c r="D9" s="85" t="s">
        <v>171</v>
      </c>
      <c r="E9" s="97">
        <v>-0.1010989010989008</v>
      </c>
      <c r="F9" s="85" t="s">
        <v>171</v>
      </c>
      <c r="G9" s="86">
        <v>2.0439560439560438</v>
      </c>
      <c r="H9" s="85" t="s">
        <v>173</v>
      </c>
      <c r="I9" s="87">
        <v>0.27659574468085107</v>
      </c>
      <c r="J9" s="85" t="s">
        <v>145</v>
      </c>
      <c r="K9" s="87">
        <v>0.33333333333333331</v>
      </c>
      <c r="L9" s="85" t="s">
        <v>173</v>
      </c>
      <c r="M9" s="88">
        <v>0.28888888888888886</v>
      </c>
      <c r="N9" s="85" t="s">
        <v>145</v>
      </c>
      <c r="O9" s="88">
        <v>0.1678806798473812</v>
      </c>
      <c r="P9" s="85" t="s">
        <v>129</v>
      </c>
      <c r="Q9" s="89">
        <v>8755.3191489361707</v>
      </c>
      <c r="R9" s="85" t="s">
        <v>145</v>
      </c>
      <c r="S9" s="89">
        <v>-8302.9958677685954</v>
      </c>
      <c r="T9" s="85" t="s">
        <v>171</v>
      </c>
      <c r="U9" s="87">
        <v>9.8901098901098897E-2</v>
      </c>
      <c r="V9" s="85" t="s">
        <v>128</v>
      </c>
      <c r="W9" s="87">
        <v>9.4488188976377951E-2</v>
      </c>
      <c r="X9" s="85" t="s">
        <v>183</v>
      </c>
      <c r="Y9" s="88">
        <v>0.26315789473684209</v>
      </c>
      <c r="Z9" s="85" t="s">
        <v>183</v>
      </c>
      <c r="AA9" s="88">
        <v>0.21052631578947367</v>
      </c>
      <c r="AB9" s="85" t="s">
        <v>173</v>
      </c>
      <c r="AC9" s="88">
        <v>0.5842696629213483</v>
      </c>
      <c r="AD9" s="85" t="s">
        <v>145</v>
      </c>
      <c r="AE9" s="88">
        <v>0.39214046822742477</v>
      </c>
      <c r="AF9" s="85" t="s">
        <v>145</v>
      </c>
      <c r="AG9" s="88">
        <v>0.43147502903600465</v>
      </c>
      <c r="AH9" s="85" t="s">
        <v>184</v>
      </c>
      <c r="AI9" s="92">
        <v>92000</v>
      </c>
    </row>
    <row r="10" spans="1:35" x14ac:dyDescent="0.4">
      <c r="A10" s="82">
        <v>8</v>
      </c>
      <c r="B10" s="83" t="s">
        <v>223</v>
      </c>
      <c r="C10" s="84">
        <v>-24.7</v>
      </c>
      <c r="D10" s="85" t="s">
        <v>172</v>
      </c>
      <c r="E10" s="97">
        <v>-1.4337500000000003</v>
      </c>
      <c r="F10" s="85" t="s">
        <v>172</v>
      </c>
      <c r="G10" s="86">
        <v>2.0499999999999998</v>
      </c>
      <c r="H10" s="85" t="s">
        <v>128</v>
      </c>
      <c r="I10" s="87">
        <v>0.26771653543307089</v>
      </c>
      <c r="J10" s="85" t="s">
        <v>171</v>
      </c>
      <c r="K10" s="87">
        <v>0.34065934065934067</v>
      </c>
      <c r="L10" s="85" t="s">
        <v>184</v>
      </c>
      <c r="M10" s="88">
        <v>0.2857142857142857</v>
      </c>
      <c r="N10" s="85" t="s">
        <v>128</v>
      </c>
      <c r="O10" s="88">
        <v>0.17015209125475286</v>
      </c>
      <c r="P10" s="85" t="s">
        <v>145</v>
      </c>
      <c r="Q10" s="89">
        <v>8699.4192799070843</v>
      </c>
      <c r="R10" s="85" t="s">
        <v>184</v>
      </c>
      <c r="S10" s="89">
        <v>-8376.4705882352937</v>
      </c>
      <c r="T10" s="85" t="s">
        <v>145</v>
      </c>
      <c r="U10" s="87">
        <v>0.12121212121212122</v>
      </c>
      <c r="V10" s="85" t="s">
        <v>173</v>
      </c>
      <c r="W10" s="87">
        <v>6.3829787234042548E-2</v>
      </c>
      <c r="X10" s="85" t="s">
        <v>184</v>
      </c>
      <c r="Y10" s="88">
        <v>0.24489795918367346</v>
      </c>
      <c r="Z10" s="85" t="s">
        <v>145</v>
      </c>
      <c r="AA10" s="88">
        <v>0.20742282344779744</v>
      </c>
      <c r="AB10" s="85" t="s">
        <v>145</v>
      </c>
      <c r="AC10" s="88">
        <v>0.57845579078455789</v>
      </c>
      <c r="AD10" s="85" t="s">
        <v>177</v>
      </c>
      <c r="AE10" s="88">
        <v>0.35051546391752575</v>
      </c>
      <c r="AF10" s="85" t="s">
        <v>129</v>
      </c>
      <c r="AG10" s="88">
        <v>0.42553191489361702</v>
      </c>
      <c r="AH10" s="85" t="s">
        <v>171</v>
      </c>
      <c r="AI10" s="92">
        <v>91700</v>
      </c>
    </row>
    <row r="11" spans="1:35" x14ac:dyDescent="0.4">
      <c r="A11" s="82">
        <v>9</v>
      </c>
      <c r="B11" s="83" t="s">
        <v>172</v>
      </c>
      <c r="C11" s="84">
        <v>-114.70000000000002</v>
      </c>
      <c r="D11" s="85" t="s">
        <v>128</v>
      </c>
      <c r="E11" s="97">
        <v>-2.7204724409448819</v>
      </c>
      <c r="F11" s="85" t="s">
        <v>128</v>
      </c>
      <c r="G11" s="86">
        <v>2.0866141732283463</v>
      </c>
      <c r="H11" s="85" t="s">
        <v>172</v>
      </c>
      <c r="I11" s="87">
        <v>0.26250000000000001</v>
      </c>
      <c r="J11" s="85" t="s">
        <v>128</v>
      </c>
      <c r="K11" s="87">
        <v>0.3543307086614173</v>
      </c>
      <c r="L11" s="85" t="s">
        <v>171</v>
      </c>
      <c r="M11" s="88">
        <v>0.28252299605781866</v>
      </c>
      <c r="N11" s="85" t="s">
        <v>171</v>
      </c>
      <c r="O11" s="88">
        <v>0.1773981603153745</v>
      </c>
      <c r="P11" s="85" t="s">
        <v>184</v>
      </c>
      <c r="Q11" s="89">
        <v>8642.8571428571431</v>
      </c>
      <c r="R11" s="85" t="s">
        <v>172</v>
      </c>
      <c r="S11" s="89">
        <v>-8538.9473684210534</v>
      </c>
      <c r="T11" s="85" t="s">
        <v>128</v>
      </c>
      <c r="U11" s="87">
        <v>0.13385826771653545</v>
      </c>
      <c r="V11" s="85" t="s">
        <v>184</v>
      </c>
      <c r="W11" s="87">
        <v>5.5555555555555552E-2</v>
      </c>
      <c r="X11" s="85" t="s">
        <v>200</v>
      </c>
      <c r="Y11" s="88">
        <v>0.23529411764705882</v>
      </c>
      <c r="Z11" s="85" t="s">
        <v>171</v>
      </c>
      <c r="AA11" s="88">
        <v>0.18922470433639949</v>
      </c>
      <c r="AB11" s="85" t="s">
        <v>127</v>
      </c>
      <c r="AC11" s="88">
        <v>0.57788944723618085</v>
      </c>
      <c r="AD11" s="85" t="s">
        <v>173</v>
      </c>
      <c r="AE11" s="88">
        <v>0.3235294117647059</v>
      </c>
      <c r="AF11" s="85" t="s">
        <v>128</v>
      </c>
      <c r="AG11" s="88">
        <v>0.42307692307692307</v>
      </c>
      <c r="AH11" s="85" t="s">
        <v>173</v>
      </c>
      <c r="AI11" s="92">
        <v>85900</v>
      </c>
    </row>
    <row r="12" spans="1:35" x14ac:dyDescent="0.4">
      <c r="A12" s="82">
        <v>10</v>
      </c>
      <c r="B12" s="83" t="s">
        <v>184</v>
      </c>
      <c r="C12" s="84">
        <v>-126.5</v>
      </c>
      <c r="D12" s="85" t="s">
        <v>184</v>
      </c>
      <c r="E12" s="97">
        <v>-7.0277777777777777</v>
      </c>
      <c r="F12" s="85" t="s">
        <v>184</v>
      </c>
      <c r="G12" s="86">
        <v>2.1111111111111112</v>
      </c>
      <c r="H12" s="85" t="s">
        <v>129</v>
      </c>
      <c r="I12" s="87">
        <v>0.24731182795698925</v>
      </c>
      <c r="J12" s="85" t="s">
        <v>173</v>
      </c>
      <c r="K12" s="87">
        <v>0.40425531914893614</v>
      </c>
      <c r="L12" s="85" t="s">
        <v>128</v>
      </c>
      <c r="M12" s="88">
        <v>0.27186311787072243</v>
      </c>
      <c r="N12" s="85" t="s">
        <v>129</v>
      </c>
      <c r="O12" s="88">
        <v>0.18894601542416453</v>
      </c>
      <c r="P12" s="85" t="s">
        <v>183</v>
      </c>
      <c r="Q12" s="89">
        <v>7860</v>
      </c>
      <c r="R12" s="85" t="s">
        <v>171</v>
      </c>
      <c r="S12" s="89">
        <v>-8548.1481481481478</v>
      </c>
      <c r="T12" s="85" t="s">
        <v>173</v>
      </c>
      <c r="U12" s="87">
        <v>0.14893617021276595</v>
      </c>
      <c r="V12" s="85" t="s">
        <v>183</v>
      </c>
      <c r="W12" s="87">
        <v>0</v>
      </c>
      <c r="X12" s="85" t="s">
        <v>222</v>
      </c>
      <c r="Y12" s="88">
        <v>0.23076923076923078</v>
      </c>
      <c r="Z12" s="85" t="s">
        <v>177</v>
      </c>
      <c r="AA12" s="88">
        <v>0.18130841121495328</v>
      </c>
      <c r="AB12" s="85" t="s">
        <v>171</v>
      </c>
      <c r="AC12" s="88">
        <v>0.56561085972850678</v>
      </c>
      <c r="AD12" s="85" t="s">
        <v>128</v>
      </c>
      <c r="AE12" s="88">
        <v>0.29569892473118281</v>
      </c>
      <c r="AF12" s="85" t="s">
        <v>172</v>
      </c>
      <c r="AG12" s="88">
        <v>0.41630901287553645</v>
      </c>
      <c r="AH12" s="85" t="s">
        <v>200</v>
      </c>
      <c r="AI12" s="92">
        <v>54800</v>
      </c>
    </row>
    <row r="13" spans="1:35" x14ac:dyDescent="0.4">
      <c r="A13" s="82">
        <v>11</v>
      </c>
      <c r="B13" s="83" t="s">
        <v>128</v>
      </c>
      <c r="C13" s="84">
        <v>-345.5</v>
      </c>
      <c r="D13" s="85" t="s">
        <v>173</v>
      </c>
      <c r="E13" s="97">
        <v>-9.3553191489361698</v>
      </c>
      <c r="F13" s="85" t="s">
        <v>173</v>
      </c>
      <c r="G13" s="86">
        <v>2.1276595744680851</v>
      </c>
      <c r="H13" s="85" t="s">
        <v>200</v>
      </c>
      <c r="I13" s="87">
        <v>0.22222222222222221</v>
      </c>
      <c r="J13" s="85" t="s">
        <v>129</v>
      </c>
      <c r="K13" s="87">
        <v>0.4946236559139785</v>
      </c>
      <c r="L13" s="85" t="s">
        <v>183</v>
      </c>
      <c r="M13" s="88">
        <v>0.26315789473684209</v>
      </c>
      <c r="N13" s="85" t="s">
        <v>173</v>
      </c>
      <c r="O13" s="88">
        <v>0.19012345679012346</v>
      </c>
      <c r="P13" s="85" t="s">
        <v>173</v>
      </c>
      <c r="Q13" s="89">
        <v>6904.2735042735039</v>
      </c>
      <c r="R13" s="85" t="s">
        <v>129</v>
      </c>
      <c r="S13" s="89">
        <v>-9236.0544217687075</v>
      </c>
      <c r="T13" s="85" t="s">
        <v>177</v>
      </c>
      <c r="U13" s="87">
        <v>0.15151515151515152</v>
      </c>
      <c r="V13" s="85" t="s">
        <v>200</v>
      </c>
      <c r="W13" s="87">
        <v>0</v>
      </c>
      <c r="X13" s="85" t="s">
        <v>173</v>
      </c>
      <c r="Y13" s="88">
        <v>0.21975308641975308</v>
      </c>
      <c r="Z13" s="85" t="s">
        <v>128</v>
      </c>
      <c r="AA13" s="88">
        <v>0.17680608365019013</v>
      </c>
      <c r="AB13" s="85" t="s">
        <v>172</v>
      </c>
      <c r="AC13" s="88">
        <v>0.55944055944055948</v>
      </c>
      <c r="AD13" s="85" t="s">
        <v>129</v>
      </c>
      <c r="AE13" s="88">
        <v>0.25</v>
      </c>
      <c r="AF13" s="85" t="s">
        <v>127</v>
      </c>
      <c r="AG13" s="88">
        <v>0.41590909090909089</v>
      </c>
      <c r="AH13" s="85" t="s">
        <v>183</v>
      </c>
      <c r="AI13" s="92">
        <v>53500</v>
      </c>
    </row>
    <row r="14" spans="1:35" x14ac:dyDescent="0.4">
      <c r="A14" s="82">
        <v>12</v>
      </c>
      <c r="B14" s="83" t="s">
        <v>173</v>
      </c>
      <c r="C14" s="84">
        <v>-439.7</v>
      </c>
      <c r="D14" s="85" t="s">
        <v>223</v>
      </c>
      <c r="E14" s="97">
        <v>-12.35</v>
      </c>
      <c r="F14" s="85" t="s">
        <v>129</v>
      </c>
      <c r="G14" s="86">
        <v>2.247311827956989</v>
      </c>
      <c r="H14" s="85" t="s">
        <v>222</v>
      </c>
      <c r="I14" s="87">
        <v>0</v>
      </c>
      <c r="J14" s="85" t="s">
        <v>184</v>
      </c>
      <c r="K14" s="87">
        <v>0.5</v>
      </c>
      <c r="L14" s="85" t="s">
        <v>129</v>
      </c>
      <c r="M14" s="88">
        <v>0.2416452442159383</v>
      </c>
      <c r="N14" s="85" t="s">
        <v>184</v>
      </c>
      <c r="O14" s="88">
        <v>0.23129251700680273</v>
      </c>
      <c r="P14" s="85" t="s">
        <v>200</v>
      </c>
      <c r="Q14" s="89">
        <v>6765.5172413793107</v>
      </c>
      <c r="R14" s="85" t="s">
        <v>222</v>
      </c>
      <c r="S14" s="89">
        <v>-12000</v>
      </c>
      <c r="T14" s="85" t="s">
        <v>129</v>
      </c>
      <c r="U14" s="87">
        <v>0.19354838709677419</v>
      </c>
      <c r="V14" s="85" t="s">
        <v>222</v>
      </c>
      <c r="W14" s="87">
        <v>0</v>
      </c>
      <c r="X14" s="85" t="s">
        <v>172</v>
      </c>
      <c r="Y14" s="88">
        <v>0.21029411764705883</v>
      </c>
      <c r="Z14" s="85" t="s">
        <v>129</v>
      </c>
      <c r="AA14" s="88">
        <v>0.15938303341902313</v>
      </c>
      <c r="AB14" s="85" t="s">
        <v>129</v>
      </c>
      <c r="AC14" s="88">
        <v>0.52093023255813953</v>
      </c>
      <c r="AD14" s="85" t="s">
        <v>223</v>
      </c>
      <c r="AE14" s="88">
        <v>0.25</v>
      </c>
      <c r="AF14" s="85" t="s">
        <v>171</v>
      </c>
      <c r="AG14" s="88">
        <v>0.413953488372093</v>
      </c>
      <c r="AH14" s="85" t="s">
        <v>222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-1348.9</v>
      </c>
      <c r="D15" s="85" t="s">
        <v>129</v>
      </c>
      <c r="E15" s="97">
        <v>-14.504301075268819</v>
      </c>
      <c r="F15" s="85" t="s">
        <v>223</v>
      </c>
      <c r="G15" s="86">
        <v>2.5</v>
      </c>
      <c r="H15" s="85" t="s">
        <v>223</v>
      </c>
      <c r="I15" s="87">
        <v>0</v>
      </c>
      <c r="J15" s="85" t="s">
        <v>223</v>
      </c>
      <c r="K15" s="87">
        <v>0.5</v>
      </c>
      <c r="L15" s="85" t="s">
        <v>222</v>
      </c>
      <c r="M15" s="88">
        <v>0.15384615384615385</v>
      </c>
      <c r="N15" s="85" t="s">
        <v>223</v>
      </c>
      <c r="O15" s="88">
        <v>0.23529411764705882</v>
      </c>
      <c r="P15" s="85" t="s">
        <v>172</v>
      </c>
      <c r="Q15" s="89">
        <v>6754.0772532188839</v>
      </c>
      <c r="R15" s="85" t="s">
        <v>223</v>
      </c>
      <c r="S15" s="89">
        <v>-12425</v>
      </c>
      <c r="T15" s="85" t="s">
        <v>184</v>
      </c>
      <c r="U15" s="87">
        <v>0.22222222222222221</v>
      </c>
      <c r="V15" s="85" t="s">
        <v>223</v>
      </c>
      <c r="W15" s="87">
        <v>0</v>
      </c>
      <c r="X15" s="85" t="s">
        <v>223</v>
      </c>
      <c r="Y15" s="88">
        <v>0.17647058823529413</v>
      </c>
      <c r="Z15" s="85" t="s">
        <v>222</v>
      </c>
      <c r="AA15" s="88">
        <v>7.6923076923076927E-2</v>
      </c>
      <c r="AB15" s="85" t="s">
        <v>222</v>
      </c>
      <c r="AC15" s="88">
        <v>0.33333333333333331</v>
      </c>
      <c r="AD15" s="85" t="s">
        <v>222</v>
      </c>
      <c r="AE15" s="88">
        <v>0</v>
      </c>
      <c r="AF15" s="85" t="s">
        <v>183</v>
      </c>
      <c r="AG15" s="88">
        <v>0.2</v>
      </c>
      <c r="AH15" s="85" t="s">
        <v>223</v>
      </c>
      <c r="AI15" s="92">
        <v>47300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9F765-F4EA-4F3E-A3E1-1F37A5C02AB1}">
  <sheetPr codeName="Sheet4"/>
  <dimension ref="A1:Q69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693</v>
      </c>
      <c r="C2" s="151"/>
      <c r="E2" s="62" t="s">
        <v>67</v>
      </c>
      <c r="F2" s="59" t="s">
        <v>23</v>
      </c>
      <c r="G2" s="46">
        <v>1258</v>
      </c>
      <c r="H2" s="132">
        <f>IF(B$17=0,0,G2/B$17)</f>
        <v>0.7305458768873403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-17.316017316017316</v>
      </c>
      <c r="P2" s="118">
        <v>693</v>
      </c>
      <c r="Q2" s="102">
        <v>-12000</v>
      </c>
    </row>
    <row r="3" spans="1:17" x14ac:dyDescent="0.4">
      <c r="A3" s="55" t="s">
        <v>8</v>
      </c>
      <c r="B3" s="152">
        <v>5766</v>
      </c>
      <c r="C3" s="153"/>
      <c r="E3" s="63" t="s">
        <v>65</v>
      </c>
      <c r="F3" s="60" t="s">
        <v>21</v>
      </c>
      <c r="G3" s="47">
        <v>887</v>
      </c>
      <c r="H3" s="133">
        <f>IF(B$17=0,0,G3/B$17)</f>
        <v>0.51509872241579557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-4.4247787610619467</v>
      </c>
      <c r="P3" s="119">
        <v>678</v>
      </c>
      <c r="Q3" s="103">
        <v>-3000</v>
      </c>
    </row>
    <row r="4" spans="1:17" x14ac:dyDescent="0.4">
      <c r="A4" s="55" t="s">
        <v>6</v>
      </c>
      <c r="B4" s="154">
        <v>-1.4210854715202004E-14</v>
      </c>
      <c r="C4" s="155"/>
      <c r="E4" s="63" t="s">
        <v>73</v>
      </c>
      <c r="F4" s="60" t="s">
        <v>28</v>
      </c>
      <c r="G4" s="47">
        <v>872</v>
      </c>
      <c r="H4" s="133">
        <f>IF(B$17=0,0,G4/B$17)</f>
        <v>0.50638792102206731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9.4786729857819907</v>
      </c>
      <c r="P4" s="119">
        <v>633</v>
      </c>
      <c r="Q4" s="103">
        <v>6000</v>
      </c>
    </row>
    <row r="5" spans="1:17" x14ac:dyDescent="0.4">
      <c r="A5" s="55" t="s">
        <v>7</v>
      </c>
      <c r="B5" s="156">
        <f>IF(B$2=0,0,B$4/B$2)</f>
        <v>-2.0506283860320352E-17</v>
      </c>
      <c r="C5" s="157"/>
      <c r="E5" s="63" t="s">
        <v>245</v>
      </c>
      <c r="F5" s="60" t="s">
        <v>246</v>
      </c>
      <c r="G5" s="47">
        <v>703</v>
      </c>
      <c r="H5" s="133">
        <f>IF(B$17=0,0,G5/B$17)</f>
        <v>0.40824622531939603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6.9084628670120898</v>
      </c>
      <c r="P5" s="119">
        <v>579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537</v>
      </c>
      <c r="H6" s="133">
        <f>IF(B$17=0,0,G6/B$17)</f>
        <v>0.31184668989547037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-11.560693641618498</v>
      </c>
      <c r="P6" s="119">
        <v>519</v>
      </c>
      <c r="Q6" s="103">
        <v>-6000</v>
      </c>
    </row>
    <row r="7" spans="1:17" x14ac:dyDescent="0.4">
      <c r="A7" s="55" t="s">
        <v>2</v>
      </c>
      <c r="B7" s="47">
        <v>231</v>
      </c>
      <c r="C7" s="39">
        <f>IF(B$2=0,0,B7/B$2)</f>
        <v>0.33333333333333331</v>
      </c>
      <c r="E7" s="63" t="s">
        <v>68</v>
      </c>
      <c r="F7" s="60" t="s">
        <v>24</v>
      </c>
      <c r="G7" s="47">
        <v>528</v>
      </c>
      <c r="H7" s="133">
        <f>IF(B$17=0,0,G7/B$17)</f>
        <v>0.30662020905923343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23.965141612200437</v>
      </c>
      <c r="P7" s="120">
        <v>459</v>
      </c>
      <c r="Q7" s="104">
        <v>11000</v>
      </c>
    </row>
    <row r="8" spans="1:17" x14ac:dyDescent="0.4">
      <c r="A8" s="55" t="s">
        <v>3</v>
      </c>
      <c r="B8" s="47">
        <v>231</v>
      </c>
      <c r="C8" s="39">
        <f>IF(B$2=0,0,B8/B$2)</f>
        <v>0.33333333333333331</v>
      </c>
      <c r="E8" s="63" t="s">
        <v>70</v>
      </c>
      <c r="F8" s="60" t="s">
        <v>25</v>
      </c>
      <c r="G8" s="47">
        <v>303</v>
      </c>
      <c r="H8" s="133">
        <f>IF(B$17=0,0,G8/B$17)</f>
        <v>0.1759581881533101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231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217</v>
      </c>
      <c r="H9" s="133">
        <f>IF(B$17=0,0,G9/B$17)</f>
        <v>0.12601626016260162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84</v>
      </c>
      <c r="C10" s="40">
        <f>IF(B$2=0,0,B10/B$2)</f>
        <v>0.12121212121212122</v>
      </c>
      <c r="E10" s="63" t="s">
        <v>66</v>
      </c>
      <c r="F10" s="60" t="s">
        <v>22</v>
      </c>
      <c r="G10" s="47">
        <v>204</v>
      </c>
      <c r="H10" s="133">
        <f>IF(B$17=0,0,G10/B$17)</f>
        <v>0.11846689895470383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-2.0614718614718601</v>
      </c>
      <c r="P10" s="118">
        <v>231</v>
      </c>
      <c r="Q10" s="106">
        <v>-476.19999999999965</v>
      </c>
    </row>
    <row r="11" spans="1:17" x14ac:dyDescent="0.4">
      <c r="A11" s="56" t="s">
        <v>140</v>
      </c>
      <c r="B11" s="48">
        <v>84</v>
      </c>
      <c r="C11" s="40">
        <f>IF(B$2=0,0,B11/B$2)</f>
        <v>0.12121212121212122</v>
      </c>
      <c r="E11" s="63" t="s">
        <v>71</v>
      </c>
      <c r="F11" s="60" t="s">
        <v>26</v>
      </c>
      <c r="G11" s="47">
        <v>174</v>
      </c>
      <c r="H11" s="133">
        <f>IF(B$17=0,0,G11/B$17)</f>
        <v>0.10104529616724739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1.206926406926407</v>
      </c>
      <c r="P11" s="119">
        <v>231</v>
      </c>
      <c r="Q11" s="107">
        <v>278.8</v>
      </c>
    </row>
    <row r="12" spans="1:17" x14ac:dyDescent="0.4">
      <c r="A12" s="57" t="s">
        <v>160</v>
      </c>
      <c r="B12" s="49">
        <v>58</v>
      </c>
      <c r="C12" s="42">
        <f>IF(B$2=0,0,B12/B$2)</f>
        <v>8.3694083694083696E-2</v>
      </c>
      <c r="E12" s="63" t="s">
        <v>72</v>
      </c>
      <c r="F12" s="60" t="s">
        <v>27</v>
      </c>
      <c r="G12" s="47">
        <v>120</v>
      </c>
      <c r="H12" s="133">
        <f>IF(B$17=0,0,G12/B$17)</f>
        <v>6.968641114982578E-2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0.85454545454545427</v>
      </c>
      <c r="P12" s="120">
        <v>231</v>
      </c>
      <c r="Q12" s="108">
        <v>197.39999999999995</v>
      </c>
    </row>
    <row r="13" spans="1:17" x14ac:dyDescent="0.4">
      <c r="A13" s="58" t="s">
        <v>122</v>
      </c>
      <c r="B13" s="50">
        <v>1606</v>
      </c>
      <c r="C13" s="44">
        <f>IF(B$3=0,0,B13/B$3)</f>
        <v>0.27852930974679152</v>
      </c>
      <c r="E13" s="63" t="s">
        <v>87</v>
      </c>
      <c r="F13" s="60" t="s">
        <v>42</v>
      </c>
      <c r="G13" s="47">
        <v>99</v>
      </c>
      <c r="H13" s="133">
        <f>IF(B$17=0,0,G13/B$17)</f>
        <v>5.7491289198606271E-2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1196</v>
      </c>
      <c r="C14" s="39">
        <f>IF(B$3=0,0,B14/B$3)</f>
        <v>0.20742282344779744</v>
      </c>
      <c r="E14" s="63" t="s">
        <v>84</v>
      </c>
      <c r="F14" s="60" t="s">
        <v>39</v>
      </c>
      <c r="G14" s="47">
        <v>85</v>
      </c>
      <c r="H14" s="133">
        <f>IF(B$17=0,0,G14/B$17)</f>
        <v>4.9361207897793261E-2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929</v>
      </c>
      <c r="C15" s="37">
        <f>IF(B$13=0,0,B15/B$13)</f>
        <v>0.57845579078455789</v>
      </c>
      <c r="E15" s="63" t="s">
        <v>79</v>
      </c>
      <c r="F15" s="60" t="s">
        <v>34</v>
      </c>
      <c r="G15" s="47">
        <v>47</v>
      </c>
      <c r="H15" s="133">
        <f>IF(B$17=0,0,G15/B$17)</f>
        <v>2.72938443670151E-2</v>
      </c>
      <c r="I15" s="94">
        <v>6</v>
      </c>
      <c r="K15" s="38">
        <v>13</v>
      </c>
      <c r="L15" s="99">
        <v>-42.100000000000009</v>
      </c>
      <c r="N15" s="114" t="s">
        <v>129</v>
      </c>
      <c r="O15" s="124">
        <f>IF(P15=0,0,Q15/P15)</f>
        <v>21.756451612903252</v>
      </c>
      <c r="P15" s="118">
        <v>186</v>
      </c>
      <c r="Q15" s="106">
        <v>4046.7000000000048</v>
      </c>
    </row>
    <row r="16" spans="1:17" x14ac:dyDescent="0.4">
      <c r="A16" s="54" t="s">
        <v>125</v>
      </c>
      <c r="B16" s="46">
        <v>469</v>
      </c>
      <c r="C16" s="37">
        <f>IF(B$14=0,0,B16/B$14)</f>
        <v>0.39214046822742477</v>
      </c>
      <c r="E16" s="63" t="s">
        <v>82</v>
      </c>
      <c r="F16" s="60" t="s">
        <v>37</v>
      </c>
      <c r="G16" s="47">
        <v>46</v>
      </c>
      <c r="H16" s="133">
        <f>IF(B$17=0,0,G16/B$17)</f>
        <v>2.6713124274099883E-2</v>
      </c>
      <c r="I16" s="94">
        <v>6</v>
      </c>
      <c r="K16" s="38">
        <v>14</v>
      </c>
      <c r="L16" s="99">
        <v>18.79999999999999</v>
      </c>
      <c r="N16" s="115" t="s">
        <v>223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1722</v>
      </c>
      <c r="C17" s="37">
        <f>IF(B$3=0,0,B17/B$3)</f>
        <v>0.29864724245577523</v>
      </c>
      <c r="E17" s="63" t="s">
        <v>92</v>
      </c>
      <c r="F17" s="60" t="s">
        <v>47</v>
      </c>
      <c r="G17" s="47">
        <v>34</v>
      </c>
      <c r="H17" s="133">
        <f>IF(B$17=0,0,G17/B$17)</f>
        <v>1.9744483159117306E-2</v>
      </c>
      <c r="I17" s="94">
        <v>5</v>
      </c>
      <c r="K17" s="38">
        <v>15</v>
      </c>
      <c r="L17" s="99">
        <v>-1.0658141036401503E-14</v>
      </c>
      <c r="N17" s="115" t="s">
        <v>173</v>
      </c>
      <c r="O17" s="125">
        <f>IF(P17=0,0,Q17/P17)</f>
        <v>14.032978723404252</v>
      </c>
      <c r="P17" s="119">
        <v>94</v>
      </c>
      <c r="Q17" s="107">
        <v>1319.0999999999997</v>
      </c>
    </row>
    <row r="18" spans="1:17" x14ac:dyDescent="0.4">
      <c r="A18" s="55" t="s">
        <v>12</v>
      </c>
      <c r="B18" s="47">
        <v>743</v>
      </c>
      <c r="C18" s="39">
        <f>IF(B$17=0,0,B18/B$17)</f>
        <v>0.43147502903600465</v>
      </c>
      <c r="E18" s="63" t="s">
        <v>80</v>
      </c>
      <c r="F18" s="60" t="s">
        <v>35</v>
      </c>
      <c r="G18" s="47">
        <v>27</v>
      </c>
      <c r="H18" s="133">
        <f>IF(B$17=0,0,G18/B$17)</f>
        <v>1.5679442508710801E-2</v>
      </c>
      <c r="I18" s="94">
        <v>6</v>
      </c>
      <c r="K18" s="38">
        <v>16</v>
      </c>
      <c r="L18" s="99">
        <v>90.899999999999991</v>
      </c>
      <c r="N18" s="115" t="s">
        <v>184</v>
      </c>
      <c r="O18" s="125">
        <f>IF(P18=0,0,Q18/P18)</f>
        <v>10.541666666666666</v>
      </c>
      <c r="P18" s="119">
        <v>36</v>
      </c>
      <c r="Q18" s="107">
        <v>379.5</v>
      </c>
    </row>
    <row r="19" spans="1:17" x14ac:dyDescent="0.4">
      <c r="A19" s="55" t="s">
        <v>11</v>
      </c>
      <c r="B19" s="47">
        <v>979</v>
      </c>
      <c r="C19" s="39">
        <f>IF(B$17=0,0,B19/B$17)</f>
        <v>0.56852497096399535</v>
      </c>
      <c r="E19" s="63" t="s">
        <v>180</v>
      </c>
      <c r="F19" s="60" t="s">
        <v>181</v>
      </c>
      <c r="G19" s="47">
        <v>26</v>
      </c>
      <c r="H19" s="133">
        <f>IF(B$17=0,0,G19/B$17)</f>
        <v>1.5098722415795587E-2</v>
      </c>
      <c r="I19" s="94">
        <v>5</v>
      </c>
      <c r="K19" s="38">
        <v>17</v>
      </c>
      <c r="L19" s="99">
        <v>8.2999999999999972</v>
      </c>
      <c r="N19" s="115" t="s">
        <v>128</v>
      </c>
      <c r="O19" s="125">
        <f>IF(P19=0,0,Q19/P19)</f>
        <v>4.0807086614173231</v>
      </c>
      <c r="P19" s="119">
        <v>254</v>
      </c>
      <c r="Q19" s="107">
        <v>1036.5</v>
      </c>
    </row>
    <row r="20" spans="1:17" x14ac:dyDescent="0.4">
      <c r="A20" s="55" t="s">
        <v>13</v>
      </c>
      <c r="B20" s="47">
        <v>968</v>
      </c>
      <c r="C20" s="39">
        <f>IF(B$3=0,0,B20/B$3)</f>
        <v>0.1678806798473812</v>
      </c>
      <c r="E20" s="63" t="s">
        <v>74</v>
      </c>
      <c r="F20" s="60" t="s">
        <v>29</v>
      </c>
      <c r="G20" s="47">
        <v>11</v>
      </c>
      <c r="H20" s="133">
        <f>IF(B$17=0,0,G20/B$17)</f>
        <v>6.387921022067364E-3</v>
      </c>
      <c r="I20" s="94">
        <v>6</v>
      </c>
      <c r="K20" s="38">
        <v>18</v>
      </c>
      <c r="L20" s="99">
        <v>-3.5527136788005009E-15</v>
      </c>
      <c r="N20" s="115" t="s">
        <v>172</v>
      </c>
      <c r="O20" s="125">
        <f>IF(P20=0,0,Q20/P20)</f>
        <v>2.1506249999999993</v>
      </c>
      <c r="P20" s="119">
        <v>160</v>
      </c>
      <c r="Q20" s="107">
        <v>344.09999999999991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76</v>
      </c>
      <c r="F21" s="60" t="s">
        <v>31</v>
      </c>
      <c r="G21" s="47">
        <v>10</v>
      </c>
      <c r="H21" s="133">
        <f>IF(B$17=0,0,G21/B$17)</f>
        <v>5.8072009291521487E-3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0.15164835164835419</v>
      </c>
      <c r="P21" s="119">
        <v>182</v>
      </c>
      <c r="Q21" s="107">
        <v>27.600000000000463</v>
      </c>
    </row>
    <row r="22" spans="1:17" x14ac:dyDescent="0.4">
      <c r="A22" s="55" t="s">
        <v>192</v>
      </c>
      <c r="B22" s="47">
        <v>31</v>
      </c>
      <c r="C22" s="135">
        <v>6</v>
      </c>
      <c r="E22" s="63" t="s">
        <v>75</v>
      </c>
      <c r="F22" s="60" t="s">
        <v>30</v>
      </c>
      <c r="G22" s="47">
        <v>8</v>
      </c>
      <c r="H22" s="133">
        <f>IF(B$17=0,0,G22/B$17)</f>
        <v>4.6457607433217189E-3</v>
      </c>
      <c r="I22" s="94">
        <v>5</v>
      </c>
      <c r="K22" s="38">
        <v>20</v>
      </c>
      <c r="L22" s="99">
        <v>0.79999999999999716</v>
      </c>
      <c r="N22" s="115" t="s">
        <v>200</v>
      </c>
      <c r="O22" s="125">
        <f>IF(P22=0,0,Q22/P22)</f>
        <v>-3.0166666666666679</v>
      </c>
      <c r="P22" s="119">
        <v>18</v>
      </c>
      <c r="Q22" s="107">
        <v>-54.300000000000026</v>
      </c>
    </row>
    <row r="23" spans="1:17" x14ac:dyDescent="0.4">
      <c r="A23" s="55" t="s">
        <v>5</v>
      </c>
      <c r="B23" s="51">
        <f>IF(B$17=0,0,C23/B$17)</f>
        <v>8699.4192799070843</v>
      </c>
      <c r="C23" s="41">
        <v>14980400</v>
      </c>
      <c r="E23" s="63" t="s">
        <v>93</v>
      </c>
      <c r="F23" s="60" t="s">
        <v>48</v>
      </c>
      <c r="G23" s="47">
        <v>8</v>
      </c>
      <c r="H23" s="133">
        <f>IF(B$17=0,0,G23/B$17)</f>
        <v>4.6457607433217189E-3</v>
      </c>
      <c r="I23" s="94">
        <v>5</v>
      </c>
      <c r="K23" s="38">
        <v>21</v>
      </c>
      <c r="L23" s="99">
        <v>-2.886579864025407E-15</v>
      </c>
      <c r="N23" s="115" t="s">
        <v>177</v>
      </c>
      <c r="O23" s="125">
        <f>IF(P23=0,0,Q23/P23)</f>
        <v>-6.9772727272727275</v>
      </c>
      <c r="P23" s="119">
        <v>132</v>
      </c>
      <c r="Q23" s="107">
        <v>-921</v>
      </c>
    </row>
    <row r="24" spans="1:17" x14ac:dyDescent="0.4">
      <c r="A24" s="57" t="s">
        <v>14</v>
      </c>
      <c r="B24" s="52">
        <f>IF(B$20=0,0,C24/B$20)</f>
        <v>-8302.9958677685954</v>
      </c>
      <c r="C24" s="45">
        <v>-8037300</v>
      </c>
      <c r="E24" s="63" t="s">
        <v>86</v>
      </c>
      <c r="F24" s="60" t="s">
        <v>41</v>
      </c>
      <c r="G24" s="47">
        <v>7</v>
      </c>
      <c r="H24" s="133">
        <f>IF(B$17=0,0,G24/B$17)</f>
        <v>4.0650406504065045E-3</v>
      </c>
      <c r="I24" s="94">
        <v>3</v>
      </c>
      <c r="K24" s="38">
        <v>22</v>
      </c>
      <c r="L24" s="99">
        <v>23.699999999999996</v>
      </c>
      <c r="N24" s="115" t="s">
        <v>127</v>
      </c>
      <c r="O24" s="125">
        <f>IF(P24=0,0,Q24/P24)</f>
        <v>-19.324999999999974</v>
      </c>
      <c r="P24" s="119">
        <v>312</v>
      </c>
      <c r="Q24" s="107">
        <v>-6029.3999999999924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6</v>
      </c>
      <c r="H25" s="133">
        <f>IF(B$17=0,0,G25/B$17)</f>
        <v>3.4843205574912892E-3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6</v>
      </c>
      <c r="H26" s="133">
        <f>IF(B$17=0,0,G26/B$17)</f>
        <v>3.4843205574912892E-3</v>
      </c>
      <c r="I26" s="94">
        <v>5</v>
      </c>
      <c r="K26" s="38">
        <v>24</v>
      </c>
      <c r="L26" s="99">
        <v>-3.5527136788005009E-15</v>
      </c>
      <c r="N26" s="115" t="s">
        <v>183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2.428026361429067E-3</v>
      </c>
      <c r="E27" s="63" t="s">
        <v>91</v>
      </c>
      <c r="F27" s="60" t="s">
        <v>46</v>
      </c>
      <c r="G27" s="47">
        <v>5</v>
      </c>
      <c r="H27" s="133">
        <f>IF(B$17=0,0,G27/B$17)</f>
        <v>2.9036004645760743E-3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78</v>
      </c>
      <c r="F28" s="60" t="s">
        <v>33</v>
      </c>
      <c r="G28" s="47">
        <v>4</v>
      </c>
      <c r="H28" s="133">
        <f>IF(B$17=0,0,G28/B$17)</f>
        <v>2.3228803716608595E-3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4</v>
      </c>
      <c r="H29" s="133">
        <f>IF(B$17=0,0,G29/B$17)</f>
        <v>2.3228803716608595E-3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2</v>
      </c>
      <c r="H30" s="133">
        <f>IF(B$17=0,0,G30/B$17)</f>
        <v>1.1614401858304297E-3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1.1614401858304297E-3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5.8072009291521487E-4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5.8072009291521487E-4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77</v>
      </c>
      <c r="F34" s="60" t="s">
        <v>32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81</v>
      </c>
      <c r="F35" s="60" t="s">
        <v>36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83</v>
      </c>
      <c r="F36" s="60" t="s">
        <v>38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95</v>
      </c>
      <c r="F37" s="60" t="s">
        <v>50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97</v>
      </c>
      <c r="F38" s="60" t="s">
        <v>52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5F644-13BF-46FE-9F57-E6B2ECDEE509}">
  <sheetPr codeName="Sheet7"/>
  <dimension ref="A1:Q15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156</v>
      </c>
      <c r="C2" s="151"/>
      <c r="E2" s="62" t="s">
        <v>67</v>
      </c>
      <c r="F2" s="59" t="s">
        <v>23</v>
      </c>
      <c r="G2" s="46">
        <v>317</v>
      </c>
      <c r="H2" s="132">
        <f>IF(B$17=0,0,G2/B$17)</f>
        <v>0.72045454545454546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2201.9230769230771</v>
      </c>
      <c r="P2" s="118">
        <v>156</v>
      </c>
      <c r="Q2" s="102">
        <v>343500</v>
      </c>
    </row>
    <row r="3" spans="1:17" x14ac:dyDescent="0.4">
      <c r="A3" s="55" t="s">
        <v>8</v>
      </c>
      <c r="B3" s="152">
        <v>1274</v>
      </c>
      <c r="C3" s="153"/>
      <c r="E3" s="63" t="s">
        <v>73</v>
      </c>
      <c r="F3" s="60" t="s">
        <v>28</v>
      </c>
      <c r="G3" s="47">
        <v>249</v>
      </c>
      <c r="H3" s="133">
        <f>IF(B$17=0,0,G3/B$17)</f>
        <v>0.56590909090909092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2006.578947368421</v>
      </c>
      <c r="P3" s="119">
        <v>152</v>
      </c>
      <c r="Q3" s="103">
        <v>305000</v>
      </c>
    </row>
    <row r="4" spans="1:17" x14ac:dyDescent="0.4">
      <c r="A4" s="55" t="s">
        <v>6</v>
      </c>
      <c r="B4" s="154">
        <v>2009.8000000000006</v>
      </c>
      <c r="C4" s="155"/>
      <c r="E4" s="63" t="s">
        <v>65</v>
      </c>
      <c r="F4" s="60" t="s">
        <v>21</v>
      </c>
      <c r="G4" s="47">
        <v>211</v>
      </c>
      <c r="H4" s="133">
        <f>IF(B$17=0,0,G4/B$17)</f>
        <v>0.47954545454545455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964.58333333333337</v>
      </c>
      <c r="P4" s="119">
        <v>144</v>
      </c>
      <c r="Q4" s="103">
        <v>138900</v>
      </c>
    </row>
    <row r="5" spans="1:17" x14ac:dyDescent="0.4">
      <c r="A5" s="55" t="s">
        <v>7</v>
      </c>
      <c r="B5" s="156">
        <f>IF(B$2=0,0,B$4/B$2)</f>
        <v>12.883333333333338</v>
      </c>
      <c r="C5" s="157"/>
      <c r="E5" s="63" t="s">
        <v>245</v>
      </c>
      <c r="F5" s="60" t="s">
        <v>246</v>
      </c>
      <c r="G5" s="47">
        <v>184</v>
      </c>
      <c r="H5" s="133">
        <f>IF(B$17=0,0,G5/B$17)</f>
        <v>0.41818181818181815</v>
      </c>
      <c r="I5" s="94">
        <v>5</v>
      </c>
      <c r="K5" s="38">
        <v>3</v>
      </c>
      <c r="L5" s="99">
        <v>70.399999999999991</v>
      </c>
      <c r="N5" s="115" t="s">
        <v>135</v>
      </c>
      <c r="O5" s="122">
        <f t="shared" si="0"/>
        <v>2236.8421052631579</v>
      </c>
      <c r="P5" s="119">
        <v>133</v>
      </c>
      <c r="Q5" s="103">
        <v>297500</v>
      </c>
    </row>
    <row r="6" spans="1:17" x14ac:dyDescent="0.4">
      <c r="A6" s="55" t="s">
        <v>1</v>
      </c>
      <c r="B6" s="146">
        <f>IF(B$2=0,0,(B$7*1+B$8*2+B$9*3)/B$2)</f>
        <v>1.7435897435897436</v>
      </c>
      <c r="C6" s="147"/>
      <c r="E6" s="63" t="s">
        <v>68</v>
      </c>
      <c r="F6" s="60" t="s">
        <v>24</v>
      </c>
      <c r="G6" s="47">
        <v>125</v>
      </c>
      <c r="H6" s="133">
        <f>IF(B$17=0,0,G6/B$17)</f>
        <v>0.28409090909090912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171.7948717948718</v>
      </c>
      <c r="P6" s="119">
        <v>117</v>
      </c>
      <c r="Q6" s="103">
        <v>20100</v>
      </c>
    </row>
    <row r="7" spans="1:17" x14ac:dyDescent="0.4">
      <c r="A7" s="55" t="s">
        <v>2</v>
      </c>
      <c r="B7" s="47">
        <v>76</v>
      </c>
      <c r="C7" s="39">
        <f>IF(B$2=0,0,B7/B$2)</f>
        <v>0.48717948717948717</v>
      </c>
      <c r="E7" s="63" t="s">
        <v>69</v>
      </c>
      <c r="F7" s="60" t="s">
        <v>12</v>
      </c>
      <c r="G7" s="47">
        <v>119</v>
      </c>
      <c r="H7" s="133">
        <f>IF(B$17=0,0,G7/B$17)</f>
        <v>0.27045454545454545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948.51485148514848</v>
      </c>
      <c r="P7" s="120">
        <v>101</v>
      </c>
      <c r="Q7" s="104">
        <v>95800</v>
      </c>
    </row>
    <row r="8" spans="1:17" x14ac:dyDescent="0.4">
      <c r="A8" s="55" t="s">
        <v>3</v>
      </c>
      <c r="B8" s="47">
        <v>44</v>
      </c>
      <c r="C8" s="39">
        <f>IF(B$2=0,0,B8/B$2)</f>
        <v>0.28205128205128205</v>
      </c>
      <c r="E8" s="63" t="s">
        <v>70</v>
      </c>
      <c r="F8" s="60" t="s">
        <v>25</v>
      </c>
      <c r="G8" s="47">
        <v>71</v>
      </c>
      <c r="H8" s="133">
        <f>IF(B$17=0,0,G8/B$17)</f>
        <v>0.16136363636363638</v>
      </c>
      <c r="I8" s="94">
        <v>9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36</v>
      </c>
      <c r="C9" s="40">
        <f t="shared" ref="C9" si="1">IF(B$2=0,0,B9/B$2)</f>
        <v>0.23076923076923078</v>
      </c>
      <c r="E9" s="63" t="s">
        <v>90</v>
      </c>
      <c r="F9" s="60" t="s">
        <v>45</v>
      </c>
      <c r="G9" s="47">
        <v>70</v>
      </c>
      <c r="H9" s="133">
        <f>IF(B$17=0,0,G9/B$17)</f>
        <v>0.15909090909090909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9.6153846153846159E-2</v>
      </c>
      <c r="E10" s="63" t="s">
        <v>66</v>
      </c>
      <c r="F10" s="60" t="s">
        <v>22</v>
      </c>
      <c r="G10" s="47">
        <v>55</v>
      </c>
      <c r="H10" s="133">
        <f>IF(B$17=0,0,G10/B$17)</f>
        <v>0.125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15.124000000000001</v>
      </c>
      <c r="P10" s="118">
        <v>50</v>
      </c>
      <c r="Q10" s="106">
        <v>756.2</v>
      </c>
    </row>
    <row r="11" spans="1:17" x14ac:dyDescent="0.4">
      <c r="A11" s="56" t="s">
        <v>140</v>
      </c>
      <c r="B11" s="48">
        <v>28</v>
      </c>
      <c r="C11" s="40">
        <f>IF(B$2=0,0,B11/B$2)</f>
        <v>0.17948717948717949</v>
      </c>
      <c r="E11" s="63" t="s">
        <v>71</v>
      </c>
      <c r="F11" s="60" t="s">
        <v>26</v>
      </c>
      <c r="G11" s="47">
        <v>38</v>
      </c>
      <c r="H11" s="133">
        <f>IF(B$17=0,0,G11/B$17)</f>
        <v>8.6363636363636365E-2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11.904347826086957</v>
      </c>
      <c r="P11" s="119">
        <v>46</v>
      </c>
      <c r="Q11" s="107">
        <v>547.6</v>
      </c>
    </row>
    <row r="12" spans="1:17" x14ac:dyDescent="0.4">
      <c r="A12" s="57" t="s">
        <v>160</v>
      </c>
      <c r="B12" s="49">
        <v>22</v>
      </c>
      <c r="C12" s="42">
        <f>IF(B$2=0,0,B12/B$2)</f>
        <v>0.14102564102564102</v>
      </c>
      <c r="E12" s="63" t="s">
        <v>87</v>
      </c>
      <c r="F12" s="60" t="s">
        <v>42</v>
      </c>
      <c r="G12" s="47">
        <v>33</v>
      </c>
      <c r="H12" s="133">
        <f>IF(B$17=0,0,G12/B$17)</f>
        <v>7.4999999999999997E-2</v>
      </c>
      <c r="I12" s="94">
        <v>3</v>
      </c>
      <c r="K12" s="38">
        <v>10</v>
      </c>
      <c r="L12" s="99">
        <v>246.20000000000005</v>
      </c>
      <c r="N12" s="116" t="s">
        <v>166</v>
      </c>
      <c r="O12" s="126">
        <f>IF(P12=0,0,Q12/P12)</f>
        <v>11.766666666666669</v>
      </c>
      <c r="P12" s="120">
        <v>60</v>
      </c>
      <c r="Q12" s="108">
        <v>706.00000000000011</v>
      </c>
    </row>
    <row r="13" spans="1:17" x14ac:dyDescent="0.4">
      <c r="A13" s="58" t="s">
        <v>122</v>
      </c>
      <c r="B13" s="50">
        <v>398</v>
      </c>
      <c r="C13" s="44">
        <f>IF(B$3=0,0,B13/B$3)</f>
        <v>0.31240188383045525</v>
      </c>
      <c r="E13" s="63" t="s">
        <v>72</v>
      </c>
      <c r="F13" s="60" t="s">
        <v>27</v>
      </c>
      <c r="G13" s="47">
        <v>31</v>
      </c>
      <c r="H13" s="133">
        <f>IF(B$17=0,0,G13/B$17)</f>
        <v>7.045454545454545E-2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277</v>
      </c>
      <c r="C14" s="39">
        <f>IF(B$3=0,0,B14/B$3)</f>
        <v>0.21742543171114601</v>
      </c>
      <c r="E14" s="63" t="s">
        <v>84</v>
      </c>
      <c r="F14" s="60" t="s">
        <v>39</v>
      </c>
      <c r="G14" s="47">
        <v>25</v>
      </c>
      <c r="H14" s="133">
        <f>IF(B$17=0,0,G14/B$17)</f>
        <v>5.6818181818181816E-2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230</v>
      </c>
      <c r="C15" s="37">
        <f>IF(B$13=0,0,B15/B$13)</f>
        <v>0.57788944723618085</v>
      </c>
      <c r="E15" s="63" t="s">
        <v>180</v>
      </c>
      <c r="F15" s="60" t="s">
        <v>181</v>
      </c>
      <c r="G15" s="47">
        <v>15</v>
      </c>
      <c r="H15" s="133">
        <f>IF(B$17=0,0,G15/B$17)</f>
        <v>3.4090909090909088E-2</v>
      </c>
      <c r="I15" s="94">
        <v>1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143</v>
      </c>
      <c r="C16" s="37">
        <f>IF(B$14=0,0,B16/B$14)</f>
        <v>0.51624548736462095</v>
      </c>
      <c r="E16" s="63" t="s">
        <v>79</v>
      </c>
      <c r="F16" s="60" t="s">
        <v>34</v>
      </c>
      <c r="G16" s="47">
        <v>12</v>
      </c>
      <c r="H16" s="133">
        <f>IF(B$17=0,0,G16/B$17)</f>
        <v>2.7272727272727271E-2</v>
      </c>
      <c r="I16" s="94">
        <v>7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440</v>
      </c>
      <c r="C17" s="37">
        <f>IF(B$3=0,0,B17/B$3)</f>
        <v>0.34536891679748821</v>
      </c>
      <c r="E17" s="63" t="s">
        <v>82</v>
      </c>
      <c r="F17" s="60" t="s">
        <v>37</v>
      </c>
      <c r="G17" s="47">
        <v>12</v>
      </c>
      <c r="H17" s="133">
        <f>IF(B$17=0,0,G17/B$17)</f>
        <v>2.7272727272727271E-2</v>
      </c>
      <c r="I17" s="94">
        <v>5</v>
      </c>
      <c r="K17" s="38">
        <v>15</v>
      </c>
      <c r="L17" s="99">
        <v>481.50000000000006</v>
      </c>
      <c r="N17" s="115" t="s">
        <v>129</v>
      </c>
      <c r="O17" s="125">
        <f>IF(P17=0,0,Q17/P17)</f>
        <v>28.908474576271193</v>
      </c>
      <c r="P17" s="119">
        <v>59</v>
      </c>
      <c r="Q17" s="107">
        <v>1705.6000000000004</v>
      </c>
    </row>
    <row r="18" spans="1:17" x14ac:dyDescent="0.4">
      <c r="A18" s="55" t="s">
        <v>12</v>
      </c>
      <c r="B18" s="47">
        <v>183</v>
      </c>
      <c r="C18" s="39">
        <f>IF(B$17=0,0,B18/B$17)</f>
        <v>0.41590909090909089</v>
      </c>
      <c r="E18" s="63" t="s">
        <v>92</v>
      </c>
      <c r="F18" s="60" t="s">
        <v>47</v>
      </c>
      <c r="G18" s="47">
        <v>10</v>
      </c>
      <c r="H18" s="133">
        <f>IF(B$17=0,0,G18/B$17)</f>
        <v>2.2727272727272728E-2</v>
      </c>
      <c r="I18" s="94">
        <v>3</v>
      </c>
      <c r="K18" s="38">
        <v>16</v>
      </c>
      <c r="L18" s="99">
        <v>425.50000000000006</v>
      </c>
      <c r="N18" s="115" t="s">
        <v>172</v>
      </c>
      <c r="O18" s="125">
        <f>IF(P18=0,0,Q18/P18)</f>
        <v>25.348888888888887</v>
      </c>
      <c r="P18" s="119">
        <v>45</v>
      </c>
      <c r="Q18" s="107">
        <v>1140.6999999999998</v>
      </c>
    </row>
    <row r="19" spans="1:17" x14ac:dyDescent="0.4">
      <c r="A19" s="55" t="s">
        <v>11</v>
      </c>
      <c r="B19" s="47">
        <v>257</v>
      </c>
      <c r="C19" s="39">
        <f>IF(B$17=0,0,B19/B$17)</f>
        <v>0.58409090909090911</v>
      </c>
      <c r="E19" s="63" t="s">
        <v>80</v>
      </c>
      <c r="F19" s="60" t="s">
        <v>35</v>
      </c>
      <c r="G19" s="47">
        <v>5</v>
      </c>
      <c r="H19" s="133">
        <f>IF(B$17=0,0,G19/B$17)</f>
        <v>1.1363636363636364E-2</v>
      </c>
      <c r="I19" s="94">
        <v>9</v>
      </c>
      <c r="K19" s="38">
        <v>17</v>
      </c>
      <c r="L19" s="99">
        <v>427.40000000000003</v>
      </c>
      <c r="N19" s="115" t="s">
        <v>177</v>
      </c>
      <c r="O19" s="125">
        <f>IF(P19=0,0,Q19/P19)</f>
        <v>24.748275862068972</v>
      </c>
      <c r="P19" s="119">
        <v>29</v>
      </c>
      <c r="Q19" s="107">
        <v>717.70000000000016</v>
      </c>
    </row>
    <row r="20" spans="1:17" x14ac:dyDescent="0.4">
      <c r="A20" s="55" t="s">
        <v>13</v>
      </c>
      <c r="B20" s="47">
        <v>199</v>
      </c>
      <c r="C20" s="39">
        <f>IF(B$3=0,0,B20/B$3)</f>
        <v>0.15620094191522763</v>
      </c>
      <c r="E20" s="63" t="s">
        <v>86</v>
      </c>
      <c r="F20" s="60" t="s">
        <v>41</v>
      </c>
      <c r="G20" s="47">
        <v>4</v>
      </c>
      <c r="H20" s="133">
        <f>IF(B$17=0,0,G20/B$17)</f>
        <v>9.0909090909090905E-3</v>
      </c>
      <c r="I20" s="94">
        <v>2</v>
      </c>
      <c r="K20" s="38">
        <v>18</v>
      </c>
      <c r="L20" s="99">
        <v>429.3</v>
      </c>
      <c r="N20" s="115" t="s">
        <v>184</v>
      </c>
      <c r="O20" s="125">
        <f>IF(P20=0,0,Q20/P20)</f>
        <v>22.99166666666666</v>
      </c>
      <c r="P20" s="119">
        <v>12</v>
      </c>
      <c r="Q20" s="107">
        <v>275.89999999999992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74</v>
      </c>
      <c r="F21" s="60" t="s">
        <v>29</v>
      </c>
      <c r="G21" s="47">
        <v>3</v>
      </c>
      <c r="H21" s="133">
        <f>IF(B$17=0,0,G21/B$17)</f>
        <v>6.8181818181818179E-3</v>
      </c>
      <c r="I21" s="94">
        <v>5</v>
      </c>
      <c r="K21" s="38">
        <v>19</v>
      </c>
      <c r="L21" s="99">
        <v>405.40000000000003</v>
      </c>
      <c r="N21" s="115" t="s">
        <v>173</v>
      </c>
      <c r="O21" s="125">
        <f>IF(P21=0,0,Q21/P21)</f>
        <v>21.768181818181816</v>
      </c>
      <c r="P21" s="119">
        <v>22</v>
      </c>
      <c r="Q21" s="107">
        <v>478.9</v>
      </c>
    </row>
    <row r="22" spans="1:17" x14ac:dyDescent="0.4">
      <c r="A22" s="55" t="s">
        <v>192</v>
      </c>
      <c r="B22" s="47">
        <v>39</v>
      </c>
      <c r="C22" s="135">
        <v>6</v>
      </c>
      <c r="E22" s="63" t="s">
        <v>93</v>
      </c>
      <c r="F22" s="60" t="s">
        <v>48</v>
      </c>
      <c r="G22" s="47">
        <v>3</v>
      </c>
      <c r="H22" s="133">
        <f>IF(B$17=0,0,G22/B$17)</f>
        <v>6.8181818181818179E-3</v>
      </c>
      <c r="I22" s="94">
        <v>2</v>
      </c>
      <c r="K22" s="38">
        <v>20</v>
      </c>
      <c r="L22" s="99">
        <v>469.6</v>
      </c>
      <c r="N22" s="115" t="s">
        <v>128</v>
      </c>
      <c r="O22" s="125">
        <f>IF(P22=0,0,Q22/P22)</f>
        <v>18.795402298850576</v>
      </c>
      <c r="P22" s="119">
        <v>87</v>
      </c>
      <c r="Q22" s="107">
        <v>1635.2</v>
      </c>
    </row>
    <row r="23" spans="1:17" x14ac:dyDescent="0.4">
      <c r="A23" s="55" t="s">
        <v>5</v>
      </c>
      <c r="B23" s="51">
        <f>IF(B$17=0,0,C23/B$17)</f>
        <v>9240.681818181818</v>
      </c>
      <c r="C23" s="41">
        <v>4065900</v>
      </c>
      <c r="E23" s="63" t="s">
        <v>78</v>
      </c>
      <c r="F23" s="60" t="s">
        <v>33</v>
      </c>
      <c r="G23" s="47">
        <v>2</v>
      </c>
      <c r="H23" s="133">
        <f>IF(B$17=0,0,G23/B$17)</f>
        <v>4.5454545454545452E-3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1.6094339622641485</v>
      </c>
      <c r="P23" s="119">
        <v>53</v>
      </c>
      <c r="Q23" s="107">
        <v>85.299999999999869</v>
      </c>
    </row>
    <row r="24" spans="1:17" x14ac:dyDescent="0.4">
      <c r="A24" s="57" t="s">
        <v>14</v>
      </c>
      <c r="B24" s="52">
        <f>IF(B$20=0,0,C24/B$20)</f>
        <v>-8216.0804020100495</v>
      </c>
      <c r="C24" s="45">
        <v>-1635000</v>
      </c>
      <c r="E24" s="63" t="s">
        <v>91</v>
      </c>
      <c r="F24" s="60" t="s">
        <v>46</v>
      </c>
      <c r="G24" s="47">
        <v>2</v>
      </c>
      <c r="H24" s="133">
        <f>IF(B$17=0,0,G24/B$17)</f>
        <v>4.5454545454545452E-3</v>
      </c>
      <c r="I24" s="94">
        <v>2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7</v>
      </c>
      <c r="C25" s="145"/>
      <c r="E25" s="63" t="s">
        <v>76</v>
      </c>
      <c r="F25" s="60" t="s">
        <v>31</v>
      </c>
      <c r="G25" s="47">
        <v>1</v>
      </c>
      <c r="H25" s="133">
        <f>IF(B$17=0,0,G25/B$17)</f>
        <v>2.2727272727272726E-3</v>
      </c>
      <c r="I25" s="94">
        <v>8</v>
      </c>
      <c r="K25" s="38">
        <v>23</v>
      </c>
      <c r="L25" s="99">
        <v>555.90000000000009</v>
      </c>
      <c r="N25" s="115" t="s">
        <v>223</v>
      </c>
      <c r="O25" s="125">
        <f>IF(P25=0,0,Q25/P25)</f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42">
        <v>116000</v>
      </c>
      <c r="C26" s="143"/>
      <c r="E26" s="63" t="s">
        <v>85</v>
      </c>
      <c r="F26" s="60" t="s">
        <v>40</v>
      </c>
      <c r="G26" s="47">
        <v>1</v>
      </c>
      <c r="H26" s="133">
        <f>IF(B$17=0,0,G26/B$17)</f>
        <v>2.2727272727272726E-3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7.8492935635792783E-4</v>
      </c>
      <c r="E27" s="63" t="s">
        <v>88</v>
      </c>
      <c r="F27" s="60" t="s">
        <v>43</v>
      </c>
      <c r="G27" s="47">
        <v>1</v>
      </c>
      <c r="H27" s="133">
        <f>IF(B$17=0,0,G27/B$17)</f>
        <v>2.2727272727272726E-3</v>
      </c>
      <c r="I27" s="94">
        <v>6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2.2727272727272726E-3</v>
      </c>
      <c r="I28" s="94">
        <v>6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2.2727272727272726E-3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0AF8C-4ADB-42C0-9690-0130C314A7D7}">
  <sheetPr codeName="Sheet9"/>
  <dimension ref="A1:Q12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127</v>
      </c>
      <c r="C2" s="151"/>
      <c r="E2" s="62" t="s">
        <v>67</v>
      </c>
      <c r="F2" s="59" t="s">
        <v>23</v>
      </c>
      <c r="G2" s="46">
        <v>219</v>
      </c>
      <c r="H2" s="132">
        <f>IF(B$17=0,0,G2/B$17)</f>
        <v>0.76573426573426573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135.43307086614172</v>
      </c>
      <c r="P2" s="118">
        <v>127</v>
      </c>
      <c r="Q2" s="102">
        <v>17200</v>
      </c>
    </row>
    <row r="3" spans="1:17" x14ac:dyDescent="0.4">
      <c r="A3" s="55" t="s">
        <v>8</v>
      </c>
      <c r="B3" s="152">
        <v>1052</v>
      </c>
      <c r="C3" s="153"/>
      <c r="E3" s="63" t="s">
        <v>65</v>
      </c>
      <c r="F3" s="60" t="s">
        <v>21</v>
      </c>
      <c r="G3" s="47">
        <v>177</v>
      </c>
      <c r="H3" s="133">
        <f>IF(B$17=0,0,G3/B$17)</f>
        <v>0.61888111888111885</v>
      </c>
      <c r="I3" s="94">
        <v>2</v>
      </c>
      <c r="K3" s="38">
        <v>1</v>
      </c>
      <c r="L3" s="99">
        <v>45.5</v>
      </c>
      <c r="N3" s="115" t="s">
        <v>133</v>
      </c>
      <c r="O3" s="122">
        <f t="shared" si="0"/>
        <v>-2125.2032520325201</v>
      </c>
      <c r="P3" s="119">
        <v>123</v>
      </c>
      <c r="Q3" s="103">
        <v>-261400</v>
      </c>
    </row>
    <row r="4" spans="1:17" x14ac:dyDescent="0.4">
      <c r="A4" s="55" t="s">
        <v>6</v>
      </c>
      <c r="B4" s="154">
        <v>-345.5</v>
      </c>
      <c r="C4" s="155"/>
      <c r="E4" s="63" t="s">
        <v>73</v>
      </c>
      <c r="F4" s="60" t="s">
        <v>28</v>
      </c>
      <c r="G4" s="47">
        <v>131</v>
      </c>
      <c r="H4" s="133">
        <f>IF(B$17=0,0,G4/B$17)</f>
        <v>0.45804195804195802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375.63025210084032</v>
      </c>
      <c r="P4" s="119">
        <v>119</v>
      </c>
      <c r="Q4" s="103">
        <v>44700</v>
      </c>
    </row>
    <row r="5" spans="1:17" x14ac:dyDescent="0.4">
      <c r="A5" s="55" t="s">
        <v>7</v>
      </c>
      <c r="B5" s="156">
        <f>IF(B$2=0,0,B$4/B$2)</f>
        <v>-2.7204724409448819</v>
      </c>
      <c r="C5" s="157"/>
      <c r="E5" s="63" t="s">
        <v>245</v>
      </c>
      <c r="F5" s="60" t="s">
        <v>246</v>
      </c>
      <c r="G5" s="47">
        <v>122</v>
      </c>
      <c r="H5" s="133">
        <f>IF(B$17=0,0,G5/B$17)</f>
        <v>0.42657342657342656</v>
      </c>
      <c r="I5" s="94">
        <v>4</v>
      </c>
      <c r="K5" s="38">
        <v>3</v>
      </c>
      <c r="L5" s="99">
        <v>-47.300000000000004</v>
      </c>
      <c r="N5" s="115" t="s">
        <v>135</v>
      </c>
      <c r="O5" s="122">
        <f t="shared" si="0"/>
        <v>77.35849056603773</v>
      </c>
      <c r="P5" s="119">
        <v>106</v>
      </c>
      <c r="Q5" s="103">
        <v>8200</v>
      </c>
    </row>
    <row r="6" spans="1:17" x14ac:dyDescent="0.4">
      <c r="A6" s="55" t="s">
        <v>1</v>
      </c>
      <c r="B6" s="146">
        <f>IF(B$2=0,0,(B$7*1+B$8*2+B$9*3)/B$2)</f>
        <v>2.0866141732283463</v>
      </c>
      <c r="C6" s="147"/>
      <c r="E6" s="63" t="s">
        <v>68</v>
      </c>
      <c r="F6" s="60" t="s">
        <v>24</v>
      </c>
      <c r="G6" s="47">
        <v>115</v>
      </c>
      <c r="H6" s="133">
        <f>IF(B$17=0,0,G6/B$17)</f>
        <v>0.40209790209790208</v>
      </c>
      <c r="I6" s="94">
        <v>3</v>
      </c>
      <c r="K6" s="38">
        <v>4</v>
      </c>
      <c r="L6" s="99">
        <v>13.599999999999994</v>
      </c>
      <c r="N6" s="115" t="s">
        <v>136</v>
      </c>
      <c r="O6" s="122">
        <f t="shared" si="0"/>
        <v>791.48936170212767</v>
      </c>
      <c r="P6" s="119">
        <v>94</v>
      </c>
      <c r="Q6" s="103">
        <v>74400</v>
      </c>
    </row>
    <row r="7" spans="1:17" x14ac:dyDescent="0.4">
      <c r="A7" s="55" t="s">
        <v>2</v>
      </c>
      <c r="B7" s="47">
        <v>34</v>
      </c>
      <c r="C7" s="39">
        <f>IF(B$2=0,0,B7/B$2)</f>
        <v>0.26771653543307089</v>
      </c>
      <c r="E7" s="63" t="s">
        <v>69</v>
      </c>
      <c r="F7" s="60" t="s">
        <v>12</v>
      </c>
      <c r="G7" s="47">
        <v>98</v>
      </c>
      <c r="H7" s="133">
        <f>IF(B$17=0,0,G7/B$17)</f>
        <v>0.34265734265734266</v>
      </c>
      <c r="I7" s="94">
        <v>6</v>
      </c>
      <c r="K7" s="38">
        <v>5</v>
      </c>
      <c r="L7" s="99">
        <v>-16.600000000000005</v>
      </c>
      <c r="N7" s="116" t="s">
        <v>137</v>
      </c>
      <c r="O7" s="123">
        <f t="shared" si="0"/>
        <v>330.23255813953489</v>
      </c>
      <c r="P7" s="120">
        <v>86</v>
      </c>
      <c r="Q7" s="104">
        <v>28400</v>
      </c>
    </row>
    <row r="8" spans="1:17" x14ac:dyDescent="0.4">
      <c r="A8" s="55" t="s">
        <v>3</v>
      </c>
      <c r="B8" s="47">
        <v>48</v>
      </c>
      <c r="C8" s="39">
        <f>IF(B$2=0,0,B8/B$2)</f>
        <v>0.37795275590551181</v>
      </c>
      <c r="E8" s="63" t="s">
        <v>70</v>
      </c>
      <c r="F8" s="60" t="s">
        <v>25</v>
      </c>
      <c r="G8" s="47">
        <v>64</v>
      </c>
      <c r="H8" s="133">
        <f>IF(B$17=0,0,G8/B$17)</f>
        <v>0.22377622377622378</v>
      </c>
      <c r="I8" s="94">
        <v>1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45</v>
      </c>
      <c r="C9" s="40">
        <f t="shared" ref="C9" si="1">IF(B$2=0,0,B9/B$2)</f>
        <v>0.3543307086614173</v>
      </c>
      <c r="E9" s="63" t="s">
        <v>66</v>
      </c>
      <c r="F9" s="60" t="s">
        <v>22</v>
      </c>
      <c r="G9" s="47">
        <v>46</v>
      </c>
      <c r="H9" s="133">
        <f>IF(B$17=0,0,G9/B$17)</f>
        <v>0.16083916083916083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0.13385826771653545</v>
      </c>
      <c r="E10" s="63" t="s">
        <v>71</v>
      </c>
      <c r="F10" s="60" t="s">
        <v>26</v>
      </c>
      <c r="G10" s="47">
        <v>36</v>
      </c>
      <c r="H10" s="133">
        <f>IF(B$17=0,0,G10/B$17)</f>
        <v>0.12587412587412589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-7.3666666666666671</v>
      </c>
      <c r="P10" s="118">
        <v>63</v>
      </c>
      <c r="Q10" s="106">
        <v>-464.1</v>
      </c>
    </row>
    <row r="11" spans="1:17" x14ac:dyDescent="0.4">
      <c r="A11" s="56" t="s">
        <v>140</v>
      </c>
      <c r="B11" s="48">
        <v>12</v>
      </c>
      <c r="C11" s="40">
        <f>IF(B$2=0,0,B11/B$2)</f>
        <v>9.4488188976377951E-2</v>
      </c>
      <c r="E11" s="63" t="s">
        <v>90</v>
      </c>
      <c r="F11" s="60" t="s">
        <v>45</v>
      </c>
      <c r="G11" s="47">
        <v>32</v>
      </c>
      <c r="H11" s="133">
        <f>IF(B$17=0,0,G11/B$17)</f>
        <v>0.11188811188811189</v>
      </c>
      <c r="I11" s="94">
        <v>9</v>
      </c>
      <c r="K11" s="38">
        <v>9</v>
      </c>
      <c r="L11" s="99">
        <v>-79.5</v>
      </c>
      <c r="N11" s="115" t="s">
        <v>165</v>
      </c>
      <c r="O11" s="125">
        <f>IF(P11=0,0,Q11/P11)</f>
        <v>-0.3575757575757566</v>
      </c>
      <c r="P11" s="119">
        <v>33</v>
      </c>
      <c r="Q11" s="107">
        <v>-11.799999999999969</v>
      </c>
    </row>
    <row r="12" spans="1:17" x14ac:dyDescent="0.4">
      <c r="A12" s="57" t="s">
        <v>160</v>
      </c>
      <c r="B12" s="49">
        <v>8</v>
      </c>
      <c r="C12" s="42">
        <f>IF(B$2=0,0,B12/B$2)</f>
        <v>6.2992125984251968E-2</v>
      </c>
      <c r="E12" s="63" t="s">
        <v>72</v>
      </c>
      <c r="F12" s="60" t="s">
        <v>27</v>
      </c>
      <c r="G12" s="47">
        <v>17</v>
      </c>
      <c r="H12" s="133">
        <f>IF(B$17=0,0,G12/B$17)</f>
        <v>5.944055944055944E-2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4.2064516129032254</v>
      </c>
      <c r="P12" s="120">
        <v>31</v>
      </c>
      <c r="Q12" s="108">
        <v>130.39999999999998</v>
      </c>
    </row>
    <row r="13" spans="1:17" x14ac:dyDescent="0.4">
      <c r="A13" s="58" t="s">
        <v>122</v>
      </c>
      <c r="B13" s="50">
        <v>317</v>
      </c>
      <c r="C13" s="44">
        <f>IF(B$3=0,0,B13/B$3)</f>
        <v>0.30133079847908745</v>
      </c>
      <c r="E13" s="63" t="s">
        <v>87</v>
      </c>
      <c r="F13" s="60" t="s">
        <v>42</v>
      </c>
      <c r="G13" s="47">
        <v>15</v>
      </c>
      <c r="H13" s="133">
        <f>IF(B$17=0,0,G13/B$17)</f>
        <v>5.2447552447552448E-2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186</v>
      </c>
      <c r="C14" s="39">
        <f>IF(B$3=0,0,B14/B$3)</f>
        <v>0.17680608365019013</v>
      </c>
      <c r="E14" s="63" t="s">
        <v>84</v>
      </c>
      <c r="F14" s="60" t="s">
        <v>39</v>
      </c>
      <c r="G14" s="47">
        <v>10</v>
      </c>
      <c r="H14" s="133">
        <f>IF(B$17=0,0,G14/B$17)</f>
        <v>3.4965034965034968E-2</v>
      </c>
      <c r="I14" s="94">
        <v>9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186</v>
      </c>
      <c r="C15" s="37">
        <f>IF(B$13=0,0,B15/B$13)</f>
        <v>0.58675078864353314</v>
      </c>
      <c r="E15" s="63" t="s">
        <v>82</v>
      </c>
      <c r="F15" s="60" t="s">
        <v>37</v>
      </c>
      <c r="G15" s="47">
        <v>8</v>
      </c>
      <c r="H15" s="133">
        <f>IF(B$17=0,0,G15/B$17)</f>
        <v>2.7972027972027972E-2</v>
      </c>
      <c r="I15" s="94">
        <v>4</v>
      </c>
      <c r="K15" s="38">
        <v>13</v>
      </c>
      <c r="L15" s="99">
        <v>-81.900000000000006</v>
      </c>
      <c r="N15" s="114" t="s">
        <v>184</v>
      </c>
      <c r="O15" s="124">
        <f>IF(P15=0,0,Q15/P15)</f>
        <v>28.642857142857146</v>
      </c>
      <c r="P15" s="118">
        <v>7</v>
      </c>
      <c r="Q15" s="106">
        <v>200.50000000000003</v>
      </c>
    </row>
    <row r="16" spans="1:17" x14ac:dyDescent="0.4">
      <c r="A16" s="54" t="s">
        <v>125</v>
      </c>
      <c r="B16" s="46">
        <v>55</v>
      </c>
      <c r="C16" s="37">
        <f>IF(B$14=0,0,B16/B$14)</f>
        <v>0.29569892473118281</v>
      </c>
      <c r="E16" s="63" t="s">
        <v>80</v>
      </c>
      <c r="F16" s="60" t="s">
        <v>35</v>
      </c>
      <c r="G16" s="47">
        <v>7</v>
      </c>
      <c r="H16" s="133">
        <f>IF(B$17=0,0,G16/B$17)</f>
        <v>2.4475524475524476E-2</v>
      </c>
      <c r="I16" s="94">
        <v>3</v>
      </c>
      <c r="K16" s="38">
        <v>14</v>
      </c>
      <c r="L16" s="99">
        <v>-25.600000000000009</v>
      </c>
      <c r="N16" s="115" t="s">
        <v>129</v>
      </c>
      <c r="O16" s="125">
        <f>IF(P16=0,0,Q16/P16)</f>
        <v>13.074999999999999</v>
      </c>
      <c r="P16" s="119">
        <v>40</v>
      </c>
      <c r="Q16" s="107">
        <v>523</v>
      </c>
    </row>
    <row r="17" spans="1:17" x14ac:dyDescent="0.4">
      <c r="A17" s="54" t="s">
        <v>10</v>
      </c>
      <c r="B17" s="46">
        <f>B19+B18</f>
        <v>286</v>
      </c>
      <c r="C17" s="37">
        <f>IF(B$3=0,0,B17/B$3)</f>
        <v>0.27186311787072243</v>
      </c>
      <c r="E17" s="63" t="s">
        <v>92</v>
      </c>
      <c r="F17" s="60" t="s">
        <v>47</v>
      </c>
      <c r="G17" s="47">
        <v>6</v>
      </c>
      <c r="H17" s="133">
        <f>IF(B$17=0,0,G17/B$17)</f>
        <v>2.097902097902098E-2</v>
      </c>
      <c r="I17" s="94">
        <v>4</v>
      </c>
      <c r="K17" s="38">
        <v>15</v>
      </c>
      <c r="L17" s="99">
        <v>47.999999999999986</v>
      </c>
      <c r="N17" s="115" t="s">
        <v>173</v>
      </c>
      <c r="O17" s="125">
        <f>IF(P17=0,0,Q17/P17)</f>
        <v>12.160869565217391</v>
      </c>
      <c r="P17" s="119">
        <v>23</v>
      </c>
      <c r="Q17" s="107">
        <v>279.7</v>
      </c>
    </row>
    <row r="18" spans="1:17" x14ac:dyDescent="0.4">
      <c r="A18" s="55" t="s">
        <v>12</v>
      </c>
      <c r="B18" s="47">
        <v>121</v>
      </c>
      <c r="C18" s="39">
        <f>IF(B$17=0,0,B18/B$17)</f>
        <v>0.42307692307692307</v>
      </c>
      <c r="E18" s="63" t="s">
        <v>79</v>
      </c>
      <c r="F18" s="60" t="s">
        <v>34</v>
      </c>
      <c r="G18" s="47">
        <v>5</v>
      </c>
      <c r="H18" s="133">
        <f>IF(B$17=0,0,G18/B$17)</f>
        <v>1.7482517482517484E-2</v>
      </c>
      <c r="I18" s="94">
        <v>8</v>
      </c>
      <c r="K18" s="38">
        <v>16</v>
      </c>
      <c r="L18" s="99">
        <v>41.699999999999989</v>
      </c>
      <c r="N18" s="115" t="s">
        <v>171</v>
      </c>
      <c r="O18" s="125">
        <f>IF(P18=0,0,Q18/P18)</f>
        <v>1.1611111111111161</v>
      </c>
      <c r="P18" s="119">
        <v>36</v>
      </c>
      <c r="Q18" s="107">
        <v>41.800000000000182</v>
      </c>
    </row>
    <row r="19" spans="1:17" x14ac:dyDescent="0.4">
      <c r="A19" s="55" t="s">
        <v>11</v>
      </c>
      <c r="B19" s="47">
        <v>165</v>
      </c>
      <c r="C19" s="39">
        <f>IF(B$17=0,0,B19/B$17)</f>
        <v>0.57692307692307687</v>
      </c>
      <c r="E19" s="63" t="s">
        <v>180</v>
      </c>
      <c r="F19" s="60" t="s">
        <v>181</v>
      </c>
      <c r="G19" s="47">
        <v>5</v>
      </c>
      <c r="H19" s="133">
        <f>IF(B$17=0,0,G19/B$17)</f>
        <v>1.7482517482517484E-2</v>
      </c>
      <c r="I19" s="94">
        <v>3</v>
      </c>
      <c r="K19" s="38">
        <v>17</v>
      </c>
      <c r="L19" s="99">
        <v>94.6</v>
      </c>
      <c r="N19" s="115" t="s">
        <v>172</v>
      </c>
      <c r="O19" s="125">
        <f>IF(P19=0,0,Q19/P19)</f>
        <v>-4.3735294117647046</v>
      </c>
      <c r="P19" s="119">
        <v>34</v>
      </c>
      <c r="Q19" s="107">
        <v>-148.69999999999996</v>
      </c>
    </row>
    <row r="20" spans="1:17" x14ac:dyDescent="0.4">
      <c r="A20" s="55" t="s">
        <v>13</v>
      </c>
      <c r="B20" s="47">
        <v>179</v>
      </c>
      <c r="C20" s="39">
        <f>IF(B$3=0,0,B20/B$3)</f>
        <v>0.17015209125475286</v>
      </c>
      <c r="E20" s="63" t="s">
        <v>74</v>
      </c>
      <c r="F20" s="60" t="s">
        <v>29</v>
      </c>
      <c r="G20" s="47">
        <v>2</v>
      </c>
      <c r="H20" s="133">
        <f>IF(B$17=0,0,G20/B$17)</f>
        <v>6.993006993006993E-3</v>
      </c>
      <c r="I20" s="94">
        <v>4</v>
      </c>
      <c r="K20" s="38">
        <v>18</v>
      </c>
      <c r="L20" s="99">
        <v>116.69999999999999</v>
      </c>
      <c r="N20" s="115" t="s">
        <v>200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4</v>
      </c>
      <c r="E21" s="63" t="s">
        <v>75</v>
      </c>
      <c r="F21" s="60" t="s">
        <v>30</v>
      </c>
      <c r="G21" s="47">
        <v>2</v>
      </c>
      <c r="H21" s="133">
        <f>IF(B$17=0,0,G21/B$17)</f>
        <v>6.993006993006993E-3</v>
      </c>
      <c r="I21" s="94">
        <v>3</v>
      </c>
      <c r="K21" s="38">
        <v>19</v>
      </c>
      <c r="L21" s="99">
        <v>138.79999999999998</v>
      </c>
      <c r="N21" s="115" t="s">
        <v>177</v>
      </c>
      <c r="O21" s="125">
        <f>IF(P21=0,0,Q21/P21)</f>
        <v>-11.464</v>
      </c>
      <c r="P21" s="119">
        <v>25</v>
      </c>
      <c r="Q21" s="107">
        <v>-286.60000000000002</v>
      </c>
    </row>
    <row r="22" spans="1:17" x14ac:dyDescent="0.4">
      <c r="A22" s="55" t="s">
        <v>192</v>
      </c>
      <c r="B22" s="47">
        <v>24</v>
      </c>
      <c r="C22" s="135">
        <v>9</v>
      </c>
      <c r="E22" s="63" t="s">
        <v>76</v>
      </c>
      <c r="F22" s="60" t="s">
        <v>31</v>
      </c>
      <c r="G22" s="47">
        <v>2</v>
      </c>
      <c r="H22" s="133">
        <f>IF(B$17=0,0,G22/B$17)</f>
        <v>6.993006993006993E-3</v>
      </c>
      <c r="I22" s="94">
        <v>3</v>
      </c>
      <c r="K22" s="38">
        <v>20</v>
      </c>
      <c r="L22" s="99">
        <v>164.49999999999997</v>
      </c>
      <c r="N22" s="115" t="s">
        <v>127</v>
      </c>
      <c r="O22" s="125">
        <f>IF(P22=0,0,Q22/P22)</f>
        <v>-18.795402298850576</v>
      </c>
      <c r="P22" s="119">
        <v>87</v>
      </c>
      <c r="Q22" s="107">
        <v>-1635.2</v>
      </c>
    </row>
    <row r="23" spans="1:17" x14ac:dyDescent="0.4">
      <c r="A23" s="55" t="s">
        <v>5</v>
      </c>
      <c r="B23" s="51">
        <f>IF(B$17=0,0,C23/B$17)</f>
        <v>9320.279720279721</v>
      </c>
      <c r="C23" s="41">
        <v>2665600</v>
      </c>
      <c r="E23" s="63" t="s">
        <v>78</v>
      </c>
      <c r="F23" s="60" t="s">
        <v>33</v>
      </c>
      <c r="G23" s="47">
        <v>1</v>
      </c>
      <c r="H23" s="133">
        <f>IF(B$17=0,0,G23/B$17)</f>
        <v>3.4965034965034965E-3</v>
      </c>
      <c r="I23" s="94">
        <v>3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-7768.7150837988829</v>
      </c>
      <c r="C24" s="45">
        <v>-1390600</v>
      </c>
      <c r="E24" s="63" t="s">
        <v>85</v>
      </c>
      <c r="F24" s="60" t="s">
        <v>40</v>
      </c>
      <c r="G24" s="47">
        <v>1</v>
      </c>
      <c r="H24" s="133">
        <f>IF(B$17=0,0,G24/B$17)</f>
        <v>3.4965034965034965E-3</v>
      </c>
      <c r="I24" s="94">
        <v>2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89</v>
      </c>
      <c r="F25" s="60" t="s">
        <v>44</v>
      </c>
      <c r="G25" s="47">
        <v>1</v>
      </c>
      <c r="H25" s="133">
        <f>IF(B$17=0,0,G25/B$17)</f>
        <v>3.4965034965034965E-3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93</v>
      </c>
      <c r="F26" s="60" t="s">
        <v>48</v>
      </c>
      <c r="G26" s="47">
        <v>1</v>
      </c>
      <c r="H26" s="133">
        <f>IF(B$17=0,0,G26/B$17)</f>
        <v>3.4965034965034965E-3</v>
      </c>
      <c r="I26" s="94">
        <v>6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4.7528517110266158E-3</v>
      </c>
      <c r="E27" s="63" t="s">
        <v>94</v>
      </c>
      <c r="F27" s="60" t="s">
        <v>49</v>
      </c>
      <c r="G27" s="47">
        <v>1</v>
      </c>
      <c r="H27" s="133">
        <f>IF(B$17=0,0,G27/B$17)</f>
        <v>3.4965034965034965E-3</v>
      </c>
      <c r="I27" s="94">
        <v>4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3.4965034965034965E-3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9D3F3-47C0-45F4-BEFF-F893E17EE9AF}">
  <sheetPr codeName="Sheet11"/>
  <dimension ref="A1:Q9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93</v>
      </c>
      <c r="C2" s="151"/>
      <c r="E2" s="62" t="s">
        <v>67</v>
      </c>
      <c r="F2" s="59" t="s">
        <v>23</v>
      </c>
      <c r="G2" s="46">
        <v>156</v>
      </c>
      <c r="H2" s="132">
        <f>IF(B$17=0,0,G2/B$17)</f>
        <v>0.82978723404255317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-3084.9462365591398</v>
      </c>
      <c r="P2" s="118">
        <v>93</v>
      </c>
      <c r="Q2" s="102">
        <v>-286900</v>
      </c>
    </row>
    <row r="3" spans="1:17" x14ac:dyDescent="0.4">
      <c r="A3" s="55" t="s">
        <v>8</v>
      </c>
      <c r="B3" s="152">
        <v>778</v>
      </c>
      <c r="C3" s="153"/>
      <c r="E3" s="63" t="s">
        <v>65</v>
      </c>
      <c r="F3" s="60" t="s">
        <v>21</v>
      </c>
      <c r="G3" s="47">
        <v>109</v>
      </c>
      <c r="H3" s="133">
        <f>IF(B$17=0,0,G3/B$17)</f>
        <v>0.57978723404255317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-1496.7032967032967</v>
      </c>
      <c r="P3" s="119">
        <v>91</v>
      </c>
      <c r="Q3" s="103">
        <v>-136200</v>
      </c>
    </row>
    <row r="4" spans="1:17" x14ac:dyDescent="0.4">
      <c r="A4" s="55" t="s">
        <v>6</v>
      </c>
      <c r="B4" s="154">
        <v>-1348.9</v>
      </c>
      <c r="C4" s="155"/>
      <c r="E4" s="63" t="s">
        <v>245</v>
      </c>
      <c r="F4" s="60" t="s">
        <v>246</v>
      </c>
      <c r="G4" s="47">
        <v>73</v>
      </c>
      <c r="H4" s="133">
        <f>IF(B$17=0,0,G4/B$17)</f>
        <v>0.38829787234042551</v>
      </c>
      <c r="I4" s="94">
        <v>9</v>
      </c>
      <c r="K4" s="38">
        <v>2</v>
      </c>
      <c r="L4" s="99">
        <v>-3.3999999999999986</v>
      </c>
      <c r="N4" s="115" t="s">
        <v>134</v>
      </c>
      <c r="O4" s="122">
        <f t="shared" si="0"/>
        <v>-307.05882352941177</v>
      </c>
      <c r="P4" s="119">
        <v>85</v>
      </c>
      <c r="Q4" s="103">
        <v>-26100</v>
      </c>
    </row>
    <row r="5" spans="1:17" x14ac:dyDescent="0.4">
      <c r="A5" s="55" t="s">
        <v>7</v>
      </c>
      <c r="B5" s="156">
        <f>IF(B$2=0,0,B$4/B$2)</f>
        <v>-14.504301075268819</v>
      </c>
      <c r="C5" s="157"/>
      <c r="E5" s="63" t="s">
        <v>69</v>
      </c>
      <c r="F5" s="60" t="s">
        <v>12</v>
      </c>
      <c r="G5" s="47">
        <v>70</v>
      </c>
      <c r="H5" s="133">
        <f>IF(B$17=0,0,G5/B$17)</f>
        <v>0.37234042553191488</v>
      </c>
      <c r="I5" s="94">
        <v>5</v>
      </c>
      <c r="K5" s="38">
        <v>3</v>
      </c>
      <c r="L5" s="99">
        <v>-23.099999999999998</v>
      </c>
      <c r="N5" s="115" t="s">
        <v>135</v>
      </c>
      <c r="O5" s="122">
        <f t="shared" si="0"/>
        <v>-4301.333333333333</v>
      </c>
      <c r="P5" s="119">
        <v>75</v>
      </c>
      <c r="Q5" s="103">
        <v>-322600</v>
      </c>
    </row>
    <row r="6" spans="1:17" x14ac:dyDescent="0.4">
      <c r="A6" s="55" t="s">
        <v>1</v>
      </c>
      <c r="B6" s="146">
        <f>IF(B$2=0,0,(B$7*1+B$8*2+B$9*3)/B$2)</f>
        <v>2.247311827956989</v>
      </c>
      <c r="C6" s="147"/>
      <c r="E6" s="63" t="s">
        <v>73</v>
      </c>
      <c r="F6" s="60" t="s">
        <v>28</v>
      </c>
      <c r="G6" s="47">
        <v>69</v>
      </c>
      <c r="H6" s="133">
        <f>IF(B$17=0,0,G6/B$17)</f>
        <v>0.36702127659574468</v>
      </c>
      <c r="I6" s="94">
        <v>12</v>
      </c>
      <c r="K6" s="38">
        <v>4</v>
      </c>
      <c r="L6" s="99">
        <v>-31.4</v>
      </c>
      <c r="N6" s="115" t="s">
        <v>136</v>
      </c>
      <c r="O6" s="122">
        <f t="shared" si="0"/>
        <v>-467.64705882352939</v>
      </c>
      <c r="P6" s="119">
        <v>68</v>
      </c>
      <c r="Q6" s="103">
        <v>-31800</v>
      </c>
    </row>
    <row r="7" spans="1:17" x14ac:dyDescent="0.4">
      <c r="A7" s="55" t="s">
        <v>2</v>
      </c>
      <c r="B7" s="47">
        <v>23</v>
      </c>
      <c r="C7" s="39">
        <f>IF(B$2=0,0,B7/B$2)</f>
        <v>0.24731182795698925</v>
      </c>
      <c r="E7" s="63" t="s">
        <v>68</v>
      </c>
      <c r="F7" s="60" t="s">
        <v>24</v>
      </c>
      <c r="G7" s="47">
        <v>63</v>
      </c>
      <c r="H7" s="133">
        <f>IF(B$17=0,0,G7/B$17)</f>
        <v>0.33510638297872342</v>
      </c>
      <c r="I7" s="94">
        <v>6</v>
      </c>
      <c r="K7" s="38">
        <v>5</v>
      </c>
      <c r="L7" s="99">
        <v>-32.199999999999996</v>
      </c>
      <c r="N7" s="116" t="s">
        <v>137</v>
      </c>
      <c r="O7" s="123">
        <f t="shared" si="0"/>
        <v>-1285.2459016393443</v>
      </c>
      <c r="P7" s="120">
        <v>61</v>
      </c>
      <c r="Q7" s="104">
        <v>-78400</v>
      </c>
    </row>
    <row r="8" spans="1:17" x14ac:dyDescent="0.4">
      <c r="A8" s="55" t="s">
        <v>3</v>
      </c>
      <c r="B8" s="47">
        <v>24</v>
      </c>
      <c r="C8" s="39">
        <f>IF(B$2=0,0,B8/B$2)</f>
        <v>0.25806451612903225</v>
      </c>
      <c r="E8" s="63" t="s">
        <v>70</v>
      </c>
      <c r="F8" s="60" t="s">
        <v>25</v>
      </c>
      <c r="G8" s="47">
        <v>37</v>
      </c>
      <c r="H8" s="133">
        <f>IF(B$17=0,0,G8/B$17)</f>
        <v>0.19680851063829788</v>
      </c>
      <c r="I8" s="94">
        <v>4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46</v>
      </c>
      <c r="C9" s="40">
        <f t="shared" ref="C9" si="1">IF(B$2=0,0,B9/B$2)</f>
        <v>0.4946236559139785</v>
      </c>
      <c r="E9" s="63" t="s">
        <v>71</v>
      </c>
      <c r="F9" s="60" t="s">
        <v>26</v>
      </c>
      <c r="G9" s="47">
        <v>29</v>
      </c>
      <c r="H9" s="133">
        <f>IF(B$17=0,0,G9/B$17)</f>
        <v>0.15425531914893617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18</v>
      </c>
      <c r="C10" s="40">
        <f>IF(B$2=0,0,B10/B$2)</f>
        <v>0.19354838709677419</v>
      </c>
      <c r="E10" s="63" t="s">
        <v>72</v>
      </c>
      <c r="F10" s="60" t="s">
        <v>27</v>
      </c>
      <c r="G10" s="47">
        <v>20</v>
      </c>
      <c r="H10" s="133">
        <f>IF(B$17=0,0,G10/B$17)</f>
        <v>0.10638297872340426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-17.74444444444444</v>
      </c>
      <c r="P10" s="118">
        <v>27</v>
      </c>
      <c r="Q10" s="106">
        <v>-479.09999999999985</v>
      </c>
    </row>
    <row r="11" spans="1:17" x14ac:dyDescent="0.4">
      <c r="A11" s="56" t="s">
        <v>140</v>
      </c>
      <c r="B11" s="48">
        <v>10</v>
      </c>
      <c r="C11" s="40">
        <f>IF(B$2=0,0,B11/B$2)</f>
        <v>0.10752688172043011</v>
      </c>
      <c r="E11" s="63" t="s">
        <v>66</v>
      </c>
      <c r="F11" s="60" t="s">
        <v>22</v>
      </c>
      <c r="G11" s="47">
        <v>18</v>
      </c>
      <c r="H11" s="133">
        <f>IF(B$17=0,0,G11/B$17)</f>
        <v>9.5744680851063829E-2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-10.55675675675676</v>
      </c>
      <c r="P11" s="119">
        <v>37</v>
      </c>
      <c r="Q11" s="107">
        <v>-390.60000000000014</v>
      </c>
    </row>
    <row r="12" spans="1:17" x14ac:dyDescent="0.4">
      <c r="A12" s="57" t="s">
        <v>160</v>
      </c>
      <c r="B12" s="49">
        <v>7</v>
      </c>
      <c r="C12" s="42">
        <f>IF(B$2=0,0,B12/B$2)</f>
        <v>7.5268817204301078E-2</v>
      </c>
      <c r="E12" s="63" t="s">
        <v>90</v>
      </c>
      <c r="F12" s="60" t="s">
        <v>45</v>
      </c>
      <c r="G12" s="47">
        <v>16</v>
      </c>
      <c r="H12" s="133">
        <f>IF(B$17=0,0,G12/B$17)</f>
        <v>8.5106382978723402E-2</v>
      </c>
      <c r="I12" s="94">
        <v>11</v>
      </c>
      <c r="K12" s="38">
        <v>10</v>
      </c>
      <c r="L12" s="99">
        <v>-231.39999999999998</v>
      </c>
      <c r="N12" s="116" t="s">
        <v>166</v>
      </c>
      <c r="O12" s="126">
        <f>IF(P12=0,0,Q12/P12)</f>
        <v>-16.524137931034481</v>
      </c>
      <c r="P12" s="120">
        <v>29</v>
      </c>
      <c r="Q12" s="108">
        <v>-479.19999999999993</v>
      </c>
    </row>
    <row r="13" spans="1:17" x14ac:dyDescent="0.4">
      <c r="A13" s="58" t="s">
        <v>122</v>
      </c>
      <c r="B13" s="50">
        <v>215</v>
      </c>
      <c r="C13" s="44">
        <f>IF(B$3=0,0,B13/B$3)</f>
        <v>0.2763496143958869</v>
      </c>
      <c r="E13" s="63" t="s">
        <v>87</v>
      </c>
      <c r="F13" s="60" t="s">
        <v>42</v>
      </c>
      <c r="G13" s="47">
        <v>10</v>
      </c>
      <c r="H13" s="133">
        <f>IF(B$17=0,0,G13/B$17)</f>
        <v>5.3191489361702128E-2</v>
      </c>
      <c r="I13" s="94">
        <v>6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124</v>
      </c>
      <c r="C14" s="39">
        <f>IF(B$3=0,0,B14/B$3)</f>
        <v>0.15938303341902313</v>
      </c>
      <c r="E14" s="63" t="s">
        <v>79</v>
      </c>
      <c r="F14" s="60" t="s">
        <v>34</v>
      </c>
      <c r="G14" s="47">
        <v>8</v>
      </c>
      <c r="H14" s="133">
        <f>IF(B$17=0,0,G14/B$17)</f>
        <v>4.2553191489361701E-2</v>
      </c>
      <c r="I14" s="94">
        <v>3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112</v>
      </c>
      <c r="C15" s="37">
        <f>IF(B$13=0,0,B15/B$13)</f>
        <v>0.52093023255813953</v>
      </c>
      <c r="E15" s="63" t="s">
        <v>84</v>
      </c>
      <c r="F15" s="60" t="s">
        <v>39</v>
      </c>
      <c r="G15" s="47">
        <v>7</v>
      </c>
      <c r="H15" s="133">
        <f>IF(B$17=0,0,G15/B$17)</f>
        <v>3.7234042553191488E-2</v>
      </c>
      <c r="I15" s="94">
        <v>8</v>
      </c>
      <c r="K15" s="38">
        <v>13</v>
      </c>
      <c r="L15" s="99">
        <v>-369.1</v>
      </c>
      <c r="N15" s="114" t="s">
        <v>223</v>
      </c>
      <c r="O15" s="124">
        <f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31</v>
      </c>
      <c r="C16" s="37">
        <f>IF(B$14=0,0,B16/B$14)</f>
        <v>0.25</v>
      </c>
      <c r="E16" s="63" t="s">
        <v>82</v>
      </c>
      <c r="F16" s="60" t="s">
        <v>37</v>
      </c>
      <c r="G16" s="47">
        <v>4</v>
      </c>
      <c r="H16" s="133">
        <f>IF(B$17=0,0,G16/B$17)</f>
        <v>2.1276595744680851E-2</v>
      </c>
      <c r="I16" s="94">
        <v>9</v>
      </c>
      <c r="K16" s="38">
        <v>14</v>
      </c>
      <c r="L16" s="99">
        <v>-394.6</v>
      </c>
      <c r="N16" s="115" t="s">
        <v>128</v>
      </c>
      <c r="O16" s="125">
        <f>IF(P16=0,0,Q16/P16)</f>
        <v>-13.074999999999998</v>
      </c>
      <c r="P16" s="119">
        <v>40</v>
      </c>
      <c r="Q16" s="107">
        <v>-522.99999999999989</v>
      </c>
    </row>
    <row r="17" spans="1:17" x14ac:dyDescent="0.4">
      <c r="A17" s="54" t="s">
        <v>10</v>
      </c>
      <c r="B17" s="46">
        <f>B19+B18</f>
        <v>188</v>
      </c>
      <c r="C17" s="37">
        <f>IF(B$3=0,0,B17/B$3)</f>
        <v>0.2416452442159383</v>
      </c>
      <c r="E17" s="63" t="s">
        <v>75</v>
      </c>
      <c r="F17" s="60" t="s">
        <v>30</v>
      </c>
      <c r="G17" s="47">
        <v>3</v>
      </c>
      <c r="H17" s="133">
        <f>IF(B$17=0,0,G17/B$17)</f>
        <v>1.5957446808510637E-2</v>
      </c>
      <c r="I17" s="94">
        <v>2</v>
      </c>
      <c r="K17" s="38">
        <v>15</v>
      </c>
      <c r="L17" s="99">
        <v>-424.5</v>
      </c>
      <c r="N17" s="115" t="s">
        <v>177</v>
      </c>
      <c r="O17" s="125">
        <f>IF(P17=0,0,Q17/P17)</f>
        <v>-15.755000000000001</v>
      </c>
      <c r="P17" s="119">
        <v>20</v>
      </c>
      <c r="Q17" s="107">
        <v>-315.10000000000002</v>
      </c>
    </row>
    <row r="18" spans="1:17" x14ac:dyDescent="0.4">
      <c r="A18" s="55" t="s">
        <v>12</v>
      </c>
      <c r="B18" s="47">
        <v>80</v>
      </c>
      <c r="C18" s="39">
        <f>IF(B$17=0,0,B18/B$17)</f>
        <v>0.42553191489361702</v>
      </c>
      <c r="E18" s="63" t="s">
        <v>88</v>
      </c>
      <c r="F18" s="60" t="s">
        <v>43</v>
      </c>
      <c r="G18" s="47">
        <v>2</v>
      </c>
      <c r="H18" s="133">
        <f>IF(B$17=0,0,G18/B$17)</f>
        <v>1.0638297872340425E-2</v>
      </c>
      <c r="I18" s="94">
        <v>1</v>
      </c>
      <c r="K18" s="38">
        <v>16</v>
      </c>
      <c r="L18" s="99">
        <v>-472</v>
      </c>
      <c r="N18" s="115" t="s">
        <v>171</v>
      </c>
      <c r="O18" s="125">
        <f>IF(P18=0,0,Q18/P18)</f>
        <v>-20.956666666666663</v>
      </c>
      <c r="P18" s="119">
        <v>30</v>
      </c>
      <c r="Q18" s="107">
        <v>-628.69999999999993</v>
      </c>
    </row>
    <row r="19" spans="1:17" x14ac:dyDescent="0.4">
      <c r="A19" s="55" t="s">
        <v>11</v>
      </c>
      <c r="B19" s="47">
        <v>108</v>
      </c>
      <c r="C19" s="39">
        <f>IF(B$17=0,0,B19/B$17)</f>
        <v>0.57446808510638303</v>
      </c>
      <c r="E19" s="63" t="s">
        <v>94</v>
      </c>
      <c r="F19" s="60" t="s">
        <v>49</v>
      </c>
      <c r="G19" s="47">
        <v>2</v>
      </c>
      <c r="H19" s="133">
        <f>IF(B$17=0,0,G19/B$17)</f>
        <v>1.0638297872340425E-2</v>
      </c>
      <c r="I19" s="94">
        <v>1</v>
      </c>
      <c r="K19" s="38">
        <v>17</v>
      </c>
      <c r="L19" s="99">
        <v>-538.29999999999995</v>
      </c>
      <c r="N19" s="115" t="s">
        <v>173</v>
      </c>
      <c r="O19" s="125">
        <f>IF(P19=0,0,Q19/P19)</f>
        <v>-21.862499999999997</v>
      </c>
      <c r="P19" s="119">
        <v>8</v>
      </c>
      <c r="Q19" s="107">
        <v>-174.89999999999998</v>
      </c>
    </row>
    <row r="20" spans="1:17" x14ac:dyDescent="0.4">
      <c r="A20" s="55" t="s">
        <v>13</v>
      </c>
      <c r="B20" s="47">
        <v>147</v>
      </c>
      <c r="C20" s="39">
        <f>IF(B$3=0,0,B20/B$3)</f>
        <v>0.18894601542416453</v>
      </c>
      <c r="E20" s="63" t="s">
        <v>76</v>
      </c>
      <c r="F20" s="60" t="s">
        <v>31</v>
      </c>
      <c r="G20" s="47">
        <v>1</v>
      </c>
      <c r="H20" s="133">
        <f>IF(B$17=0,0,G20/B$17)</f>
        <v>5.3191489361702126E-3</v>
      </c>
      <c r="I20" s="94">
        <v>6</v>
      </c>
      <c r="K20" s="38">
        <v>18</v>
      </c>
      <c r="L20" s="99">
        <v>-537.19999999999993</v>
      </c>
      <c r="N20" s="115" t="s">
        <v>184</v>
      </c>
      <c r="O20" s="125">
        <f>IF(P20=0,0,Q20/P20)</f>
        <v>-24.44</v>
      </c>
      <c r="P20" s="119">
        <v>5</v>
      </c>
      <c r="Q20" s="107">
        <v>-122.2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78</v>
      </c>
      <c r="F21" s="60" t="s">
        <v>33</v>
      </c>
      <c r="G21" s="47">
        <v>1</v>
      </c>
      <c r="H21" s="133">
        <f>IF(B$17=0,0,G21/B$17)</f>
        <v>5.3191489361702126E-3</v>
      </c>
      <c r="I21" s="94">
        <v>1</v>
      </c>
      <c r="K21" s="38">
        <v>19</v>
      </c>
      <c r="L21" s="99">
        <v>-569.49999999999989</v>
      </c>
      <c r="N21" s="115" t="s">
        <v>127</v>
      </c>
      <c r="O21" s="125">
        <f>IF(P21=0,0,Q21/P21)</f>
        <v>-28.908474576271196</v>
      </c>
      <c r="P21" s="119">
        <v>59</v>
      </c>
      <c r="Q21" s="107">
        <v>-1705.6000000000006</v>
      </c>
    </row>
    <row r="22" spans="1:17" x14ac:dyDescent="0.4">
      <c r="A22" s="55" t="s">
        <v>192</v>
      </c>
      <c r="B22" s="47">
        <v>31</v>
      </c>
      <c r="C22" s="135">
        <v>4</v>
      </c>
      <c r="E22" s="63" t="s">
        <v>80</v>
      </c>
      <c r="F22" s="60" t="s">
        <v>35</v>
      </c>
      <c r="G22" s="47">
        <v>1</v>
      </c>
      <c r="H22" s="133">
        <f>IF(B$17=0,0,G22/B$17)</f>
        <v>5.3191489361702126E-3</v>
      </c>
      <c r="I22" s="94">
        <v>10</v>
      </c>
      <c r="K22" s="38">
        <v>20</v>
      </c>
      <c r="L22" s="99">
        <v>-632.99999999999989</v>
      </c>
      <c r="N22" s="115" t="s">
        <v>172</v>
      </c>
      <c r="O22" s="125">
        <f>IF(P22=0,0,Q22/P22)</f>
        <v>-31.945454545454542</v>
      </c>
      <c r="P22" s="119">
        <v>22</v>
      </c>
      <c r="Q22" s="107">
        <v>-702.8</v>
      </c>
    </row>
    <row r="23" spans="1:17" x14ac:dyDescent="0.4">
      <c r="A23" s="55" t="s">
        <v>5</v>
      </c>
      <c r="B23" s="51">
        <f>IF(B$17=0,0,C23/B$17)</f>
        <v>8755.3191489361707</v>
      </c>
      <c r="C23" s="41">
        <v>1646000</v>
      </c>
      <c r="E23" s="63" t="s">
        <v>89</v>
      </c>
      <c r="F23" s="60" t="s">
        <v>44</v>
      </c>
      <c r="G23" s="47">
        <v>1</v>
      </c>
      <c r="H23" s="133">
        <f>IF(B$17=0,0,G23/B$17)</f>
        <v>5.3191489361702126E-3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-9236.0544217687075</v>
      </c>
      <c r="C24" s="45">
        <v>-1357700</v>
      </c>
      <c r="E24" s="63" t="s">
        <v>92</v>
      </c>
      <c r="F24" s="60" t="s">
        <v>47</v>
      </c>
      <c r="G24" s="47">
        <v>1</v>
      </c>
      <c r="H24" s="133">
        <f>IF(B$17=0,0,G24/B$17)</f>
        <v>5.3191489361702126E-3</v>
      </c>
      <c r="I24" s="94">
        <v>8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4">
        <v>7</v>
      </c>
      <c r="C25" s="145"/>
      <c r="E25" s="63" t="s">
        <v>93</v>
      </c>
      <c r="F25" s="60" t="s">
        <v>48</v>
      </c>
      <c r="G25" s="47">
        <v>1</v>
      </c>
      <c r="H25" s="133">
        <f>IF(B$17=0,0,G25/B$17)</f>
        <v>5.3191489361702126E-3</v>
      </c>
      <c r="I25" s="94">
        <v>4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74</v>
      </c>
      <c r="F26" s="60" t="s">
        <v>29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1.2853470437017994E-3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-876.19999999999993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-931.09999999999991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D06C9-18AA-4D0E-8BEF-EB3D00FB9924}">
  <sheetPr codeName="Sheet13"/>
  <dimension ref="A1:Q9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91</v>
      </c>
      <c r="C2" s="151"/>
      <c r="E2" s="62" t="s">
        <v>67</v>
      </c>
      <c r="F2" s="59" t="s">
        <v>23</v>
      </c>
      <c r="G2" s="46">
        <v>176</v>
      </c>
      <c r="H2" s="132">
        <f>IF(B$17=0,0,G2/B$17)</f>
        <v>0.81860465116279069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-665.93406593406598</v>
      </c>
      <c r="P2" s="118">
        <v>91</v>
      </c>
      <c r="Q2" s="102">
        <v>-60600</v>
      </c>
    </row>
    <row r="3" spans="1:17" x14ac:dyDescent="0.4">
      <c r="A3" s="55" t="s">
        <v>8</v>
      </c>
      <c r="B3" s="152">
        <v>761</v>
      </c>
      <c r="C3" s="153"/>
      <c r="E3" s="63" t="s">
        <v>65</v>
      </c>
      <c r="F3" s="60" t="s">
        <v>21</v>
      </c>
      <c r="G3" s="47">
        <v>117</v>
      </c>
      <c r="H3" s="133">
        <f>IF(B$17=0,0,G3/B$17)</f>
        <v>0.54418604651162794</v>
      </c>
      <c r="I3" s="94">
        <v>6</v>
      </c>
      <c r="K3" s="38">
        <v>1</v>
      </c>
      <c r="L3" s="99">
        <v>-51.2</v>
      </c>
      <c r="N3" s="115" t="s">
        <v>133</v>
      </c>
      <c r="O3" s="122">
        <f t="shared" si="0"/>
        <v>202.24719101123594</v>
      </c>
      <c r="P3" s="119">
        <v>89</v>
      </c>
      <c r="Q3" s="103">
        <v>18000</v>
      </c>
    </row>
    <row r="4" spans="1:17" x14ac:dyDescent="0.4">
      <c r="A4" s="55" t="s">
        <v>6</v>
      </c>
      <c r="B4" s="154">
        <v>-9.1999999999999726</v>
      </c>
      <c r="C4" s="155"/>
      <c r="E4" s="63" t="s">
        <v>73</v>
      </c>
      <c r="F4" s="60" t="s">
        <v>28</v>
      </c>
      <c r="G4" s="47">
        <v>112</v>
      </c>
      <c r="H4" s="133">
        <f>IF(B$17=0,0,G4/B$17)</f>
        <v>0.52093023255813953</v>
      </c>
      <c r="I4" s="94">
        <v>8</v>
      </c>
      <c r="K4" s="38">
        <v>2</v>
      </c>
      <c r="L4" s="99">
        <v>-93.300000000000011</v>
      </c>
      <c r="N4" s="115" t="s">
        <v>134</v>
      </c>
      <c r="O4" s="122">
        <f t="shared" si="0"/>
        <v>1231.7073170731708</v>
      </c>
      <c r="P4" s="119">
        <v>82</v>
      </c>
      <c r="Q4" s="103">
        <v>101000</v>
      </c>
    </row>
    <row r="5" spans="1:17" x14ac:dyDescent="0.4">
      <c r="A5" s="55" t="s">
        <v>7</v>
      </c>
      <c r="B5" s="156">
        <f>IF(B$2=0,0,B$4/B$2)</f>
        <v>-0.1010989010989008</v>
      </c>
      <c r="C5" s="157"/>
      <c r="E5" s="63" t="s">
        <v>245</v>
      </c>
      <c r="F5" s="60" t="s">
        <v>246</v>
      </c>
      <c r="G5" s="47">
        <v>81</v>
      </c>
      <c r="H5" s="133">
        <f>IF(B$17=0,0,G5/B$17)</f>
        <v>0.37674418604651161</v>
      </c>
      <c r="I5" s="94">
        <v>10</v>
      </c>
      <c r="K5" s="38">
        <v>3</v>
      </c>
      <c r="L5" s="99">
        <v>-60.100000000000009</v>
      </c>
      <c r="N5" s="115" t="s">
        <v>135</v>
      </c>
      <c r="O5" s="122">
        <f t="shared" si="0"/>
        <v>838.02816901408448</v>
      </c>
      <c r="P5" s="119">
        <v>71</v>
      </c>
      <c r="Q5" s="103">
        <v>59500</v>
      </c>
    </row>
    <row r="6" spans="1:17" x14ac:dyDescent="0.4">
      <c r="A6" s="55" t="s">
        <v>1</v>
      </c>
      <c r="B6" s="146">
        <f>IF(B$2=0,0,(B$7*1+B$8*2+B$9*3)/B$2)</f>
        <v>2.0439560439560438</v>
      </c>
      <c r="C6" s="147"/>
      <c r="E6" s="63" t="s">
        <v>68</v>
      </c>
      <c r="F6" s="60" t="s">
        <v>24</v>
      </c>
      <c r="G6" s="47">
        <v>70</v>
      </c>
      <c r="H6" s="133">
        <f>IF(B$17=0,0,G6/B$17)</f>
        <v>0.32558139534883723</v>
      </c>
      <c r="I6" s="94">
        <v>7</v>
      </c>
      <c r="K6" s="38">
        <v>4</v>
      </c>
      <c r="L6" s="99">
        <v>-11.300000000000011</v>
      </c>
      <c r="N6" s="115" t="s">
        <v>136</v>
      </c>
      <c r="O6" s="122">
        <f t="shared" si="0"/>
        <v>-1033.3333333333333</v>
      </c>
      <c r="P6" s="119">
        <v>63</v>
      </c>
      <c r="Q6" s="103">
        <v>-65100</v>
      </c>
    </row>
    <row r="7" spans="1:17" x14ac:dyDescent="0.4">
      <c r="A7" s="55" t="s">
        <v>2</v>
      </c>
      <c r="B7" s="47">
        <v>27</v>
      </c>
      <c r="C7" s="39">
        <f>IF(B$2=0,0,B7/B$2)</f>
        <v>0.2967032967032967</v>
      </c>
      <c r="E7" s="63" t="s">
        <v>69</v>
      </c>
      <c r="F7" s="60" t="s">
        <v>12</v>
      </c>
      <c r="G7" s="47">
        <v>64</v>
      </c>
      <c r="H7" s="133">
        <f>IF(B$17=0,0,G7/B$17)</f>
        <v>0.29767441860465116</v>
      </c>
      <c r="I7" s="94">
        <v>10</v>
      </c>
      <c r="K7" s="38">
        <v>5</v>
      </c>
      <c r="L7" s="99">
        <v>-36.100000000000009</v>
      </c>
      <c r="N7" s="116" t="s">
        <v>137</v>
      </c>
      <c r="O7" s="123">
        <f t="shared" si="0"/>
        <v>-192.98245614035088</v>
      </c>
      <c r="P7" s="120">
        <v>57</v>
      </c>
      <c r="Q7" s="104">
        <v>-11000</v>
      </c>
    </row>
    <row r="8" spans="1:17" x14ac:dyDescent="0.4">
      <c r="A8" s="55" t="s">
        <v>3</v>
      </c>
      <c r="B8" s="47">
        <v>33</v>
      </c>
      <c r="C8" s="39">
        <f>IF(B$2=0,0,B8/B$2)</f>
        <v>0.36263736263736263</v>
      </c>
      <c r="E8" s="63" t="s">
        <v>70</v>
      </c>
      <c r="F8" s="60" t="s">
        <v>25</v>
      </c>
      <c r="G8" s="47">
        <v>43</v>
      </c>
      <c r="H8" s="133">
        <f>IF(B$17=0,0,G8/B$17)</f>
        <v>0.2</v>
      </c>
      <c r="I8" s="94">
        <v>2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31</v>
      </c>
      <c r="C9" s="40">
        <f t="shared" ref="C9" si="1">IF(B$2=0,0,B9/B$2)</f>
        <v>0.34065934065934067</v>
      </c>
      <c r="E9" s="63" t="s">
        <v>90</v>
      </c>
      <c r="F9" s="60" t="s">
        <v>45</v>
      </c>
      <c r="G9" s="47">
        <v>37</v>
      </c>
      <c r="H9" s="133">
        <f>IF(B$17=0,0,G9/B$17)</f>
        <v>0.17209302325581396</v>
      </c>
      <c r="I9" s="94">
        <v>3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9.8901098901098897E-2</v>
      </c>
      <c r="E10" s="63" t="s">
        <v>66</v>
      </c>
      <c r="F10" s="60" t="s">
        <v>22</v>
      </c>
      <c r="G10" s="47">
        <v>28</v>
      </c>
      <c r="H10" s="133">
        <f>IF(B$17=0,0,G10/B$17)</f>
        <v>0.13023255813953488</v>
      </c>
      <c r="I10" s="94">
        <v>2</v>
      </c>
      <c r="K10" s="38">
        <v>8</v>
      </c>
      <c r="L10" s="99">
        <v>-1.7000000000000028</v>
      </c>
      <c r="N10" s="114" t="s">
        <v>164</v>
      </c>
      <c r="O10" s="124">
        <f>IF(P10=0,0,Q10/P10)</f>
        <v>6.1739130434782608</v>
      </c>
      <c r="P10" s="118">
        <v>23</v>
      </c>
      <c r="Q10" s="106">
        <v>142</v>
      </c>
    </row>
    <row r="11" spans="1:17" x14ac:dyDescent="0.4">
      <c r="A11" s="56" t="s">
        <v>140</v>
      </c>
      <c r="B11" s="48">
        <v>12</v>
      </c>
      <c r="C11" s="40">
        <f>IF(B$2=0,0,B11/B$2)</f>
        <v>0.13186813186813187</v>
      </c>
      <c r="E11" s="63" t="s">
        <v>71</v>
      </c>
      <c r="F11" s="60" t="s">
        <v>26</v>
      </c>
      <c r="G11" s="47">
        <v>23</v>
      </c>
      <c r="H11" s="133">
        <f>IF(B$17=0,0,G11/B$17)</f>
        <v>0.10697674418604651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-2.465714285714284</v>
      </c>
      <c r="P11" s="119">
        <v>35</v>
      </c>
      <c r="Q11" s="107">
        <v>-86.29999999999994</v>
      </c>
    </row>
    <row r="12" spans="1:17" x14ac:dyDescent="0.4">
      <c r="A12" s="57" t="s">
        <v>160</v>
      </c>
      <c r="B12" s="49">
        <v>6</v>
      </c>
      <c r="C12" s="42">
        <f>IF(B$2=0,0,B12/B$2)</f>
        <v>6.5934065934065936E-2</v>
      </c>
      <c r="E12" s="63" t="s">
        <v>87</v>
      </c>
      <c r="F12" s="60" t="s">
        <v>42</v>
      </c>
      <c r="G12" s="47">
        <v>16</v>
      </c>
      <c r="H12" s="133">
        <f>IF(B$17=0,0,G12/B$17)</f>
        <v>7.441860465116279E-2</v>
      </c>
      <c r="I12" s="94">
        <v>4</v>
      </c>
      <c r="K12" s="38">
        <v>10</v>
      </c>
      <c r="L12" s="99">
        <v>-56.500000000000007</v>
      </c>
      <c r="N12" s="116" t="s">
        <v>166</v>
      </c>
      <c r="O12" s="126">
        <f>IF(P12=0,0,Q12/P12)</f>
        <v>-1.9666666666666668</v>
      </c>
      <c r="P12" s="120">
        <v>33</v>
      </c>
      <c r="Q12" s="108">
        <v>-64.900000000000006</v>
      </c>
    </row>
    <row r="13" spans="1:17" x14ac:dyDescent="0.4">
      <c r="A13" s="58" t="s">
        <v>122</v>
      </c>
      <c r="B13" s="50">
        <v>221</v>
      </c>
      <c r="C13" s="44">
        <f>IF(B$3=0,0,B13/B$3)</f>
        <v>0.29040735873850199</v>
      </c>
      <c r="E13" s="63" t="s">
        <v>72</v>
      </c>
      <c r="F13" s="60" t="s">
        <v>27</v>
      </c>
      <c r="G13" s="47">
        <v>14</v>
      </c>
      <c r="H13" s="133">
        <f>IF(B$17=0,0,G13/B$17)</f>
        <v>6.5116279069767441E-2</v>
      </c>
      <c r="I13" s="94">
        <v>7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144</v>
      </c>
      <c r="C14" s="39">
        <f>IF(B$3=0,0,B14/B$3)</f>
        <v>0.18922470433639949</v>
      </c>
      <c r="E14" s="63" t="s">
        <v>84</v>
      </c>
      <c r="F14" s="60" t="s">
        <v>39</v>
      </c>
      <c r="G14" s="47">
        <v>11</v>
      </c>
      <c r="H14" s="133">
        <f>IF(B$17=0,0,G14/B$17)</f>
        <v>5.1162790697674418E-2</v>
      </c>
      <c r="I14" s="94">
        <v>5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125</v>
      </c>
      <c r="C15" s="37">
        <f>IF(B$13=0,0,B15/B$13)</f>
        <v>0.56561085972850678</v>
      </c>
      <c r="E15" s="63" t="s">
        <v>79</v>
      </c>
      <c r="F15" s="60" t="s">
        <v>34</v>
      </c>
      <c r="G15" s="47">
        <v>9</v>
      </c>
      <c r="H15" s="133">
        <f>IF(B$17=0,0,G15/B$17)</f>
        <v>4.1860465116279069E-2</v>
      </c>
      <c r="I15" s="94">
        <v>4</v>
      </c>
      <c r="K15" s="38">
        <v>13</v>
      </c>
      <c r="L15" s="99">
        <v>-58.7</v>
      </c>
      <c r="N15" s="114" t="s">
        <v>184</v>
      </c>
      <c r="O15" s="124">
        <f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59</v>
      </c>
      <c r="C16" s="37">
        <f>IF(B$14=0,0,B16/B$14)</f>
        <v>0.40972222222222221</v>
      </c>
      <c r="E16" s="63" t="s">
        <v>82</v>
      </c>
      <c r="F16" s="60" t="s">
        <v>37</v>
      </c>
      <c r="G16" s="47">
        <v>8</v>
      </c>
      <c r="H16" s="133">
        <f>IF(B$17=0,0,G16/B$17)</f>
        <v>3.7209302325581395E-2</v>
      </c>
      <c r="I16" s="94">
        <v>2</v>
      </c>
      <c r="K16" s="38">
        <v>14</v>
      </c>
      <c r="L16" s="99">
        <v>-29.400000000000002</v>
      </c>
      <c r="N16" s="115" t="s">
        <v>129</v>
      </c>
      <c r="O16" s="125">
        <f>IF(P16=0,0,Q16/P16)</f>
        <v>20.95666666666666</v>
      </c>
      <c r="P16" s="119">
        <v>30</v>
      </c>
      <c r="Q16" s="107">
        <v>628.69999999999982</v>
      </c>
    </row>
    <row r="17" spans="1:17" x14ac:dyDescent="0.4">
      <c r="A17" s="54" t="s">
        <v>10</v>
      </c>
      <c r="B17" s="46">
        <f>B19+B18</f>
        <v>215</v>
      </c>
      <c r="C17" s="37">
        <f>IF(B$3=0,0,B17/B$3)</f>
        <v>0.28252299605781866</v>
      </c>
      <c r="E17" s="63" t="s">
        <v>92</v>
      </c>
      <c r="F17" s="60" t="s">
        <v>47</v>
      </c>
      <c r="G17" s="47">
        <v>6</v>
      </c>
      <c r="H17" s="133">
        <f>IF(B$17=0,0,G17/B$17)</f>
        <v>2.7906976744186046E-2</v>
      </c>
      <c r="I17" s="94">
        <v>2</v>
      </c>
      <c r="K17" s="38">
        <v>15</v>
      </c>
      <c r="L17" s="99">
        <v>-26.3</v>
      </c>
      <c r="N17" s="115" t="s">
        <v>173</v>
      </c>
      <c r="O17" s="125">
        <f>IF(P17=0,0,Q17/P17)</f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89</v>
      </c>
      <c r="C18" s="39">
        <f>IF(B$17=0,0,B18/B$17)</f>
        <v>0.413953488372093</v>
      </c>
      <c r="E18" s="63" t="s">
        <v>80</v>
      </c>
      <c r="F18" s="60" t="s">
        <v>35</v>
      </c>
      <c r="G18" s="47">
        <v>4</v>
      </c>
      <c r="H18" s="133">
        <f>IF(B$17=0,0,G18/B$17)</f>
        <v>1.8604651162790697E-2</v>
      </c>
      <c r="I18" s="94">
        <v>4</v>
      </c>
      <c r="K18" s="38">
        <v>16</v>
      </c>
      <c r="L18" s="99">
        <v>-50.3</v>
      </c>
      <c r="N18" s="115" t="s">
        <v>172</v>
      </c>
      <c r="O18" s="125">
        <f>IF(P18=0,0,Q18/P18)</f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126</v>
      </c>
      <c r="C19" s="39">
        <f>IF(B$17=0,0,B19/B$17)</f>
        <v>0.586046511627907</v>
      </c>
      <c r="E19" s="63" t="s">
        <v>180</v>
      </c>
      <c r="F19" s="60" t="s">
        <v>181</v>
      </c>
      <c r="G19" s="47">
        <v>4</v>
      </c>
      <c r="H19" s="133">
        <f>IF(B$17=0,0,G19/B$17)</f>
        <v>1.8604651162790697E-2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>IF(P19=0,0,Q19/P19)</f>
        <v>-1.1611111111111159</v>
      </c>
      <c r="P19" s="119">
        <v>36</v>
      </c>
      <c r="Q19" s="107">
        <v>-41.800000000000168</v>
      </c>
    </row>
    <row r="20" spans="1:17" x14ac:dyDescent="0.4">
      <c r="A20" s="55" t="s">
        <v>13</v>
      </c>
      <c r="B20" s="47">
        <v>135</v>
      </c>
      <c r="C20" s="39">
        <f>IF(B$3=0,0,B20/B$3)</f>
        <v>0.1773981603153745</v>
      </c>
      <c r="E20" s="63" t="s">
        <v>76</v>
      </c>
      <c r="F20" s="60" t="s">
        <v>31</v>
      </c>
      <c r="G20" s="47">
        <v>3</v>
      </c>
      <c r="H20" s="133">
        <f>IF(B$17=0,0,G20/B$17)</f>
        <v>1.3953488372093023E-2</v>
      </c>
      <c r="I20" s="94">
        <v>2</v>
      </c>
      <c r="K20" s="38">
        <v>18</v>
      </c>
      <c r="L20" s="99">
        <v>-76.099999999999994</v>
      </c>
      <c r="N20" s="115" t="s">
        <v>127</v>
      </c>
      <c r="O20" s="125">
        <f>IF(P20=0,0,Q20/P20)</f>
        <v>-1.6094339622641469</v>
      </c>
      <c r="P20" s="119">
        <v>53</v>
      </c>
      <c r="Q20" s="107">
        <v>-85.299999999999784</v>
      </c>
    </row>
    <row r="21" spans="1:17" x14ac:dyDescent="0.4">
      <c r="A21" s="55" t="s">
        <v>191</v>
      </c>
      <c r="B21" s="47">
        <v>6</v>
      </c>
      <c r="C21" s="135">
        <v>1</v>
      </c>
      <c r="E21" s="63" t="s">
        <v>74</v>
      </c>
      <c r="F21" s="60" t="s">
        <v>29</v>
      </c>
      <c r="G21" s="47">
        <v>2</v>
      </c>
      <c r="H21" s="133">
        <f>IF(B$17=0,0,G21/B$17)</f>
        <v>9.3023255813953487E-3</v>
      </c>
      <c r="I21" s="94">
        <v>3</v>
      </c>
      <c r="K21" s="38">
        <v>19</v>
      </c>
      <c r="L21" s="99">
        <v>0.60000000000000853</v>
      </c>
      <c r="N21" s="115" t="s">
        <v>200</v>
      </c>
      <c r="O21" s="125">
        <f>IF(P21=0,0,Q21/P21)</f>
        <v>-22.524999999999999</v>
      </c>
      <c r="P21" s="119">
        <v>4</v>
      </c>
      <c r="Q21" s="107">
        <v>-90.1</v>
      </c>
    </row>
    <row r="22" spans="1:17" x14ac:dyDescent="0.4">
      <c r="A22" s="55" t="s">
        <v>192</v>
      </c>
      <c r="B22" s="47">
        <v>32</v>
      </c>
      <c r="C22" s="135">
        <v>1</v>
      </c>
      <c r="E22" s="63" t="s">
        <v>85</v>
      </c>
      <c r="F22" s="60" t="s">
        <v>40</v>
      </c>
      <c r="G22" s="47">
        <v>2</v>
      </c>
      <c r="H22" s="133">
        <f>IF(B$17=0,0,G22/B$17)</f>
        <v>9.3023255813953487E-3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>IF(P22=0,0,Q22/P22)</f>
        <v>-41.294444444444444</v>
      </c>
      <c r="P22" s="119">
        <v>18</v>
      </c>
      <c r="Q22" s="107">
        <v>-743.3</v>
      </c>
    </row>
    <row r="23" spans="1:17" x14ac:dyDescent="0.4">
      <c r="A23" s="55" t="s">
        <v>5</v>
      </c>
      <c r="B23" s="51">
        <f>IF(B$17=0,0,C23/B$17)</f>
        <v>9848.3720930232557</v>
      </c>
      <c r="C23" s="41">
        <v>2117400</v>
      </c>
      <c r="E23" s="63" t="s">
        <v>93</v>
      </c>
      <c r="F23" s="60" t="s">
        <v>48</v>
      </c>
      <c r="G23" s="47">
        <v>2</v>
      </c>
      <c r="H23" s="133">
        <f>IF(B$17=0,0,G23/B$17)</f>
        <v>9.3023255813953487E-3</v>
      </c>
      <c r="I23" s="94">
        <v>1</v>
      </c>
      <c r="K23" s="38">
        <v>21</v>
      </c>
      <c r="L23" s="99">
        <v>-3.0999999999999917</v>
      </c>
      <c r="N23" s="115" t="s">
        <v>222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-8548.1481481481478</v>
      </c>
      <c r="C24" s="45">
        <v>-1154000</v>
      </c>
      <c r="E24" s="63" t="s">
        <v>88</v>
      </c>
      <c r="F24" s="60" t="s">
        <v>43</v>
      </c>
      <c r="G24" s="47">
        <v>1</v>
      </c>
      <c r="H24" s="133">
        <f>IF(B$17=0,0,G24/B$17)</f>
        <v>4.6511627906976744E-3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1</v>
      </c>
      <c r="H25" s="133">
        <f>IF(B$17=0,0,G25/B$17)</f>
        <v>4.6511627906976744E-3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91700</v>
      </c>
      <c r="C26" s="143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7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1.3140604467805519E-3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9CD6D-3745-49B6-BFDF-E5ECEEC11844}">
  <sheetPr codeName="Sheet15"/>
  <dimension ref="A1:Q8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80</v>
      </c>
      <c r="C2" s="151"/>
      <c r="E2" s="62" t="s">
        <v>67</v>
      </c>
      <c r="F2" s="59" t="s">
        <v>23</v>
      </c>
      <c r="G2" s="46">
        <v>154</v>
      </c>
      <c r="H2" s="132">
        <f>IF(B$17=0,0,G2/B$17)</f>
        <v>0.66094420600858372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527.5</v>
      </c>
      <c r="P2" s="118">
        <v>80</v>
      </c>
      <c r="Q2" s="102">
        <v>42200</v>
      </c>
    </row>
    <row r="3" spans="1:17" x14ac:dyDescent="0.4">
      <c r="A3" s="55" t="s">
        <v>8</v>
      </c>
      <c r="B3" s="152">
        <v>680</v>
      </c>
      <c r="C3" s="153"/>
      <c r="E3" s="63" t="s">
        <v>73</v>
      </c>
      <c r="F3" s="60" t="s">
        <v>28</v>
      </c>
      <c r="G3" s="47">
        <v>135</v>
      </c>
      <c r="H3" s="133">
        <f>IF(B$17=0,0,G3/B$17)</f>
        <v>0.57939914163090134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-1382.5</v>
      </c>
      <c r="P3" s="119">
        <v>80</v>
      </c>
      <c r="Q3" s="103">
        <v>-110600</v>
      </c>
    </row>
    <row r="4" spans="1:17" x14ac:dyDescent="0.4">
      <c r="A4" s="55" t="s">
        <v>6</v>
      </c>
      <c r="B4" s="154">
        <v>-114.70000000000002</v>
      </c>
      <c r="C4" s="155"/>
      <c r="E4" s="63" t="s">
        <v>245</v>
      </c>
      <c r="F4" s="60" t="s">
        <v>246</v>
      </c>
      <c r="G4" s="47">
        <v>100</v>
      </c>
      <c r="H4" s="133">
        <f>IF(B$17=0,0,G4/B$17)</f>
        <v>0.42918454935622319</v>
      </c>
      <c r="I4" s="94">
        <v>3</v>
      </c>
      <c r="K4" s="38">
        <v>2</v>
      </c>
      <c r="L4" s="99">
        <v>-7.7000000000000011</v>
      </c>
      <c r="N4" s="115" t="s">
        <v>134</v>
      </c>
      <c r="O4" s="122">
        <f t="shared" si="0"/>
        <v>-1616.9014084507041</v>
      </c>
      <c r="P4" s="119">
        <v>71</v>
      </c>
      <c r="Q4" s="103">
        <v>-114800</v>
      </c>
    </row>
    <row r="5" spans="1:17" x14ac:dyDescent="0.4">
      <c r="A5" s="55" t="s">
        <v>7</v>
      </c>
      <c r="B5" s="156">
        <f>IF(B$2=0,0,B$4/B$2)</f>
        <v>-1.4337500000000003</v>
      </c>
      <c r="C5" s="157"/>
      <c r="E5" s="63" t="s">
        <v>65</v>
      </c>
      <c r="F5" s="60" t="s">
        <v>21</v>
      </c>
      <c r="G5" s="47">
        <v>80</v>
      </c>
      <c r="H5" s="133">
        <f>IF(B$17=0,0,G5/B$17)</f>
        <v>0.34334763948497854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964.70588235294122</v>
      </c>
      <c r="P5" s="119">
        <v>68</v>
      </c>
      <c r="Q5" s="103">
        <v>65600</v>
      </c>
    </row>
    <row r="6" spans="1:17" x14ac:dyDescent="0.4">
      <c r="A6" s="55" t="s">
        <v>1</v>
      </c>
      <c r="B6" s="146">
        <f>IF(B$2=0,0,(B$7*1+B$8*2+B$9*3)/B$2)</f>
        <v>2.0499999999999998</v>
      </c>
      <c r="C6" s="147"/>
      <c r="E6" s="63" t="s">
        <v>69</v>
      </c>
      <c r="F6" s="60" t="s">
        <v>12</v>
      </c>
      <c r="G6" s="47">
        <v>60</v>
      </c>
      <c r="H6" s="133">
        <f>IF(B$17=0,0,G6/B$17)</f>
        <v>0.25751072961373389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861.90476190476193</v>
      </c>
      <c r="P6" s="119">
        <v>63</v>
      </c>
      <c r="Q6" s="103">
        <v>54300</v>
      </c>
    </row>
    <row r="7" spans="1:17" x14ac:dyDescent="0.4">
      <c r="A7" s="55" t="s">
        <v>2</v>
      </c>
      <c r="B7" s="47">
        <v>21</v>
      </c>
      <c r="C7" s="39">
        <f>IF(B$2=0,0,B7/B$2)</f>
        <v>0.26250000000000001</v>
      </c>
      <c r="E7" s="63" t="s">
        <v>68</v>
      </c>
      <c r="F7" s="60" t="s">
        <v>24</v>
      </c>
      <c r="G7" s="47">
        <v>40</v>
      </c>
      <c r="H7" s="133">
        <f>IF(B$17=0,0,G7/B$17)</f>
        <v>0.17167381974248927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-427.27272727272725</v>
      </c>
      <c r="P7" s="120">
        <v>55</v>
      </c>
      <c r="Q7" s="104">
        <v>-23500</v>
      </c>
    </row>
    <row r="8" spans="1:17" x14ac:dyDescent="0.4">
      <c r="A8" s="55" t="s">
        <v>3</v>
      </c>
      <c r="B8" s="47">
        <v>34</v>
      </c>
      <c r="C8" s="39">
        <f>IF(B$2=0,0,B8/B$2)</f>
        <v>0.42499999999999999</v>
      </c>
      <c r="E8" s="63" t="s">
        <v>70</v>
      </c>
      <c r="F8" s="60" t="s">
        <v>25</v>
      </c>
      <c r="G8" s="47">
        <v>33</v>
      </c>
      <c r="H8" s="133">
        <f>IF(B$17=0,0,G8/B$17)</f>
        <v>0.14163090128755365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25</v>
      </c>
      <c r="C9" s="40">
        <f t="shared" ref="C9" si="1">IF(B$2=0,0,B9/B$2)</f>
        <v>0.3125</v>
      </c>
      <c r="E9" s="63" t="s">
        <v>66</v>
      </c>
      <c r="F9" s="60" t="s">
        <v>22</v>
      </c>
      <c r="G9" s="47">
        <v>26</v>
      </c>
      <c r="H9" s="133">
        <f>IF(B$17=0,0,G9/B$17)</f>
        <v>0.11158798283261803</v>
      </c>
      <c r="I9" s="94">
        <v>6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0.05</v>
      </c>
      <c r="E10" s="63" t="s">
        <v>72</v>
      </c>
      <c r="F10" s="60" t="s">
        <v>27</v>
      </c>
      <c r="G10" s="47">
        <v>19</v>
      </c>
      <c r="H10" s="133">
        <f>IF(B$17=0,0,G10/B$17)</f>
        <v>8.15450643776824E-2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-8.5565217391304369</v>
      </c>
      <c r="P10" s="118">
        <v>23</v>
      </c>
      <c r="Q10" s="106">
        <v>-196.80000000000007</v>
      </c>
    </row>
    <row r="11" spans="1:17" x14ac:dyDescent="0.4">
      <c r="A11" s="56" t="s">
        <v>140</v>
      </c>
      <c r="B11" s="48">
        <v>9</v>
      </c>
      <c r="C11" s="40">
        <f>IF(B$2=0,0,B11/B$2)</f>
        <v>0.1125</v>
      </c>
      <c r="E11" s="63" t="s">
        <v>90</v>
      </c>
      <c r="F11" s="60" t="s">
        <v>45</v>
      </c>
      <c r="G11" s="47">
        <v>18</v>
      </c>
      <c r="H11" s="133">
        <f>IF(B$17=0,0,G11/B$17)</f>
        <v>7.7253218884120178E-2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3.0346153846153845</v>
      </c>
      <c r="P11" s="119">
        <v>26</v>
      </c>
      <c r="Q11" s="107">
        <v>78.899999999999991</v>
      </c>
    </row>
    <row r="12" spans="1:17" x14ac:dyDescent="0.4">
      <c r="A12" s="57" t="s">
        <v>160</v>
      </c>
      <c r="B12" s="49">
        <v>6</v>
      </c>
      <c r="C12" s="42">
        <f>IF(B$2=0,0,B12/B$2)</f>
        <v>7.4999999999999997E-2</v>
      </c>
      <c r="E12" s="63" t="s">
        <v>84</v>
      </c>
      <c r="F12" s="60" t="s">
        <v>39</v>
      </c>
      <c r="G12" s="47">
        <v>16</v>
      </c>
      <c r="H12" s="133">
        <f>IF(B$17=0,0,G12/B$17)</f>
        <v>6.8669527896995708E-2</v>
      </c>
      <c r="I12" s="94">
        <v>3</v>
      </c>
      <c r="K12" s="38">
        <v>10</v>
      </c>
      <c r="L12" s="99">
        <v>24.200000000000003</v>
      </c>
      <c r="N12" s="116" t="s">
        <v>166</v>
      </c>
      <c r="O12" s="126">
        <f>IF(P12=0,0,Q12/P12)</f>
        <v>0.10322580645161285</v>
      </c>
      <c r="P12" s="120">
        <v>31</v>
      </c>
      <c r="Q12" s="108">
        <v>3.1999999999999984</v>
      </c>
    </row>
    <row r="13" spans="1:17" x14ac:dyDescent="0.4">
      <c r="A13" s="58" t="s">
        <v>122</v>
      </c>
      <c r="B13" s="50">
        <v>143</v>
      </c>
      <c r="C13" s="44">
        <f>IF(B$3=0,0,B13/B$3)</f>
        <v>0.21029411764705883</v>
      </c>
      <c r="E13" s="63" t="s">
        <v>71</v>
      </c>
      <c r="F13" s="60" t="s">
        <v>26</v>
      </c>
      <c r="G13" s="47">
        <v>15</v>
      </c>
      <c r="H13" s="133">
        <f>IF(B$17=0,0,G13/B$17)</f>
        <v>6.4377682403433473E-2</v>
      </c>
      <c r="I13" s="94">
        <v>9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199</v>
      </c>
      <c r="C14" s="39">
        <f>IF(B$3=0,0,B14/B$3)</f>
        <v>0.29264705882352943</v>
      </c>
      <c r="E14" s="63" t="s">
        <v>87</v>
      </c>
      <c r="F14" s="60" t="s">
        <v>42</v>
      </c>
      <c r="G14" s="47">
        <v>9</v>
      </c>
      <c r="H14" s="133">
        <f>IF(B$17=0,0,G14/B$17)</f>
        <v>3.8626609442060089E-2</v>
      </c>
      <c r="I14" s="94">
        <v>9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80</v>
      </c>
      <c r="C15" s="37">
        <f>IF(B$13=0,0,B15/B$13)</f>
        <v>0.55944055944055948</v>
      </c>
      <c r="E15" s="63" t="s">
        <v>82</v>
      </c>
      <c r="F15" s="60" t="s">
        <v>37</v>
      </c>
      <c r="G15" s="47">
        <v>8</v>
      </c>
      <c r="H15" s="133">
        <f>IF(B$17=0,0,G15/B$17)</f>
        <v>3.4334763948497854E-2</v>
      </c>
      <c r="I15" s="94">
        <v>3</v>
      </c>
      <c r="K15" s="38">
        <v>13</v>
      </c>
      <c r="L15" s="99">
        <v>-3</v>
      </c>
      <c r="N15" s="114" t="s">
        <v>129</v>
      </c>
      <c r="O15" s="124">
        <f>IF(P15=0,0,Q15/P15)</f>
        <v>31.945454545454538</v>
      </c>
      <c r="P15" s="118">
        <v>22</v>
      </c>
      <c r="Q15" s="106">
        <v>702.79999999999984</v>
      </c>
    </row>
    <row r="16" spans="1:17" x14ac:dyDescent="0.4">
      <c r="A16" s="54" t="s">
        <v>125</v>
      </c>
      <c r="B16" s="46">
        <v>85</v>
      </c>
      <c r="C16" s="37">
        <f>IF(B$14=0,0,B16/B$14)</f>
        <v>0.42713567839195982</v>
      </c>
      <c r="E16" s="63" t="s">
        <v>92</v>
      </c>
      <c r="F16" s="60" t="s">
        <v>47</v>
      </c>
      <c r="G16" s="47">
        <v>4</v>
      </c>
      <c r="H16" s="133">
        <f>IF(B$17=0,0,G16/B$17)</f>
        <v>1.7167381974248927E-2</v>
      </c>
      <c r="I16" s="94">
        <v>6</v>
      </c>
      <c r="K16" s="38">
        <v>14</v>
      </c>
      <c r="L16" s="99">
        <v>-12.3</v>
      </c>
      <c r="N16" s="115" t="s">
        <v>223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233</v>
      </c>
      <c r="C17" s="37">
        <f>IF(B$3=0,0,B17/B$3)</f>
        <v>0.34264705882352942</v>
      </c>
      <c r="E17" s="63" t="s">
        <v>79</v>
      </c>
      <c r="F17" s="60" t="s">
        <v>34</v>
      </c>
      <c r="G17" s="47">
        <v>3</v>
      </c>
      <c r="H17" s="133">
        <f>IF(B$17=0,0,G17/B$17)</f>
        <v>1.2875536480686695E-2</v>
      </c>
      <c r="I17" s="94">
        <v>10</v>
      </c>
      <c r="K17" s="38">
        <v>15</v>
      </c>
      <c r="L17" s="99">
        <v>-80.3</v>
      </c>
      <c r="N17" s="115" t="s">
        <v>184</v>
      </c>
      <c r="O17" s="125">
        <f>IF(P17=0,0,Q17/P17)</f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97</v>
      </c>
      <c r="C18" s="39">
        <f>IF(B$17=0,0,B18/B$17)</f>
        <v>0.41630901287553645</v>
      </c>
      <c r="E18" s="63" t="s">
        <v>80</v>
      </c>
      <c r="F18" s="60" t="s">
        <v>35</v>
      </c>
      <c r="G18" s="47">
        <v>3</v>
      </c>
      <c r="H18" s="133">
        <f>IF(B$17=0,0,G18/B$17)</f>
        <v>1.2875536480686695E-2</v>
      </c>
      <c r="I18" s="94">
        <v>7</v>
      </c>
      <c r="K18" s="38">
        <v>16</v>
      </c>
      <c r="L18" s="99">
        <v>-87.6</v>
      </c>
      <c r="N18" s="115" t="s">
        <v>173</v>
      </c>
      <c r="O18" s="125">
        <f>IF(P18=0,0,Q18/P18)</f>
        <v>6.6333333333333302</v>
      </c>
      <c r="P18" s="119">
        <v>12</v>
      </c>
      <c r="Q18" s="107">
        <v>79.599999999999966</v>
      </c>
    </row>
    <row r="19" spans="1:17" x14ac:dyDescent="0.4">
      <c r="A19" s="55" t="s">
        <v>11</v>
      </c>
      <c r="B19" s="47">
        <v>136</v>
      </c>
      <c r="C19" s="39">
        <f>IF(B$17=0,0,B19/B$17)</f>
        <v>0.58369098712446355</v>
      </c>
      <c r="E19" s="63" t="s">
        <v>74</v>
      </c>
      <c r="F19" s="60" t="s">
        <v>29</v>
      </c>
      <c r="G19" s="47">
        <v>1</v>
      </c>
      <c r="H19" s="133">
        <f>IF(B$17=0,0,G19/B$17)</f>
        <v>4.2918454935622317E-3</v>
      </c>
      <c r="I19" s="94">
        <v>7</v>
      </c>
      <c r="K19" s="38">
        <v>17</v>
      </c>
      <c r="L19" s="99">
        <v>-55.099999999999994</v>
      </c>
      <c r="N19" s="115" t="s">
        <v>128</v>
      </c>
      <c r="O19" s="125">
        <f>IF(P19=0,0,Q19/P19)</f>
        <v>4.3735294117647054</v>
      </c>
      <c r="P19" s="119">
        <v>34</v>
      </c>
      <c r="Q19" s="107">
        <v>148.69999999999999</v>
      </c>
    </row>
    <row r="20" spans="1:17" x14ac:dyDescent="0.4">
      <c r="A20" s="55" t="s">
        <v>13</v>
      </c>
      <c r="B20" s="47">
        <v>95</v>
      </c>
      <c r="C20" s="39">
        <f>IF(B$3=0,0,B20/B$3)</f>
        <v>0.13970588235294118</v>
      </c>
      <c r="E20" s="63" t="s">
        <v>75</v>
      </c>
      <c r="F20" s="60" t="s">
        <v>30</v>
      </c>
      <c r="G20" s="47">
        <v>1</v>
      </c>
      <c r="H20" s="133">
        <f>IF(B$17=0,0,G20/B$17)</f>
        <v>4.2918454935622317E-3</v>
      </c>
      <c r="I20" s="94">
        <v>6</v>
      </c>
      <c r="K20" s="38">
        <v>18</v>
      </c>
      <c r="L20" s="99">
        <v>-28.199999999999996</v>
      </c>
      <c r="N20" s="115" t="s">
        <v>200</v>
      </c>
      <c r="O20" s="125">
        <f>IF(P20=0,0,Q20/P20)</f>
        <v>-2.7400000000000033</v>
      </c>
      <c r="P20" s="119">
        <v>5</v>
      </c>
      <c r="Q20" s="107">
        <v>-13.700000000000017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4.2918454935622317E-3</v>
      </c>
      <c r="I21" s="94">
        <v>7</v>
      </c>
      <c r="K21" s="38">
        <v>19</v>
      </c>
      <c r="L21" s="99">
        <v>29.200000000000003</v>
      </c>
      <c r="N21" s="115" t="s">
        <v>171</v>
      </c>
      <c r="O21" s="125">
        <f>IF(P21=0,0,Q21/P21)</f>
        <v>-4.6450000000000005</v>
      </c>
      <c r="P21" s="119">
        <v>20</v>
      </c>
      <c r="Q21" s="107">
        <v>-92.9</v>
      </c>
    </row>
    <row r="22" spans="1:17" x14ac:dyDescent="0.4">
      <c r="A22" s="55" t="s">
        <v>192</v>
      </c>
      <c r="B22" s="47">
        <v>23</v>
      </c>
      <c r="C22" s="135">
        <v>3</v>
      </c>
      <c r="E22" s="63" t="s">
        <v>88</v>
      </c>
      <c r="F22" s="60" t="s">
        <v>43</v>
      </c>
      <c r="G22" s="47">
        <v>1</v>
      </c>
      <c r="H22" s="133">
        <f>IF(B$17=0,0,G22/B$17)</f>
        <v>4.2918454935622317E-3</v>
      </c>
      <c r="I22" s="94">
        <v>4</v>
      </c>
      <c r="K22" s="38">
        <v>20</v>
      </c>
      <c r="L22" s="99">
        <v>43</v>
      </c>
      <c r="N22" s="115" t="s">
        <v>177</v>
      </c>
      <c r="O22" s="125">
        <f>IF(P22=0,0,Q22/P22)</f>
        <v>-4.8894736842105262</v>
      </c>
      <c r="P22" s="119">
        <v>19</v>
      </c>
      <c r="Q22" s="107">
        <v>-92.9</v>
      </c>
    </row>
    <row r="23" spans="1:17" x14ac:dyDescent="0.4">
      <c r="A23" s="55" t="s">
        <v>5</v>
      </c>
      <c r="B23" s="51">
        <f>IF(B$17=0,0,C23/B$17)</f>
        <v>6754.0772532188839</v>
      </c>
      <c r="C23" s="41">
        <v>1573700</v>
      </c>
      <c r="E23" s="63" t="s">
        <v>91</v>
      </c>
      <c r="F23" s="60" t="s">
        <v>46</v>
      </c>
      <c r="G23" s="47">
        <v>1</v>
      </c>
      <c r="H23" s="133">
        <f>IF(B$17=0,0,G23/B$17)</f>
        <v>4.2918454935622317E-3</v>
      </c>
      <c r="I23" s="94">
        <v>3</v>
      </c>
      <c r="K23" s="38">
        <v>21</v>
      </c>
      <c r="L23" s="99">
        <v>89.9</v>
      </c>
      <c r="N23" s="115" t="s">
        <v>127</v>
      </c>
      <c r="O23" s="125">
        <f>IF(P23=0,0,Q23/P23)</f>
        <v>-25.348888888888887</v>
      </c>
      <c r="P23" s="119">
        <v>45</v>
      </c>
      <c r="Q23" s="107">
        <v>-1140.6999999999998</v>
      </c>
    </row>
    <row r="24" spans="1:17" x14ac:dyDescent="0.4">
      <c r="A24" s="57" t="s">
        <v>14</v>
      </c>
      <c r="B24" s="52">
        <f>IF(B$20=0,0,C24/B$20)</f>
        <v>-8538.9473684210534</v>
      </c>
      <c r="C24" s="45">
        <v>-811200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5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1.4705882352941176E-3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30.400000000000006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A85EF-C5A1-4B36-8F2C-BDE13098FD52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47</v>
      </c>
      <c r="C2" s="151"/>
      <c r="E2" s="62" t="s">
        <v>67</v>
      </c>
      <c r="F2" s="59" t="s">
        <v>23</v>
      </c>
      <c r="G2" s="46">
        <v>78</v>
      </c>
      <c r="H2" s="132">
        <f>IF(B$17=0,0,G2/B$17)</f>
        <v>0.66666666666666663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-2731.9148936170213</v>
      </c>
      <c r="P2" s="118">
        <v>47</v>
      </c>
      <c r="Q2" s="102">
        <v>-128400</v>
      </c>
    </row>
    <row r="3" spans="1:17" x14ac:dyDescent="0.4">
      <c r="A3" s="55" t="s">
        <v>8</v>
      </c>
      <c r="B3" s="152">
        <v>405</v>
      </c>
      <c r="C3" s="153"/>
      <c r="E3" s="63" t="s">
        <v>73</v>
      </c>
      <c r="F3" s="60" t="s">
        <v>28</v>
      </c>
      <c r="G3" s="47">
        <v>62</v>
      </c>
      <c r="H3" s="133">
        <f>IF(B$17=0,0,G3/B$17)</f>
        <v>0.52991452991452992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2059.5744680851062</v>
      </c>
      <c r="P3" s="119">
        <v>47</v>
      </c>
      <c r="Q3" s="103">
        <v>96800</v>
      </c>
    </row>
    <row r="4" spans="1:17" x14ac:dyDescent="0.4">
      <c r="A4" s="55" t="s">
        <v>6</v>
      </c>
      <c r="B4" s="154">
        <v>-439.7</v>
      </c>
      <c r="C4" s="155"/>
      <c r="E4" s="63" t="s">
        <v>65</v>
      </c>
      <c r="F4" s="60" t="s">
        <v>21</v>
      </c>
      <c r="G4" s="47">
        <v>50</v>
      </c>
      <c r="H4" s="133">
        <f>IF(B$17=0,0,G4/B$17)</f>
        <v>0.42735042735042733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-1050</v>
      </c>
      <c r="P4" s="119">
        <v>44</v>
      </c>
      <c r="Q4" s="103">
        <v>-46200</v>
      </c>
    </row>
    <row r="5" spans="1:17" x14ac:dyDescent="0.4">
      <c r="A5" s="55" t="s">
        <v>7</v>
      </c>
      <c r="B5" s="156">
        <f>IF(B$2=0,0,B$4/B$2)</f>
        <v>-9.3553191489361698</v>
      </c>
      <c r="C5" s="157"/>
      <c r="E5" s="63" t="s">
        <v>69</v>
      </c>
      <c r="F5" s="60" t="s">
        <v>12</v>
      </c>
      <c r="G5" s="47">
        <v>46</v>
      </c>
      <c r="H5" s="133">
        <f>IF(B$17=0,0,G5/B$17)</f>
        <v>0.39316239316239315</v>
      </c>
      <c r="I5" s="94">
        <v>3</v>
      </c>
      <c r="K5" s="38">
        <v>3</v>
      </c>
      <c r="L5" s="99">
        <v>-149</v>
      </c>
      <c r="N5" s="115" t="s">
        <v>135</v>
      </c>
      <c r="O5" s="122">
        <f t="shared" si="0"/>
        <v>-3870.731707317073</v>
      </c>
      <c r="P5" s="119">
        <v>41</v>
      </c>
      <c r="Q5" s="103">
        <v>-158700</v>
      </c>
    </row>
    <row r="6" spans="1:17" x14ac:dyDescent="0.4">
      <c r="A6" s="55" t="s">
        <v>1</v>
      </c>
      <c r="B6" s="146">
        <f>IF(B$2=0,0,(B$7*1+B$8*2+B$9*3)/B$2)</f>
        <v>2.1276595744680851</v>
      </c>
      <c r="C6" s="147"/>
      <c r="E6" s="63" t="s">
        <v>245</v>
      </c>
      <c r="F6" s="60" t="s">
        <v>246</v>
      </c>
      <c r="G6" s="47">
        <v>46</v>
      </c>
      <c r="H6" s="133">
        <f>IF(B$17=0,0,G6/B$17)</f>
        <v>0.39316239316239315</v>
      </c>
      <c r="I6" s="94">
        <v>8</v>
      </c>
      <c r="K6" s="38">
        <v>4</v>
      </c>
      <c r="L6" s="99">
        <v>-150.6</v>
      </c>
      <c r="N6" s="115" t="s">
        <v>136</v>
      </c>
      <c r="O6" s="122">
        <f t="shared" si="0"/>
        <v>-902.70270270270271</v>
      </c>
      <c r="P6" s="119">
        <v>37</v>
      </c>
      <c r="Q6" s="103">
        <v>-33400</v>
      </c>
    </row>
    <row r="7" spans="1:17" x14ac:dyDescent="0.4">
      <c r="A7" s="55" t="s">
        <v>2</v>
      </c>
      <c r="B7" s="47">
        <v>13</v>
      </c>
      <c r="C7" s="39">
        <f>IF(B$2=0,0,B7/B$2)</f>
        <v>0.27659574468085107</v>
      </c>
      <c r="E7" s="63" t="s">
        <v>68</v>
      </c>
      <c r="F7" s="60" t="s">
        <v>24</v>
      </c>
      <c r="G7" s="47">
        <v>28</v>
      </c>
      <c r="H7" s="133">
        <f>IF(B$17=0,0,G7/B$17)</f>
        <v>0.23931623931623933</v>
      </c>
      <c r="I7" s="94">
        <v>12</v>
      </c>
      <c r="K7" s="38">
        <v>5</v>
      </c>
      <c r="L7" s="99">
        <v>-184.89999999999998</v>
      </c>
      <c r="N7" s="116" t="s">
        <v>137</v>
      </c>
      <c r="O7" s="123">
        <f t="shared" si="0"/>
        <v>520</v>
      </c>
      <c r="P7" s="120">
        <v>35</v>
      </c>
      <c r="Q7" s="104">
        <v>18200</v>
      </c>
    </row>
    <row r="8" spans="1:17" x14ac:dyDescent="0.4">
      <c r="A8" s="55" t="s">
        <v>3</v>
      </c>
      <c r="B8" s="47">
        <v>15</v>
      </c>
      <c r="C8" s="39">
        <f>IF(B$2=0,0,B8/B$2)</f>
        <v>0.31914893617021278</v>
      </c>
      <c r="E8" s="63" t="s">
        <v>71</v>
      </c>
      <c r="F8" s="60" t="s">
        <v>26</v>
      </c>
      <c r="G8" s="47">
        <v>14</v>
      </c>
      <c r="H8" s="133">
        <f>IF(B$17=0,0,G8/B$17)</f>
        <v>0.11965811965811966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19</v>
      </c>
      <c r="C9" s="40">
        <f t="shared" ref="C9" si="1">IF(B$2=0,0,B9/B$2)</f>
        <v>0.40425531914893614</v>
      </c>
      <c r="E9" s="63" t="s">
        <v>90</v>
      </c>
      <c r="F9" s="60" t="s">
        <v>45</v>
      </c>
      <c r="G9" s="47">
        <v>14</v>
      </c>
      <c r="H9" s="133">
        <f>IF(B$17=0,0,G9/B$17)</f>
        <v>0.11965811965811966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0.14893617021276595</v>
      </c>
      <c r="E10" s="63" t="s">
        <v>70</v>
      </c>
      <c r="F10" s="60" t="s">
        <v>25</v>
      </c>
      <c r="G10" s="47">
        <v>13</v>
      </c>
      <c r="H10" s="133">
        <f>IF(B$17=0,0,G10/B$17)</f>
        <v>0.1111111111111111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-14.399999999999999</v>
      </c>
      <c r="P10" s="118">
        <v>13</v>
      </c>
      <c r="Q10" s="106">
        <v>-187.2</v>
      </c>
    </row>
    <row r="11" spans="1:17" x14ac:dyDescent="0.4">
      <c r="A11" s="56" t="s">
        <v>140</v>
      </c>
      <c r="B11" s="48">
        <v>3</v>
      </c>
      <c r="C11" s="40">
        <f>IF(B$2=0,0,B11/B$2)</f>
        <v>6.3829787234042548E-2</v>
      </c>
      <c r="E11" s="63" t="s">
        <v>66</v>
      </c>
      <c r="F11" s="60" t="s">
        <v>22</v>
      </c>
      <c r="G11" s="47">
        <v>9</v>
      </c>
      <c r="H11" s="133">
        <f>IF(B$17=0,0,G11/B$17)</f>
        <v>7.6923076923076927E-2</v>
      </c>
      <c r="I11" s="94">
        <v>8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4.2553191489361701E-2</v>
      </c>
      <c r="E12" s="63" t="s">
        <v>72</v>
      </c>
      <c r="F12" s="60" t="s">
        <v>27</v>
      </c>
      <c r="G12" s="47">
        <v>6</v>
      </c>
      <c r="H12" s="133">
        <f>IF(B$17=0,0,G12/B$17)</f>
        <v>5.128205128205128E-2</v>
      </c>
      <c r="I12" s="94">
        <v>10</v>
      </c>
      <c r="K12" s="38">
        <v>10</v>
      </c>
      <c r="L12" s="99">
        <v>-318.39999999999998</v>
      </c>
      <c r="N12" s="116" t="s">
        <v>166</v>
      </c>
      <c r="O12" s="126">
        <f>IF(P12=0,0,Q12/P12)</f>
        <v>-11.453846153846152</v>
      </c>
      <c r="P12" s="120">
        <v>13</v>
      </c>
      <c r="Q12" s="108">
        <v>-148.89999999999998</v>
      </c>
    </row>
    <row r="13" spans="1:17" x14ac:dyDescent="0.4">
      <c r="A13" s="58" t="s">
        <v>122</v>
      </c>
      <c r="B13" s="50">
        <v>89</v>
      </c>
      <c r="C13" s="44">
        <f>IF(B$3=0,0,B13/B$3)</f>
        <v>0.21975308641975308</v>
      </c>
      <c r="E13" s="63" t="s">
        <v>87</v>
      </c>
      <c r="F13" s="60" t="s">
        <v>42</v>
      </c>
      <c r="G13" s="47">
        <v>4</v>
      </c>
      <c r="H13" s="133">
        <f>IF(B$17=0,0,G13/B$17)</f>
        <v>3.4188034188034191E-2</v>
      </c>
      <c r="I13" s="94">
        <v>10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102</v>
      </c>
      <c r="C14" s="39">
        <f>IF(B$3=0,0,B14/B$3)</f>
        <v>0.25185185185185183</v>
      </c>
      <c r="E14" s="63" t="s">
        <v>74</v>
      </c>
      <c r="F14" s="60" t="s">
        <v>29</v>
      </c>
      <c r="G14" s="47">
        <v>2</v>
      </c>
      <c r="H14" s="133">
        <f>IF(B$17=0,0,G14/B$17)</f>
        <v>1.7094017094017096E-2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0.5842696629213483</v>
      </c>
      <c r="E15" s="63" t="s">
        <v>79</v>
      </c>
      <c r="F15" s="60" t="s">
        <v>34</v>
      </c>
      <c r="G15" s="47">
        <v>2</v>
      </c>
      <c r="H15" s="133">
        <f>IF(B$17=0,0,G15/B$17)</f>
        <v>1.7094017094017096E-2</v>
      </c>
      <c r="I15" s="94">
        <v>9</v>
      </c>
      <c r="K15" s="38">
        <v>13</v>
      </c>
      <c r="L15" s="99">
        <v>-302.59999999999997</v>
      </c>
      <c r="N15" s="114" t="s">
        <v>129</v>
      </c>
      <c r="O15" s="124">
        <f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0.3235294117647059</v>
      </c>
      <c r="E16" s="63" t="s">
        <v>80</v>
      </c>
      <c r="F16" s="60" t="s">
        <v>35</v>
      </c>
      <c r="G16" s="47">
        <v>2</v>
      </c>
      <c r="H16" s="133">
        <f>IF(B$17=0,0,G16/B$17)</f>
        <v>1.7094017094017096E-2</v>
      </c>
      <c r="I16" s="94">
        <v>5</v>
      </c>
      <c r="K16" s="38">
        <v>14</v>
      </c>
      <c r="L16" s="99">
        <v>-269.99999999999994</v>
      </c>
      <c r="N16" s="115" t="s">
        <v>172</v>
      </c>
      <c r="O16" s="125">
        <f>IF(P16=0,0,Q16/P16)</f>
        <v>-6.633333333333332</v>
      </c>
      <c r="P16" s="119">
        <v>12</v>
      </c>
      <c r="Q16" s="107">
        <v>-79.59999999999998</v>
      </c>
    </row>
    <row r="17" spans="1:17" x14ac:dyDescent="0.4">
      <c r="A17" s="54" t="s">
        <v>10</v>
      </c>
      <c r="B17" s="46">
        <f>B19+B18</f>
        <v>117</v>
      </c>
      <c r="C17" s="37">
        <f>IF(B$3=0,0,B17/B$3)</f>
        <v>0.28888888888888886</v>
      </c>
      <c r="E17" s="63" t="s">
        <v>84</v>
      </c>
      <c r="F17" s="60" t="s">
        <v>39</v>
      </c>
      <c r="G17" s="47">
        <v>2</v>
      </c>
      <c r="H17" s="133">
        <f>IF(B$17=0,0,G17/B$17)</f>
        <v>1.7094017094017096E-2</v>
      </c>
      <c r="I17" s="94">
        <v>11</v>
      </c>
      <c r="K17" s="38">
        <v>15</v>
      </c>
      <c r="L17" s="99">
        <v>-264.59999999999997</v>
      </c>
      <c r="N17" s="115" t="s">
        <v>128</v>
      </c>
      <c r="O17" s="125">
        <f>IF(P17=0,0,Q17/P17)</f>
        <v>-12.160869565217387</v>
      </c>
      <c r="P17" s="119">
        <v>23</v>
      </c>
      <c r="Q17" s="107">
        <v>-279.69999999999993</v>
      </c>
    </row>
    <row r="18" spans="1:17" x14ac:dyDescent="0.4">
      <c r="A18" s="55" t="s">
        <v>12</v>
      </c>
      <c r="B18" s="47">
        <v>60</v>
      </c>
      <c r="C18" s="39">
        <f>IF(B$17=0,0,B18/B$17)</f>
        <v>0.51282051282051277</v>
      </c>
      <c r="E18" s="63" t="s">
        <v>92</v>
      </c>
      <c r="F18" s="60" t="s">
        <v>47</v>
      </c>
      <c r="G18" s="47">
        <v>2</v>
      </c>
      <c r="H18" s="133">
        <f>IF(B$17=0,0,G18/B$17)</f>
        <v>1.7094017094017096E-2</v>
      </c>
      <c r="I18" s="94">
        <v>7</v>
      </c>
      <c r="K18" s="38">
        <v>16</v>
      </c>
      <c r="L18" s="99">
        <v>-292.79999999999995</v>
      </c>
      <c r="N18" s="115" t="s">
        <v>171</v>
      </c>
      <c r="O18" s="125">
        <f>IF(P18=0,0,Q18/P18)</f>
        <v>-12.777777777777775</v>
      </c>
      <c r="P18" s="119">
        <v>18</v>
      </c>
      <c r="Q18" s="107">
        <v>-229.99999999999994</v>
      </c>
    </row>
    <row r="19" spans="1:17" x14ac:dyDescent="0.4">
      <c r="A19" s="55" t="s">
        <v>11</v>
      </c>
      <c r="B19" s="47">
        <v>57</v>
      </c>
      <c r="C19" s="39">
        <f>IF(B$17=0,0,B19/B$17)</f>
        <v>0.48717948717948717</v>
      </c>
      <c r="E19" s="63" t="s">
        <v>180</v>
      </c>
      <c r="F19" s="60" t="s">
        <v>181</v>
      </c>
      <c r="G19" s="47">
        <v>2</v>
      </c>
      <c r="H19" s="133">
        <f>IF(B$17=0,0,G19/B$17)</f>
        <v>1.7094017094017096E-2</v>
      </c>
      <c r="I19" s="94">
        <v>4</v>
      </c>
      <c r="K19" s="38">
        <v>17</v>
      </c>
      <c r="L19" s="99">
        <v>-248.89999999999995</v>
      </c>
      <c r="N19" s="115" t="s">
        <v>127</v>
      </c>
      <c r="O19" s="125">
        <f>IF(P19=0,0,Q19/P19)</f>
        <v>-21.768181818181816</v>
      </c>
      <c r="P19" s="119">
        <v>22</v>
      </c>
      <c r="Q19" s="107">
        <v>-478.9</v>
      </c>
    </row>
    <row r="20" spans="1:17" x14ac:dyDescent="0.4">
      <c r="A20" s="55" t="s">
        <v>13</v>
      </c>
      <c r="B20" s="47">
        <v>77</v>
      </c>
      <c r="C20" s="39">
        <f>IF(B$3=0,0,B20/B$3)</f>
        <v>0.19012345679012346</v>
      </c>
      <c r="E20" s="63" t="s">
        <v>88</v>
      </c>
      <c r="F20" s="60" t="s">
        <v>43</v>
      </c>
      <c r="G20" s="47">
        <v>1</v>
      </c>
      <c r="H20" s="133">
        <f>IF(B$17=0,0,G20/B$17)</f>
        <v>8.5470085470085479E-3</v>
      </c>
      <c r="I20" s="94">
        <v>2</v>
      </c>
      <c r="K20" s="38">
        <v>18</v>
      </c>
      <c r="L20" s="99">
        <v>-218.99999999999994</v>
      </c>
      <c r="N20" s="115" t="s">
        <v>177</v>
      </c>
      <c r="O20" s="125">
        <f>IF(P20=0,0,Q20/P20)</f>
        <v>-22.274999999999999</v>
      </c>
      <c r="P20" s="119">
        <v>8</v>
      </c>
      <c r="Q20" s="107">
        <v>-178.2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-188.59999999999994</v>
      </c>
      <c r="N21" s="115" t="s">
        <v>200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192</v>
      </c>
      <c r="B22" s="47">
        <v>24</v>
      </c>
      <c r="C22" s="135">
        <v>1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9</v>
      </c>
      <c r="K22" s="38">
        <v>20</v>
      </c>
      <c r="L22" s="99">
        <v>-182.79999999999993</v>
      </c>
      <c r="N22" s="115" t="s">
        <v>183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6904.2735042735039</v>
      </c>
      <c r="C23" s="41">
        <v>807800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-203.79999999999993</v>
      </c>
      <c r="N23" s="115" t="s">
        <v>184</v>
      </c>
      <c r="O23" s="125">
        <f>IF(P23=0,0,Q23/P23)</f>
        <v>-159</v>
      </c>
      <c r="P23" s="119">
        <v>1</v>
      </c>
      <c r="Q23" s="107">
        <v>-159</v>
      </c>
    </row>
    <row r="24" spans="1:17" x14ac:dyDescent="0.4">
      <c r="A24" s="57" t="s">
        <v>14</v>
      </c>
      <c r="B24" s="52">
        <f>IF(B$20=0,0,C24/B$20)</f>
        <v>-8290.9090909090901</v>
      </c>
      <c r="C24" s="45">
        <v>-638400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4">
        <v>6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85900</v>
      </c>
      <c r="C26" s="143"/>
      <c r="E26" s="63" t="s">
        <v>82</v>
      </c>
      <c r="F26" s="60" t="s">
        <v>37</v>
      </c>
      <c r="G26" s="47">
        <v>0</v>
      </c>
      <c r="H26" s="133">
        <f>IF(B$17=0,0,G26/B$17)</f>
        <v>0</v>
      </c>
      <c r="I26" s="94">
        <v>10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4.9382716049382715E-3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-344.29999999999995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-223.9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F8A7-87FF-4751-B513-0C317656B81C}">
  <sheetPr codeName="Sheet19"/>
  <dimension ref="A1:Q6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66</v>
      </c>
      <c r="C2" s="151"/>
      <c r="E2" s="62" t="s">
        <v>65</v>
      </c>
      <c r="F2" s="59" t="s">
        <v>21</v>
      </c>
      <c r="G2" s="46">
        <v>100</v>
      </c>
      <c r="H2" s="132">
        <f>IF(B$17=0,0,G2/B$17)</f>
        <v>0.625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1303.030303030303</v>
      </c>
      <c r="P2" s="118">
        <v>66</v>
      </c>
      <c r="Q2" s="102">
        <v>86000</v>
      </c>
    </row>
    <row r="3" spans="1:17" x14ac:dyDescent="0.4">
      <c r="A3" s="55" t="s">
        <v>8</v>
      </c>
      <c r="B3" s="152">
        <v>535</v>
      </c>
      <c r="C3" s="153"/>
      <c r="E3" s="63" t="s">
        <v>67</v>
      </c>
      <c r="F3" s="60" t="s">
        <v>23</v>
      </c>
      <c r="G3" s="47">
        <v>93</v>
      </c>
      <c r="H3" s="133">
        <f>IF(B$17=0,0,G3/B$17)</f>
        <v>0.58125000000000004</v>
      </c>
      <c r="I3" s="94">
        <v>12</v>
      </c>
      <c r="K3" s="38">
        <v>1</v>
      </c>
      <c r="L3" s="99">
        <v>-1.9</v>
      </c>
      <c r="N3" s="115" t="s">
        <v>133</v>
      </c>
      <c r="O3" s="122">
        <f t="shared" si="0"/>
        <v>988.88888888888891</v>
      </c>
      <c r="P3" s="119">
        <v>63</v>
      </c>
      <c r="Q3" s="103">
        <v>62300</v>
      </c>
    </row>
    <row r="4" spans="1:17" x14ac:dyDescent="0.4">
      <c r="A4" s="55" t="s">
        <v>6</v>
      </c>
      <c r="B4" s="154">
        <v>307</v>
      </c>
      <c r="C4" s="155"/>
      <c r="E4" s="63" t="s">
        <v>245</v>
      </c>
      <c r="F4" s="60" t="s">
        <v>246</v>
      </c>
      <c r="G4" s="47">
        <v>69</v>
      </c>
      <c r="H4" s="133">
        <f>IF(B$17=0,0,G4/B$17)</f>
        <v>0.43125000000000002</v>
      </c>
      <c r="I4" s="94">
        <v>2</v>
      </c>
      <c r="K4" s="38">
        <v>2</v>
      </c>
      <c r="L4" s="99">
        <v>30</v>
      </c>
      <c r="N4" s="115" t="s">
        <v>134</v>
      </c>
      <c r="O4" s="122">
        <f t="shared" si="0"/>
        <v>-669.64285714285711</v>
      </c>
      <c r="P4" s="119">
        <v>56</v>
      </c>
      <c r="Q4" s="103">
        <v>-37500</v>
      </c>
    </row>
    <row r="5" spans="1:17" x14ac:dyDescent="0.4">
      <c r="A5" s="55" t="s">
        <v>7</v>
      </c>
      <c r="B5" s="156">
        <f>IF(B$2=0,0,B$4/B$2)</f>
        <v>4.6515151515151514</v>
      </c>
      <c r="C5" s="157"/>
      <c r="E5" s="63" t="s">
        <v>73</v>
      </c>
      <c r="F5" s="60" t="s">
        <v>28</v>
      </c>
      <c r="G5" s="47">
        <v>64</v>
      </c>
      <c r="H5" s="133">
        <f>IF(B$17=0,0,G5/B$17)</f>
        <v>0.4</v>
      </c>
      <c r="I5" s="94">
        <v>11</v>
      </c>
      <c r="K5" s="38">
        <v>3</v>
      </c>
      <c r="L5" s="99">
        <v>-10</v>
      </c>
      <c r="N5" s="115" t="s">
        <v>135</v>
      </c>
      <c r="O5" s="122">
        <f t="shared" si="0"/>
        <v>2285.1851851851852</v>
      </c>
      <c r="P5" s="119">
        <v>54</v>
      </c>
      <c r="Q5" s="103">
        <v>123400</v>
      </c>
    </row>
    <row r="6" spans="1:17" x14ac:dyDescent="0.4">
      <c r="A6" s="55" t="s">
        <v>1</v>
      </c>
      <c r="B6" s="146">
        <f>IF(B$2=0,0,(B$7*1+B$8*2+B$9*3)/B$2)</f>
        <v>1.8787878787878789</v>
      </c>
      <c r="C6" s="147"/>
      <c r="E6" s="63" t="s">
        <v>68</v>
      </c>
      <c r="F6" s="60" t="s">
        <v>24</v>
      </c>
      <c r="G6" s="47">
        <v>61</v>
      </c>
      <c r="H6" s="133">
        <f>IF(B$17=0,0,G6/B$17)</f>
        <v>0.38124999999999998</v>
      </c>
      <c r="I6" s="94">
        <v>5</v>
      </c>
      <c r="K6" s="38">
        <v>4</v>
      </c>
      <c r="L6" s="99">
        <v>40</v>
      </c>
      <c r="N6" s="115" t="s">
        <v>136</v>
      </c>
      <c r="O6" s="122">
        <f t="shared" si="0"/>
        <v>-1072.9166666666667</v>
      </c>
      <c r="P6" s="119">
        <v>48</v>
      </c>
      <c r="Q6" s="103">
        <v>-51500</v>
      </c>
    </row>
    <row r="7" spans="1:17" x14ac:dyDescent="0.4">
      <c r="A7" s="55" t="s">
        <v>2</v>
      </c>
      <c r="B7" s="47">
        <v>26</v>
      </c>
      <c r="C7" s="39">
        <f>IF(B$2=0,0,B7/B$2)</f>
        <v>0.39393939393939392</v>
      </c>
      <c r="E7" s="63" t="s">
        <v>69</v>
      </c>
      <c r="F7" s="60" t="s">
        <v>12</v>
      </c>
      <c r="G7" s="47">
        <v>51</v>
      </c>
      <c r="H7" s="133">
        <f>IF(B$17=0,0,G7/B$17)</f>
        <v>0.31874999999999998</v>
      </c>
      <c r="I7" s="94">
        <v>7</v>
      </c>
      <c r="K7" s="38">
        <v>5</v>
      </c>
      <c r="L7" s="99">
        <v>35.4</v>
      </c>
      <c r="N7" s="116" t="s">
        <v>137</v>
      </c>
      <c r="O7" s="123">
        <f t="shared" si="0"/>
        <v>137.5</v>
      </c>
      <c r="P7" s="120">
        <v>40</v>
      </c>
      <c r="Q7" s="104">
        <v>5500</v>
      </c>
    </row>
    <row r="8" spans="1:17" x14ac:dyDescent="0.4">
      <c r="A8" s="55" t="s">
        <v>3</v>
      </c>
      <c r="B8" s="47">
        <v>22</v>
      </c>
      <c r="C8" s="39">
        <f>IF(B$2=0,0,B8/B$2)</f>
        <v>0.33333333333333331</v>
      </c>
      <c r="E8" s="63" t="s">
        <v>70</v>
      </c>
      <c r="F8" s="60" t="s">
        <v>25</v>
      </c>
      <c r="G8" s="47">
        <v>28</v>
      </c>
      <c r="H8" s="133">
        <f>IF(B$17=0,0,G8/B$17)</f>
        <v>0.17499999999999999</v>
      </c>
      <c r="I8" s="94">
        <v>7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0.27272727272727271</v>
      </c>
      <c r="E9" s="63" t="s">
        <v>66</v>
      </c>
      <c r="F9" s="60" t="s">
        <v>22</v>
      </c>
      <c r="G9" s="47">
        <v>19</v>
      </c>
      <c r="H9" s="133">
        <f>IF(B$17=0,0,G9/B$17)</f>
        <v>0.11874999999999999</v>
      </c>
      <c r="I9" s="94">
        <v>4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</v>
      </c>
      <c r="C10" s="40">
        <f>IF(B$2=0,0,B10/B$2)</f>
        <v>0.15151515151515152</v>
      </c>
      <c r="E10" s="63" t="s">
        <v>90</v>
      </c>
      <c r="F10" s="60" t="s">
        <v>45</v>
      </c>
      <c r="G10" s="47">
        <v>17</v>
      </c>
      <c r="H10" s="133">
        <f>IF(B$17=0,0,G10/B$17)</f>
        <v>0.10625</v>
      </c>
      <c r="I10" s="94">
        <v>10</v>
      </c>
      <c r="K10" s="38">
        <v>8</v>
      </c>
      <c r="L10" s="99">
        <v>-87.1</v>
      </c>
      <c r="N10" s="114" t="s">
        <v>164</v>
      </c>
      <c r="O10" s="124">
        <f>IF(P10=0,0,Q10/P10)</f>
        <v>5.723809523809523</v>
      </c>
      <c r="P10" s="118">
        <v>21</v>
      </c>
      <c r="Q10" s="106">
        <v>120.19999999999999</v>
      </c>
    </row>
    <row r="11" spans="1:17" x14ac:dyDescent="0.4">
      <c r="A11" s="56" t="s">
        <v>140</v>
      </c>
      <c r="B11" s="48">
        <v>9</v>
      </c>
      <c r="C11" s="40">
        <f>IF(B$2=0,0,B11/B$2)</f>
        <v>0.13636363636363635</v>
      </c>
      <c r="E11" s="63" t="s">
        <v>71</v>
      </c>
      <c r="F11" s="60" t="s">
        <v>26</v>
      </c>
      <c r="G11" s="47">
        <v>12</v>
      </c>
      <c r="H11" s="133">
        <f>IF(B$17=0,0,G11/B$17)</f>
        <v>7.4999999999999997E-2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11.9</v>
      </c>
      <c r="P11" s="119">
        <v>24</v>
      </c>
      <c r="Q11" s="107">
        <v>285.60000000000002</v>
      </c>
    </row>
    <row r="12" spans="1:17" x14ac:dyDescent="0.4">
      <c r="A12" s="57" t="s">
        <v>160</v>
      </c>
      <c r="B12" s="49">
        <v>5</v>
      </c>
      <c r="C12" s="42">
        <f>IF(B$2=0,0,B12/B$2)</f>
        <v>7.575757575757576E-2</v>
      </c>
      <c r="E12" s="63" t="s">
        <v>72</v>
      </c>
      <c r="F12" s="60" t="s">
        <v>27</v>
      </c>
      <c r="G12" s="47">
        <v>9</v>
      </c>
      <c r="H12" s="133">
        <f>IF(B$17=0,0,G12/B$17)</f>
        <v>5.6250000000000001E-2</v>
      </c>
      <c r="I12" s="94">
        <v>9</v>
      </c>
      <c r="K12" s="38">
        <v>10</v>
      </c>
      <c r="L12" s="99">
        <v>-183.7</v>
      </c>
      <c r="N12" s="116" t="s">
        <v>166</v>
      </c>
      <c r="O12" s="126">
        <f>IF(P12=0,0,Q12/P12)</f>
        <v>-4.7047619047619049</v>
      </c>
      <c r="P12" s="120">
        <v>21</v>
      </c>
      <c r="Q12" s="108">
        <v>-98.800000000000011</v>
      </c>
    </row>
    <row r="13" spans="1:17" x14ac:dyDescent="0.4">
      <c r="A13" s="58" t="s">
        <v>122</v>
      </c>
      <c r="B13" s="50">
        <v>156</v>
      </c>
      <c r="C13" s="44">
        <f>IF(B$3=0,0,B13/B$3)</f>
        <v>0.29158878504672897</v>
      </c>
      <c r="E13" s="63" t="s">
        <v>87</v>
      </c>
      <c r="F13" s="60" t="s">
        <v>42</v>
      </c>
      <c r="G13" s="47">
        <v>8</v>
      </c>
      <c r="H13" s="133">
        <f>IF(B$17=0,0,G13/B$17)</f>
        <v>0.05</v>
      </c>
      <c r="I13" s="94">
        <v>8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97</v>
      </c>
      <c r="C14" s="39">
        <f>IF(B$3=0,0,B14/B$3)</f>
        <v>0.18130841121495328</v>
      </c>
      <c r="E14" s="63" t="s">
        <v>84</v>
      </c>
      <c r="F14" s="60" t="s">
        <v>39</v>
      </c>
      <c r="G14" s="47">
        <v>7</v>
      </c>
      <c r="H14" s="133">
        <f>IF(B$17=0,0,G14/B$17)</f>
        <v>4.3749999999999997E-2</v>
      </c>
      <c r="I14" s="94">
        <v>7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100</v>
      </c>
      <c r="C15" s="37">
        <f>IF(B$13=0,0,B15/B$13)</f>
        <v>0.64102564102564108</v>
      </c>
      <c r="E15" s="63" t="s">
        <v>79</v>
      </c>
      <c r="F15" s="60" t="s">
        <v>34</v>
      </c>
      <c r="G15" s="47">
        <v>5</v>
      </c>
      <c r="H15" s="133">
        <f>IF(B$17=0,0,G15/B$17)</f>
        <v>3.125E-2</v>
      </c>
      <c r="I15" s="94">
        <v>5</v>
      </c>
      <c r="K15" s="38">
        <v>13</v>
      </c>
      <c r="L15" s="99">
        <v>-209.59999999999997</v>
      </c>
      <c r="N15" s="114" t="s">
        <v>171</v>
      </c>
      <c r="O15" s="124">
        <f>IF(P15=0,0,Q15/P15)</f>
        <v>41.294444444444451</v>
      </c>
      <c r="P15" s="118">
        <v>18</v>
      </c>
      <c r="Q15" s="106">
        <v>743.30000000000007</v>
      </c>
    </row>
    <row r="16" spans="1:17" x14ac:dyDescent="0.4">
      <c r="A16" s="54" t="s">
        <v>125</v>
      </c>
      <c r="B16" s="46">
        <v>34</v>
      </c>
      <c r="C16" s="37">
        <f>IF(B$14=0,0,B16/B$14)</f>
        <v>0.35051546391752575</v>
      </c>
      <c r="E16" s="63" t="s">
        <v>92</v>
      </c>
      <c r="F16" s="60" t="s">
        <v>47</v>
      </c>
      <c r="G16" s="47">
        <v>5</v>
      </c>
      <c r="H16" s="133">
        <f>IF(B$17=0,0,G16/B$17)</f>
        <v>3.125E-2</v>
      </c>
      <c r="I16" s="94">
        <v>1</v>
      </c>
      <c r="K16" s="38">
        <v>14</v>
      </c>
      <c r="L16" s="99">
        <v>-178.49999999999997</v>
      </c>
      <c r="N16" s="115" t="s">
        <v>200</v>
      </c>
      <c r="O16" s="125">
        <f>IF(P16=0,0,Q16/P16)</f>
        <v>32.625</v>
      </c>
      <c r="P16" s="119">
        <v>4</v>
      </c>
      <c r="Q16" s="107">
        <v>130.5</v>
      </c>
    </row>
    <row r="17" spans="1:17" x14ac:dyDescent="0.4">
      <c r="A17" s="54" t="s">
        <v>10</v>
      </c>
      <c r="B17" s="46">
        <f>B19+B18</f>
        <v>160</v>
      </c>
      <c r="C17" s="37">
        <f>IF(B$3=0,0,B17/B$3)</f>
        <v>0.29906542056074764</v>
      </c>
      <c r="E17" s="63" t="s">
        <v>82</v>
      </c>
      <c r="F17" s="60" t="s">
        <v>37</v>
      </c>
      <c r="G17" s="47">
        <v>4</v>
      </c>
      <c r="H17" s="133">
        <f>IF(B$17=0,0,G17/B$17)</f>
        <v>2.5000000000000001E-2</v>
      </c>
      <c r="I17" s="94">
        <v>7</v>
      </c>
      <c r="K17" s="38">
        <v>15</v>
      </c>
      <c r="L17" s="99">
        <v>-146.19999999999999</v>
      </c>
      <c r="N17" s="115" t="s">
        <v>173</v>
      </c>
      <c r="O17" s="125">
        <f>IF(P17=0,0,Q17/P17)</f>
        <v>22.275000000000002</v>
      </c>
      <c r="P17" s="119">
        <v>8</v>
      </c>
      <c r="Q17" s="107">
        <v>178.20000000000002</v>
      </c>
    </row>
    <row r="18" spans="1:17" x14ac:dyDescent="0.4">
      <c r="A18" s="55" t="s">
        <v>12</v>
      </c>
      <c r="B18" s="47">
        <v>71</v>
      </c>
      <c r="C18" s="39">
        <f>IF(B$17=0,0,B18/B$17)</f>
        <v>0.44374999999999998</v>
      </c>
      <c r="E18" s="63" t="s">
        <v>86</v>
      </c>
      <c r="F18" s="60" t="s">
        <v>41</v>
      </c>
      <c r="G18" s="47">
        <v>3</v>
      </c>
      <c r="H18" s="133">
        <f>IF(B$17=0,0,G18/B$17)</f>
        <v>1.8749999999999999E-2</v>
      </c>
      <c r="I18" s="94">
        <v>1</v>
      </c>
      <c r="K18" s="38">
        <v>16</v>
      </c>
      <c r="L18" s="99">
        <v>-153.29999999999998</v>
      </c>
      <c r="N18" s="115" t="s">
        <v>129</v>
      </c>
      <c r="O18" s="125">
        <f>IF(P18=0,0,Q18/P18)</f>
        <v>15.755000000000001</v>
      </c>
      <c r="P18" s="119">
        <v>20</v>
      </c>
      <c r="Q18" s="107">
        <v>315.10000000000002</v>
      </c>
    </row>
    <row r="19" spans="1:17" x14ac:dyDescent="0.4">
      <c r="A19" s="55" t="s">
        <v>11</v>
      </c>
      <c r="B19" s="47">
        <v>89</v>
      </c>
      <c r="C19" s="39">
        <f>IF(B$17=0,0,B19/B$17)</f>
        <v>0.55625000000000002</v>
      </c>
      <c r="E19" s="63" t="s">
        <v>80</v>
      </c>
      <c r="F19" s="60" t="s">
        <v>35</v>
      </c>
      <c r="G19" s="47">
        <v>2</v>
      </c>
      <c r="H19" s="133">
        <f>IF(B$17=0,0,G19/B$17)</f>
        <v>1.2500000000000001E-2</v>
      </c>
      <c r="I19" s="94">
        <v>8</v>
      </c>
      <c r="K19" s="38">
        <v>17</v>
      </c>
      <c r="L19" s="99">
        <v>-161.19999999999999</v>
      </c>
      <c r="N19" s="115" t="s">
        <v>128</v>
      </c>
      <c r="O19" s="125">
        <f>IF(P19=0,0,Q19/P19)</f>
        <v>11.464</v>
      </c>
      <c r="P19" s="119">
        <v>25</v>
      </c>
      <c r="Q19" s="107">
        <v>286.60000000000002</v>
      </c>
    </row>
    <row r="20" spans="1:17" x14ac:dyDescent="0.4">
      <c r="A20" s="55" t="s">
        <v>13</v>
      </c>
      <c r="B20" s="47">
        <v>81</v>
      </c>
      <c r="C20" s="39">
        <f>IF(B$3=0,0,B20/B$3)</f>
        <v>0.15140186915887852</v>
      </c>
      <c r="E20" s="63" t="s">
        <v>91</v>
      </c>
      <c r="F20" s="60" t="s">
        <v>46</v>
      </c>
      <c r="G20" s="47">
        <v>2</v>
      </c>
      <c r="H20" s="133">
        <f>IF(B$17=0,0,G20/B$17)</f>
        <v>1.2500000000000001E-2</v>
      </c>
      <c r="I20" s="94">
        <v>1</v>
      </c>
      <c r="K20" s="38">
        <v>18</v>
      </c>
      <c r="L20" s="99">
        <v>-159</v>
      </c>
      <c r="N20" s="115" t="s">
        <v>172</v>
      </c>
      <c r="O20" s="125">
        <f>IF(P20=0,0,Q20/P20)</f>
        <v>4.8894736842105235</v>
      </c>
      <c r="P20" s="119">
        <v>19</v>
      </c>
      <c r="Q20" s="107">
        <v>92.899999999999949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75</v>
      </c>
      <c r="F21" s="60" t="s">
        <v>30</v>
      </c>
      <c r="G21" s="47">
        <v>1</v>
      </c>
      <c r="H21" s="133">
        <f>IF(B$17=0,0,G21/B$17)</f>
        <v>6.2500000000000003E-3</v>
      </c>
      <c r="I21" s="94">
        <v>4</v>
      </c>
      <c r="K21" s="38">
        <v>19</v>
      </c>
      <c r="L21" s="99">
        <v>-235.6</v>
      </c>
      <c r="N21" s="115" t="s">
        <v>184</v>
      </c>
      <c r="O21" s="125">
        <f>IF(P21=0,0,Q21/P21)</f>
        <v>4.8666666666666698</v>
      </c>
      <c r="P21" s="119">
        <v>6</v>
      </c>
      <c r="Q21" s="107">
        <v>29.200000000000017</v>
      </c>
    </row>
    <row r="22" spans="1:17" x14ac:dyDescent="0.4">
      <c r="A22" s="55" t="s">
        <v>192</v>
      </c>
      <c r="B22" s="47">
        <v>45</v>
      </c>
      <c r="C22" s="135">
        <v>2</v>
      </c>
      <c r="E22" s="63" t="s">
        <v>76</v>
      </c>
      <c r="F22" s="60" t="s">
        <v>31</v>
      </c>
      <c r="G22" s="47">
        <v>1</v>
      </c>
      <c r="H22" s="133">
        <f>IF(B$17=0,0,G22/B$17)</f>
        <v>6.2500000000000003E-3</v>
      </c>
      <c r="I22" s="94">
        <v>4</v>
      </c>
      <c r="K22" s="38">
        <v>20</v>
      </c>
      <c r="L22" s="99">
        <v>-200.8</v>
      </c>
      <c r="N22" s="115" t="s">
        <v>127</v>
      </c>
      <c r="O22" s="125">
        <f>IF(P22=0,0,Q22/P22)</f>
        <v>-24.748275862068972</v>
      </c>
      <c r="P22" s="119">
        <v>29</v>
      </c>
      <c r="Q22" s="107">
        <v>-717.70000000000016</v>
      </c>
    </row>
    <row r="23" spans="1:17" x14ac:dyDescent="0.4">
      <c r="A23" s="55" t="s">
        <v>5</v>
      </c>
      <c r="B23" s="51">
        <f>IF(B$17=0,0,C23/B$17)</f>
        <v>8905.625</v>
      </c>
      <c r="C23" s="41">
        <v>1424900</v>
      </c>
      <c r="E23" s="63" t="s">
        <v>93</v>
      </c>
      <c r="F23" s="60" t="s">
        <v>48</v>
      </c>
      <c r="G23" s="47">
        <v>1</v>
      </c>
      <c r="H23" s="133">
        <f>IF(B$17=0,0,G23/B$17)</f>
        <v>6.2500000000000003E-3</v>
      </c>
      <c r="I23" s="94">
        <v>3</v>
      </c>
      <c r="K23" s="38">
        <v>21</v>
      </c>
      <c r="L23" s="99">
        <v>-188.60000000000002</v>
      </c>
      <c r="N23" s="115" t="s">
        <v>183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-7460.4938271604942</v>
      </c>
      <c r="C24" s="45">
        <v>-604300</v>
      </c>
      <c r="E24" s="63" t="s">
        <v>94</v>
      </c>
      <c r="F24" s="60" t="s">
        <v>49</v>
      </c>
      <c r="G24" s="47">
        <v>1</v>
      </c>
      <c r="H24" s="133">
        <f>IF(B$17=0,0,G24/B$17)</f>
        <v>6.2500000000000003E-3</v>
      </c>
      <c r="I24" s="94">
        <v>2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4">
        <v>8</v>
      </c>
      <c r="C25" s="145"/>
      <c r="E25" s="63" t="s">
        <v>102</v>
      </c>
      <c r="F25" s="60" t="s">
        <v>57</v>
      </c>
      <c r="G25" s="47">
        <v>1</v>
      </c>
      <c r="H25" s="133">
        <f>IF(B$17=0,0,G25/B$17)</f>
        <v>6.2500000000000003E-3</v>
      </c>
      <c r="I25" s="94">
        <v>1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74</v>
      </c>
      <c r="F26" s="60" t="s">
        <v>29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5.6074766355140183E-3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-151.5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2CD0D-BFEC-4757-B3CA-E6C16BA85A03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3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4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245</v>
      </c>
      <c r="F7" s="60" t="s">
        <v>246</v>
      </c>
      <c r="G7" s="47">
        <v>2</v>
      </c>
      <c r="H7" s="133">
        <f>IF(B$17=0,0,G7/B$17)</f>
        <v>0.4</v>
      </c>
      <c r="I7" s="94">
        <v>7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11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8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7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9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12</v>
      </c>
    </row>
    <row r="25" spans="1:17" x14ac:dyDescent="0.4">
      <c r="A25" s="90" t="s">
        <v>142</v>
      </c>
      <c r="B25" s="144">
        <v>3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152</v>
      </c>
      <c r="B26" s="142">
        <v>53500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D3DEC-A330-4466-B0BD-9FE23F305027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18</v>
      </c>
      <c r="C2" s="151"/>
      <c r="E2" s="62" t="s">
        <v>67</v>
      </c>
      <c r="F2" s="59" t="s">
        <v>23</v>
      </c>
      <c r="G2" s="46">
        <v>39</v>
      </c>
      <c r="H2" s="132">
        <f>IF(B$17=0,0,G2/B$17)</f>
        <v>0.9285714285714286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-1016.6666666666666</v>
      </c>
      <c r="P2" s="118">
        <v>18</v>
      </c>
      <c r="Q2" s="102">
        <v>-18300</v>
      </c>
    </row>
    <row r="3" spans="1:17" x14ac:dyDescent="0.4">
      <c r="A3" s="55" t="s">
        <v>8</v>
      </c>
      <c r="B3" s="152">
        <v>147</v>
      </c>
      <c r="C3" s="153"/>
      <c r="E3" s="63" t="s">
        <v>73</v>
      </c>
      <c r="F3" s="60" t="s">
        <v>28</v>
      </c>
      <c r="G3" s="47">
        <v>23</v>
      </c>
      <c r="H3" s="133">
        <f>IF(B$17=0,0,G3/B$17)</f>
        <v>0.54761904761904767</v>
      </c>
      <c r="I3" s="94">
        <v>6</v>
      </c>
      <c r="K3" s="38">
        <v>1</v>
      </c>
      <c r="L3" s="99">
        <v>-43.7</v>
      </c>
      <c r="N3" s="115" t="s">
        <v>133</v>
      </c>
      <c r="O3" s="122">
        <f t="shared" si="0"/>
        <v>-1044.4444444444443</v>
      </c>
      <c r="P3" s="119">
        <v>18</v>
      </c>
      <c r="Q3" s="103">
        <v>-18800</v>
      </c>
    </row>
    <row r="4" spans="1:17" x14ac:dyDescent="0.4">
      <c r="A4" s="55" t="s">
        <v>6</v>
      </c>
      <c r="B4" s="154">
        <v>-126.5</v>
      </c>
      <c r="C4" s="155"/>
      <c r="E4" s="63" t="s">
        <v>65</v>
      </c>
      <c r="F4" s="60" t="s">
        <v>21</v>
      </c>
      <c r="G4" s="47">
        <v>22</v>
      </c>
      <c r="H4" s="133">
        <f>IF(B$17=0,0,G4/B$17)</f>
        <v>0.52380952380952384</v>
      </c>
      <c r="I4" s="94">
        <v>7</v>
      </c>
      <c r="K4" s="38">
        <v>2</v>
      </c>
      <c r="L4" s="99">
        <v>-76.2</v>
      </c>
      <c r="N4" s="115" t="s">
        <v>134</v>
      </c>
      <c r="O4" s="122">
        <f t="shared" si="0"/>
        <v>152.94117647058823</v>
      </c>
      <c r="P4" s="119">
        <v>17</v>
      </c>
      <c r="Q4" s="103">
        <v>2600</v>
      </c>
    </row>
    <row r="5" spans="1:17" x14ac:dyDescent="0.4">
      <c r="A5" s="55" t="s">
        <v>7</v>
      </c>
      <c r="B5" s="156">
        <f>IF(B$2=0,0,B$4/B$2)</f>
        <v>-7.0277777777777777</v>
      </c>
      <c r="C5" s="157"/>
      <c r="E5" s="63" t="s">
        <v>245</v>
      </c>
      <c r="F5" s="60" t="s">
        <v>246</v>
      </c>
      <c r="G5" s="47">
        <v>15</v>
      </c>
      <c r="H5" s="133">
        <f>IF(B$17=0,0,G5/B$17)</f>
        <v>0.35714285714285715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0"/>
        <v>-4237.5</v>
      </c>
      <c r="P5" s="119">
        <v>16</v>
      </c>
      <c r="Q5" s="103">
        <v>-67800</v>
      </c>
    </row>
    <row r="6" spans="1:17" x14ac:dyDescent="0.4">
      <c r="A6" s="55" t="s">
        <v>1</v>
      </c>
      <c r="B6" s="146">
        <f>IF(B$2=0,0,(B$7*1+B$8*2+B$9*3)/B$2)</f>
        <v>2.1111111111111112</v>
      </c>
      <c r="C6" s="147"/>
      <c r="E6" s="63" t="s">
        <v>69</v>
      </c>
      <c r="F6" s="60" t="s">
        <v>12</v>
      </c>
      <c r="G6" s="47">
        <v>13</v>
      </c>
      <c r="H6" s="133">
        <f>IF(B$17=0,0,G6/B$17)</f>
        <v>0.30952380952380953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-243.75</v>
      </c>
      <c r="P6" s="119">
        <v>16</v>
      </c>
      <c r="Q6" s="103">
        <v>-3900</v>
      </c>
    </row>
    <row r="7" spans="1:17" x14ac:dyDescent="0.4">
      <c r="A7" s="55" t="s">
        <v>2</v>
      </c>
      <c r="B7" s="47">
        <v>7</v>
      </c>
      <c r="C7" s="39">
        <f>IF(B$2=0,0,B7/B$2)</f>
        <v>0.3888888888888889</v>
      </c>
      <c r="E7" s="63" t="s">
        <v>68</v>
      </c>
      <c r="F7" s="60" t="s">
        <v>24</v>
      </c>
      <c r="G7" s="47">
        <v>11</v>
      </c>
      <c r="H7" s="133">
        <f>IF(B$17=0,0,G7/B$17)</f>
        <v>0.26190476190476192</v>
      </c>
      <c r="I7" s="94">
        <v>11</v>
      </c>
      <c r="K7" s="38">
        <v>5</v>
      </c>
      <c r="L7" s="99">
        <v>-121</v>
      </c>
      <c r="N7" s="116" t="s">
        <v>137</v>
      </c>
      <c r="O7" s="123">
        <f t="shared" si="0"/>
        <v>-3330.7692307692309</v>
      </c>
      <c r="P7" s="120">
        <v>13</v>
      </c>
      <c r="Q7" s="104">
        <v>-43300</v>
      </c>
    </row>
    <row r="8" spans="1:17" x14ac:dyDescent="0.4">
      <c r="A8" s="55" t="s">
        <v>3</v>
      </c>
      <c r="B8" s="47">
        <v>2</v>
      </c>
      <c r="C8" s="39">
        <f>IF(B$2=0,0,B8/B$2)</f>
        <v>0.1111111111111111</v>
      </c>
      <c r="E8" s="63" t="s">
        <v>70</v>
      </c>
      <c r="F8" s="60" t="s">
        <v>25</v>
      </c>
      <c r="G8" s="47">
        <v>8</v>
      </c>
      <c r="H8" s="133">
        <f>IF(B$17=0,0,G8/B$17)</f>
        <v>0.19047619047619047</v>
      </c>
      <c r="I8" s="94">
        <v>5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ref="C9" si="1">IF(B$2=0,0,B9/B$2)</f>
        <v>0.5</v>
      </c>
      <c r="E9" s="63" t="s">
        <v>71</v>
      </c>
      <c r="F9" s="60" t="s">
        <v>26</v>
      </c>
      <c r="G9" s="47">
        <v>7</v>
      </c>
      <c r="H9" s="133">
        <f>IF(B$17=0,0,G9/B$17)</f>
        <v>0.16666666666666666</v>
      </c>
      <c r="I9" s="94">
        <v>1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0.22222222222222221</v>
      </c>
      <c r="E10" s="63" t="s">
        <v>84</v>
      </c>
      <c r="F10" s="60" t="s">
        <v>39</v>
      </c>
      <c r="G10" s="47">
        <v>5</v>
      </c>
      <c r="H10" s="133">
        <f>IF(B$17=0,0,G10/B$17)</f>
        <v>0.11904761904761904</v>
      </c>
      <c r="I10" s="94">
        <v>2</v>
      </c>
      <c r="K10" s="38">
        <v>8</v>
      </c>
      <c r="L10" s="99">
        <v>-170.5</v>
      </c>
      <c r="N10" s="114" t="s">
        <v>164</v>
      </c>
      <c r="O10" s="124">
        <f>IF(P10=0,0,Q10/P10)</f>
        <v>-20.099999999999998</v>
      </c>
      <c r="P10" s="118">
        <v>7</v>
      </c>
      <c r="Q10" s="106">
        <v>-140.69999999999999</v>
      </c>
    </row>
    <row r="11" spans="1:17" x14ac:dyDescent="0.4">
      <c r="A11" s="56" t="s">
        <v>140</v>
      </c>
      <c r="B11" s="48">
        <v>1</v>
      </c>
      <c r="C11" s="40">
        <f>IF(B$2=0,0,B11/B$2)</f>
        <v>5.5555555555555552E-2</v>
      </c>
      <c r="E11" s="63" t="s">
        <v>90</v>
      </c>
      <c r="F11" s="60" t="s">
        <v>45</v>
      </c>
      <c r="G11" s="47">
        <v>5</v>
      </c>
      <c r="H11" s="133">
        <f>IF(B$17=0,0,G11/B$17)</f>
        <v>0.11904761904761904</v>
      </c>
      <c r="I11" s="94">
        <v>8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2</v>
      </c>
      <c r="C12" s="42">
        <f>IF(B$2=0,0,B12/B$2)</f>
        <v>0.1111111111111111</v>
      </c>
      <c r="E12" s="63" t="s">
        <v>72</v>
      </c>
      <c r="F12" s="60" t="s">
        <v>27</v>
      </c>
      <c r="G12" s="47">
        <v>3</v>
      </c>
      <c r="H12" s="133">
        <f>IF(B$17=0,0,G12/B$17)</f>
        <v>7.1428571428571425E-2</v>
      </c>
      <c r="I12" s="94">
        <v>4</v>
      </c>
      <c r="K12" s="38">
        <v>10</v>
      </c>
      <c r="L12" s="99">
        <v>-197.5</v>
      </c>
      <c r="N12" s="116" t="s">
        <v>166</v>
      </c>
      <c r="O12" s="126">
        <f>IF(P12=0,0,Q12/P12)</f>
        <v>16.940000000000001</v>
      </c>
      <c r="P12" s="120">
        <v>5</v>
      </c>
      <c r="Q12" s="108">
        <v>84.7</v>
      </c>
    </row>
    <row r="13" spans="1:17" x14ac:dyDescent="0.4">
      <c r="A13" s="58" t="s">
        <v>122</v>
      </c>
      <c r="B13" s="50">
        <v>36</v>
      </c>
      <c r="C13" s="44">
        <f>IF(B$3=0,0,B13/B$3)</f>
        <v>0.24489795918367346</v>
      </c>
      <c r="E13" s="63" t="s">
        <v>80</v>
      </c>
      <c r="F13" s="60" t="s">
        <v>35</v>
      </c>
      <c r="G13" s="47">
        <v>2</v>
      </c>
      <c r="H13" s="133">
        <f>IF(B$17=0,0,G13/B$17)</f>
        <v>4.7619047619047616E-2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33</v>
      </c>
      <c r="C14" s="39">
        <f>IF(B$3=0,0,B14/B$3)</f>
        <v>0.22448979591836735</v>
      </c>
      <c r="E14" s="63" t="s">
        <v>66</v>
      </c>
      <c r="F14" s="60" t="s">
        <v>22</v>
      </c>
      <c r="G14" s="47">
        <v>1</v>
      </c>
      <c r="H14" s="133">
        <f>IF(B$17=0,0,G14/B$17)</f>
        <v>2.3809523809523808E-2</v>
      </c>
      <c r="I14" s="94">
        <v>10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</v>
      </c>
      <c r="C15" s="37">
        <f>IF(B$13=0,0,B15/B$13)</f>
        <v>0.63888888888888884</v>
      </c>
      <c r="E15" s="63" t="s">
        <v>74</v>
      </c>
      <c r="F15" s="60" t="s">
        <v>29</v>
      </c>
      <c r="G15" s="47">
        <v>1</v>
      </c>
      <c r="H15" s="133">
        <f>IF(B$17=0,0,G15/B$17)</f>
        <v>2.3809523809523808E-2</v>
      </c>
      <c r="I15" s="94">
        <v>1</v>
      </c>
      <c r="K15" s="38">
        <v>13</v>
      </c>
      <c r="L15" s="99">
        <v>-144.79999999999998</v>
      </c>
      <c r="N15" s="114" t="s">
        <v>173</v>
      </c>
      <c r="O15" s="124">
        <f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14</v>
      </c>
      <c r="C16" s="37">
        <f>IF(B$14=0,0,B16/B$14)</f>
        <v>0.42424242424242425</v>
      </c>
      <c r="E16" s="63" t="s">
        <v>75</v>
      </c>
      <c r="F16" s="60" t="s">
        <v>30</v>
      </c>
      <c r="G16" s="47">
        <v>1</v>
      </c>
      <c r="H16" s="133">
        <f>IF(B$17=0,0,G16/B$17)</f>
        <v>2.3809523809523808E-2</v>
      </c>
      <c r="I16" s="94">
        <v>1</v>
      </c>
      <c r="K16" s="38">
        <v>14</v>
      </c>
      <c r="L16" s="99">
        <v>-138.69999999999999</v>
      </c>
      <c r="N16" s="115" t="s">
        <v>129</v>
      </c>
      <c r="O16" s="125">
        <f>IF(P16=0,0,Q16/P16)</f>
        <v>24.440000000000005</v>
      </c>
      <c r="P16" s="119">
        <v>5</v>
      </c>
      <c r="Q16" s="107">
        <v>122.20000000000002</v>
      </c>
    </row>
    <row r="17" spans="1:17" x14ac:dyDescent="0.4">
      <c r="A17" s="54" t="s">
        <v>10</v>
      </c>
      <c r="B17" s="46">
        <f>B19+B18</f>
        <v>42</v>
      </c>
      <c r="C17" s="37">
        <f>IF(B$3=0,0,B17/B$3)</f>
        <v>0.2857142857142857</v>
      </c>
      <c r="E17" s="63" t="s">
        <v>76</v>
      </c>
      <c r="F17" s="60" t="s">
        <v>31</v>
      </c>
      <c r="G17" s="47">
        <v>1</v>
      </c>
      <c r="H17" s="133">
        <f>IF(B$17=0,0,G17/B$17)</f>
        <v>2.3809523809523808E-2</v>
      </c>
      <c r="I17" s="94">
        <v>1</v>
      </c>
      <c r="K17" s="38">
        <v>15</v>
      </c>
      <c r="L17" s="99">
        <v>-84.399999999999991</v>
      </c>
      <c r="N17" s="115" t="s">
        <v>177</v>
      </c>
      <c r="O17" s="125">
        <f>IF(P17=0,0,Q17/P17)</f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20</v>
      </c>
      <c r="C18" s="39">
        <f>IF(B$17=0,0,B18/B$17)</f>
        <v>0.47619047619047616</v>
      </c>
      <c r="E18" s="63" t="s">
        <v>82</v>
      </c>
      <c r="F18" s="60" t="s">
        <v>37</v>
      </c>
      <c r="G18" s="47">
        <v>1</v>
      </c>
      <c r="H18" s="133">
        <f>IF(B$17=0,0,G18/B$17)</f>
        <v>2.3809523809523808E-2</v>
      </c>
      <c r="I18" s="94">
        <v>8</v>
      </c>
      <c r="K18" s="38">
        <v>16</v>
      </c>
      <c r="L18" s="99">
        <v>-139.79999999999998</v>
      </c>
      <c r="N18" s="115" t="s">
        <v>172</v>
      </c>
      <c r="O18" s="125">
        <f>IF(P18=0,0,Q18/P18)</f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22</v>
      </c>
      <c r="C19" s="39">
        <f>IF(B$17=0,0,B19/B$17)</f>
        <v>0.52380952380952384</v>
      </c>
      <c r="E19" s="63" t="s">
        <v>98</v>
      </c>
      <c r="F19" s="60" t="s">
        <v>53</v>
      </c>
      <c r="G19" s="47">
        <v>1</v>
      </c>
      <c r="H19" s="133">
        <f>IF(B$17=0,0,G19/B$17)</f>
        <v>2.3809523809523808E-2</v>
      </c>
      <c r="I19" s="94">
        <v>1</v>
      </c>
      <c r="K19" s="38">
        <v>17</v>
      </c>
      <c r="L19" s="99">
        <v>-203.5</v>
      </c>
      <c r="N19" s="115" t="s">
        <v>127</v>
      </c>
      <c r="O19" s="125">
        <f>IF(P19=0,0,Q19/P19)</f>
        <v>-22.991666666666671</v>
      </c>
      <c r="P19" s="119">
        <v>12</v>
      </c>
      <c r="Q19" s="107">
        <v>-275.90000000000003</v>
      </c>
    </row>
    <row r="20" spans="1:17" x14ac:dyDescent="0.4">
      <c r="A20" s="55" t="s">
        <v>13</v>
      </c>
      <c r="B20" s="47">
        <v>34</v>
      </c>
      <c r="C20" s="39">
        <f>IF(B$3=0,0,B20/B$3)</f>
        <v>0.23129251700680273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171</v>
      </c>
      <c r="O20" s="125">
        <f>IF(P20=0,0,Q20/P20)</f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191</v>
      </c>
      <c r="B21" s="47">
        <v>5</v>
      </c>
      <c r="C21" s="135">
        <v>5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5</v>
      </c>
      <c r="N21" s="115" t="s">
        <v>128</v>
      </c>
      <c r="O21" s="125">
        <f>IF(P21=0,0,Q21/P21)</f>
        <v>-28.642857142857142</v>
      </c>
      <c r="P21" s="119">
        <v>7</v>
      </c>
      <c r="Q21" s="107">
        <v>-200.5</v>
      </c>
    </row>
    <row r="22" spans="1:17" x14ac:dyDescent="0.4">
      <c r="A22" s="55" t="s">
        <v>192</v>
      </c>
      <c r="B22" s="47">
        <v>17</v>
      </c>
      <c r="C22" s="135">
        <v>5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11</v>
      </c>
      <c r="N22" s="115" t="s">
        <v>183</v>
      </c>
      <c r="O22" s="125">
        <f>IF(P22=0,0,Q22/P22)</f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8642.8571428571431</v>
      </c>
      <c r="C23" s="41">
        <v>363000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-8376.4705882352937</v>
      </c>
      <c r="C24" s="45">
        <v>-284800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152</v>
      </c>
      <c r="B26" s="142">
        <v>92000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11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9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7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6C821-0BF4-4720-A206-B21ED2E22F75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</v>
      </c>
      <c r="C2" s="151"/>
      <c r="E2" s="62" t="s">
        <v>73</v>
      </c>
      <c r="F2" s="59" t="s">
        <v>28</v>
      </c>
      <c r="G2" s="46">
        <v>19</v>
      </c>
      <c r="H2" s="132">
        <f>IF(B$17=0,0,G2/B$17)</f>
        <v>0.65517241379310343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-1966.6666666666667</v>
      </c>
      <c r="P2" s="118">
        <v>9</v>
      </c>
      <c r="Q2" s="102">
        <v>-17700</v>
      </c>
    </row>
    <row r="3" spans="1:17" x14ac:dyDescent="0.4">
      <c r="A3" s="55" t="s">
        <v>8</v>
      </c>
      <c r="B3" s="152">
        <v>85</v>
      </c>
      <c r="C3" s="153"/>
      <c r="E3" s="63" t="s">
        <v>67</v>
      </c>
      <c r="F3" s="60" t="s">
        <v>23</v>
      </c>
      <c r="G3" s="47">
        <v>16</v>
      </c>
      <c r="H3" s="133">
        <f>IF(B$17=0,0,G3/B$17)</f>
        <v>0.55172413793103448</v>
      </c>
      <c r="I3" s="94">
        <v>13</v>
      </c>
      <c r="K3" s="38">
        <v>1</v>
      </c>
      <c r="L3" s="99">
        <v>-12.5</v>
      </c>
      <c r="N3" s="115" t="s">
        <v>133</v>
      </c>
      <c r="O3" s="122">
        <f t="shared" si="0"/>
        <v>4077.7777777777778</v>
      </c>
      <c r="P3" s="119">
        <v>9</v>
      </c>
      <c r="Q3" s="103">
        <v>36700</v>
      </c>
    </row>
    <row r="4" spans="1:17" x14ac:dyDescent="0.4">
      <c r="A4" s="55" t="s">
        <v>6</v>
      </c>
      <c r="B4" s="154">
        <v>18.099999999999994</v>
      </c>
      <c r="C4" s="155"/>
      <c r="E4" s="63" t="s">
        <v>65</v>
      </c>
      <c r="F4" s="60" t="s">
        <v>21</v>
      </c>
      <c r="G4" s="47">
        <v>14</v>
      </c>
      <c r="H4" s="133">
        <f>IF(B$17=0,0,G4/B$17)</f>
        <v>0.48275862068965519</v>
      </c>
      <c r="I4" s="94">
        <v>10</v>
      </c>
      <c r="K4" s="38">
        <v>2</v>
      </c>
      <c r="L4" s="99">
        <v>-28.1</v>
      </c>
      <c r="N4" s="115" t="s">
        <v>134</v>
      </c>
      <c r="O4" s="122">
        <f t="shared" si="0"/>
        <v>-3733.3333333333335</v>
      </c>
      <c r="P4" s="119">
        <v>9</v>
      </c>
      <c r="Q4" s="103">
        <v>-33600</v>
      </c>
    </row>
    <row r="5" spans="1:17" x14ac:dyDescent="0.4">
      <c r="A5" s="55" t="s">
        <v>7</v>
      </c>
      <c r="B5" s="156">
        <f>IF(B$2=0,0,B$4/B$2)</f>
        <v>2.0111111111111106</v>
      </c>
      <c r="C5" s="157"/>
      <c r="E5" s="63" t="s">
        <v>69</v>
      </c>
      <c r="F5" s="60" t="s">
        <v>12</v>
      </c>
      <c r="G5" s="47">
        <v>11</v>
      </c>
      <c r="H5" s="133">
        <f>IF(B$17=0,0,G5/B$17)</f>
        <v>0.37931034482758619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-1666.6666666666667</v>
      </c>
      <c r="P5" s="119">
        <v>9</v>
      </c>
      <c r="Q5" s="103">
        <v>-15000</v>
      </c>
    </row>
    <row r="6" spans="1:17" x14ac:dyDescent="0.4">
      <c r="A6" s="55" t="s">
        <v>1</v>
      </c>
      <c r="B6" s="146">
        <f>IF(B$2=0,0,(B$7*1+B$8*2+B$9*3)/B$2)</f>
        <v>1.8888888888888888</v>
      </c>
      <c r="C6" s="147"/>
      <c r="E6" s="63" t="s">
        <v>68</v>
      </c>
      <c r="F6" s="60" t="s">
        <v>24</v>
      </c>
      <c r="G6" s="47">
        <v>9</v>
      </c>
      <c r="H6" s="133">
        <f>IF(B$17=0,0,G6/B$17)</f>
        <v>0.31034482758620691</v>
      </c>
      <c r="I6" s="94">
        <v>8</v>
      </c>
      <c r="K6" s="38">
        <v>4</v>
      </c>
      <c r="L6" s="99">
        <v>19.399999999999995</v>
      </c>
      <c r="N6" s="115" t="s">
        <v>136</v>
      </c>
      <c r="O6" s="122">
        <f t="shared" si="0"/>
        <v>1957.1428571428571</v>
      </c>
      <c r="P6" s="119">
        <v>7</v>
      </c>
      <c r="Q6" s="103">
        <v>13700</v>
      </c>
    </row>
    <row r="7" spans="1:17" x14ac:dyDescent="0.4">
      <c r="A7" s="55" t="s">
        <v>2</v>
      </c>
      <c r="B7" s="47">
        <v>2</v>
      </c>
      <c r="C7" s="39">
        <f>IF(B$2=0,0,B7/B$2)</f>
        <v>0.22222222222222221</v>
      </c>
      <c r="E7" s="63" t="s">
        <v>245</v>
      </c>
      <c r="F7" s="60" t="s">
        <v>246</v>
      </c>
      <c r="G7" s="47">
        <v>9</v>
      </c>
      <c r="H7" s="133">
        <f>IF(B$17=0,0,G7/B$17)</f>
        <v>0.31034482758620691</v>
      </c>
      <c r="I7" s="94">
        <v>12</v>
      </c>
      <c r="K7" s="38">
        <v>5</v>
      </c>
      <c r="L7" s="99">
        <v>-16.100000000000005</v>
      </c>
      <c r="N7" s="116" t="s">
        <v>137</v>
      </c>
      <c r="O7" s="123">
        <f t="shared" si="0"/>
        <v>2000</v>
      </c>
      <c r="P7" s="120">
        <v>7</v>
      </c>
      <c r="Q7" s="104">
        <v>14000</v>
      </c>
    </row>
    <row r="8" spans="1:17" x14ac:dyDescent="0.4">
      <c r="A8" s="55" t="s">
        <v>3</v>
      </c>
      <c r="B8" s="47">
        <v>6</v>
      </c>
      <c r="C8" s="39">
        <f>IF(B$2=0,0,B8/B$2)</f>
        <v>0.66666666666666663</v>
      </c>
      <c r="E8" s="63" t="s">
        <v>70</v>
      </c>
      <c r="F8" s="60" t="s">
        <v>25</v>
      </c>
      <c r="G8" s="47">
        <v>5</v>
      </c>
      <c r="H8" s="133">
        <f>IF(B$17=0,0,G8/B$17)</f>
        <v>0.17241379310344829</v>
      </c>
      <c r="I8" s="94">
        <v>8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0.1111111111111111</v>
      </c>
      <c r="E9" s="63" t="s">
        <v>90</v>
      </c>
      <c r="F9" s="60" t="s">
        <v>45</v>
      </c>
      <c r="G9" s="47">
        <v>4</v>
      </c>
      <c r="H9" s="133">
        <f>IF(B$17=0,0,G9/B$17)</f>
        <v>0.13793103448275862</v>
      </c>
      <c r="I9" s="94">
        <v>5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87</v>
      </c>
      <c r="F10" s="60" t="s">
        <v>42</v>
      </c>
      <c r="G10" s="47">
        <v>3</v>
      </c>
      <c r="H10" s="133">
        <f>IF(B$17=0,0,G10/B$17)</f>
        <v>0.10344827586206896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3.4333333333333322</v>
      </c>
      <c r="P10" s="118">
        <v>3</v>
      </c>
      <c r="Q10" s="106">
        <v>10.299999999999997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2</v>
      </c>
      <c r="H11" s="133">
        <f>IF(B$17=0,0,G11/B$17)</f>
        <v>6.8965517241379309E-2</v>
      </c>
      <c r="I11" s="94">
        <v>9</v>
      </c>
      <c r="K11" s="38">
        <v>9</v>
      </c>
      <c r="L11" s="99">
        <v>18.099999999999994</v>
      </c>
      <c r="N11" s="115" t="s">
        <v>165</v>
      </c>
      <c r="O11" s="125">
        <f>IF(P11=0,0,Q11/P11)</f>
        <v>8.1</v>
      </c>
      <c r="P11" s="119">
        <v>2</v>
      </c>
      <c r="Q11" s="107">
        <v>16.2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79</v>
      </c>
      <c r="F12" s="60" t="s">
        <v>34</v>
      </c>
      <c r="G12" s="47">
        <v>2</v>
      </c>
      <c r="H12" s="133">
        <f>IF(B$17=0,0,G12/B$17)</f>
        <v>6.8965517241379309E-2</v>
      </c>
      <c r="I12" s="94">
        <v>2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20</v>
      </c>
      <c r="C13" s="44">
        <f>IF(B$3=0,0,B13/B$3)</f>
        <v>0.23529411764705882</v>
      </c>
      <c r="E13" s="63" t="s">
        <v>80</v>
      </c>
      <c r="F13" s="60" t="s">
        <v>35</v>
      </c>
      <c r="G13" s="47">
        <v>1</v>
      </c>
      <c r="H13" s="133">
        <f>IF(B$17=0,0,G13/B$17)</f>
        <v>3.4482758620689655E-2</v>
      </c>
      <c r="I13" s="94">
        <v>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0.29411764705882354</v>
      </c>
      <c r="E14" s="63" t="s">
        <v>84</v>
      </c>
      <c r="F14" s="60" t="s">
        <v>39</v>
      </c>
      <c r="G14" s="47">
        <v>1</v>
      </c>
      <c r="H14" s="133">
        <f>IF(B$17=0,0,G14/B$17)</f>
        <v>3.4482758620689655E-2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0.7</v>
      </c>
      <c r="E15" s="63" t="s">
        <v>71</v>
      </c>
      <c r="F15" s="60" t="s">
        <v>26</v>
      </c>
      <c r="G15" s="47">
        <v>0</v>
      </c>
      <c r="H15" s="133">
        <f>IF(B$17=0,0,G15/B$17)</f>
        <v>0</v>
      </c>
      <c r="I15" s="94">
        <v>10</v>
      </c>
      <c r="N15" s="114" t="s">
        <v>173</v>
      </c>
      <c r="O15" s="124">
        <f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12</v>
      </c>
      <c r="C16" s="37">
        <f>IF(B$14=0,0,B16/B$14)</f>
        <v>0.48</v>
      </c>
      <c r="E16" s="63" t="s">
        <v>72</v>
      </c>
      <c r="F16" s="60" t="s">
        <v>27</v>
      </c>
      <c r="G16" s="47">
        <v>0</v>
      </c>
      <c r="H16" s="133">
        <f>IF(B$17=0,0,G16/B$17)</f>
        <v>0</v>
      </c>
      <c r="I16" s="94">
        <v>11</v>
      </c>
      <c r="N16" s="115" t="s">
        <v>171</v>
      </c>
      <c r="O16" s="125">
        <f>IF(P16=0,0,Q16/P16)</f>
        <v>22.524999999999999</v>
      </c>
      <c r="P16" s="119">
        <v>4</v>
      </c>
      <c r="Q16" s="107">
        <v>90.1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0.3411764705882353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8</v>
      </c>
      <c r="N17" s="115" t="s">
        <v>127</v>
      </c>
      <c r="O17" s="125">
        <f>IF(P17=0,0,Q17/P17)</f>
        <v>13.45</v>
      </c>
      <c r="P17" s="119">
        <v>2</v>
      </c>
      <c r="Q17" s="107">
        <v>26.9</v>
      </c>
    </row>
    <row r="18" spans="1:17" x14ac:dyDescent="0.4">
      <c r="A18" s="55" t="s">
        <v>12</v>
      </c>
      <c r="B18" s="47">
        <v>17</v>
      </c>
      <c r="C18" s="39">
        <f>IF(B$17=0,0,B18/B$17)</f>
        <v>0.58620689655172409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7</v>
      </c>
      <c r="N18" s="115" t="s">
        <v>128</v>
      </c>
      <c r="O18" s="125">
        <f>IF(P18=0,0,Q18/P18)</f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12</v>
      </c>
      <c r="C19" s="39">
        <f>IF(B$17=0,0,B19/B$17)</f>
        <v>0.41379310344827586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9</v>
      </c>
      <c r="N19" s="115" t="s">
        <v>172</v>
      </c>
      <c r="O19" s="125">
        <f>IF(P19=0,0,Q19/P19)</f>
        <v>2.7399999999999949</v>
      </c>
      <c r="P19" s="119">
        <v>5</v>
      </c>
      <c r="Q19" s="107">
        <v>13.699999999999974</v>
      </c>
    </row>
    <row r="20" spans="1:17" x14ac:dyDescent="0.4">
      <c r="A20" s="55" t="s">
        <v>13</v>
      </c>
      <c r="B20" s="47">
        <v>14</v>
      </c>
      <c r="C20" s="39">
        <f>IF(B$3=0,0,B20/B$3)</f>
        <v>0.16470588235294117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>IF(P20=0,0,Q20/P20)</f>
        <v>-32.625</v>
      </c>
      <c r="P20" s="119">
        <v>4</v>
      </c>
      <c r="Q20" s="107">
        <v>-130.5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5</v>
      </c>
    </row>
    <row r="22" spans="1:17" x14ac:dyDescent="0.4">
      <c r="A22" s="55" t="s">
        <v>192</v>
      </c>
      <c r="B22" s="47">
        <v>12</v>
      </c>
      <c r="C22" s="135">
        <v>5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6765.5172413793107</v>
      </c>
      <c r="C23" s="41">
        <v>196200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10</v>
      </c>
    </row>
    <row r="24" spans="1:17" x14ac:dyDescent="0.4">
      <c r="A24" s="57" t="s">
        <v>14</v>
      </c>
      <c r="B24" s="52">
        <f>IF(B$20=0,0,C24/B$20)</f>
        <v>-6378.5714285714284</v>
      </c>
      <c r="C24" s="45">
        <v>-89300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4">
        <v>4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152</v>
      </c>
      <c r="B26" s="142">
        <v>54800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F9D3B-7979-4749-8636-AF0AB6ECE578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67</v>
      </c>
      <c r="F2" s="59" t="s">
        <v>23</v>
      </c>
      <c r="G2" s="46">
        <v>3</v>
      </c>
      <c r="H2" s="132">
        <f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65</v>
      </c>
      <c r="F3" s="60" t="s">
        <v>21</v>
      </c>
      <c r="G3" s="47">
        <v>1</v>
      </c>
      <c r="H3" s="133">
        <f>IF(B$17=0,0,G3/B$17)</f>
        <v>0.5</v>
      </c>
      <c r="I3" s="94">
        <v>9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68</v>
      </c>
      <c r="F4" s="60" t="s">
        <v>24</v>
      </c>
      <c r="G4" s="47">
        <v>1</v>
      </c>
      <c r="H4" s="133">
        <f>IF(B$17=0,0,G4/B$17)</f>
        <v>0.5</v>
      </c>
      <c r="I4" s="94">
        <v>2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69</v>
      </c>
      <c r="F5" s="60" t="s">
        <v>12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82</v>
      </c>
      <c r="F6" s="60" t="s">
        <v>37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245</v>
      </c>
      <c r="F7" s="60" t="s">
        <v>246</v>
      </c>
      <c r="G7" s="47">
        <v>1</v>
      </c>
      <c r="H7" s="133">
        <f>IF(B$17=0,0,G7/B$17)</f>
        <v>0.5</v>
      </c>
      <c r="I7" s="94">
        <v>1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0</v>
      </c>
      <c r="H9" s="133">
        <f>IF(B$17=0,0,G9/B$17)</f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10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11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73</v>
      </c>
      <c r="F12" s="60" t="s">
        <v>28</v>
      </c>
      <c r="G12" s="47">
        <v>0</v>
      </c>
      <c r="H12" s="133">
        <f>IF(B$17=0,0,G12/B$17)</f>
        <v>0</v>
      </c>
      <c r="I12" s="94">
        <v>13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9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5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12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5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4</v>
      </c>
    </row>
    <row r="25" spans="1:9" x14ac:dyDescent="0.4">
      <c r="A25" s="90" t="s">
        <v>142</v>
      </c>
      <c r="B25" s="144">
        <v>5</v>
      </c>
      <c r="C25" s="145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11</v>
      </c>
    </row>
    <row r="26" spans="1:9" x14ac:dyDescent="0.4">
      <c r="A26" s="58" t="s">
        <v>152</v>
      </c>
      <c r="B26" s="142">
        <v>48300</v>
      </c>
      <c r="C26" s="143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7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4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13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CE084-76E9-45D3-A2E7-D9E800734820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</v>
      </c>
      <c r="C2" s="151"/>
      <c r="E2" s="62" t="s">
        <v>73</v>
      </c>
      <c r="F2" s="59" t="s">
        <v>28</v>
      </c>
      <c r="G2" s="46">
        <v>5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52">
        <v>17</v>
      </c>
      <c r="C3" s="153"/>
      <c r="E3" s="63" t="s">
        <v>67</v>
      </c>
      <c r="F3" s="60" t="s">
        <v>23</v>
      </c>
      <c r="G3" s="47">
        <v>4</v>
      </c>
      <c r="H3" s="133">
        <f>IF(B$17=0,0,G3/B$17)</f>
        <v>0.8</v>
      </c>
      <c r="I3" s="94">
        <v>5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4">
        <v>-24.7</v>
      </c>
      <c r="C4" s="155"/>
      <c r="E4" s="63" t="s">
        <v>65</v>
      </c>
      <c r="F4" s="60" t="s">
        <v>21</v>
      </c>
      <c r="G4" s="47">
        <v>3</v>
      </c>
      <c r="H4" s="133">
        <f>IF(B$17=0,0,G4/B$17)</f>
        <v>0.6</v>
      </c>
      <c r="I4" s="94">
        <v>3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6">
        <f>IF(B$2=0,0,B$4/B$2)</f>
        <v>-12.35</v>
      </c>
      <c r="C5" s="157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6">
        <f>IF(B$2=0,0,(B$7*1+B$8*2+B$9*3)/B$2)</f>
        <v>2.5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90</v>
      </c>
      <c r="F7" s="60" t="s">
        <v>45</v>
      </c>
      <c r="G7" s="47">
        <v>2</v>
      </c>
      <c r="H7" s="133">
        <f>IF(B$17=0,0,G7/B$17)</f>
        <v>0.4</v>
      </c>
      <c r="I7" s="94">
        <v>1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79</v>
      </c>
      <c r="F8" s="60" t="s">
        <v>34</v>
      </c>
      <c r="G8" s="47">
        <v>1</v>
      </c>
      <c r="H8" s="133">
        <f>IF(B$17=0,0,G8/B$17)</f>
        <v>0.2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84</v>
      </c>
      <c r="F9" s="60" t="s">
        <v>39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245</v>
      </c>
      <c r="F10" s="60" t="s">
        <v>246</v>
      </c>
      <c r="G10" s="47">
        <v>1</v>
      </c>
      <c r="H10" s="133">
        <f>IF(B$17=0,0,G10/B$17)</f>
        <v>0.2</v>
      </c>
      <c r="I10" s="94">
        <v>13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0</v>
      </c>
      <c r="H11" s="133">
        <f>IF(B$17=0,0,G11/B$17)</f>
        <v>0</v>
      </c>
      <c r="I11" s="94">
        <v>11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70</v>
      </c>
      <c r="F12" s="60" t="s">
        <v>25</v>
      </c>
      <c r="G12" s="47">
        <v>0</v>
      </c>
      <c r="H12" s="133">
        <f>IF(B$17=0,0,G12/B$17)</f>
        <v>0</v>
      </c>
      <c r="I12" s="94">
        <v>12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8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7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9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5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11</v>
      </c>
    </row>
    <row r="21" spans="1:17" x14ac:dyDescent="0.4">
      <c r="A21" s="55" t="s">
        <v>191</v>
      </c>
      <c r="B21" s="47">
        <v>1</v>
      </c>
      <c r="C21" s="135">
        <v>1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192</v>
      </c>
      <c r="B22" s="47">
        <v>7</v>
      </c>
      <c r="C22" s="135">
        <v>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5</v>
      </c>
    </row>
    <row r="25" spans="1:17" x14ac:dyDescent="0.4">
      <c r="A25" s="90" t="s">
        <v>142</v>
      </c>
      <c r="B25" s="144">
        <v>3</v>
      </c>
      <c r="C25" s="145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42">
        <v>47300</v>
      </c>
      <c r="C26" s="143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49325-560F-4F2C-BF17-5FFB3DFEC013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C5312-D45F-4BF3-99D1-0B4357B49510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EB5D6-ADCE-4876-B142-9F59233397A9}">
  <sheetPr codeName="Sheet26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81C2D-7905-4794-8DA5-932F69E34549}">
  <sheetPr codeName="Sheet24"/>
  <dimension ref="A1:Q2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B4F06-0DAD-4049-821E-BF343E3759CD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A72C7-7B69-4C6C-9523-39CA66AD31E7}">
  <sheetPr codeName="Sheet20"/>
  <dimension ref="A1:Q6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A33FF-C27E-41F4-976C-95057370ED3F}">
  <sheetPr codeName="Sheet18"/>
  <dimension ref="A1:Q5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29AA3-BF57-4733-AE9F-444AFC15BF97}">
  <sheetPr codeName="Sheet16"/>
  <dimension ref="A1:Q8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64328-EE0F-4FB6-9433-C8E791C9CA9A}">
  <sheetPr codeName="Sheet14"/>
  <dimension ref="A1:Q9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F17D9-023D-4495-AACF-5AF3F6A859D3}">
  <sheetPr codeName="Sheet12"/>
  <dimension ref="A1:Q9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A272-4085-46DC-B519-601DACFF536E}">
  <sheetPr codeName="Sheet10"/>
  <dimension ref="A1:Q13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ADCAE-1C45-4CA5-BC5C-0BFC8E003A17}">
  <sheetPr codeName="Sheet8"/>
  <dimension ref="A1:Q15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5696F-1A10-4417-8DAD-A4313AE739A6}">
  <sheetPr codeName="Sheet6"/>
  <dimension ref="A1:Q23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2019-06-18T16:00:55Z</dcterms:modified>
</cp:coreProperties>
</file>