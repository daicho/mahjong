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AB9BF0E7-1DA5-4A11-9C06-0747853C6EA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7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6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6" i="5459"/>
  <c r="O21" i="5467"/>
  <c r="O20" i="5467"/>
  <c r="O21" i="5455" l="1"/>
  <c r="O17" i="5471"/>
  <c r="O20" i="5471" l="1"/>
  <c r="O15" i="5471"/>
  <c r="O16" i="5461"/>
  <c r="O22" i="5459"/>
  <c r="O17" i="5469" l="1"/>
  <c r="O22" i="5465"/>
  <c r="O15" i="5469"/>
  <c r="O21" i="5471"/>
  <c r="O15" i="5457"/>
  <c r="O17" i="5467"/>
  <c r="O17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6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9" i="5467" l="1"/>
  <c r="O18" i="5465"/>
  <c r="O16" i="5465"/>
  <c r="O17" i="5457"/>
  <c r="O18" i="5463" l="1"/>
  <c r="O17" i="5461"/>
  <c r="O17" i="5465"/>
  <c r="O19" i="5465"/>
  <c r="O15" i="5463" l="1"/>
  <c r="O15" i="5461"/>
  <c r="O21" i="5459"/>
  <c r="O19" i="5459"/>
  <c r="O15" i="5467"/>
  <c r="O18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8" i="5467" l="1"/>
  <c r="H2" i="5467"/>
  <c r="C17" i="5467"/>
  <c r="H4" i="5467"/>
  <c r="H10" i="5467"/>
  <c r="H18" i="5467"/>
  <c r="H20" i="5467"/>
  <c r="H23" i="5467"/>
  <c r="H26" i="5467"/>
  <c r="H29" i="5467"/>
  <c r="H33" i="5467"/>
  <c r="H37" i="5467"/>
  <c r="H41" i="5467"/>
  <c r="H45" i="5467"/>
  <c r="H49" i="5467"/>
  <c r="H7" i="5467"/>
  <c r="H13" i="5467"/>
  <c r="H15" i="5467"/>
  <c r="C19" i="5467"/>
  <c r="H21" i="5467"/>
  <c r="H30" i="5467"/>
  <c r="H34" i="5467"/>
  <c r="H38" i="5467"/>
  <c r="H42" i="5467"/>
  <c r="H46" i="5467"/>
  <c r="H50" i="5467"/>
  <c r="H3" i="5467"/>
  <c r="H6" i="5467"/>
  <c r="H9" i="5467"/>
  <c r="H12" i="5467"/>
  <c r="H17" i="5467"/>
  <c r="H19" i="5467"/>
  <c r="H22" i="5467"/>
  <c r="H24" i="5467"/>
  <c r="H27" i="5467"/>
  <c r="H31" i="5467"/>
  <c r="H35" i="5467"/>
  <c r="H39" i="5467"/>
  <c r="H43" i="5467"/>
  <c r="H47" i="5467"/>
  <c r="H51" i="5467"/>
  <c r="H5" i="5467"/>
  <c r="H11" i="5467"/>
  <c r="H14" i="5467"/>
  <c r="H16" i="5467"/>
  <c r="C18" i="5467"/>
  <c r="B23" i="5467"/>
  <c r="H25" i="5467"/>
  <c r="H28" i="5467"/>
  <c r="H32" i="5467"/>
  <c r="H36" i="5467"/>
  <c r="H40" i="5467"/>
  <c r="H44" i="5467"/>
  <c r="H48" i="5467"/>
  <c r="O18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8" i="5453"/>
  <c r="O19" i="5463"/>
  <c r="O19" i="5457"/>
  <c r="O18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0" i="5453"/>
  <c r="O21" i="5453"/>
  <c r="C17" i="5465" l="1"/>
  <c r="H4" i="5465"/>
  <c r="H10" i="5465"/>
  <c r="H2" i="5465"/>
  <c r="H8" i="5465"/>
  <c r="H4" i="5463"/>
  <c r="H2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7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8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9" i="5457" l="1"/>
  <c r="H2" i="5457"/>
  <c r="H14" i="5457"/>
  <c r="H3" i="5457"/>
  <c r="H12" i="5459"/>
  <c r="H7" i="5459"/>
  <c r="H44" i="5459"/>
  <c r="H11" i="5459"/>
  <c r="H4" i="5459"/>
  <c r="H30" i="5459"/>
  <c r="H9" i="5459"/>
  <c r="C17" i="5459"/>
  <c r="H23" i="5455"/>
  <c r="H13" i="5455"/>
  <c r="H38" i="5455"/>
  <c r="H4" i="5455"/>
  <c r="H2" i="5455"/>
  <c r="H7" i="5455"/>
  <c r="H30" i="5455"/>
  <c r="B23" i="5455"/>
  <c r="H10" i="5455"/>
  <c r="H40" i="5459"/>
  <c r="H17" i="5459"/>
  <c r="H21" i="5459"/>
  <c r="H19" i="5459"/>
  <c r="H48" i="5459"/>
  <c r="H3" i="5459"/>
  <c r="H2" i="5459"/>
  <c r="H10" i="5459"/>
  <c r="H16" i="5459"/>
  <c r="H13" i="5459"/>
  <c r="H36" i="5459"/>
  <c r="H5" i="5459"/>
  <c r="H28" i="5459"/>
  <c r="H29" i="5459"/>
  <c r="H31" i="5459"/>
  <c r="H22" i="5459"/>
  <c r="H23" i="5459"/>
  <c r="H34" i="5459"/>
  <c r="H38" i="5459"/>
  <c r="H42" i="5459"/>
  <c r="H46" i="5459"/>
  <c r="H50" i="5459"/>
  <c r="H8" i="5459"/>
  <c r="H26" i="5459"/>
  <c r="H20" i="5459"/>
  <c r="C19" i="5459"/>
  <c r="H15" i="5459"/>
  <c r="H24" i="5459"/>
  <c r="H35" i="5459"/>
  <c r="H39" i="5459"/>
  <c r="H43" i="5459"/>
  <c r="H47" i="5459"/>
  <c r="H51" i="5459"/>
  <c r="H6" i="5459"/>
  <c r="H25" i="5459"/>
  <c r="H27" i="5459"/>
  <c r="H14" i="5459"/>
  <c r="C18" i="5459"/>
  <c r="B23" i="5459"/>
  <c r="H18" i="5459"/>
  <c r="H32" i="5459"/>
  <c r="H33" i="5459"/>
  <c r="H37" i="5459"/>
  <c r="H41" i="5459"/>
  <c r="H45" i="5459"/>
  <c r="H49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6" i="5457"/>
  <c r="H13" i="5457"/>
  <c r="H37" i="5457"/>
  <c r="H5" i="5457"/>
  <c r="H30" i="5457"/>
  <c r="H31" i="5457"/>
  <c r="H32" i="5457"/>
  <c r="H25" i="5457"/>
  <c r="H17" i="5457"/>
  <c r="H28" i="5457"/>
  <c r="H39" i="5457"/>
  <c r="H43" i="5457"/>
  <c r="H47" i="5457"/>
  <c r="H51" i="5457"/>
  <c r="H26" i="5457"/>
  <c r="H36" i="5457"/>
  <c r="H40" i="5457"/>
  <c r="H44" i="5457"/>
  <c r="H48" i="5457"/>
  <c r="H18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6" i="5453"/>
  <c r="H11" i="5453"/>
  <c r="H32" i="5453"/>
  <c r="H12" i="5453"/>
  <c r="H16" i="5453"/>
  <c r="H25" i="5453"/>
  <c r="H7" i="5453"/>
  <c r="H24" i="5453"/>
  <c r="C18" i="5453"/>
  <c r="H46" i="5455"/>
  <c r="H6" i="5455"/>
  <c r="H11" i="5455"/>
  <c r="H3" i="5455"/>
  <c r="C18" i="5455"/>
  <c r="H52" i="5455"/>
  <c r="H21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6" i="5455"/>
  <c r="H26" i="5455"/>
  <c r="H12" i="5455"/>
  <c r="H9" i="5455"/>
  <c r="H28" i="5455"/>
  <c r="H37" i="5455"/>
  <c r="H41" i="5455"/>
  <c r="H45" i="5455"/>
  <c r="H49" i="5455"/>
  <c r="H33" i="5453"/>
  <c r="H28" i="5453"/>
  <c r="H42" i="5453"/>
  <c r="H10" i="5453"/>
  <c r="H6" i="5453"/>
  <c r="H20" i="5453"/>
  <c r="H18" i="5453"/>
  <c r="B23" i="5453"/>
  <c r="H26" i="5453"/>
  <c r="H49" i="5453"/>
  <c r="H50" i="5453"/>
  <c r="H15" i="5453"/>
  <c r="H9" i="5453"/>
  <c r="H38" i="5453"/>
  <c r="H45" i="5453"/>
  <c r="H5" i="5453"/>
  <c r="C17" i="5453"/>
  <c r="H13" i="5453"/>
  <c r="H29" i="5453"/>
  <c r="H39" i="5453"/>
  <c r="H46" i="5453"/>
  <c r="H52" i="5453"/>
  <c r="H34" i="5453"/>
  <c r="H35" i="5453"/>
  <c r="H22" i="5453"/>
  <c r="H30" i="5453"/>
  <c r="H17" i="5453"/>
  <c r="H31" i="5453"/>
  <c r="H40" i="5453"/>
  <c r="H43" i="5453"/>
  <c r="H47" i="5453"/>
  <c r="H51" i="5453"/>
  <c r="H8" i="5453"/>
  <c r="H21" i="5453"/>
  <c r="H27" i="5453"/>
  <c r="C19" i="5453"/>
  <c r="H14" i="5453"/>
  <c r="H23" i="5453"/>
  <c r="H37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<sst xmlns="http://schemas.openxmlformats.org/spreadsheetml/2006/main" count="3288" uniqueCount="252">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</sst>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全体!$K$2:$K$632</c:f>
              <c:numCache>
                <c:formatCode>General</c:formatCode>
                <c:ptCount val="6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</c:numCache>
            </c:numRef>
          </c:xVal>
          <c:yVal>
            <c:numRef>
              <c:f>全体!$L$2:$L$632</c:f>
              <c:numCache>
                <c:formatCode>\+0.0;\-0.0;\±0</c:formatCode>
                <c:ptCount val="63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-14.285714285714286</c:v>
                </c:pt>
                <c:pt idx="1">
                  <c:v>-8.1300813008130088</c:v>
                </c:pt>
                <c:pt idx="2">
                  <c:v>8.5910652920962196</c:v>
                </c:pt>
                <c:pt idx="3">
                  <c:v>11.299435028248588</c:v>
                </c:pt>
                <c:pt idx="4">
                  <c:v>-14.675052410901468</c:v>
                </c:pt>
                <c:pt idx="5">
                  <c:v>23.310023310023311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だいち!$L$2:$L$144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1961.9718309859154</c:v>
                </c:pt>
                <c:pt idx="1">
                  <c:v>1297.8260869565217</c:v>
                </c:pt>
                <c:pt idx="2">
                  <c:v>902.29007633587787</c:v>
                </c:pt>
                <c:pt idx="3">
                  <c:v>2610</c:v>
                </c:pt>
                <c:pt idx="4">
                  <c:v>385.84905660377359</c:v>
                </c:pt>
                <c:pt idx="5">
                  <c:v>782.79569892473114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りくと!$L$2:$L$122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304.16666666666669</c:v>
                </c:pt>
                <c:pt idx="1">
                  <c:v>-2158.6206896551726</c:v>
                </c:pt>
                <c:pt idx="2">
                  <c:v>228.31858407079645</c:v>
                </c:pt>
                <c:pt idx="3">
                  <c:v>134</c:v>
                </c:pt>
                <c:pt idx="4">
                  <c:v>242.69662921348313</c:v>
                </c:pt>
                <c:pt idx="5">
                  <c:v>471.08433734939757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-2831.3253012048194</c:v>
                </c:pt>
                <c:pt idx="1">
                  <c:v>-1464.1975308641975</c:v>
                </c:pt>
                <c:pt idx="2">
                  <c:v>-153.24675324675326</c:v>
                </c:pt>
                <c:pt idx="3">
                  <c:v>-4758.8235294117649</c:v>
                </c:pt>
                <c:pt idx="4">
                  <c:v>-1262.295081967213</c:v>
                </c:pt>
                <c:pt idx="5">
                  <c:v>-1387.5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れんたろう!$L$2:$L$88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-386.04651162790697</c:v>
                </c:pt>
                <c:pt idx="1">
                  <c:v>817.85714285714289</c:v>
                </c:pt>
                <c:pt idx="2">
                  <c:v>1514.1025641025642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まっつん!$L$2:$L$56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600</c:v>
                </c:pt>
                <c:pt idx="1">
                  <c:v>1152.9411764705883</c:v>
                </c:pt>
                <c:pt idx="2">
                  <c:v>-938.29787234042556</c:v>
                </c:pt>
                <c:pt idx="3">
                  <c:v>1741.304347826087</c:v>
                </c:pt>
                <c:pt idx="4">
                  <c:v>-1300</c:v>
                </c:pt>
                <c:pt idx="5">
                  <c:v>576.47058823529414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ただ2!$B$3:$B$86</c:f>
              <c:numCache>
                <c:formatCode>\+0.0;\-0.0;\±0</c:formatCode>
                <c:ptCount val="8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75397705995419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ただ2!$C$3:$C$86</c:f>
              <c:numCache>
                <c:formatCode>\+0.0;\-0.0;\±0</c:formatCode>
                <c:ptCount val="84"/>
                <c:pt idx="1">
                  <c:v>-40.4</c:v>
                </c:pt>
                <c:pt idx="2">
                  <c:v>-1.6999999999999993</c:v>
                </c:pt>
                <c:pt idx="3">
                  <c:v>-7.6999999999999993</c:v>
                </c:pt>
                <c:pt idx="4">
                  <c:v>-7.85</c:v>
                </c:pt>
                <c:pt idx="5">
                  <c:v>-6.4399999999999995</c:v>
                </c:pt>
                <c:pt idx="6">
                  <c:v>-9.75</c:v>
                </c:pt>
                <c:pt idx="7">
                  <c:v>-16.685714285714287</c:v>
                </c:pt>
                <c:pt idx="8">
                  <c:v>-9.9499999999999993</c:v>
                </c:pt>
                <c:pt idx="9">
                  <c:v>-14.177777777777777</c:v>
                </c:pt>
                <c:pt idx="10">
                  <c:v>-23.139999999999997</c:v>
                </c:pt>
                <c:pt idx="11">
                  <c:v>-27.809090909090909</c:v>
                </c:pt>
                <c:pt idx="12">
                  <c:v>-28.125</c:v>
                </c:pt>
                <c:pt idx="13">
                  <c:v>-28.392307692307693</c:v>
                </c:pt>
                <c:pt idx="14">
                  <c:v>-28.185714285714287</c:v>
                </c:pt>
                <c:pt idx="15">
                  <c:v>-28.3</c:v>
                </c:pt>
                <c:pt idx="16">
                  <c:v>-29.5</c:v>
                </c:pt>
                <c:pt idx="17">
                  <c:v>-31.664705882352937</c:v>
                </c:pt>
                <c:pt idx="18">
                  <c:v>-29.844444444444441</c:v>
                </c:pt>
                <c:pt idx="19">
                  <c:v>-29.973684210526311</c:v>
                </c:pt>
                <c:pt idx="20">
                  <c:v>-31.649999999999995</c:v>
                </c:pt>
                <c:pt idx="21">
                  <c:v>-29.976190476190471</c:v>
                </c:pt>
                <c:pt idx="22">
                  <c:v>-30.463636363636361</c:v>
                </c:pt>
                <c:pt idx="23">
                  <c:v>-32.052173913043475</c:v>
                </c:pt>
                <c:pt idx="24">
                  <c:v>-34.045833333333327</c:v>
                </c:pt>
                <c:pt idx="25">
                  <c:v>-31.347999999999999</c:v>
                </c:pt>
                <c:pt idx="26">
                  <c:v>-31.480769230769226</c:v>
                </c:pt>
                <c:pt idx="27">
                  <c:v>-32.451851851851849</c:v>
                </c:pt>
                <c:pt idx="28">
                  <c:v>-33.253571428571426</c:v>
                </c:pt>
                <c:pt idx="29">
                  <c:v>-31.334482758620688</c:v>
                </c:pt>
                <c:pt idx="30">
                  <c:v>-27.56</c:v>
                </c:pt>
                <c:pt idx="31">
                  <c:v>-26.958064516129031</c:v>
                </c:pt>
                <c:pt idx="32">
                  <c:v>-26.209374999999998</c:v>
                </c:pt>
                <c:pt idx="33">
                  <c:v>-26.61212121212121</c:v>
                </c:pt>
                <c:pt idx="34">
                  <c:v>-24.505882352941175</c:v>
                </c:pt>
                <c:pt idx="35">
                  <c:v>-23.302857142857139</c:v>
                </c:pt>
                <c:pt idx="36">
                  <c:v>-21.763888888888886</c:v>
                </c:pt>
                <c:pt idx="37">
                  <c:v>-22.348648648648645</c:v>
                </c:pt>
                <c:pt idx="38">
                  <c:v>-21.84210526315789</c:v>
                </c:pt>
                <c:pt idx="39">
                  <c:v>-20.161538461538459</c:v>
                </c:pt>
                <c:pt idx="40">
                  <c:v>-20.514999999999993</c:v>
                </c:pt>
                <c:pt idx="41">
                  <c:v>-20.963414634146336</c:v>
                </c:pt>
                <c:pt idx="42">
                  <c:v>-19.73571428571428</c:v>
                </c:pt>
                <c:pt idx="43">
                  <c:v>-18.306976744186041</c:v>
                </c:pt>
                <c:pt idx="44">
                  <c:v>-16.927272727272722</c:v>
                </c:pt>
                <c:pt idx="45">
                  <c:v>-17.442222222222217</c:v>
                </c:pt>
                <c:pt idx="46">
                  <c:v>-16.063043478260862</c:v>
                </c:pt>
                <c:pt idx="47">
                  <c:v>-15.765957446808505</c:v>
                </c:pt>
                <c:pt idx="48">
                  <c:v>-14.570833333333328</c:v>
                </c:pt>
                <c:pt idx="49">
                  <c:v>-14.593877551020404</c:v>
                </c:pt>
                <c:pt idx="50">
                  <c:v>-15.485999999999997</c:v>
                </c:pt>
                <c:pt idx="51">
                  <c:v>-16.290196078431368</c:v>
                </c:pt>
                <c:pt idx="52">
                  <c:v>-16.107692307692304</c:v>
                </c:pt>
                <c:pt idx="53">
                  <c:v>-15.918867924528298</c:v>
                </c:pt>
                <c:pt idx="54">
                  <c:v>-16.720370370370368</c:v>
                </c:pt>
                <c:pt idx="55">
                  <c:v>-15.185454545454542</c:v>
                </c:pt>
                <c:pt idx="56">
                  <c:v>-15.458928571428569</c:v>
                </c:pt>
                <c:pt idx="57">
                  <c:v>-15.061403508771926</c:v>
                </c:pt>
                <c:pt idx="58">
                  <c:v>-15.125862068965512</c:v>
                </c:pt>
                <c:pt idx="59">
                  <c:v>-15.944067796610165</c:v>
                </c:pt>
                <c:pt idx="60">
                  <c:v>-16.016666666666662</c:v>
                </c:pt>
                <c:pt idx="61">
                  <c:v>-15.150819672131142</c:v>
                </c:pt>
                <c:pt idx="62">
                  <c:v>-15.646774193548382</c:v>
                </c:pt>
                <c:pt idx="63">
                  <c:v>-16.080952380952375</c:v>
                </c:pt>
                <c:pt idx="64">
                  <c:v>-16.501562499999995</c:v>
                </c:pt>
                <c:pt idx="65">
                  <c:v>-16.663076923076918</c:v>
                </c:pt>
                <c:pt idx="66">
                  <c:v>-17.015151515151512</c:v>
                </c:pt>
                <c:pt idx="67">
                  <c:v>-16.773134328358204</c:v>
                </c:pt>
                <c:pt idx="68">
                  <c:v>-15.685294117647054</c:v>
                </c:pt>
                <c:pt idx="69">
                  <c:v>-16.163768115942027</c:v>
                </c:pt>
                <c:pt idx="70">
                  <c:v>-16.728571428571424</c:v>
                </c:pt>
                <c:pt idx="71">
                  <c:v>-15.921126760563379</c:v>
                </c:pt>
                <c:pt idx="72">
                  <c:v>-15.690277777777775</c:v>
                </c:pt>
                <c:pt idx="73">
                  <c:v>-14.953424657534246</c:v>
                </c:pt>
                <c:pt idx="74">
                  <c:v>-15.535135135135134</c:v>
                </c:pt>
                <c:pt idx="75">
                  <c:v>-15.305333333333332</c:v>
                </c:pt>
                <c:pt idx="76">
                  <c:v>-15.57894736842105</c:v>
                </c:pt>
                <c:pt idx="77">
                  <c:v>-14.753246753246751</c:v>
                </c:pt>
                <c:pt idx="78">
                  <c:v>-14.998717948717948</c:v>
                </c:pt>
                <c:pt idx="79">
                  <c:v>-15.526582278481012</c:v>
                </c:pt>
                <c:pt idx="80">
                  <c:v>-15.012499999999999</c:v>
                </c:pt>
                <c:pt idx="81">
                  <c:v>-15.625925925925927</c:v>
                </c:pt>
                <c:pt idx="82">
                  <c:v>-15.453658536585367</c:v>
                </c:pt>
                <c:pt idx="83">
                  <c:v>-15.308433734939761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2285350158003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ただ2!$D$3:$D$86</c:f>
              <c:numCache>
                <c:formatCode>0.00\ "位"</c:formatCode>
                <c:ptCount val="84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2.1666666666666665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2.5652173913043477</c:v>
                </c:pt>
                <c:pt idx="24">
                  <c:v>2.5833333333333335</c:v>
                </c:pt>
                <c:pt idx="25">
                  <c:v>2.52</c:v>
                </c:pt>
                <c:pt idx="26">
                  <c:v>2.5384615384615383</c:v>
                </c:pt>
                <c:pt idx="27">
                  <c:v>2.5555555555555554</c:v>
                </c:pt>
                <c:pt idx="28">
                  <c:v>2.5714285714285716</c:v>
                </c:pt>
                <c:pt idx="29">
                  <c:v>2.5172413793103448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2.4375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2.4</c:v>
                </c:pt>
                <c:pt idx="36">
                  <c:v>2.3611111111111112</c:v>
                </c:pt>
                <c:pt idx="37">
                  <c:v>2.3783783783783785</c:v>
                </c:pt>
                <c:pt idx="38">
                  <c:v>2.3684210526315788</c:v>
                </c:pt>
                <c:pt idx="39">
                  <c:v>2.3333333333333335</c:v>
                </c:pt>
                <c:pt idx="40">
                  <c:v>2.35</c:v>
                </c:pt>
                <c:pt idx="41">
                  <c:v>2.3658536585365852</c:v>
                </c:pt>
                <c:pt idx="42">
                  <c:v>2.3333333333333335</c:v>
                </c:pt>
                <c:pt idx="43">
                  <c:v>2.3023255813953489</c:v>
                </c:pt>
                <c:pt idx="44">
                  <c:v>2.2727272727272729</c:v>
                </c:pt>
                <c:pt idx="45">
                  <c:v>2.2888888888888888</c:v>
                </c:pt>
                <c:pt idx="46">
                  <c:v>2.2608695652173911</c:v>
                </c:pt>
                <c:pt idx="47">
                  <c:v>2.2553191489361701</c:v>
                </c:pt>
                <c:pt idx="48">
                  <c:v>2.2291666666666665</c:v>
                </c:pt>
                <c:pt idx="49">
                  <c:v>2.2244897959183674</c:v>
                </c:pt>
                <c:pt idx="50">
                  <c:v>2.2400000000000002</c:v>
                </c:pt>
                <c:pt idx="51">
                  <c:v>2.2549019607843137</c:v>
                </c:pt>
                <c:pt idx="52">
                  <c:v>2.25</c:v>
                </c:pt>
                <c:pt idx="53">
                  <c:v>2.2452830188679247</c:v>
                </c:pt>
                <c:pt idx="54">
                  <c:v>2.2592592592592591</c:v>
                </c:pt>
                <c:pt idx="55">
                  <c:v>2.2363636363636363</c:v>
                </c:pt>
                <c:pt idx="56">
                  <c:v>2.25</c:v>
                </c:pt>
                <c:pt idx="57">
                  <c:v>2.2456140350877192</c:v>
                </c:pt>
                <c:pt idx="58">
                  <c:v>2.2413793103448274</c:v>
                </c:pt>
                <c:pt idx="59">
                  <c:v>2.2542372881355934</c:v>
                </c:pt>
                <c:pt idx="60">
                  <c:v>2.25</c:v>
                </c:pt>
                <c:pt idx="61">
                  <c:v>2.2295081967213113</c:v>
                </c:pt>
                <c:pt idx="62">
                  <c:v>2.2419354838709675</c:v>
                </c:pt>
                <c:pt idx="63">
                  <c:v>2.253968253968254</c:v>
                </c:pt>
                <c:pt idx="64">
                  <c:v>2.265625</c:v>
                </c:pt>
                <c:pt idx="65">
                  <c:v>2.2769230769230768</c:v>
                </c:pt>
                <c:pt idx="66">
                  <c:v>2.2878787878787881</c:v>
                </c:pt>
                <c:pt idx="67">
                  <c:v>2.283582089552239</c:v>
                </c:pt>
                <c:pt idx="68">
                  <c:v>2.2647058823529411</c:v>
                </c:pt>
                <c:pt idx="69">
                  <c:v>2.2753623188405796</c:v>
                </c:pt>
                <c:pt idx="70">
                  <c:v>2.2857142857142856</c:v>
                </c:pt>
                <c:pt idx="71">
                  <c:v>2.267605633802817</c:v>
                </c:pt>
                <c:pt idx="72">
                  <c:v>2.2638888888888888</c:v>
                </c:pt>
                <c:pt idx="73">
                  <c:v>2.2465753424657535</c:v>
                </c:pt>
                <c:pt idx="74">
                  <c:v>2.2567567567567566</c:v>
                </c:pt>
                <c:pt idx="75">
                  <c:v>2.2533333333333334</c:v>
                </c:pt>
                <c:pt idx="76">
                  <c:v>2.263157894736842</c:v>
                </c:pt>
                <c:pt idx="77">
                  <c:v>2.2467532467532467</c:v>
                </c:pt>
                <c:pt idx="78">
                  <c:v>2.2564102564102564</c:v>
                </c:pt>
                <c:pt idx="79">
                  <c:v>2.2658227848101267</c:v>
                </c:pt>
                <c:pt idx="80">
                  <c:v>2.25</c:v>
                </c:pt>
                <c:pt idx="81">
                  <c:v>2.2592592592592591</c:v>
                </c:pt>
                <c:pt idx="82">
                  <c:v>2.2560975609756095</c:v>
                </c:pt>
                <c:pt idx="83">
                  <c:v>2.2530120481927711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ただ2!$E$3:$E$86</c:f>
              <c:numCache>
                <c:formatCode>0.0%</c:formatCode>
                <c:ptCount val="8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0.21428571428571427</c:v>
                </c:pt>
                <c:pt idx="43">
                  <c:v>0.23255813953488372</c:v>
                </c:pt>
                <c:pt idx="44">
                  <c:v>0.25</c:v>
                </c:pt>
                <c:pt idx="45">
                  <c:v>0.24444444444444444</c:v>
                </c:pt>
                <c:pt idx="46">
                  <c:v>0.2608695652173913</c:v>
                </c:pt>
                <c:pt idx="47">
                  <c:v>0.25531914893617019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0.25490196078431371</c:v>
                </c:pt>
                <c:pt idx="52">
                  <c:v>0.25</c:v>
                </c:pt>
                <c:pt idx="53">
                  <c:v>0.24528301886792453</c:v>
                </c:pt>
                <c:pt idx="54">
                  <c:v>0.24074074074074073</c:v>
                </c:pt>
                <c:pt idx="55">
                  <c:v>0.25454545454545452</c:v>
                </c:pt>
                <c:pt idx="56">
                  <c:v>0.25</c:v>
                </c:pt>
                <c:pt idx="57">
                  <c:v>0.24561403508771928</c:v>
                </c:pt>
                <c:pt idx="58">
                  <c:v>0.2413793103448276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0.24590163934426229</c:v>
                </c:pt>
                <c:pt idx="62">
                  <c:v>0.24193548387096775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0.22857142857142856</c:v>
                </c:pt>
                <c:pt idx="71">
                  <c:v>0.23943661971830985</c:v>
                </c:pt>
                <c:pt idx="72">
                  <c:v>0.2361111111111111</c:v>
                </c:pt>
                <c:pt idx="73">
                  <c:v>0.24657534246575341</c:v>
                </c:pt>
                <c:pt idx="74">
                  <c:v>0.24324324324324326</c:v>
                </c:pt>
                <c:pt idx="75">
                  <c:v>0.24</c:v>
                </c:pt>
                <c:pt idx="76">
                  <c:v>0.23684210526315788</c:v>
                </c:pt>
                <c:pt idx="77">
                  <c:v>0.24675324675324675</c:v>
                </c:pt>
                <c:pt idx="78">
                  <c:v>0.24358974358974358</c:v>
                </c:pt>
                <c:pt idx="79">
                  <c:v>0.24050632911392406</c:v>
                </c:pt>
                <c:pt idx="80">
                  <c:v>0.25</c:v>
                </c:pt>
                <c:pt idx="81">
                  <c:v>0.24691358024691357</c:v>
                </c:pt>
                <c:pt idx="82">
                  <c:v>0.24390243902439024</c:v>
                </c:pt>
                <c:pt idx="83">
                  <c:v>0.24096385542168675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ただ2!$F$3:$F$86</c:f>
              <c:numCache>
                <c:formatCode>0.0%</c:formatCode>
                <c:ptCount val="8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0.61538461538461542</c:v>
                </c:pt>
                <c:pt idx="14">
                  <c:v>0.5714285714285714</c:v>
                </c:pt>
                <c:pt idx="15">
                  <c:v>0.6</c:v>
                </c:pt>
                <c:pt idx="16">
                  <c:v>0.625</c:v>
                </c:pt>
                <c:pt idx="17">
                  <c:v>0.6470588235294118</c:v>
                </c:pt>
                <c:pt idx="18">
                  <c:v>0.61111111111111116</c:v>
                </c:pt>
                <c:pt idx="19">
                  <c:v>0.63157894736842102</c:v>
                </c:pt>
                <c:pt idx="20">
                  <c:v>0.65</c:v>
                </c:pt>
                <c:pt idx="21">
                  <c:v>0.61904761904761907</c:v>
                </c:pt>
                <c:pt idx="22">
                  <c:v>0.63636363636363635</c:v>
                </c:pt>
                <c:pt idx="23">
                  <c:v>0.65217391304347827</c:v>
                </c:pt>
                <c:pt idx="24">
                  <c:v>0.66666666666666663</c:v>
                </c:pt>
                <c:pt idx="25">
                  <c:v>0.64</c:v>
                </c:pt>
                <c:pt idx="26">
                  <c:v>0.65384615384615385</c:v>
                </c:pt>
                <c:pt idx="27">
                  <c:v>0.66666666666666663</c:v>
                </c:pt>
                <c:pt idx="28">
                  <c:v>0.6785714285714286</c:v>
                </c:pt>
                <c:pt idx="29">
                  <c:v>0.65517241379310343</c:v>
                </c:pt>
                <c:pt idx="30">
                  <c:v>0.6333333333333333</c:v>
                </c:pt>
                <c:pt idx="31">
                  <c:v>0.61290322580645162</c:v>
                </c:pt>
                <c:pt idx="32">
                  <c:v>0.59375</c:v>
                </c:pt>
                <c:pt idx="33">
                  <c:v>0.60606060606060608</c:v>
                </c:pt>
                <c:pt idx="34">
                  <c:v>0.58823529411764708</c:v>
                </c:pt>
                <c:pt idx="35">
                  <c:v>0.5714285714285714</c:v>
                </c:pt>
                <c:pt idx="36">
                  <c:v>0.55555555555555558</c:v>
                </c:pt>
                <c:pt idx="37">
                  <c:v>0.56756756756756754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0.53333333333333333</c:v>
                </c:pt>
                <c:pt idx="46">
                  <c:v>0.52173913043478259</c:v>
                </c:pt>
                <c:pt idx="47">
                  <c:v>0.51063829787234039</c:v>
                </c:pt>
                <c:pt idx="48">
                  <c:v>0.5</c:v>
                </c:pt>
                <c:pt idx="49">
                  <c:v>0.48979591836734693</c:v>
                </c:pt>
                <c:pt idx="50">
                  <c:v>0.5</c:v>
                </c:pt>
                <c:pt idx="51">
                  <c:v>0.50980392156862742</c:v>
                </c:pt>
                <c:pt idx="52">
                  <c:v>0.5</c:v>
                </c:pt>
                <c:pt idx="53">
                  <c:v>0.49056603773584906</c:v>
                </c:pt>
                <c:pt idx="54">
                  <c:v>0.5</c:v>
                </c:pt>
                <c:pt idx="55">
                  <c:v>0.49090909090909091</c:v>
                </c:pt>
                <c:pt idx="56">
                  <c:v>0.5</c:v>
                </c:pt>
                <c:pt idx="57">
                  <c:v>0.49122807017543857</c:v>
                </c:pt>
                <c:pt idx="58">
                  <c:v>0.48275862068965519</c:v>
                </c:pt>
                <c:pt idx="59">
                  <c:v>0.49152542372881358</c:v>
                </c:pt>
                <c:pt idx="60">
                  <c:v>0.48333333333333334</c:v>
                </c:pt>
                <c:pt idx="61">
                  <c:v>0.47540983606557374</c:v>
                </c:pt>
                <c:pt idx="62">
                  <c:v>0.4838709677419355</c:v>
                </c:pt>
                <c:pt idx="63">
                  <c:v>0.49206349206349204</c:v>
                </c:pt>
                <c:pt idx="64">
                  <c:v>0.5</c:v>
                </c:pt>
                <c:pt idx="65">
                  <c:v>0.50769230769230766</c:v>
                </c:pt>
                <c:pt idx="66">
                  <c:v>0.51515151515151514</c:v>
                </c:pt>
                <c:pt idx="67">
                  <c:v>0.5074626865671642</c:v>
                </c:pt>
                <c:pt idx="68">
                  <c:v>0.5</c:v>
                </c:pt>
                <c:pt idx="69">
                  <c:v>0.50724637681159424</c:v>
                </c:pt>
                <c:pt idx="70">
                  <c:v>0.51428571428571423</c:v>
                </c:pt>
                <c:pt idx="71">
                  <c:v>0.50704225352112675</c:v>
                </c:pt>
                <c:pt idx="72">
                  <c:v>0.5</c:v>
                </c:pt>
                <c:pt idx="73">
                  <c:v>0.49315068493150682</c:v>
                </c:pt>
                <c:pt idx="74">
                  <c:v>0.5</c:v>
                </c:pt>
                <c:pt idx="75">
                  <c:v>0.49333333333333335</c:v>
                </c:pt>
                <c:pt idx="76">
                  <c:v>0.5</c:v>
                </c:pt>
                <c:pt idx="77">
                  <c:v>0.4935064935064935</c:v>
                </c:pt>
                <c:pt idx="78">
                  <c:v>0.5</c:v>
                </c:pt>
                <c:pt idx="79">
                  <c:v>0.50632911392405067</c:v>
                </c:pt>
                <c:pt idx="80">
                  <c:v>0.5</c:v>
                </c:pt>
                <c:pt idx="81">
                  <c:v>0.50617283950617287</c:v>
                </c:pt>
                <c:pt idx="82">
                  <c:v>0.5</c:v>
                </c:pt>
                <c:pt idx="83">
                  <c:v>0.49397590361445781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ただ2!$G$3:$G$86</c:f>
              <c:numCache>
                <c:formatCode>0.0%</c:formatCode>
                <c:ptCount val="84"/>
                <c:pt idx="1">
                  <c:v>0.16666666666666666</c:v>
                </c:pt>
                <c:pt idx="2">
                  <c:v>0.375</c:v>
                </c:pt>
                <c:pt idx="3">
                  <c:v>0.30769230769230771</c:v>
                </c:pt>
                <c:pt idx="4">
                  <c:v>0.27272727272727271</c:v>
                </c:pt>
                <c:pt idx="5">
                  <c:v>0.30232558139534882</c:v>
                </c:pt>
                <c:pt idx="6">
                  <c:v>0.28846153846153844</c:v>
                </c:pt>
                <c:pt idx="7">
                  <c:v>0.26785714285714285</c:v>
                </c:pt>
                <c:pt idx="8">
                  <c:v>0.2857142857142857</c:v>
                </c:pt>
                <c:pt idx="9">
                  <c:v>0.25333333333333335</c:v>
                </c:pt>
                <c:pt idx="10">
                  <c:v>0.23595505617977527</c:v>
                </c:pt>
                <c:pt idx="11">
                  <c:v>0.20588235294117646</c:v>
                </c:pt>
                <c:pt idx="12">
                  <c:v>0.21428571428571427</c:v>
                </c:pt>
                <c:pt idx="13">
                  <c:v>0.22131147540983606</c:v>
                </c:pt>
                <c:pt idx="14">
                  <c:v>0.2109375</c:v>
                </c:pt>
                <c:pt idx="15">
                  <c:v>0.20588235294117646</c:v>
                </c:pt>
                <c:pt idx="16">
                  <c:v>0.19594594594594594</c:v>
                </c:pt>
                <c:pt idx="17">
                  <c:v>0.18954248366013071</c:v>
                </c:pt>
                <c:pt idx="18">
                  <c:v>0.19875776397515527</c:v>
                </c:pt>
                <c:pt idx="19">
                  <c:v>0.19526627218934911</c:v>
                </c:pt>
                <c:pt idx="20">
                  <c:v>0.19075144508670519</c:v>
                </c:pt>
                <c:pt idx="21">
                  <c:v>0.18994413407821228</c:v>
                </c:pt>
                <c:pt idx="22">
                  <c:v>0.18817204301075269</c:v>
                </c:pt>
                <c:pt idx="23">
                  <c:v>0.18324607329842932</c:v>
                </c:pt>
                <c:pt idx="24">
                  <c:v>0.18181818181818182</c:v>
                </c:pt>
                <c:pt idx="25">
                  <c:v>0.1941747572815534</c:v>
                </c:pt>
                <c:pt idx="26">
                  <c:v>0.19339622641509435</c:v>
                </c:pt>
                <c:pt idx="27">
                  <c:v>0.18468468468468469</c:v>
                </c:pt>
                <c:pt idx="28">
                  <c:v>0.1774891774891775</c:v>
                </c:pt>
                <c:pt idx="29">
                  <c:v>0.1875</c:v>
                </c:pt>
                <c:pt idx="30">
                  <c:v>0.19678714859437751</c:v>
                </c:pt>
                <c:pt idx="31">
                  <c:v>0.19607843137254902</c:v>
                </c:pt>
                <c:pt idx="32">
                  <c:v>0.19548872180451127</c:v>
                </c:pt>
                <c:pt idx="33">
                  <c:v>0.19708029197080293</c:v>
                </c:pt>
                <c:pt idx="34">
                  <c:v>0.20143884892086331</c:v>
                </c:pt>
                <c:pt idx="35">
                  <c:v>0.20494699646643111</c:v>
                </c:pt>
                <c:pt idx="36">
                  <c:v>0.21232876712328766</c:v>
                </c:pt>
                <c:pt idx="37">
                  <c:v>0.21</c:v>
                </c:pt>
                <c:pt idx="38">
                  <c:v>0.21035598705501618</c:v>
                </c:pt>
                <c:pt idx="39">
                  <c:v>0.21766561514195584</c:v>
                </c:pt>
                <c:pt idx="40">
                  <c:v>0.21362229102167182</c:v>
                </c:pt>
                <c:pt idx="41">
                  <c:v>0.21212121212121213</c:v>
                </c:pt>
                <c:pt idx="42">
                  <c:v>0.21301775147928995</c:v>
                </c:pt>
                <c:pt idx="43">
                  <c:v>0.21511627906976744</c:v>
                </c:pt>
                <c:pt idx="44">
                  <c:v>0.22033898305084745</c:v>
                </c:pt>
                <c:pt idx="45">
                  <c:v>0.21944444444444444</c:v>
                </c:pt>
                <c:pt idx="46">
                  <c:v>0.22191780821917809</c:v>
                </c:pt>
                <c:pt idx="47">
                  <c:v>0.21983914209115282</c:v>
                </c:pt>
                <c:pt idx="48">
                  <c:v>0.22105263157894736</c:v>
                </c:pt>
                <c:pt idx="49">
                  <c:v>0.22474747474747475</c:v>
                </c:pt>
                <c:pt idx="50">
                  <c:v>0.22167487684729065</c:v>
                </c:pt>
                <c:pt idx="51">
                  <c:v>0.22168674698795179</c:v>
                </c:pt>
                <c:pt idx="52">
                  <c:v>0.22405660377358491</c:v>
                </c:pt>
                <c:pt idx="53">
                  <c:v>0.22401847575057737</c:v>
                </c:pt>
                <c:pt idx="54">
                  <c:v>0.22247706422018348</c:v>
                </c:pt>
                <c:pt idx="55">
                  <c:v>0.22902494331065759</c:v>
                </c:pt>
                <c:pt idx="56">
                  <c:v>0.22538293216630198</c:v>
                </c:pt>
                <c:pt idx="57">
                  <c:v>0.22698072805139186</c:v>
                </c:pt>
                <c:pt idx="58">
                  <c:v>0.22669491525423729</c:v>
                </c:pt>
                <c:pt idx="59">
                  <c:v>0.22641509433962265</c:v>
                </c:pt>
                <c:pt idx="60">
                  <c:v>0.22810590631364563</c:v>
                </c:pt>
                <c:pt idx="61">
                  <c:v>0.2289156626506024</c:v>
                </c:pt>
                <c:pt idx="62">
                  <c:v>0.22593320235756384</c:v>
                </c:pt>
                <c:pt idx="63">
                  <c:v>0.22605363984674329</c:v>
                </c:pt>
                <c:pt idx="64">
                  <c:v>0.22641509433962265</c:v>
                </c:pt>
                <c:pt idx="65">
                  <c:v>0.22574626865671643</c:v>
                </c:pt>
                <c:pt idx="66">
                  <c:v>0.22324723247232472</c:v>
                </c:pt>
                <c:pt idx="67">
                  <c:v>0.22603978300180833</c:v>
                </c:pt>
                <c:pt idx="68">
                  <c:v>0.23131672597864769</c:v>
                </c:pt>
                <c:pt idx="69">
                  <c:v>0.22902097902097901</c:v>
                </c:pt>
                <c:pt idx="70">
                  <c:v>0.22797927461139897</c:v>
                </c:pt>
                <c:pt idx="71">
                  <c:v>0.22920203735144312</c:v>
                </c:pt>
                <c:pt idx="72">
                  <c:v>0.23</c:v>
                </c:pt>
                <c:pt idx="73">
                  <c:v>0.23393739703459637</c:v>
                </c:pt>
                <c:pt idx="74">
                  <c:v>0.233387358184765</c:v>
                </c:pt>
                <c:pt idx="75">
                  <c:v>0.23162939297124602</c:v>
                </c:pt>
                <c:pt idx="76">
                  <c:v>0.23064770932069512</c:v>
                </c:pt>
                <c:pt idx="77">
                  <c:v>0.23556942277691106</c:v>
                </c:pt>
                <c:pt idx="78">
                  <c:v>0.23538461538461539</c:v>
                </c:pt>
                <c:pt idx="79">
                  <c:v>0.23404255319148937</c:v>
                </c:pt>
                <c:pt idx="80">
                  <c:v>0.23423423423423423</c:v>
                </c:pt>
                <c:pt idx="81">
                  <c:v>0.2314540059347181</c:v>
                </c:pt>
                <c:pt idx="82">
                  <c:v>0.23065693430656933</c:v>
                </c:pt>
                <c:pt idx="83">
                  <c:v>0.23088023088023088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447934513611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ただ2!$H$3:$H$86</c:f>
              <c:numCache>
                <c:formatCode>0.0%</c:formatCode>
                <c:ptCount val="84"/>
                <c:pt idx="1">
                  <c:v>0.33333333333333331</c:v>
                </c:pt>
                <c:pt idx="2">
                  <c:v>0.25</c:v>
                </c:pt>
                <c:pt idx="3">
                  <c:v>0.26923076923076922</c:v>
                </c:pt>
                <c:pt idx="4">
                  <c:v>0.24242424242424243</c:v>
                </c:pt>
                <c:pt idx="5">
                  <c:v>0.2558139534883721</c:v>
                </c:pt>
                <c:pt idx="6">
                  <c:v>0.26923076923076922</c:v>
                </c:pt>
                <c:pt idx="7">
                  <c:v>0.2857142857142857</c:v>
                </c:pt>
                <c:pt idx="8">
                  <c:v>0.25396825396825395</c:v>
                </c:pt>
                <c:pt idx="9">
                  <c:v>0.24</c:v>
                </c:pt>
                <c:pt idx="10">
                  <c:v>0.25842696629213485</c:v>
                </c:pt>
                <c:pt idx="11">
                  <c:v>0.24509803921568626</c:v>
                </c:pt>
                <c:pt idx="12">
                  <c:v>0.22321428571428573</c:v>
                </c:pt>
                <c:pt idx="13">
                  <c:v>0.21311475409836064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0.20945945945945946</c:v>
                </c:pt>
                <c:pt idx="17">
                  <c:v>0.21568627450980393</c:v>
                </c:pt>
                <c:pt idx="18">
                  <c:v>0.21739130434782608</c:v>
                </c:pt>
                <c:pt idx="19">
                  <c:v>0.21893491124260356</c:v>
                </c:pt>
                <c:pt idx="20">
                  <c:v>0.22543352601156069</c:v>
                </c:pt>
                <c:pt idx="21">
                  <c:v>0.21787709497206703</c:v>
                </c:pt>
                <c:pt idx="22">
                  <c:v>0.22043010752688172</c:v>
                </c:pt>
                <c:pt idx="23">
                  <c:v>0.21989528795811519</c:v>
                </c:pt>
                <c:pt idx="24">
                  <c:v>0.21717171717171718</c:v>
                </c:pt>
                <c:pt idx="25">
                  <c:v>0.21844660194174756</c:v>
                </c:pt>
                <c:pt idx="26">
                  <c:v>0.22641509433962265</c:v>
                </c:pt>
                <c:pt idx="27">
                  <c:v>0.22972972972972974</c:v>
                </c:pt>
                <c:pt idx="28">
                  <c:v>0.22077922077922077</c:v>
                </c:pt>
                <c:pt idx="29">
                  <c:v>0.22083333333333333</c:v>
                </c:pt>
                <c:pt idx="30">
                  <c:v>0.21285140562248997</c:v>
                </c:pt>
                <c:pt idx="31">
                  <c:v>0.20784313725490197</c:v>
                </c:pt>
                <c:pt idx="32">
                  <c:v>0.19924812030075187</c:v>
                </c:pt>
                <c:pt idx="33">
                  <c:v>0.19708029197080293</c:v>
                </c:pt>
                <c:pt idx="34">
                  <c:v>0.19424460431654678</c:v>
                </c:pt>
                <c:pt idx="35">
                  <c:v>0.19434628975265017</c:v>
                </c:pt>
                <c:pt idx="36">
                  <c:v>0.19178082191780821</c:v>
                </c:pt>
                <c:pt idx="37">
                  <c:v>0.19333333333333333</c:v>
                </c:pt>
                <c:pt idx="38">
                  <c:v>0.1941747572815534</c:v>
                </c:pt>
                <c:pt idx="39">
                  <c:v>0.19242902208201892</c:v>
                </c:pt>
                <c:pt idx="40">
                  <c:v>0.19504643962848298</c:v>
                </c:pt>
                <c:pt idx="41">
                  <c:v>0.19696969696969696</c:v>
                </c:pt>
                <c:pt idx="42">
                  <c:v>0.19526627218934911</c:v>
                </c:pt>
                <c:pt idx="43">
                  <c:v>0.19186046511627908</c:v>
                </c:pt>
                <c:pt idx="44">
                  <c:v>0.19491525423728814</c:v>
                </c:pt>
                <c:pt idx="45">
                  <c:v>0.2</c:v>
                </c:pt>
                <c:pt idx="46">
                  <c:v>0.19726027397260273</c:v>
                </c:pt>
                <c:pt idx="47">
                  <c:v>0.19839142091152814</c:v>
                </c:pt>
                <c:pt idx="48">
                  <c:v>0.19473684210526315</c:v>
                </c:pt>
                <c:pt idx="49">
                  <c:v>0.19191919191919191</c:v>
                </c:pt>
                <c:pt idx="50">
                  <c:v>0.19458128078817735</c:v>
                </c:pt>
                <c:pt idx="51">
                  <c:v>0.19759036144578312</c:v>
                </c:pt>
                <c:pt idx="52">
                  <c:v>0.19811320754716982</c:v>
                </c:pt>
                <c:pt idx="53">
                  <c:v>0.19861431870669746</c:v>
                </c:pt>
                <c:pt idx="54">
                  <c:v>0.20412844036697247</c:v>
                </c:pt>
                <c:pt idx="55">
                  <c:v>0.20181405895691609</c:v>
                </c:pt>
                <c:pt idx="56">
                  <c:v>0.19693654266958424</c:v>
                </c:pt>
                <c:pt idx="57">
                  <c:v>0.19486081370449679</c:v>
                </c:pt>
                <c:pt idx="58">
                  <c:v>0.19279661016949154</c:v>
                </c:pt>
                <c:pt idx="59">
                  <c:v>0.19287211740041929</c:v>
                </c:pt>
                <c:pt idx="60">
                  <c:v>0.19144602851323828</c:v>
                </c:pt>
                <c:pt idx="61">
                  <c:v>0.19277108433734941</c:v>
                </c:pt>
                <c:pt idx="62">
                  <c:v>0.19646365422396855</c:v>
                </c:pt>
                <c:pt idx="63">
                  <c:v>0.19731800766283525</c:v>
                </c:pt>
                <c:pt idx="64">
                  <c:v>0.19622641509433963</c:v>
                </c:pt>
                <c:pt idx="65">
                  <c:v>0.19589552238805971</c:v>
                </c:pt>
                <c:pt idx="66">
                  <c:v>0.19557195571955718</c:v>
                </c:pt>
                <c:pt idx="67">
                  <c:v>0.19349005424954793</c:v>
                </c:pt>
                <c:pt idx="68">
                  <c:v>0.19039145907473309</c:v>
                </c:pt>
                <c:pt idx="69">
                  <c:v>0.19230769230769232</c:v>
                </c:pt>
                <c:pt idx="70">
                  <c:v>0.19170984455958548</c:v>
                </c:pt>
                <c:pt idx="71">
                  <c:v>0.19015280135823429</c:v>
                </c:pt>
                <c:pt idx="72">
                  <c:v>0.19</c:v>
                </c:pt>
                <c:pt idx="73">
                  <c:v>0.19110378912685339</c:v>
                </c:pt>
                <c:pt idx="74">
                  <c:v>0.19286871961102106</c:v>
                </c:pt>
                <c:pt idx="75">
                  <c:v>0.19169329073482427</c:v>
                </c:pt>
                <c:pt idx="76">
                  <c:v>0.19273301737756715</c:v>
                </c:pt>
                <c:pt idx="77">
                  <c:v>0.19188767550702029</c:v>
                </c:pt>
                <c:pt idx="78">
                  <c:v>0.19076923076923077</c:v>
                </c:pt>
                <c:pt idx="79">
                  <c:v>0.19300911854103345</c:v>
                </c:pt>
                <c:pt idx="80">
                  <c:v>0.19219219219219219</c:v>
                </c:pt>
                <c:pt idx="81">
                  <c:v>0.19287833827893175</c:v>
                </c:pt>
                <c:pt idx="82">
                  <c:v>0.19270072992700729</c:v>
                </c:pt>
                <c:pt idx="83">
                  <c:v>0.19336219336219337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523320007614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ただ2!$I$3:$I$86</c:f>
              <c:numCache>
                <c:formatCode>0</c:formatCode>
                <c:ptCount val="84"/>
                <c:pt idx="1">
                  <c:v>2800</c:v>
                </c:pt>
                <c:pt idx="2">
                  <c:v>7983.333333333333</c:v>
                </c:pt>
                <c:pt idx="3">
                  <c:v>6837.5</c:v>
                </c:pt>
                <c:pt idx="4">
                  <c:v>7411.1111111111113</c:v>
                </c:pt>
                <c:pt idx="5">
                  <c:v>7515.3846153846152</c:v>
                </c:pt>
                <c:pt idx="6">
                  <c:v>7973.333333333333</c:v>
                </c:pt>
                <c:pt idx="7">
                  <c:v>7973.333333333333</c:v>
                </c:pt>
                <c:pt idx="8">
                  <c:v>7977.7777777777774</c:v>
                </c:pt>
                <c:pt idx="9">
                  <c:v>7710.5263157894733</c:v>
                </c:pt>
                <c:pt idx="10">
                  <c:v>7928.5714285714284</c:v>
                </c:pt>
                <c:pt idx="11">
                  <c:v>7928.5714285714284</c:v>
                </c:pt>
                <c:pt idx="12">
                  <c:v>7287.5</c:v>
                </c:pt>
                <c:pt idx="13">
                  <c:v>7314.8148148148148</c:v>
                </c:pt>
                <c:pt idx="14">
                  <c:v>7314.8148148148148</c:v>
                </c:pt>
                <c:pt idx="15">
                  <c:v>7339.2857142857147</c:v>
                </c:pt>
                <c:pt idx="16">
                  <c:v>7362.0689655172409</c:v>
                </c:pt>
                <c:pt idx="17">
                  <c:v>7362.0689655172409</c:v>
                </c:pt>
                <c:pt idx="18">
                  <c:v>7112.5</c:v>
                </c:pt>
                <c:pt idx="19">
                  <c:v>7260.606060606061</c:v>
                </c:pt>
                <c:pt idx="20">
                  <c:v>7260.606060606061</c:v>
                </c:pt>
                <c:pt idx="21">
                  <c:v>7282.3529411764703</c:v>
                </c:pt>
                <c:pt idx="22">
                  <c:v>7302.8571428571431</c:v>
                </c:pt>
                <c:pt idx="23">
                  <c:v>7302.8571428571431</c:v>
                </c:pt>
                <c:pt idx="24">
                  <c:v>7600</c:v>
                </c:pt>
                <c:pt idx="25">
                  <c:v>7672.5</c:v>
                </c:pt>
                <c:pt idx="26">
                  <c:v>7680.4878048780483</c:v>
                </c:pt>
                <c:pt idx="27">
                  <c:v>7680.4878048780483</c:v>
                </c:pt>
                <c:pt idx="28">
                  <c:v>7680.4878048780483</c:v>
                </c:pt>
                <c:pt idx="29">
                  <c:v>7648.8888888888887</c:v>
                </c:pt>
                <c:pt idx="30">
                  <c:v>8695.9183673469379</c:v>
                </c:pt>
                <c:pt idx="31">
                  <c:v>8564</c:v>
                </c:pt>
                <c:pt idx="32">
                  <c:v>8513.461538461539</c:v>
                </c:pt>
                <c:pt idx="33">
                  <c:v>8348.1481481481478</c:v>
                </c:pt>
                <c:pt idx="34">
                  <c:v>8514.2857142857138</c:v>
                </c:pt>
                <c:pt idx="35">
                  <c:v>8679.310344827587</c:v>
                </c:pt>
                <c:pt idx="36">
                  <c:v>8551.6129032258068</c:v>
                </c:pt>
                <c:pt idx="37">
                  <c:v>8457.1428571428569</c:v>
                </c:pt>
                <c:pt idx="38">
                  <c:v>8566.1538461538457</c:v>
                </c:pt>
                <c:pt idx="39">
                  <c:v>8724.63768115942</c:v>
                </c:pt>
                <c:pt idx="40">
                  <c:v>8724.63768115942</c:v>
                </c:pt>
                <c:pt idx="41">
                  <c:v>8714.2857142857138</c:v>
                </c:pt>
                <c:pt idx="42">
                  <c:v>8750</c:v>
                </c:pt>
                <c:pt idx="43">
                  <c:v>8890.54054054054</c:v>
                </c:pt>
                <c:pt idx="44">
                  <c:v>8953.8461538461543</c:v>
                </c:pt>
                <c:pt idx="45">
                  <c:v>8865.8227848101269</c:v>
                </c:pt>
                <c:pt idx="46">
                  <c:v>9091.3580246913589</c:v>
                </c:pt>
                <c:pt idx="47">
                  <c:v>9126.8292682926822</c:v>
                </c:pt>
                <c:pt idx="48">
                  <c:v>9145.2380952380954</c:v>
                </c:pt>
                <c:pt idx="49">
                  <c:v>9132.5842696629206</c:v>
                </c:pt>
                <c:pt idx="50">
                  <c:v>9074.4444444444453</c:v>
                </c:pt>
                <c:pt idx="51">
                  <c:v>8998.9130434782601</c:v>
                </c:pt>
                <c:pt idx="52">
                  <c:v>9006.3157894736851</c:v>
                </c:pt>
                <c:pt idx="53">
                  <c:v>8926.8041237113393</c:v>
                </c:pt>
                <c:pt idx="54">
                  <c:v>8926.8041237113393</c:v>
                </c:pt>
                <c:pt idx="55">
                  <c:v>8911.8811881188121</c:v>
                </c:pt>
                <c:pt idx="56">
                  <c:v>8971.8446601941741</c:v>
                </c:pt>
                <c:pt idx="57">
                  <c:v>9033.9622641509432</c:v>
                </c:pt>
                <c:pt idx="58">
                  <c:v>8998.1308411214959</c:v>
                </c:pt>
                <c:pt idx="59">
                  <c:v>9025.9259259259252</c:v>
                </c:pt>
                <c:pt idx="60">
                  <c:v>8980.3571428571431</c:v>
                </c:pt>
                <c:pt idx="61">
                  <c:v>9149.1228070175439</c:v>
                </c:pt>
                <c:pt idx="62">
                  <c:v>9173.9130434782601</c:v>
                </c:pt>
                <c:pt idx="63">
                  <c:v>9178.8135593220341</c:v>
                </c:pt>
                <c:pt idx="64">
                  <c:v>9125.8333333333339</c:v>
                </c:pt>
                <c:pt idx="65">
                  <c:v>9066.9421487603304</c:v>
                </c:pt>
                <c:pt idx="66">
                  <c:v>9066.9421487603304</c:v>
                </c:pt>
                <c:pt idx="67">
                  <c:v>8896.7999999999993</c:v>
                </c:pt>
                <c:pt idx="68">
                  <c:v>8890.7692307692305</c:v>
                </c:pt>
                <c:pt idx="69">
                  <c:v>8883.9694656488555</c:v>
                </c:pt>
                <c:pt idx="70">
                  <c:v>8856.060606060606</c:v>
                </c:pt>
                <c:pt idx="71">
                  <c:v>8875.5555555555547</c:v>
                </c:pt>
                <c:pt idx="72">
                  <c:v>8834.0579710144921</c:v>
                </c:pt>
                <c:pt idx="73">
                  <c:v>8873.9436619718308</c:v>
                </c:pt>
                <c:pt idx="74">
                  <c:v>8872.9166666666661</c:v>
                </c:pt>
                <c:pt idx="75">
                  <c:v>9032.4137931034475</c:v>
                </c:pt>
                <c:pt idx="76">
                  <c:v>8984.2465753424658</c:v>
                </c:pt>
                <c:pt idx="77">
                  <c:v>8934.4370860927156</c:v>
                </c:pt>
                <c:pt idx="78">
                  <c:v>8882.3529411764703</c:v>
                </c:pt>
                <c:pt idx="79">
                  <c:v>8833.1168831168834</c:v>
                </c:pt>
                <c:pt idx="80">
                  <c:v>8818.5897435897441</c:v>
                </c:pt>
                <c:pt idx="81">
                  <c:v>8818.5897435897441</c:v>
                </c:pt>
                <c:pt idx="82">
                  <c:v>8856.32911392405</c:v>
                </c:pt>
                <c:pt idx="83">
                  <c:v>8826.25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23.07692307692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ただ2!$J$3:$J$86</c:f>
              <c:numCache>
                <c:formatCode>0</c:formatCode>
                <c:ptCount val="84"/>
                <c:pt idx="1">
                  <c:v>-7850</c:v>
                </c:pt>
                <c:pt idx="2">
                  <c:v>-9825</c:v>
                </c:pt>
                <c:pt idx="3">
                  <c:v>-8471.4285714285706</c:v>
                </c:pt>
                <c:pt idx="4">
                  <c:v>-8137.5</c:v>
                </c:pt>
                <c:pt idx="5">
                  <c:v>-8627.2727272727279</c:v>
                </c:pt>
                <c:pt idx="6">
                  <c:v>-8350</c:v>
                </c:pt>
                <c:pt idx="7">
                  <c:v>-9431.25</c:v>
                </c:pt>
                <c:pt idx="8">
                  <c:v>-9431.25</c:v>
                </c:pt>
                <c:pt idx="9">
                  <c:v>-9244.4444444444453</c:v>
                </c:pt>
                <c:pt idx="10">
                  <c:v>-9595.652173913044</c:v>
                </c:pt>
                <c:pt idx="11">
                  <c:v>-9708</c:v>
                </c:pt>
                <c:pt idx="12">
                  <c:v>-9708</c:v>
                </c:pt>
                <c:pt idx="13">
                  <c:v>-9950</c:v>
                </c:pt>
                <c:pt idx="14">
                  <c:v>-9571.4285714285706</c:v>
                </c:pt>
                <c:pt idx="15">
                  <c:v>-9331.0344827586214</c:v>
                </c:pt>
                <c:pt idx="16">
                  <c:v>-9374.1935483870966</c:v>
                </c:pt>
                <c:pt idx="17">
                  <c:v>-9654.545454545454</c:v>
                </c:pt>
                <c:pt idx="18">
                  <c:v>-9422.8571428571431</c:v>
                </c:pt>
                <c:pt idx="19">
                  <c:v>-9345.9459459459467</c:v>
                </c:pt>
                <c:pt idx="20">
                  <c:v>-9892.3076923076915</c:v>
                </c:pt>
                <c:pt idx="21">
                  <c:v>-9892.3076923076915</c:v>
                </c:pt>
                <c:pt idx="22">
                  <c:v>-9748.7804878048773</c:v>
                </c:pt>
                <c:pt idx="23">
                  <c:v>-9802.3809523809523</c:v>
                </c:pt>
                <c:pt idx="24">
                  <c:v>-10690.697674418605</c:v>
                </c:pt>
                <c:pt idx="25">
                  <c:v>-10695.555555555555</c:v>
                </c:pt>
                <c:pt idx="26">
                  <c:v>-10462.5</c:v>
                </c:pt>
                <c:pt idx="27">
                  <c:v>-10100</c:v>
                </c:pt>
                <c:pt idx="28">
                  <c:v>-10100</c:v>
                </c:pt>
                <c:pt idx="29">
                  <c:v>-9890.566037735849</c:v>
                </c:pt>
                <c:pt idx="30">
                  <c:v>-9890.566037735849</c:v>
                </c:pt>
                <c:pt idx="31">
                  <c:v>-9890.566037735849</c:v>
                </c:pt>
                <c:pt idx="32">
                  <c:v>-9890.566037735849</c:v>
                </c:pt>
                <c:pt idx="33">
                  <c:v>-9922.2222222222226</c:v>
                </c:pt>
                <c:pt idx="34">
                  <c:v>-9922.2222222222226</c:v>
                </c:pt>
                <c:pt idx="35">
                  <c:v>-9960</c:v>
                </c:pt>
                <c:pt idx="36">
                  <c:v>-9875</c:v>
                </c:pt>
                <c:pt idx="37">
                  <c:v>-9810.3448275862065</c:v>
                </c:pt>
                <c:pt idx="38">
                  <c:v>-9846.6666666666661</c:v>
                </c:pt>
                <c:pt idx="39">
                  <c:v>-9816.3934426229516</c:v>
                </c:pt>
                <c:pt idx="40">
                  <c:v>-9663.4920634920636</c:v>
                </c:pt>
                <c:pt idx="41">
                  <c:v>-9587.6923076923085</c:v>
                </c:pt>
                <c:pt idx="42">
                  <c:v>-9530.30303030303</c:v>
                </c:pt>
                <c:pt idx="43">
                  <c:v>-9530.30303030303</c:v>
                </c:pt>
                <c:pt idx="44">
                  <c:v>-9349.2753623188401</c:v>
                </c:pt>
                <c:pt idx="45">
                  <c:v>-9261.1111111111113</c:v>
                </c:pt>
                <c:pt idx="46">
                  <c:v>-9261.1111111111113</c:v>
                </c:pt>
                <c:pt idx="47">
                  <c:v>-9081.0810810810817</c:v>
                </c:pt>
                <c:pt idx="48">
                  <c:v>-9081.0810810810817</c:v>
                </c:pt>
                <c:pt idx="49">
                  <c:v>-9038.1578947368416</c:v>
                </c:pt>
                <c:pt idx="50">
                  <c:v>-8943.0379746835442</c:v>
                </c:pt>
                <c:pt idx="51">
                  <c:v>-8996.3414634146338</c:v>
                </c:pt>
                <c:pt idx="52">
                  <c:v>-9016.6666666666661</c:v>
                </c:pt>
                <c:pt idx="53">
                  <c:v>-8963.9534883720935</c:v>
                </c:pt>
                <c:pt idx="54">
                  <c:v>-9068.5393258426975</c:v>
                </c:pt>
                <c:pt idx="55">
                  <c:v>-9068.5393258426975</c:v>
                </c:pt>
                <c:pt idx="56">
                  <c:v>-8996.6666666666661</c:v>
                </c:pt>
                <c:pt idx="57">
                  <c:v>-9095.6043956043959</c:v>
                </c:pt>
                <c:pt idx="58">
                  <c:v>-9095.6043956043959</c:v>
                </c:pt>
                <c:pt idx="59">
                  <c:v>-9518.4782608695659</c:v>
                </c:pt>
                <c:pt idx="60">
                  <c:v>-9602.1276595744675</c:v>
                </c:pt>
                <c:pt idx="61">
                  <c:v>-9593.75</c:v>
                </c:pt>
                <c:pt idx="62">
                  <c:v>-9394</c:v>
                </c:pt>
                <c:pt idx="63">
                  <c:v>-9572.8155339805817</c:v>
                </c:pt>
                <c:pt idx="64">
                  <c:v>-9557.6923076923085</c:v>
                </c:pt>
                <c:pt idx="65">
                  <c:v>-9580.9523809523816</c:v>
                </c:pt>
                <c:pt idx="66">
                  <c:v>-9527.3584905660373</c:v>
                </c:pt>
                <c:pt idx="67">
                  <c:v>-9513.0841121495323</c:v>
                </c:pt>
                <c:pt idx="68">
                  <c:v>-9513.0841121495323</c:v>
                </c:pt>
                <c:pt idx="69">
                  <c:v>-9505.454545454546</c:v>
                </c:pt>
                <c:pt idx="70">
                  <c:v>-9466.6666666666661</c:v>
                </c:pt>
                <c:pt idx="71">
                  <c:v>-9428.5714285714294</c:v>
                </c:pt>
                <c:pt idx="72">
                  <c:v>-9398.2456140350878</c:v>
                </c:pt>
                <c:pt idx="73">
                  <c:v>-9408.6206896551721</c:v>
                </c:pt>
                <c:pt idx="74">
                  <c:v>-9433.6134453781506</c:v>
                </c:pt>
                <c:pt idx="75">
                  <c:v>-9365.8333333333339</c:v>
                </c:pt>
                <c:pt idx="76">
                  <c:v>-9299.1803278688531</c:v>
                </c:pt>
                <c:pt idx="77">
                  <c:v>-9255.2845528455291</c:v>
                </c:pt>
                <c:pt idx="78">
                  <c:v>-9277.4193548387102</c:v>
                </c:pt>
                <c:pt idx="79">
                  <c:v>-9254.3307086614168</c:v>
                </c:pt>
                <c:pt idx="80">
                  <c:v>-9244.53125</c:v>
                </c:pt>
                <c:pt idx="81">
                  <c:v>-9243.8461538461543</c:v>
                </c:pt>
                <c:pt idx="82">
                  <c:v>-9184.0909090909099</c:v>
                </c:pt>
                <c:pt idx="83">
                  <c:v>-9076.8656716417918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40.90909090909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ただ2!$K$3:$K$86</c:f>
              <c:numCache>
                <c:formatCode>0.0%</c:formatCode>
                <c:ptCount val="8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0.16326530612244897</c:v>
                </c:pt>
                <c:pt idx="50">
                  <c:v>0.18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0.17647058823529413</c:v>
                </c:pt>
                <c:pt idx="69">
                  <c:v>0.17391304347826086</c:v>
                </c:pt>
                <c:pt idx="70">
                  <c:v>0.18571428571428572</c:v>
                </c:pt>
                <c:pt idx="71">
                  <c:v>0.18309859154929578</c:v>
                </c:pt>
                <c:pt idx="72">
                  <c:v>0.18055555555555555</c:v>
                </c:pt>
                <c:pt idx="73">
                  <c:v>0.17808219178082191</c:v>
                </c:pt>
                <c:pt idx="74">
                  <c:v>0.1891891891891892</c:v>
                </c:pt>
                <c:pt idx="75">
                  <c:v>0.18666666666666668</c:v>
                </c:pt>
                <c:pt idx="76">
                  <c:v>0.18421052631578946</c:v>
                </c:pt>
                <c:pt idx="77">
                  <c:v>0.18181818181818182</c:v>
                </c:pt>
                <c:pt idx="78">
                  <c:v>0.17948717948717949</c:v>
                </c:pt>
                <c:pt idx="79">
                  <c:v>0.189873417721519</c:v>
                </c:pt>
                <c:pt idx="80">
                  <c:v>0.1875</c:v>
                </c:pt>
                <c:pt idx="81">
                  <c:v>0.19753086419753085</c:v>
                </c:pt>
                <c:pt idx="82">
                  <c:v>0.1951219512195122</c:v>
                </c:pt>
                <c:pt idx="83">
                  <c:v>0.19277108433734941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ただ2!$L$3:$L$86</c:f>
              <c:numCache>
                <c:formatCode>0.0%</c:formatCode>
                <c:ptCount val="8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0.11764705882352941</c:v>
                </c:pt>
                <c:pt idx="69">
                  <c:v>0.11594202898550725</c:v>
                </c:pt>
                <c:pt idx="70">
                  <c:v>0.11428571428571428</c:v>
                </c:pt>
                <c:pt idx="71">
                  <c:v>0.11267605633802817</c:v>
                </c:pt>
                <c:pt idx="72">
                  <c:v>0.1111111111111111</c:v>
                </c:pt>
                <c:pt idx="73">
                  <c:v>0.1095890410958904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0.10256410256410256</c:v>
                </c:pt>
                <c:pt idx="79">
                  <c:v>0.10126582278481013</c:v>
                </c:pt>
                <c:pt idx="80">
                  <c:v>0.1</c:v>
                </c:pt>
                <c:pt idx="81">
                  <c:v>9.8765432098765427E-2</c:v>
                </c:pt>
                <c:pt idx="82">
                  <c:v>9.7560975609756101E-2</c:v>
                </c:pt>
                <c:pt idx="83">
                  <c:v>9.6385542168674704E-2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ただ2!$M$3:$M$86</c:f>
              <c:numCache>
                <c:formatCode>0.0%</c:formatCode>
                <c:ptCount val="84"/>
                <c:pt idx="1">
                  <c:v>0.16666666666666666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0.21212121212121213</c:v>
                </c:pt>
                <c:pt idx="5">
                  <c:v>0.18604651162790697</c:v>
                </c:pt>
                <c:pt idx="6">
                  <c:v>0.21153846153846154</c:v>
                </c:pt>
                <c:pt idx="7">
                  <c:v>0.21428571428571427</c:v>
                </c:pt>
                <c:pt idx="8">
                  <c:v>0.23809523809523808</c:v>
                </c:pt>
                <c:pt idx="9">
                  <c:v>0.24</c:v>
                </c:pt>
                <c:pt idx="10">
                  <c:v>0.24719101123595505</c:v>
                </c:pt>
                <c:pt idx="11">
                  <c:v>0.22549019607843138</c:v>
                </c:pt>
                <c:pt idx="12">
                  <c:v>0.22321428571428573</c:v>
                </c:pt>
                <c:pt idx="13">
                  <c:v>0.22950819672131148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0.22972972972972974</c:v>
                </c:pt>
                <c:pt idx="17">
                  <c:v>0.22875816993464052</c:v>
                </c:pt>
                <c:pt idx="18">
                  <c:v>0.24223602484472051</c:v>
                </c:pt>
                <c:pt idx="19">
                  <c:v>0.23668639053254437</c:v>
                </c:pt>
                <c:pt idx="20">
                  <c:v>0.23121387283236994</c:v>
                </c:pt>
                <c:pt idx="21">
                  <c:v>0.24022346368715083</c:v>
                </c:pt>
                <c:pt idx="22">
                  <c:v>0.24193548387096775</c:v>
                </c:pt>
                <c:pt idx="23">
                  <c:v>0.2356020942408377</c:v>
                </c:pt>
                <c:pt idx="24">
                  <c:v>0.23737373737373738</c:v>
                </c:pt>
                <c:pt idx="25">
                  <c:v>0.24757281553398058</c:v>
                </c:pt>
                <c:pt idx="26">
                  <c:v>0.24528301886792453</c:v>
                </c:pt>
                <c:pt idx="27">
                  <c:v>0.24324324324324326</c:v>
                </c:pt>
                <c:pt idx="28">
                  <c:v>0.23809523809523808</c:v>
                </c:pt>
                <c:pt idx="29">
                  <c:v>0.24583333333333332</c:v>
                </c:pt>
                <c:pt idx="30">
                  <c:v>0.24899598393574296</c:v>
                </c:pt>
                <c:pt idx="31">
                  <c:v>0.24705882352941178</c:v>
                </c:pt>
                <c:pt idx="32">
                  <c:v>0.24436090225563908</c:v>
                </c:pt>
                <c:pt idx="33">
                  <c:v>0.24087591240875914</c:v>
                </c:pt>
                <c:pt idx="34">
                  <c:v>0.24820143884892087</c:v>
                </c:pt>
                <c:pt idx="35">
                  <c:v>0.25088339222614842</c:v>
                </c:pt>
                <c:pt idx="36">
                  <c:v>0.25342465753424659</c:v>
                </c:pt>
                <c:pt idx="37">
                  <c:v>0.24666666666666667</c:v>
                </c:pt>
                <c:pt idx="38">
                  <c:v>0.24919093851132687</c:v>
                </c:pt>
                <c:pt idx="39">
                  <c:v>0.24921135646687698</c:v>
                </c:pt>
                <c:pt idx="40">
                  <c:v>0.25077399380804954</c:v>
                </c:pt>
                <c:pt idx="41">
                  <c:v>0.24848484848484848</c:v>
                </c:pt>
                <c:pt idx="42">
                  <c:v>0.24852071005917159</c:v>
                </c:pt>
                <c:pt idx="43">
                  <c:v>0.24709302325581395</c:v>
                </c:pt>
                <c:pt idx="44">
                  <c:v>0.25423728813559321</c:v>
                </c:pt>
                <c:pt idx="45">
                  <c:v>0.25555555555555554</c:v>
                </c:pt>
                <c:pt idx="46">
                  <c:v>0.25479452054794521</c:v>
                </c:pt>
                <c:pt idx="47">
                  <c:v>0.26005361930294907</c:v>
                </c:pt>
                <c:pt idx="48">
                  <c:v>0.25526315789473686</c:v>
                </c:pt>
                <c:pt idx="49">
                  <c:v>0.26010101010101011</c:v>
                </c:pt>
                <c:pt idx="50">
                  <c:v>0.2536945812807882</c:v>
                </c:pt>
                <c:pt idx="51">
                  <c:v>0.25542168674698795</c:v>
                </c:pt>
                <c:pt idx="52">
                  <c:v>0.25471698113207547</c:v>
                </c:pt>
                <c:pt idx="53">
                  <c:v>0.25173210161662818</c:v>
                </c:pt>
                <c:pt idx="54">
                  <c:v>0.25</c:v>
                </c:pt>
                <c:pt idx="55">
                  <c:v>0.25396825396825395</c:v>
                </c:pt>
                <c:pt idx="56">
                  <c:v>0.25601750547045954</c:v>
                </c:pt>
                <c:pt idx="57">
                  <c:v>0.2569593147751606</c:v>
                </c:pt>
                <c:pt idx="58">
                  <c:v>0.26059322033898308</c:v>
                </c:pt>
                <c:pt idx="59">
                  <c:v>0.25995807127882598</c:v>
                </c:pt>
                <c:pt idx="60">
                  <c:v>0.26069246435845211</c:v>
                </c:pt>
                <c:pt idx="61">
                  <c:v>0.26506024096385544</c:v>
                </c:pt>
                <c:pt idx="62">
                  <c:v>0.26719056974459726</c:v>
                </c:pt>
                <c:pt idx="63">
                  <c:v>0.26819923371647508</c:v>
                </c:pt>
                <c:pt idx="64">
                  <c:v>0.26981132075471698</c:v>
                </c:pt>
                <c:pt idx="65">
                  <c:v>0.26865671641791045</c:v>
                </c:pt>
                <c:pt idx="66">
                  <c:v>0.26568265682656828</c:v>
                </c:pt>
                <c:pt idx="67">
                  <c:v>0.26763110307414106</c:v>
                </c:pt>
                <c:pt idx="68">
                  <c:v>0.27224199288256229</c:v>
                </c:pt>
                <c:pt idx="69">
                  <c:v>0.27272727272727271</c:v>
                </c:pt>
                <c:pt idx="70">
                  <c:v>0.27461139896373055</c:v>
                </c:pt>
                <c:pt idx="71">
                  <c:v>0.27843803056027167</c:v>
                </c:pt>
                <c:pt idx="72">
                  <c:v>0.27666666666666667</c:v>
                </c:pt>
                <c:pt idx="73">
                  <c:v>0.28171334431630973</c:v>
                </c:pt>
                <c:pt idx="74">
                  <c:v>0.28200972447325767</c:v>
                </c:pt>
                <c:pt idx="75">
                  <c:v>0.28434504792332266</c:v>
                </c:pt>
                <c:pt idx="76">
                  <c:v>0.28120063191153238</c:v>
                </c:pt>
                <c:pt idx="77">
                  <c:v>0.28237129485179407</c:v>
                </c:pt>
                <c:pt idx="78">
                  <c:v>0.28153846153846152</c:v>
                </c:pt>
                <c:pt idx="79">
                  <c:v>0.27811550151975684</c:v>
                </c:pt>
                <c:pt idx="80">
                  <c:v>0.27777777777777779</c:v>
                </c:pt>
                <c:pt idx="81">
                  <c:v>0.27448071216617209</c:v>
                </c:pt>
                <c:pt idx="82">
                  <c:v>0.27299270072992698</c:v>
                </c:pt>
                <c:pt idx="83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888254330858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ただ2!$N$3:$N$86</c:f>
              <c:numCache>
                <c:formatCode>0.0%</c:formatCode>
                <c:ptCount val="84"/>
                <c:pt idx="1">
                  <c:v>0.16666666666666666</c:v>
                </c:pt>
                <c:pt idx="2">
                  <c:v>0.25</c:v>
                </c:pt>
                <c:pt idx="3">
                  <c:v>0.30769230769230771</c:v>
                </c:pt>
                <c:pt idx="4">
                  <c:v>0.24242424242424243</c:v>
                </c:pt>
                <c:pt idx="5">
                  <c:v>0.18604651162790697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0.12698412698412698</c:v>
                </c:pt>
                <c:pt idx="9">
                  <c:v>0.10666666666666667</c:v>
                </c:pt>
                <c:pt idx="10">
                  <c:v>0.10112359550561797</c:v>
                </c:pt>
                <c:pt idx="11">
                  <c:v>9.8039215686274508E-2</c:v>
                </c:pt>
                <c:pt idx="12">
                  <c:v>8.9285714285714288E-2</c:v>
                </c:pt>
                <c:pt idx="13">
                  <c:v>9.8360655737704916E-2</c:v>
                </c:pt>
                <c:pt idx="14">
                  <c:v>0.1015625</c:v>
                </c:pt>
                <c:pt idx="15">
                  <c:v>0.11029411764705882</c:v>
                </c:pt>
                <c:pt idx="16">
                  <c:v>0.10810810810810811</c:v>
                </c:pt>
                <c:pt idx="17">
                  <c:v>0.11764705882352941</c:v>
                </c:pt>
                <c:pt idx="18">
                  <c:v>0.11180124223602485</c:v>
                </c:pt>
                <c:pt idx="19">
                  <c:v>0.11242603550295859</c:v>
                </c:pt>
                <c:pt idx="20">
                  <c:v>0.11560693641618497</c:v>
                </c:pt>
                <c:pt idx="21">
                  <c:v>0.11731843575418995</c:v>
                </c:pt>
                <c:pt idx="22">
                  <c:v>0.11827956989247312</c:v>
                </c:pt>
                <c:pt idx="23">
                  <c:v>0.11518324607329843</c:v>
                </c:pt>
                <c:pt idx="24">
                  <c:v>0.11616161616161616</c:v>
                </c:pt>
                <c:pt idx="25">
                  <c:v>0.11165048543689321</c:v>
                </c:pt>
                <c:pt idx="26">
                  <c:v>0.12264150943396226</c:v>
                </c:pt>
                <c:pt idx="27">
                  <c:v>0.13513513513513514</c:v>
                </c:pt>
                <c:pt idx="28">
                  <c:v>0.12987012987012986</c:v>
                </c:pt>
                <c:pt idx="29">
                  <c:v>0.125</c:v>
                </c:pt>
                <c:pt idx="30">
                  <c:v>0.12449799196787148</c:v>
                </c:pt>
                <c:pt idx="31">
                  <c:v>0.12549019607843137</c:v>
                </c:pt>
                <c:pt idx="32">
                  <c:v>0.13909774436090225</c:v>
                </c:pt>
                <c:pt idx="33">
                  <c:v>0.145985401459854</c:v>
                </c:pt>
                <c:pt idx="34">
                  <c:v>0.14388489208633093</c:v>
                </c:pt>
                <c:pt idx="35">
                  <c:v>0.14487632508833923</c:v>
                </c:pt>
                <c:pt idx="36">
                  <c:v>0.14726027397260275</c:v>
                </c:pt>
                <c:pt idx="37">
                  <c:v>0.14666666666666667</c:v>
                </c:pt>
                <c:pt idx="38">
                  <c:v>0.14563106796116504</c:v>
                </c:pt>
                <c:pt idx="39">
                  <c:v>0.14826498422712933</c:v>
                </c:pt>
                <c:pt idx="40">
                  <c:v>0.15170278637770898</c:v>
                </c:pt>
                <c:pt idx="41">
                  <c:v>0.15151515151515152</c:v>
                </c:pt>
                <c:pt idx="42">
                  <c:v>0.15384615384615385</c:v>
                </c:pt>
                <c:pt idx="43">
                  <c:v>0.15697674418604651</c:v>
                </c:pt>
                <c:pt idx="44">
                  <c:v>0.15819209039548024</c:v>
                </c:pt>
                <c:pt idx="45">
                  <c:v>0.15833333333333333</c:v>
                </c:pt>
                <c:pt idx="46">
                  <c:v>0.15890410958904111</c:v>
                </c:pt>
                <c:pt idx="47">
                  <c:v>0.15549597855227881</c:v>
                </c:pt>
                <c:pt idx="48">
                  <c:v>0.15526315789473685</c:v>
                </c:pt>
                <c:pt idx="49">
                  <c:v>0.15404040404040403</c:v>
                </c:pt>
                <c:pt idx="50">
                  <c:v>0.15270935960591134</c:v>
                </c:pt>
                <c:pt idx="51">
                  <c:v>0.15421686746987953</c:v>
                </c:pt>
                <c:pt idx="52">
                  <c:v>0.15566037735849056</c:v>
                </c:pt>
                <c:pt idx="53">
                  <c:v>0.15704387990762125</c:v>
                </c:pt>
                <c:pt idx="54">
                  <c:v>0.15825688073394495</c:v>
                </c:pt>
                <c:pt idx="55">
                  <c:v>0.15646258503401361</c:v>
                </c:pt>
                <c:pt idx="56">
                  <c:v>0.15536105032822758</c:v>
                </c:pt>
                <c:pt idx="57">
                  <c:v>0.15631691648822268</c:v>
                </c:pt>
                <c:pt idx="58">
                  <c:v>0.15466101694915255</c:v>
                </c:pt>
                <c:pt idx="59">
                  <c:v>0.15513626834381553</c:v>
                </c:pt>
                <c:pt idx="60">
                  <c:v>0.15885947046843177</c:v>
                </c:pt>
                <c:pt idx="61">
                  <c:v>0.16265060240963855</c:v>
                </c:pt>
                <c:pt idx="62">
                  <c:v>0.16502946954813361</c:v>
                </c:pt>
                <c:pt idx="63">
                  <c:v>0.16475095785440613</c:v>
                </c:pt>
                <c:pt idx="64">
                  <c:v>0.16226415094339622</c:v>
                </c:pt>
                <c:pt idx="65">
                  <c:v>0.16604477611940299</c:v>
                </c:pt>
                <c:pt idx="66">
                  <c:v>0.16605166051660517</c:v>
                </c:pt>
                <c:pt idx="67">
                  <c:v>0.16636528028933092</c:v>
                </c:pt>
                <c:pt idx="68">
                  <c:v>0.16370106761565836</c:v>
                </c:pt>
                <c:pt idx="69">
                  <c:v>0.16433566433566432</c:v>
                </c:pt>
                <c:pt idx="70">
                  <c:v>0.16407599309153714</c:v>
                </c:pt>
                <c:pt idx="71">
                  <c:v>0.16298811544991512</c:v>
                </c:pt>
                <c:pt idx="72">
                  <c:v>0.16333333333333333</c:v>
                </c:pt>
                <c:pt idx="73">
                  <c:v>0.16144975288303129</c:v>
                </c:pt>
                <c:pt idx="74">
                  <c:v>0.15883306320907617</c:v>
                </c:pt>
                <c:pt idx="75">
                  <c:v>0.15654952076677317</c:v>
                </c:pt>
                <c:pt idx="76">
                  <c:v>0.15797788309636651</c:v>
                </c:pt>
                <c:pt idx="77">
                  <c:v>0.15600624024960999</c:v>
                </c:pt>
                <c:pt idx="78">
                  <c:v>0.15538461538461537</c:v>
                </c:pt>
                <c:pt idx="79">
                  <c:v>0.15501519756838905</c:v>
                </c:pt>
                <c:pt idx="80">
                  <c:v>0.15915915915915915</c:v>
                </c:pt>
                <c:pt idx="81">
                  <c:v>0.16172106824925817</c:v>
                </c:pt>
                <c:pt idx="82">
                  <c:v>0.1635036496350365</c:v>
                </c:pt>
                <c:pt idx="83">
                  <c:v>0.16450216450216451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975252236817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ただ2!$O$3:$O$86</c:f>
              <c:numCache>
                <c:formatCode>0.0%</c:formatCode>
                <c:ptCount val="8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0.6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0.47826086956521741</c:v>
                </c:pt>
                <c:pt idx="12">
                  <c:v>0.48</c:v>
                </c:pt>
                <c:pt idx="13">
                  <c:v>0.5</c:v>
                </c:pt>
                <c:pt idx="14">
                  <c:v>0.5</c:v>
                </c:pt>
                <c:pt idx="15">
                  <c:v>0.51724137931034486</c:v>
                </c:pt>
                <c:pt idx="16">
                  <c:v>0.47058823529411764</c:v>
                </c:pt>
                <c:pt idx="17">
                  <c:v>0.45714285714285713</c:v>
                </c:pt>
                <c:pt idx="18">
                  <c:v>0.46153846153846156</c:v>
                </c:pt>
                <c:pt idx="19">
                  <c:v>0.47499999999999998</c:v>
                </c:pt>
                <c:pt idx="20">
                  <c:v>0.47499999999999998</c:v>
                </c:pt>
                <c:pt idx="21">
                  <c:v>0.46511627906976744</c:v>
                </c:pt>
                <c:pt idx="22">
                  <c:v>0.46666666666666667</c:v>
                </c:pt>
                <c:pt idx="23">
                  <c:v>0.46666666666666667</c:v>
                </c:pt>
                <c:pt idx="24">
                  <c:v>0.46808510638297873</c:v>
                </c:pt>
                <c:pt idx="25">
                  <c:v>0.49019607843137253</c:v>
                </c:pt>
                <c:pt idx="26">
                  <c:v>0.5</c:v>
                </c:pt>
                <c:pt idx="27">
                  <c:v>0.48148148148148145</c:v>
                </c:pt>
                <c:pt idx="28">
                  <c:v>0.47272727272727272</c:v>
                </c:pt>
                <c:pt idx="29">
                  <c:v>0.47457627118644069</c:v>
                </c:pt>
                <c:pt idx="30">
                  <c:v>0.5</c:v>
                </c:pt>
                <c:pt idx="31">
                  <c:v>0.49206349206349204</c:v>
                </c:pt>
                <c:pt idx="32">
                  <c:v>0.47692307692307695</c:v>
                </c:pt>
                <c:pt idx="33">
                  <c:v>0.46969696969696972</c:v>
                </c:pt>
                <c:pt idx="34">
                  <c:v>0.47826086956521741</c:v>
                </c:pt>
                <c:pt idx="35">
                  <c:v>0.49295774647887325</c:v>
                </c:pt>
                <c:pt idx="36">
                  <c:v>0.51351351351351349</c:v>
                </c:pt>
                <c:pt idx="37">
                  <c:v>0.51351351351351349</c:v>
                </c:pt>
                <c:pt idx="38">
                  <c:v>0.50649350649350644</c:v>
                </c:pt>
                <c:pt idx="39">
                  <c:v>0.51898734177215189</c:v>
                </c:pt>
                <c:pt idx="40">
                  <c:v>0.50617283950617287</c:v>
                </c:pt>
                <c:pt idx="41">
                  <c:v>0.51219512195121952</c:v>
                </c:pt>
                <c:pt idx="42">
                  <c:v>0.52380952380952384</c:v>
                </c:pt>
                <c:pt idx="43">
                  <c:v>0.52941176470588236</c:v>
                </c:pt>
                <c:pt idx="44">
                  <c:v>0.53333333333333333</c:v>
                </c:pt>
                <c:pt idx="45">
                  <c:v>0.53260869565217395</c:v>
                </c:pt>
                <c:pt idx="46">
                  <c:v>0.5376344086021505</c:v>
                </c:pt>
                <c:pt idx="47">
                  <c:v>0.52577319587628868</c:v>
                </c:pt>
                <c:pt idx="48">
                  <c:v>0.52577319587628868</c:v>
                </c:pt>
                <c:pt idx="49">
                  <c:v>0.52427184466019416</c:v>
                </c:pt>
                <c:pt idx="50">
                  <c:v>0.52427184466019416</c:v>
                </c:pt>
                <c:pt idx="51">
                  <c:v>0.51886792452830188</c:v>
                </c:pt>
                <c:pt idx="52">
                  <c:v>0.51851851851851849</c:v>
                </c:pt>
                <c:pt idx="53">
                  <c:v>0.52293577981651373</c:v>
                </c:pt>
                <c:pt idx="54">
                  <c:v>0.52293577981651373</c:v>
                </c:pt>
                <c:pt idx="55">
                  <c:v>0.5267857142857143</c:v>
                </c:pt>
                <c:pt idx="56">
                  <c:v>0.51282051282051277</c:v>
                </c:pt>
                <c:pt idx="57">
                  <c:v>0.51666666666666672</c:v>
                </c:pt>
                <c:pt idx="58">
                  <c:v>0.51219512195121952</c:v>
                </c:pt>
                <c:pt idx="59">
                  <c:v>0.5161290322580645</c:v>
                </c:pt>
                <c:pt idx="60">
                  <c:v>0.515625</c:v>
                </c:pt>
                <c:pt idx="61">
                  <c:v>0.51515151515151514</c:v>
                </c:pt>
                <c:pt idx="62">
                  <c:v>0.50735294117647056</c:v>
                </c:pt>
                <c:pt idx="63">
                  <c:v>0.5</c:v>
                </c:pt>
                <c:pt idx="64">
                  <c:v>0.49650349650349651</c:v>
                </c:pt>
                <c:pt idx="65">
                  <c:v>0.49305555555555558</c:v>
                </c:pt>
                <c:pt idx="66">
                  <c:v>0.49305555555555558</c:v>
                </c:pt>
                <c:pt idx="67">
                  <c:v>0.5</c:v>
                </c:pt>
                <c:pt idx="68">
                  <c:v>0.5163398692810458</c:v>
                </c:pt>
                <c:pt idx="69">
                  <c:v>0.51282051282051277</c:v>
                </c:pt>
                <c:pt idx="70">
                  <c:v>0.50943396226415094</c:v>
                </c:pt>
                <c:pt idx="71">
                  <c:v>0.51219512195121952</c:v>
                </c:pt>
                <c:pt idx="72">
                  <c:v>0.51807228915662651</c:v>
                </c:pt>
                <c:pt idx="73">
                  <c:v>0.52631578947368418</c:v>
                </c:pt>
                <c:pt idx="74">
                  <c:v>0.52298850574712641</c:v>
                </c:pt>
                <c:pt idx="75">
                  <c:v>0.5112359550561798</c:v>
                </c:pt>
                <c:pt idx="76">
                  <c:v>0.5112359550561798</c:v>
                </c:pt>
                <c:pt idx="77">
                  <c:v>0.51933701657458564</c:v>
                </c:pt>
                <c:pt idx="78">
                  <c:v>0.51912568306010931</c:v>
                </c:pt>
                <c:pt idx="79">
                  <c:v>0.51912568306010931</c:v>
                </c:pt>
                <c:pt idx="80">
                  <c:v>0.51891891891891895</c:v>
                </c:pt>
                <c:pt idx="81">
                  <c:v>0.51891891891891895</c:v>
                </c:pt>
                <c:pt idx="82">
                  <c:v>0.52406417112299464</c:v>
                </c:pt>
                <c:pt idx="83">
                  <c:v>0.52380952380952384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52218430034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ただ2!$P$3:$P$86</c:f>
              <c:numCache>
                <c:formatCode>0.0%</c:formatCode>
                <c:ptCount val="84"/>
                <c:pt idx="1">
                  <c:v>0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  <c:pt idx="7">
                  <c:v>0.375</c:v>
                </c:pt>
                <c:pt idx="8">
                  <c:v>0.375</c:v>
                </c:pt>
                <c:pt idx="9">
                  <c:v>0.375</c:v>
                </c:pt>
                <c:pt idx="10">
                  <c:v>0.44444444444444442</c:v>
                </c:pt>
                <c:pt idx="11">
                  <c:v>0.4</c:v>
                </c:pt>
                <c:pt idx="12">
                  <c:v>0.4</c:v>
                </c:pt>
                <c:pt idx="13">
                  <c:v>0.33333333333333331</c:v>
                </c:pt>
                <c:pt idx="14">
                  <c:v>0.30769230769230771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0.22222222222222221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0.18181818181818182</c:v>
                </c:pt>
                <c:pt idx="24">
                  <c:v>0.17391304347826086</c:v>
                </c:pt>
                <c:pt idx="25">
                  <c:v>0.17391304347826086</c:v>
                </c:pt>
                <c:pt idx="26">
                  <c:v>0.15384615384615385</c:v>
                </c:pt>
                <c:pt idx="27">
                  <c:v>0.13333333333333333</c:v>
                </c:pt>
                <c:pt idx="28">
                  <c:v>0.13333333333333333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0.15625</c:v>
                </c:pt>
                <c:pt idx="32">
                  <c:v>0.1891891891891892</c:v>
                </c:pt>
                <c:pt idx="33">
                  <c:v>0.17499999999999999</c:v>
                </c:pt>
                <c:pt idx="34">
                  <c:v>0.17499999999999999</c:v>
                </c:pt>
                <c:pt idx="35">
                  <c:v>0.17073170731707318</c:v>
                </c:pt>
                <c:pt idx="36">
                  <c:v>0.18604651162790697</c:v>
                </c:pt>
                <c:pt idx="37">
                  <c:v>0.18181818181818182</c:v>
                </c:pt>
                <c:pt idx="38">
                  <c:v>0.2</c:v>
                </c:pt>
                <c:pt idx="39">
                  <c:v>0.21276595744680851</c:v>
                </c:pt>
                <c:pt idx="40">
                  <c:v>0.20408163265306123</c:v>
                </c:pt>
                <c:pt idx="41">
                  <c:v>0.2</c:v>
                </c:pt>
                <c:pt idx="42">
                  <c:v>0.19230769230769232</c:v>
                </c:pt>
                <c:pt idx="43">
                  <c:v>0.20370370370370369</c:v>
                </c:pt>
                <c:pt idx="44">
                  <c:v>0.19642857142857142</c:v>
                </c:pt>
                <c:pt idx="45">
                  <c:v>0.19298245614035087</c:v>
                </c:pt>
                <c:pt idx="46">
                  <c:v>0.20689655172413793</c:v>
                </c:pt>
                <c:pt idx="47">
                  <c:v>0.20689655172413793</c:v>
                </c:pt>
                <c:pt idx="48">
                  <c:v>0.22033898305084745</c:v>
                </c:pt>
                <c:pt idx="49">
                  <c:v>0.22950819672131148</c:v>
                </c:pt>
                <c:pt idx="50">
                  <c:v>0.24193548387096775</c:v>
                </c:pt>
                <c:pt idx="51">
                  <c:v>0.234375</c:v>
                </c:pt>
                <c:pt idx="52">
                  <c:v>0.25757575757575757</c:v>
                </c:pt>
                <c:pt idx="53">
                  <c:v>0.25</c:v>
                </c:pt>
                <c:pt idx="54">
                  <c:v>0.24637681159420291</c:v>
                </c:pt>
                <c:pt idx="55">
                  <c:v>0.24637681159420291</c:v>
                </c:pt>
                <c:pt idx="56">
                  <c:v>0.23943661971830985</c:v>
                </c:pt>
                <c:pt idx="57">
                  <c:v>0.24657534246575341</c:v>
                </c:pt>
                <c:pt idx="58">
                  <c:v>0.24657534246575341</c:v>
                </c:pt>
                <c:pt idx="59">
                  <c:v>0.24324324324324326</c:v>
                </c:pt>
                <c:pt idx="60">
                  <c:v>0.24358974358974358</c:v>
                </c:pt>
                <c:pt idx="61">
                  <c:v>0.23456790123456789</c:v>
                </c:pt>
                <c:pt idx="62">
                  <c:v>0.22619047619047619</c:v>
                </c:pt>
                <c:pt idx="63">
                  <c:v>0.23255813953488372</c:v>
                </c:pt>
                <c:pt idx="64">
                  <c:v>0.23255813953488372</c:v>
                </c:pt>
                <c:pt idx="65">
                  <c:v>0.23595505617977527</c:v>
                </c:pt>
                <c:pt idx="66">
                  <c:v>0.23333333333333334</c:v>
                </c:pt>
                <c:pt idx="67">
                  <c:v>0.22826086956521738</c:v>
                </c:pt>
                <c:pt idx="68">
                  <c:v>0.22826086956521738</c:v>
                </c:pt>
                <c:pt idx="69">
                  <c:v>0.22340425531914893</c:v>
                </c:pt>
                <c:pt idx="70">
                  <c:v>0.22105263157894736</c:v>
                </c:pt>
                <c:pt idx="71">
                  <c:v>0.21875</c:v>
                </c:pt>
                <c:pt idx="72">
                  <c:v>0.22448979591836735</c:v>
                </c:pt>
                <c:pt idx="73">
                  <c:v>0.22448979591836735</c:v>
                </c:pt>
                <c:pt idx="74">
                  <c:v>0.22448979591836735</c:v>
                </c:pt>
                <c:pt idx="75">
                  <c:v>0.22448979591836735</c:v>
                </c:pt>
                <c:pt idx="76">
                  <c:v>0.23</c:v>
                </c:pt>
                <c:pt idx="77">
                  <c:v>0.23</c:v>
                </c:pt>
                <c:pt idx="78">
                  <c:v>0.23762376237623761</c:v>
                </c:pt>
                <c:pt idx="79">
                  <c:v>0.23529411764705882</c:v>
                </c:pt>
                <c:pt idx="80">
                  <c:v>0.23584905660377359</c:v>
                </c:pt>
                <c:pt idx="81">
                  <c:v>0.22935779816513763</c:v>
                </c:pt>
                <c:pt idx="82">
                  <c:v>0.22321428571428573</c:v>
                </c:pt>
                <c:pt idx="83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565729827742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ただ2!$A$3:$A$86</c:f>
              <c:numCache>
                <c:formatCode>0\ "回"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ただ2!$Q$3:$Q$86</c:f>
              <c:numCache>
                <c:formatCode>0.0%</c:formatCode>
                <c:ptCount val="84"/>
                <c:pt idx="1">
                  <c:v>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0.22222222222222221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0.31578947368421051</c:v>
                </c:pt>
                <c:pt idx="10">
                  <c:v>0.38095238095238093</c:v>
                </c:pt>
                <c:pt idx="11">
                  <c:v>0.38095238095238093</c:v>
                </c:pt>
                <c:pt idx="12">
                  <c:v>0.375</c:v>
                </c:pt>
                <c:pt idx="13">
                  <c:v>0.40740740740740738</c:v>
                </c:pt>
                <c:pt idx="14">
                  <c:v>0.40740740740740738</c:v>
                </c:pt>
                <c:pt idx="15">
                  <c:v>0.39285714285714285</c:v>
                </c:pt>
                <c:pt idx="16">
                  <c:v>0.41379310344827586</c:v>
                </c:pt>
                <c:pt idx="17">
                  <c:v>0.41379310344827586</c:v>
                </c:pt>
                <c:pt idx="18">
                  <c:v>0.46875</c:v>
                </c:pt>
                <c:pt idx="19">
                  <c:v>0.45454545454545453</c:v>
                </c:pt>
                <c:pt idx="20">
                  <c:v>0.45454545454545453</c:v>
                </c:pt>
                <c:pt idx="21">
                  <c:v>0.47058823529411764</c:v>
                </c:pt>
                <c:pt idx="22">
                  <c:v>0.48571428571428571</c:v>
                </c:pt>
                <c:pt idx="23">
                  <c:v>0.48571428571428571</c:v>
                </c:pt>
                <c:pt idx="24">
                  <c:v>0.47222222222222221</c:v>
                </c:pt>
                <c:pt idx="25">
                  <c:v>0.5</c:v>
                </c:pt>
                <c:pt idx="26">
                  <c:v>0.51219512195121952</c:v>
                </c:pt>
                <c:pt idx="27">
                  <c:v>0.51219512195121952</c:v>
                </c:pt>
                <c:pt idx="28">
                  <c:v>0.51219512195121952</c:v>
                </c:pt>
                <c:pt idx="29">
                  <c:v>0.55555555555555558</c:v>
                </c:pt>
                <c:pt idx="30">
                  <c:v>0.53061224489795922</c:v>
                </c:pt>
                <c:pt idx="31">
                  <c:v>0.54</c:v>
                </c:pt>
                <c:pt idx="32">
                  <c:v>0.51923076923076927</c:v>
                </c:pt>
                <c:pt idx="33">
                  <c:v>0.53703703703703709</c:v>
                </c:pt>
                <c:pt idx="34">
                  <c:v>0.5357142857142857</c:v>
                </c:pt>
                <c:pt idx="35">
                  <c:v>0.51724137931034486</c:v>
                </c:pt>
                <c:pt idx="36">
                  <c:v>0.5</c:v>
                </c:pt>
                <c:pt idx="37">
                  <c:v>0.49206349206349204</c:v>
                </c:pt>
                <c:pt idx="38">
                  <c:v>0.50769230769230766</c:v>
                </c:pt>
                <c:pt idx="39">
                  <c:v>0.49275362318840582</c:v>
                </c:pt>
                <c:pt idx="40">
                  <c:v>0.49275362318840582</c:v>
                </c:pt>
                <c:pt idx="41">
                  <c:v>0.48571428571428571</c:v>
                </c:pt>
                <c:pt idx="42">
                  <c:v>0.5</c:v>
                </c:pt>
                <c:pt idx="43">
                  <c:v>0.48648648648648651</c:v>
                </c:pt>
                <c:pt idx="44">
                  <c:v>0.5</c:v>
                </c:pt>
                <c:pt idx="45">
                  <c:v>0.49367088607594939</c:v>
                </c:pt>
                <c:pt idx="46">
                  <c:v>0.48148148148148145</c:v>
                </c:pt>
                <c:pt idx="47">
                  <c:v>0.48780487804878048</c:v>
                </c:pt>
                <c:pt idx="48">
                  <c:v>0.48809523809523808</c:v>
                </c:pt>
                <c:pt idx="49">
                  <c:v>0.4943820224719101</c:v>
                </c:pt>
                <c:pt idx="50">
                  <c:v>0.48888888888888887</c:v>
                </c:pt>
                <c:pt idx="51">
                  <c:v>0.4891304347826087</c:v>
                </c:pt>
                <c:pt idx="52">
                  <c:v>0.48421052631578948</c:v>
                </c:pt>
                <c:pt idx="53">
                  <c:v>0.47422680412371132</c:v>
                </c:pt>
                <c:pt idx="54">
                  <c:v>0.47422680412371132</c:v>
                </c:pt>
                <c:pt idx="55">
                  <c:v>0.46534653465346537</c:v>
                </c:pt>
                <c:pt idx="56">
                  <c:v>0.47572815533980584</c:v>
                </c:pt>
                <c:pt idx="57">
                  <c:v>0.48113207547169812</c:v>
                </c:pt>
                <c:pt idx="58">
                  <c:v>0.47663551401869159</c:v>
                </c:pt>
                <c:pt idx="59">
                  <c:v>0.47222222222222221</c:v>
                </c:pt>
                <c:pt idx="60">
                  <c:v>0.49107142857142855</c:v>
                </c:pt>
                <c:pt idx="61">
                  <c:v>0.49122807017543857</c:v>
                </c:pt>
                <c:pt idx="62">
                  <c:v>0.4956521739130435</c:v>
                </c:pt>
                <c:pt idx="63">
                  <c:v>0.5</c:v>
                </c:pt>
                <c:pt idx="64">
                  <c:v>0.5</c:v>
                </c:pt>
                <c:pt idx="65">
                  <c:v>0.49586776859504134</c:v>
                </c:pt>
                <c:pt idx="66">
                  <c:v>0.49586776859504134</c:v>
                </c:pt>
                <c:pt idx="67">
                  <c:v>0.48799999999999999</c:v>
                </c:pt>
                <c:pt idx="68">
                  <c:v>0.47692307692307695</c:v>
                </c:pt>
                <c:pt idx="69">
                  <c:v>0.47328244274809161</c:v>
                </c:pt>
                <c:pt idx="70">
                  <c:v>0.46969696969696972</c:v>
                </c:pt>
                <c:pt idx="71">
                  <c:v>0.46666666666666667</c:v>
                </c:pt>
                <c:pt idx="72">
                  <c:v>0.46376811594202899</c:v>
                </c:pt>
                <c:pt idx="73">
                  <c:v>0.46478873239436619</c:v>
                </c:pt>
                <c:pt idx="74">
                  <c:v>0.46527777777777779</c:v>
                </c:pt>
                <c:pt idx="75">
                  <c:v>0.46206896551724136</c:v>
                </c:pt>
                <c:pt idx="76">
                  <c:v>0.4589041095890411</c:v>
                </c:pt>
                <c:pt idx="77">
                  <c:v>0.45695364238410596</c:v>
                </c:pt>
                <c:pt idx="78">
                  <c:v>0.45751633986928103</c:v>
                </c:pt>
                <c:pt idx="79">
                  <c:v>0.45454545454545453</c:v>
                </c:pt>
                <c:pt idx="80">
                  <c:v>0.45512820512820512</c:v>
                </c:pt>
                <c:pt idx="81">
                  <c:v>0.45512820512820512</c:v>
                </c:pt>
                <c:pt idx="82">
                  <c:v>0.45569620253164556</c:v>
                </c:pt>
                <c:pt idx="83">
                  <c:v>0.45624999999999999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202161474888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1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630</v>
      </c>
    </row>
    <row r="2" spans="1:2" x14ac:dyDescent="0.4">
      <c r="A2" t="s">
        <v>127</v>
      </c>
      <c r="B2">
        <v>142</v>
      </c>
    </row>
    <row r="3" spans="1:2" x14ac:dyDescent="0.4">
      <c r="A3" t="s">
        <v>128</v>
      </c>
      <c r="B3">
        <v>120</v>
      </c>
    </row>
    <row r="4" spans="1:2" x14ac:dyDescent="0.4">
      <c r="A4" t="s">
        <v>129</v>
      </c>
      <c r="B4">
        <v>83</v>
      </c>
    </row>
    <row r="5" spans="1:2" x14ac:dyDescent="0.4">
      <c r="A5" t="s">
        <v>171</v>
      </c>
      <c r="B5">
        <v>86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54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>
      <selection activeCell="E21" sqref="E21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0.96462555238809555</v>
      </c>
      <c r="G2" s="159"/>
      <c r="H2" s="158">
        <v>0.73442259081010741</v>
      </c>
      <c r="I2" s="159"/>
      <c r="J2" s="158">
        <v>0.93929387472953141</v>
      </c>
      <c r="K2" s="159"/>
      <c r="L2" s="158">
        <v>0.77397608010681318</v>
      </c>
      <c r="M2" s="159"/>
      <c r="N2" s="158">
        <v>0.6614413890205979</v>
      </c>
      <c r="O2" s="159"/>
      <c r="P2" s="158">
        <v>0.30348257605396467</v>
      </c>
      <c r="Q2" s="159"/>
      <c r="R2" s="158">
        <v>0.35818554333352987</v>
      </c>
      <c r="S2" s="159"/>
      <c r="T2" s="158">
        <v>0.48199011700604333</v>
      </c>
      <c r="U2" s="159"/>
      <c r="V2" s="158">
        <v>0.74369763004954781</v>
      </c>
      <c r="W2" s="159"/>
      <c r="X2" s="158">
        <v>0.48770350406260077</v>
      </c>
      <c r="Y2" s="159"/>
      <c r="Z2" s="158">
        <v>0.19726803642070678</v>
      </c>
      <c r="AA2" s="159"/>
      <c r="AB2" s="158">
        <v>7.4899977485724092E-2</v>
      </c>
      <c r="AC2" s="159"/>
      <c r="AD2" s="158">
        <v>0.72966607556694774</v>
      </c>
      <c r="AE2" s="159"/>
      <c r="AF2" s="158">
        <v>-0.63776231324693899</v>
      </c>
      <c r="AG2" s="159"/>
      <c r="AH2" s="158">
        <v>0.64935577898693575</v>
      </c>
      <c r="AI2" s="159"/>
    </row>
    <row r="3" spans="1:35" x14ac:dyDescent="0.4">
      <c r="A3" s="74">
        <v>1</v>
      </c>
      <c r="B3" s="75" t="s">
        <v>127</v>
      </c>
      <c r="C3" s="76">
        <v>1751.8000000000009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0.34801381692573402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0.176056338028169</v>
      </c>
      <c r="X3" s="77" t="s">
        <v>127</v>
      </c>
      <c r="Y3" s="80">
        <v>0.31692573402417962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0.51968503937007871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158.50000000000003</v>
      </c>
      <c r="D4" s="85" t="s">
        <v>222</v>
      </c>
      <c r="E4" s="97">
        <v>13.3</v>
      </c>
      <c r="F4" s="85" t="s">
        <v>127</v>
      </c>
      <c r="G4" s="86">
        <v>1.7394366197183098</v>
      </c>
      <c r="H4" s="85" t="s">
        <v>127</v>
      </c>
      <c r="I4" s="87">
        <v>0.49295774647887325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171</v>
      </c>
      <c r="W4" s="87">
        <v>0.13953488372093023</v>
      </c>
      <c r="X4" s="85" t="s">
        <v>128</v>
      </c>
      <c r="Y4" s="88">
        <v>0.30141129032258063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133.30000000000001</v>
      </c>
      <c r="D5" s="85" t="s">
        <v>127</v>
      </c>
      <c r="E5" s="97">
        <v>12.336619718309866</v>
      </c>
      <c r="F5" s="85" t="s">
        <v>200</v>
      </c>
      <c r="G5" s="86">
        <v>1.8888888888888888</v>
      </c>
      <c r="H5" s="85" t="s">
        <v>177</v>
      </c>
      <c r="I5" s="87">
        <v>0.3888888888888889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10033.823529411764</v>
      </c>
      <c r="R5" s="85" t="s">
        <v>128</v>
      </c>
      <c r="S5" s="89">
        <v>-7739.2857142857147</v>
      </c>
      <c r="T5" s="85" t="s">
        <v>222</v>
      </c>
      <c r="U5" s="87">
        <v>0</v>
      </c>
      <c r="V5" s="85" t="s">
        <v>145</v>
      </c>
      <c r="W5" s="87">
        <v>0.11428571428571428</v>
      </c>
      <c r="X5" s="85" t="s">
        <v>171</v>
      </c>
      <c r="Y5" s="88">
        <v>0.29329608938547486</v>
      </c>
      <c r="Z5" s="85" t="s">
        <v>173</v>
      </c>
      <c r="AA5" s="88">
        <v>0.25654450261780104</v>
      </c>
      <c r="AB5" s="85" t="s">
        <v>184</v>
      </c>
      <c r="AC5" s="88">
        <v>0.6785714285714286</v>
      </c>
      <c r="AD5" s="85" t="s">
        <v>200</v>
      </c>
      <c r="AE5" s="88">
        <v>0.48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177</v>
      </c>
      <c r="E6" s="97">
        <v>2.4685185185185188</v>
      </c>
      <c r="F6" s="85" t="s">
        <v>177</v>
      </c>
      <c r="G6" s="86">
        <v>1.9259259259259258</v>
      </c>
      <c r="H6" s="85" t="s">
        <v>184</v>
      </c>
      <c r="I6" s="87">
        <v>0.35714285714285715</v>
      </c>
      <c r="J6" s="85" t="s">
        <v>127</v>
      </c>
      <c r="K6" s="87">
        <v>0.23239436619718309</v>
      </c>
      <c r="L6" s="85" t="s">
        <v>177</v>
      </c>
      <c r="M6" s="88">
        <v>0.30523917995444189</v>
      </c>
      <c r="N6" s="85" t="s">
        <v>177</v>
      </c>
      <c r="O6" s="88">
        <v>0.15261958997722094</v>
      </c>
      <c r="P6" s="85" t="s">
        <v>128</v>
      </c>
      <c r="Q6" s="89">
        <v>9272.8624535315994</v>
      </c>
      <c r="R6" s="85" t="s">
        <v>173</v>
      </c>
      <c r="S6" s="89">
        <v>-7866.1971830985913</v>
      </c>
      <c r="T6" s="85" t="s">
        <v>223</v>
      </c>
      <c r="U6" s="87">
        <v>0</v>
      </c>
      <c r="V6" s="85" t="s">
        <v>177</v>
      </c>
      <c r="W6" s="87">
        <v>0.1111111111111111</v>
      </c>
      <c r="X6" s="85" t="s">
        <v>145</v>
      </c>
      <c r="Y6" s="88">
        <v>0.27888825433085856</v>
      </c>
      <c r="Z6" s="85" t="s">
        <v>223</v>
      </c>
      <c r="AA6" s="88">
        <v>0.23529411764705882</v>
      </c>
      <c r="AB6" s="85" t="s">
        <v>177</v>
      </c>
      <c r="AC6" s="88">
        <v>0.66666666666666663</v>
      </c>
      <c r="AD6" s="85" t="s">
        <v>184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0.31481481481481483</v>
      </c>
      <c r="L7" s="85" t="s">
        <v>145</v>
      </c>
      <c r="M7" s="88">
        <v>0.29944793451361129</v>
      </c>
      <c r="N7" s="85" t="s">
        <v>127</v>
      </c>
      <c r="O7" s="88">
        <v>0.15975820379965458</v>
      </c>
      <c r="P7" s="85" t="s">
        <v>127</v>
      </c>
      <c r="Q7" s="89">
        <v>9101.7369727047153</v>
      </c>
      <c r="R7" s="85" t="s">
        <v>177</v>
      </c>
      <c r="S7" s="89">
        <v>-7931.3432835820895</v>
      </c>
      <c r="T7" s="85" t="s">
        <v>172</v>
      </c>
      <c r="U7" s="87">
        <v>4.1666666666666664E-2</v>
      </c>
      <c r="V7" s="85" t="s">
        <v>172</v>
      </c>
      <c r="W7" s="87">
        <v>9.7222222222222224E-2</v>
      </c>
      <c r="X7" s="85" t="s">
        <v>177</v>
      </c>
      <c r="Y7" s="88">
        <v>0.27334851936218679</v>
      </c>
      <c r="Z7" s="85" t="s">
        <v>127</v>
      </c>
      <c r="AA7" s="88">
        <v>0.21934369602763384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1.8430232558139539</v>
      </c>
      <c r="F8" s="85" t="s">
        <v>222</v>
      </c>
      <c r="G8" s="86">
        <v>2</v>
      </c>
      <c r="H8" s="85" t="s">
        <v>171</v>
      </c>
      <c r="I8" s="87">
        <v>0.31395348837209303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129</v>
      </c>
      <c r="Q8" s="89">
        <v>8826.25</v>
      </c>
      <c r="R8" s="85" t="s">
        <v>184</v>
      </c>
      <c r="S8" s="89">
        <v>-8107.6923076923076</v>
      </c>
      <c r="T8" s="85" t="s">
        <v>171</v>
      </c>
      <c r="U8" s="87">
        <v>8.1395348837209308E-2</v>
      </c>
      <c r="V8" s="85" t="s">
        <v>129</v>
      </c>
      <c r="W8" s="87">
        <v>9.6385542168674704E-2</v>
      </c>
      <c r="X8" s="85" t="s">
        <v>129</v>
      </c>
      <c r="Y8" s="88">
        <v>0.27272727272727271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0.42222222222222222</v>
      </c>
      <c r="AF8" s="85" t="s">
        <v>129</v>
      </c>
      <c r="AG8" s="88">
        <v>0.45624999999999999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-2.9753977059954195E-14</v>
      </c>
      <c r="D9" s="85" t="s">
        <v>145</v>
      </c>
      <c r="E9" s="97">
        <v>-4.7228535015800309E-17</v>
      </c>
      <c r="F9" s="85" t="s">
        <v>171</v>
      </c>
      <c r="G9" s="86">
        <v>2.0232558139534884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0.16752332000761469</v>
      </c>
      <c r="P9" s="85" t="s">
        <v>145</v>
      </c>
      <c r="Q9" s="89">
        <v>8623.0769230769238</v>
      </c>
      <c r="R9" s="85" t="s">
        <v>127</v>
      </c>
      <c r="S9" s="89">
        <v>-8199.45945945946</v>
      </c>
      <c r="T9" s="85" t="s">
        <v>127</v>
      </c>
      <c r="U9" s="87">
        <v>0.10563380281690141</v>
      </c>
      <c r="V9" s="85" t="s">
        <v>128</v>
      </c>
      <c r="W9" s="87">
        <v>9.166666666666666E-2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0.5795221843003413</v>
      </c>
      <c r="AD9" s="85" t="s">
        <v>145</v>
      </c>
      <c r="AE9" s="88">
        <v>0.39256572982774252</v>
      </c>
      <c r="AF9" s="85" t="s">
        <v>145</v>
      </c>
      <c r="AG9" s="88">
        <v>0.43420216147488877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172</v>
      </c>
      <c r="I10" s="87">
        <v>0.2638888888888889</v>
      </c>
      <c r="J10" s="85" t="s">
        <v>171</v>
      </c>
      <c r="K10" s="87">
        <v>0.33720930232558138</v>
      </c>
      <c r="L10" s="85" t="s">
        <v>184</v>
      </c>
      <c r="M10" s="88">
        <v>0.28813559322033899</v>
      </c>
      <c r="N10" s="85" t="s">
        <v>128</v>
      </c>
      <c r="O10" s="88">
        <v>0.16935483870967741</v>
      </c>
      <c r="P10" s="85" t="s">
        <v>177</v>
      </c>
      <c r="Q10" s="89">
        <v>8598.507462686568</v>
      </c>
      <c r="R10" s="85" t="s">
        <v>145</v>
      </c>
      <c r="S10" s="89">
        <v>-8240.9090909090901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184</v>
      </c>
      <c r="Y10" s="88">
        <v>0.23728813559322035</v>
      </c>
      <c r="Z10" s="85" t="s">
        <v>145</v>
      </c>
      <c r="AA10" s="88">
        <v>0.20997525223681707</v>
      </c>
      <c r="AB10" s="85" t="s">
        <v>128</v>
      </c>
      <c r="AC10" s="88">
        <v>0.57859531772575246</v>
      </c>
      <c r="AD10" s="85" t="s">
        <v>177</v>
      </c>
      <c r="AE10" s="88">
        <v>0.37349397590361444</v>
      </c>
      <c r="AF10" s="85" t="s">
        <v>177</v>
      </c>
      <c r="AG10" s="88">
        <v>0.42537313432835822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-3.0916666666666672</v>
      </c>
      <c r="F11" s="85" t="s">
        <v>173</v>
      </c>
      <c r="G11" s="86">
        <v>2.0681818181818183</v>
      </c>
      <c r="H11" s="85" t="s">
        <v>128</v>
      </c>
      <c r="I11" s="87">
        <v>0.25833333333333336</v>
      </c>
      <c r="J11" s="85" t="s">
        <v>128</v>
      </c>
      <c r="K11" s="87">
        <v>0.35</v>
      </c>
      <c r="L11" s="85" t="s">
        <v>171</v>
      </c>
      <c r="M11" s="88">
        <v>0.28491620111731841</v>
      </c>
      <c r="N11" s="85" t="s">
        <v>171</v>
      </c>
      <c r="O11" s="88">
        <v>0.1717877094972067</v>
      </c>
      <c r="P11" s="85" t="s">
        <v>183</v>
      </c>
      <c r="Q11" s="89">
        <v>7860</v>
      </c>
      <c r="R11" s="85" t="s">
        <v>171</v>
      </c>
      <c r="S11" s="89">
        <v>-8311.3821138211388</v>
      </c>
      <c r="T11" s="85" t="s">
        <v>145</v>
      </c>
      <c r="U11" s="87">
        <v>0.11428571428571428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177</v>
      </c>
      <c r="AA11" s="88">
        <v>0.18906605922551253</v>
      </c>
      <c r="AB11" s="85" t="s">
        <v>127</v>
      </c>
      <c r="AC11" s="88">
        <v>0.57765667574931878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2.0916666666666668</v>
      </c>
      <c r="H12" s="85" t="s">
        <v>129</v>
      </c>
      <c r="I12" s="87">
        <v>0.24096385542168675</v>
      </c>
      <c r="J12" s="85" t="s">
        <v>173</v>
      </c>
      <c r="K12" s="87">
        <v>0.36363636363636365</v>
      </c>
      <c r="L12" s="85" t="s">
        <v>128</v>
      </c>
      <c r="M12" s="88">
        <v>0.27116935483870969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-8638.823529411764</v>
      </c>
      <c r="T12" s="85" t="s">
        <v>128</v>
      </c>
      <c r="U12" s="87">
        <v>0.125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171</v>
      </c>
      <c r="AA12" s="88">
        <v>0.18854748603351956</v>
      </c>
      <c r="AB12" s="85" t="s">
        <v>171</v>
      </c>
      <c r="AC12" s="88">
        <v>0.56666666666666665</v>
      </c>
      <c r="AD12" s="85" t="s">
        <v>128</v>
      </c>
      <c r="AE12" s="88">
        <v>0.287292817679558</v>
      </c>
      <c r="AF12" s="85" t="s">
        <v>128</v>
      </c>
      <c r="AG12" s="88">
        <v>0.42379182156133827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0.22222222222222221</v>
      </c>
      <c r="J13" s="85" t="s">
        <v>129</v>
      </c>
      <c r="K13" s="87">
        <v>0.49397590361445781</v>
      </c>
      <c r="L13" s="85" t="s">
        <v>183</v>
      </c>
      <c r="M13" s="88">
        <v>0.26315789473684209</v>
      </c>
      <c r="N13" s="85" t="s">
        <v>129</v>
      </c>
      <c r="O13" s="88">
        <v>0.19336219336219337</v>
      </c>
      <c r="P13" s="85" t="s">
        <v>173</v>
      </c>
      <c r="Q13" s="89">
        <v>6998.2456140350878</v>
      </c>
      <c r="R13" s="85" t="s">
        <v>129</v>
      </c>
      <c r="S13" s="89">
        <v>-9076.8656716417918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0.18245967741935484</v>
      </c>
      <c r="AB13" s="85" t="s">
        <v>172</v>
      </c>
      <c r="AC13" s="88">
        <v>0.55639097744360899</v>
      </c>
      <c r="AD13" s="85" t="s">
        <v>223</v>
      </c>
      <c r="AE13" s="88">
        <v>0.25</v>
      </c>
      <c r="AF13" s="85" t="s">
        <v>127</v>
      </c>
      <c r="AG13" s="88">
        <v>0.4143920595533499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-371.00000000000006</v>
      </c>
      <c r="D14" s="85" t="s">
        <v>223</v>
      </c>
      <c r="E14" s="97">
        <v>-12.35</v>
      </c>
      <c r="F14" s="85" t="s">
        <v>129</v>
      </c>
      <c r="G14" s="86">
        <v>2.2530120481927711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0.23088023088023088</v>
      </c>
      <c r="N14" s="85" t="s">
        <v>184</v>
      </c>
      <c r="O14" s="88">
        <v>0.22033898305084745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0.16666666666666666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0.16450216450216451</v>
      </c>
      <c r="AB14" s="85" t="s">
        <v>129</v>
      </c>
      <c r="AC14" s="88">
        <v>0.52380952380952384</v>
      </c>
      <c r="AD14" s="85" t="s">
        <v>129</v>
      </c>
      <c r="AE14" s="88">
        <v>0.22807017543859648</v>
      </c>
      <c r="AF14" s="85" t="s">
        <v>171</v>
      </c>
      <c r="AG14" s="88">
        <v>0.40686274509803921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-1270.6000000000001</v>
      </c>
      <c r="D15" s="85" t="s">
        <v>129</v>
      </c>
      <c r="E15" s="97">
        <v>-15.308433734939761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0.19277108433734941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3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630</v>
      </c>
      <c r="C2" s="151"/>
      <c r="E2" s="62" t="s">
        <v>67</v>
      </c>
      <c r="F2" s="59" t="s">
        <v>23</v>
      </c>
      <c r="G2" s="46">
        <v>1162</v>
      </c>
      <c r="H2" s="132">
        <f>IF(B$17=0,0,G2/B$17)</f>
        <v>0.73871582962492055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-14.285714285714286</v>
      </c>
      <c r="P2" s="118">
        <v>630</v>
      </c>
      <c r="Q2" s="102">
        <v>-9000</v>
      </c>
    </row>
    <row r="3" spans="1:17" x14ac:dyDescent="0.4">
      <c r="A3" s="55" t="s">
        <v>8</v>
      </c>
      <c r="B3" s="152">
        <v>5253</v>
      </c>
      <c r="C3" s="153"/>
      <c r="E3" s="63" t="s">
        <v>65</v>
      </c>
      <c r="F3" s="60" t="s">
        <v>21</v>
      </c>
      <c r="G3" s="47">
        <v>810</v>
      </c>
      <c r="H3" s="133">
        <f>IF(B$17=0,0,G3/B$17)</f>
        <v>0.5149396058486968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-8.1300813008130088</v>
      </c>
      <c r="P3" s="119">
        <v>615</v>
      </c>
      <c r="Q3" s="103">
        <v>-5000</v>
      </c>
    </row>
    <row r="4" spans="1:17" x14ac:dyDescent="0.4">
      <c r="A4" s="55" t="s">
        <v>6</v>
      </c>
      <c r="B4" s="154">
        <v>-2.9753977059954195E-14</v>
      </c>
      <c r="C4" s="155"/>
      <c r="E4" s="63" t="s">
        <v>73</v>
      </c>
      <c r="F4" s="60" t="s">
        <v>28</v>
      </c>
      <c r="G4" s="47">
        <v>796</v>
      </c>
      <c r="H4" s="133">
        <f>IF(B$17=0,0,G4/B$17)</f>
        <v>0.50603941513032424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8.5910652920962196</v>
      </c>
      <c r="P4" s="119">
        <v>582</v>
      </c>
      <c r="Q4" s="103">
        <v>5000</v>
      </c>
    </row>
    <row r="5" spans="1:17" x14ac:dyDescent="0.4">
      <c r="A5" s="55" t="s">
        <v>7</v>
      </c>
      <c r="B5" s="156">
        <f>IF(B$2=0,0,B$4/B$2)</f>
        <v>-4.7228535015800309E-17</v>
      </c>
      <c r="C5" s="157"/>
      <c r="E5" s="63" t="s">
        <v>245</v>
      </c>
      <c r="F5" s="60" t="s">
        <v>246</v>
      </c>
      <c r="G5" s="47">
        <v>648</v>
      </c>
      <c r="H5" s="133">
        <f>IF(B$17=0,0,G5/B$17)</f>
        <v>0.41195168467895743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11.299435028248588</v>
      </c>
      <c r="P5" s="119">
        <v>531</v>
      </c>
      <c r="Q5" s="103">
        <v>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493</v>
      </c>
      <c r="H6" s="133">
        <f>IF(B$17=0,0,G6/B$17)</f>
        <v>0.31341385886840434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-14.675052410901468</v>
      </c>
      <c r="P6" s="119">
        <v>477</v>
      </c>
      <c r="Q6" s="103">
        <v>-7000</v>
      </c>
    </row>
    <row r="7" spans="1:17" x14ac:dyDescent="0.4">
      <c r="A7" s="55" t="s">
        <v>2</v>
      </c>
      <c r="B7" s="47">
        <v>210</v>
      </c>
      <c r="C7" s="39">
        <f>IF(B$2=0,0,B7/B$2)</f>
        <v>0.33333333333333331</v>
      </c>
      <c r="E7" s="63" t="s">
        <v>68</v>
      </c>
      <c r="F7" s="60" t="s">
        <v>24</v>
      </c>
      <c r="G7" s="47">
        <v>479</v>
      </c>
      <c r="H7" s="133">
        <f>IF(B$17=0,0,G7/B$17)</f>
        <v>0.30451366815003178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23.310023310023311</v>
      </c>
      <c r="P7" s="120">
        <v>429</v>
      </c>
      <c r="Q7" s="104">
        <v>10000</v>
      </c>
    </row>
    <row r="8" spans="1:17" x14ac:dyDescent="0.4">
      <c r="A8" s="55" t="s">
        <v>3</v>
      </c>
      <c r="B8" s="47">
        <v>210</v>
      </c>
      <c r="C8" s="39">
        <f>IF(B$2=0,0,B8/B$2)</f>
        <v>0.33333333333333331</v>
      </c>
      <c r="E8" s="63" t="s">
        <v>70</v>
      </c>
      <c r="F8" s="60" t="s">
        <v>25</v>
      </c>
      <c r="G8" s="47">
        <v>274</v>
      </c>
      <c r="H8" s="133">
        <f>IF(B$17=0,0,G8/B$17)</f>
        <v>0.17418944691671964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194</v>
      </c>
      <c r="H9" s="133">
        <f>IF(B$17=0,0,G9/B$17)</f>
        <v>0.12333121424030515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72</v>
      </c>
      <c r="C10" s="40">
        <f>IF(B$2=0,0,B10/B$2)</f>
        <v>0.11428571428571428</v>
      </c>
      <c r="E10" s="63" t="s">
        <v>66</v>
      </c>
      <c r="F10" s="60" t="s">
        <v>22</v>
      </c>
      <c r="G10" s="47">
        <v>191</v>
      </c>
      <c r="H10" s="133">
        <f>IF(B$17=0,0,G10/B$17)</f>
        <v>0.12142403051493961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-1.5799999999999994</v>
      </c>
      <c r="P10" s="118">
        <v>210</v>
      </c>
      <c r="Q10" s="106">
        <v>-331.7999999999999</v>
      </c>
    </row>
    <row r="11" spans="1:17" x14ac:dyDescent="0.4">
      <c r="A11" s="56" t="s">
        <v>140</v>
      </c>
      <c r="B11" s="48">
        <v>72</v>
      </c>
      <c r="C11" s="40">
        <f>IF(B$2=0,0,B11/B$2)</f>
        <v>0.11428571428571428</v>
      </c>
      <c r="E11" s="63" t="s">
        <v>71</v>
      </c>
      <c r="F11" s="60" t="s">
        <v>26</v>
      </c>
      <c r="G11" s="47">
        <v>155</v>
      </c>
      <c r="H11" s="133">
        <f>IF(B$17=0,0,G11/B$17)</f>
        <v>9.8537825810553079E-2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-0.46904761904761916</v>
      </c>
      <c r="P11" s="119">
        <v>210</v>
      </c>
      <c r="Q11" s="107">
        <v>-98.500000000000028</v>
      </c>
    </row>
    <row r="12" spans="1:17" x14ac:dyDescent="0.4">
      <c r="A12" s="57" t="s">
        <v>160</v>
      </c>
      <c r="B12" s="49">
        <v>54</v>
      </c>
      <c r="C12" s="42">
        <f>IF(B$2=0,0,B12/B$2)</f>
        <v>8.5714285714285715E-2</v>
      </c>
      <c r="E12" s="63" t="s">
        <v>72</v>
      </c>
      <c r="F12" s="60" t="s">
        <v>27</v>
      </c>
      <c r="G12" s="47">
        <v>107</v>
      </c>
      <c r="H12" s="133">
        <f>IF(B$17=0,0,G12/B$17)</f>
        <v>6.8022886204704383E-2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2.0490476190476188</v>
      </c>
      <c r="P12" s="120">
        <v>210</v>
      </c>
      <c r="Q12" s="108">
        <v>430.29999999999995</v>
      </c>
    </row>
    <row r="13" spans="1:17" x14ac:dyDescent="0.4">
      <c r="A13" s="58" t="s">
        <v>122</v>
      </c>
      <c r="B13" s="50">
        <v>1465</v>
      </c>
      <c r="C13" s="44">
        <f>IF(B$3=0,0,B13/B$3)</f>
        <v>0.27888825433085856</v>
      </c>
      <c r="E13" s="63" t="s">
        <v>87</v>
      </c>
      <c r="F13" s="60" t="s">
        <v>42</v>
      </c>
      <c r="G13" s="47">
        <v>88</v>
      </c>
      <c r="H13" s="133">
        <f>IF(B$17=0,0,G13/B$17)</f>
        <v>5.5944055944055944E-2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1103</v>
      </c>
      <c r="C14" s="39">
        <f>IF(B$3=0,0,B14/B$3)</f>
        <v>0.20997525223681707</v>
      </c>
      <c r="E14" s="63" t="s">
        <v>84</v>
      </c>
      <c r="F14" s="60" t="s">
        <v>39</v>
      </c>
      <c r="G14" s="47">
        <v>75</v>
      </c>
      <c r="H14" s="133">
        <f>IF(B$17=0,0,G14/B$17)</f>
        <v>4.7679593134138588E-2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849</v>
      </c>
      <c r="C15" s="37">
        <f>IF(B$13=0,0,B15/B$13)</f>
        <v>0.5795221843003413</v>
      </c>
      <c r="E15" s="63" t="s">
        <v>82</v>
      </c>
      <c r="F15" s="60" t="s">
        <v>37</v>
      </c>
      <c r="G15" s="47">
        <v>43</v>
      </c>
      <c r="H15" s="133">
        <f>IF(B$17=0,0,G15/B$17)</f>
        <v>2.733630006357279E-2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22.962650602409663</v>
      </c>
      <c r="P15" s="118">
        <v>166</v>
      </c>
      <c r="Q15" s="106">
        <v>3811.8000000000043</v>
      </c>
    </row>
    <row r="16" spans="1:17" x14ac:dyDescent="0.4">
      <c r="A16" s="54" t="s">
        <v>125</v>
      </c>
      <c r="B16" s="46">
        <v>433</v>
      </c>
      <c r="C16" s="37">
        <f>IF(B$14=0,0,B16/B$14)</f>
        <v>0.39256572982774252</v>
      </c>
      <c r="E16" s="63" t="s">
        <v>79</v>
      </c>
      <c r="F16" s="60" t="s">
        <v>34</v>
      </c>
      <c r="G16" s="47">
        <v>40</v>
      </c>
      <c r="H16" s="133">
        <f>IF(B$17=0,0,G16/B$17)</f>
        <v>2.5429116338207249E-2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1573</v>
      </c>
      <c r="C17" s="37">
        <f>IF(B$3=0,0,B17/B$3)</f>
        <v>0.29944793451361129</v>
      </c>
      <c r="E17" s="63" t="s">
        <v>92</v>
      </c>
      <c r="F17" s="60" t="s">
        <v>47</v>
      </c>
      <c r="G17" s="47">
        <v>30</v>
      </c>
      <c r="H17" s="133">
        <f>IF(B$17=0,0,G17/B$17)</f>
        <v>1.9071837253655435E-2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683</v>
      </c>
      <c r="C18" s="39">
        <f>IF(B$17=0,0,B18/B$17)</f>
        <v>0.43420216147488877</v>
      </c>
      <c r="E18" s="63" t="s">
        <v>80</v>
      </c>
      <c r="F18" s="60" t="s">
        <v>35</v>
      </c>
      <c r="G18" s="47">
        <v>25</v>
      </c>
      <c r="H18" s="133">
        <f>IF(B$17=0,0,G18/B$17)</f>
        <v>1.5893197711379529E-2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890</v>
      </c>
      <c r="C19" s="39">
        <f>IF(B$17=0,0,B19/B$17)</f>
        <v>0.56579783852511123</v>
      </c>
      <c r="E19" s="63" t="s">
        <v>180</v>
      </c>
      <c r="F19" s="60" t="s">
        <v>181</v>
      </c>
      <c r="G19" s="47">
        <v>24</v>
      </c>
      <c r="H19" s="133">
        <f>IF(B$17=0,0,G19/B$17)</f>
        <v>1.5257469802924348E-2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4.6375000000000011</v>
      </c>
      <c r="P19" s="119">
        <v>240</v>
      </c>
      <c r="Q19" s="107">
        <v>1113.0000000000002</v>
      </c>
    </row>
    <row r="20" spans="1:17" x14ac:dyDescent="0.4">
      <c r="A20" s="55" t="s">
        <v>13</v>
      </c>
      <c r="B20" s="47">
        <v>880</v>
      </c>
      <c r="C20" s="39">
        <f>IF(B$3=0,0,B20/B$3)</f>
        <v>0.16752332000761469</v>
      </c>
      <c r="E20" s="63" t="s">
        <v>74</v>
      </c>
      <c r="F20" s="60" t="s">
        <v>29</v>
      </c>
      <c r="G20" s="47">
        <v>9</v>
      </c>
      <c r="H20" s="133">
        <f>IF(B$17=0,0,G20/B$17)</f>
        <v>5.7215511760966304E-3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5.7215511760966304E-3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-2.7645348837209274</v>
      </c>
      <c r="P21" s="119">
        <v>172</v>
      </c>
      <c r="Q21" s="107">
        <v>-475.49999999999955</v>
      </c>
    </row>
    <row r="22" spans="1:17" x14ac:dyDescent="0.4">
      <c r="A22" s="55" t="s">
        <v>192</v>
      </c>
      <c r="B22" s="47">
        <v>31</v>
      </c>
      <c r="C22" s="135">
        <v>6</v>
      </c>
      <c r="E22" s="63" t="s">
        <v>86</v>
      </c>
      <c r="F22" s="60" t="s">
        <v>41</v>
      </c>
      <c r="G22" s="47">
        <v>7</v>
      </c>
      <c r="H22" s="133">
        <f>IF(B$17=0,0,G22/B$17)</f>
        <v>4.4500953591862687E-3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8623.0769230769238</v>
      </c>
      <c r="C23" s="41">
        <v>13564100</v>
      </c>
      <c r="E23" s="63" t="s">
        <v>93</v>
      </c>
      <c r="F23" s="60" t="s">
        <v>48</v>
      </c>
      <c r="G23" s="47">
        <v>7</v>
      </c>
      <c r="H23" s="133">
        <f>IF(B$17=0,0,G23/B$17)</f>
        <v>4.4500953591862687E-3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-3.7027777777777793</v>
      </c>
      <c r="P23" s="119">
        <v>108</v>
      </c>
      <c r="Q23" s="107">
        <v>-399.90000000000015</v>
      </c>
    </row>
    <row r="24" spans="1:17" x14ac:dyDescent="0.4">
      <c r="A24" s="57" t="s">
        <v>14</v>
      </c>
      <c r="B24" s="52">
        <f>IF(B$20=0,0,C24/B$20)</f>
        <v>-8240.9090909090901</v>
      </c>
      <c r="C24" s="45">
        <v>-7252000</v>
      </c>
      <c r="E24" s="63" t="s">
        <v>75</v>
      </c>
      <c r="F24" s="60" t="s">
        <v>30</v>
      </c>
      <c r="G24" s="47">
        <v>6</v>
      </c>
      <c r="H24" s="133">
        <f>IF(B$17=0,0,G24/B$17)</f>
        <v>3.8143674507310869E-3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-18.504929577464765</v>
      </c>
      <c r="P24" s="119">
        <v>284</v>
      </c>
      <c r="Q24" s="107">
        <v>-5255.3999999999933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3.8143674507310869E-3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3.1786395422759061E-3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2.66514372739387E-3</v>
      </c>
      <c r="E27" s="63" t="s">
        <v>78</v>
      </c>
      <c r="F27" s="60" t="s">
        <v>33</v>
      </c>
      <c r="G27" s="47">
        <v>4</v>
      </c>
      <c r="H27" s="133">
        <f>IF(B$17=0,0,G27/B$17)</f>
        <v>2.5429116338207248E-3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2.5429116338207248E-3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2.5429116338207248E-3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1.2714558169103624E-3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1.2714558169103624E-3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6.3572790845518119E-4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142</v>
      </c>
      <c r="C2" s="151"/>
      <c r="E2" s="62" t="s">
        <v>67</v>
      </c>
      <c r="F2" s="59" t="s">
        <v>23</v>
      </c>
      <c r="G2" s="46">
        <v>295</v>
      </c>
      <c r="H2" s="132">
        <f>IF(B$17=0,0,G2/B$17)</f>
        <v>0.73200992555831268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1961.9718309859154</v>
      </c>
      <c r="P2" s="118">
        <v>142</v>
      </c>
      <c r="Q2" s="102">
        <v>278600</v>
      </c>
    </row>
    <row r="3" spans="1:17" x14ac:dyDescent="0.4">
      <c r="A3" s="55" t="s">
        <v>8</v>
      </c>
      <c r="B3" s="152">
        <v>1158</v>
      </c>
      <c r="C3" s="153"/>
      <c r="E3" s="63" t="s">
        <v>73</v>
      </c>
      <c r="F3" s="60" t="s">
        <v>28</v>
      </c>
      <c r="G3" s="47">
        <v>228</v>
      </c>
      <c r="H3" s="133">
        <f>IF(B$17=0,0,G3/B$17)</f>
        <v>0.56575682382133996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1297.8260869565217</v>
      </c>
      <c r="P3" s="119">
        <v>138</v>
      </c>
      <c r="Q3" s="103">
        <v>179100</v>
      </c>
    </row>
    <row r="4" spans="1:17" x14ac:dyDescent="0.4">
      <c r="A4" s="55" t="s">
        <v>6</v>
      </c>
      <c r="B4" s="154">
        <v>1751.8000000000009</v>
      </c>
      <c r="C4" s="155"/>
      <c r="E4" s="63" t="s">
        <v>65</v>
      </c>
      <c r="F4" s="60" t="s">
        <v>21</v>
      </c>
      <c r="G4" s="47">
        <v>195</v>
      </c>
      <c r="H4" s="133">
        <f>IF(B$17=0,0,G4/B$17)</f>
        <v>0.4838709677419355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902.29007633587787</v>
      </c>
      <c r="P4" s="119">
        <v>131</v>
      </c>
      <c r="Q4" s="103">
        <v>118200</v>
      </c>
    </row>
    <row r="5" spans="1:17" x14ac:dyDescent="0.4">
      <c r="A5" s="55" t="s">
        <v>7</v>
      </c>
      <c r="B5" s="156">
        <f>IF(B$2=0,0,B$4/B$2)</f>
        <v>12.336619718309866</v>
      </c>
      <c r="C5" s="157"/>
      <c r="E5" s="63" t="s">
        <v>245</v>
      </c>
      <c r="F5" s="60" t="s">
        <v>246</v>
      </c>
      <c r="G5" s="47">
        <v>166</v>
      </c>
      <c r="H5" s="133">
        <f>IF(B$17=0,0,G5/B$17)</f>
        <v>0.41191066997518611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2610</v>
      </c>
      <c r="P5" s="119">
        <v>120</v>
      </c>
      <c r="Q5" s="103">
        <v>313200</v>
      </c>
    </row>
    <row r="6" spans="1:17" x14ac:dyDescent="0.4">
      <c r="A6" s="55" t="s">
        <v>1</v>
      </c>
      <c r="B6" s="146">
        <f>IF(B$2=0,0,(B$7*1+B$8*2+B$9*3)/B$2)</f>
        <v>1.7394366197183098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0.28535980148883372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385.84905660377359</v>
      </c>
      <c r="P6" s="119">
        <v>106</v>
      </c>
      <c r="Q6" s="103">
        <v>40900</v>
      </c>
    </row>
    <row r="7" spans="1:17" x14ac:dyDescent="0.4">
      <c r="A7" s="55" t="s">
        <v>2</v>
      </c>
      <c r="B7" s="47">
        <v>70</v>
      </c>
      <c r="C7" s="39">
        <f>IF(B$2=0,0,B7/B$2)</f>
        <v>0.49295774647887325</v>
      </c>
      <c r="E7" s="63" t="s">
        <v>69</v>
      </c>
      <c r="F7" s="60" t="s">
        <v>12</v>
      </c>
      <c r="G7" s="47">
        <v>108</v>
      </c>
      <c r="H7" s="133">
        <f>IF(B$17=0,0,G7/B$17)</f>
        <v>0.26799007444168732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782.79569892473114</v>
      </c>
      <c r="P7" s="120">
        <v>93</v>
      </c>
      <c r="Q7" s="104">
        <v>72800</v>
      </c>
    </row>
    <row r="8" spans="1:17" x14ac:dyDescent="0.4">
      <c r="A8" s="55" t="s">
        <v>3</v>
      </c>
      <c r="B8" s="47">
        <v>39</v>
      </c>
      <c r="C8" s="39">
        <f>IF(B$2=0,0,B8/B$2)</f>
        <v>0.27464788732394368</v>
      </c>
      <c r="E8" s="63" t="s">
        <v>70</v>
      </c>
      <c r="F8" s="60" t="s">
        <v>25</v>
      </c>
      <c r="G8" s="47">
        <v>65</v>
      </c>
      <c r="H8" s="133">
        <f>IF(B$17=0,0,G8/B$17)</f>
        <v>0.16129032258064516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0.23239436619718309</v>
      </c>
      <c r="E9" s="63" t="s">
        <v>90</v>
      </c>
      <c r="F9" s="60" t="s">
        <v>45</v>
      </c>
      <c r="G9" s="47">
        <v>61</v>
      </c>
      <c r="H9" s="133">
        <f>IF(B$17=0,0,G9/B$17)</f>
        <v>0.15136476426799009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0.10563380281690141</v>
      </c>
      <c r="E10" s="63" t="s">
        <v>66</v>
      </c>
      <c r="F10" s="60" t="s">
        <v>22</v>
      </c>
      <c r="G10" s="47">
        <v>53</v>
      </c>
      <c r="H10" s="133">
        <f>IF(B$17=0,0,G10/B$17)</f>
        <v>0.13151364764267989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14.240909090909092</v>
      </c>
      <c r="P10" s="118">
        <v>44</v>
      </c>
      <c r="Q10" s="106">
        <v>626.6</v>
      </c>
    </row>
    <row r="11" spans="1:17" x14ac:dyDescent="0.4">
      <c r="A11" s="56" t="s">
        <v>140</v>
      </c>
      <c r="B11" s="48">
        <v>25</v>
      </c>
      <c r="C11" s="40">
        <f>IF(B$2=0,0,B11/B$2)</f>
        <v>0.176056338028169</v>
      </c>
      <c r="E11" s="63" t="s">
        <v>71</v>
      </c>
      <c r="F11" s="60" t="s">
        <v>26</v>
      </c>
      <c r="G11" s="47">
        <v>36</v>
      </c>
      <c r="H11" s="133">
        <f>IF(B$17=0,0,G11/B$17)</f>
        <v>8.9330024813895778E-2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0.14788732394366197</v>
      </c>
      <c r="E12" s="63" t="s">
        <v>87</v>
      </c>
      <c r="F12" s="60" t="s">
        <v>42</v>
      </c>
      <c r="G12" s="47">
        <v>29</v>
      </c>
      <c r="H12" s="133">
        <f>IF(B$17=0,0,G12/B$17)</f>
        <v>7.1960297766749379E-2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12.496363636363638</v>
      </c>
      <c r="P12" s="120">
        <v>55</v>
      </c>
      <c r="Q12" s="108">
        <v>687.30000000000007</v>
      </c>
    </row>
    <row r="13" spans="1:17" x14ac:dyDescent="0.4">
      <c r="A13" s="58" t="s">
        <v>122</v>
      </c>
      <c r="B13" s="50">
        <v>367</v>
      </c>
      <c r="C13" s="44">
        <f>IF(B$3=0,0,B13/B$3)</f>
        <v>0.31692573402417962</v>
      </c>
      <c r="E13" s="63" t="s">
        <v>72</v>
      </c>
      <c r="F13" s="60" t="s">
        <v>27</v>
      </c>
      <c r="G13" s="47">
        <v>28</v>
      </c>
      <c r="H13" s="133">
        <f>IF(B$17=0,0,G13/B$17)</f>
        <v>6.9478908188585611E-2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254</v>
      </c>
      <c r="C14" s="39">
        <f>IF(B$3=0,0,B14/B$3)</f>
        <v>0.21934369602763384</v>
      </c>
      <c r="E14" s="63" t="s">
        <v>84</v>
      </c>
      <c r="F14" s="60" t="s">
        <v>39</v>
      </c>
      <c r="G14" s="47">
        <v>22</v>
      </c>
      <c r="H14" s="133">
        <f>IF(B$17=0,0,G14/B$17)</f>
        <v>5.4590570719602979E-2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212</v>
      </c>
      <c r="C15" s="37">
        <f>IF(B$13=0,0,B15/B$13)</f>
        <v>0.57765667574931878</v>
      </c>
      <c r="E15" s="63" t="s">
        <v>180</v>
      </c>
      <c r="F15" s="60" t="s">
        <v>181</v>
      </c>
      <c r="G15" s="47">
        <v>13</v>
      </c>
      <c r="H15" s="133">
        <f>IF(B$17=0,0,G15/B$17)</f>
        <v>3.2258064516129031E-2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132</v>
      </c>
      <c r="C16" s="37">
        <f>IF(B$14=0,0,B16/B$14)</f>
        <v>0.51968503937007871</v>
      </c>
      <c r="E16" s="63" t="s">
        <v>82</v>
      </c>
      <c r="F16" s="60" t="s">
        <v>37</v>
      </c>
      <c r="G16" s="47">
        <v>11</v>
      </c>
      <c r="H16" s="133">
        <f>IF(B$17=0,0,G16/B$17)</f>
        <v>2.729528535980149E-2</v>
      </c>
      <c r="I16" s="94">
        <v>7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403</v>
      </c>
      <c r="C17" s="37">
        <f>IF(B$3=0,0,B17/B$3)</f>
        <v>0.34801381692573402</v>
      </c>
      <c r="E17" s="63" t="s">
        <v>79</v>
      </c>
      <c r="F17" s="60" t="s">
        <v>34</v>
      </c>
      <c r="G17" s="47">
        <v>9</v>
      </c>
      <c r="H17" s="133">
        <f>IF(B$17=0,0,G17/B$17)</f>
        <v>2.2332506203473945E-2</v>
      </c>
      <c r="I17" s="94">
        <v>7</v>
      </c>
      <c r="K17" s="38">
        <v>15</v>
      </c>
      <c r="L17" s="99">
        <v>481.50000000000006</v>
      </c>
      <c r="N17" s="115" t="s">
        <v>222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167</v>
      </c>
      <c r="C18" s="39">
        <f>IF(B$17=0,0,B18/B$17)</f>
        <v>0.4143920595533499</v>
      </c>
      <c r="E18" s="63" t="s">
        <v>92</v>
      </c>
      <c r="F18" s="60" t="s">
        <v>47</v>
      </c>
      <c r="G18" s="47">
        <v>8</v>
      </c>
      <c r="H18" s="133">
        <f>IF(B$17=0,0,G18/B$17)</f>
        <v>1.9851116625310174E-2</v>
      </c>
      <c r="I18" s="94">
        <v>4</v>
      </c>
      <c r="K18" s="38">
        <v>16</v>
      </c>
      <c r="L18" s="99">
        <v>425.50000000000006</v>
      </c>
      <c r="N18" s="115" t="s">
        <v>129</v>
      </c>
      <c r="O18" s="125">
        <f>IF(P18=0,0,Q18/P18)</f>
        <v>28.503846153846158</v>
      </c>
      <c r="P18" s="119">
        <v>52</v>
      </c>
      <c r="Q18" s="107">
        <v>1482.2000000000003</v>
      </c>
    </row>
    <row r="19" spans="1:17" x14ac:dyDescent="0.4">
      <c r="A19" s="55" t="s">
        <v>11</v>
      </c>
      <c r="B19" s="47">
        <v>236</v>
      </c>
      <c r="C19" s="39">
        <f>IF(B$17=0,0,B19/B$17)</f>
        <v>0.5856079404466501</v>
      </c>
      <c r="E19" s="63" t="s">
        <v>80</v>
      </c>
      <c r="F19" s="60" t="s">
        <v>35</v>
      </c>
      <c r="G19" s="47">
        <v>5</v>
      </c>
      <c r="H19" s="133">
        <f>IF(B$17=0,0,G19/B$17)</f>
        <v>1.2406947890818859E-2</v>
      </c>
      <c r="I19" s="94">
        <v>9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185</v>
      </c>
      <c r="C20" s="39">
        <f>IF(B$3=0,0,B20/B$3)</f>
        <v>0.15975820379965458</v>
      </c>
      <c r="E20" s="63" t="s">
        <v>86</v>
      </c>
      <c r="F20" s="60" t="s">
        <v>41</v>
      </c>
      <c r="G20" s="47">
        <v>4</v>
      </c>
      <c r="H20" s="133">
        <f>IF(B$17=0,0,G20/B$17)</f>
        <v>9.9255583126550868E-3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4.9627791563275434E-3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11</v>
      </c>
      <c r="E22" s="63" t="s">
        <v>78</v>
      </c>
      <c r="F22" s="60" t="s">
        <v>33</v>
      </c>
      <c r="G22" s="47">
        <v>2</v>
      </c>
      <c r="H22" s="133">
        <f>IF(B$17=0,0,G22/B$17)</f>
        <v>4.9627791563275434E-3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18.30120481927711</v>
      </c>
      <c r="P22" s="119">
        <v>83</v>
      </c>
      <c r="Q22" s="107">
        <v>1519.0000000000002</v>
      </c>
    </row>
    <row r="23" spans="1:17" x14ac:dyDescent="0.4">
      <c r="A23" s="55" t="s">
        <v>5</v>
      </c>
      <c r="B23" s="51">
        <f>IF(B$17=0,0,C23/B$17)</f>
        <v>9101.7369727047153</v>
      </c>
      <c r="C23" s="41">
        <v>3668000</v>
      </c>
      <c r="E23" s="63" t="s">
        <v>91</v>
      </c>
      <c r="F23" s="60" t="s">
        <v>46</v>
      </c>
      <c r="G23" s="47">
        <v>2</v>
      </c>
      <c r="H23" s="133">
        <f>IF(B$17=0,0,G23/B$17)</f>
        <v>4.9627791563275434E-3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-8199.45945945946</v>
      </c>
      <c r="C24" s="45">
        <v>-1516900</v>
      </c>
      <c r="E24" s="63" t="s">
        <v>93</v>
      </c>
      <c r="F24" s="60" t="s">
        <v>48</v>
      </c>
      <c r="G24" s="47">
        <v>2</v>
      </c>
      <c r="H24" s="133">
        <f>IF(B$17=0,0,G24/B$17)</f>
        <v>4.9627791563275434E-3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2.4813895781637717E-3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2.4813895781637717E-3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8.6355785837651119E-4</v>
      </c>
      <c r="E27" s="63" t="s">
        <v>88</v>
      </c>
      <c r="F27" s="60" t="s">
        <v>43</v>
      </c>
      <c r="G27" s="47">
        <v>1</v>
      </c>
      <c r="H27" s="133">
        <f>IF(B$17=0,0,G27/B$17)</f>
        <v>2.4813895781637717E-3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2.4813895781637717E-3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2.4813895781637717E-3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120</v>
      </c>
      <c r="C2" s="151"/>
      <c r="E2" s="62" t="s">
        <v>67</v>
      </c>
      <c r="F2" s="59" t="s">
        <v>23</v>
      </c>
      <c r="G2" s="46">
        <v>206</v>
      </c>
      <c r="H2" s="132">
        <f>IF(B$17=0,0,G2/B$17)</f>
        <v>0.76579925650557623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304.16666666666669</v>
      </c>
      <c r="P2" s="118">
        <v>120</v>
      </c>
      <c r="Q2" s="102">
        <v>36500</v>
      </c>
    </row>
    <row r="3" spans="1:17" x14ac:dyDescent="0.4">
      <c r="A3" s="55" t="s">
        <v>8</v>
      </c>
      <c r="B3" s="152">
        <v>992</v>
      </c>
      <c r="C3" s="153"/>
      <c r="E3" s="63" t="s">
        <v>65</v>
      </c>
      <c r="F3" s="60" t="s">
        <v>21</v>
      </c>
      <c r="G3" s="47">
        <v>164</v>
      </c>
      <c r="H3" s="133">
        <f>IF(B$17=0,0,G3/B$17)</f>
        <v>0.60966542750929364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-2158.6206896551726</v>
      </c>
      <c r="P3" s="119">
        <v>116</v>
      </c>
      <c r="Q3" s="103">
        <v>-250400</v>
      </c>
    </row>
    <row r="4" spans="1:17" x14ac:dyDescent="0.4">
      <c r="A4" s="55" t="s">
        <v>6</v>
      </c>
      <c r="B4" s="154">
        <v>-371.00000000000006</v>
      </c>
      <c r="C4" s="155"/>
      <c r="E4" s="63" t="s">
        <v>73</v>
      </c>
      <c r="F4" s="60" t="s">
        <v>28</v>
      </c>
      <c r="G4" s="47">
        <v>123</v>
      </c>
      <c r="H4" s="133">
        <f>IF(B$17=0,0,G4/B$17)</f>
        <v>0.45724907063197023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228.31858407079645</v>
      </c>
      <c r="P4" s="119">
        <v>113</v>
      </c>
      <c r="Q4" s="103">
        <v>25800</v>
      </c>
    </row>
    <row r="5" spans="1:17" x14ac:dyDescent="0.4">
      <c r="A5" s="55" t="s">
        <v>7</v>
      </c>
      <c r="B5" s="156">
        <f>IF(B$2=0,0,B$4/B$2)</f>
        <v>-3.0916666666666672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0.44609665427509293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134</v>
      </c>
      <c r="P5" s="119">
        <v>100</v>
      </c>
      <c r="Q5" s="103">
        <v>13400</v>
      </c>
    </row>
    <row r="6" spans="1:17" x14ac:dyDescent="0.4">
      <c r="A6" s="55" t="s">
        <v>1</v>
      </c>
      <c r="B6" s="146">
        <f>IF(B$2=0,0,(B$7*1+B$8*2+B$9*3)/B$2)</f>
        <v>2.0916666666666668</v>
      </c>
      <c r="C6" s="147"/>
      <c r="E6" s="63" t="s">
        <v>68</v>
      </c>
      <c r="F6" s="60" t="s">
        <v>24</v>
      </c>
      <c r="G6" s="47">
        <v>102</v>
      </c>
      <c r="H6" s="133">
        <f>IF(B$17=0,0,G6/B$17)</f>
        <v>0.379182156133829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242.69662921348313</v>
      </c>
      <c r="P6" s="119">
        <v>89</v>
      </c>
      <c r="Q6" s="103">
        <v>21600</v>
      </c>
    </row>
    <row r="7" spans="1:17" x14ac:dyDescent="0.4">
      <c r="A7" s="55" t="s">
        <v>2</v>
      </c>
      <c r="B7" s="47">
        <v>31</v>
      </c>
      <c r="C7" s="39">
        <f>IF(B$2=0,0,B7/B$2)</f>
        <v>0.25833333333333336</v>
      </c>
      <c r="E7" s="63" t="s">
        <v>69</v>
      </c>
      <c r="F7" s="60" t="s">
        <v>12</v>
      </c>
      <c r="G7" s="47">
        <v>92</v>
      </c>
      <c r="H7" s="133">
        <f>IF(B$17=0,0,G7/B$17)</f>
        <v>0.34200743494423791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471.08433734939757</v>
      </c>
      <c r="P7" s="120">
        <v>83</v>
      </c>
      <c r="Q7" s="104">
        <v>39100</v>
      </c>
    </row>
    <row r="8" spans="1:17" x14ac:dyDescent="0.4">
      <c r="A8" s="55" t="s">
        <v>3</v>
      </c>
      <c r="B8" s="47">
        <v>47</v>
      </c>
      <c r="C8" s="39">
        <f>IF(B$2=0,0,B8/B$2)</f>
        <v>0.39166666666666666</v>
      </c>
      <c r="E8" s="63" t="s">
        <v>70</v>
      </c>
      <c r="F8" s="60" t="s">
        <v>25</v>
      </c>
      <c r="G8" s="47">
        <v>60</v>
      </c>
      <c r="H8" s="133">
        <f>IF(B$17=0,0,G8/B$17)</f>
        <v>0.22304832713754646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42</v>
      </c>
      <c r="C9" s="40">
        <f t="shared" ref="C9" si="1">IF(B$2=0,0,B9/B$2)</f>
        <v>0.35</v>
      </c>
      <c r="E9" s="63" t="s">
        <v>66</v>
      </c>
      <c r="F9" s="60" t="s">
        <v>22</v>
      </c>
      <c r="G9" s="47">
        <v>43</v>
      </c>
      <c r="H9" s="133">
        <f>IF(B$17=0,0,G9/B$17)</f>
        <v>0.15985130111524162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0.125</v>
      </c>
      <c r="E10" s="63" t="s">
        <v>71</v>
      </c>
      <c r="F10" s="60" t="s">
        <v>26</v>
      </c>
      <c r="G10" s="47">
        <v>33</v>
      </c>
      <c r="H10" s="133">
        <f>IF(B$17=0,0,G10/B$17)</f>
        <v>0.12267657992565056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9.166666666666666E-2</v>
      </c>
      <c r="E11" s="63" t="s">
        <v>90</v>
      </c>
      <c r="F11" s="60" t="s">
        <v>45</v>
      </c>
      <c r="G11" s="47">
        <v>26</v>
      </c>
      <c r="H11" s="133">
        <f>IF(B$17=0,0,G11/B$17)</f>
        <v>9.6654275092936809E-2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-2.9142857142857124</v>
      </c>
      <c r="P11" s="119">
        <v>28</v>
      </c>
      <c r="Q11" s="107">
        <v>-81.599999999999952</v>
      </c>
    </row>
    <row r="12" spans="1:17" x14ac:dyDescent="0.4">
      <c r="A12" s="57" t="s">
        <v>160</v>
      </c>
      <c r="B12" s="49">
        <v>8</v>
      </c>
      <c r="C12" s="42">
        <f>IF(B$2=0,0,B12/B$2)</f>
        <v>6.6666666666666666E-2</v>
      </c>
      <c r="E12" s="63" t="s">
        <v>72</v>
      </c>
      <c r="F12" s="60" t="s">
        <v>27</v>
      </c>
      <c r="G12" s="47">
        <v>17</v>
      </c>
      <c r="H12" s="133">
        <f>IF(B$17=0,0,G12/B$17)</f>
        <v>6.3197026022304828E-2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299</v>
      </c>
      <c r="C13" s="44">
        <f>IF(B$3=0,0,B13/B$3)</f>
        <v>0.30141129032258063</v>
      </c>
      <c r="E13" s="63" t="s">
        <v>87</v>
      </c>
      <c r="F13" s="60" t="s">
        <v>42</v>
      </c>
      <c r="G13" s="47">
        <v>14</v>
      </c>
      <c r="H13" s="133">
        <f>IF(B$17=0,0,G13/B$17)</f>
        <v>5.204460966542751E-2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0.18245967741935484</v>
      </c>
      <c r="E14" s="63" t="s">
        <v>84</v>
      </c>
      <c r="F14" s="60" t="s">
        <v>39</v>
      </c>
      <c r="G14" s="47">
        <v>10</v>
      </c>
      <c r="H14" s="133">
        <f>IF(B$17=0,0,G14/B$17)</f>
        <v>3.717472118959108E-2</v>
      </c>
      <c r="I14" s="94">
        <v>8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0.57859531772575246</v>
      </c>
      <c r="E15" s="63" t="s">
        <v>82</v>
      </c>
      <c r="F15" s="60" t="s">
        <v>37</v>
      </c>
      <c r="G15" s="47">
        <v>8</v>
      </c>
      <c r="H15" s="133">
        <f>IF(B$17=0,0,G15/B$17)</f>
        <v>2.9739776951672861E-2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80</v>
      </c>
      <c r="F16" s="60" t="s">
        <v>35</v>
      </c>
      <c r="G16" s="47">
        <v>6</v>
      </c>
      <c r="H16" s="133">
        <f>IF(B$17=0,0,G16/B$17)</f>
        <v>2.2304832713754646E-2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14.869230769230768</v>
      </c>
      <c r="P16" s="119">
        <v>39</v>
      </c>
      <c r="Q16" s="107">
        <v>579.9</v>
      </c>
    </row>
    <row r="17" spans="1:17" x14ac:dyDescent="0.4">
      <c r="A17" s="54" t="s">
        <v>10</v>
      </c>
      <c r="B17" s="46">
        <f>B19+B18</f>
        <v>269</v>
      </c>
      <c r="C17" s="37">
        <f>IF(B$3=0,0,B17/B$3)</f>
        <v>0.27116935483870969</v>
      </c>
      <c r="E17" s="63" t="s">
        <v>92</v>
      </c>
      <c r="F17" s="60" t="s">
        <v>47</v>
      </c>
      <c r="G17" s="47">
        <v>6</v>
      </c>
      <c r="H17" s="133">
        <f>IF(B$17=0,0,G17/B$17)</f>
        <v>2.2304832713754646E-2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114</v>
      </c>
      <c r="C18" s="39">
        <f>IF(B$17=0,0,B18/B$17)</f>
        <v>0.42379182156133827</v>
      </c>
      <c r="E18" s="63" t="s">
        <v>180</v>
      </c>
      <c r="F18" s="60" t="s">
        <v>181</v>
      </c>
      <c r="G18" s="47">
        <v>5</v>
      </c>
      <c r="H18" s="133">
        <f>IF(B$17=0,0,G18/B$17)</f>
        <v>1.858736059479554E-2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155</v>
      </c>
      <c r="C19" s="39">
        <f>IF(B$17=0,0,B19/B$17)</f>
        <v>0.57620817843866168</v>
      </c>
      <c r="E19" s="63" t="s">
        <v>79</v>
      </c>
      <c r="F19" s="60" t="s">
        <v>34</v>
      </c>
      <c r="G19" s="47">
        <v>4</v>
      </c>
      <c r="H19" s="133">
        <f>IF(B$17=0,0,G19/B$17)</f>
        <v>1.4869888475836431E-2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168</v>
      </c>
      <c r="C20" s="39">
        <f>IF(B$3=0,0,B20/B$3)</f>
        <v>0.16935483870967741</v>
      </c>
      <c r="E20" s="63" t="s">
        <v>74</v>
      </c>
      <c r="F20" s="60" t="s">
        <v>29</v>
      </c>
      <c r="G20" s="47">
        <v>2</v>
      </c>
      <c r="H20" s="133">
        <f>IF(B$17=0,0,G20/B$17)</f>
        <v>7.4349442379182153E-3</v>
      </c>
      <c r="I20" s="94">
        <v>3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7.4349442379182153E-3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76</v>
      </c>
      <c r="F22" s="60" t="s">
        <v>31</v>
      </c>
      <c r="G22" s="47">
        <v>2</v>
      </c>
      <c r="H22" s="133">
        <f>IF(B$17=0,0,G22/B$17)</f>
        <v>7.4349442379182153E-3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-18.30120481927711</v>
      </c>
      <c r="P22" s="119">
        <v>83</v>
      </c>
      <c r="Q22" s="107">
        <v>-1519.0000000000002</v>
      </c>
    </row>
    <row r="23" spans="1:17" x14ac:dyDescent="0.4">
      <c r="A23" s="55" t="s">
        <v>5</v>
      </c>
      <c r="B23" s="51">
        <f>IF(B$17=0,0,C23/B$17)</f>
        <v>9272.8624535315994</v>
      </c>
      <c r="C23" s="41">
        <v>2494400</v>
      </c>
      <c r="E23" s="63" t="s">
        <v>78</v>
      </c>
      <c r="F23" s="60" t="s">
        <v>33</v>
      </c>
      <c r="G23" s="47">
        <v>1</v>
      </c>
      <c r="H23" s="133">
        <f>IF(B$17=0,0,G23/B$17)</f>
        <v>3.7174721189591076E-3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-7739.2857142857147</v>
      </c>
      <c r="C24" s="45">
        <v>-1300200</v>
      </c>
      <c r="E24" s="63" t="s">
        <v>85</v>
      </c>
      <c r="F24" s="60" t="s">
        <v>40</v>
      </c>
      <c r="G24" s="47">
        <v>1</v>
      </c>
      <c r="H24" s="133">
        <f>IF(B$17=0,0,G24/B$17)</f>
        <v>3.7174721189591076E-3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3.7174721189591076E-3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3.7174721189591076E-3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5.0403225806451612E-3</v>
      </c>
      <c r="E27" s="63" t="s">
        <v>94</v>
      </c>
      <c r="F27" s="60" t="s">
        <v>49</v>
      </c>
      <c r="G27" s="47">
        <v>1</v>
      </c>
      <c r="H27" s="133">
        <f>IF(B$17=0,0,G27/B$17)</f>
        <v>3.7174721189591076E-3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3.7174721189591076E-3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8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83</v>
      </c>
      <c r="C2" s="151"/>
      <c r="E2" s="62" t="s">
        <v>67</v>
      </c>
      <c r="F2" s="59" t="s">
        <v>23</v>
      </c>
      <c r="G2" s="46">
        <v>137</v>
      </c>
      <c r="H2" s="132">
        <f>IF(B$17=0,0,G2/B$17)</f>
        <v>0.85624999999999996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-2831.3253012048194</v>
      </c>
      <c r="P2" s="118">
        <v>83</v>
      </c>
      <c r="Q2" s="102">
        <v>-235000</v>
      </c>
    </row>
    <row r="3" spans="1:17" x14ac:dyDescent="0.4">
      <c r="A3" s="55" t="s">
        <v>8</v>
      </c>
      <c r="B3" s="152">
        <v>693</v>
      </c>
      <c r="C3" s="153"/>
      <c r="E3" s="63" t="s">
        <v>65</v>
      </c>
      <c r="F3" s="60" t="s">
        <v>21</v>
      </c>
      <c r="G3" s="47">
        <v>96</v>
      </c>
      <c r="H3" s="133">
        <f>IF(B$17=0,0,G3/B$17)</f>
        <v>0.6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-1464.1975308641975</v>
      </c>
      <c r="P3" s="119">
        <v>81</v>
      </c>
      <c r="Q3" s="103">
        <v>-118600</v>
      </c>
    </row>
    <row r="4" spans="1:17" x14ac:dyDescent="0.4">
      <c r="A4" s="55" t="s">
        <v>6</v>
      </c>
      <c r="B4" s="154">
        <v>-1270.6000000000001</v>
      </c>
      <c r="C4" s="155"/>
      <c r="E4" s="63" t="s">
        <v>69</v>
      </c>
      <c r="F4" s="60" t="s">
        <v>12</v>
      </c>
      <c r="G4" s="47">
        <v>64</v>
      </c>
      <c r="H4" s="133">
        <f>IF(B$17=0,0,G4/B$17)</f>
        <v>0.4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-153.24675324675326</v>
      </c>
      <c r="P4" s="119">
        <v>77</v>
      </c>
      <c r="Q4" s="103">
        <v>-11800</v>
      </c>
    </row>
    <row r="5" spans="1:17" x14ac:dyDescent="0.4">
      <c r="A5" s="55" t="s">
        <v>7</v>
      </c>
      <c r="B5" s="156">
        <f>IF(B$2=0,0,B$4/B$2)</f>
        <v>-15.308433734939761</v>
      </c>
      <c r="C5" s="157"/>
      <c r="E5" s="63" t="s">
        <v>245</v>
      </c>
      <c r="F5" s="60" t="s">
        <v>246</v>
      </c>
      <c r="G5" s="47">
        <v>62</v>
      </c>
      <c r="H5" s="133">
        <f>IF(B$17=0,0,G5/B$17)</f>
        <v>0.38750000000000001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-4758.8235294117649</v>
      </c>
      <c r="P5" s="119">
        <v>68</v>
      </c>
      <c r="Q5" s="103">
        <v>-323600</v>
      </c>
    </row>
    <row r="6" spans="1:17" x14ac:dyDescent="0.4">
      <c r="A6" s="55" t="s">
        <v>1</v>
      </c>
      <c r="B6" s="146">
        <f>IF(B$2=0,0,(B$7*1+B$8*2+B$9*3)/B$2)</f>
        <v>2.2530120481927711</v>
      </c>
      <c r="C6" s="147"/>
      <c r="E6" s="63" t="s">
        <v>68</v>
      </c>
      <c r="F6" s="60" t="s">
        <v>24</v>
      </c>
      <c r="G6" s="47">
        <v>59</v>
      </c>
      <c r="H6" s="133">
        <f>IF(B$17=0,0,G6/B$17)</f>
        <v>0.36875000000000002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-1262.295081967213</v>
      </c>
      <c r="P6" s="119">
        <v>61</v>
      </c>
      <c r="Q6" s="103">
        <v>-77000</v>
      </c>
    </row>
    <row r="7" spans="1:17" x14ac:dyDescent="0.4">
      <c r="A7" s="55" t="s">
        <v>2</v>
      </c>
      <c r="B7" s="47">
        <v>20</v>
      </c>
      <c r="C7" s="39">
        <f>IF(B$2=0,0,B7/B$2)</f>
        <v>0.24096385542168675</v>
      </c>
      <c r="E7" s="63" t="s">
        <v>73</v>
      </c>
      <c r="F7" s="60" t="s">
        <v>28</v>
      </c>
      <c r="G7" s="47">
        <v>52</v>
      </c>
      <c r="H7" s="133">
        <f>IF(B$17=0,0,G7/B$17)</f>
        <v>0.32500000000000001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-1387.5</v>
      </c>
      <c r="P7" s="120">
        <v>56</v>
      </c>
      <c r="Q7" s="104">
        <v>-77700</v>
      </c>
    </row>
    <row r="8" spans="1:17" x14ac:dyDescent="0.4">
      <c r="A8" s="55" t="s">
        <v>3</v>
      </c>
      <c r="B8" s="47">
        <v>22</v>
      </c>
      <c r="C8" s="39">
        <f>IF(B$2=0,0,B8/B$2)</f>
        <v>0.26506024096385544</v>
      </c>
      <c r="E8" s="63" t="s">
        <v>70</v>
      </c>
      <c r="F8" s="60" t="s">
        <v>25</v>
      </c>
      <c r="G8" s="47">
        <v>31</v>
      </c>
      <c r="H8" s="133">
        <f>IF(B$17=0,0,G8/B$17)</f>
        <v>0.19375000000000001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41</v>
      </c>
      <c r="C9" s="40">
        <f t="shared" ref="C9" si="1">IF(B$2=0,0,B9/B$2)</f>
        <v>0.49397590361445781</v>
      </c>
      <c r="E9" s="63" t="s">
        <v>71</v>
      </c>
      <c r="F9" s="60" t="s">
        <v>26</v>
      </c>
      <c r="G9" s="47">
        <v>24</v>
      </c>
      <c r="H9" s="133">
        <f>IF(B$17=0,0,G9/B$17)</f>
        <v>0.15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0.19277108433734941</v>
      </c>
      <c r="E10" s="63" t="s">
        <v>72</v>
      </c>
      <c r="F10" s="60" t="s">
        <v>27</v>
      </c>
      <c r="G10" s="47">
        <v>18</v>
      </c>
      <c r="H10" s="133">
        <f>IF(B$17=0,0,G10/B$17)</f>
        <v>0.1125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8</v>
      </c>
      <c r="C11" s="40">
        <f>IF(B$2=0,0,B11/B$2)</f>
        <v>9.6385542168674704E-2</v>
      </c>
      <c r="E11" s="63" t="s">
        <v>66</v>
      </c>
      <c r="F11" s="60" t="s">
        <v>22</v>
      </c>
      <c r="G11" s="47">
        <v>15</v>
      </c>
      <c r="H11" s="133">
        <f>IF(B$17=0,0,G11/B$17)</f>
        <v>9.375E-2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-13.836363636363641</v>
      </c>
      <c r="P11" s="119">
        <v>33</v>
      </c>
      <c r="Q11" s="107">
        <v>-456.60000000000014</v>
      </c>
    </row>
    <row r="12" spans="1:17" x14ac:dyDescent="0.4">
      <c r="A12" s="57" t="s">
        <v>160</v>
      </c>
      <c r="B12" s="49">
        <v>6</v>
      </c>
      <c r="C12" s="42">
        <f>IF(B$2=0,0,B12/B$2)</f>
        <v>7.2289156626506021E-2</v>
      </c>
      <c r="E12" s="63" t="s">
        <v>90</v>
      </c>
      <c r="F12" s="60" t="s">
        <v>45</v>
      </c>
      <c r="G12" s="47">
        <v>13</v>
      </c>
      <c r="H12" s="133">
        <f>IF(B$17=0,0,G12/B$17)</f>
        <v>8.1250000000000003E-2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-14.560869565217388</v>
      </c>
      <c r="P12" s="120">
        <v>23</v>
      </c>
      <c r="Q12" s="108">
        <v>-334.89999999999992</v>
      </c>
    </row>
    <row r="13" spans="1:17" x14ac:dyDescent="0.4">
      <c r="A13" s="58" t="s">
        <v>122</v>
      </c>
      <c r="B13" s="50">
        <v>189</v>
      </c>
      <c r="C13" s="44">
        <f>IF(B$3=0,0,B13/B$3)</f>
        <v>0.27272727272727271</v>
      </c>
      <c r="E13" s="63" t="s">
        <v>87</v>
      </c>
      <c r="F13" s="60" t="s">
        <v>42</v>
      </c>
      <c r="G13" s="47">
        <v>10</v>
      </c>
      <c r="H13" s="133">
        <f>IF(B$17=0,0,G13/B$17)</f>
        <v>6.25E-2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0.16450216450216451</v>
      </c>
      <c r="E14" s="63" t="s">
        <v>79</v>
      </c>
      <c r="F14" s="60" t="s">
        <v>34</v>
      </c>
      <c r="G14" s="47">
        <v>5</v>
      </c>
      <c r="H14" s="133">
        <f>IF(B$17=0,0,G14/B$17)</f>
        <v>3.125E-2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99</v>
      </c>
      <c r="C15" s="37">
        <f>IF(B$13=0,0,B15/B$13)</f>
        <v>0.52380952380952384</v>
      </c>
      <c r="E15" s="63" t="s">
        <v>84</v>
      </c>
      <c r="F15" s="60" t="s">
        <v>39</v>
      </c>
      <c r="G15" s="47">
        <v>5</v>
      </c>
      <c r="H15" s="133">
        <f>IF(B$17=0,0,G15/B$17)</f>
        <v>3.125E-2</v>
      </c>
      <c r="I15" s="94">
        <v>10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0.22807017543859648</v>
      </c>
      <c r="E16" s="63" t="s">
        <v>82</v>
      </c>
      <c r="F16" s="60" t="s">
        <v>37</v>
      </c>
      <c r="G16" s="47">
        <v>3</v>
      </c>
      <c r="H16" s="133">
        <f>IF(B$17=0,0,G16/B$17)</f>
        <v>1.8749999999999999E-2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-9.4</v>
      </c>
      <c r="P16" s="119">
        <v>15</v>
      </c>
      <c r="Q16" s="107">
        <v>-141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0.23088023088023088</v>
      </c>
      <c r="E17" s="63" t="s">
        <v>75</v>
      </c>
      <c r="F17" s="60" t="s">
        <v>30</v>
      </c>
      <c r="G17" s="47">
        <v>2</v>
      </c>
      <c r="H17" s="133">
        <f>IF(B$17=0,0,G17/B$17)</f>
        <v>1.2500000000000001E-2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-14.869230769230766</v>
      </c>
      <c r="P17" s="119">
        <v>39</v>
      </c>
      <c r="Q17" s="107">
        <v>-579.89999999999986</v>
      </c>
    </row>
    <row r="18" spans="1:17" x14ac:dyDescent="0.4">
      <c r="A18" s="55" t="s">
        <v>12</v>
      </c>
      <c r="B18" s="47">
        <v>73</v>
      </c>
      <c r="C18" s="39">
        <f>IF(B$17=0,0,B18/B$17)</f>
        <v>0.45624999999999999</v>
      </c>
      <c r="E18" s="63" t="s">
        <v>88</v>
      </c>
      <c r="F18" s="60" t="s">
        <v>43</v>
      </c>
      <c r="G18" s="47">
        <v>2</v>
      </c>
      <c r="H18" s="133">
        <f>IF(B$17=0,0,G18/B$17)</f>
        <v>1.2500000000000001E-2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87</v>
      </c>
      <c r="C19" s="39">
        <f>IF(B$17=0,0,B19/B$17)</f>
        <v>0.54374999999999996</v>
      </c>
      <c r="E19" s="63" t="s">
        <v>94</v>
      </c>
      <c r="F19" s="60" t="s">
        <v>49</v>
      </c>
      <c r="G19" s="47">
        <v>2</v>
      </c>
      <c r="H19" s="133">
        <f>IF(B$17=0,0,G19/B$17)</f>
        <v>1.2500000000000001E-2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-28.057692307692303</v>
      </c>
      <c r="P19" s="119">
        <v>26</v>
      </c>
      <c r="Q19" s="107">
        <v>-729.49999999999989</v>
      </c>
    </row>
    <row r="20" spans="1:17" x14ac:dyDescent="0.4">
      <c r="A20" s="55" t="s">
        <v>13</v>
      </c>
      <c r="B20" s="47">
        <v>134</v>
      </c>
      <c r="C20" s="39">
        <f>IF(B$3=0,0,B20/B$3)</f>
        <v>0.19336219336219337</v>
      </c>
      <c r="E20" s="63" t="s">
        <v>78</v>
      </c>
      <c r="F20" s="60" t="s">
        <v>33</v>
      </c>
      <c r="G20" s="47">
        <v>1</v>
      </c>
      <c r="H20" s="133">
        <f>IF(B$17=0,0,G20/B$17)</f>
        <v>6.2500000000000003E-3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-28.503846153846162</v>
      </c>
      <c r="P20" s="119">
        <v>52</v>
      </c>
      <c r="Q20" s="107">
        <v>-1482.2000000000005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6.2500000000000003E-3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6</v>
      </c>
      <c r="E22" s="63" t="s">
        <v>89</v>
      </c>
      <c r="F22" s="60" t="s">
        <v>44</v>
      </c>
      <c r="G22" s="47">
        <v>1</v>
      </c>
      <c r="H22" s="133">
        <f>IF(B$17=0,0,G22/B$17)</f>
        <v>6.2500000000000003E-3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8826.25</v>
      </c>
      <c r="C23" s="41">
        <v>1412200</v>
      </c>
      <c r="E23" s="63" t="s">
        <v>92</v>
      </c>
      <c r="F23" s="60" t="s">
        <v>47</v>
      </c>
      <c r="G23" s="47">
        <v>1</v>
      </c>
      <c r="H23" s="133">
        <f>IF(B$17=0,0,G23/B$17)</f>
        <v>6.2500000000000003E-3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-9076.8656716417918</v>
      </c>
      <c r="C24" s="45">
        <v>-1216300</v>
      </c>
      <c r="E24" s="63" t="s">
        <v>93</v>
      </c>
      <c r="F24" s="60" t="s">
        <v>48</v>
      </c>
      <c r="G24" s="47">
        <v>1</v>
      </c>
      <c r="H24" s="133">
        <f>IF(B$17=0,0,G24/B$17)</f>
        <v>6.2500000000000003E-3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1.443001443001443E-3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8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86</v>
      </c>
      <c r="C2" s="151"/>
      <c r="E2" s="62" t="s">
        <v>65</v>
      </c>
      <c r="F2" s="59" t="s">
        <v>21</v>
      </c>
      <c r="G2" s="46">
        <v>111</v>
      </c>
      <c r="H2" s="132">
        <f>IF(B$17=0,0,G2/B$17)</f>
        <v>0.54411764705882348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-386.04651162790697</v>
      </c>
      <c r="P2" s="118">
        <v>86</v>
      </c>
      <c r="Q2" s="102">
        <v>-33200</v>
      </c>
    </row>
    <row r="3" spans="1:17" x14ac:dyDescent="0.4">
      <c r="A3" s="55" t="s">
        <v>8</v>
      </c>
      <c r="B3" s="152">
        <v>716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0.13725490196078433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817.85714285714289</v>
      </c>
      <c r="P3" s="119">
        <v>84</v>
      </c>
      <c r="Q3" s="103">
        <v>68700</v>
      </c>
    </row>
    <row r="4" spans="1:17" x14ac:dyDescent="0.4">
      <c r="A4" s="55" t="s">
        <v>6</v>
      </c>
      <c r="B4" s="154">
        <v>158.50000000000003</v>
      </c>
      <c r="C4" s="155"/>
      <c r="E4" s="63" t="s">
        <v>67</v>
      </c>
      <c r="F4" s="60" t="s">
        <v>23</v>
      </c>
      <c r="G4" s="47">
        <v>173</v>
      </c>
      <c r="H4" s="133">
        <f>IF(B$17=0,0,G4/B$17)</f>
        <v>0.84803921568627449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1514.1025641025642</v>
      </c>
      <c r="P4" s="119">
        <v>78</v>
      </c>
      <c r="Q4" s="103">
        <v>118100</v>
      </c>
    </row>
    <row r="5" spans="1:17" x14ac:dyDescent="0.4">
      <c r="A5" s="55" t="s">
        <v>7</v>
      </c>
      <c r="B5" s="156">
        <f>IF(B$2=0,0,B$4/B$2)</f>
        <v>1.8430232558139539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0.34313725490196079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2.0232558139534884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0.29411764705882354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0.31395348837209303</v>
      </c>
      <c r="E7" s="63" t="s">
        <v>70</v>
      </c>
      <c r="F7" s="60" t="s">
        <v>25</v>
      </c>
      <c r="G7" s="47">
        <v>39</v>
      </c>
      <c r="H7" s="133">
        <f>IF(B$17=0,0,G7/B$17)</f>
        <v>0.19117647058823528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0.34883720930232559</v>
      </c>
      <c r="E8" s="63" t="s">
        <v>71</v>
      </c>
      <c r="F8" s="60" t="s">
        <v>26</v>
      </c>
      <c r="G8" s="47">
        <v>21</v>
      </c>
      <c r="H8" s="133">
        <f>IF(B$17=0,0,G8/B$17)</f>
        <v>0.10294117647058823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0.33720930232558138</v>
      </c>
      <c r="E9" s="63" t="s">
        <v>72</v>
      </c>
      <c r="F9" s="60" t="s">
        <v>27</v>
      </c>
      <c r="G9" s="47">
        <v>12</v>
      </c>
      <c r="H9" s="133">
        <f>IF(B$17=0,0,G9/B$17)</f>
        <v>5.8823529411764705E-2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8.1395348837209308E-2</v>
      </c>
      <c r="E10" s="63" t="s">
        <v>73</v>
      </c>
      <c r="F10" s="60" t="s">
        <v>28</v>
      </c>
      <c r="G10" s="47">
        <v>107</v>
      </c>
      <c r="H10" s="133">
        <f>IF(B$17=0,0,G10/B$17)</f>
        <v>0.52450980392156865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0.13953488372093023</v>
      </c>
      <c r="E11" s="63" t="s">
        <v>74</v>
      </c>
      <c r="F11" s="60" t="s">
        <v>29</v>
      </c>
      <c r="G11" s="47">
        <v>1</v>
      </c>
      <c r="H11" s="133">
        <f>IF(B$17=0,0,G11/B$17)</f>
        <v>4.9019607843137254E-3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6.9767441860465115E-2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1.1966666666666665</v>
      </c>
      <c r="P12" s="120">
        <v>30</v>
      </c>
      <c r="Q12" s="108">
        <v>35.9</v>
      </c>
    </row>
    <row r="13" spans="1:17" x14ac:dyDescent="0.4">
      <c r="A13" s="58" t="s">
        <v>122</v>
      </c>
      <c r="B13" s="50">
        <v>210</v>
      </c>
      <c r="C13" s="44">
        <f>IF(B$3=0,0,B13/B$3)</f>
        <v>0.29329608938547486</v>
      </c>
      <c r="E13" s="63" t="s">
        <v>76</v>
      </c>
      <c r="F13" s="60" t="s">
        <v>31</v>
      </c>
      <c r="G13" s="47">
        <v>3</v>
      </c>
      <c r="H13" s="133">
        <f>IF(B$17=0,0,G13/B$17)</f>
        <v>1.4705882352941176E-2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135</v>
      </c>
      <c r="C14" s="39">
        <f>IF(B$3=0,0,B14/B$3)</f>
        <v>0.18854748603351956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119</v>
      </c>
      <c r="C15" s="37">
        <f>IF(B$13=0,0,B15/B$13)</f>
        <v>0.56666666666666665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28.057692307692299</v>
      </c>
      <c r="P15" s="118">
        <v>26</v>
      </c>
      <c r="Q15" s="106">
        <v>729.49999999999977</v>
      </c>
    </row>
    <row r="16" spans="1:17" x14ac:dyDescent="0.4">
      <c r="A16" s="54" t="s">
        <v>125</v>
      </c>
      <c r="B16" s="46">
        <v>57</v>
      </c>
      <c r="C16" s="37">
        <f>IF(B$14=0,0,B16/B$14)</f>
        <v>0.42222222222222222</v>
      </c>
      <c r="E16" s="63" t="s">
        <v>79</v>
      </c>
      <c r="F16" s="60" t="s">
        <v>34</v>
      </c>
      <c r="G16" s="47">
        <v>9</v>
      </c>
      <c r="H16" s="133">
        <f>IF(B$17=0,0,G16/B$17)</f>
        <v>4.4117647058823532E-2</v>
      </c>
      <c r="I16" s="94">
        <v>3</v>
      </c>
      <c r="K16" s="38">
        <v>14</v>
      </c>
      <c r="L16" s="99">
        <v>-29.400000000000002</v>
      </c>
      <c r="N16" s="115" t="s">
        <v>184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0.28491620111731841</v>
      </c>
      <c r="E17" s="63" t="s">
        <v>80</v>
      </c>
      <c r="F17" s="60" t="s">
        <v>35</v>
      </c>
      <c r="G17" s="47">
        <v>3</v>
      </c>
      <c r="H17" s="133">
        <f>IF(B$17=0,0,G17/B$17)</f>
        <v>1.4705882352941176E-2</v>
      </c>
      <c r="I17" s="94">
        <v>7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83</v>
      </c>
      <c r="C18" s="39">
        <f>IF(B$17=0,0,B18/B$17)</f>
        <v>0.40686274509803921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0.59313725490196079</v>
      </c>
      <c r="E19" s="63" t="s">
        <v>82</v>
      </c>
      <c r="F19" s="60" t="s">
        <v>37</v>
      </c>
      <c r="G19" s="47">
        <v>8</v>
      </c>
      <c r="H19" s="133">
        <f>IF(B$17=0,0,G19/B$17)</f>
        <v>3.9215686274509803E-2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123</v>
      </c>
      <c r="C20" s="39">
        <f>IF(B$3=0,0,B20/B$3)</f>
        <v>0.1717877094972067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5.3921568627450983E-2</v>
      </c>
      <c r="I21" s="94">
        <v>4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9.8039215686274508E-3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-32.833333333333336</v>
      </c>
      <c r="P22" s="119">
        <v>15</v>
      </c>
      <c r="Q22" s="107">
        <v>-492.50000000000006</v>
      </c>
    </row>
    <row r="23" spans="1:17" x14ac:dyDescent="0.4">
      <c r="A23" s="55" t="s">
        <v>5</v>
      </c>
      <c r="B23" s="51">
        <f>IF(B$17=0,0,C23/B$17)</f>
        <v>10033.823529411764</v>
      </c>
      <c r="C23" s="41">
        <v>2046900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-8311.3821138211388</v>
      </c>
      <c r="C24" s="45">
        <v>-1022300</v>
      </c>
      <c r="E24" s="63" t="s">
        <v>87</v>
      </c>
      <c r="F24" s="60" t="s">
        <v>42</v>
      </c>
      <c r="G24" s="47">
        <v>15</v>
      </c>
      <c r="H24" s="133">
        <f>IF(B$17=0,0,G24/B$17)</f>
        <v>7.3529411764705885E-2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4.9019607843137254E-3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1.3966480446927375E-3</v>
      </c>
      <c r="E27" s="63" t="s">
        <v>90</v>
      </c>
      <c r="F27" s="60" t="s">
        <v>45</v>
      </c>
      <c r="G27" s="47">
        <v>35</v>
      </c>
      <c r="H27" s="133">
        <f>IF(B$17=0,0,G27/B$17)</f>
        <v>0.17156862745098039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2.9411764705882353E-2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9.8039215686274508E-3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4.9019607843137254E-3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1.9607843137254902E-2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79</v>
      </c>
      <c r="H51" s="140">
        <f>IF(B$17=0,0,G51/B$17)</f>
        <v>0.38725490196078433</v>
      </c>
      <c r="I51" s="141">
        <v>9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</sheetData>
  <sortState ref="E2:I8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0.34579439252336447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0.11682242990654206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67</v>
      </c>
      <c r="F4" s="60" t="s">
        <v>23</v>
      </c>
      <c r="G4" s="47">
        <v>140</v>
      </c>
      <c r="H4" s="133">
        <f>IF(B$17=0,0,G4/B$17)</f>
        <v>0.65420560747663548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68</v>
      </c>
      <c r="F5" s="60" t="s">
        <v>24</v>
      </c>
      <c r="G5" s="47">
        <v>36</v>
      </c>
      <c r="H5" s="133">
        <f>IF(B$17=0,0,G5/B$17)</f>
        <v>0.16822429906542055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70</v>
      </c>
      <c r="F7" s="60" t="s">
        <v>25</v>
      </c>
      <c r="G7" s="47">
        <v>31</v>
      </c>
      <c r="H7" s="133">
        <f>IF(B$17=0,0,G7/B$17)</f>
        <v>0.14485981308411214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71</v>
      </c>
      <c r="F8" s="60" t="s">
        <v>26</v>
      </c>
      <c r="G8" s="47">
        <v>14</v>
      </c>
      <c r="H8" s="133">
        <f>IF(B$17=0,0,G8/B$17)</f>
        <v>6.5420560747663545E-2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72</v>
      </c>
      <c r="F9" s="60" t="s">
        <v>27</v>
      </c>
      <c r="G9" s="47">
        <v>17</v>
      </c>
      <c r="H9" s="133">
        <f>IF(B$17=0,0,G9/B$17)</f>
        <v>7.9439252336448593E-2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73</v>
      </c>
      <c r="F10" s="60" t="s">
        <v>28</v>
      </c>
      <c r="G10" s="47">
        <v>120</v>
      </c>
      <c r="H10" s="133">
        <f>IF(B$17=0,0,G10/B$17)</f>
        <v>0.56074766355140182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74</v>
      </c>
      <c r="F11" s="60" t="s">
        <v>29</v>
      </c>
      <c r="G11" s="47">
        <v>1</v>
      </c>
      <c r="H11" s="133">
        <f>IF(B$17=0,0,G11/B$17)</f>
        <v>4.6728971962616819E-3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4.6728971962616819E-3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76</v>
      </c>
      <c r="F13" s="60" t="s">
        <v>31</v>
      </c>
      <c r="G13" s="47">
        <v>1</v>
      </c>
      <c r="H13" s="133">
        <f>IF(B$17=0,0,G13/B$17)</f>
        <v>4.6728971962616819E-3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8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82</v>
      </c>
      <c r="F19" s="60" t="s">
        <v>37</v>
      </c>
      <c r="G19" s="47">
        <v>8</v>
      </c>
      <c r="H19" s="133">
        <f>IF(B$17=0,0,G19/B$17)</f>
        <v>3.7383177570093455E-2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13</v>
      </c>
      <c r="H21" s="133">
        <f>IF(B$17=0,0,G21/B$17)</f>
        <v>6.0747663551401869E-2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87</v>
      </c>
      <c r="F24" s="60" t="s">
        <v>42</v>
      </c>
      <c r="G24" s="47">
        <v>8</v>
      </c>
      <c r="H24" s="133">
        <f>IF(B$17=0,0,G24/B$17)</f>
        <v>3.7383177570093455E-2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4.6728971962616819E-3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90</v>
      </c>
      <c r="F27" s="60" t="s">
        <v>45</v>
      </c>
      <c r="G27" s="47">
        <v>17</v>
      </c>
      <c r="H27" s="133">
        <f>IF(B$17=0,0,G27/B$17)</f>
        <v>7.9439252336448593E-2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4.6728971962616819E-3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9.3457943925233638E-3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95</v>
      </c>
      <c r="H51" s="140">
        <f>IF(B$17=0,0,G51/B$17)</f>
        <v>0.44392523364485981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54</v>
      </c>
      <c r="C2" s="151"/>
      <c r="E2" s="62" t="s">
        <v>65</v>
      </c>
      <c r="F2" s="59" t="s">
        <v>21</v>
      </c>
      <c r="G2" s="46">
        <v>80</v>
      </c>
      <c r="H2" s="132">
        <f>IF(B$17=0,0,G2/B$17)</f>
        <v>0.59701492537313428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600</v>
      </c>
      <c r="P2" s="118">
        <v>54</v>
      </c>
      <c r="Q2" s="102">
        <v>32400</v>
      </c>
    </row>
    <row r="3" spans="1:17" x14ac:dyDescent="0.4">
      <c r="A3" s="55" t="s">
        <v>8</v>
      </c>
      <c r="B3" s="152">
        <v>439</v>
      </c>
      <c r="C3" s="153"/>
      <c r="E3" s="63" t="s">
        <v>66</v>
      </c>
      <c r="F3" s="60" t="s">
        <v>22</v>
      </c>
      <c r="G3" s="47">
        <v>15</v>
      </c>
      <c r="H3" s="133">
        <f>IF(B$17=0,0,G3/B$17)</f>
        <v>0.11194029850746269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1152.9411764705883</v>
      </c>
      <c r="P3" s="119">
        <v>51</v>
      </c>
      <c r="Q3" s="103">
        <v>58800</v>
      </c>
    </row>
    <row r="4" spans="1:17" x14ac:dyDescent="0.4">
      <c r="A4" s="55" t="s">
        <v>6</v>
      </c>
      <c r="B4" s="154">
        <v>133.30000000000001</v>
      </c>
      <c r="C4" s="155"/>
      <c r="E4" s="63" t="s">
        <v>67</v>
      </c>
      <c r="F4" s="60" t="s">
        <v>23</v>
      </c>
      <c r="G4" s="47">
        <v>80</v>
      </c>
      <c r="H4" s="133">
        <f>IF(B$17=0,0,G4/B$17)</f>
        <v>0.59701492537313428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-938.29787234042556</v>
      </c>
      <c r="P4" s="119">
        <v>47</v>
      </c>
      <c r="Q4" s="103">
        <v>-44100</v>
      </c>
    </row>
    <row r="5" spans="1:17" x14ac:dyDescent="0.4">
      <c r="A5" s="55" t="s">
        <v>7</v>
      </c>
      <c r="B5" s="156">
        <f>IF(B$2=0,0,B$4/B$2)</f>
        <v>2.4685185185185188</v>
      </c>
      <c r="C5" s="157"/>
      <c r="E5" s="63" t="s">
        <v>68</v>
      </c>
      <c r="F5" s="60" t="s">
        <v>24</v>
      </c>
      <c r="G5" s="47">
        <v>47</v>
      </c>
      <c r="H5" s="133">
        <f>IF(B$17=0,0,G5/B$17)</f>
        <v>0.35074626865671643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1741.304347826087</v>
      </c>
      <c r="P5" s="119">
        <v>46</v>
      </c>
      <c r="Q5" s="103">
        <v>80100</v>
      </c>
    </row>
    <row r="6" spans="1:17" x14ac:dyDescent="0.4">
      <c r="A6" s="55" t="s">
        <v>1</v>
      </c>
      <c r="B6" s="146">
        <f>IF(B$2=0,0,(B$7*1+B$8*2+B$9*3)/B$2)</f>
        <v>1.9259259259259258</v>
      </c>
      <c r="C6" s="147"/>
      <c r="E6" s="63" t="s">
        <v>69</v>
      </c>
      <c r="F6" s="60" t="s">
        <v>12</v>
      </c>
      <c r="G6" s="47">
        <v>40</v>
      </c>
      <c r="H6" s="133">
        <f>IF(B$17=0,0,G6/B$17)</f>
        <v>0.29850746268656714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-1300</v>
      </c>
      <c r="P6" s="119">
        <v>41</v>
      </c>
      <c r="Q6" s="103">
        <v>-53300</v>
      </c>
    </row>
    <row r="7" spans="1:17" x14ac:dyDescent="0.4">
      <c r="A7" s="55" t="s">
        <v>2</v>
      </c>
      <c r="B7" s="47">
        <v>21</v>
      </c>
      <c r="C7" s="39">
        <f>IF(B$2=0,0,B7/B$2)</f>
        <v>0.3888888888888889</v>
      </c>
      <c r="E7" s="63" t="s">
        <v>70</v>
      </c>
      <c r="F7" s="60" t="s">
        <v>25</v>
      </c>
      <c r="G7" s="47">
        <v>23</v>
      </c>
      <c r="H7" s="133">
        <f>IF(B$17=0,0,G7/B$17)</f>
        <v>0.17164179104477612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576.47058823529414</v>
      </c>
      <c r="P7" s="120">
        <v>34</v>
      </c>
      <c r="Q7" s="104">
        <v>19600</v>
      </c>
    </row>
    <row r="8" spans="1:17" x14ac:dyDescent="0.4">
      <c r="A8" s="55" t="s">
        <v>3</v>
      </c>
      <c r="B8" s="47">
        <v>16</v>
      </c>
      <c r="C8" s="39">
        <f>IF(B$2=0,0,B8/B$2)</f>
        <v>0.29629629629629628</v>
      </c>
      <c r="E8" s="63" t="s">
        <v>71</v>
      </c>
      <c r="F8" s="60" t="s">
        <v>26</v>
      </c>
      <c r="G8" s="47">
        <v>9</v>
      </c>
      <c r="H8" s="133">
        <f>IF(B$17=0,0,G8/B$17)</f>
        <v>6.7164179104477612E-2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72</v>
      </c>
      <c r="F9" s="60" t="s">
        <v>27</v>
      </c>
      <c r="G9" s="47">
        <v>6</v>
      </c>
      <c r="H9" s="133">
        <f>IF(B$17=0,0,G9/B$17)</f>
        <v>4.4776119402985072E-2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0.16666666666666666</v>
      </c>
      <c r="E10" s="63" t="s">
        <v>73</v>
      </c>
      <c r="F10" s="60" t="s">
        <v>28</v>
      </c>
      <c r="G10" s="47">
        <v>59</v>
      </c>
      <c r="H10" s="133">
        <f>IF(B$17=0,0,G10/B$17)</f>
        <v>0.44029850746268656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2.4466666666666659</v>
      </c>
      <c r="P10" s="118">
        <v>15</v>
      </c>
      <c r="Q10" s="106">
        <v>36.699999999999989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8.0949999999999989</v>
      </c>
      <c r="P11" s="119">
        <v>20</v>
      </c>
      <c r="Q11" s="107">
        <v>161.89999999999998</v>
      </c>
    </row>
    <row r="12" spans="1:17" x14ac:dyDescent="0.4">
      <c r="A12" s="57" t="s">
        <v>160</v>
      </c>
      <c r="B12" s="49">
        <v>5</v>
      </c>
      <c r="C12" s="42">
        <f>IF(B$2=0,0,B12/B$2)</f>
        <v>9.2592592592592587E-2</v>
      </c>
      <c r="E12" s="63" t="s">
        <v>75</v>
      </c>
      <c r="F12" s="60" t="s">
        <v>30</v>
      </c>
      <c r="G12" s="47">
        <v>1</v>
      </c>
      <c r="H12" s="133">
        <f>IF(B$17=0,0,G12/B$17)</f>
        <v>7.462686567164179E-3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120</v>
      </c>
      <c r="C13" s="44">
        <f>IF(B$3=0,0,B13/B$3)</f>
        <v>0.27334851936218679</v>
      </c>
      <c r="E13" s="63" t="s">
        <v>76</v>
      </c>
      <c r="F13" s="60" t="s">
        <v>31</v>
      </c>
      <c r="G13" s="47">
        <v>1</v>
      </c>
      <c r="H13" s="133">
        <f>IF(B$17=0,0,G13/B$17)</f>
        <v>7.462686567164179E-3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83</v>
      </c>
      <c r="C14" s="39">
        <f>IF(B$3=0,0,B14/B$3)</f>
        <v>0.18906605922551253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32.833333333333343</v>
      </c>
      <c r="P15" s="118">
        <v>15</v>
      </c>
      <c r="Q15" s="106">
        <v>492.50000000000011</v>
      </c>
    </row>
    <row r="16" spans="1:17" x14ac:dyDescent="0.4">
      <c r="A16" s="54" t="s">
        <v>125</v>
      </c>
      <c r="B16" s="46">
        <v>31</v>
      </c>
      <c r="C16" s="37">
        <f>IF(B$14=0,0,B16/B$14)</f>
        <v>0.37349397590361444</v>
      </c>
      <c r="E16" s="63" t="s">
        <v>79</v>
      </c>
      <c r="F16" s="60" t="s">
        <v>34</v>
      </c>
      <c r="G16" s="47">
        <v>5</v>
      </c>
      <c r="H16" s="133">
        <f>IF(B$17=0,0,G16/B$17)</f>
        <v>3.7313432835820892E-2</v>
      </c>
      <c r="I16" s="94">
        <v>4</v>
      </c>
      <c r="K16" s="38">
        <v>14</v>
      </c>
      <c r="L16" s="99">
        <v>-178.49999999999997</v>
      </c>
      <c r="N16" s="115" t="s">
        <v>200</v>
      </c>
      <c r="O16" s="125">
        <f t="shared" si="2"/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134</v>
      </c>
      <c r="C17" s="37">
        <f>IF(B$3=0,0,B17/B$3)</f>
        <v>0.30523917995444189</v>
      </c>
      <c r="E17" s="63" t="s">
        <v>80</v>
      </c>
      <c r="F17" s="60" t="s">
        <v>35</v>
      </c>
      <c r="G17" s="47">
        <v>2</v>
      </c>
      <c r="H17" s="133">
        <f>IF(B$17=0,0,G17/B$17)</f>
        <v>1.4925373134328358E-2</v>
      </c>
      <c r="I17" s="94">
        <v>6</v>
      </c>
      <c r="K17" s="38">
        <v>15</v>
      </c>
      <c r="L17" s="99">
        <v>-146.19999999999999</v>
      </c>
      <c r="N17" s="115" t="s">
        <v>184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57</v>
      </c>
      <c r="C18" s="39">
        <f>IF(B$17=0,0,B18/B$17)</f>
        <v>0.42537313432835822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77</v>
      </c>
      <c r="C19" s="39">
        <f>IF(B$17=0,0,B19/B$17)</f>
        <v>0.57462686567164178</v>
      </c>
      <c r="E19" s="63" t="s">
        <v>82</v>
      </c>
      <c r="F19" s="60" t="s">
        <v>37</v>
      </c>
      <c r="G19" s="47">
        <v>3</v>
      </c>
      <c r="H19" s="133">
        <f>IF(B$17=0,0,G19/B$17)</f>
        <v>2.2388059701492536E-2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0.15261958997722094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9.3999999999999968</v>
      </c>
      <c r="P20" s="119">
        <v>15</v>
      </c>
      <c r="Q20" s="107">
        <v>140.99999999999994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4.4776119402985072E-2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 t="shared" si="2"/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37</v>
      </c>
      <c r="C22" s="135">
        <v>37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8598.507462686568</v>
      </c>
      <c r="C23" s="41">
        <v>1152200</v>
      </c>
      <c r="E23" s="63" t="s">
        <v>86</v>
      </c>
      <c r="F23" s="60" t="s">
        <v>41</v>
      </c>
      <c r="G23" s="47">
        <v>3</v>
      </c>
      <c r="H23" s="133">
        <f>IF(B$17=0,0,G23/B$17)</f>
        <v>2.2388059701492536E-2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87</v>
      </c>
      <c r="F24" s="60" t="s">
        <v>42</v>
      </c>
      <c r="G24" s="47">
        <v>4</v>
      </c>
      <c r="H24" s="133">
        <f>IF(B$17=0,0,G24/B$17)</f>
        <v>2.9850746268656716E-2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6.8337129840546698E-3</v>
      </c>
      <c r="E27" s="63" t="s">
        <v>90</v>
      </c>
      <c r="F27" s="60" t="s">
        <v>45</v>
      </c>
      <c r="G27" s="47">
        <v>15</v>
      </c>
      <c r="H27" s="133">
        <f>IF(B$17=0,0,G27/B$17)</f>
        <v>0.11194029850746269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7.462686567164179E-3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3.7313432835820892E-2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7.462686567164179E-3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7.462686567164179E-3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8" t="s">
        <v>245</v>
      </c>
      <c r="F51" s="139" t="s">
        <v>246</v>
      </c>
      <c r="G51" s="48">
        <v>56</v>
      </c>
      <c r="H51" s="140">
        <f>IF(B$17=0,0,G51/B$17)</f>
        <v>0.41791044776119401</v>
      </c>
      <c r="I51" s="141">
        <v>4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</sheetData>
  <sortState ref="E2:I5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62700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12</v>
      </c>
      <c r="H51" s="140">
        <f>IF(B$17=0,0,G51/B$17)</f>
        <v>0.35294117647058826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9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8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8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2019-06-08T11:59:14Z</dcterms:modified>
</cp:coreProperties>
</file>