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E9111AFB-801C-4348-A224-899595809CF6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61" r:id="rId6"/>
    <sheet name="だいち" sheetId="5563" r:id="rId7"/>
    <sheet name="りくと" sheetId="5565" r:id="rId8"/>
    <sheet name="ただ" sheetId="5567" r:id="rId9"/>
    <sheet name="れんたろう" sheetId="5569" r:id="rId10"/>
    <sheet name="たかの" sheetId="5571" r:id="rId11"/>
    <sheet name="ぱぱ" sheetId="5573" r:id="rId12"/>
    <sheet name="まっつん" sheetId="5575" r:id="rId13"/>
    <sheet name="あさひ" sheetId="5577" r:id="rId14"/>
    <sheet name="いっしー" sheetId="5579" r:id="rId15"/>
    <sheet name="ほたに" sheetId="5581" r:id="rId16"/>
    <sheet name="かわたつ" sheetId="5583" r:id="rId17"/>
    <sheet name="やがさき" sheetId="5585" r:id="rId18"/>
    <sheet name="のり" sheetId="5587" r:id="rId19"/>
    <sheet name="のり2" sheetId="5588" state="hidden" r:id="rId20"/>
    <sheet name="やがさき2" sheetId="5586" state="hidden" r:id="rId21"/>
    <sheet name="かわたつ2" sheetId="5584" state="hidden" r:id="rId22"/>
    <sheet name="ほたに2" sheetId="5582" state="hidden" r:id="rId23"/>
    <sheet name="いっしー2" sheetId="5580" state="hidden" r:id="rId24"/>
    <sheet name="あさひ2" sheetId="5578" state="hidden" r:id="rId25"/>
    <sheet name="まっつん2" sheetId="5576" state="hidden" r:id="rId26"/>
    <sheet name="ぱぱ2" sheetId="5574" state="hidden" r:id="rId27"/>
    <sheet name="たかの2" sheetId="5572" state="hidden" r:id="rId28"/>
    <sheet name="れんたろう2" sheetId="5570" state="hidden" r:id="rId29"/>
    <sheet name="ただ2" sheetId="5568" state="hidden" r:id="rId30"/>
    <sheet name="りくと2" sheetId="5566" state="hidden" r:id="rId31"/>
    <sheet name="だいち2" sheetId="5564" state="hidden" r:id="rId32"/>
    <sheet name="全体2" sheetId="5562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573" l="1"/>
  <c r="O18" i="5587"/>
  <c r="O16" i="5581"/>
  <c r="O15" i="5587"/>
  <c r="O15" i="5567" l="1"/>
  <c r="O15" i="5575"/>
  <c r="O15" i="5561"/>
  <c r="O17" i="5587"/>
  <c r="O16" i="5587"/>
  <c r="C27" i="5587"/>
  <c r="B24" i="5587"/>
  <c r="C20" i="5587"/>
  <c r="B17" i="5587"/>
  <c r="H50" i="5587" s="1"/>
  <c r="C16" i="5587"/>
  <c r="C15" i="5587"/>
  <c r="C14" i="5587"/>
  <c r="C13" i="5587"/>
  <c r="O12" i="5587"/>
  <c r="C12" i="5587"/>
  <c r="O11" i="5587"/>
  <c r="C11" i="5587"/>
  <c r="O10" i="5587"/>
  <c r="C10" i="5587"/>
  <c r="C9" i="5587"/>
  <c r="C8" i="5587"/>
  <c r="O7" i="5587"/>
  <c r="C7" i="5587"/>
  <c r="O6" i="5587"/>
  <c r="B6" i="5587"/>
  <c r="O5" i="5587"/>
  <c r="B5" i="5587"/>
  <c r="O4" i="5587"/>
  <c r="O3" i="5587"/>
  <c r="O2" i="5587"/>
  <c r="H2" i="5587" l="1"/>
  <c r="H16" i="5587"/>
  <c r="H25" i="5587"/>
  <c r="H9" i="5587"/>
  <c r="H39" i="5587"/>
  <c r="H4" i="5587"/>
  <c r="H40" i="5587"/>
  <c r="H22" i="5587"/>
  <c r="H8" i="5587"/>
  <c r="H10" i="5587"/>
  <c r="H17" i="5587"/>
  <c r="B23" i="5587"/>
  <c r="H31" i="5587"/>
  <c r="H48" i="5587"/>
  <c r="H5" i="5587"/>
  <c r="C18" i="5587"/>
  <c r="H32" i="5587"/>
  <c r="H47" i="5587"/>
  <c r="H12" i="5587"/>
  <c r="H14" i="5587"/>
  <c r="H19" i="5587"/>
  <c r="H35" i="5587"/>
  <c r="H43" i="5587"/>
  <c r="H51" i="5587"/>
  <c r="H27" i="5587"/>
  <c r="H3" i="5587"/>
  <c r="H6" i="5587"/>
  <c r="H11" i="5587"/>
  <c r="C17" i="5587"/>
  <c r="H24" i="5587"/>
  <c r="H28" i="5587"/>
  <c r="H36" i="5587"/>
  <c r="H44" i="5587"/>
  <c r="H52" i="5587"/>
  <c r="H18" i="5587"/>
  <c r="H20" i="5587"/>
  <c r="H23" i="5587"/>
  <c r="H26" i="5587"/>
  <c r="H29" i="5587"/>
  <c r="H33" i="5587"/>
  <c r="H37" i="5587"/>
  <c r="H41" i="5587"/>
  <c r="H45" i="5587"/>
  <c r="H49" i="5587"/>
  <c r="H7" i="5587"/>
  <c r="H13" i="5587"/>
  <c r="H15" i="5587"/>
  <c r="C19" i="5587"/>
  <c r="H21" i="5587"/>
  <c r="H30" i="5587"/>
  <c r="H34" i="5587"/>
  <c r="H38" i="5587"/>
  <c r="H42" i="5587"/>
  <c r="H46" i="5587"/>
  <c r="O23" i="5579" l="1"/>
  <c r="O15" i="5585"/>
  <c r="O22" i="5581" l="1"/>
  <c r="O17" i="5567"/>
  <c r="O24" i="5573" l="1"/>
  <c r="O15" i="5579"/>
  <c r="O25" i="5563" l="1"/>
  <c r="O17" i="5585"/>
  <c r="O16" i="5567" l="1"/>
  <c r="O23" i="5571"/>
  <c r="O26" i="5561"/>
  <c r="O18" i="5585"/>
  <c r="O16" i="5585"/>
  <c r="C27" i="5585"/>
  <c r="B24" i="5585"/>
  <c r="C20" i="5585"/>
  <c r="B17" i="5585"/>
  <c r="H52" i="5585" s="1"/>
  <c r="C16" i="5585"/>
  <c r="C15" i="5585"/>
  <c r="C14" i="5585"/>
  <c r="C13" i="5585"/>
  <c r="O12" i="5585"/>
  <c r="C12" i="5585"/>
  <c r="O11" i="5585"/>
  <c r="C11" i="5585"/>
  <c r="O10" i="5585"/>
  <c r="H10" i="5585"/>
  <c r="C10" i="5585"/>
  <c r="C9" i="5585"/>
  <c r="H8" i="5585"/>
  <c r="C8" i="5585"/>
  <c r="O7" i="5585"/>
  <c r="C7" i="5585"/>
  <c r="O6" i="5585"/>
  <c r="B6" i="5585"/>
  <c r="O5" i="5585"/>
  <c r="B5" i="5585"/>
  <c r="O4" i="5585"/>
  <c r="H4" i="5585"/>
  <c r="O3" i="5585"/>
  <c r="O2" i="5585"/>
  <c r="H2" i="5585"/>
  <c r="O15" i="5583"/>
  <c r="O16" i="5583"/>
  <c r="C27" i="5583"/>
  <c r="B24" i="5583"/>
  <c r="C20" i="5583"/>
  <c r="B17" i="5583"/>
  <c r="H52" i="5583" s="1"/>
  <c r="C16" i="5583"/>
  <c r="C15" i="5583"/>
  <c r="C14" i="5583"/>
  <c r="C13" i="5583"/>
  <c r="O12" i="5583"/>
  <c r="C12" i="5583"/>
  <c r="O11" i="5583"/>
  <c r="C11" i="5583"/>
  <c r="O10" i="5583"/>
  <c r="C10" i="5583"/>
  <c r="C9" i="5583"/>
  <c r="C8" i="5583"/>
  <c r="O7" i="5583"/>
  <c r="C7" i="5583"/>
  <c r="O6" i="5583"/>
  <c r="B6" i="5583"/>
  <c r="O5" i="5583"/>
  <c r="B5" i="5583"/>
  <c r="O4" i="5583"/>
  <c r="O3" i="5583"/>
  <c r="O2" i="5583"/>
  <c r="O23" i="5569"/>
  <c r="O16" i="5563"/>
  <c r="O25" i="5561"/>
  <c r="C17" i="5585" l="1"/>
  <c r="H20" i="5585"/>
  <c r="H26" i="5585"/>
  <c r="H33" i="5585"/>
  <c r="H37" i="5585"/>
  <c r="H45" i="5585"/>
  <c r="H15" i="5585"/>
  <c r="C19" i="5585"/>
  <c r="H30" i="5585"/>
  <c r="H34" i="5585"/>
  <c r="H38" i="5585"/>
  <c r="H42" i="5585"/>
  <c r="H50" i="5585"/>
  <c r="H3" i="5585"/>
  <c r="H6" i="5585"/>
  <c r="H9" i="5585"/>
  <c r="H12" i="5585"/>
  <c r="H17" i="5585"/>
  <c r="H19" i="5585"/>
  <c r="H22" i="5585"/>
  <c r="H24" i="5585"/>
  <c r="H27" i="5585"/>
  <c r="H31" i="5585"/>
  <c r="H35" i="5585"/>
  <c r="H39" i="5585"/>
  <c r="H43" i="5585"/>
  <c r="H47" i="5585"/>
  <c r="H51" i="5585"/>
  <c r="H18" i="5585"/>
  <c r="H23" i="5585"/>
  <c r="H29" i="5585"/>
  <c r="H41" i="5585"/>
  <c r="H49" i="5585"/>
  <c r="H7" i="5585"/>
  <c r="H13" i="5585"/>
  <c r="H21" i="5585"/>
  <c r="H46" i="5585"/>
  <c r="H5" i="5585"/>
  <c r="H11" i="5585"/>
  <c r="H14" i="5585"/>
  <c r="H16" i="5585"/>
  <c r="C18" i="5585"/>
  <c r="B23" i="5585"/>
  <c r="H25" i="5585"/>
  <c r="H28" i="5585"/>
  <c r="H32" i="5585"/>
  <c r="H36" i="5585"/>
  <c r="H40" i="5585"/>
  <c r="H44" i="5585"/>
  <c r="H48" i="5585"/>
  <c r="C17" i="5583"/>
  <c r="H4" i="5583"/>
  <c r="H10" i="5583"/>
  <c r="H2" i="5583"/>
  <c r="H8" i="5583"/>
  <c r="H18" i="5583"/>
  <c r="H20" i="5583"/>
  <c r="H23" i="5583"/>
  <c r="H26" i="5583"/>
  <c r="H29" i="5583"/>
  <c r="H33" i="5583"/>
  <c r="H37" i="5583"/>
  <c r="H41" i="5583"/>
  <c r="H45" i="5583"/>
  <c r="H49" i="5583"/>
  <c r="H7" i="5583"/>
  <c r="H13" i="5583"/>
  <c r="H15" i="5583"/>
  <c r="C19" i="5583"/>
  <c r="H21" i="5583"/>
  <c r="H30" i="5583"/>
  <c r="H34" i="5583"/>
  <c r="H38" i="5583"/>
  <c r="H42" i="5583"/>
  <c r="H46" i="5583"/>
  <c r="H50" i="5583"/>
  <c r="H3" i="5583"/>
  <c r="H6" i="5583"/>
  <c r="H9" i="5583"/>
  <c r="H12" i="5583"/>
  <c r="H17" i="5583"/>
  <c r="H19" i="5583"/>
  <c r="H22" i="5583"/>
  <c r="H24" i="5583"/>
  <c r="H27" i="5583"/>
  <c r="H31" i="5583"/>
  <c r="H35" i="5583"/>
  <c r="H39" i="5583"/>
  <c r="H43" i="5583"/>
  <c r="H47" i="5583"/>
  <c r="H51" i="5583"/>
  <c r="H5" i="5583"/>
  <c r="H11" i="5583"/>
  <c r="H14" i="5583"/>
  <c r="H16" i="5583"/>
  <c r="C18" i="5583"/>
  <c r="B23" i="5583"/>
  <c r="H25" i="5583"/>
  <c r="H28" i="5583"/>
  <c r="H32" i="5583"/>
  <c r="H36" i="5583"/>
  <c r="H40" i="5583"/>
  <c r="H44" i="5583"/>
  <c r="H48" i="5583"/>
  <c r="O15" i="5571" l="1"/>
  <c r="O21" i="5579"/>
  <c r="O21" i="5581" l="1"/>
  <c r="O20" i="5581"/>
  <c r="O20" i="5575"/>
  <c r="O21" i="5565"/>
  <c r="O24" i="5563" l="1"/>
  <c r="O18" i="5581"/>
  <c r="O23" i="5573"/>
  <c r="O15" i="5581"/>
  <c r="O19" i="5581" l="1"/>
  <c r="O17" i="5581"/>
  <c r="C27" i="5581"/>
  <c r="B24" i="5581"/>
  <c r="C20" i="5581"/>
  <c r="B17" i="5581"/>
  <c r="H51" i="5581" s="1"/>
  <c r="C16" i="5581"/>
  <c r="C15" i="5581"/>
  <c r="C14" i="5581"/>
  <c r="C13" i="5581"/>
  <c r="O12" i="5581"/>
  <c r="C12" i="5581"/>
  <c r="O11" i="5581"/>
  <c r="C11" i="5581"/>
  <c r="O10" i="5581"/>
  <c r="C10" i="5581"/>
  <c r="C9" i="5581"/>
  <c r="C8" i="5581"/>
  <c r="O7" i="5581"/>
  <c r="C7" i="5581"/>
  <c r="O6" i="5581"/>
  <c r="B6" i="5581"/>
  <c r="O5" i="5581"/>
  <c r="B5" i="5581"/>
  <c r="O4" i="5581"/>
  <c r="O3" i="5581"/>
  <c r="O2" i="5581"/>
  <c r="O21" i="5569"/>
  <c r="O21" i="5571"/>
  <c r="O23" i="5561"/>
  <c r="H8" i="5581" l="1"/>
  <c r="H2" i="5581"/>
  <c r="H14" i="5581"/>
  <c r="H52" i="5581"/>
  <c r="H25" i="5581"/>
  <c r="C18" i="5581"/>
  <c r="H11" i="5581"/>
  <c r="H36" i="5581"/>
  <c r="H4" i="5581"/>
  <c r="H10" i="5581"/>
  <c r="H16" i="5581"/>
  <c r="H40" i="5581"/>
  <c r="B23" i="5581"/>
  <c r="H44" i="5581"/>
  <c r="H28" i="5581"/>
  <c r="H5" i="5581"/>
  <c r="C17" i="5581"/>
  <c r="H32" i="5581"/>
  <c r="H48" i="5581"/>
  <c r="H20" i="5581"/>
  <c r="H26" i="5581"/>
  <c r="H29" i="5581"/>
  <c r="H37" i="5581"/>
  <c r="H41" i="5581"/>
  <c r="H45" i="5581"/>
  <c r="H7" i="5581"/>
  <c r="H13" i="5581"/>
  <c r="H15" i="5581"/>
  <c r="C19" i="5581"/>
  <c r="H21" i="5581"/>
  <c r="H30" i="5581"/>
  <c r="H34" i="5581"/>
  <c r="H38" i="5581"/>
  <c r="H42" i="5581"/>
  <c r="H46" i="5581"/>
  <c r="H50" i="5581"/>
  <c r="H18" i="5581"/>
  <c r="H23" i="5581"/>
  <c r="H33" i="5581"/>
  <c r="H49" i="5581"/>
  <c r="H3" i="5581"/>
  <c r="H6" i="5581"/>
  <c r="H9" i="5581"/>
  <c r="H12" i="5581"/>
  <c r="H17" i="5581"/>
  <c r="H19" i="5581"/>
  <c r="H22" i="5581"/>
  <c r="H24" i="5581"/>
  <c r="H27" i="5581"/>
  <c r="H31" i="5581"/>
  <c r="H35" i="5581"/>
  <c r="H39" i="5581"/>
  <c r="H43" i="5581"/>
  <c r="H47" i="5581"/>
  <c r="O18" i="5571" l="1"/>
  <c r="O18" i="5567"/>
  <c r="O21" i="5575"/>
  <c r="O22" i="5575"/>
  <c r="O17" i="5563" l="1"/>
  <c r="O20" i="5579"/>
  <c r="O18" i="5579" l="1"/>
  <c r="O16" i="5579"/>
  <c r="O16" i="5569"/>
  <c r="O24" i="5567"/>
  <c r="O17" i="5577" l="1"/>
  <c r="O22" i="5573"/>
  <c r="O15" i="5577"/>
  <c r="O22" i="5579"/>
  <c r="O15" i="5565"/>
  <c r="O18" i="5575"/>
  <c r="O16" i="5561"/>
  <c r="O19" i="5579"/>
  <c r="O17" i="5579"/>
  <c r="C27" i="5579"/>
  <c r="B24" i="5579"/>
  <c r="C20" i="5579"/>
  <c r="B17" i="5579"/>
  <c r="H52" i="5579" s="1"/>
  <c r="C16" i="5579"/>
  <c r="C15" i="5579"/>
  <c r="C14" i="5579"/>
  <c r="C13" i="5579"/>
  <c r="O12" i="5579"/>
  <c r="C12" i="5579"/>
  <c r="O11" i="5579"/>
  <c r="C11" i="5579"/>
  <c r="O10" i="5579"/>
  <c r="C10" i="5579"/>
  <c r="C9" i="5579"/>
  <c r="C8" i="5579"/>
  <c r="O7" i="5579"/>
  <c r="C7" i="5579"/>
  <c r="O6" i="5579"/>
  <c r="B6" i="5579"/>
  <c r="O5" i="5579"/>
  <c r="B5" i="5579"/>
  <c r="O4" i="5579"/>
  <c r="O3" i="5579"/>
  <c r="O2" i="5579"/>
  <c r="O16" i="5577"/>
  <c r="O18" i="5577"/>
  <c r="C27" i="5577"/>
  <c r="B24" i="5577"/>
  <c r="C20" i="5577"/>
  <c r="B17" i="5577"/>
  <c r="H50" i="5577" s="1"/>
  <c r="C16" i="5577"/>
  <c r="C15" i="5577"/>
  <c r="C14" i="5577"/>
  <c r="C13" i="5577"/>
  <c r="O12" i="5577"/>
  <c r="C12" i="5577"/>
  <c r="O11" i="5577"/>
  <c r="C11" i="5577"/>
  <c r="O10" i="5577"/>
  <c r="C10" i="5577"/>
  <c r="C9" i="5577"/>
  <c r="C8" i="5577"/>
  <c r="O7" i="5577"/>
  <c r="C7" i="5577"/>
  <c r="O6" i="5577"/>
  <c r="B6" i="5577"/>
  <c r="O5" i="5577"/>
  <c r="B5" i="5577"/>
  <c r="O4" i="5577"/>
  <c r="O3" i="5577"/>
  <c r="O2" i="5577"/>
  <c r="O23" i="5575"/>
  <c r="O24" i="5575"/>
  <c r="O15" i="5563"/>
  <c r="O20" i="5563"/>
  <c r="O27" i="5561"/>
  <c r="H10" i="5579" l="1"/>
  <c r="H4" i="5579"/>
  <c r="H2" i="5579"/>
  <c r="H8" i="5579"/>
  <c r="H32" i="5577"/>
  <c r="H40" i="5577"/>
  <c r="H2" i="5577"/>
  <c r="H9" i="5577"/>
  <c r="B23" i="5577"/>
  <c r="H16" i="5577"/>
  <c r="H48" i="5577"/>
  <c r="H4" i="5577"/>
  <c r="H12" i="5577"/>
  <c r="C18" i="5577"/>
  <c r="H27" i="5577"/>
  <c r="H51" i="5577"/>
  <c r="H14" i="5577"/>
  <c r="H19" i="5577"/>
  <c r="H43" i="5577"/>
  <c r="H3" i="5577"/>
  <c r="H11" i="5577"/>
  <c r="H36" i="5577"/>
  <c r="H52" i="5577"/>
  <c r="H35" i="5577"/>
  <c r="H6" i="5577"/>
  <c r="C17" i="5577"/>
  <c r="H24" i="5577"/>
  <c r="H28" i="5577"/>
  <c r="H44" i="5577"/>
  <c r="H5" i="5577"/>
  <c r="H8" i="5577"/>
  <c r="H10" i="5577"/>
  <c r="H17" i="5577"/>
  <c r="H22" i="5577"/>
  <c r="H25" i="5577"/>
  <c r="H31" i="5577"/>
  <c r="H39" i="5577"/>
  <c r="H47" i="5577"/>
  <c r="C17" i="5579"/>
  <c r="H20" i="5579"/>
  <c r="H29" i="5579"/>
  <c r="H37" i="5579"/>
  <c r="H41" i="5579"/>
  <c r="H7" i="5579"/>
  <c r="H13" i="5579"/>
  <c r="H15" i="5579"/>
  <c r="C19" i="5579"/>
  <c r="H21" i="5579"/>
  <c r="H30" i="5579"/>
  <c r="H34" i="5579"/>
  <c r="H38" i="5579"/>
  <c r="H42" i="5579"/>
  <c r="H46" i="5579"/>
  <c r="H50" i="5579"/>
  <c r="H23" i="5579"/>
  <c r="H33" i="5579"/>
  <c r="H45" i="5579"/>
  <c r="H3" i="5579"/>
  <c r="H6" i="5579"/>
  <c r="H9" i="5579"/>
  <c r="H12" i="5579"/>
  <c r="H17" i="5579"/>
  <c r="H19" i="5579"/>
  <c r="H22" i="5579"/>
  <c r="H24" i="5579"/>
  <c r="H27" i="5579"/>
  <c r="H31" i="5579"/>
  <c r="H35" i="5579"/>
  <c r="H39" i="5579"/>
  <c r="H43" i="5579"/>
  <c r="H47" i="5579"/>
  <c r="H51" i="5579"/>
  <c r="H18" i="5579"/>
  <c r="H26" i="5579"/>
  <c r="H49" i="5579"/>
  <c r="H5" i="5579"/>
  <c r="H11" i="5579"/>
  <c r="H14" i="5579"/>
  <c r="H16" i="5579"/>
  <c r="C18" i="5579"/>
  <c r="B23" i="5579"/>
  <c r="H25" i="5579"/>
  <c r="H28" i="5579"/>
  <c r="H32" i="5579"/>
  <c r="H36" i="5579"/>
  <c r="H40" i="5579"/>
  <c r="H44" i="5579"/>
  <c r="H48" i="5579"/>
  <c r="H18" i="5577"/>
  <c r="H20" i="5577"/>
  <c r="H23" i="5577"/>
  <c r="H26" i="5577"/>
  <c r="H29" i="5577"/>
  <c r="H33" i="5577"/>
  <c r="H37" i="5577"/>
  <c r="H41" i="5577"/>
  <c r="H45" i="5577"/>
  <c r="H49" i="5577"/>
  <c r="H7" i="5577"/>
  <c r="H13" i="5577"/>
  <c r="H15" i="5577"/>
  <c r="C19" i="5577"/>
  <c r="H21" i="5577"/>
  <c r="H30" i="5577"/>
  <c r="H34" i="5577"/>
  <c r="H38" i="5577"/>
  <c r="H42" i="5577"/>
  <c r="H46" i="5577"/>
  <c r="O17" i="5575" l="1"/>
  <c r="O21" i="5573"/>
  <c r="O18" i="5573"/>
  <c r="O16" i="5565"/>
  <c r="O17" i="5571" l="1"/>
  <c r="O17" i="5569"/>
  <c r="O17" i="5573"/>
  <c r="O19" i="5573"/>
  <c r="O16" i="5571" l="1"/>
  <c r="O15" i="5569"/>
  <c r="O21" i="5567"/>
  <c r="O22" i="5567"/>
  <c r="O16" i="5575"/>
  <c r="O19" i="5575"/>
  <c r="C27" i="5575"/>
  <c r="B24" i="5575"/>
  <c r="C20" i="5575"/>
  <c r="B17" i="5575"/>
  <c r="H52" i="5575" s="1"/>
  <c r="C16" i="5575"/>
  <c r="C15" i="5575"/>
  <c r="C14" i="5575"/>
  <c r="C13" i="5575"/>
  <c r="O12" i="5575"/>
  <c r="C12" i="5575"/>
  <c r="O11" i="5575"/>
  <c r="C11" i="5575"/>
  <c r="O10" i="5575"/>
  <c r="C10" i="5575"/>
  <c r="C9" i="5575"/>
  <c r="C8" i="5575"/>
  <c r="O7" i="5575"/>
  <c r="C7" i="5575"/>
  <c r="O6" i="5575"/>
  <c r="B6" i="5575"/>
  <c r="O5" i="5575"/>
  <c r="B5" i="5575"/>
  <c r="O4" i="5575"/>
  <c r="O3" i="5575"/>
  <c r="O2" i="5575"/>
  <c r="O22" i="5569"/>
  <c r="O20" i="5565"/>
  <c r="O21" i="5561"/>
  <c r="H6" i="5575" l="1"/>
  <c r="H11" i="5575"/>
  <c r="H3" i="5575"/>
  <c r="H8" i="5575"/>
  <c r="C17" i="5575"/>
  <c r="H2" i="5575"/>
  <c r="H4" i="5575"/>
  <c r="H29" i="5575"/>
  <c r="H30" i="5575"/>
  <c r="H18" i="5575"/>
  <c r="H33" i="5575"/>
  <c r="H15" i="5575"/>
  <c r="H35" i="5575"/>
  <c r="H39" i="5575"/>
  <c r="H42" i="5575"/>
  <c r="H46" i="5575"/>
  <c r="H50" i="5575"/>
  <c r="H20" i="5575"/>
  <c r="H21" i="5575"/>
  <c r="C19" i="5575"/>
  <c r="H13" i="5575"/>
  <c r="H24" i="5575"/>
  <c r="H36" i="5575"/>
  <c r="H40" i="5575"/>
  <c r="H43" i="5575"/>
  <c r="H47" i="5575"/>
  <c r="H51" i="5575"/>
  <c r="H9" i="5575"/>
  <c r="H7" i="5575"/>
  <c r="H12" i="5575"/>
  <c r="H23" i="5575"/>
  <c r="H19" i="5575"/>
  <c r="H16" i="5575"/>
  <c r="H31" i="5575"/>
  <c r="H14" i="5575"/>
  <c r="H10" i="5575"/>
  <c r="H25" i="5575"/>
  <c r="H37" i="5575"/>
  <c r="H26" i="5575"/>
  <c r="H44" i="5575"/>
  <c r="H48" i="5575"/>
  <c r="H5" i="5575"/>
  <c r="H27" i="5575"/>
  <c r="H28" i="5575"/>
  <c r="H17" i="5575"/>
  <c r="C18" i="5575"/>
  <c r="B23" i="5575"/>
  <c r="H32" i="5575"/>
  <c r="H22" i="5575"/>
  <c r="H34" i="5575"/>
  <c r="H38" i="5575"/>
  <c r="H41" i="5575"/>
  <c r="H45" i="5575"/>
  <c r="H49" i="5575"/>
  <c r="O20" i="5567" l="1"/>
  <c r="O20" i="5573"/>
  <c r="O16" i="5573"/>
  <c r="C27" i="5573"/>
  <c r="B24" i="5573"/>
  <c r="C20" i="5573"/>
  <c r="B17" i="5573"/>
  <c r="H52" i="5573" s="1"/>
  <c r="C16" i="5573"/>
  <c r="C15" i="5573"/>
  <c r="C14" i="5573"/>
  <c r="C13" i="5573"/>
  <c r="O12" i="5573"/>
  <c r="C12" i="5573"/>
  <c r="O11" i="5573"/>
  <c r="C11" i="5573"/>
  <c r="O10" i="5573"/>
  <c r="C10" i="5573"/>
  <c r="C9" i="5573"/>
  <c r="C8" i="5573"/>
  <c r="O7" i="5573"/>
  <c r="C7" i="5573"/>
  <c r="O6" i="5573"/>
  <c r="B6" i="5573"/>
  <c r="O5" i="5573"/>
  <c r="B5" i="5573"/>
  <c r="O4" i="5573"/>
  <c r="O3" i="5573"/>
  <c r="O2" i="5573"/>
  <c r="O22" i="5563"/>
  <c r="O18" i="5561"/>
  <c r="O19" i="5571"/>
  <c r="O18" i="5565"/>
  <c r="O19" i="5565"/>
  <c r="O19" i="5569"/>
  <c r="O20" i="5571"/>
  <c r="O22" i="5571"/>
  <c r="C27" i="5571"/>
  <c r="B24" i="5571"/>
  <c r="C20" i="5571"/>
  <c r="B17" i="5571"/>
  <c r="H50" i="5571" s="1"/>
  <c r="C16" i="5571"/>
  <c r="C15" i="5571"/>
  <c r="C14" i="5571"/>
  <c r="C13" i="5571"/>
  <c r="O12" i="5571"/>
  <c r="C12" i="5571"/>
  <c r="O11" i="5571"/>
  <c r="C11" i="5571"/>
  <c r="O10" i="5571"/>
  <c r="C10" i="5571"/>
  <c r="C9" i="5571"/>
  <c r="C8" i="5571"/>
  <c r="O7" i="5571"/>
  <c r="C7" i="5571"/>
  <c r="O6" i="5571"/>
  <c r="B6" i="5571"/>
  <c r="O5" i="5571"/>
  <c r="B5" i="5571"/>
  <c r="O4" i="5571"/>
  <c r="O3" i="5571"/>
  <c r="O2" i="5571"/>
  <c r="O20" i="5569"/>
  <c r="O18" i="5569"/>
  <c r="C27" i="5569"/>
  <c r="B24" i="5569"/>
  <c r="C20" i="5569"/>
  <c r="B17" i="5569"/>
  <c r="H19" i="5569" s="1"/>
  <c r="C16" i="5569"/>
  <c r="C15" i="5569"/>
  <c r="C14" i="5569"/>
  <c r="C13" i="5569"/>
  <c r="O12" i="5569"/>
  <c r="C12" i="5569"/>
  <c r="O11" i="5569"/>
  <c r="C11" i="5569"/>
  <c r="O10" i="5569"/>
  <c r="C10" i="5569"/>
  <c r="C9" i="5569"/>
  <c r="C8" i="5569"/>
  <c r="O7" i="5569"/>
  <c r="C7" i="5569"/>
  <c r="O6" i="5569"/>
  <c r="B6" i="5569"/>
  <c r="O5" i="5569"/>
  <c r="B5" i="5569"/>
  <c r="O4" i="5569"/>
  <c r="O3" i="5569"/>
  <c r="O2" i="5569"/>
  <c r="O18" i="5563"/>
  <c r="O23" i="5563"/>
  <c r="O20" i="5561"/>
  <c r="O22" i="5561"/>
  <c r="H4" i="5569" l="1"/>
  <c r="C17" i="5573"/>
  <c r="H10" i="5573"/>
  <c r="H4" i="5573"/>
  <c r="H2" i="5573"/>
  <c r="H8" i="5573"/>
  <c r="H39" i="5571"/>
  <c r="H5" i="5571"/>
  <c r="H32" i="5571"/>
  <c r="H8" i="5571"/>
  <c r="H16" i="5571"/>
  <c r="H25" i="5571"/>
  <c r="H4" i="5571"/>
  <c r="C18" i="5571"/>
  <c r="H23" i="5573"/>
  <c r="H33" i="5573"/>
  <c r="H49" i="5573"/>
  <c r="H7" i="5573"/>
  <c r="H15" i="5573"/>
  <c r="C19" i="5573"/>
  <c r="H30" i="5573"/>
  <c r="H38" i="5573"/>
  <c r="H42" i="5573"/>
  <c r="H50" i="5573"/>
  <c r="H3" i="5573"/>
  <c r="H6" i="5573"/>
  <c r="H9" i="5573"/>
  <c r="H12" i="5573"/>
  <c r="H17" i="5573"/>
  <c r="H19" i="5573"/>
  <c r="H22" i="5573"/>
  <c r="H24" i="5573"/>
  <c r="H27" i="5573"/>
  <c r="H31" i="5573"/>
  <c r="H35" i="5573"/>
  <c r="H39" i="5573"/>
  <c r="H43" i="5573"/>
  <c r="H47" i="5573"/>
  <c r="H51" i="5573"/>
  <c r="H18" i="5573"/>
  <c r="H20" i="5573"/>
  <c r="H26" i="5573"/>
  <c r="H29" i="5573"/>
  <c r="H37" i="5573"/>
  <c r="H41" i="5573"/>
  <c r="H45" i="5573"/>
  <c r="H13" i="5573"/>
  <c r="H21" i="5573"/>
  <c r="H34" i="5573"/>
  <c r="H46" i="5573"/>
  <c r="H5" i="5573"/>
  <c r="H11" i="5573"/>
  <c r="H14" i="5573"/>
  <c r="H16" i="5573"/>
  <c r="C18" i="5573"/>
  <c r="B23" i="5573"/>
  <c r="H25" i="5573"/>
  <c r="H28" i="5573"/>
  <c r="H32" i="5573"/>
  <c r="H36" i="5573"/>
  <c r="H40" i="5573"/>
  <c r="H44" i="5573"/>
  <c r="H48" i="5573"/>
  <c r="H47" i="5571"/>
  <c r="H22" i="5571"/>
  <c r="H2" i="5571"/>
  <c r="H10" i="5571"/>
  <c r="H17" i="5571"/>
  <c r="B23" i="5571"/>
  <c r="H31" i="5571"/>
  <c r="H26" i="5569"/>
  <c r="H23" i="5569"/>
  <c r="H34" i="5569"/>
  <c r="H11" i="5569"/>
  <c r="H3" i="5569"/>
  <c r="H18" i="5569"/>
  <c r="B23" i="5569"/>
  <c r="H6" i="5569"/>
  <c r="C18" i="5569"/>
  <c r="H2" i="5569"/>
  <c r="H13" i="5569"/>
  <c r="H15" i="5569"/>
  <c r="H25" i="5569"/>
  <c r="H41" i="5569"/>
  <c r="H40" i="5571"/>
  <c r="H48" i="5571"/>
  <c r="H27" i="5571"/>
  <c r="H35" i="5571"/>
  <c r="H43" i="5571"/>
  <c r="H51" i="5571"/>
  <c r="H9" i="5571"/>
  <c r="H12" i="5571"/>
  <c r="H14" i="5571"/>
  <c r="H19" i="5571"/>
  <c r="H3" i="5571"/>
  <c r="H6" i="5571"/>
  <c r="H11" i="5571"/>
  <c r="C17" i="5571"/>
  <c r="H24" i="5571"/>
  <c r="H28" i="5571"/>
  <c r="H36" i="5571"/>
  <c r="H44" i="5571"/>
  <c r="H52" i="5571"/>
  <c r="H18" i="5571"/>
  <c r="H20" i="5571"/>
  <c r="H23" i="5571"/>
  <c r="H26" i="5571"/>
  <c r="H29" i="5571"/>
  <c r="H33" i="5571"/>
  <c r="H37" i="5571"/>
  <c r="H41" i="5571"/>
  <c r="H45" i="5571"/>
  <c r="H49" i="5571"/>
  <c r="H7" i="5571"/>
  <c r="H13" i="5571"/>
  <c r="H15" i="5571"/>
  <c r="C19" i="5571"/>
  <c r="H21" i="5571"/>
  <c r="H30" i="5571"/>
  <c r="H34" i="5571"/>
  <c r="H38" i="5571"/>
  <c r="H42" i="5571"/>
  <c r="H46" i="5571"/>
  <c r="H49" i="5569"/>
  <c r="H42" i="5569"/>
  <c r="H50" i="5569"/>
  <c r="H27" i="5569"/>
  <c r="H28" i="5569"/>
  <c r="H16" i="5569"/>
  <c r="H9" i="5569"/>
  <c r="H37" i="5569"/>
  <c r="H45" i="5569"/>
  <c r="H5" i="5569"/>
  <c r="H10" i="5569"/>
  <c r="H7" i="5569"/>
  <c r="H20" i="5569"/>
  <c r="C17" i="5569"/>
  <c r="H12" i="5569"/>
  <c r="H33" i="5569"/>
  <c r="H38" i="5569"/>
  <c r="H46" i="5569"/>
  <c r="H52" i="5569"/>
  <c r="H29" i="5569"/>
  <c r="H30" i="5569"/>
  <c r="H31" i="5569"/>
  <c r="H32" i="5569"/>
  <c r="H17" i="5569"/>
  <c r="H35" i="5569"/>
  <c r="H39" i="5569"/>
  <c r="H43" i="5569"/>
  <c r="H47" i="5569"/>
  <c r="H51" i="5569"/>
  <c r="H8" i="5569"/>
  <c r="H21" i="5569"/>
  <c r="H22" i="5569"/>
  <c r="C19" i="5569"/>
  <c r="H14" i="5569"/>
  <c r="H24" i="5569"/>
  <c r="H36" i="5569"/>
  <c r="H40" i="5569"/>
  <c r="H44" i="5569"/>
  <c r="H48" i="5569"/>
  <c r="O19" i="5567" l="1"/>
  <c r="O23" i="5567"/>
  <c r="C27" i="5567"/>
  <c r="B24" i="5567"/>
  <c r="C20" i="5567"/>
  <c r="B17" i="5567"/>
  <c r="H51" i="5567" s="1"/>
  <c r="C16" i="5567"/>
  <c r="C15" i="5567"/>
  <c r="C14" i="5567"/>
  <c r="C13" i="5567"/>
  <c r="O12" i="5567"/>
  <c r="C12" i="5567"/>
  <c r="O11" i="5567"/>
  <c r="C11" i="5567"/>
  <c r="O10" i="5567"/>
  <c r="C10" i="5567"/>
  <c r="C9" i="5567"/>
  <c r="C8" i="5567"/>
  <c r="O7" i="5567"/>
  <c r="C7" i="5567"/>
  <c r="O6" i="5567"/>
  <c r="B6" i="5567"/>
  <c r="O5" i="5567"/>
  <c r="B5" i="5567"/>
  <c r="O4" i="5567"/>
  <c r="O3" i="5567"/>
  <c r="O2" i="5567"/>
  <c r="O22" i="5565"/>
  <c r="O17" i="5565"/>
  <c r="C27" i="5565"/>
  <c r="B24" i="5565"/>
  <c r="C20" i="5565"/>
  <c r="B17" i="5565"/>
  <c r="H18" i="5565" s="1"/>
  <c r="C16" i="5565"/>
  <c r="C15" i="5565"/>
  <c r="C14" i="5565"/>
  <c r="C13" i="5565"/>
  <c r="O12" i="5565"/>
  <c r="C12" i="5565"/>
  <c r="O11" i="5565"/>
  <c r="C11" i="5565"/>
  <c r="O10" i="5565"/>
  <c r="C10" i="5565"/>
  <c r="C9" i="5565"/>
  <c r="C8" i="5565"/>
  <c r="O7" i="5565"/>
  <c r="C7" i="5565"/>
  <c r="O6" i="5565"/>
  <c r="B6" i="5565"/>
  <c r="O5" i="5565"/>
  <c r="B5" i="5565"/>
  <c r="O4" i="5565"/>
  <c r="O3" i="5565"/>
  <c r="O2" i="5565"/>
  <c r="O24" i="5561"/>
  <c r="O19" i="5563"/>
  <c r="O21" i="5563"/>
  <c r="C27" i="5563"/>
  <c r="B24" i="5563"/>
  <c r="C20" i="5563"/>
  <c r="B17" i="5563"/>
  <c r="H15" i="5563" s="1"/>
  <c r="C16" i="5563"/>
  <c r="C15" i="5563"/>
  <c r="C14" i="5563"/>
  <c r="C13" i="5563"/>
  <c r="O12" i="5563"/>
  <c r="C12" i="5563"/>
  <c r="O11" i="5563"/>
  <c r="C11" i="5563"/>
  <c r="O10" i="5563"/>
  <c r="C10" i="5563"/>
  <c r="C9" i="5563"/>
  <c r="C8" i="5563"/>
  <c r="O7" i="5563"/>
  <c r="C7" i="5563"/>
  <c r="O6" i="5563"/>
  <c r="B6" i="5563"/>
  <c r="O5" i="5563"/>
  <c r="B5" i="5563"/>
  <c r="O4" i="5563"/>
  <c r="O3" i="5563"/>
  <c r="O2" i="5563"/>
  <c r="O17" i="5561"/>
  <c r="O19" i="5561"/>
  <c r="C27" i="5561"/>
  <c r="B24" i="5561"/>
  <c r="C20" i="5561"/>
  <c r="B17" i="5561"/>
  <c r="H51" i="5561" s="1"/>
  <c r="C16" i="5561"/>
  <c r="C15" i="5561"/>
  <c r="C14" i="5561"/>
  <c r="C13" i="5561"/>
  <c r="O12" i="5561"/>
  <c r="C12" i="5561"/>
  <c r="O11" i="5561"/>
  <c r="C11" i="5561"/>
  <c r="O10" i="5561"/>
  <c r="C10" i="5561"/>
  <c r="C9" i="5561"/>
  <c r="C8" i="5561"/>
  <c r="O7" i="5561"/>
  <c r="C7" i="5561"/>
  <c r="O6" i="5561"/>
  <c r="B6" i="5561"/>
  <c r="O5" i="5561"/>
  <c r="B5" i="5561"/>
  <c r="O4" i="5561"/>
  <c r="O3" i="5561"/>
  <c r="O2" i="5561"/>
  <c r="H9" i="5567" l="1"/>
  <c r="H4" i="5567"/>
  <c r="H31" i="5563"/>
  <c r="H13" i="5567"/>
  <c r="H45" i="5567"/>
  <c r="H50" i="5567"/>
  <c r="H7" i="5567"/>
  <c r="C18" i="5567"/>
  <c r="H2" i="5567"/>
  <c r="H11" i="5567"/>
  <c r="H34" i="5567"/>
  <c r="H20" i="5567"/>
  <c r="H3" i="5567"/>
  <c r="H15" i="5567"/>
  <c r="H36" i="5567"/>
  <c r="H14" i="5567"/>
  <c r="H10" i="5567"/>
  <c r="H40" i="5567"/>
  <c r="H30" i="5567"/>
  <c r="H12" i="5567"/>
  <c r="H6" i="5567"/>
  <c r="H29" i="5567"/>
  <c r="H18" i="5567"/>
  <c r="H33" i="5567"/>
  <c r="H41" i="5567"/>
  <c r="B23" i="5563"/>
  <c r="H26" i="5563"/>
  <c r="H7" i="5563"/>
  <c r="H19" i="5563"/>
  <c r="H35" i="5563"/>
  <c r="H21" i="5563"/>
  <c r="H3" i="5563"/>
  <c r="H42" i="5563"/>
  <c r="H13" i="5563"/>
  <c r="H32" i="5563"/>
  <c r="H10" i="5563"/>
  <c r="H6" i="5563"/>
  <c r="H11" i="5563"/>
  <c r="C18" i="5563"/>
  <c r="H29" i="5563"/>
  <c r="H4" i="5563"/>
  <c r="H2" i="5563"/>
  <c r="H16" i="5563"/>
  <c r="H46" i="5567"/>
  <c r="H28" i="5567"/>
  <c r="C19" i="5567"/>
  <c r="H21" i="5567"/>
  <c r="H22" i="5567"/>
  <c r="H27" i="5567"/>
  <c r="H37" i="5567"/>
  <c r="H42" i="5567"/>
  <c r="H48" i="5567"/>
  <c r="H5" i="5567"/>
  <c r="H8" i="5567"/>
  <c r="H24" i="5567"/>
  <c r="H17" i="5567"/>
  <c r="C17" i="5567"/>
  <c r="H16" i="5567"/>
  <c r="B23" i="5567"/>
  <c r="H23" i="5567"/>
  <c r="H38" i="5567"/>
  <c r="H44" i="5567"/>
  <c r="H49" i="5567"/>
  <c r="H52" i="5567"/>
  <c r="H31" i="5567"/>
  <c r="H32" i="5567"/>
  <c r="H25" i="5567"/>
  <c r="H26" i="5567"/>
  <c r="H19" i="5567"/>
  <c r="H35" i="5567"/>
  <c r="H39" i="5567"/>
  <c r="H43" i="5567"/>
  <c r="H47" i="5567"/>
  <c r="H4" i="5565"/>
  <c r="H10" i="5565"/>
  <c r="H6" i="5565"/>
  <c r="H16" i="5565"/>
  <c r="H33" i="5565"/>
  <c r="H41" i="5565"/>
  <c r="H42" i="5565"/>
  <c r="H24" i="5565"/>
  <c r="H17" i="5565"/>
  <c r="H27" i="5565"/>
  <c r="H49" i="5565"/>
  <c r="H22" i="5565"/>
  <c r="H29" i="5565"/>
  <c r="H2" i="5565"/>
  <c r="H13" i="5565"/>
  <c r="B23" i="5565"/>
  <c r="H3" i="5565"/>
  <c r="C18" i="5565"/>
  <c r="H35" i="5565"/>
  <c r="H50" i="5565"/>
  <c r="H15" i="5565"/>
  <c r="H11" i="5565"/>
  <c r="H37" i="5565"/>
  <c r="H45" i="5565"/>
  <c r="H5" i="5565"/>
  <c r="H9" i="5565"/>
  <c r="H7" i="5565"/>
  <c r="H21" i="5565"/>
  <c r="C17" i="5565"/>
  <c r="H12" i="5565"/>
  <c r="H34" i="5565"/>
  <c r="H38" i="5565"/>
  <c r="H46" i="5565"/>
  <c r="H52" i="5565"/>
  <c r="H30" i="5565"/>
  <c r="H31" i="5565"/>
  <c r="H32" i="5565"/>
  <c r="H25" i="5565"/>
  <c r="H19" i="5565"/>
  <c r="H28" i="5565"/>
  <c r="H39" i="5565"/>
  <c r="H43" i="5565"/>
  <c r="H47" i="5565"/>
  <c r="H51" i="5565"/>
  <c r="H8" i="5565"/>
  <c r="H20" i="5565"/>
  <c r="H23" i="5565"/>
  <c r="C19" i="5565"/>
  <c r="H14" i="5565"/>
  <c r="H26" i="5565"/>
  <c r="H36" i="5565"/>
  <c r="H40" i="5565"/>
  <c r="H44" i="5565"/>
  <c r="H48" i="5565"/>
  <c r="H10" i="5561"/>
  <c r="H28" i="5563"/>
  <c r="H50" i="5563"/>
  <c r="H41" i="5563"/>
  <c r="H49" i="5563"/>
  <c r="H17" i="5563"/>
  <c r="H8" i="5563"/>
  <c r="H37" i="5563"/>
  <c r="H45" i="5563"/>
  <c r="H5" i="5563"/>
  <c r="C17" i="5563"/>
  <c r="H12" i="5563"/>
  <c r="H23" i="5563"/>
  <c r="H38" i="5563"/>
  <c r="H46" i="5563"/>
  <c r="H52" i="5563"/>
  <c r="H33" i="5563"/>
  <c r="H34" i="5563"/>
  <c r="H20" i="5563"/>
  <c r="H25" i="5563"/>
  <c r="H18" i="5563"/>
  <c r="H30" i="5563"/>
  <c r="H39" i="5563"/>
  <c r="H43" i="5563"/>
  <c r="H47" i="5563"/>
  <c r="H51" i="5563"/>
  <c r="H9" i="5563"/>
  <c r="H27" i="5563"/>
  <c r="H22" i="5563"/>
  <c r="C19" i="5563"/>
  <c r="H14" i="5563"/>
  <c r="H24" i="5563"/>
  <c r="H36" i="5563"/>
  <c r="H40" i="5563"/>
  <c r="H44" i="5563"/>
  <c r="H48" i="5563"/>
  <c r="H4" i="5561"/>
  <c r="H2" i="5561"/>
  <c r="H3" i="5561"/>
  <c r="H11" i="5561"/>
  <c r="H6" i="5561"/>
  <c r="H12" i="5561"/>
  <c r="H24" i="5561"/>
  <c r="H19" i="5561"/>
  <c r="H9" i="5561"/>
  <c r="H38" i="5561"/>
  <c r="H42" i="5561"/>
  <c r="H46" i="5561"/>
  <c r="H50" i="5561"/>
  <c r="H7" i="5561"/>
  <c r="H21" i="5561"/>
  <c r="H35" i="5561"/>
  <c r="H15" i="5561"/>
  <c r="C18" i="5561"/>
  <c r="H14" i="5561"/>
  <c r="H13" i="5561"/>
  <c r="H29" i="5561"/>
  <c r="H39" i="5561"/>
  <c r="H33" i="5561"/>
  <c r="H34" i="5561"/>
  <c r="H18" i="5561"/>
  <c r="C19" i="5561"/>
  <c r="H27" i="5561"/>
  <c r="H28" i="5561"/>
  <c r="H25" i="5561"/>
  <c r="H32" i="5561"/>
  <c r="H43" i="5561"/>
  <c r="H48" i="5561"/>
  <c r="H5" i="5561"/>
  <c r="H8" i="5561"/>
  <c r="H22" i="5561"/>
  <c r="H20" i="5561"/>
  <c r="C17" i="5561"/>
  <c r="H16" i="5561"/>
  <c r="B23" i="5561"/>
  <c r="H26" i="5561"/>
  <c r="H40" i="5561"/>
  <c r="H45" i="5561"/>
  <c r="H49" i="5561"/>
  <c r="H52" i="5561"/>
  <c r="H36" i="5561"/>
  <c r="H37" i="5561"/>
  <c r="H23" i="5561"/>
  <c r="H30" i="5561"/>
  <c r="H17" i="5561"/>
  <c r="H31" i="5561"/>
  <c r="H41" i="5561"/>
  <c r="H44" i="5561"/>
  <c r="H47" i="5561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<sst xmlns="http://schemas.openxmlformats.org/spreadsheetml/2006/main" count="3640" uniqueCount="288">
  <si>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</si>
  <si>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</si>
  <si>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</si>
  <si>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</si>
  <si>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</si>
  <si>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</si>
  <si>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</si>
  <si>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</si>
  <si>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</si>
  <si>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</si>
  <si>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</si>
  <si>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</si>
  <si>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</si>
  <si>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</si>
  <si>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</si>
  <si>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</si>
  <si>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</si>
  <si>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</si>
  <si>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</si>
  <si>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</si>
  <si>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</si>
  <si>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</si>
  <si>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</si>
  <si>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</si>
  <si>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</si>
  <si>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</si>
  <si>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</si>
  <si>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</si>
  <si>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</si>
  <si>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</si>
  <si>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</si>
  <si>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</si>
  <si>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</si>
  <si>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</si>
  <si>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</si>
  <si>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</si>
  <si>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</si>
  <si>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</si>
  <si>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</si>
  <si>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</si>
  <si>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</si>
  <si>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</si>
  <si>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</si>
  <si>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</si>
  <si>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</si>
  <si>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</si>
  <si>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</si>
  <si>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</si>
  <si>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</si>
  <si>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</si>
  <si>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</si>
  <si>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</si>
  <si>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</si>
  <si>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</si>
  <si>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</si>
  <si>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</si>
  <si>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</si>
  <si>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</si>
  <si>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</si>
  <si>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</si>
  <si>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</si>
  <si>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</si>
  <si>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</si>
  <si>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</si>
  <si>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</si>
  <si>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</si>
  <si>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</si>
  <si>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</si>
  <si>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</si>
  <si>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</si>
  <si>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</si>
  <si>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</si>
  <si>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</si>
  <si>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</si>
  <si>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</si>
  <si>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</si>
  <si>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</si>
  <si>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</si>
  <si>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</si>
  <si>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</si>
  <si>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</si>
  <si>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</si>
  <si>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</si>
  <si>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</si>
  <si>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</si>
  <si>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</si>
  <si>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</si>
  <si>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</si>
  <si>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</si>
  <si>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</si>
  <si>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</si>
  <si>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</si>
  <si>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</si>
  <si>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</si>
  <si>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</si>
  <si>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</si>
  <si>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</si>
  <si>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</si>
  <si>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</si>
  <si>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</si>
  <si>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</si>
  <si>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</si>
  <si>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</si>
  <si>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</si>
  <si>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</si>
  <si>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</si>
  <si>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</si>
  <si>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</si>
  <si>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</si>
  <si>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</si>
  <si>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</si>
  <si>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</si>
  <si>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</si>
  <si>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</si>
  <si>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</si>
  <si>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</si>
  <si>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</si>
  <si>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</si>
  <si>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</si>
  <si>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</si>
  <si>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</si>
  <si>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</si>
  <si>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</si>
  <si>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</si>
  <si>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</si>
  <si>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</si>
  <si>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</si>
  <si>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</si>
  <si>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</si>
  <si>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</si>
  <si>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</si>
  <si>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</si>
  <si>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</si>
  <si>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</si>
  <si>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</si>
  <si>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</si>
  <si>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</si>
  <si>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</si>
  <si>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</si>
  <si>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</si>
  <si>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</si>
  <si>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</si>
  <si>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</si>
  <si>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</si>
  <si>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</si>
  <si>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</si>
  <si>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</si>
  <si>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</si>
  <si>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</si>
  <si>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</si>
  <si>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</si>
  <si>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</si>
  <si>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</si>
  <si>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</si>
  <si>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</si>
  <si>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</si>
  <si>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</si>
  <si>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</si>
  <si>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</si>
  <si>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</si>
  <si>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</si>
  <si>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</si>
  <si>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</si>
  <si>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</si>
  <si>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</si>
  <si>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</si>
  <si>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</si>
  <si>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</si>
  <si>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</si>
  <si>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</si>
  <si>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</si>
  <si>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</si>
  <si>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</si>
  <si>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</si>
  <si>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</si>
  <si>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</si>
  <si>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</si>
  <si>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</si>
  <si>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</si>
  <si>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</si>
  <si>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</si>
  <si>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</si>
  <si>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</si>
  <si>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</si>
  <si>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</si>
  <si>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</si>
  <si>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</si>
  <si>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</si>
  <si>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</si>
  <si>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</si>
  <si>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</si>
  <si>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</si>
  <si>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</si>
  <si>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</si>
  <si>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</si>
  <si>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</si>
  <si>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</si>
  <si>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</si>
  <si>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</si>
  <si>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</si>
  <si>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</si>
  <si>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</si>
  <si>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</si>
  <si>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</si>
  <si>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</si>
  <si>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</si>
  <si>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</si>
  <si>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</si>
  <si>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</si>
  <si>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</si>
  <si>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</si>
  <si>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</si>
  <si>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</si>
  <si>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</si>
  <si>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</si>
  <si>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</si>
  <si>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</si>
  <si>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</si>
  <si>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</si>
  <si>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</si>
  <si>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</si>
  <si>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</si>
  <si>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</si>
  <si>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</si>
  <si>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</si>
  <si>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</si>
  <si>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</si>
  <si>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</si>
  <si>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</si>
  <si>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</si>
  <si>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</si>
  <si>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</si>
  <si>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</si>
  <si>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</si>
  <si>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</si>
  <si>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</si>
  <si>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</si>
  <si>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</si>
  <si>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</si>
  <si>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</si>
  <si>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</si>
  <si>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</si>
  <si>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</si>
  <si>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</si>
  <si>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</si>
  <si>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</si>
  <si>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</si>
  <si>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</si>
  <si>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</si>
  <si>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</si>
  <si>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</si>
  <si>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</si>
  <si>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</si>
  <si>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</si>
  <si>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</si>
  <si>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</si>
  <si>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</si>
  <si>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</si>
  <si>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</si>
  <si>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</si>
  <si>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</si>
  <si>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</si>
  <si>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</si>
  <si>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</si>
  <si>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</si>
  <si>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</si>
  <si>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</si>
  <si>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</si>
  <si>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</si>
  <si>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</si>
  <si>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</si>
  <si>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</si>
  <si>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</si>
  <si>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</si>
  <si>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</si>
  <si>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</si>
  <si>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</si>
  <si>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</si>
  <si>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</si>
  <si>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</si>
  <si>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</si>
  <si>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</si>
  <si>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</si>
  <si>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</si>
  <si>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</si>
  <si>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</si>
  <si>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</si>
  <si>
    <t>2019-07-15@2.xlsm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</si>
</sst>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全体!$K$2:$K$920</c:f>
              <c:numCache>
                <c:formatCode>General</c:formatCode>
                <c:ptCount val="9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</c:numCache>
            </c:numRef>
          </c:xVal>
          <c:yVal>
            <c:numRef>
              <c:f>全体!$L$2:$L$920</c:f>
              <c:numCache>
                <c:formatCode>\+0.0;\-0.0;\±0</c:formatCode>
                <c:ptCount val="919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EE-42BD-9597-4E2FE238F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-16.33986928104575</c:v>
                </c:pt>
                <c:pt idx="1">
                  <c:v>-5.574136008918618</c:v>
                </c:pt>
                <c:pt idx="2">
                  <c:v>11.947431302270012</c:v>
                </c:pt>
                <c:pt idx="3">
                  <c:v>5.1880674448767836</c:v>
                </c:pt>
                <c:pt idx="4">
                  <c:v>-14.430014430014429</c:v>
                </c:pt>
                <c:pt idx="5">
                  <c:v>26.143790849673202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9E-43A0-ADA8-F7CF4886F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だいち!$K$2:$K$198</c:f>
              <c:numCache>
                <c:formatCode>General</c:formatCode>
                <c:ptCount val="1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</c:numCache>
            </c:numRef>
          </c:xVal>
          <c:yVal>
            <c:numRef>
              <c:f>だいち!$L$2:$L$198</c:f>
              <c:numCache>
                <c:formatCode>\+0.0;\-0.0;\±0</c:formatCode>
                <c:ptCount val="197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75-4A76-B3C3-9B18D84B8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1235.7142857142858</c:v>
                </c:pt>
                <c:pt idx="1">
                  <c:v>2005.7591623036649</c:v>
                </c:pt>
                <c:pt idx="2">
                  <c:v>1004.3956043956044</c:v>
                </c:pt>
                <c:pt idx="3">
                  <c:v>2117.2619047619046</c:v>
                </c:pt>
                <c:pt idx="4">
                  <c:v>1267.3333333333333</c:v>
                </c:pt>
                <c:pt idx="5">
                  <c:v>1128.4615384615386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417-BDD0-2128E4748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りくと!$K$2:$K$161</c:f>
              <c:numCache>
                <c:formatCode>General</c:formatCode>
                <c:ptCount val="1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</c:numCache>
            </c:numRef>
          </c:xVal>
          <c:yVal>
            <c:numRef>
              <c:f>りくと!$L$2:$L$161</c:f>
              <c:numCache>
                <c:formatCode>\+0.0;\-0.0;\±0</c:formatCode>
                <c:ptCount val="160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8-4645-9B5E-FA5BAA89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645.28301886792451</c:v>
                </c:pt>
                <c:pt idx="1">
                  <c:v>-1417.5324675324675</c:v>
                </c:pt>
                <c:pt idx="2">
                  <c:v>-499.31972789115645</c:v>
                </c:pt>
                <c:pt idx="3">
                  <c:v>-45.454545454545453</c:v>
                </c:pt>
                <c:pt idx="4">
                  <c:v>478.63247863247864</c:v>
                </c:pt>
                <c:pt idx="5">
                  <c:v>-315.09433962264148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C-49EC-B8DA-CA385EC26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ただ!$K$2:$K$152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ただ!$L$2:$L$152</c:f>
              <c:numCache>
                <c:formatCode>\+0.0;\-0.0;\±0</c:formatCode>
                <c:ptCount val="151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0-4AFB-856B-830FAE563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-2080.6666666666665</c:v>
                </c:pt>
                <c:pt idx="1">
                  <c:v>-1604.7945205479452</c:v>
                </c:pt>
                <c:pt idx="2">
                  <c:v>824.63768115942025</c:v>
                </c:pt>
                <c:pt idx="3">
                  <c:v>-2883.0645161290322</c:v>
                </c:pt>
                <c:pt idx="4">
                  <c:v>-456.63716814159289</c:v>
                </c:pt>
                <c:pt idx="5">
                  <c:v>-211.76470588235293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DA-46D3-B88B-02AE3C35D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れんたろう!$L$2:$L$106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D-4BDF-9A00-509C6A1AC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611.53846153846155</c:v>
                </c:pt>
                <c:pt idx="1">
                  <c:v>693.06930693069307</c:v>
                </c:pt>
                <c:pt idx="2">
                  <c:v>1372.8260869565217</c:v>
                </c:pt>
                <c:pt idx="3">
                  <c:v>128.04878048780489</c:v>
                </c:pt>
                <c:pt idx="4">
                  <c:v>-2098.6301369863013</c:v>
                </c:pt>
                <c:pt idx="5">
                  <c:v>-551.5151515151515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BC-4FDC-8D84-12060163C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9-43AA-A49C-CAF48CEB6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134</c:v>
                </c:pt>
                <c:pt idx="1">
                  <c:v>-1281</c:v>
                </c:pt>
                <c:pt idx="2">
                  <c:v>-752.22222222222217</c:v>
                </c:pt>
                <c:pt idx="3">
                  <c:v>1100</c:v>
                </c:pt>
                <c:pt idx="4">
                  <c:v>-126.25</c:v>
                </c:pt>
                <c:pt idx="5">
                  <c:v>-449.27536231884056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47-4C76-9287-30638A592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ぱぱ!$L$2:$L$55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7C-448B-AA56-F9DBC599B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-2686.7924528301887</c:v>
                </c:pt>
                <c:pt idx="1">
                  <c:v>1784.9056603773586</c:v>
                </c:pt>
                <c:pt idx="2">
                  <c:v>-1194</c:v>
                </c:pt>
                <c:pt idx="3">
                  <c:v>-4158.695652173913</c:v>
                </c:pt>
                <c:pt idx="4">
                  <c:v>-251.21951219512195</c:v>
                </c:pt>
                <c:pt idx="5">
                  <c:v>-53.846153846153847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3-4FAE-B2DC-5ABB25037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E-41D7-9250-55DDDA788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927.8350515463917</c:v>
                </c:pt>
                <c:pt idx="1">
                  <c:v>237.63440860215053</c:v>
                </c:pt>
                <c:pt idx="2">
                  <c:v>-776.74418604651157</c:v>
                </c:pt>
                <c:pt idx="3">
                  <c:v>1296.2962962962963</c:v>
                </c:pt>
                <c:pt idx="4">
                  <c:v>-1895.9459459459461</c:v>
                </c:pt>
                <c:pt idx="5">
                  <c:v>793.44262295081967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EB-4168-A823-E662ECD72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5-490F-8E00-81BD2A1B9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9-40C9-A130-0C6868BC1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6B-4FC0-BA26-4D94C8567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C-46FF-944F-1A037F7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ほたに!$L$2:$L$21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37-47F6-8766-79F355B32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-1789.4736842105262</c:v>
                </c:pt>
                <c:pt idx="1">
                  <c:v>2684.2105263157896</c:v>
                </c:pt>
                <c:pt idx="2">
                  <c:v>-6316.666666666667</c:v>
                </c:pt>
                <c:pt idx="3">
                  <c:v>-950</c:v>
                </c:pt>
                <c:pt idx="4">
                  <c:v>9793.3333333333339</c:v>
                </c:pt>
                <c:pt idx="5">
                  <c:v>1650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7C-4691-9A71-CF16F32D2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1-4A8F-820F-B97DE15CD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F-472B-A3D0-B9BF4B3AA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BF-4E60-AAB4-3615C7ABF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22-4714-828B-9FE8E5020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8-4038-A690-0F7E0B51F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-5416.666666666667</c:v>
                </c:pt>
                <c:pt idx="1">
                  <c:v>-3366.6666666666665</c:v>
                </c:pt>
                <c:pt idx="2">
                  <c:v>360</c:v>
                </c:pt>
                <c:pt idx="3">
                  <c:v>5680</c:v>
                </c:pt>
                <c:pt idx="4">
                  <c:v>-6525</c:v>
                </c:pt>
                <c:pt idx="5">
                  <c:v>-5675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3-42FB-8A5F-9B38C6DAF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まっつん2!$B$3:$B$100</c:f>
              <c:numCache>
                <c:formatCode>\+0.0;\-0.0;\±0</c:formatCode>
                <c:ptCount val="9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まっつん2!$C$3:$C$100</c:f>
              <c:numCache>
                <c:formatCode>\+0.0;\-0.0;\±0</c:formatCode>
                <c:ptCount val="98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  <c:pt idx="58">
                  <c:v>4.2172413793103454</c:v>
                </c:pt>
                <c:pt idx="59">
                  <c:v>5</c:v>
                </c:pt>
                <c:pt idx="60">
                  <c:v>5.9899999999999993</c:v>
                </c:pt>
                <c:pt idx="61">
                  <c:v>5.6967213114754101</c:v>
                </c:pt>
                <c:pt idx="62">
                  <c:v>5.5741935483870968</c:v>
                </c:pt>
                <c:pt idx="63">
                  <c:v>4.5650793650793657</c:v>
                </c:pt>
                <c:pt idx="64">
                  <c:v>5.0562500000000004</c:v>
                </c:pt>
                <c:pt idx="65">
                  <c:v>5.0553846153846154</c:v>
                </c:pt>
                <c:pt idx="66">
                  <c:v>4.6515151515151514</c:v>
                </c:pt>
                <c:pt idx="67">
                  <c:v>4.0910447761194035</c:v>
                </c:pt>
                <c:pt idx="68">
                  <c:v>4.197058823529412</c:v>
                </c:pt>
                <c:pt idx="69">
                  <c:v>4.7884057971014498</c:v>
                </c:pt>
                <c:pt idx="70">
                  <c:v>5.4642857142857153</c:v>
                </c:pt>
                <c:pt idx="71">
                  <c:v>4.9352112676056343</c:v>
                </c:pt>
                <c:pt idx="72">
                  <c:v>4.2305555555555561</c:v>
                </c:pt>
                <c:pt idx="73">
                  <c:v>3.7671232876712328</c:v>
                </c:pt>
                <c:pt idx="74">
                  <c:v>3.2716216216216214</c:v>
                </c:pt>
                <c:pt idx="75">
                  <c:v>3.4106666666666663</c:v>
                </c:pt>
                <c:pt idx="76">
                  <c:v>2.6092105263157892</c:v>
                </c:pt>
                <c:pt idx="77">
                  <c:v>2.6194805194805193</c:v>
                </c:pt>
                <c:pt idx="78">
                  <c:v>2.4794871794871791</c:v>
                </c:pt>
                <c:pt idx="79">
                  <c:v>1.9189873417721515</c:v>
                </c:pt>
                <c:pt idx="80">
                  <c:v>1.9274999999999995</c:v>
                </c:pt>
                <c:pt idx="81">
                  <c:v>2.6691358024691354</c:v>
                </c:pt>
                <c:pt idx="82">
                  <c:v>2.7536585365853652</c:v>
                </c:pt>
                <c:pt idx="83">
                  <c:v>2.0180722891566258</c:v>
                </c:pt>
                <c:pt idx="84">
                  <c:v>1.5678571428571419</c:v>
                </c:pt>
                <c:pt idx="85">
                  <c:v>1.2141176470588226</c:v>
                </c:pt>
                <c:pt idx="86">
                  <c:v>0.81279069767441781</c:v>
                </c:pt>
                <c:pt idx="87">
                  <c:v>0.21494252873563141</c:v>
                </c:pt>
                <c:pt idx="88">
                  <c:v>-0.5886363636363644</c:v>
                </c:pt>
                <c:pt idx="89">
                  <c:v>-0.84831460674157388</c:v>
                </c:pt>
                <c:pt idx="90">
                  <c:v>-0.73888888888888971</c:v>
                </c:pt>
                <c:pt idx="91">
                  <c:v>-0.43516483516483595</c:v>
                </c:pt>
                <c:pt idx="92">
                  <c:v>-7.6086956521747165E-3</c:v>
                </c:pt>
                <c:pt idx="93">
                  <c:v>0.31827956989247236</c:v>
                </c:pt>
                <c:pt idx="94">
                  <c:v>0.60957446808510563</c:v>
                </c:pt>
                <c:pt idx="95">
                  <c:v>0.4978947368421045</c:v>
                </c:pt>
                <c:pt idx="96">
                  <c:v>0.50937499999999925</c:v>
                </c:pt>
                <c:pt idx="97">
                  <c:v>0.20412371134020543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7401169472777806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まっつん2!$D$3:$D$100</c:f>
              <c:numCache>
                <c:formatCode>0.00\ "位"</c:formatCode>
                <c:ptCount val="98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1.896551724137931</c:v>
                </c:pt>
                <c:pt idx="59">
                  <c:v>1.8813559322033899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1.875</c:v>
                </c:pt>
                <c:pt idx="65">
                  <c:v>1.8769230769230769</c:v>
                </c:pt>
                <c:pt idx="66">
                  <c:v>1.8787878787878789</c:v>
                </c:pt>
                <c:pt idx="67">
                  <c:v>1.8955223880597014</c:v>
                </c:pt>
                <c:pt idx="68">
                  <c:v>1.8970588235294117</c:v>
                </c:pt>
                <c:pt idx="69">
                  <c:v>1.8840579710144927</c:v>
                </c:pt>
                <c:pt idx="70">
                  <c:v>1.8714285714285714</c:v>
                </c:pt>
                <c:pt idx="71">
                  <c:v>1.8873239436619718</c:v>
                </c:pt>
                <c:pt idx="72">
                  <c:v>1.9027777777777777</c:v>
                </c:pt>
                <c:pt idx="73">
                  <c:v>1.904109589041096</c:v>
                </c:pt>
                <c:pt idx="74">
                  <c:v>1.9189189189189189</c:v>
                </c:pt>
                <c:pt idx="75">
                  <c:v>1.92</c:v>
                </c:pt>
                <c:pt idx="76">
                  <c:v>1.9342105263157894</c:v>
                </c:pt>
                <c:pt idx="77">
                  <c:v>1.9350649350649352</c:v>
                </c:pt>
                <c:pt idx="78">
                  <c:v>1.9358974358974359</c:v>
                </c:pt>
                <c:pt idx="79">
                  <c:v>1.9493670886075949</c:v>
                </c:pt>
                <c:pt idx="80">
                  <c:v>1.95</c:v>
                </c:pt>
                <c:pt idx="81">
                  <c:v>1.9382716049382716</c:v>
                </c:pt>
                <c:pt idx="82">
                  <c:v>1.9390243902439024</c:v>
                </c:pt>
                <c:pt idx="83">
                  <c:v>1.9518072289156627</c:v>
                </c:pt>
                <c:pt idx="84">
                  <c:v>1.9642857142857142</c:v>
                </c:pt>
                <c:pt idx="85">
                  <c:v>1.9764705882352942</c:v>
                </c:pt>
                <c:pt idx="86">
                  <c:v>1.9883720930232558</c:v>
                </c:pt>
                <c:pt idx="87">
                  <c:v>2</c:v>
                </c:pt>
                <c:pt idx="88">
                  <c:v>2.0113636363636362</c:v>
                </c:pt>
                <c:pt idx="89">
                  <c:v>2.0224719101123596</c:v>
                </c:pt>
                <c:pt idx="90">
                  <c:v>2.0222222222222221</c:v>
                </c:pt>
                <c:pt idx="91">
                  <c:v>2.0109890109890109</c:v>
                </c:pt>
                <c:pt idx="92">
                  <c:v>2</c:v>
                </c:pt>
                <c:pt idx="93">
                  <c:v>1.989247311827957</c:v>
                </c:pt>
                <c:pt idx="94">
                  <c:v>1.9787234042553192</c:v>
                </c:pt>
                <c:pt idx="95">
                  <c:v>1.9789473684210526</c:v>
                </c:pt>
                <c:pt idx="96">
                  <c:v>1.9791666666666667</c:v>
                </c:pt>
                <c:pt idx="97">
                  <c:v>1.9896907216494846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まっつん2!$E$3:$E$100</c:f>
              <c:numCache>
                <c:formatCode>0.0%</c:formatCode>
                <c:ptCount val="9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0.39655172413793105</c:v>
                </c:pt>
                <c:pt idx="59">
                  <c:v>0.40677966101694918</c:v>
                </c:pt>
                <c:pt idx="60">
                  <c:v>0.41666666666666669</c:v>
                </c:pt>
                <c:pt idx="61">
                  <c:v>0.4098360655737705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0.40625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0.38805970149253732</c:v>
                </c:pt>
                <c:pt idx="68">
                  <c:v>0.38235294117647056</c:v>
                </c:pt>
                <c:pt idx="69">
                  <c:v>0.39130434782608697</c:v>
                </c:pt>
                <c:pt idx="70">
                  <c:v>0.4</c:v>
                </c:pt>
                <c:pt idx="71">
                  <c:v>0.39436619718309857</c:v>
                </c:pt>
                <c:pt idx="72">
                  <c:v>0.3888888888888889</c:v>
                </c:pt>
                <c:pt idx="73">
                  <c:v>0.38356164383561642</c:v>
                </c:pt>
                <c:pt idx="74">
                  <c:v>0.3783783783783784</c:v>
                </c:pt>
                <c:pt idx="75">
                  <c:v>0.37333333333333335</c:v>
                </c:pt>
                <c:pt idx="76">
                  <c:v>0.36842105263157893</c:v>
                </c:pt>
                <c:pt idx="77">
                  <c:v>0.36363636363636365</c:v>
                </c:pt>
                <c:pt idx="78">
                  <c:v>0.35897435897435898</c:v>
                </c:pt>
                <c:pt idx="79">
                  <c:v>0.35443037974683544</c:v>
                </c:pt>
                <c:pt idx="80">
                  <c:v>0.35</c:v>
                </c:pt>
                <c:pt idx="81">
                  <c:v>0.35802469135802467</c:v>
                </c:pt>
                <c:pt idx="82">
                  <c:v>0.35365853658536583</c:v>
                </c:pt>
                <c:pt idx="83">
                  <c:v>0.3493975903614458</c:v>
                </c:pt>
                <c:pt idx="84">
                  <c:v>0.34523809523809523</c:v>
                </c:pt>
                <c:pt idx="85">
                  <c:v>0.3411764705882353</c:v>
                </c:pt>
                <c:pt idx="86">
                  <c:v>0.33720930232558138</c:v>
                </c:pt>
                <c:pt idx="87">
                  <c:v>0.33333333333333331</c:v>
                </c:pt>
                <c:pt idx="88">
                  <c:v>0.32954545454545453</c:v>
                </c:pt>
                <c:pt idx="89">
                  <c:v>0.3258426966292135</c:v>
                </c:pt>
                <c:pt idx="90">
                  <c:v>0.32222222222222224</c:v>
                </c:pt>
                <c:pt idx="91">
                  <c:v>0.32967032967032966</c:v>
                </c:pt>
                <c:pt idx="92">
                  <c:v>0.33695652173913043</c:v>
                </c:pt>
                <c:pt idx="93">
                  <c:v>0.34408602150537637</c:v>
                </c:pt>
                <c:pt idx="94">
                  <c:v>0.35106382978723405</c:v>
                </c:pt>
                <c:pt idx="95">
                  <c:v>0.3473684210526316</c:v>
                </c:pt>
                <c:pt idx="96">
                  <c:v>0.34375</c:v>
                </c:pt>
                <c:pt idx="97">
                  <c:v>0.34020618556701032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まっつん2!$F$3:$F$100</c:f>
              <c:numCache>
                <c:formatCode>0.0%</c:formatCode>
                <c:ptCount val="98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  <c:pt idx="58">
                  <c:v>0.29310344827586204</c:v>
                </c:pt>
                <c:pt idx="59">
                  <c:v>0.28813559322033899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0.27692307692307694</c:v>
                </c:pt>
                <c:pt idx="66">
                  <c:v>0.27272727272727271</c:v>
                </c:pt>
                <c:pt idx="67">
                  <c:v>0.28358208955223879</c:v>
                </c:pt>
                <c:pt idx="68">
                  <c:v>0.27941176470588236</c:v>
                </c:pt>
                <c:pt idx="69">
                  <c:v>0.27536231884057971</c:v>
                </c:pt>
                <c:pt idx="70">
                  <c:v>0.27142857142857141</c:v>
                </c:pt>
                <c:pt idx="71">
                  <c:v>0.28169014084507044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0.29729729729729731</c:v>
                </c:pt>
                <c:pt idx="75">
                  <c:v>0.29333333333333333</c:v>
                </c:pt>
                <c:pt idx="76">
                  <c:v>0.30263157894736842</c:v>
                </c:pt>
                <c:pt idx="77">
                  <c:v>0.29870129870129869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0.30120481927710846</c:v>
                </c:pt>
                <c:pt idx="84">
                  <c:v>0.30952380952380953</c:v>
                </c:pt>
                <c:pt idx="85">
                  <c:v>0.31764705882352939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  <c:pt idx="89">
                  <c:v>0.34831460674157305</c:v>
                </c:pt>
                <c:pt idx="90">
                  <c:v>0.34444444444444444</c:v>
                </c:pt>
                <c:pt idx="91">
                  <c:v>0.34065934065934067</c:v>
                </c:pt>
                <c:pt idx="92">
                  <c:v>0.33695652173913043</c:v>
                </c:pt>
                <c:pt idx="93">
                  <c:v>0.33333333333333331</c:v>
                </c:pt>
                <c:pt idx="94">
                  <c:v>0.32978723404255317</c:v>
                </c:pt>
                <c:pt idx="95">
                  <c:v>0.32631578947368423</c:v>
                </c:pt>
                <c:pt idx="96">
                  <c:v>0.32291666666666669</c:v>
                </c:pt>
                <c:pt idx="97">
                  <c:v>0.32989690721649484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まっつん2!$G$3:$G$100</c:f>
              <c:numCache>
                <c:formatCode>0.0%</c:formatCode>
                <c:ptCount val="98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  <c:pt idx="58">
                  <c:v>0.30916844349680173</c:v>
                </c:pt>
                <c:pt idx="59">
                  <c:v>0.30721649484536084</c:v>
                </c:pt>
                <c:pt idx="60">
                  <c:v>0.30894308943089432</c:v>
                </c:pt>
                <c:pt idx="61">
                  <c:v>0.30645161290322581</c:v>
                </c:pt>
                <c:pt idx="62">
                  <c:v>0.3061630218687873</c:v>
                </c:pt>
                <c:pt idx="63">
                  <c:v>0.30078125</c:v>
                </c:pt>
                <c:pt idx="64">
                  <c:v>0.30250481695568399</c:v>
                </c:pt>
                <c:pt idx="65">
                  <c:v>0.30285714285714288</c:v>
                </c:pt>
                <c:pt idx="66">
                  <c:v>0.29906542056074764</c:v>
                </c:pt>
                <c:pt idx="67">
                  <c:v>0.29520295202952029</c:v>
                </c:pt>
                <c:pt idx="68">
                  <c:v>0.29454545454545455</c:v>
                </c:pt>
                <c:pt idx="69">
                  <c:v>0.29749103942652327</c:v>
                </c:pt>
                <c:pt idx="70">
                  <c:v>0.29720279720279719</c:v>
                </c:pt>
                <c:pt idx="71">
                  <c:v>0.29776247848537007</c:v>
                </c:pt>
                <c:pt idx="72">
                  <c:v>0.29471890971039183</c:v>
                </c:pt>
                <c:pt idx="73">
                  <c:v>0.29194630872483224</c:v>
                </c:pt>
                <c:pt idx="74">
                  <c:v>0.28855721393034828</c:v>
                </c:pt>
                <c:pt idx="75">
                  <c:v>0.28852459016393445</c:v>
                </c:pt>
                <c:pt idx="76">
                  <c:v>0.2861788617886179</c:v>
                </c:pt>
                <c:pt idx="77">
                  <c:v>0.2861736334405145</c:v>
                </c:pt>
                <c:pt idx="78">
                  <c:v>0.28459119496855345</c:v>
                </c:pt>
                <c:pt idx="79">
                  <c:v>0.28217054263565894</c:v>
                </c:pt>
                <c:pt idx="80">
                  <c:v>0.28374233128834359</c:v>
                </c:pt>
                <c:pt idx="81">
                  <c:v>0.28657616892911009</c:v>
                </c:pt>
                <c:pt idx="82">
                  <c:v>0.28528974739970281</c:v>
                </c:pt>
                <c:pt idx="83">
                  <c:v>0.28193832599118945</c:v>
                </c:pt>
                <c:pt idx="84">
                  <c:v>0.27971014492753621</c:v>
                </c:pt>
                <c:pt idx="85">
                  <c:v>0.27873563218390807</c:v>
                </c:pt>
                <c:pt idx="86">
                  <c:v>0.27620396600566571</c:v>
                </c:pt>
                <c:pt idx="87">
                  <c:v>0.27489481065918653</c:v>
                </c:pt>
                <c:pt idx="88">
                  <c:v>0.27323162274618584</c:v>
                </c:pt>
                <c:pt idx="89">
                  <c:v>0.27235213204951858</c:v>
                </c:pt>
                <c:pt idx="90">
                  <c:v>0.27309782608695654</c:v>
                </c:pt>
                <c:pt idx="91">
                  <c:v>0.2767379679144385</c:v>
                </c:pt>
                <c:pt idx="92">
                  <c:v>0.27777777777777779</c:v>
                </c:pt>
                <c:pt idx="93">
                  <c:v>0.27748691099476441</c:v>
                </c:pt>
                <c:pt idx="94">
                  <c:v>0.2779220779220779</c:v>
                </c:pt>
                <c:pt idx="95">
                  <c:v>0.27684346701164297</c:v>
                </c:pt>
                <c:pt idx="96">
                  <c:v>0.27458492975734355</c:v>
                </c:pt>
                <c:pt idx="97">
                  <c:v>0.27490542244640603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438934802571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まっつん2!$H$3:$H$100</c:f>
              <c:numCache>
                <c:formatCode>0.0%</c:formatCode>
                <c:ptCount val="98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  <c:pt idx="58">
                  <c:v>0.15351812366737741</c:v>
                </c:pt>
                <c:pt idx="59">
                  <c:v>0.15257731958762888</c:v>
                </c:pt>
                <c:pt idx="60">
                  <c:v>0.15040650406504066</c:v>
                </c:pt>
                <c:pt idx="61">
                  <c:v>0.14919354838709678</c:v>
                </c:pt>
                <c:pt idx="62">
                  <c:v>0.14910536779324055</c:v>
                </c:pt>
                <c:pt idx="63">
                  <c:v>0.1484375</c:v>
                </c:pt>
                <c:pt idx="64">
                  <c:v>0.14836223506743737</c:v>
                </c:pt>
                <c:pt idx="65">
                  <c:v>0.15047619047619049</c:v>
                </c:pt>
                <c:pt idx="66">
                  <c:v>0.15140186915887852</c:v>
                </c:pt>
                <c:pt idx="67">
                  <c:v>0.15313653136531366</c:v>
                </c:pt>
                <c:pt idx="68">
                  <c:v>0.15090909090909091</c:v>
                </c:pt>
                <c:pt idx="69">
                  <c:v>0.14874551971326164</c:v>
                </c:pt>
                <c:pt idx="70">
                  <c:v>0.14685314685314685</c:v>
                </c:pt>
                <c:pt idx="71">
                  <c:v>0.14802065404475043</c:v>
                </c:pt>
                <c:pt idx="72">
                  <c:v>0.14991482112436116</c:v>
                </c:pt>
                <c:pt idx="73">
                  <c:v>0.1476510067114094</c:v>
                </c:pt>
                <c:pt idx="74">
                  <c:v>0.14925373134328357</c:v>
                </c:pt>
                <c:pt idx="75">
                  <c:v>0.14754098360655737</c:v>
                </c:pt>
                <c:pt idx="76">
                  <c:v>0.14959349593495935</c:v>
                </c:pt>
                <c:pt idx="77">
                  <c:v>0.14790996784565916</c:v>
                </c:pt>
                <c:pt idx="78">
                  <c:v>0.14622641509433962</c:v>
                </c:pt>
                <c:pt idx="79">
                  <c:v>0.14728682170542637</c:v>
                </c:pt>
                <c:pt idx="80">
                  <c:v>0.14723926380368099</c:v>
                </c:pt>
                <c:pt idx="81">
                  <c:v>0.14630467571644043</c:v>
                </c:pt>
                <c:pt idx="82">
                  <c:v>0.14710252600297177</c:v>
                </c:pt>
                <c:pt idx="83">
                  <c:v>0.14831130690161526</c:v>
                </c:pt>
                <c:pt idx="84">
                  <c:v>0.14927536231884059</c:v>
                </c:pt>
                <c:pt idx="85">
                  <c:v>0.14942528735632185</c:v>
                </c:pt>
                <c:pt idx="86">
                  <c:v>0.14730878186968838</c:v>
                </c:pt>
                <c:pt idx="87">
                  <c:v>0.15007012622720897</c:v>
                </c:pt>
                <c:pt idx="88">
                  <c:v>0.15117891816920942</c:v>
                </c:pt>
                <c:pt idx="89">
                  <c:v>0.1499312242090784</c:v>
                </c:pt>
                <c:pt idx="90">
                  <c:v>0.15081521739130435</c:v>
                </c:pt>
                <c:pt idx="91">
                  <c:v>0.15240641711229946</c:v>
                </c:pt>
                <c:pt idx="92">
                  <c:v>0.15079365079365079</c:v>
                </c:pt>
                <c:pt idx="93">
                  <c:v>0.15052356020942409</c:v>
                </c:pt>
                <c:pt idx="94">
                  <c:v>0.15064935064935064</c:v>
                </c:pt>
                <c:pt idx="95">
                  <c:v>0.1500646830530401</c:v>
                </c:pt>
                <c:pt idx="96">
                  <c:v>0.14942528735632185</c:v>
                </c:pt>
                <c:pt idx="97">
                  <c:v>0.15006305170239598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338711793257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まっつん2!$I$3:$I$100</c:f>
              <c:numCache>
                <c:formatCode>0</c:formatCode>
                <c:ptCount val="98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  <c:pt idx="58">
                  <c:v>8762.0689655172409</c:v>
                </c:pt>
                <c:pt idx="59">
                  <c:v>8833.5570469798658</c:v>
                </c:pt>
                <c:pt idx="60">
                  <c:v>8948.0263157894733</c:v>
                </c:pt>
                <c:pt idx="61">
                  <c:v>8948.0263157894733</c:v>
                </c:pt>
                <c:pt idx="62">
                  <c:v>8912.9870129870123</c:v>
                </c:pt>
                <c:pt idx="63">
                  <c:v>8912.9870129870123</c:v>
                </c:pt>
                <c:pt idx="64">
                  <c:v>8923.5668789808915</c:v>
                </c:pt>
                <c:pt idx="65">
                  <c:v>8937.1069182389929</c:v>
                </c:pt>
                <c:pt idx="66">
                  <c:v>8905.625</c:v>
                </c:pt>
                <c:pt idx="67">
                  <c:v>8905.625</c:v>
                </c:pt>
                <c:pt idx="68">
                  <c:v>8905.5555555555547</c:v>
                </c:pt>
                <c:pt idx="69">
                  <c:v>8931.9277108433744</c:v>
                </c:pt>
                <c:pt idx="70">
                  <c:v>9014.1176470588234</c:v>
                </c:pt>
                <c:pt idx="71">
                  <c:v>8984.9710982658962</c:v>
                </c:pt>
                <c:pt idx="72">
                  <c:v>8984.9710982658962</c:v>
                </c:pt>
                <c:pt idx="73">
                  <c:v>8979.310344827587</c:v>
                </c:pt>
                <c:pt idx="74">
                  <c:v>8979.310344827587</c:v>
                </c:pt>
                <c:pt idx="75">
                  <c:v>8982.954545454546</c:v>
                </c:pt>
                <c:pt idx="76">
                  <c:v>8982.954545454546</c:v>
                </c:pt>
                <c:pt idx="77">
                  <c:v>8989.8876404494385</c:v>
                </c:pt>
                <c:pt idx="78">
                  <c:v>8916.5745856353587</c:v>
                </c:pt>
                <c:pt idx="79">
                  <c:v>8910.4395604395613</c:v>
                </c:pt>
                <c:pt idx="80">
                  <c:v>8837.8378378378384</c:v>
                </c:pt>
                <c:pt idx="81">
                  <c:v>8883.6842105263149</c:v>
                </c:pt>
                <c:pt idx="82">
                  <c:v>8895.3125</c:v>
                </c:pt>
                <c:pt idx="83">
                  <c:v>8895.3125</c:v>
                </c:pt>
                <c:pt idx="84">
                  <c:v>8861.6580310880836</c:v>
                </c:pt>
                <c:pt idx="85">
                  <c:v>8855.6701030927834</c:v>
                </c:pt>
                <c:pt idx="86">
                  <c:v>8892.3076923076915</c:v>
                </c:pt>
                <c:pt idx="87">
                  <c:v>8861.224489795919</c:v>
                </c:pt>
                <c:pt idx="88">
                  <c:v>8845.6852791878173</c:v>
                </c:pt>
                <c:pt idx="89">
                  <c:v>8841.4141414141413</c:v>
                </c:pt>
                <c:pt idx="90">
                  <c:v>8868.6567164179105</c:v>
                </c:pt>
                <c:pt idx="91">
                  <c:v>8809.6618357487914</c:v>
                </c:pt>
                <c:pt idx="92">
                  <c:v>8806.1904761904771</c:v>
                </c:pt>
                <c:pt idx="93">
                  <c:v>8836.3207547169804</c:v>
                </c:pt>
                <c:pt idx="94">
                  <c:v>8841.5887850467298</c:v>
                </c:pt>
                <c:pt idx="95">
                  <c:v>8841.5887850467298</c:v>
                </c:pt>
                <c:pt idx="96">
                  <c:v>8874.8837209302328</c:v>
                </c:pt>
                <c:pt idx="97">
                  <c:v>8802.2935779816507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20.79120879120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まっつん2!$J$3:$J$100</c:f>
              <c:numCache>
                <c:formatCode>0</c:formatCode>
                <c:ptCount val="98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  <c:pt idx="58">
                  <c:v>-7793.0555555555557</c:v>
                </c:pt>
                <c:pt idx="59">
                  <c:v>-7635.135135135135</c:v>
                </c:pt>
                <c:pt idx="60">
                  <c:v>-7635.135135135135</c:v>
                </c:pt>
                <c:pt idx="61">
                  <c:v>-7635.135135135135</c:v>
                </c:pt>
                <c:pt idx="62">
                  <c:v>-7568</c:v>
                </c:pt>
                <c:pt idx="63">
                  <c:v>-7626.3157894736842</c:v>
                </c:pt>
                <c:pt idx="64">
                  <c:v>-7553.2467532467535</c:v>
                </c:pt>
                <c:pt idx="65">
                  <c:v>-7539.2405063291135</c:v>
                </c:pt>
                <c:pt idx="66">
                  <c:v>-7460.4938271604942</c:v>
                </c:pt>
                <c:pt idx="67">
                  <c:v>-7336.1445783132531</c:v>
                </c:pt>
                <c:pt idx="68">
                  <c:v>-7336.1445783132531</c:v>
                </c:pt>
                <c:pt idx="69">
                  <c:v>-7336.1445783132531</c:v>
                </c:pt>
                <c:pt idx="70">
                  <c:v>-7266.666666666667</c:v>
                </c:pt>
                <c:pt idx="71">
                  <c:v>-7139.5348837209303</c:v>
                </c:pt>
                <c:pt idx="72">
                  <c:v>-7112.5</c:v>
                </c:pt>
                <c:pt idx="73">
                  <c:v>-7112.5</c:v>
                </c:pt>
                <c:pt idx="74">
                  <c:v>-7047.7777777777774</c:v>
                </c:pt>
                <c:pt idx="75">
                  <c:v>-7047.7777777777774</c:v>
                </c:pt>
                <c:pt idx="76">
                  <c:v>-7155.434782608696</c:v>
                </c:pt>
                <c:pt idx="77">
                  <c:v>-7155.434782608696</c:v>
                </c:pt>
                <c:pt idx="78">
                  <c:v>-7161.2903225806449</c:v>
                </c:pt>
                <c:pt idx="79">
                  <c:v>-7164.2105263157891</c:v>
                </c:pt>
                <c:pt idx="80">
                  <c:v>-7110.416666666667</c:v>
                </c:pt>
                <c:pt idx="81">
                  <c:v>-7119.5876288659792</c:v>
                </c:pt>
                <c:pt idx="82">
                  <c:v>-7015.151515151515</c:v>
                </c:pt>
                <c:pt idx="83">
                  <c:v>-7092.0792079207922</c:v>
                </c:pt>
                <c:pt idx="84">
                  <c:v>-7048.5436893203887</c:v>
                </c:pt>
                <c:pt idx="85">
                  <c:v>-7030.7692307692305</c:v>
                </c:pt>
                <c:pt idx="86">
                  <c:v>-7030.7692307692305</c:v>
                </c:pt>
                <c:pt idx="87">
                  <c:v>-7076.6355140186915</c:v>
                </c:pt>
                <c:pt idx="88">
                  <c:v>-7214.6788990825689</c:v>
                </c:pt>
                <c:pt idx="89">
                  <c:v>-7214.6788990825689</c:v>
                </c:pt>
                <c:pt idx="90">
                  <c:v>-7185.5855855855852</c:v>
                </c:pt>
                <c:pt idx="91">
                  <c:v>-7247.3684210526317</c:v>
                </c:pt>
                <c:pt idx="92">
                  <c:v>-7247.3684210526317</c:v>
                </c:pt>
                <c:pt idx="93">
                  <c:v>-7251.304347826087</c:v>
                </c:pt>
                <c:pt idx="94">
                  <c:v>-7257.7586206896549</c:v>
                </c:pt>
                <c:pt idx="95">
                  <c:v>-7257.7586206896549</c:v>
                </c:pt>
                <c:pt idx="96">
                  <c:v>-7229.0598290598291</c:v>
                </c:pt>
                <c:pt idx="97">
                  <c:v>-7187.3949579831933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89.35331230283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まっつん2!$K$3:$K$100</c:f>
              <c:numCache>
                <c:formatCode>0.0%</c:formatCode>
                <c:ptCount val="9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  <c:pt idx="58">
                  <c:v>0.15517241379310345</c:v>
                </c:pt>
                <c:pt idx="59">
                  <c:v>0.15254237288135594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0.15873015873015872</c:v>
                </c:pt>
                <c:pt idx="64">
                  <c:v>0.15625</c:v>
                </c:pt>
                <c:pt idx="65">
                  <c:v>0.15384615384615385</c:v>
                </c:pt>
                <c:pt idx="66">
                  <c:v>0.15151515151515152</c:v>
                </c:pt>
                <c:pt idx="67">
                  <c:v>0.14925373134328357</c:v>
                </c:pt>
                <c:pt idx="68">
                  <c:v>0.14705882352941177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0.14473684210526316</c:v>
                </c:pt>
                <c:pt idx="77">
                  <c:v>0.14285714285714285</c:v>
                </c:pt>
                <c:pt idx="78">
                  <c:v>0.14102564102564102</c:v>
                </c:pt>
                <c:pt idx="79">
                  <c:v>0.13924050632911392</c:v>
                </c:pt>
                <c:pt idx="80">
                  <c:v>0.13750000000000001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0.14457831325301204</c:v>
                </c:pt>
                <c:pt idx="84">
                  <c:v>0.14285714285714285</c:v>
                </c:pt>
                <c:pt idx="85">
                  <c:v>0.14117647058823529</c:v>
                </c:pt>
                <c:pt idx="86">
                  <c:v>0.13953488372093023</c:v>
                </c:pt>
                <c:pt idx="87">
                  <c:v>0.13793103448275862</c:v>
                </c:pt>
                <c:pt idx="88">
                  <c:v>0.14772727272727273</c:v>
                </c:pt>
                <c:pt idx="89">
                  <c:v>0.14606741573033707</c:v>
                </c:pt>
                <c:pt idx="90">
                  <c:v>0.14444444444444443</c:v>
                </c:pt>
                <c:pt idx="91">
                  <c:v>0.14285714285714285</c:v>
                </c:pt>
                <c:pt idx="92">
                  <c:v>0.14130434782608695</c:v>
                </c:pt>
                <c:pt idx="93">
                  <c:v>0.13978494623655913</c:v>
                </c:pt>
                <c:pt idx="94">
                  <c:v>0.13829787234042554</c:v>
                </c:pt>
                <c:pt idx="95">
                  <c:v>0.1368421052631579</c:v>
                </c:pt>
                <c:pt idx="96">
                  <c:v>0.13541666666666666</c:v>
                </c:pt>
                <c:pt idx="97">
                  <c:v>0.13402061855670103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8736383442265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まっつん2!$L$3:$L$100</c:f>
              <c:numCache>
                <c:formatCode>0.0%</c:formatCode>
                <c:ptCount val="9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  <c:pt idx="58">
                  <c:v>0.13793103448275862</c:v>
                </c:pt>
                <c:pt idx="59">
                  <c:v>0.13559322033898305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0.14285714285714285</c:v>
                </c:pt>
                <c:pt idx="64">
                  <c:v>0.140625</c:v>
                </c:pt>
                <c:pt idx="65">
                  <c:v>0.13846153846153847</c:v>
                </c:pt>
                <c:pt idx="66">
                  <c:v>0.13636363636363635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0.13157894736842105</c:v>
                </c:pt>
                <c:pt idx="77">
                  <c:v>0.12987012987012986</c:v>
                </c:pt>
                <c:pt idx="78">
                  <c:v>0.12820512820512819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  <c:pt idx="89">
                  <c:v>0.12359550561797752</c:v>
                </c:pt>
                <c:pt idx="90">
                  <c:v>0.12222222222222222</c:v>
                </c:pt>
                <c:pt idx="91">
                  <c:v>0.12087912087912088</c:v>
                </c:pt>
                <c:pt idx="92">
                  <c:v>0.11956521739130435</c:v>
                </c:pt>
                <c:pt idx="93">
                  <c:v>0.11827956989247312</c:v>
                </c:pt>
                <c:pt idx="94">
                  <c:v>0.11702127659574468</c:v>
                </c:pt>
                <c:pt idx="95">
                  <c:v>0.11578947368421053</c:v>
                </c:pt>
                <c:pt idx="96">
                  <c:v>0.11458333333333333</c:v>
                </c:pt>
                <c:pt idx="97">
                  <c:v>0.1134020618556701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8736383442265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まっつん2!$M$3:$M$100</c:f>
              <c:numCache>
                <c:formatCode>0.0%</c:formatCode>
                <c:ptCount val="98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  <c:pt idx="58">
                  <c:v>0.28358208955223879</c:v>
                </c:pt>
                <c:pt idx="59">
                  <c:v>0.2907216494845361</c:v>
                </c:pt>
                <c:pt idx="60">
                  <c:v>0.29065040650406504</c:v>
                </c:pt>
                <c:pt idx="61">
                  <c:v>0.29032258064516131</c:v>
                </c:pt>
                <c:pt idx="62">
                  <c:v>0.2922465208747515</c:v>
                </c:pt>
                <c:pt idx="63">
                  <c:v>0.29296875</c:v>
                </c:pt>
                <c:pt idx="64">
                  <c:v>0.2947976878612717</c:v>
                </c:pt>
                <c:pt idx="65">
                  <c:v>0.29523809523809524</c:v>
                </c:pt>
                <c:pt idx="66">
                  <c:v>0.29158878504672897</c:v>
                </c:pt>
                <c:pt idx="67">
                  <c:v>0.28966789667896681</c:v>
                </c:pt>
                <c:pt idx="68">
                  <c:v>0.29090909090909089</c:v>
                </c:pt>
                <c:pt idx="69">
                  <c:v>0.29569892473118281</c:v>
                </c:pt>
                <c:pt idx="70">
                  <c:v>0.2937062937062937</c:v>
                </c:pt>
                <c:pt idx="71">
                  <c:v>0.29432013769363169</c:v>
                </c:pt>
                <c:pt idx="72">
                  <c:v>0.29131175468483816</c:v>
                </c:pt>
                <c:pt idx="73">
                  <c:v>0.29026845637583892</c:v>
                </c:pt>
                <c:pt idx="74">
                  <c:v>0.29021558872305142</c:v>
                </c:pt>
                <c:pt idx="75">
                  <c:v>0.29180327868852457</c:v>
                </c:pt>
                <c:pt idx="76">
                  <c:v>0.2943089430894309</c:v>
                </c:pt>
                <c:pt idx="77">
                  <c:v>0.297427652733119</c:v>
                </c:pt>
                <c:pt idx="78">
                  <c:v>0.29402515723270439</c:v>
                </c:pt>
                <c:pt idx="79">
                  <c:v>0.29457364341085274</c:v>
                </c:pt>
                <c:pt idx="80">
                  <c:v>0.29754601226993865</c:v>
                </c:pt>
                <c:pt idx="81">
                  <c:v>0.29864253393665158</c:v>
                </c:pt>
                <c:pt idx="82">
                  <c:v>0.29569093610698366</c:v>
                </c:pt>
                <c:pt idx="83">
                  <c:v>0.29368575624082233</c:v>
                </c:pt>
                <c:pt idx="84">
                  <c:v>0.28985507246376813</c:v>
                </c:pt>
                <c:pt idx="85">
                  <c:v>0.28879310344827586</c:v>
                </c:pt>
                <c:pt idx="86">
                  <c:v>0.28611898016997167</c:v>
                </c:pt>
                <c:pt idx="87">
                  <c:v>0.28611500701262271</c:v>
                </c:pt>
                <c:pt idx="88">
                  <c:v>0.28294036061026351</c:v>
                </c:pt>
                <c:pt idx="89">
                  <c:v>0.28198074277854196</c:v>
                </c:pt>
                <c:pt idx="90">
                  <c:v>0.27989130434782611</c:v>
                </c:pt>
                <c:pt idx="91">
                  <c:v>0.28074866310160429</c:v>
                </c:pt>
                <c:pt idx="92">
                  <c:v>0.28042328042328041</c:v>
                </c:pt>
                <c:pt idx="93">
                  <c:v>0.281413612565445</c:v>
                </c:pt>
                <c:pt idx="94">
                  <c:v>0.2818181818181818</c:v>
                </c:pt>
                <c:pt idx="95">
                  <c:v>0.28072445019404918</c:v>
                </c:pt>
                <c:pt idx="96">
                  <c:v>0.27713920817369092</c:v>
                </c:pt>
                <c:pt idx="97">
                  <c:v>0.27742749054224464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9054178145087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まっつん2!$N$3:$N$100</c:f>
              <c:numCache>
                <c:formatCode>0.0%</c:formatCode>
                <c:ptCount val="98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  <c:pt idx="58">
                  <c:v>0.18550106609808104</c:v>
                </c:pt>
                <c:pt idx="59">
                  <c:v>0.18144329896907216</c:v>
                </c:pt>
                <c:pt idx="60">
                  <c:v>0.17886178861788618</c:v>
                </c:pt>
                <c:pt idx="61">
                  <c:v>0.18145161290322581</c:v>
                </c:pt>
                <c:pt idx="62">
                  <c:v>0.17892644135188868</c:v>
                </c:pt>
                <c:pt idx="63">
                  <c:v>0.177734375</c:v>
                </c:pt>
                <c:pt idx="64">
                  <c:v>0.17533718689788053</c:v>
                </c:pt>
                <c:pt idx="65">
                  <c:v>0.17714285714285713</c:v>
                </c:pt>
                <c:pt idx="66">
                  <c:v>0.18130841121495328</c:v>
                </c:pt>
                <c:pt idx="67">
                  <c:v>0.18265682656826568</c:v>
                </c:pt>
                <c:pt idx="68">
                  <c:v>0.18181818181818182</c:v>
                </c:pt>
                <c:pt idx="69">
                  <c:v>0.17921146953405018</c:v>
                </c:pt>
                <c:pt idx="70">
                  <c:v>0.18356643356643357</c:v>
                </c:pt>
                <c:pt idx="71">
                  <c:v>0.18588640275387264</c:v>
                </c:pt>
                <c:pt idx="72">
                  <c:v>0.18568994889267462</c:v>
                </c:pt>
                <c:pt idx="73">
                  <c:v>0.18456375838926176</c:v>
                </c:pt>
                <c:pt idx="74">
                  <c:v>0.18573797678275289</c:v>
                </c:pt>
                <c:pt idx="75">
                  <c:v>0.18360655737704917</c:v>
                </c:pt>
                <c:pt idx="76">
                  <c:v>0.1821138211382114</c:v>
                </c:pt>
                <c:pt idx="77">
                  <c:v>0.18006430868167203</c:v>
                </c:pt>
                <c:pt idx="78">
                  <c:v>0.17767295597484276</c:v>
                </c:pt>
                <c:pt idx="79">
                  <c:v>0.17674418604651163</c:v>
                </c:pt>
                <c:pt idx="80">
                  <c:v>0.17484662576687116</c:v>
                </c:pt>
                <c:pt idx="81">
                  <c:v>0.17496229260935142</c:v>
                </c:pt>
                <c:pt idx="82">
                  <c:v>0.17533432392273401</c:v>
                </c:pt>
                <c:pt idx="83">
                  <c:v>0.17474302496328928</c:v>
                </c:pt>
                <c:pt idx="84">
                  <c:v>0.17681159420289855</c:v>
                </c:pt>
                <c:pt idx="85">
                  <c:v>0.17816091954022989</c:v>
                </c:pt>
                <c:pt idx="86">
                  <c:v>0.17705382436260622</c:v>
                </c:pt>
                <c:pt idx="87">
                  <c:v>0.17671809256661991</c:v>
                </c:pt>
                <c:pt idx="88">
                  <c:v>0.17891816920943135</c:v>
                </c:pt>
                <c:pt idx="89">
                  <c:v>0.17744154057771663</c:v>
                </c:pt>
                <c:pt idx="90">
                  <c:v>0.18070652173913043</c:v>
                </c:pt>
                <c:pt idx="91">
                  <c:v>0.18449197860962566</c:v>
                </c:pt>
                <c:pt idx="92">
                  <c:v>0.18386243386243387</c:v>
                </c:pt>
                <c:pt idx="93">
                  <c:v>0.18324607329842932</c:v>
                </c:pt>
                <c:pt idx="94">
                  <c:v>0.18311688311688312</c:v>
                </c:pt>
                <c:pt idx="95">
                  <c:v>0.18240620957309184</c:v>
                </c:pt>
                <c:pt idx="96">
                  <c:v>0.18135376756066413</c:v>
                </c:pt>
                <c:pt idx="97">
                  <c:v>0.1828499369482976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290830381739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まっつん2!$O$3:$O$100</c:f>
              <c:numCache>
                <c:formatCode>0.0%</c:formatCode>
                <c:ptCount val="98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  <c:pt idx="58">
                  <c:v>0.66917293233082709</c:v>
                </c:pt>
                <c:pt idx="59">
                  <c:v>0.65957446808510634</c:v>
                </c:pt>
                <c:pt idx="60">
                  <c:v>0.65734265734265729</c:v>
                </c:pt>
                <c:pt idx="61">
                  <c:v>0.65277777777777779</c:v>
                </c:pt>
                <c:pt idx="62">
                  <c:v>0.65306122448979587</c:v>
                </c:pt>
                <c:pt idx="63">
                  <c:v>0.64</c:v>
                </c:pt>
                <c:pt idx="64">
                  <c:v>0.64052287581699341</c:v>
                </c:pt>
                <c:pt idx="65">
                  <c:v>0.64516129032258063</c:v>
                </c:pt>
                <c:pt idx="66">
                  <c:v>0.64102564102564108</c:v>
                </c:pt>
                <c:pt idx="67">
                  <c:v>0.63694267515923564</c:v>
                </c:pt>
                <c:pt idx="68">
                  <c:v>0.63749999999999996</c:v>
                </c:pt>
                <c:pt idx="69">
                  <c:v>0.64242424242424245</c:v>
                </c:pt>
                <c:pt idx="70">
                  <c:v>0.6428571428571429</c:v>
                </c:pt>
                <c:pt idx="71">
                  <c:v>0.63742690058479534</c:v>
                </c:pt>
                <c:pt idx="72">
                  <c:v>0.63742690058479534</c:v>
                </c:pt>
                <c:pt idx="73">
                  <c:v>0.63583815028901736</c:v>
                </c:pt>
                <c:pt idx="74">
                  <c:v>0.62857142857142856</c:v>
                </c:pt>
                <c:pt idx="75">
                  <c:v>0.6292134831460674</c:v>
                </c:pt>
                <c:pt idx="76">
                  <c:v>0.61878453038674031</c:v>
                </c:pt>
                <c:pt idx="77">
                  <c:v>0.61621621621621625</c:v>
                </c:pt>
                <c:pt idx="78">
                  <c:v>0.60962566844919786</c:v>
                </c:pt>
                <c:pt idx="79">
                  <c:v>0.60526315789473684</c:v>
                </c:pt>
                <c:pt idx="80">
                  <c:v>0.60309278350515461</c:v>
                </c:pt>
                <c:pt idx="81">
                  <c:v>0.61111111111111116</c:v>
                </c:pt>
                <c:pt idx="82">
                  <c:v>0.60804020100502509</c:v>
                </c:pt>
                <c:pt idx="83">
                  <c:v>0.60499999999999998</c:v>
                </c:pt>
                <c:pt idx="84">
                  <c:v>0.60499999999999998</c:v>
                </c:pt>
                <c:pt idx="85">
                  <c:v>0.60199004975124382</c:v>
                </c:pt>
                <c:pt idx="86">
                  <c:v>0.60396039603960394</c:v>
                </c:pt>
                <c:pt idx="87">
                  <c:v>0.6029411764705882</c:v>
                </c:pt>
                <c:pt idx="88">
                  <c:v>0.6029411764705882</c:v>
                </c:pt>
                <c:pt idx="89">
                  <c:v>0.60487804878048779</c:v>
                </c:pt>
                <c:pt idx="90">
                  <c:v>0.60679611650485432</c:v>
                </c:pt>
                <c:pt idx="91">
                  <c:v>0.61428571428571432</c:v>
                </c:pt>
                <c:pt idx="92">
                  <c:v>0.61792452830188682</c:v>
                </c:pt>
                <c:pt idx="93">
                  <c:v>0.61395348837209307</c:v>
                </c:pt>
                <c:pt idx="94">
                  <c:v>0.61290322580645162</c:v>
                </c:pt>
                <c:pt idx="95">
                  <c:v>0.61290322580645162</c:v>
                </c:pt>
                <c:pt idx="96">
                  <c:v>0.61290322580645162</c:v>
                </c:pt>
                <c:pt idx="97">
                  <c:v>0.60909090909090913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304241833252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まっつん2!$P$3:$P$100</c:f>
              <c:numCache>
                <c:formatCode>0.0%</c:formatCode>
                <c:ptCount val="98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  <c:pt idx="58">
                  <c:v>0.37931034482758619</c:v>
                </c:pt>
                <c:pt idx="59">
                  <c:v>0.375</c:v>
                </c:pt>
                <c:pt idx="60">
                  <c:v>0.375</c:v>
                </c:pt>
                <c:pt idx="61">
                  <c:v>0.36666666666666664</c:v>
                </c:pt>
                <c:pt idx="62">
                  <c:v>0.36666666666666664</c:v>
                </c:pt>
                <c:pt idx="63">
                  <c:v>0.36263736263736263</c:v>
                </c:pt>
                <c:pt idx="64">
                  <c:v>0.36263736263736263</c:v>
                </c:pt>
                <c:pt idx="65">
                  <c:v>0.35483870967741937</c:v>
                </c:pt>
                <c:pt idx="66">
                  <c:v>0.35051546391752575</c:v>
                </c:pt>
                <c:pt idx="67">
                  <c:v>0.34343434343434343</c:v>
                </c:pt>
                <c:pt idx="68">
                  <c:v>0.34</c:v>
                </c:pt>
                <c:pt idx="69">
                  <c:v>0.34</c:v>
                </c:pt>
                <c:pt idx="70">
                  <c:v>0.33333333333333331</c:v>
                </c:pt>
                <c:pt idx="71">
                  <c:v>0.34259259259259262</c:v>
                </c:pt>
                <c:pt idx="72">
                  <c:v>0.33944954128440369</c:v>
                </c:pt>
                <c:pt idx="73">
                  <c:v>0.33636363636363636</c:v>
                </c:pt>
                <c:pt idx="74">
                  <c:v>0.33035714285714285</c:v>
                </c:pt>
                <c:pt idx="75">
                  <c:v>0.33035714285714285</c:v>
                </c:pt>
                <c:pt idx="76">
                  <c:v>0.33035714285714285</c:v>
                </c:pt>
                <c:pt idx="77">
                  <c:v>0.33035714285714285</c:v>
                </c:pt>
                <c:pt idx="78">
                  <c:v>0.33628318584070799</c:v>
                </c:pt>
                <c:pt idx="79">
                  <c:v>0.33333333333333331</c:v>
                </c:pt>
                <c:pt idx="80">
                  <c:v>0.33333333333333331</c:v>
                </c:pt>
                <c:pt idx="81">
                  <c:v>0.33620689655172414</c:v>
                </c:pt>
                <c:pt idx="82">
                  <c:v>0.34745762711864409</c:v>
                </c:pt>
                <c:pt idx="83">
                  <c:v>0.34453781512605042</c:v>
                </c:pt>
                <c:pt idx="84">
                  <c:v>0.33606557377049179</c:v>
                </c:pt>
                <c:pt idx="85">
                  <c:v>0.33870967741935482</c:v>
                </c:pt>
                <c:pt idx="86">
                  <c:v>0.33600000000000002</c:v>
                </c:pt>
                <c:pt idx="87">
                  <c:v>0.33333333333333331</c:v>
                </c:pt>
                <c:pt idx="88">
                  <c:v>0.33333333333333331</c:v>
                </c:pt>
                <c:pt idx="89">
                  <c:v>0.33333333333333331</c:v>
                </c:pt>
                <c:pt idx="90">
                  <c:v>0.33834586466165412</c:v>
                </c:pt>
                <c:pt idx="91">
                  <c:v>0.34057971014492755</c:v>
                </c:pt>
                <c:pt idx="92">
                  <c:v>0.33812949640287771</c:v>
                </c:pt>
                <c:pt idx="93">
                  <c:v>0.33571428571428569</c:v>
                </c:pt>
                <c:pt idx="94">
                  <c:v>0.34042553191489361</c:v>
                </c:pt>
                <c:pt idx="95">
                  <c:v>0.34042553191489361</c:v>
                </c:pt>
                <c:pt idx="96">
                  <c:v>0.3380281690140845</c:v>
                </c:pt>
                <c:pt idx="97">
                  <c:v>0.33793103448275863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8028342575477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まっつん2!$Q$3:$Q$100</c:f>
              <c:numCache>
                <c:formatCode>0.0%</c:formatCode>
                <c:ptCount val="98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  <c:pt idx="58">
                  <c:v>0.43448275862068964</c:v>
                </c:pt>
                <c:pt idx="59">
                  <c:v>0.44295302013422821</c:v>
                </c:pt>
                <c:pt idx="60">
                  <c:v>0.44736842105263158</c:v>
                </c:pt>
                <c:pt idx="61">
                  <c:v>0.44736842105263158</c:v>
                </c:pt>
                <c:pt idx="62">
                  <c:v>0.44805194805194803</c:v>
                </c:pt>
                <c:pt idx="63">
                  <c:v>0.44805194805194803</c:v>
                </c:pt>
                <c:pt idx="64">
                  <c:v>0.45222929936305734</c:v>
                </c:pt>
                <c:pt idx="65">
                  <c:v>0.44654088050314467</c:v>
                </c:pt>
                <c:pt idx="66">
                  <c:v>0.44374999999999998</c:v>
                </c:pt>
                <c:pt idx="67">
                  <c:v>0.44374999999999998</c:v>
                </c:pt>
                <c:pt idx="68">
                  <c:v>0.43827160493827161</c:v>
                </c:pt>
                <c:pt idx="69">
                  <c:v>0.43975903614457829</c:v>
                </c:pt>
                <c:pt idx="70">
                  <c:v>0.44705882352941179</c:v>
                </c:pt>
                <c:pt idx="71">
                  <c:v>0.44508670520231214</c:v>
                </c:pt>
                <c:pt idx="72">
                  <c:v>0.44508670520231214</c:v>
                </c:pt>
                <c:pt idx="73">
                  <c:v>0.44252873563218392</c:v>
                </c:pt>
                <c:pt idx="74">
                  <c:v>0.44252873563218392</c:v>
                </c:pt>
                <c:pt idx="75">
                  <c:v>0.4375</c:v>
                </c:pt>
                <c:pt idx="76">
                  <c:v>0.4375</c:v>
                </c:pt>
                <c:pt idx="77">
                  <c:v>0.43820224719101125</c:v>
                </c:pt>
                <c:pt idx="78">
                  <c:v>0.43646408839779005</c:v>
                </c:pt>
                <c:pt idx="79">
                  <c:v>0.43956043956043955</c:v>
                </c:pt>
                <c:pt idx="80">
                  <c:v>0.43783783783783786</c:v>
                </c:pt>
                <c:pt idx="81">
                  <c:v>0.43157894736842106</c:v>
                </c:pt>
                <c:pt idx="82">
                  <c:v>0.42708333333333331</c:v>
                </c:pt>
                <c:pt idx="83">
                  <c:v>0.42708333333333331</c:v>
                </c:pt>
                <c:pt idx="84">
                  <c:v>0.42487046632124353</c:v>
                </c:pt>
                <c:pt idx="85">
                  <c:v>0.42268041237113402</c:v>
                </c:pt>
                <c:pt idx="86">
                  <c:v>0.42051282051282052</c:v>
                </c:pt>
                <c:pt idx="87">
                  <c:v>0.42346938775510207</c:v>
                </c:pt>
                <c:pt idx="88">
                  <c:v>0.42131979695431471</c:v>
                </c:pt>
                <c:pt idx="89">
                  <c:v>0.42424242424242425</c:v>
                </c:pt>
                <c:pt idx="90">
                  <c:v>0.42786069651741293</c:v>
                </c:pt>
                <c:pt idx="91">
                  <c:v>0.43961352657004832</c:v>
                </c:pt>
                <c:pt idx="92">
                  <c:v>0.44761904761904764</c:v>
                </c:pt>
                <c:pt idx="93">
                  <c:v>0.44811320754716982</c:v>
                </c:pt>
                <c:pt idx="94">
                  <c:v>0.45327102803738317</c:v>
                </c:pt>
                <c:pt idx="95">
                  <c:v>0.45327102803738317</c:v>
                </c:pt>
                <c:pt idx="96">
                  <c:v>0.45581395348837211</c:v>
                </c:pt>
                <c:pt idx="97">
                  <c:v>0.45871559633027525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4725274725274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92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43625.885787037034</v>
      </c>
      <c r="C62" s="30" t="s">
        <v>130</v>
      </c>
    </row>
    <row r="63" spans="1:7" x14ac:dyDescent="0.4">
      <c r="A63" s="30" t="s">
        <v>253</v>
      </c>
      <c r="B63" s="31">
        <v>43627.998032407406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43636.961435185185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43630.051932870374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43632.957395833335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43632.957395833335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43633.013645833336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43636.961435185185</v>
      </c>
      <c r="C69" s="30" t="s">
        <v>130</v>
      </c>
    </row>
    <row r="70" spans="1:6" x14ac:dyDescent="0.4">
      <c r="A70" s="30" t="s">
        <v>260</v>
      </c>
      <c r="B70" s="31">
        <v>43636.961435185185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43642.023356481484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43643.036689814813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43644.044224537036</v>
      </c>
      <c r="C73" s="30" t="s">
        <v>130</v>
      </c>
    </row>
    <row r="74" spans="1:6" x14ac:dyDescent="0.4">
      <c r="A74" s="30" t="s">
        <v>264</v>
      </c>
      <c r="B74" s="31">
        <v>43644.021412037036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43647.957407407404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43647.957407407404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43647.957407407404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269</v>
      </c>
      <c r="B78" s="31">
        <v>43647.957407407404</v>
      </c>
      <c r="C78" s="30" t="s">
        <v>130</v>
      </c>
      <c r="D78" s="30" t="s">
        <v>131</v>
      </c>
    </row>
    <row r="79" spans="1:6" x14ac:dyDescent="0.4">
      <c r="A79" s="30" t="s">
        <v>268</v>
      </c>
      <c r="B79" s="31">
        <v>43647.957407407404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43649.374351851853</v>
      </c>
      <c r="C80" s="30" t="s">
        <v>130</v>
      </c>
      <c r="D80" s="30" t="s">
        <v>131</v>
      </c>
    </row>
    <row r="81" spans="1:15" x14ac:dyDescent="0.4">
      <c r="A81" s="30" t="s">
        <v>272</v>
      </c>
      <c r="B81" s="31">
        <v>43650.940601851849</v>
      </c>
      <c r="C81" s="30" t="s">
        <v>130</v>
      </c>
      <c r="D81" s="30" t="s">
        <v>131</v>
      </c>
      <c r="E81" s="30" t="s">
        <v>169</v>
      </c>
    </row>
    <row r="82" spans="1:15" x14ac:dyDescent="0.4">
      <c r="A82" s="30" t="s">
        <v>273</v>
      </c>
      <c r="B82" s="31">
        <v>43651.059791666667</v>
      </c>
      <c r="C82" s="30" t="s">
        <v>130</v>
      </c>
      <c r="D82" s="30" t="s">
        <v>131</v>
      </c>
      <c r="E82" s="30" t="s">
        <v>169</v>
      </c>
    </row>
    <row r="83" spans="1:15" x14ac:dyDescent="0.4">
      <c r="A83" s="30" t="s">
        <v>274</v>
      </c>
      <c r="B83" s="31">
        <v>43652.105497685188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5" x14ac:dyDescent="0.4">
      <c r="A84" s="30" t="s">
        <v>275</v>
      </c>
      <c r="B84" s="31">
        <v>43654.012615740743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5" x14ac:dyDescent="0.4">
      <c r="A85" s="30" t="s">
        <v>276</v>
      </c>
      <c r="B85" s="31">
        <v>43662.009675925925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5" x14ac:dyDescent="0.4">
      <c r="A86" s="30" t="s">
        <v>277</v>
      </c>
      <c r="B86" s="31">
        <v>43662.009675925925</v>
      </c>
      <c r="C86" s="30" t="s">
        <v>130</v>
      </c>
    </row>
    <row r="87" spans="1:15" x14ac:dyDescent="0.4">
      <c r="A87" s="30" t="s">
        <v>278</v>
      </c>
      <c r="B87" s="31">
        <v>43662.009675925925</v>
      </c>
      <c r="C87" s="30" t="s">
        <v>130</v>
      </c>
      <c r="D87" s="30" t="s">
        <v>131</v>
      </c>
      <c r="E87" s="30" t="s">
        <v>169</v>
      </c>
    </row>
    <row r="88" spans="1:15" x14ac:dyDescent="0.4">
      <c r="A88" s="30" t="s">
        <v>279</v>
      </c>
      <c r="B88" s="31">
        <v>43662.009675925925</v>
      </c>
      <c r="C88" s="30" t="s">
        <v>130</v>
      </c>
      <c r="D88" s="30" t="s">
        <v>131</v>
      </c>
      <c r="E88" s="30" t="s">
        <v>169</v>
      </c>
    </row>
    <row r="89" spans="1:15" x14ac:dyDescent="0.4">
      <c r="A89" s="30" t="s">
        <v>280</v>
      </c>
      <c r="B89" s="31">
        <v>43662.009675925925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  <row r="90" spans="1:15" x14ac:dyDescent="0.4">
      <c r="A90" s="30" t="s">
        <v>286</v>
      </c>
      <c r="B90" s="31">
        <v>43662.009675925925</v>
      </c>
      <c r="C90" s="30" t="s">
        <v>130</v>
      </c>
      <c r="D90" s="30" t="s">
        <v>131</v>
      </c>
      <c r="E90" s="30" t="s">
        <v>169</v>
      </c>
    </row>
    <row r="91" spans="1:15" x14ac:dyDescent="0.4">
      <c r="A91" s="30" t="s">
        <v>281</v>
      </c>
      <c r="B91" s="31">
        <v>43662.009675925925</v>
      </c>
      <c r="C91" s="30" t="s">
        <v>130</v>
      </c>
      <c r="D91" s="30" t="s">
        <v>131</v>
      </c>
      <c r="E91" s="30" t="s">
        <v>169</v>
      </c>
      <c r="F91" s="30" t="s">
        <v>174</v>
      </c>
      <c r="G91" s="30" t="s">
        <v>175</v>
      </c>
      <c r="H91" s="30" t="s">
        <v>185</v>
      </c>
      <c r="I91" s="30" t="s">
        <v>186</v>
      </c>
      <c r="J91" s="30" t="s">
        <v>187</v>
      </c>
      <c r="K91" s="30" t="s">
        <v>228</v>
      </c>
      <c r="L91" s="30" t="s">
        <v>282</v>
      </c>
      <c r="M91" s="30" t="s">
        <v>283</v>
      </c>
      <c r="N91" s="30" t="s">
        <v>284</v>
      </c>
      <c r="O91" s="30" t="s">
        <v>285</v>
      </c>
    </row>
    <row r="92" spans="1:15" x14ac:dyDescent="0.4">
      <c r="A92" s="30" t="s">
        <v>287</v>
      </c>
      <c r="B92" s="31">
        <v>43662.008599537039</v>
      </c>
      <c r="C92" s="30" t="s">
        <v>130</v>
      </c>
      <c r="D92" s="30" t="s">
        <v>131</v>
      </c>
      <c r="E92" s="30" t="s">
        <v>169</v>
      </c>
      <c r="F92" s="30" t="s">
        <v>174</v>
      </c>
      <c r="G92" s="30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918</v>
      </c>
    </row>
    <row r="2" spans="1:2" x14ac:dyDescent="0.4">
      <c r="A2" t="s">
        <v>127</v>
      </c>
      <c r="B2">
        <v>196</v>
      </c>
    </row>
    <row r="3" spans="1:2" x14ac:dyDescent="0.4">
      <c r="A3" t="s">
        <v>128</v>
      </c>
      <c r="B3">
        <v>159</v>
      </c>
    </row>
    <row r="4" spans="1:2" x14ac:dyDescent="0.4">
      <c r="A4" t="s">
        <v>129</v>
      </c>
      <c r="B4">
        <v>150</v>
      </c>
    </row>
    <row r="5" spans="1:2" x14ac:dyDescent="0.4">
      <c r="A5" t="s">
        <v>171</v>
      </c>
      <c r="B5">
        <v>104</v>
      </c>
    </row>
    <row r="6" spans="1:2" x14ac:dyDescent="0.4">
      <c r="A6" t="s">
        <v>172</v>
      </c>
      <c r="B6">
        <v>100</v>
      </c>
    </row>
    <row r="7" spans="1:2" x14ac:dyDescent="0.4">
      <c r="A7" t="s">
        <v>173</v>
      </c>
      <c r="B7">
        <v>53</v>
      </c>
    </row>
    <row r="8" spans="1:2" x14ac:dyDescent="0.4">
      <c r="A8" t="s">
        <v>177</v>
      </c>
      <c r="B8">
        <v>97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19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0.97272461834287893</v>
      </c>
      <c r="G2" s="159"/>
      <c r="H2" s="158">
        <v>0.70238478537688975</v>
      </c>
      <c r="I2" s="159"/>
      <c r="J2" s="158">
        <v>0.89926122471883674</v>
      </c>
      <c r="K2" s="159"/>
      <c r="L2" s="158">
        <v>0.7056000595215306</v>
      </c>
      <c r="M2" s="159"/>
      <c r="N2" s="158">
        <v>0.72685232861989313</v>
      </c>
      <c r="O2" s="159"/>
      <c r="P2" s="158">
        <v>0.3241365043156143</v>
      </c>
      <c r="Q2" s="159"/>
      <c r="R2" s="158">
        <v>0.50277207076369057</v>
      </c>
      <c r="S2" s="159"/>
      <c r="T2" s="158">
        <v>0.62825587834489838</v>
      </c>
      <c r="U2" s="159"/>
      <c r="V2" s="158">
        <v>0.51795064054071749</v>
      </c>
      <c r="W2" s="159"/>
      <c r="X2" s="158">
        <v>0.57233514084786574</v>
      </c>
      <c r="Y2" s="159"/>
      <c r="Z2" s="158">
        <v>9.5244125002628952E-2</v>
      </c>
      <c r="AA2" s="159"/>
      <c r="AB2" s="158">
        <v>-5.8747361251244065E-2</v>
      </c>
      <c r="AC2" s="159"/>
      <c r="AD2" s="158">
        <v>0.75206345034919431</v>
      </c>
      <c r="AE2" s="159"/>
      <c r="AF2" s="158">
        <v>-1.4847725859333669E-2</v>
      </c>
      <c r="AG2" s="159"/>
      <c r="AH2" s="158">
        <v>0.58473255946440461</v>
      </c>
      <c r="AI2" s="159"/>
    </row>
    <row r="3" spans="1:35" x14ac:dyDescent="0.4">
      <c r="A3" s="74">
        <v>1</v>
      </c>
      <c r="B3" s="75" t="s">
        <v>127</v>
      </c>
      <c r="C3" s="76">
        <v>2442.9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0.30267246737103792</v>
      </c>
      <c r="Z3" s="77" t="s">
        <v>223</v>
      </c>
      <c r="AA3" s="80">
        <v>0.36956521739130432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223</v>
      </c>
      <c r="C4" s="84">
        <v>100.39999999999999</v>
      </c>
      <c r="D4" s="85" t="s">
        <v>223</v>
      </c>
      <c r="E4" s="97">
        <v>16.733333333333331</v>
      </c>
      <c r="F4" s="85" t="s">
        <v>127</v>
      </c>
      <c r="G4" s="86">
        <v>1.760204081632653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200</v>
      </c>
      <c r="M4" s="88">
        <v>0.34285714285714286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-6825</v>
      </c>
      <c r="T4" s="85" t="s">
        <v>222</v>
      </c>
      <c r="U4" s="87">
        <v>0</v>
      </c>
      <c r="V4" s="85" t="s">
        <v>127</v>
      </c>
      <c r="W4" s="87">
        <v>0.1683673469387755</v>
      </c>
      <c r="X4" s="85" t="s">
        <v>128</v>
      </c>
      <c r="Y4" s="88">
        <v>0.29555895865237364</v>
      </c>
      <c r="Z4" s="85" t="s">
        <v>271</v>
      </c>
      <c r="AA4" s="88">
        <v>0.35714285714285715</v>
      </c>
      <c r="AB4" s="85" t="s">
        <v>271</v>
      </c>
      <c r="AC4" s="88">
        <v>0.7</v>
      </c>
      <c r="AD4" s="85" t="s">
        <v>127</v>
      </c>
      <c r="AE4" s="88">
        <v>0.51436781609195403</v>
      </c>
      <c r="AF4" s="85" t="s">
        <v>200</v>
      </c>
      <c r="AG4" s="88">
        <v>0.58333333333333337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200</v>
      </c>
      <c r="C5" s="84">
        <v>94.299999999999983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0.47959183673469385</v>
      </c>
      <c r="J5" s="85" t="s">
        <v>200</v>
      </c>
      <c r="K5" s="87">
        <v>0.21052631578947367</v>
      </c>
      <c r="L5" s="85" t="s">
        <v>127</v>
      </c>
      <c r="M5" s="88">
        <v>0.33871970167806092</v>
      </c>
      <c r="N5" s="85" t="s">
        <v>223</v>
      </c>
      <c r="O5" s="88">
        <v>0.13043478260869565</v>
      </c>
      <c r="P5" s="85" t="s">
        <v>171</v>
      </c>
      <c r="Q5" s="89">
        <v>9887.4493927125513</v>
      </c>
      <c r="R5" s="85" t="s">
        <v>177</v>
      </c>
      <c r="S5" s="89">
        <v>-7187.3949579831933</v>
      </c>
      <c r="T5" s="85" t="s">
        <v>223</v>
      </c>
      <c r="U5" s="87">
        <v>0</v>
      </c>
      <c r="V5" s="85" t="s">
        <v>171</v>
      </c>
      <c r="W5" s="87">
        <v>0.14423076923076922</v>
      </c>
      <c r="X5" s="85" t="s">
        <v>171</v>
      </c>
      <c r="Y5" s="88">
        <v>0.28356481481481483</v>
      </c>
      <c r="Z5" s="85" t="s">
        <v>200</v>
      </c>
      <c r="AA5" s="88">
        <v>0.31428571428571428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0.50381679389312972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183</v>
      </c>
      <c r="C6" s="84">
        <v>61</v>
      </c>
      <c r="D6" s="85" t="s">
        <v>127</v>
      </c>
      <c r="E6" s="97">
        <v>12.463775510204082</v>
      </c>
      <c r="F6" s="85" t="s">
        <v>200</v>
      </c>
      <c r="G6" s="86">
        <v>1.8421052631578947</v>
      </c>
      <c r="H6" s="85" t="s">
        <v>200</v>
      </c>
      <c r="I6" s="87">
        <v>0.36842105263157893</v>
      </c>
      <c r="J6" s="85" t="s">
        <v>127</v>
      </c>
      <c r="K6" s="87">
        <v>0.23979591836734693</v>
      </c>
      <c r="L6" s="85" t="s">
        <v>172</v>
      </c>
      <c r="M6" s="88">
        <v>0.33847980997624705</v>
      </c>
      <c r="N6" s="85" t="s">
        <v>172</v>
      </c>
      <c r="O6" s="88">
        <v>0.14133016627078385</v>
      </c>
      <c r="P6" s="85" t="s">
        <v>127</v>
      </c>
      <c r="Q6" s="89">
        <v>9226.0550458715588</v>
      </c>
      <c r="R6" s="85" t="s">
        <v>128</v>
      </c>
      <c r="S6" s="89">
        <v>-7465.8227848101269</v>
      </c>
      <c r="T6" s="85" t="s">
        <v>172</v>
      </c>
      <c r="U6" s="87">
        <v>0.05</v>
      </c>
      <c r="V6" s="85" t="s">
        <v>145</v>
      </c>
      <c r="W6" s="87">
        <v>0.11873638344226579</v>
      </c>
      <c r="X6" s="85" t="s">
        <v>177</v>
      </c>
      <c r="Y6" s="88">
        <v>0.27742749054224464</v>
      </c>
      <c r="Z6" s="85" t="s">
        <v>172</v>
      </c>
      <c r="AA6" s="88">
        <v>0.28978622327790976</v>
      </c>
      <c r="AB6" s="85" t="s">
        <v>200</v>
      </c>
      <c r="AC6" s="88">
        <v>0.62790697674418605</v>
      </c>
      <c r="AD6" s="85" t="s">
        <v>200</v>
      </c>
      <c r="AE6" s="88">
        <v>0.43636363636363634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171</v>
      </c>
      <c r="C7" s="84">
        <v>29.800000000000011</v>
      </c>
      <c r="D7" s="85" t="s">
        <v>200</v>
      </c>
      <c r="E7" s="97">
        <v>4.9631578947368409</v>
      </c>
      <c r="F7" s="85" t="s">
        <v>177</v>
      </c>
      <c r="G7" s="86">
        <v>1.9896907216494846</v>
      </c>
      <c r="H7" s="85" t="s">
        <v>177</v>
      </c>
      <c r="I7" s="87">
        <v>0.34020618556701032</v>
      </c>
      <c r="J7" s="85" t="s">
        <v>172</v>
      </c>
      <c r="K7" s="87">
        <v>0.3</v>
      </c>
      <c r="L7" s="85" t="s">
        <v>145</v>
      </c>
      <c r="M7" s="88">
        <v>0.29843893480257117</v>
      </c>
      <c r="N7" s="85" t="s">
        <v>177</v>
      </c>
      <c r="O7" s="88">
        <v>0.15006305170239598</v>
      </c>
      <c r="P7" s="85" t="s">
        <v>128</v>
      </c>
      <c r="Q7" s="89">
        <v>8941.9889502762435</v>
      </c>
      <c r="R7" s="85" t="s">
        <v>127</v>
      </c>
      <c r="S7" s="89">
        <v>-8085.5967078189296</v>
      </c>
      <c r="T7" s="85" t="s">
        <v>127</v>
      </c>
      <c r="U7" s="87">
        <v>8.673469387755102E-2</v>
      </c>
      <c r="V7" s="85" t="s">
        <v>177</v>
      </c>
      <c r="W7" s="87">
        <v>0.1134020618556701</v>
      </c>
      <c r="X7" s="85" t="s">
        <v>145</v>
      </c>
      <c r="Y7" s="88">
        <v>0.26905417814508725</v>
      </c>
      <c r="Z7" s="85" t="s">
        <v>184</v>
      </c>
      <c r="AA7" s="88">
        <v>0.24861878453038674</v>
      </c>
      <c r="AB7" s="85" t="s">
        <v>177</v>
      </c>
      <c r="AC7" s="88">
        <v>0.60909090909090913</v>
      </c>
      <c r="AD7" s="85" t="s">
        <v>172</v>
      </c>
      <c r="AE7" s="88">
        <v>0.42213114754098363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177</v>
      </c>
      <c r="C8" s="84">
        <v>19.799999999999926</v>
      </c>
      <c r="D8" s="85" t="s">
        <v>171</v>
      </c>
      <c r="E8" s="97">
        <v>0.28653846153846163</v>
      </c>
      <c r="F8" s="85" t="s">
        <v>145</v>
      </c>
      <c r="G8" s="86">
        <v>2</v>
      </c>
      <c r="H8" s="85" t="s">
        <v>184</v>
      </c>
      <c r="I8" s="87">
        <v>0.33333333333333331</v>
      </c>
      <c r="J8" s="85" t="s">
        <v>177</v>
      </c>
      <c r="K8" s="87">
        <v>0.32989690721649484</v>
      </c>
      <c r="L8" s="85" t="s">
        <v>171</v>
      </c>
      <c r="M8" s="88">
        <v>0.28587962962962965</v>
      </c>
      <c r="N8" s="85" t="s">
        <v>127</v>
      </c>
      <c r="O8" s="88">
        <v>0.15102548166563082</v>
      </c>
      <c r="P8" s="85" t="s">
        <v>177</v>
      </c>
      <c r="Q8" s="89">
        <v>8802.2935779816507</v>
      </c>
      <c r="R8" s="85" t="s">
        <v>145</v>
      </c>
      <c r="S8" s="89">
        <v>-8089.3533123028392</v>
      </c>
      <c r="T8" s="85" t="s">
        <v>171</v>
      </c>
      <c r="U8" s="87">
        <v>0.10576923076923077</v>
      </c>
      <c r="V8" s="85" t="s">
        <v>128</v>
      </c>
      <c r="W8" s="87">
        <v>0.10062893081761007</v>
      </c>
      <c r="X8" s="85" t="s">
        <v>183</v>
      </c>
      <c r="Y8" s="88">
        <v>0.26315789473684209</v>
      </c>
      <c r="Z8" s="85" t="s">
        <v>173</v>
      </c>
      <c r="AA8" s="88">
        <v>0.23644251626898047</v>
      </c>
      <c r="AB8" s="85" t="s">
        <v>183</v>
      </c>
      <c r="AC8" s="88">
        <v>0.6</v>
      </c>
      <c r="AD8" s="85" t="s">
        <v>171</v>
      </c>
      <c r="AE8" s="88">
        <v>0.4</v>
      </c>
      <c r="AF8" s="85" t="s">
        <v>177</v>
      </c>
      <c r="AG8" s="88">
        <v>0.45871559633027525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222</v>
      </c>
      <c r="C9" s="84">
        <v>13.3</v>
      </c>
      <c r="D9" s="85" t="s">
        <v>177</v>
      </c>
      <c r="E9" s="97">
        <v>0.20412371134020543</v>
      </c>
      <c r="F9" s="85" t="s">
        <v>222</v>
      </c>
      <c r="G9" s="86">
        <v>2</v>
      </c>
      <c r="H9" s="85" t="s">
        <v>145</v>
      </c>
      <c r="I9" s="87">
        <v>0.33333333333333331</v>
      </c>
      <c r="J9" s="85" t="s">
        <v>145</v>
      </c>
      <c r="K9" s="87">
        <v>0.33333333333333331</v>
      </c>
      <c r="L9" s="85" t="s">
        <v>173</v>
      </c>
      <c r="M9" s="88">
        <v>0.2841648590021692</v>
      </c>
      <c r="N9" s="85" t="s">
        <v>200</v>
      </c>
      <c r="O9" s="88">
        <v>0.16</v>
      </c>
      <c r="P9" s="85" t="s">
        <v>145</v>
      </c>
      <c r="Q9" s="89">
        <v>8620.7912087912082</v>
      </c>
      <c r="R9" s="85" t="s">
        <v>172</v>
      </c>
      <c r="S9" s="89">
        <v>-8181.5126050420167</v>
      </c>
      <c r="T9" s="85" t="s">
        <v>145</v>
      </c>
      <c r="U9" s="87">
        <v>0.11873638344226579</v>
      </c>
      <c r="V9" s="85" t="s">
        <v>129</v>
      </c>
      <c r="W9" s="87">
        <v>0.1</v>
      </c>
      <c r="X9" s="85" t="s">
        <v>129</v>
      </c>
      <c r="Y9" s="88">
        <v>0.25437201907790141</v>
      </c>
      <c r="Z9" s="85" t="s">
        <v>127</v>
      </c>
      <c r="AA9" s="88">
        <v>0.21628340584213798</v>
      </c>
      <c r="AB9" s="85" t="s">
        <v>128</v>
      </c>
      <c r="AC9" s="88">
        <v>0.58808290155440412</v>
      </c>
      <c r="AD9" s="85" t="s">
        <v>145</v>
      </c>
      <c r="AE9" s="88">
        <v>0.39802834257547753</v>
      </c>
      <c r="AF9" s="85" t="s">
        <v>128</v>
      </c>
      <c r="AG9" s="88">
        <v>0.43922651933701656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145</v>
      </c>
      <c r="C10" s="84">
        <v>-7.1054273576010019E-15</v>
      </c>
      <c r="D10" s="85" t="s">
        <v>145</v>
      </c>
      <c r="E10" s="97">
        <v>-7.7401169472777806E-18</v>
      </c>
      <c r="F10" s="85" t="s">
        <v>171</v>
      </c>
      <c r="G10" s="86">
        <v>2.0384615384615383</v>
      </c>
      <c r="H10" s="85" t="s">
        <v>171</v>
      </c>
      <c r="I10" s="87">
        <v>0.30769230769230771</v>
      </c>
      <c r="J10" s="85" t="s">
        <v>223</v>
      </c>
      <c r="K10" s="87">
        <v>0.33333333333333331</v>
      </c>
      <c r="L10" s="85" t="s">
        <v>128</v>
      </c>
      <c r="M10" s="88">
        <v>0.27718223583460949</v>
      </c>
      <c r="N10" s="85" t="s">
        <v>145</v>
      </c>
      <c r="O10" s="88">
        <v>0.16633871179325724</v>
      </c>
      <c r="P10" s="85" t="s">
        <v>184</v>
      </c>
      <c r="Q10" s="89">
        <v>8434</v>
      </c>
      <c r="R10" s="85" t="s">
        <v>173</v>
      </c>
      <c r="S10" s="89">
        <v>-8327.3809523809523</v>
      </c>
      <c r="T10" s="85" t="s">
        <v>128</v>
      </c>
      <c r="U10" s="87">
        <v>0.12578616352201258</v>
      </c>
      <c r="V10" s="85" t="s">
        <v>172</v>
      </c>
      <c r="W10" s="87">
        <v>0.1</v>
      </c>
      <c r="X10" s="85" t="s">
        <v>200</v>
      </c>
      <c r="Y10" s="88">
        <v>0.24571428571428572</v>
      </c>
      <c r="Z10" s="85" t="s">
        <v>145</v>
      </c>
      <c r="AA10" s="88">
        <v>0.21290830381739473</v>
      </c>
      <c r="AB10" s="85" t="s">
        <v>127</v>
      </c>
      <c r="AC10" s="88">
        <v>0.58110882956878851</v>
      </c>
      <c r="AD10" s="85" t="s">
        <v>184</v>
      </c>
      <c r="AE10" s="88">
        <v>0.37777777777777777</v>
      </c>
      <c r="AF10" s="85" t="s">
        <v>145</v>
      </c>
      <c r="AG10" s="88">
        <v>0.43472527472527472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172</v>
      </c>
      <c r="C11" s="84">
        <v>-177.80000000000004</v>
      </c>
      <c r="D11" s="85" t="s">
        <v>172</v>
      </c>
      <c r="E11" s="97">
        <v>-1.7780000000000005</v>
      </c>
      <c r="F11" s="85" t="s">
        <v>172</v>
      </c>
      <c r="G11" s="86">
        <v>2.0499999999999998</v>
      </c>
      <c r="H11" s="85" t="s">
        <v>129</v>
      </c>
      <c r="I11" s="87">
        <v>0.29333333333333333</v>
      </c>
      <c r="J11" s="85" t="s">
        <v>128</v>
      </c>
      <c r="K11" s="87">
        <v>0.33962264150943394</v>
      </c>
      <c r="L11" s="85" t="s">
        <v>184</v>
      </c>
      <c r="M11" s="88">
        <v>0.27624309392265195</v>
      </c>
      <c r="N11" s="85" t="s">
        <v>171</v>
      </c>
      <c r="O11" s="88">
        <v>0.17476851851851852</v>
      </c>
      <c r="P11" s="85" t="s">
        <v>129</v>
      </c>
      <c r="Q11" s="89">
        <v>8236.4705882352937</v>
      </c>
      <c r="R11" s="85" t="s">
        <v>200</v>
      </c>
      <c r="S11" s="89">
        <v>-8367.8571428571431</v>
      </c>
      <c r="T11" s="85" t="s">
        <v>177</v>
      </c>
      <c r="U11" s="87">
        <v>0.13402061855670103</v>
      </c>
      <c r="V11" s="85" t="s">
        <v>184</v>
      </c>
      <c r="W11" s="87">
        <v>8.3333333333333329E-2</v>
      </c>
      <c r="X11" s="85" t="s">
        <v>184</v>
      </c>
      <c r="Y11" s="88">
        <v>0.23204419889502761</v>
      </c>
      <c r="Z11" s="85" t="s">
        <v>183</v>
      </c>
      <c r="AA11" s="88">
        <v>0.21052631578947367</v>
      </c>
      <c r="AB11" s="85" t="s">
        <v>145</v>
      </c>
      <c r="AC11" s="88">
        <v>0.57630424183325202</v>
      </c>
      <c r="AD11" s="85" t="s">
        <v>173</v>
      </c>
      <c r="AE11" s="88">
        <v>0.33944954128440369</v>
      </c>
      <c r="AF11" s="85" t="s">
        <v>271</v>
      </c>
      <c r="AG11" s="88">
        <v>0.42857142857142855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271</v>
      </c>
      <c r="C12" s="84">
        <v>-201.8</v>
      </c>
      <c r="D12" s="85" t="s">
        <v>128</v>
      </c>
      <c r="E12" s="97">
        <v>-2.5811320754716984</v>
      </c>
      <c r="F12" s="85" t="s">
        <v>128</v>
      </c>
      <c r="G12" s="86">
        <v>2.0691823899371071</v>
      </c>
      <c r="H12" s="85" t="s">
        <v>173</v>
      </c>
      <c r="I12" s="87">
        <v>0.28301886792452829</v>
      </c>
      <c r="J12" s="85" t="s">
        <v>171</v>
      </c>
      <c r="K12" s="87">
        <v>0.34615384615384615</v>
      </c>
      <c r="L12" s="85" t="s">
        <v>177</v>
      </c>
      <c r="M12" s="88">
        <v>0.27490542244640603</v>
      </c>
      <c r="N12" s="85" t="s">
        <v>129</v>
      </c>
      <c r="O12" s="88">
        <v>0.17885532591414943</v>
      </c>
      <c r="P12" s="85" t="s">
        <v>200</v>
      </c>
      <c r="Q12" s="89">
        <v>8058.333333333333</v>
      </c>
      <c r="R12" s="85" t="s">
        <v>171</v>
      </c>
      <c r="S12" s="89">
        <v>-8369.5364238410602</v>
      </c>
      <c r="T12" s="85" t="s">
        <v>173</v>
      </c>
      <c r="U12" s="87">
        <v>0.15094339622641509</v>
      </c>
      <c r="V12" s="85" t="s">
        <v>173</v>
      </c>
      <c r="W12" s="87">
        <v>7.5471698113207544E-2</v>
      </c>
      <c r="X12" s="85" t="s">
        <v>222</v>
      </c>
      <c r="Y12" s="88">
        <v>0.23076923076923078</v>
      </c>
      <c r="Z12" s="85" t="s">
        <v>171</v>
      </c>
      <c r="AA12" s="88">
        <v>0.19675925925925927</v>
      </c>
      <c r="AB12" s="85" t="s">
        <v>171</v>
      </c>
      <c r="AC12" s="88">
        <v>0.56326530612244896</v>
      </c>
      <c r="AD12" s="85" t="s">
        <v>177</v>
      </c>
      <c r="AE12" s="88">
        <v>0.33793103448275863</v>
      </c>
      <c r="AF12" s="85" t="s">
        <v>129</v>
      </c>
      <c r="AG12" s="88">
        <v>0.42352941176470588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184</v>
      </c>
      <c r="C13" s="84">
        <v>-300.5</v>
      </c>
      <c r="D13" s="85" t="s">
        <v>173</v>
      </c>
      <c r="E13" s="97">
        <v>-7.4849056603773594</v>
      </c>
      <c r="F13" s="85" t="s">
        <v>173</v>
      </c>
      <c r="G13" s="86">
        <v>2.1132075471698113</v>
      </c>
      <c r="H13" s="85" t="s">
        <v>128</v>
      </c>
      <c r="I13" s="87">
        <v>0.27044025157232704</v>
      </c>
      <c r="J13" s="85" t="s">
        <v>173</v>
      </c>
      <c r="K13" s="87">
        <v>0.39622641509433965</v>
      </c>
      <c r="L13" s="85" t="s">
        <v>129</v>
      </c>
      <c r="M13" s="88">
        <v>0.27027027027027029</v>
      </c>
      <c r="N13" s="85" t="s">
        <v>128</v>
      </c>
      <c r="O13" s="88">
        <v>0.18147013782542112</v>
      </c>
      <c r="P13" s="85" t="s">
        <v>183</v>
      </c>
      <c r="Q13" s="89">
        <v>7860</v>
      </c>
      <c r="R13" s="85" t="s">
        <v>129</v>
      </c>
      <c r="S13" s="89">
        <v>-8550.6666666666661</v>
      </c>
      <c r="T13" s="85" t="s">
        <v>200</v>
      </c>
      <c r="U13" s="87">
        <v>0.15789473684210525</v>
      </c>
      <c r="V13" s="85" t="s">
        <v>200</v>
      </c>
      <c r="W13" s="87">
        <v>5.2631578947368418E-2</v>
      </c>
      <c r="X13" s="85" t="s">
        <v>173</v>
      </c>
      <c r="Y13" s="88">
        <v>0.22342733188720174</v>
      </c>
      <c r="Z13" s="85" t="s">
        <v>129</v>
      </c>
      <c r="AA13" s="88">
        <v>0.1915739268680445</v>
      </c>
      <c r="AB13" s="85" t="s">
        <v>172</v>
      </c>
      <c r="AC13" s="88">
        <v>0.55555555555555558</v>
      </c>
      <c r="AD13" s="85" t="s">
        <v>129</v>
      </c>
      <c r="AE13" s="88">
        <v>0.33609958506224069</v>
      </c>
      <c r="AF13" s="85" t="s">
        <v>127</v>
      </c>
      <c r="AG13" s="88">
        <v>0.42018348623853213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173</v>
      </c>
      <c r="C14" s="84">
        <v>-396.70000000000005</v>
      </c>
      <c r="D14" s="85" t="s">
        <v>129</v>
      </c>
      <c r="E14" s="97">
        <v>-8.4953333333333347</v>
      </c>
      <c r="F14" s="85" t="s">
        <v>129</v>
      </c>
      <c r="G14" s="86">
        <v>2.1266666666666665</v>
      </c>
      <c r="H14" s="85" t="s">
        <v>172</v>
      </c>
      <c r="I14" s="87">
        <v>0.25</v>
      </c>
      <c r="J14" s="85" t="s">
        <v>129</v>
      </c>
      <c r="K14" s="87">
        <v>0.42</v>
      </c>
      <c r="L14" s="85" t="s">
        <v>183</v>
      </c>
      <c r="M14" s="88">
        <v>0.26315789473684209</v>
      </c>
      <c r="N14" s="85" t="s">
        <v>173</v>
      </c>
      <c r="O14" s="88">
        <v>0.1822125813449024</v>
      </c>
      <c r="P14" s="85" t="s">
        <v>173</v>
      </c>
      <c r="Q14" s="89">
        <v>7648.0916030534354</v>
      </c>
      <c r="R14" s="85" t="s">
        <v>184</v>
      </c>
      <c r="S14" s="89">
        <v>-9878.0487804878048</v>
      </c>
      <c r="T14" s="85" t="s">
        <v>129</v>
      </c>
      <c r="U14" s="87">
        <v>0.16</v>
      </c>
      <c r="V14" s="85" t="s">
        <v>183</v>
      </c>
      <c r="W14" s="87">
        <v>0</v>
      </c>
      <c r="X14" s="85" t="s">
        <v>172</v>
      </c>
      <c r="Y14" s="88">
        <v>0.21377672209026127</v>
      </c>
      <c r="Z14" s="85" t="s">
        <v>177</v>
      </c>
      <c r="AA14" s="88">
        <v>0.1828499369482976</v>
      </c>
      <c r="AB14" s="85" t="s">
        <v>173</v>
      </c>
      <c r="AC14" s="88">
        <v>0.55339805825242716</v>
      </c>
      <c r="AD14" s="85" t="s">
        <v>128</v>
      </c>
      <c r="AE14" s="88">
        <v>0.32142857142857145</v>
      </c>
      <c r="AF14" s="85" t="s">
        <v>171</v>
      </c>
      <c r="AG14" s="88">
        <v>0.40485829959514169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128</v>
      </c>
      <c r="C15" s="84">
        <v>-410.40000000000003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222</v>
      </c>
      <c r="I15" s="87">
        <v>0</v>
      </c>
      <c r="J15" s="85" t="s">
        <v>184</v>
      </c>
      <c r="K15" s="87">
        <v>0.54166666666666663</v>
      </c>
      <c r="L15" s="85" t="s">
        <v>271</v>
      </c>
      <c r="M15" s="88">
        <v>0.25</v>
      </c>
      <c r="N15" s="85" t="s">
        <v>271</v>
      </c>
      <c r="O15" s="88">
        <v>0.21428571428571427</v>
      </c>
      <c r="P15" s="85" t="s">
        <v>172</v>
      </c>
      <c r="Q15" s="89">
        <v>6753.333333333333</v>
      </c>
      <c r="R15" s="85" t="s">
        <v>223</v>
      </c>
      <c r="S15" s="89">
        <v>-10583.333333333334</v>
      </c>
      <c r="T15" s="85" t="s">
        <v>271</v>
      </c>
      <c r="U15" s="87">
        <v>0.16666666666666666</v>
      </c>
      <c r="V15" s="85" t="s">
        <v>222</v>
      </c>
      <c r="W15" s="87">
        <v>0</v>
      </c>
      <c r="X15" s="85" t="s">
        <v>271</v>
      </c>
      <c r="Y15" s="88">
        <v>0.17857142857142858</v>
      </c>
      <c r="Z15" s="85" t="s">
        <v>128</v>
      </c>
      <c r="AA15" s="88">
        <v>0.17151607963246554</v>
      </c>
      <c r="AB15" s="85" t="s">
        <v>129</v>
      </c>
      <c r="AC15" s="88">
        <v>0.53749999999999998</v>
      </c>
      <c r="AD15" s="85" t="s">
        <v>271</v>
      </c>
      <c r="AE15" s="88">
        <v>0.25</v>
      </c>
      <c r="AF15" s="85" t="s">
        <v>172</v>
      </c>
      <c r="AG15" s="88">
        <v>0.4</v>
      </c>
      <c r="AH15" s="85" t="s">
        <v>271</v>
      </c>
      <c r="AI15" s="92">
        <v>52800</v>
      </c>
    </row>
    <row r="16" spans="1:35" x14ac:dyDescent="0.4">
      <c r="A16" s="82">
        <v>14</v>
      </c>
      <c r="B16" s="83" t="s">
        <v>129</v>
      </c>
      <c r="C16" s="84">
        <v>-1274.3000000000002</v>
      </c>
      <c r="D16" s="85" t="s">
        <v>271</v>
      </c>
      <c r="E16" s="97">
        <v>-33.633333333333333</v>
      </c>
      <c r="F16" s="85" t="s">
        <v>271</v>
      </c>
      <c r="G16" s="86">
        <v>2.6666666666666665</v>
      </c>
      <c r="H16" s="85" t="s">
        <v>271</v>
      </c>
      <c r="I16" s="87">
        <v>0</v>
      </c>
      <c r="J16" s="85" t="s">
        <v>271</v>
      </c>
      <c r="K16" s="87">
        <v>0.66666666666666663</v>
      </c>
      <c r="L16" s="85" t="s">
        <v>222</v>
      </c>
      <c r="M16" s="88">
        <v>0.15384615384615385</v>
      </c>
      <c r="N16" s="85" t="s">
        <v>184</v>
      </c>
      <c r="O16" s="88">
        <v>0.22651933701657459</v>
      </c>
      <c r="P16" s="85" t="s">
        <v>271</v>
      </c>
      <c r="Q16" s="89">
        <v>6614.2857142857147</v>
      </c>
      <c r="R16" s="85" t="s">
        <v>222</v>
      </c>
      <c r="S16" s="89">
        <v>-12000</v>
      </c>
      <c r="T16" s="85" t="s">
        <v>184</v>
      </c>
      <c r="U16" s="87">
        <v>0.29166666666666669</v>
      </c>
      <c r="V16" s="85" t="s">
        <v>271</v>
      </c>
      <c r="W16" s="87">
        <v>0</v>
      </c>
      <c r="X16" s="85" t="s">
        <v>223</v>
      </c>
      <c r="Y16" s="88">
        <v>0.15217391304347827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222</v>
      </c>
      <c r="AI16" s="92">
        <v>48300</v>
      </c>
    </row>
  </sheetData>
  <sortState ref="AH3:AI47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462C0-9D45-411A-9110-323125F61120}">
  <sheetPr codeName="Sheet4"/>
  <dimension ref="A1:Q92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918</v>
      </c>
      <c r="C2" s="151"/>
      <c r="E2" s="62" t="s">
        <v>67</v>
      </c>
      <c r="F2" s="59" t="s">
        <v>23</v>
      </c>
      <c r="G2" s="46">
        <v>1638</v>
      </c>
      <c r="H2" s="132">
        <f>IF(B$17=0,0,G2/B$17)</f>
        <v>0.72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-16.33986928104575</v>
      </c>
      <c r="P2" s="118">
        <v>918</v>
      </c>
      <c r="Q2" s="102">
        <v>-15000</v>
      </c>
    </row>
    <row r="3" spans="1:17" x14ac:dyDescent="0.4">
      <c r="A3" s="55" t="s">
        <v>8</v>
      </c>
      <c r="B3" s="152">
        <v>7623</v>
      </c>
      <c r="C3" s="153"/>
      <c r="E3" s="63" t="s">
        <v>73</v>
      </c>
      <c r="F3" s="60" t="s">
        <v>28</v>
      </c>
      <c r="G3" s="47">
        <v>1180</v>
      </c>
      <c r="H3" s="133">
        <f>IF(B$17=0,0,G3/B$17)</f>
        <v>0.51868131868131873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-5.574136008918618</v>
      </c>
      <c r="P3" s="119">
        <v>897</v>
      </c>
      <c r="Q3" s="103">
        <v>-5000</v>
      </c>
    </row>
    <row r="4" spans="1:17" x14ac:dyDescent="0.4">
      <c r="A4" s="55" t="s">
        <v>6</v>
      </c>
      <c r="B4" s="154">
        <v>-7.1054273576010019E-15</v>
      </c>
      <c r="C4" s="155"/>
      <c r="E4" s="63" t="s">
        <v>65</v>
      </c>
      <c r="F4" s="60" t="s">
        <v>21</v>
      </c>
      <c r="G4" s="47">
        <v>1125</v>
      </c>
      <c r="H4" s="133">
        <f>IF(B$17=0,0,G4/B$17)</f>
        <v>0.49450549450549453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11.947431302270012</v>
      </c>
      <c r="P4" s="119">
        <v>837</v>
      </c>
      <c r="Q4" s="103">
        <v>10000</v>
      </c>
    </row>
    <row r="5" spans="1:17" x14ac:dyDescent="0.4">
      <c r="A5" s="55" t="s">
        <v>7</v>
      </c>
      <c r="B5" s="156">
        <f>IF(B$2=0,0,B$4/B$2)</f>
        <v>-7.7401169472777806E-18</v>
      </c>
      <c r="C5" s="157"/>
      <c r="E5" s="63" t="s">
        <v>245</v>
      </c>
      <c r="F5" s="60" t="s">
        <v>246</v>
      </c>
      <c r="G5" s="47">
        <v>919</v>
      </c>
      <c r="H5" s="133">
        <f>IF(B$17=0,0,G5/B$17)</f>
        <v>0.40395604395604395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5.1880674448767836</v>
      </c>
      <c r="P5" s="119">
        <v>771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709</v>
      </c>
      <c r="H6" s="133">
        <f>IF(B$17=0,0,G6/B$17)</f>
        <v>0.31164835164835164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-14.430014430014429</v>
      </c>
      <c r="P6" s="119">
        <v>693</v>
      </c>
      <c r="Q6" s="103">
        <v>-10000</v>
      </c>
    </row>
    <row r="7" spans="1:17" x14ac:dyDescent="0.4">
      <c r="A7" s="55" t="s">
        <v>2</v>
      </c>
      <c r="B7" s="47">
        <v>306</v>
      </c>
      <c r="C7" s="39">
        <f>IF(B$2=0,0,B7/B$2)</f>
        <v>0.33333333333333331</v>
      </c>
      <c r="E7" s="63" t="s">
        <v>68</v>
      </c>
      <c r="F7" s="60" t="s">
        <v>24</v>
      </c>
      <c r="G7" s="47">
        <v>683</v>
      </c>
      <c r="H7" s="133">
        <f>IF(B$17=0,0,G7/B$17)</f>
        <v>0.30021978021978024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26.143790849673202</v>
      </c>
      <c r="P7" s="120">
        <v>612</v>
      </c>
      <c r="Q7" s="104">
        <v>16000</v>
      </c>
    </row>
    <row r="8" spans="1:17" x14ac:dyDescent="0.4">
      <c r="A8" s="55" t="s">
        <v>3</v>
      </c>
      <c r="B8" s="47">
        <v>306</v>
      </c>
      <c r="C8" s="39">
        <f>IF(B$2=0,0,B8/B$2)</f>
        <v>0.33333333333333331</v>
      </c>
      <c r="E8" s="63" t="s">
        <v>70</v>
      </c>
      <c r="F8" s="60" t="s">
        <v>25</v>
      </c>
      <c r="G8" s="47">
        <v>387</v>
      </c>
      <c r="H8" s="133">
        <f>IF(B$17=0,0,G8/B$17)</f>
        <v>0.17010989010989011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306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295</v>
      </c>
      <c r="H9" s="133">
        <f>IF(B$17=0,0,G9/B$17)</f>
        <v>0.12967032967032968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109</v>
      </c>
      <c r="C10" s="40">
        <f>IF(B$2=0,0,B10/B$2)</f>
        <v>0.11873638344226579</v>
      </c>
      <c r="E10" s="63" t="s">
        <v>66</v>
      </c>
      <c r="F10" s="60" t="s">
        <v>22</v>
      </c>
      <c r="G10" s="47">
        <v>251</v>
      </c>
      <c r="H10" s="133">
        <f>IF(B$17=0,0,G10/B$17)</f>
        <v>0.11032967032967032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-2.6058823529411743</v>
      </c>
      <c r="P10" s="118">
        <v>306</v>
      </c>
      <c r="Q10" s="106">
        <v>-797.39999999999941</v>
      </c>
    </row>
    <row r="11" spans="1:17" x14ac:dyDescent="0.4">
      <c r="A11" s="56" t="s">
        <v>140</v>
      </c>
      <c r="B11" s="48">
        <v>109</v>
      </c>
      <c r="C11" s="40">
        <f>IF(B$2=0,0,B11/B$2)</f>
        <v>0.11873638344226579</v>
      </c>
      <c r="E11" s="63" t="s">
        <v>71</v>
      </c>
      <c r="F11" s="60" t="s">
        <v>26</v>
      </c>
      <c r="G11" s="47">
        <v>231</v>
      </c>
      <c r="H11" s="133">
        <f>IF(B$17=0,0,G11/B$17)</f>
        <v>0.10153846153846154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2.2251633986928105</v>
      </c>
      <c r="P11" s="119">
        <v>306</v>
      </c>
      <c r="Q11" s="107">
        <v>680.90000000000009</v>
      </c>
    </row>
    <row r="12" spans="1:17" x14ac:dyDescent="0.4">
      <c r="A12" s="57" t="s">
        <v>160</v>
      </c>
      <c r="B12" s="49">
        <v>81</v>
      </c>
      <c r="C12" s="42">
        <f>IF(B$2=0,0,B12/B$2)</f>
        <v>8.8235294117647065E-2</v>
      </c>
      <c r="E12" s="63" t="s">
        <v>72</v>
      </c>
      <c r="F12" s="60" t="s">
        <v>27</v>
      </c>
      <c r="G12" s="47">
        <v>152</v>
      </c>
      <c r="H12" s="133">
        <f>IF(B$17=0,0,G12/B$17)</f>
        <v>6.681318681318682E-2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0.38071895424836555</v>
      </c>
      <c r="P12" s="120">
        <v>306</v>
      </c>
      <c r="Q12" s="108">
        <v>116.49999999999986</v>
      </c>
    </row>
    <row r="13" spans="1:17" x14ac:dyDescent="0.4">
      <c r="A13" s="58" t="s">
        <v>122</v>
      </c>
      <c r="B13" s="50">
        <v>2051</v>
      </c>
      <c r="C13" s="44">
        <f>IF(B$3=0,0,B13/B$3)</f>
        <v>0.26905417814508725</v>
      </c>
      <c r="E13" s="63" t="s">
        <v>87</v>
      </c>
      <c r="F13" s="60" t="s">
        <v>42</v>
      </c>
      <c r="G13" s="47">
        <v>133</v>
      </c>
      <c r="H13" s="133">
        <f>IF(B$17=0,0,G13/B$17)</f>
        <v>5.8461538461538461E-2</v>
      </c>
      <c r="I13" s="94">
        <v>7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1623</v>
      </c>
      <c r="C14" s="39">
        <f>IF(B$3=0,0,B14/B$3)</f>
        <v>0.21290830381739473</v>
      </c>
      <c r="E14" s="63" t="s">
        <v>84</v>
      </c>
      <c r="F14" s="60" t="s">
        <v>39</v>
      </c>
      <c r="G14" s="47">
        <v>110</v>
      </c>
      <c r="H14" s="133">
        <f>IF(B$17=0,0,G14/B$17)</f>
        <v>4.8351648351648353E-2</v>
      </c>
      <c r="I14" s="94">
        <v>7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1182</v>
      </c>
      <c r="C15" s="37">
        <f>IF(B$13=0,0,B15/B$13)</f>
        <v>0.57630424183325202</v>
      </c>
      <c r="E15" s="63" t="s">
        <v>79</v>
      </c>
      <c r="F15" s="60" t="s">
        <v>34</v>
      </c>
      <c r="G15" s="47">
        <v>61</v>
      </c>
      <c r="H15" s="133">
        <f>IF(B$17=0,0,G15/B$17)</f>
        <v>2.6813186813186812E-2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>IF(P15=0,0,Q15/P15)</f>
        <v>50.449999999999996</v>
      </c>
      <c r="P15" s="118">
        <v>12</v>
      </c>
      <c r="Q15" s="106">
        <v>605.4</v>
      </c>
    </row>
    <row r="16" spans="1:17" x14ac:dyDescent="0.4">
      <c r="A16" s="54" t="s">
        <v>125</v>
      </c>
      <c r="B16" s="46">
        <v>646</v>
      </c>
      <c r="C16" s="37">
        <f>IF(B$14=0,0,B16/B$14)</f>
        <v>0.39802834257547753</v>
      </c>
      <c r="E16" s="63" t="s">
        <v>82</v>
      </c>
      <c r="F16" s="60" t="s">
        <v>37</v>
      </c>
      <c r="G16" s="47">
        <v>59</v>
      </c>
      <c r="H16" s="133">
        <f>IF(B$17=0,0,G16/B$17)</f>
        <v>2.5934065934065935E-2</v>
      </c>
      <c r="I16" s="94">
        <v>7</v>
      </c>
      <c r="K16" s="38">
        <v>14</v>
      </c>
      <c r="L16" s="99">
        <v>18.79999999999999</v>
      </c>
      <c r="N16" s="115" t="s">
        <v>184</v>
      </c>
      <c r="O16" s="125">
        <f>IF(P16=0,0,Q16/P16)</f>
        <v>18.781250000000004</v>
      </c>
      <c r="P16" s="119">
        <v>48</v>
      </c>
      <c r="Q16" s="107">
        <v>901.50000000000023</v>
      </c>
    </row>
    <row r="17" spans="1:17" x14ac:dyDescent="0.4">
      <c r="A17" s="54" t="s">
        <v>10</v>
      </c>
      <c r="B17" s="46">
        <f>B19+B18</f>
        <v>2275</v>
      </c>
      <c r="C17" s="37">
        <f>IF(B$3=0,0,B17/B$3)</f>
        <v>0.29843893480257117</v>
      </c>
      <c r="E17" s="63" t="s">
        <v>92</v>
      </c>
      <c r="F17" s="60" t="s">
        <v>47</v>
      </c>
      <c r="G17" s="47">
        <v>45</v>
      </c>
      <c r="H17" s="133">
        <f>IF(B$17=0,0,G17/B$17)</f>
        <v>1.9780219780219779E-2</v>
      </c>
      <c r="I17" s="94">
        <v>5</v>
      </c>
      <c r="K17" s="38">
        <v>15</v>
      </c>
      <c r="L17" s="99">
        <v>-1.0658141036401503E-14</v>
      </c>
      <c r="N17" s="115" t="s">
        <v>129</v>
      </c>
      <c r="O17" s="125">
        <f>IF(P17=0,0,Q17/P17)</f>
        <v>12.743000000000027</v>
      </c>
      <c r="P17" s="119">
        <v>300</v>
      </c>
      <c r="Q17" s="107">
        <v>3822.9000000000083</v>
      </c>
    </row>
    <row r="18" spans="1:17" x14ac:dyDescent="0.4">
      <c r="A18" s="55" t="s">
        <v>12</v>
      </c>
      <c r="B18" s="47">
        <v>989</v>
      </c>
      <c r="C18" s="39">
        <f>IF(B$17=0,0,B18/B$17)</f>
        <v>0.43472527472527472</v>
      </c>
      <c r="E18" s="63" t="s">
        <v>180</v>
      </c>
      <c r="F18" s="60" t="s">
        <v>181</v>
      </c>
      <c r="G18" s="47">
        <v>39</v>
      </c>
      <c r="H18" s="133">
        <f>IF(B$17=0,0,G18/B$17)</f>
        <v>1.7142857142857144E-2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11.227358490566031</v>
      </c>
      <c r="P18" s="119">
        <v>106</v>
      </c>
      <c r="Q18" s="107">
        <v>1190.0999999999992</v>
      </c>
    </row>
    <row r="19" spans="1:17" x14ac:dyDescent="0.4">
      <c r="A19" s="55" t="s">
        <v>11</v>
      </c>
      <c r="B19" s="47">
        <v>1286</v>
      </c>
      <c r="C19" s="39">
        <f>IF(B$17=0,0,B19/B$17)</f>
        <v>0.56527472527472522</v>
      </c>
      <c r="E19" s="63" t="s">
        <v>80</v>
      </c>
      <c r="F19" s="60" t="s">
        <v>35</v>
      </c>
      <c r="G19" s="47">
        <v>37</v>
      </c>
      <c r="H19" s="133">
        <f>IF(B$17=0,0,G19/B$17)</f>
        <v>1.6263736263736263E-2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3.8716981132075485</v>
      </c>
      <c r="P19" s="119">
        <v>318</v>
      </c>
      <c r="Q19" s="107">
        <v>1231.2000000000005</v>
      </c>
    </row>
    <row r="20" spans="1:17" x14ac:dyDescent="0.4">
      <c r="A20" s="55" t="s">
        <v>13</v>
      </c>
      <c r="B20" s="47">
        <v>1268</v>
      </c>
      <c r="C20" s="39">
        <f>IF(B$3=0,0,B20/B$3)</f>
        <v>0.16633871179325724</v>
      </c>
      <c r="E20" s="63" t="s">
        <v>78</v>
      </c>
      <c r="F20" s="60" t="s">
        <v>33</v>
      </c>
      <c r="G20" s="47">
        <v>19</v>
      </c>
      <c r="H20" s="133">
        <f>IF(B$17=0,0,G20/B$17)</f>
        <v>8.3516483516483525E-3</v>
      </c>
      <c r="I20" s="94">
        <v>5</v>
      </c>
      <c r="K20" s="38">
        <v>18</v>
      </c>
      <c r="L20" s="99">
        <v>-3.5527136788005009E-15</v>
      </c>
      <c r="N20" s="115" t="s">
        <v>172</v>
      </c>
      <c r="O20" s="125">
        <f>IF(P20=0,0,Q20/P20)</f>
        <v>2.6669999999999994</v>
      </c>
      <c r="P20" s="119">
        <v>200</v>
      </c>
      <c r="Q20" s="107">
        <v>533.39999999999986</v>
      </c>
    </row>
    <row r="21" spans="1:17" x14ac:dyDescent="0.4">
      <c r="A21" s="55" t="s">
        <v>191</v>
      </c>
      <c r="B21" s="47">
        <v>7</v>
      </c>
      <c r="C21" s="135">
        <v>2</v>
      </c>
      <c r="E21" s="63" t="s">
        <v>74</v>
      </c>
      <c r="F21" s="60" t="s">
        <v>29</v>
      </c>
      <c r="G21" s="47">
        <v>15</v>
      </c>
      <c r="H21" s="133">
        <f>IF(B$17=0,0,G21/B$17)</f>
        <v>6.5934065934065934E-3</v>
      </c>
      <c r="I21" s="94">
        <v>6</v>
      </c>
      <c r="K21" s="38">
        <v>19</v>
      </c>
      <c r="L21" s="99">
        <v>30.999999999999996</v>
      </c>
      <c r="N21" s="115" t="s">
        <v>177</v>
      </c>
      <c r="O21" s="125">
        <f>IF(P21=0,0,Q21/P21)</f>
        <v>-0.30618556701031147</v>
      </c>
      <c r="P21" s="119">
        <v>194</v>
      </c>
      <c r="Q21" s="107">
        <v>-59.400000000000425</v>
      </c>
    </row>
    <row r="22" spans="1:17" x14ac:dyDescent="0.4">
      <c r="A22" s="55" t="s">
        <v>192</v>
      </c>
      <c r="B22" s="47">
        <v>31</v>
      </c>
      <c r="C22" s="135">
        <v>9</v>
      </c>
      <c r="E22" s="63" t="s">
        <v>76</v>
      </c>
      <c r="F22" s="60" t="s">
        <v>31</v>
      </c>
      <c r="G22" s="47">
        <v>13</v>
      </c>
      <c r="H22" s="133">
        <f>IF(B$17=0,0,G22/B$17)</f>
        <v>5.7142857142857143E-3</v>
      </c>
      <c r="I22" s="94">
        <v>5</v>
      </c>
      <c r="K22" s="38">
        <v>20</v>
      </c>
      <c r="L22" s="99">
        <v>0.79999999999999716</v>
      </c>
      <c r="N22" s="115" t="s">
        <v>171</v>
      </c>
      <c r="O22" s="125">
        <f>IF(P22=0,0,Q22/P22)</f>
        <v>-0.42980769230768995</v>
      </c>
      <c r="P22" s="119">
        <v>208</v>
      </c>
      <c r="Q22" s="107">
        <v>-89.399999999999508</v>
      </c>
    </row>
    <row r="23" spans="1:17" x14ac:dyDescent="0.4">
      <c r="A23" s="55" t="s">
        <v>5</v>
      </c>
      <c r="B23" s="51">
        <f>IF(B$17=0,0,C23/B$17)</f>
        <v>8620.7912087912082</v>
      </c>
      <c r="C23" s="41">
        <v>19612300</v>
      </c>
      <c r="E23" s="63" t="s">
        <v>86</v>
      </c>
      <c r="F23" s="60" t="s">
        <v>41</v>
      </c>
      <c r="G23" s="47">
        <v>11</v>
      </c>
      <c r="H23" s="133">
        <f>IF(B$17=0,0,G23/B$17)</f>
        <v>4.8351648351648352E-3</v>
      </c>
      <c r="I23" s="94">
        <v>3</v>
      </c>
      <c r="K23" s="38">
        <v>21</v>
      </c>
      <c r="L23" s="99">
        <v>-2.886579864025407E-15</v>
      </c>
      <c r="N23" s="115" t="s">
        <v>200</v>
      </c>
      <c r="O23" s="125">
        <f>IF(P23=0,0,Q23/P23)</f>
        <v>-7.4447368421052582</v>
      </c>
      <c r="P23" s="119">
        <v>38</v>
      </c>
      <c r="Q23" s="107">
        <v>-282.89999999999981</v>
      </c>
    </row>
    <row r="24" spans="1:17" x14ac:dyDescent="0.4">
      <c r="A24" s="57" t="s">
        <v>14</v>
      </c>
      <c r="B24" s="52">
        <f>IF(B$20=0,0,C24/B$20)</f>
        <v>-8089.3533123028392</v>
      </c>
      <c r="C24" s="45">
        <v>-10257300</v>
      </c>
      <c r="E24" s="63" t="s">
        <v>75</v>
      </c>
      <c r="F24" s="60" t="s">
        <v>30</v>
      </c>
      <c r="G24" s="47">
        <v>9</v>
      </c>
      <c r="H24" s="133">
        <f>IF(B$17=0,0,G24/B$17)</f>
        <v>3.956043956043956E-3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>IF(P24=0,0,Q24/P24)</f>
        <v>-18.695663265306109</v>
      </c>
      <c r="P24" s="119">
        <v>392</v>
      </c>
      <c r="Q24" s="107">
        <v>-7328.6999999999953</v>
      </c>
    </row>
    <row r="25" spans="1:17" x14ac:dyDescent="0.4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8</v>
      </c>
      <c r="H25" s="133">
        <f>IF(B$17=0,0,G25/B$17)</f>
        <v>3.5164835164835165E-3</v>
      </c>
      <c r="I25" s="94">
        <v>4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7</v>
      </c>
      <c r="H26" s="133">
        <f>IF(B$17=0,0,G26/B$17)</f>
        <v>3.0769230769230769E-3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19</v>
      </c>
      <c r="C27" s="42">
        <f>IF(B$3=0,0,B27/B$3)</f>
        <v>2.4924570379115832E-3</v>
      </c>
      <c r="E27" s="63" t="s">
        <v>85</v>
      </c>
      <c r="F27" s="60" t="s">
        <v>40</v>
      </c>
      <c r="G27" s="47">
        <v>6</v>
      </c>
      <c r="H27" s="133">
        <f>IF(B$17=0,0,G27/B$17)</f>
        <v>2.6373626373626374E-3</v>
      </c>
      <c r="I27" s="94">
        <v>4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88</v>
      </c>
      <c r="F28" s="60" t="s">
        <v>43</v>
      </c>
      <c r="G28" s="47">
        <v>6</v>
      </c>
      <c r="H28" s="133">
        <f>IF(B$17=0,0,G28/B$17)</f>
        <v>2.6373626373626374E-3</v>
      </c>
      <c r="I28" s="94">
        <v>5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6</v>
      </c>
      <c r="H29" s="133">
        <f>IF(B$17=0,0,G29/B$17)</f>
        <v>2.6373626373626374E-3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>IF(B$17=0,0,G30/B$17)</f>
        <v>1.7582417582417582E-3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8.7912087912087912E-4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4.3956043956043956E-4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4.3956043956043956E-4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>IF(B$17=0,0,G34/B$17)</f>
        <v>4.3956043956043956E-4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12.200000000000014</v>
      </c>
    </row>
    <row r="742" spans="11:12" x14ac:dyDescent="0.4">
      <c r="K742" s="38">
        <v>740</v>
      </c>
      <c r="L742" s="99">
        <v>55.100000000000009</v>
      </c>
    </row>
    <row r="743" spans="11:12" x14ac:dyDescent="0.4">
      <c r="K743" s="38">
        <v>741</v>
      </c>
      <c r="L743" s="99">
        <v>7.1054273576010019E-15</v>
      </c>
    </row>
    <row r="744" spans="11:12" x14ac:dyDescent="0.4">
      <c r="K744" s="38">
        <v>742</v>
      </c>
      <c r="L744" s="99">
        <v>9.0000000000000071</v>
      </c>
    </row>
    <row r="745" spans="11:12" x14ac:dyDescent="0.4">
      <c r="K745" s="38">
        <v>743</v>
      </c>
      <c r="L745" s="99">
        <v>-37.699999999999996</v>
      </c>
    </row>
    <row r="746" spans="11:12" x14ac:dyDescent="0.4">
      <c r="K746" s="38">
        <v>744</v>
      </c>
      <c r="L746" s="99">
        <v>7.1054273576010019E-15</v>
      </c>
    </row>
    <row r="747" spans="11:12" x14ac:dyDescent="0.4">
      <c r="K747" s="38">
        <v>745</v>
      </c>
      <c r="L747" s="99">
        <v>-11.999999999999993</v>
      </c>
    </row>
    <row r="748" spans="11:12" x14ac:dyDescent="0.4">
      <c r="K748" s="38">
        <v>746</v>
      </c>
      <c r="L748" s="99">
        <v>65.099999999999994</v>
      </c>
    </row>
    <row r="749" spans="11:12" x14ac:dyDescent="0.4">
      <c r="K749" s="38">
        <v>747</v>
      </c>
      <c r="L749" s="99">
        <v>0</v>
      </c>
    </row>
    <row r="750" spans="11:12" x14ac:dyDescent="0.4">
      <c r="K750" s="38">
        <v>748</v>
      </c>
      <c r="L750" s="99">
        <v>14.7</v>
      </c>
    </row>
    <row r="751" spans="11:12" x14ac:dyDescent="0.4">
      <c r="K751" s="38">
        <v>749</v>
      </c>
      <c r="L751" s="99">
        <v>75.2</v>
      </c>
    </row>
    <row r="752" spans="11:12" x14ac:dyDescent="0.4">
      <c r="K752" s="38">
        <v>750</v>
      </c>
      <c r="L752" s="99">
        <v>0</v>
      </c>
    </row>
    <row r="753" spans="11:12" x14ac:dyDescent="0.4">
      <c r="K753" s="38">
        <v>751</v>
      </c>
      <c r="L753" s="99">
        <v>-43.2</v>
      </c>
    </row>
    <row r="754" spans="11:12" x14ac:dyDescent="0.4">
      <c r="K754" s="38">
        <v>752</v>
      </c>
      <c r="L754" s="99">
        <v>-39.800000000000004</v>
      </c>
    </row>
    <row r="755" spans="11:12" x14ac:dyDescent="0.4">
      <c r="K755" s="38">
        <v>753</v>
      </c>
      <c r="L755" s="99">
        <v>-7.1054273576010019E-15</v>
      </c>
    </row>
    <row r="756" spans="11:12" x14ac:dyDescent="0.4">
      <c r="K756" s="38">
        <v>754</v>
      </c>
      <c r="L756" s="99">
        <v>-53.300000000000004</v>
      </c>
    </row>
    <row r="757" spans="11:12" x14ac:dyDescent="0.4">
      <c r="K757" s="38">
        <v>755</v>
      </c>
      <c r="L757" s="99">
        <v>-61.600000000000009</v>
      </c>
    </row>
    <row r="758" spans="11:12" x14ac:dyDescent="0.4">
      <c r="K758" s="38">
        <v>756</v>
      </c>
      <c r="L758" s="99">
        <v>-7.1054273576010019E-15</v>
      </c>
    </row>
    <row r="759" spans="11:12" x14ac:dyDescent="0.4">
      <c r="K759" s="38">
        <v>757</v>
      </c>
      <c r="L759" s="99">
        <v>31.699999999999992</v>
      </c>
    </row>
    <row r="760" spans="11:12" x14ac:dyDescent="0.4">
      <c r="K760" s="38">
        <v>758</v>
      </c>
      <c r="L760" s="99">
        <v>-10.100000000000005</v>
      </c>
    </row>
    <row r="761" spans="11:12" x14ac:dyDescent="0.4">
      <c r="K761" s="38">
        <v>759</v>
      </c>
      <c r="L761" s="99">
        <v>-5.3290705182007514E-15</v>
      </c>
    </row>
    <row r="762" spans="11:12" x14ac:dyDescent="0.4">
      <c r="K762" s="38">
        <v>760</v>
      </c>
      <c r="L762" s="99">
        <v>42.699999999999996</v>
      </c>
    </row>
    <row r="763" spans="11:12" x14ac:dyDescent="0.4">
      <c r="K763" s="38">
        <v>761</v>
      </c>
      <c r="L763" s="99">
        <v>-2.6000000000000014</v>
      </c>
    </row>
    <row r="764" spans="11:12" x14ac:dyDescent="0.4">
      <c r="K764" s="38">
        <v>762</v>
      </c>
      <c r="L764" s="99">
        <v>-1.3322676295501878E-15</v>
      </c>
    </row>
    <row r="765" spans="11:12" x14ac:dyDescent="0.4">
      <c r="K765" s="38">
        <v>763</v>
      </c>
      <c r="L765" s="99">
        <v>62</v>
      </c>
    </row>
    <row r="766" spans="11:12" x14ac:dyDescent="0.4">
      <c r="K766" s="38">
        <v>764</v>
      </c>
      <c r="L766" s="99">
        <v>3.8999999999999986</v>
      </c>
    </row>
    <row r="767" spans="11:12" x14ac:dyDescent="0.4">
      <c r="K767" s="38">
        <v>765</v>
      </c>
      <c r="L767" s="99">
        <v>-1.3322676295501878E-15</v>
      </c>
    </row>
    <row r="768" spans="11:12" x14ac:dyDescent="0.4">
      <c r="K768" s="38">
        <v>766</v>
      </c>
      <c r="L768" s="99">
        <v>35</v>
      </c>
    </row>
    <row r="769" spans="11:12" x14ac:dyDescent="0.4">
      <c r="K769" s="38">
        <v>767</v>
      </c>
      <c r="L769" s="99">
        <v>-9.6000000000000014</v>
      </c>
    </row>
    <row r="770" spans="11:12" x14ac:dyDescent="0.4">
      <c r="K770" s="38">
        <v>768</v>
      </c>
      <c r="L770" s="99">
        <v>-1.7763568394002505E-15</v>
      </c>
    </row>
    <row r="771" spans="11:12" x14ac:dyDescent="0.4">
      <c r="K771" s="38">
        <v>769</v>
      </c>
      <c r="L771" s="99">
        <v>39.299999999999997</v>
      </c>
    </row>
    <row r="772" spans="11:12" x14ac:dyDescent="0.4">
      <c r="K772" s="38">
        <v>770</v>
      </c>
      <c r="L772" s="99">
        <v>-19</v>
      </c>
    </row>
    <row r="773" spans="11:12" x14ac:dyDescent="0.4">
      <c r="K773" s="38">
        <v>771</v>
      </c>
      <c r="L773" s="99">
        <v>0</v>
      </c>
    </row>
    <row r="774" spans="11:12" x14ac:dyDescent="0.4">
      <c r="K774" s="38">
        <v>772</v>
      </c>
      <c r="L774" s="99">
        <v>1.1000000000000001</v>
      </c>
    </row>
    <row r="775" spans="11:12" x14ac:dyDescent="0.4">
      <c r="K775" s="38">
        <v>773</v>
      </c>
      <c r="L775" s="99">
        <v>-34.699999999999996</v>
      </c>
    </row>
    <row r="776" spans="11:12" x14ac:dyDescent="0.4">
      <c r="K776" s="38">
        <v>774</v>
      </c>
      <c r="L776" s="99">
        <v>7.1054273576010019E-15</v>
      </c>
    </row>
    <row r="777" spans="11:12" x14ac:dyDescent="0.4">
      <c r="K777" s="38">
        <v>775</v>
      </c>
      <c r="L777" s="99">
        <v>-32.099999999999994</v>
      </c>
    </row>
    <row r="778" spans="11:12" x14ac:dyDescent="0.4">
      <c r="K778" s="38">
        <v>776</v>
      </c>
      <c r="L778" s="99">
        <v>-36.399999999999991</v>
      </c>
    </row>
    <row r="779" spans="11:12" x14ac:dyDescent="0.4">
      <c r="K779" s="38">
        <v>777</v>
      </c>
      <c r="L779" s="99">
        <v>7.1054273576010019E-15</v>
      </c>
    </row>
    <row r="780" spans="11:12" x14ac:dyDescent="0.4">
      <c r="K780" s="38">
        <v>778</v>
      </c>
      <c r="L780" s="99">
        <v>-7.3999999999999932</v>
      </c>
    </row>
    <row r="781" spans="11:12" x14ac:dyDescent="0.4">
      <c r="K781" s="38">
        <v>779</v>
      </c>
      <c r="L781" s="99">
        <v>-66</v>
      </c>
    </row>
    <row r="782" spans="11:12" x14ac:dyDescent="0.4">
      <c r="K782" s="38">
        <v>780</v>
      </c>
      <c r="L782" s="99">
        <v>0</v>
      </c>
    </row>
    <row r="783" spans="11:12" x14ac:dyDescent="0.4">
      <c r="K783" s="38">
        <v>781</v>
      </c>
      <c r="L783" s="99">
        <v>-55.4</v>
      </c>
    </row>
    <row r="784" spans="11:12" x14ac:dyDescent="0.4">
      <c r="K784" s="38">
        <v>782</v>
      </c>
      <c r="L784" s="99">
        <v>-42.599999999999994</v>
      </c>
    </row>
    <row r="785" spans="11:12" x14ac:dyDescent="0.4">
      <c r="K785" s="38">
        <v>783</v>
      </c>
      <c r="L785" s="99">
        <v>7.1054273576010019E-15</v>
      </c>
    </row>
    <row r="786" spans="11:12" x14ac:dyDescent="0.4">
      <c r="K786" s="38">
        <v>784</v>
      </c>
      <c r="L786" s="99">
        <v>17.800000000000008</v>
      </c>
    </row>
    <row r="787" spans="11:12" x14ac:dyDescent="0.4">
      <c r="K787" s="38">
        <v>785</v>
      </c>
      <c r="L787" s="99">
        <v>-49.199999999999989</v>
      </c>
    </row>
    <row r="788" spans="11:12" x14ac:dyDescent="0.4">
      <c r="K788" s="38">
        <v>786</v>
      </c>
      <c r="L788" s="99">
        <v>1.4210854715202004E-14</v>
      </c>
    </row>
    <row r="789" spans="11:12" x14ac:dyDescent="0.4">
      <c r="K789" s="38">
        <v>787</v>
      </c>
      <c r="L789" s="99">
        <v>-17.899999999999984</v>
      </c>
    </row>
    <row r="790" spans="11:12" x14ac:dyDescent="0.4">
      <c r="K790" s="38">
        <v>788</v>
      </c>
      <c r="L790" s="99">
        <v>80.400000000000006</v>
      </c>
    </row>
    <row r="791" spans="11:12" x14ac:dyDescent="0.4">
      <c r="K791" s="38">
        <v>789</v>
      </c>
      <c r="L791" s="99">
        <v>0</v>
      </c>
    </row>
    <row r="792" spans="11:12" x14ac:dyDescent="0.4">
      <c r="K792" s="38">
        <v>790</v>
      </c>
      <c r="L792" s="99">
        <v>9.5</v>
      </c>
    </row>
    <row r="793" spans="11:12" x14ac:dyDescent="0.4">
      <c r="K793" s="38">
        <v>791</v>
      </c>
      <c r="L793" s="99">
        <v>-50</v>
      </c>
    </row>
    <row r="794" spans="11:12" x14ac:dyDescent="0.4">
      <c r="K794" s="38">
        <v>792</v>
      </c>
      <c r="L794" s="99">
        <v>0</v>
      </c>
    </row>
    <row r="795" spans="11:12" x14ac:dyDescent="0.4">
      <c r="K795" s="38">
        <v>793</v>
      </c>
      <c r="L795" s="99">
        <v>-55.3</v>
      </c>
    </row>
    <row r="796" spans="11:12" x14ac:dyDescent="0.4">
      <c r="K796" s="38">
        <v>794</v>
      </c>
      <c r="L796" s="99">
        <v>3.5</v>
      </c>
    </row>
    <row r="797" spans="11:12" x14ac:dyDescent="0.4">
      <c r="K797" s="38">
        <v>795</v>
      </c>
      <c r="L797" s="99">
        <v>0</v>
      </c>
    </row>
    <row r="798" spans="11:12" x14ac:dyDescent="0.4">
      <c r="K798" s="38">
        <v>796</v>
      </c>
      <c r="L798" s="99">
        <v>31</v>
      </c>
    </row>
    <row r="799" spans="11:12" x14ac:dyDescent="0.4">
      <c r="K799" s="38">
        <v>797</v>
      </c>
      <c r="L799" s="99">
        <v>-5</v>
      </c>
    </row>
    <row r="800" spans="11:12" x14ac:dyDescent="0.4">
      <c r="K800" s="38">
        <v>798</v>
      </c>
      <c r="L800" s="99">
        <v>0</v>
      </c>
    </row>
    <row r="801" spans="11:12" x14ac:dyDescent="0.4">
      <c r="K801" s="38">
        <v>799</v>
      </c>
      <c r="L801" s="99">
        <v>-35.299999999999997</v>
      </c>
    </row>
    <row r="802" spans="11:12" x14ac:dyDescent="0.4">
      <c r="K802" s="38">
        <v>800</v>
      </c>
      <c r="L802" s="99">
        <v>-38.9</v>
      </c>
    </row>
    <row r="803" spans="11:12" x14ac:dyDescent="0.4">
      <c r="K803" s="38">
        <v>801</v>
      </c>
      <c r="L803" s="99">
        <v>0</v>
      </c>
    </row>
    <row r="804" spans="11:12" x14ac:dyDescent="0.4">
      <c r="K804" s="38">
        <v>802</v>
      </c>
      <c r="L804" s="99">
        <v>41.1</v>
      </c>
    </row>
    <row r="805" spans="11:12" x14ac:dyDescent="0.4">
      <c r="K805" s="38">
        <v>803</v>
      </c>
      <c r="L805" s="99">
        <v>52</v>
      </c>
    </row>
    <row r="806" spans="11:12" x14ac:dyDescent="0.4">
      <c r="K806" s="38">
        <v>804</v>
      </c>
      <c r="L806" s="99">
        <v>0</v>
      </c>
    </row>
    <row r="807" spans="11:12" x14ac:dyDescent="0.4">
      <c r="K807" s="38">
        <v>805</v>
      </c>
      <c r="L807" s="99">
        <v>54.6</v>
      </c>
    </row>
    <row r="808" spans="11:12" x14ac:dyDescent="0.4">
      <c r="K808" s="38">
        <v>806</v>
      </c>
      <c r="L808" s="99">
        <v>55.9</v>
      </c>
    </row>
    <row r="809" spans="11:12" x14ac:dyDescent="0.4">
      <c r="K809" s="38">
        <v>807</v>
      </c>
      <c r="L809" s="99">
        <v>0</v>
      </c>
    </row>
    <row r="810" spans="11:12" x14ac:dyDescent="0.4">
      <c r="K810" s="38">
        <v>808</v>
      </c>
      <c r="L810" s="99">
        <v>27.5</v>
      </c>
    </row>
    <row r="811" spans="11:12" x14ac:dyDescent="0.4">
      <c r="K811" s="38">
        <v>809</v>
      </c>
      <c r="L811" s="99">
        <v>28.5</v>
      </c>
    </row>
    <row r="812" spans="11:12" x14ac:dyDescent="0.4">
      <c r="K812" s="38">
        <v>810</v>
      </c>
      <c r="L812" s="99">
        <v>0</v>
      </c>
    </row>
    <row r="813" spans="11:12" x14ac:dyDescent="0.4">
      <c r="K813" s="38">
        <v>811</v>
      </c>
      <c r="L813" s="99">
        <v>33.4</v>
      </c>
    </row>
    <row r="814" spans="11:12" x14ac:dyDescent="0.4">
      <c r="K814" s="38">
        <v>812</v>
      </c>
      <c r="L814" s="99">
        <v>0.10000000000000142</v>
      </c>
    </row>
    <row r="815" spans="11:12" x14ac:dyDescent="0.4">
      <c r="K815" s="38">
        <v>813</v>
      </c>
      <c r="L815" s="99">
        <v>1.4155343563970746E-15</v>
      </c>
    </row>
    <row r="816" spans="11:12" x14ac:dyDescent="0.4">
      <c r="K816" s="38">
        <v>814</v>
      </c>
      <c r="L816" s="99">
        <v>38.299999999999997</v>
      </c>
    </row>
    <row r="817" spans="11:12" x14ac:dyDescent="0.4">
      <c r="K817" s="38">
        <v>815</v>
      </c>
      <c r="L817" s="99">
        <v>-12.900000000000006</v>
      </c>
    </row>
    <row r="818" spans="11:12" x14ac:dyDescent="0.4">
      <c r="K818" s="38">
        <v>816</v>
      </c>
      <c r="L818" s="99">
        <v>-5.3290705182007514E-15</v>
      </c>
    </row>
    <row r="819" spans="11:12" x14ac:dyDescent="0.4">
      <c r="K819" s="38">
        <v>817</v>
      </c>
      <c r="L819" s="99">
        <v>47.899999999999991</v>
      </c>
    </row>
    <row r="820" spans="11:12" x14ac:dyDescent="0.4">
      <c r="K820" s="38">
        <v>818</v>
      </c>
      <c r="L820" s="99">
        <v>-22.600000000000009</v>
      </c>
    </row>
    <row r="821" spans="11:12" x14ac:dyDescent="0.4">
      <c r="K821" s="38">
        <v>819</v>
      </c>
      <c r="L821" s="99">
        <v>-7.1054273576010019E-15</v>
      </c>
    </row>
    <row r="822" spans="11:12" x14ac:dyDescent="0.4">
      <c r="K822" s="38">
        <v>820</v>
      </c>
      <c r="L822" s="99">
        <v>-7.6000000000000068</v>
      </c>
    </row>
    <row r="823" spans="11:12" x14ac:dyDescent="0.4">
      <c r="K823" s="38">
        <v>821</v>
      </c>
      <c r="L823" s="99">
        <v>-54.600000000000009</v>
      </c>
    </row>
    <row r="824" spans="11:12" x14ac:dyDescent="0.4">
      <c r="K824" s="38">
        <v>822</v>
      </c>
      <c r="L824" s="99">
        <v>-7.1054273576010019E-15</v>
      </c>
    </row>
    <row r="825" spans="11:12" x14ac:dyDescent="0.4">
      <c r="K825" s="38">
        <v>823</v>
      </c>
      <c r="L825" s="99">
        <v>-34.600000000000009</v>
      </c>
    </row>
    <row r="826" spans="11:12" x14ac:dyDescent="0.4">
      <c r="K826" s="38">
        <v>824</v>
      </c>
      <c r="L826" s="99">
        <v>9.0999999999999943</v>
      </c>
    </row>
    <row r="827" spans="11:12" x14ac:dyDescent="0.4">
      <c r="K827" s="38">
        <v>825</v>
      </c>
      <c r="L827" s="99">
        <v>-5.3290705182007514E-15</v>
      </c>
    </row>
    <row r="828" spans="11:12" x14ac:dyDescent="0.4">
      <c r="K828" s="38">
        <v>826</v>
      </c>
      <c r="L828" s="99">
        <v>-29.500000000000007</v>
      </c>
    </row>
    <row r="829" spans="11:12" x14ac:dyDescent="0.4">
      <c r="K829" s="38">
        <v>827</v>
      </c>
      <c r="L829" s="99">
        <v>-30.000000000000007</v>
      </c>
    </row>
    <row r="830" spans="11:12" x14ac:dyDescent="0.4">
      <c r="K830" s="38">
        <v>828</v>
      </c>
      <c r="L830" s="99">
        <v>-7.1054273576010019E-15</v>
      </c>
    </row>
    <row r="831" spans="11:12" x14ac:dyDescent="0.4">
      <c r="K831" s="38">
        <v>829</v>
      </c>
      <c r="L831" s="99">
        <v>0.89999999999999292</v>
      </c>
    </row>
    <row r="832" spans="11:12" x14ac:dyDescent="0.4">
      <c r="K832" s="38">
        <v>830</v>
      </c>
      <c r="L832" s="99">
        <v>49.79999999999999</v>
      </c>
    </row>
    <row r="833" spans="11:12" x14ac:dyDescent="0.4">
      <c r="K833" s="38">
        <v>831</v>
      </c>
      <c r="L833" s="99">
        <v>-7.1054273576010019E-15</v>
      </c>
    </row>
    <row r="834" spans="11:12" x14ac:dyDescent="0.4">
      <c r="K834" s="38">
        <v>832</v>
      </c>
      <c r="L834" s="99">
        <v>-23.700000000000006</v>
      </c>
    </row>
    <row r="835" spans="11:12" x14ac:dyDescent="0.4">
      <c r="K835" s="38">
        <v>833</v>
      </c>
      <c r="L835" s="99">
        <v>-0.60000000000000497</v>
      </c>
    </row>
    <row r="836" spans="11:12" x14ac:dyDescent="0.4">
      <c r="K836" s="38">
        <v>834</v>
      </c>
      <c r="L836" s="99">
        <v>-4.9960036108132044E-15</v>
      </c>
    </row>
    <row r="837" spans="11:12" x14ac:dyDescent="0.4">
      <c r="K837" s="38">
        <v>835</v>
      </c>
      <c r="L837" s="99">
        <v>8.9999999999999947</v>
      </c>
    </row>
    <row r="838" spans="11:12" x14ac:dyDescent="0.4">
      <c r="K838" s="38">
        <v>836</v>
      </c>
      <c r="L838" s="99">
        <v>-31.500000000000007</v>
      </c>
    </row>
    <row r="839" spans="11:12" x14ac:dyDescent="0.4">
      <c r="K839" s="38">
        <v>837</v>
      </c>
      <c r="L839" s="99">
        <v>-7.1054273576010019E-15</v>
      </c>
    </row>
    <row r="840" spans="11:12" x14ac:dyDescent="0.4">
      <c r="K840" s="38">
        <v>838</v>
      </c>
      <c r="L840" s="99">
        <v>26.899999999999991</v>
      </c>
    </row>
    <row r="841" spans="11:12" x14ac:dyDescent="0.4">
      <c r="K841" s="38">
        <v>839</v>
      </c>
      <c r="L841" s="99">
        <v>28.399999999999991</v>
      </c>
    </row>
    <row r="842" spans="11:12" x14ac:dyDescent="0.4">
      <c r="K842" s="38">
        <v>840</v>
      </c>
      <c r="L842" s="99">
        <v>-7.1054273576010019E-15</v>
      </c>
    </row>
    <row r="843" spans="11:12" x14ac:dyDescent="0.4">
      <c r="K843" s="38">
        <v>841</v>
      </c>
      <c r="L843" s="99">
        <v>-33.800000000000004</v>
      </c>
    </row>
    <row r="844" spans="11:12" x14ac:dyDescent="0.4">
      <c r="K844" s="38">
        <v>842</v>
      </c>
      <c r="L844" s="99">
        <v>5.0999999999999943</v>
      </c>
    </row>
    <row r="845" spans="11:12" x14ac:dyDescent="0.4">
      <c r="K845" s="38">
        <v>843</v>
      </c>
      <c r="L845" s="99">
        <v>-5.3290705182007514E-15</v>
      </c>
    </row>
    <row r="846" spans="11:12" x14ac:dyDescent="0.4">
      <c r="K846" s="38">
        <v>844</v>
      </c>
      <c r="L846" s="99">
        <v>-31.800000000000004</v>
      </c>
    </row>
    <row r="847" spans="11:12" x14ac:dyDescent="0.4">
      <c r="K847" s="38">
        <v>845</v>
      </c>
      <c r="L847" s="99">
        <v>-1.5000000000000036</v>
      </c>
    </row>
    <row r="848" spans="11:12" x14ac:dyDescent="0.4">
      <c r="K848" s="38">
        <v>846</v>
      </c>
      <c r="L848" s="99">
        <v>-3.5527136788005009E-15</v>
      </c>
    </row>
    <row r="849" spans="11:12" x14ac:dyDescent="0.4">
      <c r="K849" s="38">
        <v>847</v>
      </c>
      <c r="L849" s="99">
        <v>-0.8000000000000036</v>
      </c>
    </row>
    <row r="850" spans="11:12" x14ac:dyDescent="0.4">
      <c r="K850" s="38">
        <v>848</v>
      </c>
      <c r="L850" s="99">
        <v>26.899999999999995</v>
      </c>
    </row>
    <row r="851" spans="11:12" x14ac:dyDescent="0.4">
      <c r="K851" s="38">
        <v>849</v>
      </c>
      <c r="L851" s="99">
        <v>-3.5527136788005009E-15</v>
      </c>
    </row>
    <row r="852" spans="11:12" x14ac:dyDescent="0.4">
      <c r="K852" s="38">
        <v>850</v>
      </c>
      <c r="L852" s="99">
        <v>72</v>
      </c>
    </row>
    <row r="853" spans="11:12" x14ac:dyDescent="0.4">
      <c r="K853" s="38">
        <v>851</v>
      </c>
      <c r="L853" s="99">
        <v>62</v>
      </c>
    </row>
    <row r="854" spans="11:12" x14ac:dyDescent="0.4">
      <c r="K854" s="38">
        <v>852</v>
      </c>
      <c r="L854" s="99">
        <v>0</v>
      </c>
    </row>
    <row r="855" spans="11:12" x14ac:dyDescent="0.4">
      <c r="K855" s="38">
        <v>853</v>
      </c>
      <c r="L855" s="99">
        <v>-32.700000000000003</v>
      </c>
    </row>
    <row r="856" spans="11:12" x14ac:dyDescent="0.4">
      <c r="K856" s="38">
        <v>854</v>
      </c>
      <c r="L856" s="99">
        <v>-31.1</v>
      </c>
    </row>
    <row r="857" spans="11:12" x14ac:dyDescent="0.4">
      <c r="K857" s="38">
        <v>855</v>
      </c>
      <c r="L857" s="99">
        <v>0</v>
      </c>
    </row>
    <row r="858" spans="11:12" x14ac:dyDescent="0.4">
      <c r="K858" s="38">
        <v>856</v>
      </c>
      <c r="L858" s="99">
        <v>-36.6</v>
      </c>
    </row>
    <row r="859" spans="11:12" x14ac:dyDescent="0.4">
      <c r="K859" s="38">
        <v>857</v>
      </c>
      <c r="L859" s="99">
        <v>-0.80000000000000426</v>
      </c>
    </row>
    <row r="860" spans="11:12" x14ac:dyDescent="0.4">
      <c r="K860" s="38">
        <v>858</v>
      </c>
      <c r="L860" s="99">
        <v>-4.2188474935755949E-15</v>
      </c>
    </row>
    <row r="861" spans="11:12" x14ac:dyDescent="0.4">
      <c r="K861" s="38">
        <v>859</v>
      </c>
      <c r="L861" s="99">
        <v>-29.400000000000002</v>
      </c>
    </row>
    <row r="862" spans="11:12" x14ac:dyDescent="0.4">
      <c r="K862" s="38">
        <v>860</v>
      </c>
      <c r="L862" s="99">
        <v>-37.6</v>
      </c>
    </row>
    <row r="863" spans="11:12" x14ac:dyDescent="0.4">
      <c r="K863" s="38">
        <v>861</v>
      </c>
      <c r="L863" s="99">
        <v>0</v>
      </c>
    </row>
    <row r="864" spans="11:12" x14ac:dyDescent="0.4">
      <c r="K864" s="38">
        <v>862</v>
      </c>
      <c r="L864" s="99">
        <v>-48.3</v>
      </c>
    </row>
    <row r="865" spans="11:12" x14ac:dyDescent="0.4">
      <c r="K865" s="38">
        <v>863</v>
      </c>
      <c r="L865" s="99">
        <v>-53.199999999999996</v>
      </c>
    </row>
    <row r="866" spans="11:12" x14ac:dyDescent="0.4">
      <c r="K866" s="38">
        <v>864</v>
      </c>
      <c r="L866" s="99">
        <v>7.1054273576010019E-15</v>
      </c>
    </row>
    <row r="867" spans="11:12" x14ac:dyDescent="0.4">
      <c r="K867" s="38">
        <v>865</v>
      </c>
      <c r="L867" s="99">
        <v>-32.79999999999999</v>
      </c>
    </row>
    <row r="868" spans="11:12" x14ac:dyDescent="0.4">
      <c r="K868" s="38">
        <v>866</v>
      </c>
      <c r="L868" s="99">
        <v>3.3000000000000114</v>
      </c>
    </row>
    <row r="869" spans="11:12" x14ac:dyDescent="0.4">
      <c r="K869" s="38">
        <v>867</v>
      </c>
      <c r="L869" s="99">
        <v>1.1546319456101628E-14</v>
      </c>
    </row>
    <row r="870" spans="11:12" x14ac:dyDescent="0.4">
      <c r="K870" s="38">
        <v>868</v>
      </c>
      <c r="L870" s="99">
        <v>-1.7999999999999885</v>
      </c>
    </row>
    <row r="871" spans="11:12" x14ac:dyDescent="0.4">
      <c r="K871" s="38">
        <v>869</v>
      </c>
      <c r="L871" s="99">
        <v>-28.199999999999989</v>
      </c>
    </row>
    <row r="872" spans="11:12" x14ac:dyDescent="0.4">
      <c r="K872" s="38">
        <v>870</v>
      </c>
      <c r="L872" s="99">
        <v>1.0658141036401503E-14</v>
      </c>
    </row>
    <row r="873" spans="11:12" x14ac:dyDescent="0.4">
      <c r="K873" s="38">
        <v>871</v>
      </c>
      <c r="L873" s="99">
        <v>-56.799999999999983</v>
      </c>
    </row>
    <row r="874" spans="11:12" x14ac:dyDescent="0.4">
      <c r="K874" s="38">
        <v>872</v>
      </c>
      <c r="L874" s="99">
        <v>4.2000000000000171</v>
      </c>
    </row>
    <row r="875" spans="11:12" x14ac:dyDescent="0.4">
      <c r="K875" s="38">
        <v>873</v>
      </c>
      <c r="L875" s="99">
        <v>1.6875389974302379E-14</v>
      </c>
    </row>
    <row r="876" spans="11:12" x14ac:dyDescent="0.4">
      <c r="K876" s="38">
        <v>874</v>
      </c>
      <c r="L876" s="99">
        <v>-32.499999999999986</v>
      </c>
    </row>
    <row r="877" spans="11:12" x14ac:dyDescent="0.4">
      <c r="K877" s="38">
        <v>875</v>
      </c>
      <c r="L877" s="99">
        <v>2.9000000000000128</v>
      </c>
    </row>
    <row r="878" spans="11:12" x14ac:dyDescent="0.4">
      <c r="K878" s="38">
        <v>876</v>
      </c>
      <c r="L878" s="99">
        <v>1.2878587085651816E-14</v>
      </c>
    </row>
    <row r="879" spans="11:12" x14ac:dyDescent="0.4">
      <c r="K879" s="38">
        <v>877</v>
      </c>
      <c r="L879" s="99">
        <v>-12.699999999999987</v>
      </c>
    </row>
    <row r="880" spans="11:12" x14ac:dyDescent="0.4">
      <c r="K880" s="38">
        <v>878</v>
      </c>
      <c r="L880" s="99">
        <v>42.800000000000011</v>
      </c>
    </row>
    <row r="881" spans="11:12" x14ac:dyDescent="0.4">
      <c r="K881" s="38">
        <v>879</v>
      </c>
      <c r="L881" s="99">
        <v>1.4210854715202004E-14</v>
      </c>
    </row>
    <row r="882" spans="11:12" x14ac:dyDescent="0.4">
      <c r="K882" s="38">
        <v>880</v>
      </c>
      <c r="L882" s="99">
        <v>-43.099999999999987</v>
      </c>
    </row>
    <row r="883" spans="11:12" x14ac:dyDescent="0.4">
      <c r="K883" s="38">
        <v>881</v>
      </c>
      <c r="L883" s="99">
        <v>-9.7999999999999901</v>
      </c>
    </row>
    <row r="884" spans="11:12" x14ac:dyDescent="0.4">
      <c r="K884" s="38">
        <v>882</v>
      </c>
      <c r="L884" s="99">
        <v>1.0658141036401503E-14</v>
      </c>
    </row>
    <row r="885" spans="11:12" x14ac:dyDescent="0.4">
      <c r="K885" s="38">
        <v>883</v>
      </c>
      <c r="L885" s="99">
        <v>26.500000000000011</v>
      </c>
    </row>
    <row r="886" spans="11:12" x14ac:dyDescent="0.4">
      <c r="K886" s="38">
        <v>884</v>
      </c>
      <c r="L886" s="99">
        <v>-0.29999999999999005</v>
      </c>
    </row>
    <row r="887" spans="11:12" x14ac:dyDescent="0.4">
      <c r="K887" s="38">
        <v>885</v>
      </c>
      <c r="L887" s="99">
        <v>9.936496070395151E-15</v>
      </c>
    </row>
    <row r="888" spans="11:12" x14ac:dyDescent="0.4">
      <c r="K888" s="38">
        <v>886</v>
      </c>
      <c r="L888" s="99">
        <v>40.800000000000004</v>
      </c>
    </row>
    <row r="889" spans="11:12" x14ac:dyDescent="0.4">
      <c r="K889" s="38">
        <v>887</v>
      </c>
      <c r="L889" s="99">
        <v>34.1</v>
      </c>
    </row>
    <row r="890" spans="11:12" x14ac:dyDescent="0.4">
      <c r="K890" s="38">
        <v>888</v>
      </c>
      <c r="L890" s="99">
        <v>0</v>
      </c>
    </row>
    <row r="891" spans="11:12" x14ac:dyDescent="0.4">
      <c r="K891" s="38">
        <v>889</v>
      </c>
      <c r="L891" s="99">
        <v>-3</v>
      </c>
    </row>
    <row r="892" spans="11:12" x14ac:dyDescent="0.4">
      <c r="K892" s="38">
        <v>890</v>
      </c>
      <c r="L892" s="99">
        <v>37.4</v>
      </c>
    </row>
    <row r="893" spans="11:12" x14ac:dyDescent="0.4">
      <c r="K893" s="38">
        <v>891</v>
      </c>
      <c r="L893" s="99">
        <v>0</v>
      </c>
    </row>
    <row r="894" spans="11:12" x14ac:dyDescent="0.4">
      <c r="K894" s="38">
        <v>892</v>
      </c>
      <c r="L894" s="99">
        <v>58.8</v>
      </c>
    </row>
    <row r="895" spans="11:12" x14ac:dyDescent="0.4">
      <c r="K895" s="38">
        <v>893</v>
      </c>
      <c r="L895" s="99">
        <v>0.79999999999999716</v>
      </c>
    </row>
    <row r="896" spans="11:12" x14ac:dyDescent="0.4">
      <c r="K896" s="38">
        <v>894</v>
      </c>
      <c r="L896" s="99">
        <v>-2.886579864025407E-15</v>
      </c>
    </row>
    <row r="897" spans="11:12" x14ac:dyDescent="0.4">
      <c r="K897" s="38">
        <v>895</v>
      </c>
      <c r="L897" s="99">
        <v>8.5999999999999961</v>
      </c>
    </row>
    <row r="898" spans="11:12" x14ac:dyDescent="0.4">
      <c r="K898" s="38">
        <v>896</v>
      </c>
      <c r="L898" s="99">
        <v>56.099999999999994</v>
      </c>
    </row>
    <row r="899" spans="11:12" x14ac:dyDescent="0.4">
      <c r="K899" s="38">
        <v>897</v>
      </c>
      <c r="L899" s="99">
        <v>-7.1054273576010019E-15</v>
      </c>
    </row>
    <row r="900" spans="11:12" x14ac:dyDescent="0.4">
      <c r="K900" s="38">
        <v>898</v>
      </c>
      <c r="L900" s="99">
        <v>-35.70000000000001</v>
      </c>
    </row>
    <row r="901" spans="11:12" x14ac:dyDescent="0.4">
      <c r="K901" s="38">
        <v>899</v>
      </c>
      <c r="L901" s="99">
        <v>-37.600000000000009</v>
      </c>
    </row>
    <row r="902" spans="11:12" x14ac:dyDescent="0.4">
      <c r="K902" s="38">
        <v>900</v>
      </c>
      <c r="L902" s="99">
        <v>-7.1054273576010019E-15</v>
      </c>
    </row>
    <row r="903" spans="11:12" x14ac:dyDescent="0.4">
      <c r="K903" s="38">
        <v>901</v>
      </c>
      <c r="L903" s="99">
        <v>5.1999999999999931</v>
      </c>
    </row>
    <row r="904" spans="11:12" x14ac:dyDescent="0.4">
      <c r="K904" s="38">
        <v>902</v>
      </c>
      <c r="L904" s="99">
        <v>59.599999999999994</v>
      </c>
    </row>
    <row r="905" spans="11:12" x14ac:dyDescent="0.4">
      <c r="K905" s="38">
        <v>903</v>
      </c>
      <c r="L905" s="99">
        <v>-7.1054273576010019E-15</v>
      </c>
    </row>
    <row r="906" spans="11:12" x14ac:dyDescent="0.4">
      <c r="K906" s="38">
        <v>904</v>
      </c>
      <c r="L906" s="99">
        <v>29.599999999999994</v>
      </c>
    </row>
    <row r="907" spans="11:12" x14ac:dyDescent="0.4">
      <c r="K907" s="38">
        <v>905</v>
      </c>
      <c r="L907" s="99">
        <v>32.399999999999991</v>
      </c>
    </row>
    <row r="908" spans="11:12" x14ac:dyDescent="0.4">
      <c r="K908" s="38">
        <v>906</v>
      </c>
      <c r="L908" s="99">
        <v>-7.1054273576010019E-15</v>
      </c>
    </row>
    <row r="909" spans="11:12" x14ac:dyDescent="0.4">
      <c r="K909" s="38">
        <v>907</v>
      </c>
      <c r="L909" s="99">
        <v>44.499999999999993</v>
      </c>
    </row>
    <row r="910" spans="11:12" x14ac:dyDescent="0.4">
      <c r="K910" s="38">
        <v>908</v>
      </c>
      <c r="L910" s="99">
        <v>41.399999999999991</v>
      </c>
    </row>
    <row r="911" spans="11:12" x14ac:dyDescent="0.4">
      <c r="K911" s="38">
        <v>909</v>
      </c>
      <c r="L911" s="99">
        <v>-7.1054273576010019E-15</v>
      </c>
    </row>
    <row r="912" spans="11:12" x14ac:dyDescent="0.4">
      <c r="K912" s="38">
        <v>910</v>
      </c>
      <c r="L912" s="99">
        <v>6.9999999999999929</v>
      </c>
    </row>
    <row r="913" spans="11:12" x14ac:dyDescent="0.4">
      <c r="K913" s="38">
        <v>911</v>
      </c>
      <c r="L913" s="99">
        <v>-27.500000000000007</v>
      </c>
    </row>
    <row r="914" spans="11:12" x14ac:dyDescent="0.4">
      <c r="K914" s="38">
        <v>912</v>
      </c>
      <c r="L914" s="99">
        <v>-7.1054273576010019E-15</v>
      </c>
    </row>
    <row r="915" spans="11:12" x14ac:dyDescent="0.4">
      <c r="K915" s="38">
        <v>913</v>
      </c>
      <c r="L915" s="99">
        <v>-4.6000000000000068</v>
      </c>
    </row>
    <row r="916" spans="11:12" x14ac:dyDescent="0.4">
      <c r="K916" s="38">
        <v>914</v>
      </c>
      <c r="L916" s="99">
        <v>46.499999999999993</v>
      </c>
    </row>
    <row r="917" spans="11:12" x14ac:dyDescent="0.4">
      <c r="K917" s="38">
        <v>915</v>
      </c>
      <c r="L917" s="99">
        <v>-7.1054273576010019E-15</v>
      </c>
    </row>
    <row r="918" spans="11:12" x14ac:dyDescent="0.4">
      <c r="K918" s="38">
        <v>916</v>
      </c>
      <c r="L918" s="99">
        <v>-29.100000000000009</v>
      </c>
    </row>
    <row r="919" spans="11:12" x14ac:dyDescent="0.4">
      <c r="K919" s="38">
        <v>917</v>
      </c>
      <c r="L919" s="99">
        <v>-36.500000000000007</v>
      </c>
    </row>
    <row r="920" spans="11:12" x14ac:dyDescent="0.4">
      <c r="K920" s="38">
        <v>918</v>
      </c>
      <c r="L920" s="99">
        <v>-7.1054273576010019E-15</v>
      </c>
    </row>
  </sheetData>
  <sortState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F120C-EA48-4A2B-80CC-6F0986997CE3}">
  <sheetPr codeName="Sheet7"/>
  <dimension ref="A1:Q19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196</v>
      </c>
      <c r="C2" s="151"/>
      <c r="E2" s="62" t="s">
        <v>67</v>
      </c>
      <c r="F2" s="59" t="s">
        <v>23</v>
      </c>
      <c r="G2" s="46">
        <v>409</v>
      </c>
      <c r="H2" s="132">
        <f>IF(B$17=0,0,G2/B$17)</f>
        <v>0.75045871559633026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1235.7142857142858</v>
      </c>
      <c r="P2" s="118">
        <v>196</v>
      </c>
      <c r="Q2" s="102">
        <v>242200</v>
      </c>
    </row>
    <row r="3" spans="1:17" x14ac:dyDescent="0.4">
      <c r="A3" s="55" t="s">
        <v>8</v>
      </c>
      <c r="B3" s="152">
        <v>1609</v>
      </c>
      <c r="C3" s="153"/>
      <c r="E3" s="63" t="s">
        <v>73</v>
      </c>
      <c r="F3" s="60" t="s">
        <v>28</v>
      </c>
      <c r="G3" s="47">
        <v>308</v>
      </c>
      <c r="H3" s="133">
        <f>IF(B$17=0,0,G3/B$17)</f>
        <v>0.56513761467889911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2005.7591623036649</v>
      </c>
      <c r="P3" s="119">
        <v>191</v>
      </c>
      <c r="Q3" s="103">
        <v>383100</v>
      </c>
    </row>
    <row r="4" spans="1:17" x14ac:dyDescent="0.4">
      <c r="A4" s="55" t="s">
        <v>6</v>
      </c>
      <c r="B4" s="154">
        <v>2442.9</v>
      </c>
      <c r="C4" s="155"/>
      <c r="E4" s="63" t="s">
        <v>65</v>
      </c>
      <c r="F4" s="60" t="s">
        <v>21</v>
      </c>
      <c r="G4" s="47">
        <v>257</v>
      </c>
      <c r="H4" s="133">
        <f>IF(B$17=0,0,G4/B$17)</f>
        <v>0.47155963302752296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1004.3956043956044</v>
      </c>
      <c r="P4" s="119">
        <v>182</v>
      </c>
      <c r="Q4" s="103">
        <v>182800</v>
      </c>
    </row>
    <row r="5" spans="1:17" x14ac:dyDescent="0.4">
      <c r="A5" s="55" t="s">
        <v>7</v>
      </c>
      <c r="B5" s="156">
        <f>IF(B$2=0,0,B$4/B$2)</f>
        <v>12.463775510204082</v>
      </c>
      <c r="C5" s="157"/>
      <c r="E5" s="63" t="s">
        <v>245</v>
      </c>
      <c r="F5" s="60" t="s">
        <v>246</v>
      </c>
      <c r="G5" s="47">
        <v>220</v>
      </c>
      <c r="H5" s="133">
        <f>IF(B$17=0,0,G5/B$17)</f>
        <v>0.40366972477064222</v>
      </c>
      <c r="I5" s="94">
        <v>7</v>
      </c>
      <c r="K5" s="38">
        <v>3</v>
      </c>
      <c r="L5" s="99">
        <v>70.399999999999991</v>
      </c>
      <c r="N5" s="115" t="s">
        <v>135</v>
      </c>
      <c r="O5" s="122">
        <f t="shared" si="0"/>
        <v>2117.2619047619046</v>
      </c>
      <c r="P5" s="119">
        <v>168</v>
      </c>
      <c r="Q5" s="103">
        <v>355700</v>
      </c>
    </row>
    <row r="6" spans="1:17" x14ac:dyDescent="0.4">
      <c r="A6" s="55" t="s">
        <v>1</v>
      </c>
      <c r="B6" s="146">
        <f>IF(B$2=0,0,(B$7*1+B$8*2+B$9*3)/B$2)</f>
        <v>1.760204081632653</v>
      </c>
      <c r="C6" s="147"/>
      <c r="E6" s="63" t="s">
        <v>68</v>
      </c>
      <c r="F6" s="60" t="s">
        <v>24</v>
      </c>
      <c r="G6" s="47">
        <v>165</v>
      </c>
      <c r="H6" s="133">
        <f>IF(B$17=0,0,G6/B$17)</f>
        <v>0.30275229357798167</v>
      </c>
      <c r="I6" s="94">
        <v>6</v>
      </c>
      <c r="K6" s="38">
        <v>4</v>
      </c>
      <c r="L6" s="99">
        <v>110.5</v>
      </c>
      <c r="N6" s="115" t="s">
        <v>136</v>
      </c>
      <c r="O6" s="122">
        <f t="shared" si="0"/>
        <v>1267.3333333333333</v>
      </c>
      <c r="P6" s="119">
        <v>150</v>
      </c>
      <c r="Q6" s="103">
        <v>190100</v>
      </c>
    </row>
    <row r="7" spans="1:17" x14ac:dyDescent="0.4">
      <c r="A7" s="55" t="s">
        <v>2</v>
      </c>
      <c r="B7" s="47">
        <v>94</v>
      </c>
      <c r="C7" s="39">
        <f>IF(B$2=0,0,B7/B$2)</f>
        <v>0.47959183673469385</v>
      </c>
      <c r="E7" s="63" t="s">
        <v>69</v>
      </c>
      <c r="F7" s="60" t="s">
        <v>12</v>
      </c>
      <c r="G7" s="47">
        <v>149</v>
      </c>
      <c r="H7" s="133">
        <f>IF(B$17=0,0,G7/B$17)</f>
        <v>0.27339449541284405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1128.4615384615386</v>
      </c>
      <c r="P7" s="120">
        <v>130</v>
      </c>
      <c r="Q7" s="104">
        <v>146700</v>
      </c>
    </row>
    <row r="8" spans="1:17" x14ac:dyDescent="0.4">
      <c r="A8" s="55" t="s">
        <v>3</v>
      </c>
      <c r="B8" s="47">
        <v>55</v>
      </c>
      <c r="C8" s="39">
        <f>IF(B$2=0,0,B8/B$2)</f>
        <v>0.28061224489795916</v>
      </c>
      <c r="E8" s="63" t="s">
        <v>90</v>
      </c>
      <c r="F8" s="60" t="s">
        <v>45</v>
      </c>
      <c r="G8" s="47">
        <v>90</v>
      </c>
      <c r="H8" s="133">
        <f>IF(B$17=0,0,G8/B$17)</f>
        <v>0.16513761467889909</v>
      </c>
      <c r="I8" s="94">
        <v>4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47</v>
      </c>
      <c r="C9" s="40">
        <f t="shared" ref="C9" si="1">IF(B$2=0,0,B9/B$2)</f>
        <v>0.23979591836734693</v>
      </c>
      <c r="E9" s="63" t="s">
        <v>70</v>
      </c>
      <c r="F9" s="60" t="s">
        <v>25</v>
      </c>
      <c r="G9" s="47">
        <v>88</v>
      </c>
      <c r="H9" s="133">
        <f>IF(B$17=0,0,G9/B$17)</f>
        <v>0.16146788990825689</v>
      </c>
      <c r="I9" s="94">
        <v>7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8.673469387755102E-2</v>
      </c>
      <c r="E10" s="63" t="s">
        <v>66</v>
      </c>
      <c r="F10" s="60" t="s">
        <v>22</v>
      </c>
      <c r="G10" s="47">
        <v>67</v>
      </c>
      <c r="H10" s="133">
        <f>IF(B$17=0,0,G10/B$17)</f>
        <v>0.12293577981651377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14.889830508474578</v>
      </c>
      <c r="P10" s="118">
        <v>59</v>
      </c>
      <c r="Q10" s="106">
        <v>878.50000000000011</v>
      </c>
    </row>
    <row r="11" spans="1:17" x14ac:dyDescent="0.4">
      <c r="A11" s="56" t="s">
        <v>140</v>
      </c>
      <c r="B11" s="48">
        <v>33</v>
      </c>
      <c r="C11" s="40">
        <f>IF(B$2=0,0,B11/B$2)</f>
        <v>0.1683673469387755</v>
      </c>
      <c r="E11" s="63" t="s">
        <v>71</v>
      </c>
      <c r="F11" s="60" t="s">
        <v>26</v>
      </c>
      <c r="G11" s="47">
        <v>46</v>
      </c>
      <c r="H11" s="133">
        <f>IF(B$17=0,0,G11/B$17)</f>
        <v>8.4403669724770647E-2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12.528571428571428</v>
      </c>
      <c r="P11" s="119">
        <v>63</v>
      </c>
      <c r="Q11" s="107">
        <v>789.3</v>
      </c>
    </row>
    <row r="12" spans="1:17" x14ac:dyDescent="0.4">
      <c r="A12" s="57" t="s">
        <v>160</v>
      </c>
      <c r="B12" s="49">
        <v>27</v>
      </c>
      <c r="C12" s="42">
        <f>IF(B$2=0,0,B12/B$2)</f>
        <v>0.13775510204081631</v>
      </c>
      <c r="E12" s="63" t="s">
        <v>87</v>
      </c>
      <c r="F12" s="60" t="s">
        <v>42</v>
      </c>
      <c r="G12" s="47">
        <v>38</v>
      </c>
      <c r="H12" s="133">
        <f>IF(B$17=0,0,G12/B$17)</f>
        <v>6.9724770642201839E-2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10.474324324324328</v>
      </c>
      <c r="P12" s="120">
        <v>74</v>
      </c>
      <c r="Q12" s="108">
        <v>775.10000000000036</v>
      </c>
    </row>
    <row r="13" spans="1:17" x14ac:dyDescent="0.4">
      <c r="A13" s="58" t="s">
        <v>122</v>
      </c>
      <c r="B13" s="50">
        <v>487</v>
      </c>
      <c r="C13" s="44">
        <f>IF(B$3=0,0,B13/B$3)</f>
        <v>0.30267246737103792</v>
      </c>
      <c r="E13" s="63" t="s">
        <v>72</v>
      </c>
      <c r="F13" s="60" t="s">
        <v>27</v>
      </c>
      <c r="G13" s="47">
        <v>35</v>
      </c>
      <c r="H13" s="133">
        <f>IF(B$17=0,0,G13/B$17)</f>
        <v>6.4220183486238536E-2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348</v>
      </c>
      <c r="C14" s="39">
        <f>IF(B$3=0,0,B14/B$3)</f>
        <v>0.21628340584213798</v>
      </c>
      <c r="E14" s="63" t="s">
        <v>84</v>
      </c>
      <c r="F14" s="60" t="s">
        <v>39</v>
      </c>
      <c r="G14" s="47">
        <v>28</v>
      </c>
      <c r="H14" s="133">
        <f>IF(B$17=0,0,G14/B$17)</f>
        <v>5.1376146788990829E-2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283</v>
      </c>
      <c r="C15" s="37">
        <f>IF(B$13=0,0,B15/B$13)</f>
        <v>0.58110882956878851</v>
      </c>
      <c r="E15" s="63" t="s">
        <v>180</v>
      </c>
      <c r="F15" s="60" t="s">
        <v>181</v>
      </c>
      <c r="G15" s="47">
        <v>22</v>
      </c>
      <c r="H15" s="133">
        <f>IF(B$17=0,0,G15/B$17)</f>
        <v>4.0366972477064222E-2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179</v>
      </c>
      <c r="C16" s="37">
        <f>IF(B$14=0,0,B16/B$14)</f>
        <v>0.51436781609195403</v>
      </c>
      <c r="E16" s="63" t="s">
        <v>79</v>
      </c>
      <c r="F16" s="60" t="s">
        <v>34</v>
      </c>
      <c r="G16" s="47">
        <v>13</v>
      </c>
      <c r="H16" s="133">
        <f>IF(B$17=0,0,G16/B$17)</f>
        <v>2.3853211009174313E-2</v>
      </c>
      <c r="I16" s="94">
        <v>8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545</v>
      </c>
      <c r="C17" s="37">
        <f>IF(B$3=0,0,B17/B$3)</f>
        <v>0.33871970167806092</v>
      </c>
      <c r="E17" s="63" t="s">
        <v>82</v>
      </c>
      <c r="F17" s="60" t="s">
        <v>37</v>
      </c>
      <c r="G17" s="47">
        <v>12</v>
      </c>
      <c r="H17" s="133">
        <f>IF(B$17=0,0,G17/B$17)</f>
        <v>2.2018348623853212E-2</v>
      </c>
      <c r="I17" s="94">
        <v>8</v>
      </c>
      <c r="K17" s="38">
        <v>15</v>
      </c>
      <c r="L17" s="99">
        <v>481.50000000000006</v>
      </c>
      <c r="N17" s="115" t="s">
        <v>184</v>
      </c>
      <c r="O17" s="125">
        <f>IF(P17=0,0,Q17/P17)</f>
        <v>29.12142857142857</v>
      </c>
      <c r="P17" s="119">
        <v>14</v>
      </c>
      <c r="Q17" s="107">
        <v>407.7</v>
      </c>
    </row>
    <row r="18" spans="1:17" x14ac:dyDescent="0.4">
      <c r="A18" s="55" t="s">
        <v>12</v>
      </c>
      <c r="B18" s="47">
        <v>229</v>
      </c>
      <c r="C18" s="39">
        <f>IF(B$17=0,0,B18/B$17)</f>
        <v>0.42018348623853213</v>
      </c>
      <c r="E18" s="63" t="s">
        <v>92</v>
      </c>
      <c r="F18" s="60" t="s">
        <v>47</v>
      </c>
      <c r="G18" s="47">
        <v>12</v>
      </c>
      <c r="H18" s="133">
        <f>IF(B$17=0,0,G18/B$17)</f>
        <v>2.2018348623853212E-2</v>
      </c>
      <c r="I18" s="94">
        <v>4</v>
      </c>
      <c r="K18" s="38">
        <v>16</v>
      </c>
      <c r="L18" s="99">
        <v>425.50000000000006</v>
      </c>
      <c r="N18" s="115" t="s">
        <v>172</v>
      </c>
      <c r="O18" s="125">
        <f>IF(P18=0,0,Q18/P18)</f>
        <v>26.555999999999994</v>
      </c>
      <c r="P18" s="119">
        <v>50</v>
      </c>
      <c r="Q18" s="107">
        <v>1327.7999999999997</v>
      </c>
    </row>
    <row r="19" spans="1:17" x14ac:dyDescent="0.4">
      <c r="A19" s="55" t="s">
        <v>11</v>
      </c>
      <c r="B19" s="47">
        <v>316</v>
      </c>
      <c r="C19" s="39">
        <f>IF(B$17=0,0,B19/B$17)</f>
        <v>0.57981651376146792</v>
      </c>
      <c r="E19" s="63" t="s">
        <v>80</v>
      </c>
      <c r="F19" s="60" t="s">
        <v>35</v>
      </c>
      <c r="G19" s="47">
        <v>8</v>
      </c>
      <c r="H19" s="133">
        <f>IF(B$17=0,0,G19/B$17)</f>
        <v>1.4678899082568808E-2</v>
      </c>
      <c r="I19" s="94">
        <v>8</v>
      </c>
      <c r="K19" s="38">
        <v>17</v>
      </c>
      <c r="L19" s="99">
        <v>427.40000000000003</v>
      </c>
      <c r="N19" s="115" t="s">
        <v>129</v>
      </c>
      <c r="O19" s="125">
        <f>IF(P19=0,0,Q19/P19)</f>
        <v>25.46</v>
      </c>
      <c r="P19" s="119">
        <v>90</v>
      </c>
      <c r="Q19" s="107">
        <v>2291.4</v>
      </c>
    </row>
    <row r="20" spans="1:17" x14ac:dyDescent="0.4">
      <c r="A20" s="55" t="s">
        <v>13</v>
      </c>
      <c r="B20" s="47">
        <v>243</v>
      </c>
      <c r="C20" s="39">
        <f>IF(B$3=0,0,B20/B$3)</f>
        <v>0.15102548166563082</v>
      </c>
      <c r="E20" s="63" t="s">
        <v>86</v>
      </c>
      <c r="F20" s="60" t="s">
        <v>41</v>
      </c>
      <c r="G20" s="47">
        <v>6</v>
      </c>
      <c r="H20" s="133">
        <f>IF(B$17=0,0,G20/B$17)</f>
        <v>1.1009174311926606E-2</v>
      </c>
      <c r="I20" s="94">
        <v>2</v>
      </c>
      <c r="K20" s="38">
        <v>18</v>
      </c>
      <c r="L20" s="99">
        <v>429.3</v>
      </c>
      <c r="N20" s="115" t="s">
        <v>177</v>
      </c>
      <c r="O20" s="125">
        <f>IF(P20=0,0,Q20/P20)</f>
        <v>20.307500000000008</v>
      </c>
      <c r="P20" s="119">
        <v>40</v>
      </c>
      <c r="Q20" s="107">
        <v>812.3000000000003</v>
      </c>
    </row>
    <row r="21" spans="1:17" x14ac:dyDescent="0.4">
      <c r="A21" s="55" t="s">
        <v>191</v>
      </c>
      <c r="B21" s="47">
        <v>7</v>
      </c>
      <c r="C21" s="135">
        <v>2</v>
      </c>
      <c r="E21" s="63" t="s">
        <v>74</v>
      </c>
      <c r="F21" s="60" t="s">
        <v>29</v>
      </c>
      <c r="G21" s="47">
        <v>4</v>
      </c>
      <c r="H21" s="133">
        <f>IF(B$17=0,0,G21/B$17)</f>
        <v>7.3394495412844041E-3</v>
      </c>
      <c r="I21" s="94">
        <v>5</v>
      </c>
      <c r="K21" s="38">
        <v>19</v>
      </c>
      <c r="L21" s="99">
        <v>405.40000000000003</v>
      </c>
      <c r="N21" s="115" t="s">
        <v>128</v>
      </c>
      <c r="O21" s="125">
        <f>IF(P21=0,0,Q21/P21)</f>
        <v>18.368181818181817</v>
      </c>
      <c r="P21" s="119">
        <v>110</v>
      </c>
      <c r="Q21" s="107">
        <v>2020.5</v>
      </c>
    </row>
    <row r="22" spans="1:17" x14ac:dyDescent="0.4">
      <c r="A22" s="55" t="s">
        <v>192</v>
      </c>
      <c r="B22" s="47">
        <v>39</v>
      </c>
      <c r="C22" s="135">
        <v>9</v>
      </c>
      <c r="E22" s="63" t="s">
        <v>78</v>
      </c>
      <c r="F22" s="60" t="s">
        <v>33</v>
      </c>
      <c r="G22" s="47">
        <v>4</v>
      </c>
      <c r="H22" s="133">
        <f>IF(B$17=0,0,G22/B$17)</f>
        <v>7.3394495412844041E-3</v>
      </c>
      <c r="I22" s="94">
        <v>6</v>
      </c>
      <c r="K22" s="38">
        <v>20</v>
      </c>
      <c r="L22" s="99">
        <v>469.6</v>
      </c>
      <c r="N22" s="115" t="s">
        <v>173</v>
      </c>
      <c r="O22" s="125">
        <f>IF(P22=0,0,Q22/P22)</f>
        <v>16.769565217391303</v>
      </c>
      <c r="P22" s="119">
        <v>23</v>
      </c>
      <c r="Q22" s="107">
        <v>385.7</v>
      </c>
    </row>
    <row r="23" spans="1:17" x14ac:dyDescent="0.4">
      <c r="A23" s="55" t="s">
        <v>5</v>
      </c>
      <c r="B23" s="51">
        <f>IF(B$17=0,0,C23/B$17)</f>
        <v>9226.0550458715588</v>
      </c>
      <c r="C23" s="41">
        <v>5028200</v>
      </c>
      <c r="E23" s="63" t="s">
        <v>91</v>
      </c>
      <c r="F23" s="60" t="s">
        <v>46</v>
      </c>
      <c r="G23" s="47">
        <v>3</v>
      </c>
      <c r="H23" s="133">
        <f>IF(B$17=0,0,G23/B$17)</f>
        <v>5.5045871559633031E-3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1.7258620689655151</v>
      </c>
      <c r="P23" s="119">
        <v>58</v>
      </c>
      <c r="Q23" s="107">
        <v>100.09999999999988</v>
      </c>
    </row>
    <row r="24" spans="1:17" x14ac:dyDescent="0.4">
      <c r="A24" s="57" t="s">
        <v>14</v>
      </c>
      <c r="B24" s="52">
        <f>IF(B$20=0,0,C24/B$20)</f>
        <v>-8085.5967078189296</v>
      </c>
      <c r="C24" s="45">
        <v>-1964800</v>
      </c>
      <c r="E24" s="63" t="s">
        <v>93</v>
      </c>
      <c r="F24" s="60" t="s">
        <v>48</v>
      </c>
      <c r="G24" s="47">
        <v>3</v>
      </c>
      <c r="H24" s="133">
        <f>IF(B$17=0,0,G24/B$17)</f>
        <v>5.5045871559633031E-3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8</v>
      </c>
      <c r="C25" s="145"/>
      <c r="E25" s="63" t="s">
        <v>89</v>
      </c>
      <c r="F25" s="60" t="s">
        <v>44</v>
      </c>
      <c r="G25" s="47">
        <v>2</v>
      </c>
      <c r="H25" s="133">
        <f>IF(B$17=0,0,G25/B$17)</f>
        <v>3.669724770642202E-3</v>
      </c>
      <c r="I25" s="94">
        <v>1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2</v>
      </c>
      <c r="H26" s="133">
        <f>IF(B$17=0,0,G26/B$17)</f>
        <v>3.669724770642202E-3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6.215040397762585E-4</v>
      </c>
      <c r="E27" s="63" t="s">
        <v>76</v>
      </c>
      <c r="F27" s="60" t="s">
        <v>31</v>
      </c>
      <c r="G27" s="47">
        <v>1</v>
      </c>
      <c r="H27" s="133">
        <f>IF(B$17=0,0,G27/B$17)</f>
        <v>1.834862385321101E-3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1.834862385321101E-3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>IF(B$17=0,0,G29/B$17)</f>
        <v>1.834862385321101E-3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1.834862385321101E-3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1976.5000000000005</v>
      </c>
    </row>
    <row r="172" spans="11:12" x14ac:dyDescent="0.4">
      <c r="K172" s="38">
        <v>170</v>
      </c>
      <c r="L172" s="99">
        <v>2031.1000000000004</v>
      </c>
    </row>
    <row r="173" spans="11:12" x14ac:dyDescent="0.4">
      <c r="K173" s="38">
        <v>171</v>
      </c>
      <c r="L173" s="99">
        <v>2031.0000000000005</v>
      </c>
    </row>
    <row r="174" spans="11:12" x14ac:dyDescent="0.4">
      <c r="K174" s="38">
        <v>172</v>
      </c>
      <c r="L174" s="99">
        <v>2043.9000000000005</v>
      </c>
    </row>
    <row r="175" spans="11:12" x14ac:dyDescent="0.4">
      <c r="K175" s="38">
        <v>173</v>
      </c>
      <c r="L175" s="99">
        <v>2066.5000000000005</v>
      </c>
    </row>
    <row r="176" spans="11:12" x14ac:dyDescent="0.4">
      <c r="K176" s="38">
        <v>174</v>
      </c>
      <c r="L176" s="99">
        <v>2121.1000000000004</v>
      </c>
    </row>
    <row r="177" spans="11:12" x14ac:dyDescent="0.4">
      <c r="K177" s="38">
        <v>175</v>
      </c>
      <c r="L177" s="99">
        <v>2087.3000000000002</v>
      </c>
    </row>
    <row r="178" spans="11:12" x14ac:dyDescent="0.4">
      <c r="K178" s="38">
        <v>176</v>
      </c>
      <c r="L178" s="99">
        <v>2055.5</v>
      </c>
    </row>
    <row r="179" spans="11:12" x14ac:dyDescent="0.4">
      <c r="K179" s="38">
        <v>177</v>
      </c>
      <c r="L179" s="99">
        <v>2093.1</v>
      </c>
    </row>
    <row r="180" spans="11:12" x14ac:dyDescent="0.4">
      <c r="K180" s="38">
        <v>178</v>
      </c>
      <c r="L180" s="99">
        <v>2146.2999999999997</v>
      </c>
    </row>
    <row r="181" spans="11:12" x14ac:dyDescent="0.4">
      <c r="K181" s="38">
        <v>179</v>
      </c>
      <c r="L181" s="99">
        <v>2182.3999999999996</v>
      </c>
    </row>
    <row r="182" spans="11:12" x14ac:dyDescent="0.4">
      <c r="K182" s="38">
        <v>180</v>
      </c>
      <c r="L182" s="99">
        <v>2155.9999999999995</v>
      </c>
    </row>
    <row r="183" spans="11:12" x14ac:dyDescent="0.4">
      <c r="K183" s="38">
        <v>181</v>
      </c>
      <c r="L183" s="99">
        <v>2216.9999999999995</v>
      </c>
    </row>
    <row r="184" spans="11:12" x14ac:dyDescent="0.4">
      <c r="K184" s="38">
        <v>182</v>
      </c>
      <c r="L184" s="99">
        <v>2252.3999999999996</v>
      </c>
    </row>
    <row r="185" spans="11:12" x14ac:dyDescent="0.4">
      <c r="K185" s="38">
        <v>183</v>
      </c>
      <c r="L185" s="99">
        <v>2307.8999999999996</v>
      </c>
    </row>
    <row r="186" spans="11:12" x14ac:dyDescent="0.4">
      <c r="K186" s="38">
        <v>184</v>
      </c>
      <c r="L186" s="99">
        <v>2341.1999999999998</v>
      </c>
    </row>
    <row r="187" spans="11:12" x14ac:dyDescent="0.4">
      <c r="K187" s="38">
        <v>185</v>
      </c>
      <c r="L187" s="99">
        <v>2314.3999999999996</v>
      </c>
    </row>
    <row r="188" spans="11:12" x14ac:dyDescent="0.4">
      <c r="K188" s="38">
        <v>186</v>
      </c>
      <c r="L188" s="99">
        <v>2307.6999999999998</v>
      </c>
    </row>
    <row r="189" spans="11:12" x14ac:dyDescent="0.4">
      <c r="K189" s="38">
        <v>187</v>
      </c>
      <c r="L189" s="99">
        <v>2348.1</v>
      </c>
    </row>
    <row r="190" spans="11:12" x14ac:dyDescent="0.4">
      <c r="K190" s="38">
        <v>188</v>
      </c>
      <c r="L190" s="99">
        <v>2290.1</v>
      </c>
    </row>
    <row r="191" spans="11:12" x14ac:dyDescent="0.4">
      <c r="K191" s="38">
        <v>189</v>
      </c>
      <c r="L191" s="99">
        <v>2337.6</v>
      </c>
    </row>
    <row r="192" spans="11:12" x14ac:dyDescent="0.4">
      <c r="K192" s="38">
        <v>190</v>
      </c>
      <c r="L192" s="99">
        <v>2335.6999999999998</v>
      </c>
    </row>
    <row r="193" spans="11:12" x14ac:dyDescent="0.4">
      <c r="K193" s="38">
        <v>191</v>
      </c>
      <c r="L193" s="99">
        <v>2390.1</v>
      </c>
    </row>
    <row r="194" spans="11:12" x14ac:dyDescent="0.4">
      <c r="K194" s="38">
        <v>192</v>
      </c>
      <c r="L194" s="99">
        <v>2392.9</v>
      </c>
    </row>
    <row r="195" spans="11:12" x14ac:dyDescent="0.4">
      <c r="K195" s="38">
        <v>193</v>
      </c>
      <c r="L195" s="99">
        <v>2389.8000000000002</v>
      </c>
    </row>
    <row r="196" spans="11:12" x14ac:dyDescent="0.4">
      <c r="K196" s="38">
        <v>194</v>
      </c>
      <c r="L196" s="99">
        <v>2355.3000000000002</v>
      </c>
    </row>
    <row r="197" spans="11:12" x14ac:dyDescent="0.4">
      <c r="K197" s="38">
        <v>195</v>
      </c>
      <c r="L197" s="99">
        <v>2406.4</v>
      </c>
    </row>
    <row r="198" spans="11:12" x14ac:dyDescent="0.4">
      <c r="K198" s="38">
        <v>196</v>
      </c>
      <c r="L198" s="99">
        <v>2442.9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89F29-572B-4194-BE39-87260DDB657C}">
  <sheetPr codeName="Sheet9"/>
  <dimension ref="A1:Q16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159</v>
      </c>
      <c r="C2" s="151"/>
      <c r="E2" s="62" t="s">
        <v>67</v>
      </c>
      <c r="F2" s="59" t="s">
        <v>23</v>
      </c>
      <c r="G2" s="46">
        <v>265</v>
      </c>
      <c r="H2" s="132">
        <f>IF(B$17=0,0,G2/B$17)</f>
        <v>0.73204419889502759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645.28301886792451</v>
      </c>
      <c r="P2" s="118">
        <v>159</v>
      </c>
      <c r="Q2" s="102">
        <v>102600</v>
      </c>
    </row>
    <row r="3" spans="1:17" x14ac:dyDescent="0.4">
      <c r="A3" s="55" t="s">
        <v>8</v>
      </c>
      <c r="B3" s="152">
        <v>1306</v>
      </c>
      <c r="C3" s="153"/>
      <c r="E3" s="63" t="s">
        <v>65</v>
      </c>
      <c r="F3" s="60" t="s">
        <v>21</v>
      </c>
      <c r="G3" s="47">
        <v>215</v>
      </c>
      <c r="H3" s="133">
        <f>IF(B$17=0,0,G3/B$17)</f>
        <v>0.59392265193370164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-1417.5324675324675</v>
      </c>
      <c r="P3" s="119">
        <v>154</v>
      </c>
      <c r="Q3" s="103">
        <v>-218300</v>
      </c>
    </row>
    <row r="4" spans="1:17" x14ac:dyDescent="0.4">
      <c r="A4" s="55" t="s">
        <v>6</v>
      </c>
      <c r="B4" s="154">
        <v>-410.40000000000003</v>
      </c>
      <c r="C4" s="155"/>
      <c r="E4" s="63" t="s">
        <v>73</v>
      </c>
      <c r="F4" s="60" t="s">
        <v>28</v>
      </c>
      <c r="G4" s="47">
        <v>163</v>
      </c>
      <c r="H4" s="133">
        <f>IF(B$17=0,0,G4/B$17)</f>
        <v>0.45027624309392267</v>
      </c>
      <c r="I4" s="94">
        <v>11</v>
      </c>
      <c r="K4" s="38">
        <v>2</v>
      </c>
      <c r="L4" s="99">
        <v>6.2999999999999972</v>
      </c>
      <c r="N4" s="115" t="s">
        <v>134</v>
      </c>
      <c r="O4" s="122">
        <f t="shared" si="0"/>
        <v>-499.31972789115645</v>
      </c>
      <c r="P4" s="119">
        <v>147</v>
      </c>
      <c r="Q4" s="103">
        <v>-73400</v>
      </c>
    </row>
    <row r="5" spans="1:17" x14ac:dyDescent="0.4">
      <c r="A5" s="55" t="s">
        <v>7</v>
      </c>
      <c r="B5" s="156">
        <f>IF(B$2=0,0,B$4/B$2)</f>
        <v>-2.5811320754716984</v>
      </c>
      <c r="C5" s="157"/>
      <c r="E5" s="63" t="s">
        <v>245</v>
      </c>
      <c r="F5" s="60" t="s">
        <v>246</v>
      </c>
      <c r="G5" s="47">
        <v>151</v>
      </c>
      <c r="H5" s="133">
        <f>IF(B$17=0,0,G5/B$17)</f>
        <v>0.41712707182320441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-45.454545454545453</v>
      </c>
      <c r="P5" s="119">
        <v>132</v>
      </c>
      <c r="Q5" s="103">
        <v>-6000</v>
      </c>
    </row>
    <row r="6" spans="1:17" x14ac:dyDescent="0.4">
      <c r="A6" s="55" t="s">
        <v>1</v>
      </c>
      <c r="B6" s="146">
        <f>IF(B$2=0,0,(B$7*1+B$8*2+B$9*3)/B$2)</f>
        <v>2.0691823899371071</v>
      </c>
      <c r="C6" s="147"/>
      <c r="E6" s="63" t="s">
        <v>68</v>
      </c>
      <c r="F6" s="60" t="s">
        <v>24</v>
      </c>
      <c r="G6" s="47">
        <v>141</v>
      </c>
      <c r="H6" s="133">
        <f>IF(B$17=0,0,G6/B$17)</f>
        <v>0.38950276243093923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478.63247863247864</v>
      </c>
      <c r="P6" s="119">
        <v>117</v>
      </c>
      <c r="Q6" s="103">
        <v>56000</v>
      </c>
    </row>
    <row r="7" spans="1:17" x14ac:dyDescent="0.4">
      <c r="A7" s="55" t="s">
        <v>2</v>
      </c>
      <c r="B7" s="47">
        <v>43</v>
      </c>
      <c r="C7" s="39">
        <f>IF(B$2=0,0,B7/B$2)</f>
        <v>0.27044025157232704</v>
      </c>
      <c r="E7" s="63" t="s">
        <v>69</v>
      </c>
      <c r="F7" s="60" t="s">
        <v>12</v>
      </c>
      <c r="G7" s="47">
        <v>128</v>
      </c>
      <c r="H7" s="133">
        <f>IF(B$17=0,0,G7/B$17)</f>
        <v>0.35359116022099446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-315.09433962264148</v>
      </c>
      <c r="P7" s="120">
        <v>106</v>
      </c>
      <c r="Q7" s="104">
        <v>-33400</v>
      </c>
    </row>
    <row r="8" spans="1:17" x14ac:dyDescent="0.4">
      <c r="A8" s="55" t="s">
        <v>3</v>
      </c>
      <c r="B8" s="47">
        <v>62</v>
      </c>
      <c r="C8" s="39">
        <f>IF(B$2=0,0,B8/B$2)</f>
        <v>0.38993710691823902</v>
      </c>
      <c r="E8" s="63" t="s">
        <v>70</v>
      </c>
      <c r="F8" s="60" t="s">
        <v>25</v>
      </c>
      <c r="G8" s="47">
        <v>79</v>
      </c>
      <c r="H8" s="133">
        <f>IF(B$17=0,0,G8/B$17)</f>
        <v>0.21823204419889503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54</v>
      </c>
      <c r="C9" s="40">
        <f t="shared" ref="C9" si="1">IF(B$2=0,0,B9/B$2)</f>
        <v>0.33962264150943394</v>
      </c>
      <c r="E9" s="63" t="s">
        <v>66</v>
      </c>
      <c r="F9" s="60" t="s">
        <v>22</v>
      </c>
      <c r="G9" s="47">
        <v>52</v>
      </c>
      <c r="H9" s="133">
        <f>IF(B$17=0,0,G9/B$17)</f>
        <v>0.143646408839779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20</v>
      </c>
      <c r="C10" s="40">
        <f>IF(B$2=0,0,B10/B$2)</f>
        <v>0.12578616352201258</v>
      </c>
      <c r="E10" s="63" t="s">
        <v>71</v>
      </c>
      <c r="F10" s="60" t="s">
        <v>26</v>
      </c>
      <c r="G10" s="47">
        <v>46</v>
      </c>
      <c r="H10" s="133">
        <f>IF(B$17=0,0,G10/B$17)</f>
        <v>0.1270718232044199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-5.4197368421052641</v>
      </c>
      <c r="P10" s="118">
        <v>76</v>
      </c>
      <c r="Q10" s="106">
        <v>-411.90000000000009</v>
      </c>
    </row>
    <row r="11" spans="1:17" x14ac:dyDescent="0.4">
      <c r="A11" s="56" t="s">
        <v>140</v>
      </c>
      <c r="B11" s="48">
        <v>16</v>
      </c>
      <c r="C11" s="40">
        <f>IF(B$2=0,0,B11/B$2)</f>
        <v>0.10062893081761007</v>
      </c>
      <c r="E11" s="63" t="s">
        <v>90</v>
      </c>
      <c r="F11" s="60" t="s">
        <v>45</v>
      </c>
      <c r="G11" s="47">
        <v>42</v>
      </c>
      <c r="H11" s="133">
        <f>IF(B$17=0,0,G11/B$17)</f>
        <v>0.11602209944751381</v>
      </c>
      <c r="I11" s="94">
        <v>8</v>
      </c>
      <c r="K11" s="38">
        <v>9</v>
      </c>
      <c r="L11" s="99">
        <v>-79.5</v>
      </c>
      <c r="N11" s="115" t="s">
        <v>165</v>
      </c>
      <c r="O11" s="125">
        <f>IF(P11=0,0,Q11/P11)</f>
        <v>-2.17906976744186</v>
      </c>
      <c r="P11" s="119">
        <v>43</v>
      </c>
      <c r="Q11" s="107">
        <v>-93.699999999999974</v>
      </c>
    </row>
    <row r="12" spans="1:17" x14ac:dyDescent="0.4">
      <c r="A12" s="57" t="s">
        <v>160</v>
      </c>
      <c r="B12" s="49">
        <v>9</v>
      </c>
      <c r="C12" s="42">
        <f>IF(B$2=0,0,B12/B$2)</f>
        <v>5.6603773584905662E-2</v>
      </c>
      <c r="E12" s="63" t="s">
        <v>87</v>
      </c>
      <c r="F12" s="60" t="s">
        <v>42</v>
      </c>
      <c r="G12" s="47">
        <v>20</v>
      </c>
      <c r="H12" s="133">
        <f>IF(B$17=0,0,G12/B$17)</f>
        <v>5.5248618784530384E-2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2.3799999999999994</v>
      </c>
      <c r="P12" s="120">
        <v>40</v>
      </c>
      <c r="Q12" s="108">
        <v>95.199999999999974</v>
      </c>
    </row>
    <row r="13" spans="1:17" x14ac:dyDescent="0.4">
      <c r="A13" s="58" t="s">
        <v>122</v>
      </c>
      <c r="B13" s="50">
        <v>386</v>
      </c>
      <c r="C13" s="44">
        <f>IF(B$3=0,0,B13/B$3)</f>
        <v>0.29555895865237364</v>
      </c>
      <c r="E13" s="63" t="s">
        <v>72</v>
      </c>
      <c r="F13" s="60" t="s">
        <v>27</v>
      </c>
      <c r="G13" s="47">
        <v>17</v>
      </c>
      <c r="H13" s="133">
        <f>IF(B$17=0,0,G13/B$17)</f>
        <v>4.6961325966850827E-2</v>
      </c>
      <c r="I13" s="94">
        <v>10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224</v>
      </c>
      <c r="C14" s="39">
        <f>IF(B$3=0,0,B14/B$3)</f>
        <v>0.17151607963246554</v>
      </c>
      <c r="E14" s="63" t="s">
        <v>84</v>
      </c>
      <c r="F14" s="60" t="s">
        <v>39</v>
      </c>
      <c r="G14" s="47">
        <v>15</v>
      </c>
      <c r="H14" s="133">
        <f>IF(B$17=0,0,G14/B$17)</f>
        <v>4.1436464088397788E-2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227</v>
      </c>
      <c r="C15" s="37">
        <f>IF(B$13=0,0,B15/B$13)</f>
        <v>0.58808290155440412</v>
      </c>
      <c r="E15" s="63" t="s">
        <v>82</v>
      </c>
      <c r="F15" s="60" t="s">
        <v>37</v>
      </c>
      <c r="G15" s="47">
        <v>11</v>
      </c>
      <c r="H15" s="133">
        <f>IF(B$17=0,0,G15/B$17)</f>
        <v>3.0386740331491711E-2</v>
      </c>
      <c r="I15" s="94">
        <v>5</v>
      </c>
      <c r="K15" s="38">
        <v>13</v>
      </c>
      <c r="L15" s="99">
        <v>-81.900000000000006</v>
      </c>
      <c r="N15" s="114" t="s">
        <v>184</v>
      </c>
      <c r="O15" s="124">
        <f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72</v>
      </c>
      <c r="C16" s="37">
        <f>IF(B$14=0,0,B16/B$14)</f>
        <v>0.32142857142857145</v>
      </c>
      <c r="E16" s="63" t="s">
        <v>79</v>
      </c>
      <c r="F16" s="60" t="s">
        <v>34</v>
      </c>
      <c r="G16" s="47">
        <v>8</v>
      </c>
      <c r="H16" s="133">
        <f>IF(B$17=0,0,G16/B$17)</f>
        <v>2.2099447513812154E-2</v>
      </c>
      <c r="I16" s="94">
        <v>10</v>
      </c>
      <c r="K16" s="38">
        <v>14</v>
      </c>
      <c r="L16" s="99">
        <v>-25.600000000000009</v>
      </c>
      <c r="N16" s="115" t="s">
        <v>173</v>
      </c>
      <c r="O16" s="125">
        <f>IF(P16=0,0,Q16/P16)</f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362</v>
      </c>
      <c r="C17" s="37">
        <f>IF(B$3=0,0,B17/B$3)</f>
        <v>0.27718223583460949</v>
      </c>
      <c r="E17" s="63" t="s">
        <v>80</v>
      </c>
      <c r="F17" s="60" t="s">
        <v>35</v>
      </c>
      <c r="G17" s="47">
        <v>7</v>
      </c>
      <c r="H17" s="133">
        <f>IF(B$17=0,0,G17/B$17)</f>
        <v>1.9337016574585635E-2</v>
      </c>
      <c r="I17" s="94">
        <v>4</v>
      </c>
      <c r="K17" s="38">
        <v>15</v>
      </c>
      <c r="L17" s="99">
        <v>47.999999999999986</v>
      </c>
      <c r="N17" s="115" t="s">
        <v>129</v>
      </c>
      <c r="O17" s="125">
        <f>IF(P17=0,0,Q17/P17)</f>
        <v>6.4841269841269833</v>
      </c>
      <c r="P17" s="119">
        <v>63</v>
      </c>
      <c r="Q17" s="107">
        <v>408.49999999999994</v>
      </c>
    </row>
    <row r="18" spans="1:17" x14ac:dyDescent="0.4">
      <c r="A18" s="55" t="s">
        <v>12</v>
      </c>
      <c r="B18" s="47">
        <v>159</v>
      </c>
      <c r="C18" s="39">
        <f>IF(B$17=0,0,B18/B$17)</f>
        <v>0.43922651933701656</v>
      </c>
      <c r="E18" s="63" t="s">
        <v>180</v>
      </c>
      <c r="F18" s="60" t="s">
        <v>181</v>
      </c>
      <c r="G18" s="47">
        <v>7</v>
      </c>
      <c r="H18" s="133">
        <f>IF(B$17=0,0,G18/B$17)</f>
        <v>1.9337016574585635E-2</v>
      </c>
      <c r="I18" s="94">
        <v>4</v>
      </c>
      <c r="K18" s="38">
        <v>16</v>
      </c>
      <c r="L18" s="99">
        <v>41.699999999999989</v>
      </c>
      <c r="N18" s="115" t="s">
        <v>171</v>
      </c>
      <c r="O18" s="125">
        <f>IF(P18=0,0,Q18/P18)</f>
        <v>-0.24736842105262649</v>
      </c>
      <c r="P18" s="119">
        <v>38</v>
      </c>
      <c r="Q18" s="107">
        <v>-9.3999999999998067</v>
      </c>
    </row>
    <row r="19" spans="1:17" x14ac:dyDescent="0.4">
      <c r="A19" s="55" t="s">
        <v>11</v>
      </c>
      <c r="B19" s="47">
        <v>203</v>
      </c>
      <c r="C19" s="39">
        <f>IF(B$17=0,0,B19/B$17)</f>
        <v>0.56077348066298338</v>
      </c>
      <c r="E19" s="63" t="s">
        <v>92</v>
      </c>
      <c r="F19" s="60" t="s">
        <v>47</v>
      </c>
      <c r="G19" s="47">
        <v>6</v>
      </c>
      <c r="H19" s="133">
        <f>IF(B$17=0,0,G19/B$17)</f>
        <v>1.6574585635359115E-2</v>
      </c>
      <c r="I19" s="94">
        <v>6</v>
      </c>
      <c r="K19" s="38">
        <v>17</v>
      </c>
      <c r="L19" s="99">
        <v>94.6</v>
      </c>
      <c r="N19" s="115" t="s">
        <v>172</v>
      </c>
      <c r="O19" s="125">
        <f>IF(P19=0,0,Q19/P19)</f>
        <v>-0.40270270270270153</v>
      </c>
      <c r="P19" s="119">
        <v>37</v>
      </c>
      <c r="Q19" s="107">
        <v>-14.899999999999956</v>
      </c>
    </row>
    <row r="20" spans="1:17" x14ac:dyDescent="0.4">
      <c r="A20" s="55" t="s">
        <v>13</v>
      </c>
      <c r="B20" s="47">
        <v>237</v>
      </c>
      <c r="C20" s="39">
        <f>IF(B$3=0,0,B20/B$3)</f>
        <v>0.18147013782542112</v>
      </c>
      <c r="E20" s="63" t="s">
        <v>76</v>
      </c>
      <c r="F20" s="60" t="s">
        <v>31</v>
      </c>
      <c r="G20" s="47">
        <v>4</v>
      </c>
      <c r="H20" s="133">
        <f>IF(B$17=0,0,G20/B$17)</f>
        <v>1.1049723756906077E-2</v>
      </c>
      <c r="I20" s="94">
        <v>3</v>
      </c>
      <c r="K20" s="38">
        <v>18</v>
      </c>
      <c r="L20" s="99">
        <v>116.69999999999999</v>
      </c>
      <c r="N20" s="115" t="s">
        <v>177</v>
      </c>
      <c r="O20" s="125">
        <f>IF(P20=0,0,Q20/P20)</f>
        <v>-1.0906250000000004</v>
      </c>
      <c r="P20" s="119">
        <v>32</v>
      </c>
      <c r="Q20" s="107">
        <v>-34.900000000000013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8.2872928176795577E-3</v>
      </c>
      <c r="I21" s="94">
        <v>4</v>
      </c>
      <c r="K21" s="38">
        <v>19</v>
      </c>
      <c r="L21" s="99">
        <v>138.79999999999998</v>
      </c>
      <c r="N21" s="115" t="s">
        <v>200</v>
      </c>
      <c r="O21" s="125">
        <f>IF(P21=0,0,Q21/P21)</f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1</v>
      </c>
      <c r="E22" s="63" t="s">
        <v>75</v>
      </c>
      <c r="F22" s="60" t="s">
        <v>30</v>
      </c>
      <c r="G22" s="47">
        <v>2</v>
      </c>
      <c r="H22" s="133">
        <f>IF(B$17=0,0,G22/B$17)</f>
        <v>5.5248618784530384E-3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-18.368181818181817</v>
      </c>
      <c r="P22" s="119">
        <v>110</v>
      </c>
      <c r="Q22" s="107">
        <v>-2020.5</v>
      </c>
    </row>
    <row r="23" spans="1:17" x14ac:dyDescent="0.4">
      <c r="A23" s="55" t="s">
        <v>5</v>
      </c>
      <c r="B23" s="51">
        <f>IF(B$17=0,0,C23/B$17)</f>
        <v>8941.9889502762435</v>
      </c>
      <c r="C23" s="41">
        <v>3237000</v>
      </c>
      <c r="E23" s="63" t="s">
        <v>78</v>
      </c>
      <c r="F23" s="60" t="s">
        <v>33</v>
      </c>
      <c r="G23" s="47">
        <v>1</v>
      </c>
      <c r="H23" s="133">
        <f>IF(B$17=0,0,G23/B$17)</f>
        <v>2.7624309392265192E-3</v>
      </c>
      <c r="I23" s="94">
        <v>8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-7465.8227848101269</v>
      </c>
      <c r="C24" s="45">
        <v>-1769400</v>
      </c>
      <c r="E24" s="63" t="s">
        <v>85</v>
      </c>
      <c r="F24" s="60" t="s">
        <v>40</v>
      </c>
      <c r="G24" s="47">
        <v>1</v>
      </c>
      <c r="H24" s="133">
        <f>IF(B$17=0,0,G24/B$17)</f>
        <v>2.7624309392265192E-3</v>
      </c>
      <c r="I24" s="94">
        <v>3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2.7624309392265192E-3</v>
      </c>
      <c r="I25" s="94">
        <v>3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2.7624309392265192E-3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3.8284839203675345E-3</v>
      </c>
      <c r="E27" s="63" t="s">
        <v>94</v>
      </c>
      <c r="F27" s="60" t="s">
        <v>49</v>
      </c>
      <c r="G27" s="47">
        <v>1</v>
      </c>
      <c r="H27" s="133">
        <f>IF(B$17=0,0,G27/B$17)</f>
        <v>2.7624309392265192E-3</v>
      </c>
      <c r="I27" s="94">
        <v>6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2.7624309392265192E-3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-324.00000000000006</v>
      </c>
    </row>
    <row r="147" spans="11:12" x14ac:dyDescent="0.4">
      <c r="K147" s="38">
        <v>145</v>
      </c>
      <c r="L147" s="99">
        <v>-324.50000000000006</v>
      </c>
    </row>
    <row r="148" spans="11:12" x14ac:dyDescent="0.4">
      <c r="K148" s="38">
        <v>146</v>
      </c>
      <c r="L148" s="99">
        <v>-357.30000000000007</v>
      </c>
    </row>
    <row r="149" spans="11:12" x14ac:dyDescent="0.4">
      <c r="K149" s="38">
        <v>147</v>
      </c>
      <c r="L149" s="99">
        <v>-359.10000000000008</v>
      </c>
    </row>
    <row r="150" spans="11:12" x14ac:dyDescent="0.4">
      <c r="K150" s="38">
        <v>148</v>
      </c>
      <c r="L150" s="99">
        <v>-415.90000000000009</v>
      </c>
    </row>
    <row r="151" spans="11:12" x14ac:dyDescent="0.4">
      <c r="K151" s="38">
        <v>149</v>
      </c>
      <c r="L151" s="99">
        <v>-448.40000000000009</v>
      </c>
    </row>
    <row r="152" spans="11:12" x14ac:dyDescent="0.4">
      <c r="K152" s="38">
        <v>150</v>
      </c>
      <c r="L152" s="99">
        <v>-461.10000000000008</v>
      </c>
    </row>
    <row r="153" spans="11:12" x14ac:dyDescent="0.4">
      <c r="K153" s="38">
        <v>151</v>
      </c>
      <c r="L153" s="99">
        <v>-504.2000000000001</v>
      </c>
    </row>
    <row r="154" spans="11:12" x14ac:dyDescent="0.4">
      <c r="K154" s="38">
        <v>152</v>
      </c>
      <c r="L154" s="99">
        <v>-477.7000000000001</v>
      </c>
    </row>
    <row r="155" spans="11:12" x14ac:dyDescent="0.4">
      <c r="K155" s="38">
        <v>153</v>
      </c>
      <c r="L155" s="99">
        <v>-436.90000000000009</v>
      </c>
    </row>
    <row r="156" spans="11:12" x14ac:dyDescent="0.4">
      <c r="K156" s="38">
        <v>154</v>
      </c>
      <c r="L156" s="99">
        <v>-439.90000000000009</v>
      </c>
    </row>
    <row r="157" spans="11:12" x14ac:dyDescent="0.4">
      <c r="K157" s="38">
        <v>155</v>
      </c>
      <c r="L157" s="99">
        <v>-381.10000000000008</v>
      </c>
    </row>
    <row r="158" spans="11:12" x14ac:dyDescent="0.4">
      <c r="K158" s="38">
        <v>156</v>
      </c>
      <c r="L158" s="99">
        <v>-372.50000000000006</v>
      </c>
    </row>
    <row r="159" spans="11:12" x14ac:dyDescent="0.4">
      <c r="K159" s="38">
        <v>157</v>
      </c>
      <c r="L159" s="99">
        <v>-408.20000000000005</v>
      </c>
    </row>
    <row r="160" spans="11:12" x14ac:dyDescent="0.4">
      <c r="K160" s="38">
        <v>158</v>
      </c>
      <c r="L160" s="99">
        <v>-403.00000000000006</v>
      </c>
    </row>
    <row r="161" spans="11:12" x14ac:dyDescent="0.4">
      <c r="K161" s="38">
        <v>159</v>
      </c>
      <c r="L161" s="99">
        <v>-410.40000000000003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A46A-E8DA-4DE9-ACED-7E8A943F17F3}">
  <sheetPr codeName="Sheet11"/>
  <dimension ref="A1:Q1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150</v>
      </c>
      <c r="C2" s="151"/>
      <c r="E2" s="62" t="s">
        <v>67</v>
      </c>
      <c r="F2" s="59" t="s">
        <v>23</v>
      </c>
      <c r="G2" s="46">
        <v>275</v>
      </c>
      <c r="H2" s="132">
        <f>IF(B$17=0,0,G2/B$17)</f>
        <v>0.80882352941176472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-2080.6666666666665</v>
      </c>
      <c r="P2" s="118">
        <v>150</v>
      </c>
      <c r="Q2" s="102">
        <v>-312100</v>
      </c>
    </row>
    <row r="3" spans="1:17" x14ac:dyDescent="0.4">
      <c r="A3" s="55" t="s">
        <v>8</v>
      </c>
      <c r="B3" s="152">
        <v>1258</v>
      </c>
      <c r="C3" s="153"/>
      <c r="E3" s="63" t="s">
        <v>65</v>
      </c>
      <c r="F3" s="60" t="s">
        <v>21</v>
      </c>
      <c r="G3" s="47">
        <v>164</v>
      </c>
      <c r="H3" s="133">
        <f>IF(B$17=0,0,G3/B$17)</f>
        <v>0.4823529411764706</v>
      </c>
      <c r="I3" s="94">
        <v>9</v>
      </c>
      <c r="K3" s="38">
        <v>1</v>
      </c>
      <c r="L3" s="99">
        <v>-40.4</v>
      </c>
      <c r="N3" s="115" t="s">
        <v>133</v>
      </c>
      <c r="O3" s="122">
        <f t="shared" si="0"/>
        <v>-1604.7945205479452</v>
      </c>
      <c r="P3" s="119">
        <v>146</v>
      </c>
      <c r="Q3" s="103">
        <v>-234300</v>
      </c>
    </row>
    <row r="4" spans="1:17" x14ac:dyDescent="0.4">
      <c r="A4" s="55" t="s">
        <v>6</v>
      </c>
      <c r="B4" s="154">
        <v>-1274.3000000000002</v>
      </c>
      <c r="C4" s="155"/>
      <c r="E4" s="63" t="s">
        <v>73</v>
      </c>
      <c r="F4" s="60" t="s">
        <v>28</v>
      </c>
      <c r="G4" s="47">
        <v>150</v>
      </c>
      <c r="H4" s="133">
        <f>IF(B$17=0,0,G4/B$17)</f>
        <v>0.44117647058823528</v>
      </c>
      <c r="I4" s="94">
        <v>12</v>
      </c>
      <c r="K4" s="38">
        <v>2</v>
      </c>
      <c r="L4" s="99">
        <v>-3.3999999999999986</v>
      </c>
      <c r="N4" s="115" t="s">
        <v>134</v>
      </c>
      <c r="O4" s="122">
        <f t="shared" si="0"/>
        <v>824.63768115942025</v>
      </c>
      <c r="P4" s="119">
        <v>138</v>
      </c>
      <c r="Q4" s="103">
        <v>113800</v>
      </c>
    </row>
    <row r="5" spans="1:17" x14ac:dyDescent="0.4">
      <c r="A5" s="55" t="s">
        <v>7</v>
      </c>
      <c r="B5" s="156">
        <f>IF(B$2=0,0,B$4/B$2)</f>
        <v>-8.4953333333333347</v>
      </c>
      <c r="C5" s="157"/>
      <c r="E5" s="63" t="s">
        <v>245</v>
      </c>
      <c r="F5" s="60" t="s">
        <v>246</v>
      </c>
      <c r="G5" s="47">
        <v>137</v>
      </c>
      <c r="H5" s="133">
        <f>IF(B$17=0,0,G5/B$17)</f>
        <v>0.40294117647058825</v>
      </c>
      <c r="I5" s="94">
        <v>8</v>
      </c>
      <c r="K5" s="38">
        <v>3</v>
      </c>
      <c r="L5" s="99">
        <v>-23.099999999999998</v>
      </c>
      <c r="N5" s="115" t="s">
        <v>135</v>
      </c>
      <c r="O5" s="122">
        <f t="shared" si="0"/>
        <v>-2883.0645161290322</v>
      </c>
      <c r="P5" s="119">
        <v>124</v>
      </c>
      <c r="Q5" s="103">
        <v>-357500</v>
      </c>
    </row>
    <row r="6" spans="1:17" x14ac:dyDescent="0.4">
      <c r="A6" s="55" t="s">
        <v>1</v>
      </c>
      <c r="B6" s="146">
        <f>IF(B$2=0,0,(B$7*1+B$8*2+B$9*3)/B$2)</f>
        <v>2.1266666666666665</v>
      </c>
      <c r="C6" s="147"/>
      <c r="E6" s="63" t="s">
        <v>69</v>
      </c>
      <c r="F6" s="60" t="s">
        <v>12</v>
      </c>
      <c r="G6" s="47">
        <v>116</v>
      </c>
      <c r="H6" s="133">
        <f>IF(B$17=0,0,G6/B$17)</f>
        <v>0.3411764705882353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-456.63716814159289</v>
      </c>
      <c r="P6" s="119">
        <v>113</v>
      </c>
      <c r="Q6" s="103">
        <v>-51600</v>
      </c>
    </row>
    <row r="7" spans="1:17" x14ac:dyDescent="0.4">
      <c r="A7" s="55" t="s">
        <v>2</v>
      </c>
      <c r="B7" s="47">
        <v>44</v>
      </c>
      <c r="C7" s="39">
        <f>IF(B$2=0,0,B7/B$2)</f>
        <v>0.29333333333333333</v>
      </c>
      <c r="E7" s="63" t="s">
        <v>68</v>
      </c>
      <c r="F7" s="60" t="s">
        <v>24</v>
      </c>
      <c r="G7" s="47">
        <v>90</v>
      </c>
      <c r="H7" s="133">
        <f>IF(B$17=0,0,G7/B$17)</f>
        <v>0.26470588235294118</v>
      </c>
      <c r="I7" s="94">
        <v>9</v>
      </c>
      <c r="K7" s="38">
        <v>5</v>
      </c>
      <c r="L7" s="99">
        <v>-32.199999999999996</v>
      </c>
      <c r="N7" s="116" t="s">
        <v>137</v>
      </c>
      <c r="O7" s="123">
        <f t="shared" si="0"/>
        <v>-211.76470588235293</v>
      </c>
      <c r="P7" s="120">
        <v>102</v>
      </c>
      <c r="Q7" s="104">
        <v>-21600</v>
      </c>
    </row>
    <row r="8" spans="1:17" x14ac:dyDescent="0.4">
      <c r="A8" s="55" t="s">
        <v>3</v>
      </c>
      <c r="B8" s="47">
        <v>43</v>
      </c>
      <c r="C8" s="39">
        <f>IF(B$2=0,0,B8/B$2)</f>
        <v>0.28666666666666668</v>
      </c>
      <c r="E8" s="63" t="s">
        <v>70</v>
      </c>
      <c r="F8" s="60" t="s">
        <v>25</v>
      </c>
      <c r="G8" s="47">
        <v>55</v>
      </c>
      <c r="H8" s="133">
        <f>IF(B$17=0,0,G8/B$17)</f>
        <v>0.16176470588235295</v>
      </c>
      <c r="I8" s="94">
        <v>6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63</v>
      </c>
      <c r="C9" s="40">
        <f t="shared" ref="C9" si="1">IF(B$2=0,0,B9/B$2)</f>
        <v>0.42</v>
      </c>
      <c r="E9" s="63" t="s">
        <v>71</v>
      </c>
      <c r="F9" s="60" t="s">
        <v>26</v>
      </c>
      <c r="G9" s="47">
        <v>50</v>
      </c>
      <c r="H9" s="133">
        <f>IF(B$17=0,0,G9/B$17)</f>
        <v>0.14705882352941177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24</v>
      </c>
      <c r="C10" s="40">
        <f>IF(B$2=0,0,B10/B$2)</f>
        <v>0.16</v>
      </c>
      <c r="E10" s="63" t="s">
        <v>90</v>
      </c>
      <c r="F10" s="60" t="s">
        <v>45</v>
      </c>
      <c r="G10" s="47">
        <v>38</v>
      </c>
      <c r="H10" s="133">
        <f>IF(B$17=0,0,G10/B$17)</f>
        <v>0.11176470588235295</v>
      </c>
      <c r="I10" s="94">
        <v>9</v>
      </c>
      <c r="K10" s="38">
        <v>8</v>
      </c>
      <c r="L10" s="99">
        <v>-79.599999999999994</v>
      </c>
      <c r="N10" s="114" t="s">
        <v>164</v>
      </c>
      <c r="O10" s="124">
        <f>IF(P10=0,0,Q10/P10)</f>
        <v>-12.234090909090902</v>
      </c>
      <c r="P10" s="118">
        <v>44</v>
      </c>
      <c r="Q10" s="106">
        <v>-538.29999999999973</v>
      </c>
    </row>
    <row r="11" spans="1:17" x14ac:dyDescent="0.4">
      <c r="A11" s="56" t="s">
        <v>140</v>
      </c>
      <c r="B11" s="48">
        <v>15</v>
      </c>
      <c r="C11" s="40">
        <f>IF(B$2=0,0,B11/B$2)</f>
        <v>0.1</v>
      </c>
      <c r="E11" s="63" t="s">
        <v>72</v>
      </c>
      <c r="F11" s="60" t="s">
        <v>27</v>
      </c>
      <c r="G11" s="47">
        <v>33</v>
      </c>
      <c r="H11" s="133">
        <f>IF(B$17=0,0,G11/B$17)</f>
        <v>9.7058823529411767E-2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-5.7090909090909108</v>
      </c>
      <c r="P11" s="119">
        <v>55</v>
      </c>
      <c r="Q11" s="107">
        <v>-314.00000000000011</v>
      </c>
    </row>
    <row r="12" spans="1:17" x14ac:dyDescent="0.4">
      <c r="A12" s="57" t="s">
        <v>160</v>
      </c>
      <c r="B12" s="49">
        <v>15</v>
      </c>
      <c r="C12" s="42">
        <f>IF(B$2=0,0,B12/B$2)</f>
        <v>0.1</v>
      </c>
      <c r="E12" s="63" t="s">
        <v>66</v>
      </c>
      <c r="F12" s="60" t="s">
        <v>22</v>
      </c>
      <c r="G12" s="47">
        <v>28</v>
      </c>
      <c r="H12" s="133">
        <f>IF(B$17=0,0,G12/B$17)</f>
        <v>8.2352941176470587E-2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-8.2745098039215659</v>
      </c>
      <c r="P12" s="120">
        <v>51</v>
      </c>
      <c r="Q12" s="108">
        <v>-421.99999999999983</v>
      </c>
    </row>
    <row r="13" spans="1:17" x14ac:dyDescent="0.4">
      <c r="A13" s="58" t="s">
        <v>122</v>
      </c>
      <c r="B13" s="50">
        <v>320</v>
      </c>
      <c r="C13" s="44">
        <f>IF(B$3=0,0,B13/B$3)</f>
        <v>0.25437201907790141</v>
      </c>
      <c r="E13" s="63" t="s">
        <v>87</v>
      </c>
      <c r="F13" s="60" t="s">
        <v>42</v>
      </c>
      <c r="G13" s="47">
        <v>20</v>
      </c>
      <c r="H13" s="133">
        <f>IF(B$17=0,0,G13/B$17)</f>
        <v>5.8823529411764705E-2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241</v>
      </c>
      <c r="C14" s="39">
        <f>IF(B$3=0,0,B14/B$3)</f>
        <v>0.1915739268680445</v>
      </c>
      <c r="E14" s="63" t="s">
        <v>84</v>
      </c>
      <c r="F14" s="60" t="s">
        <v>39</v>
      </c>
      <c r="G14" s="47">
        <v>12</v>
      </c>
      <c r="H14" s="133">
        <f>IF(B$17=0,0,G14/B$17)</f>
        <v>3.5294117647058823E-2</v>
      </c>
      <c r="I14" s="94">
        <v>10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172</v>
      </c>
      <c r="C15" s="37">
        <f>IF(B$13=0,0,B15/B$13)</f>
        <v>0.53749999999999998</v>
      </c>
      <c r="E15" s="63" t="s">
        <v>79</v>
      </c>
      <c r="F15" s="60" t="s">
        <v>34</v>
      </c>
      <c r="G15" s="47">
        <v>11</v>
      </c>
      <c r="H15" s="133">
        <f>IF(B$17=0,0,G15/B$17)</f>
        <v>3.2352941176470591E-2</v>
      </c>
      <c r="I15" s="94">
        <v>5</v>
      </c>
      <c r="K15" s="38">
        <v>13</v>
      </c>
      <c r="L15" s="99">
        <v>-369.1</v>
      </c>
      <c r="N15" s="114" t="s">
        <v>271</v>
      </c>
      <c r="O15" s="124">
        <f>IF(P15=0,0,Q15/P15)</f>
        <v>52.959999999999994</v>
      </c>
      <c r="P15" s="118">
        <v>5</v>
      </c>
      <c r="Q15" s="106">
        <v>264.79999999999995</v>
      </c>
    </row>
    <row r="16" spans="1:17" x14ac:dyDescent="0.4">
      <c r="A16" s="54" t="s">
        <v>125</v>
      </c>
      <c r="B16" s="46">
        <v>81</v>
      </c>
      <c r="C16" s="37">
        <f>IF(B$14=0,0,B16/B$14)</f>
        <v>0.33609958506224069</v>
      </c>
      <c r="E16" s="63" t="s">
        <v>82</v>
      </c>
      <c r="F16" s="60" t="s">
        <v>37</v>
      </c>
      <c r="G16" s="47">
        <v>9</v>
      </c>
      <c r="H16" s="133">
        <f>IF(B$17=0,0,G16/B$17)</f>
        <v>2.6470588235294117E-2</v>
      </c>
      <c r="I16" s="94">
        <v>6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340</v>
      </c>
      <c r="C17" s="37">
        <f>IF(B$3=0,0,B17/B$3)</f>
        <v>0.27027027027027029</v>
      </c>
      <c r="E17" s="63" t="s">
        <v>78</v>
      </c>
      <c r="F17" s="60" t="s">
        <v>33</v>
      </c>
      <c r="G17" s="47">
        <v>5</v>
      </c>
      <c r="H17" s="133">
        <f>IF(B$17=0,0,G17/B$17)</f>
        <v>1.4705882352941176E-2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>IF(P17=0,0,Q17/P17)</f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144</v>
      </c>
      <c r="C18" s="39">
        <f>IF(B$17=0,0,B18/B$17)</f>
        <v>0.42352941176470588</v>
      </c>
      <c r="E18" s="63" t="s">
        <v>80</v>
      </c>
      <c r="F18" s="60" t="s">
        <v>35</v>
      </c>
      <c r="G18" s="47">
        <v>4</v>
      </c>
      <c r="H18" s="133">
        <f>IF(B$17=0,0,G18/B$17)</f>
        <v>1.1764705882352941E-2</v>
      </c>
      <c r="I18" s="94">
        <v>10</v>
      </c>
      <c r="K18" s="38">
        <v>16</v>
      </c>
      <c r="L18" s="99">
        <v>-472</v>
      </c>
      <c r="N18" s="115" t="s">
        <v>177</v>
      </c>
      <c r="O18" s="125">
        <f>IF(P18=0,0,Q18/P18)</f>
        <v>3.0875000000000012</v>
      </c>
      <c r="P18" s="119">
        <v>40</v>
      </c>
      <c r="Q18" s="107">
        <v>123.50000000000006</v>
      </c>
    </row>
    <row r="19" spans="1:17" x14ac:dyDescent="0.4">
      <c r="A19" s="55" t="s">
        <v>11</v>
      </c>
      <c r="B19" s="47">
        <v>196</v>
      </c>
      <c r="C19" s="39">
        <f>IF(B$17=0,0,B19/B$17)</f>
        <v>0.57647058823529407</v>
      </c>
      <c r="E19" s="63" t="s">
        <v>92</v>
      </c>
      <c r="F19" s="60" t="s">
        <v>47</v>
      </c>
      <c r="G19" s="47">
        <v>4</v>
      </c>
      <c r="H19" s="133">
        <f>IF(B$17=0,0,G19/B$17)</f>
        <v>1.1764705882352941E-2</v>
      </c>
      <c r="I19" s="94">
        <v>9</v>
      </c>
      <c r="K19" s="38">
        <v>17</v>
      </c>
      <c r="L19" s="99">
        <v>-538.29999999999995</v>
      </c>
      <c r="N19" s="115" t="s">
        <v>128</v>
      </c>
      <c r="O19" s="125">
        <f>IF(P19=0,0,Q19/P19)</f>
        <v>-6.4841269841269833</v>
      </c>
      <c r="P19" s="119">
        <v>63</v>
      </c>
      <c r="Q19" s="107">
        <v>-408.49999999999994</v>
      </c>
    </row>
    <row r="20" spans="1:17" x14ac:dyDescent="0.4">
      <c r="A20" s="55" t="s">
        <v>13</v>
      </c>
      <c r="B20" s="47">
        <v>225</v>
      </c>
      <c r="C20" s="39">
        <f>IF(B$3=0,0,B20/B$3)</f>
        <v>0.17885532591414943</v>
      </c>
      <c r="E20" s="63" t="s">
        <v>75</v>
      </c>
      <c r="F20" s="60" t="s">
        <v>30</v>
      </c>
      <c r="G20" s="47">
        <v>3</v>
      </c>
      <c r="H20" s="133">
        <f>IF(B$17=0,0,G20/B$17)</f>
        <v>8.8235294117647058E-3</v>
      </c>
      <c r="I20" s="94">
        <v>2</v>
      </c>
      <c r="K20" s="38">
        <v>18</v>
      </c>
      <c r="L20" s="99">
        <v>-537.19999999999993</v>
      </c>
      <c r="N20" s="115" t="s">
        <v>173</v>
      </c>
      <c r="O20" s="125">
        <f>IF(P20=0,0,Q20/P20)</f>
        <v>-17.118181818181814</v>
      </c>
      <c r="P20" s="119">
        <v>11</v>
      </c>
      <c r="Q20" s="107">
        <v>-188.29999999999995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85</v>
      </c>
      <c r="F21" s="60" t="s">
        <v>40</v>
      </c>
      <c r="G21" s="47">
        <v>2</v>
      </c>
      <c r="H21" s="133">
        <f>IF(B$17=0,0,G21/B$17)</f>
        <v>5.8823529411764705E-3</v>
      </c>
      <c r="I21" s="94">
        <v>2</v>
      </c>
      <c r="K21" s="38">
        <v>19</v>
      </c>
      <c r="L21" s="99">
        <v>-569.49999999999989</v>
      </c>
      <c r="N21" s="115" t="s">
        <v>172</v>
      </c>
      <c r="O21" s="125">
        <f>IF(P21=0,0,Q21/P21)</f>
        <v>-19.805714285714277</v>
      </c>
      <c r="P21" s="119">
        <v>35</v>
      </c>
      <c r="Q21" s="107">
        <v>-693.1999999999997</v>
      </c>
    </row>
    <row r="22" spans="1:17" x14ac:dyDescent="0.4">
      <c r="A22" s="55" t="s">
        <v>192</v>
      </c>
      <c r="B22" s="47">
        <v>31</v>
      </c>
      <c r="C22" s="135">
        <v>0</v>
      </c>
      <c r="E22" s="63" t="s">
        <v>88</v>
      </c>
      <c r="F22" s="60" t="s">
        <v>43</v>
      </c>
      <c r="G22" s="47">
        <v>2</v>
      </c>
      <c r="H22" s="133">
        <f>IF(B$17=0,0,G22/B$17)</f>
        <v>5.8823529411764705E-3</v>
      </c>
      <c r="I22" s="94">
        <v>2</v>
      </c>
      <c r="K22" s="38">
        <v>20</v>
      </c>
      <c r="L22" s="99">
        <v>-632.99999999999989</v>
      </c>
      <c r="N22" s="115" t="s">
        <v>171</v>
      </c>
      <c r="O22" s="125">
        <f>IF(P22=0,0,Q22/P22)</f>
        <v>-20.797499999999992</v>
      </c>
      <c r="P22" s="119">
        <v>40</v>
      </c>
      <c r="Q22" s="107">
        <v>-831.89999999999975</v>
      </c>
    </row>
    <row r="23" spans="1:17" x14ac:dyDescent="0.4">
      <c r="A23" s="55" t="s">
        <v>5</v>
      </c>
      <c r="B23" s="51">
        <f>IF(B$17=0,0,C23/B$17)</f>
        <v>8236.4705882352937</v>
      </c>
      <c r="C23" s="41">
        <v>2800400</v>
      </c>
      <c r="E23" s="63" t="s">
        <v>94</v>
      </c>
      <c r="F23" s="60" t="s">
        <v>49</v>
      </c>
      <c r="G23" s="47">
        <v>2</v>
      </c>
      <c r="H23" s="133">
        <f>IF(B$17=0,0,G23/B$17)</f>
        <v>5.8823529411764705E-3</v>
      </c>
      <c r="I23" s="94">
        <v>1</v>
      </c>
      <c r="K23" s="38">
        <v>21</v>
      </c>
      <c r="L23" s="99">
        <v>-629.49999999999989</v>
      </c>
      <c r="N23" s="115" t="s">
        <v>127</v>
      </c>
      <c r="O23" s="125">
        <f>IF(P23=0,0,Q23/P23)</f>
        <v>-25.460000000000004</v>
      </c>
      <c r="P23" s="119">
        <v>90</v>
      </c>
      <c r="Q23" s="107">
        <v>-2291.4000000000005</v>
      </c>
    </row>
    <row r="24" spans="1:17" x14ac:dyDescent="0.4">
      <c r="A24" s="57" t="s">
        <v>14</v>
      </c>
      <c r="B24" s="52">
        <f>IF(B$20=0,0,C24/B$20)</f>
        <v>-8550.6666666666661</v>
      </c>
      <c r="C24" s="45">
        <v>-1923900</v>
      </c>
      <c r="E24" s="63" t="s">
        <v>76</v>
      </c>
      <c r="F24" s="60" t="s">
        <v>31</v>
      </c>
      <c r="G24" s="47">
        <v>1</v>
      </c>
      <c r="H24" s="133">
        <f>IF(B$17=0,0,G24/B$17)</f>
        <v>2.9411764705882353E-3</v>
      </c>
      <c r="I24" s="94">
        <v>7</v>
      </c>
      <c r="K24" s="38">
        <v>22</v>
      </c>
      <c r="L24" s="99">
        <v>-670.19999999999993</v>
      </c>
      <c r="N24" s="115" t="s">
        <v>184</v>
      </c>
      <c r="O24" s="125">
        <f>IF(P24=0,0,Q24/P24)</f>
        <v>-30.849999999999998</v>
      </c>
      <c r="P24" s="119">
        <v>6</v>
      </c>
      <c r="Q24" s="107">
        <v>-185.1</v>
      </c>
    </row>
    <row r="25" spans="1:17" x14ac:dyDescent="0.4">
      <c r="A25" s="90" t="s">
        <v>142</v>
      </c>
      <c r="B25" s="144">
        <v>7</v>
      </c>
      <c r="C25" s="145"/>
      <c r="E25" s="63" t="s">
        <v>86</v>
      </c>
      <c r="F25" s="60" t="s">
        <v>41</v>
      </c>
      <c r="G25" s="47">
        <v>1</v>
      </c>
      <c r="H25" s="133">
        <f>IF(B$17=0,0,G25/B$17)</f>
        <v>2.9411764705882353E-3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2.9411764705882353E-3</v>
      </c>
      <c r="I26" s="94">
        <v>2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2</v>
      </c>
      <c r="C27" s="42">
        <f>IF(B$3=0,0,B27/B$3)</f>
        <v>1.589825119236884E-3</v>
      </c>
      <c r="E27" s="63" t="s">
        <v>93</v>
      </c>
      <c r="F27" s="60" t="s">
        <v>48</v>
      </c>
      <c r="G27" s="47">
        <v>1</v>
      </c>
      <c r="H27" s="133">
        <f>IF(B$17=0,0,G27/B$17)</f>
        <v>2.9411764705882353E-3</v>
      </c>
      <c r="I27" s="94">
        <v>5</v>
      </c>
      <c r="K27" s="38">
        <v>25</v>
      </c>
      <c r="L27" s="99">
        <v>-783.69999999999993</v>
      </c>
    </row>
    <row r="28" spans="1:17" x14ac:dyDescent="0.4">
      <c r="E28" s="63" t="s">
        <v>180</v>
      </c>
      <c r="F28" s="60" t="s">
        <v>181</v>
      </c>
      <c r="G28" s="47">
        <v>1</v>
      </c>
      <c r="H28" s="133">
        <f>IF(B$17=0,0,G28/B$17)</f>
        <v>2.9411764705882353E-3</v>
      </c>
      <c r="I28" s="94">
        <v>7</v>
      </c>
      <c r="K28" s="38">
        <v>26</v>
      </c>
      <c r="L28" s="99">
        <v>-818.49999999999989</v>
      </c>
    </row>
    <row r="29" spans="1:17" x14ac:dyDescent="0.4">
      <c r="E29" s="63" t="s">
        <v>74</v>
      </c>
      <c r="F29" s="60" t="s">
        <v>29</v>
      </c>
      <c r="G29" s="47">
        <v>0</v>
      </c>
      <c r="H29" s="133">
        <f>IF(B$17=0,0,G29/B$17)</f>
        <v>0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-911.60000000000014</v>
      </c>
    </row>
    <row r="124" spans="11:12" x14ac:dyDescent="0.4">
      <c r="K124" s="38">
        <v>122</v>
      </c>
      <c r="L124" s="99">
        <v>-881.60000000000014</v>
      </c>
    </row>
    <row r="125" spans="11:12" x14ac:dyDescent="0.4">
      <c r="K125" s="38">
        <v>123</v>
      </c>
      <c r="L125" s="99">
        <v>-881.00000000000011</v>
      </c>
    </row>
    <row r="126" spans="11:12" x14ac:dyDescent="0.4">
      <c r="K126" s="38">
        <v>124</v>
      </c>
      <c r="L126" s="99">
        <v>-849.50000000000011</v>
      </c>
    </row>
    <row r="127" spans="11:12" x14ac:dyDescent="0.4">
      <c r="K127" s="38">
        <v>125</v>
      </c>
      <c r="L127" s="99">
        <v>-877.90000000000009</v>
      </c>
    </row>
    <row r="128" spans="11:12" x14ac:dyDescent="0.4">
      <c r="K128" s="38">
        <v>126</v>
      </c>
      <c r="L128" s="99">
        <v>-883.00000000000011</v>
      </c>
    </row>
    <row r="129" spans="11:12" x14ac:dyDescent="0.4">
      <c r="K129" s="38">
        <v>127</v>
      </c>
      <c r="L129" s="99">
        <v>-881.50000000000011</v>
      </c>
    </row>
    <row r="130" spans="11:12" x14ac:dyDescent="0.4">
      <c r="K130" s="38">
        <v>128</v>
      </c>
      <c r="L130" s="99">
        <v>-908.40000000000009</v>
      </c>
    </row>
    <row r="131" spans="11:12" x14ac:dyDescent="0.4">
      <c r="K131" s="38">
        <v>129</v>
      </c>
      <c r="L131" s="99">
        <v>-970.40000000000009</v>
      </c>
    </row>
    <row r="132" spans="11:12" x14ac:dyDescent="0.4">
      <c r="K132" s="38">
        <v>130</v>
      </c>
      <c r="L132" s="99">
        <v>-939.30000000000007</v>
      </c>
    </row>
    <row r="133" spans="11:12" x14ac:dyDescent="0.4">
      <c r="K133" s="38">
        <v>131</v>
      </c>
      <c r="L133" s="99">
        <v>-938.50000000000011</v>
      </c>
    </row>
    <row r="134" spans="11:12" x14ac:dyDescent="0.4">
      <c r="K134" s="38">
        <v>132</v>
      </c>
      <c r="L134" s="99">
        <v>-967.90000000000009</v>
      </c>
    </row>
    <row r="135" spans="11:12" x14ac:dyDescent="0.4">
      <c r="K135" s="38">
        <v>133</v>
      </c>
      <c r="L135" s="99">
        <v>-1016.2</v>
      </c>
    </row>
    <row r="136" spans="11:12" x14ac:dyDescent="0.4">
      <c r="K136" s="38">
        <v>134</v>
      </c>
      <c r="L136" s="99">
        <v>-1019.5</v>
      </c>
    </row>
    <row r="137" spans="11:12" x14ac:dyDescent="0.4">
      <c r="K137" s="38">
        <v>135</v>
      </c>
      <c r="L137" s="99">
        <v>-991.3</v>
      </c>
    </row>
    <row r="138" spans="11:12" x14ac:dyDescent="0.4">
      <c r="K138" s="38">
        <v>136</v>
      </c>
      <c r="L138" s="99">
        <v>-995.5</v>
      </c>
    </row>
    <row r="139" spans="11:12" x14ac:dyDescent="0.4">
      <c r="K139" s="38">
        <v>137</v>
      </c>
      <c r="L139" s="99">
        <v>-998.4</v>
      </c>
    </row>
    <row r="140" spans="11:12" x14ac:dyDescent="0.4">
      <c r="K140" s="38">
        <v>138</v>
      </c>
      <c r="L140" s="99">
        <v>-1041.2</v>
      </c>
    </row>
    <row r="141" spans="11:12" x14ac:dyDescent="0.4">
      <c r="K141" s="38">
        <v>139</v>
      </c>
      <c r="L141" s="99">
        <v>-1031.4000000000001</v>
      </c>
    </row>
    <row r="142" spans="11:12" x14ac:dyDescent="0.4">
      <c r="K142" s="38">
        <v>140</v>
      </c>
      <c r="L142" s="99">
        <v>-1031.1000000000001</v>
      </c>
    </row>
    <row r="143" spans="11:12" x14ac:dyDescent="0.4">
      <c r="K143" s="38">
        <v>141</v>
      </c>
      <c r="L143" s="99">
        <v>-1065.2</v>
      </c>
    </row>
    <row r="144" spans="11:12" x14ac:dyDescent="0.4">
      <c r="K144" s="38">
        <v>142</v>
      </c>
      <c r="L144" s="99">
        <v>-1102.6000000000001</v>
      </c>
    </row>
    <row r="145" spans="11:12" x14ac:dyDescent="0.4">
      <c r="K145" s="38">
        <v>143</v>
      </c>
      <c r="L145" s="99">
        <v>-1103.4000000000001</v>
      </c>
    </row>
    <row r="146" spans="11:12" x14ac:dyDescent="0.4">
      <c r="K146" s="38">
        <v>144</v>
      </c>
      <c r="L146" s="99">
        <v>-1159.5</v>
      </c>
    </row>
    <row r="147" spans="11:12" x14ac:dyDescent="0.4">
      <c r="K147" s="38">
        <v>145</v>
      </c>
      <c r="L147" s="99">
        <v>-1121.9000000000001</v>
      </c>
    </row>
    <row r="148" spans="11:12" x14ac:dyDescent="0.4">
      <c r="K148" s="38">
        <v>146</v>
      </c>
      <c r="L148" s="99">
        <v>-1181.5</v>
      </c>
    </row>
    <row r="149" spans="11:12" x14ac:dyDescent="0.4">
      <c r="K149" s="38">
        <v>147</v>
      </c>
      <c r="L149" s="99">
        <v>-1213.9000000000001</v>
      </c>
    </row>
    <row r="150" spans="11:12" x14ac:dyDescent="0.4">
      <c r="K150" s="38">
        <v>148</v>
      </c>
      <c r="L150" s="99">
        <v>-1255.3000000000002</v>
      </c>
    </row>
    <row r="151" spans="11:12" x14ac:dyDescent="0.4">
      <c r="K151" s="38">
        <v>149</v>
      </c>
      <c r="L151" s="99">
        <v>-1227.8000000000002</v>
      </c>
    </row>
    <row r="152" spans="11:12" x14ac:dyDescent="0.4">
      <c r="K152" s="38">
        <v>150</v>
      </c>
      <c r="L152" s="99">
        <v>-1274.3000000000002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E052-5A5A-4B5F-9CE9-D13ABFC56BB9}">
  <sheetPr codeName="Sheet13"/>
  <dimension ref="A1:Q10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104</v>
      </c>
      <c r="C2" s="151"/>
      <c r="E2" s="62" t="s">
        <v>67</v>
      </c>
      <c r="F2" s="59" t="s">
        <v>23</v>
      </c>
      <c r="G2" s="46">
        <v>196</v>
      </c>
      <c r="H2" s="132">
        <f>IF(B$17=0,0,G2/B$17)</f>
        <v>0.79352226720647778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611.53846153846155</v>
      </c>
      <c r="P2" s="118">
        <v>104</v>
      </c>
      <c r="Q2" s="102">
        <v>63600</v>
      </c>
    </row>
    <row r="3" spans="1:17" x14ac:dyDescent="0.4">
      <c r="A3" s="55" t="s">
        <v>8</v>
      </c>
      <c r="B3" s="152">
        <v>864</v>
      </c>
      <c r="C3" s="153"/>
      <c r="E3" s="63" t="s">
        <v>73</v>
      </c>
      <c r="F3" s="60" t="s">
        <v>28</v>
      </c>
      <c r="G3" s="47">
        <v>137</v>
      </c>
      <c r="H3" s="133">
        <f>IF(B$17=0,0,G3/B$17)</f>
        <v>0.55465587044534415</v>
      </c>
      <c r="I3" s="94">
        <v>7</v>
      </c>
      <c r="K3" s="38">
        <v>1</v>
      </c>
      <c r="L3" s="99">
        <v>-51.2</v>
      </c>
      <c r="N3" s="115" t="s">
        <v>133</v>
      </c>
      <c r="O3" s="122">
        <f t="shared" si="0"/>
        <v>693.06930693069307</v>
      </c>
      <c r="P3" s="119">
        <v>101</v>
      </c>
      <c r="Q3" s="103">
        <v>70000</v>
      </c>
    </row>
    <row r="4" spans="1:17" x14ac:dyDescent="0.4">
      <c r="A4" s="55" t="s">
        <v>6</v>
      </c>
      <c r="B4" s="154">
        <v>29.800000000000011</v>
      </c>
      <c r="C4" s="155"/>
      <c r="E4" s="63" t="s">
        <v>65</v>
      </c>
      <c r="F4" s="60" t="s">
        <v>21</v>
      </c>
      <c r="G4" s="47">
        <v>130</v>
      </c>
      <c r="H4" s="133">
        <f>IF(B$17=0,0,G4/B$17)</f>
        <v>0.52631578947368418</v>
      </c>
      <c r="I4" s="94">
        <v>5</v>
      </c>
      <c r="K4" s="38">
        <v>2</v>
      </c>
      <c r="L4" s="99">
        <v>-93.300000000000011</v>
      </c>
      <c r="N4" s="115" t="s">
        <v>134</v>
      </c>
      <c r="O4" s="122">
        <f t="shared" si="0"/>
        <v>1372.8260869565217</v>
      </c>
      <c r="P4" s="119">
        <v>92</v>
      </c>
      <c r="Q4" s="103">
        <v>126300</v>
      </c>
    </row>
    <row r="5" spans="1:17" x14ac:dyDescent="0.4">
      <c r="A5" s="55" t="s">
        <v>7</v>
      </c>
      <c r="B5" s="156">
        <f>IF(B$2=0,0,B$4/B$2)</f>
        <v>0.28653846153846163</v>
      </c>
      <c r="C5" s="157"/>
      <c r="E5" s="63" t="s">
        <v>245</v>
      </c>
      <c r="F5" s="60" t="s">
        <v>246</v>
      </c>
      <c r="G5" s="47">
        <v>95</v>
      </c>
      <c r="H5" s="133">
        <f>IF(B$17=0,0,G5/B$17)</f>
        <v>0.38461538461538464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128.04878048780489</v>
      </c>
      <c r="P5" s="119">
        <v>82</v>
      </c>
      <c r="Q5" s="103">
        <v>10500</v>
      </c>
    </row>
    <row r="6" spans="1:17" x14ac:dyDescent="0.4">
      <c r="A6" s="55" t="s">
        <v>1</v>
      </c>
      <c r="B6" s="146">
        <f>IF(B$2=0,0,(B$7*1+B$8*2+B$9*3)/B$2)</f>
        <v>2.0384615384615383</v>
      </c>
      <c r="C6" s="147"/>
      <c r="E6" s="63" t="s">
        <v>68</v>
      </c>
      <c r="F6" s="60" t="s">
        <v>24</v>
      </c>
      <c r="G6" s="47">
        <v>80</v>
      </c>
      <c r="H6" s="133">
        <f>IF(B$17=0,0,G6/B$17)</f>
        <v>0.32388663967611336</v>
      </c>
      <c r="I6" s="94">
        <v>5</v>
      </c>
      <c r="K6" s="38">
        <v>4</v>
      </c>
      <c r="L6" s="99">
        <v>-11.300000000000011</v>
      </c>
      <c r="N6" s="115" t="s">
        <v>136</v>
      </c>
      <c r="O6" s="122">
        <f t="shared" si="0"/>
        <v>-2098.6301369863013</v>
      </c>
      <c r="P6" s="119">
        <v>73</v>
      </c>
      <c r="Q6" s="103">
        <v>-153200</v>
      </c>
    </row>
    <row r="7" spans="1:17" x14ac:dyDescent="0.4">
      <c r="A7" s="55" t="s">
        <v>2</v>
      </c>
      <c r="B7" s="47">
        <v>32</v>
      </c>
      <c r="C7" s="39">
        <f>IF(B$2=0,0,B7/B$2)</f>
        <v>0.30769230769230771</v>
      </c>
      <c r="E7" s="63" t="s">
        <v>69</v>
      </c>
      <c r="F7" s="60" t="s">
        <v>12</v>
      </c>
      <c r="G7" s="47">
        <v>73</v>
      </c>
      <c r="H7" s="133">
        <f>IF(B$17=0,0,G7/B$17)</f>
        <v>0.29554655870445345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-551.5151515151515</v>
      </c>
      <c r="P7" s="120">
        <v>66</v>
      </c>
      <c r="Q7" s="104">
        <v>-36400</v>
      </c>
    </row>
    <row r="8" spans="1:17" x14ac:dyDescent="0.4">
      <c r="A8" s="55" t="s">
        <v>3</v>
      </c>
      <c r="B8" s="47">
        <v>36</v>
      </c>
      <c r="C8" s="39">
        <f>IF(B$2=0,0,B8/B$2)</f>
        <v>0.34615384615384615</v>
      </c>
      <c r="E8" s="63" t="s">
        <v>70</v>
      </c>
      <c r="F8" s="60" t="s">
        <v>25</v>
      </c>
      <c r="G8" s="47">
        <v>47</v>
      </c>
      <c r="H8" s="133">
        <f>IF(B$17=0,0,G8/B$17)</f>
        <v>0.19028340080971659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0.34615384615384615</v>
      </c>
      <c r="E9" s="63" t="s">
        <v>90</v>
      </c>
      <c r="F9" s="60" t="s">
        <v>45</v>
      </c>
      <c r="G9" s="47">
        <v>42</v>
      </c>
      <c r="H9" s="133">
        <f>IF(B$17=0,0,G9/B$17)</f>
        <v>0.17004048582995951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0.10576923076923077</v>
      </c>
      <c r="E10" s="63" t="s">
        <v>66</v>
      </c>
      <c r="F10" s="60" t="s">
        <v>22</v>
      </c>
      <c r="G10" s="47">
        <v>30</v>
      </c>
      <c r="H10" s="133">
        <f>IF(B$17=0,0,G10/B$17)</f>
        <v>0.1214574898785425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4.5344827586206895</v>
      </c>
      <c r="P10" s="118">
        <v>29</v>
      </c>
      <c r="Q10" s="106">
        <v>131.5</v>
      </c>
    </row>
    <row r="11" spans="1:17" x14ac:dyDescent="0.4">
      <c r="A11" s="56" t="s">
        <v>140</v>
      </c>
      <c r="B11" s="48">
        <v>15</v>
      </c>
      <c r="C11" s="40">
        <f>IF(B$2=0,0,B11/B$2)</f>
        <v>0.14423076923076922</v>
      </c>
      <c r="E11" s="63" t="s">
        <v>71</v>
      </c>
      <c r="F11" s="60" t="s">
        <v>26</v>
      </c>
      <c r="G11" s="47">
        <v>26</v>
      </c>
      <c r="H11" s="133">
        <f>IF(B$17=0,0,G11/B$17)</f>
        <v>0.10526315789473684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4.5945945945947558E-2</v>
      </c>
      <c r="P11" s="119">
        <v>37</v>
      </c>
      <c r="Q11" s="107">
        <v>1.7000000000000597</v>
      </c>
    </row>
    <row r="12" spans="1:17" x14ac:dyDescent="0.4">
      <c r="A12" s="57" t="s">
        <v>160</v>
      </c>
      <c r="B12" s="49">
        <v>6</v>
      </c>
      <c r="C12" s="42">
        <f>IF(B$2=0,0,B12/B$2)</f>
        <v>5.7692307692307696E-2</v>
      </c>
      <c r="E12" s="63" t="s">
        <v>87</v>
      </c>
      <c r="F12" s="60" t="s">
        <v>42</v>
      </c>
      <c r="G12" s="47">
        <v>19</v>
      </c>
      <c r="H12" s="133">
        <f>IF(B$17=0,0,G12/B$17)</f>
        <v>7.6923076923076927E-2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-2.7210526315789476</v>
      </c>
      <c r="P12" s="120">
        <v>38</v>
      </c>
      <c r="Q12" s="108">
        <v>-103.4</v>
      </c>
    </row>
    <row r="13" spans="1:17" x14ac:dyDescent="0.4">
      <c r="A13" s="58" t="s">
        <v>122</v>
      </c>
      <c r="B13" s="50">
        <v>245</v>
      </c>
      <c r="C13" s="44">
        <f>IF(B$3=0,0,B13/B$3)</f>
        <v>0.28356481481481483</v>
      </c>
      <c r="E13" s="63" t="s">
        <v>72</v>
      </c>
      <c r="F13" s="60" t="s">
        <v>27</v>
      </c>
      <c r="G13" s="47">
        <v>15</v>
      </c>
      <c r="H13" s="133">
        <f>IF(B$17=0,0,G13/B$17)</f>
        <v>6.0728744939271252E-2</v>
      </c>
      <c r="I13" s="94">
        <v>8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170</v>
      </c>
      <c r="C14" s="39">
        <f>IF(B$3=0,0,B14/B$3)</f>
        <v>0.19675925925925927</v>
      </c>
      <c r="E14" s="63" t="s">
        <v>84</v>
      </c>
      <c r="F14" s="60" t="s">
        <v>39</v>
      </c>
      <c r="G14" s="47">
        <v>11</v>
      </c>
      <c r="H14" s="133">
        <f>IF(B$17=0,0,G14/B$17)</f>
        <v>4.4534412955465584E-2</v>
      </c>
      <c r="I14" s="94">
        <v>8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138</v>
      </c>
      <c r="C15" s="37">
        <f>IF(B$13=0,0,B15/B$13)</f>
        <v>0.56326530612244896</v>
      </c>
      <c r="E15" s="63" t="s">
        <v>79</v>
      </c>
      <c r="F15" s="60" t="s">
        <v>34</v>
      </c>
      <c r="G15" s="47">
        <v>10</v>
      </c>
      <c r="H15" s="133">
        <f>IF(B$17=0,0,G15/B$17)</f>
        <v>4.048582995951417E-2</v>
      </c>
      <c r="I15" s="94">
        <v>4</v>
      </c>
      <c r="K15" s="38">
        <v>13</v>
      </c>
      <c r="L15" s="99">
        <v>-58.7</v>
      </c>
      <c r="N15" s="114" t="s">
        <v>129</v>
      </c>
      <c r="O15" s="124">
        <f>IF(P15=0,0,Q15/P15)</f>
        <v>20.797499999999992</v>
      </c>
      <c r="P15" s="118">
        <v>40</v>
      </c>
      <c r="Q15" s="106">
        <v>831.89999999999964</v>
      </c>
    </row>
    <row r="16" spans="1:17" x14ac:dyDescent="0.4">
      <c r="A16" s="54" t="s">
        <v>125</v>
      </c>
      <c r="B16" s="46">
        <v>68</v>
      </c>
      <c r="C16" s="37">
        <f>IF(B$14=0,0,B16/B$14)</f>
        <v>0.4</v>
      </c>
      <c r="E16" s="63" t="s">
        <v>82</v>
      </c>
      <c r="F16" s="60" t="s">
        <v>37</v>
      </c>
      <c r="G16" s="47">
        <v>8</v>
      </c>
      <c r="H16" s="133">
        <f>IF(B$17=0,0,G16/B$17)</f>
        <v>3.2388663967611336E-2</v>
      </c>
      <c r="I16" s="94">
        <v>2</v>
      </c>
      <c r="K16" s="38">
        <v>14</v>
      </c>
      <c r="L16" s="99">
        <v>-29.400000000000002</v>
      </c>
      <c r="N16" s="115" t="s">
        <v>184</v>
      </c>
      <c r="O16" s="125">
        <f>IF(P16=0,0,Q16/P16)</f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247</v>
      </c>
      <c r="C17" s="37">
        <f>IF(B$3=0,0,B17/B$3)</f>
        <v>0.28587962962962965</v>
      </c>
      <c r="E17" s="63" t="s">
        <v>92</v>
      </c>
      <c r="F17" s="60" t="s">
        <v>47</v>
      </c>
      <c r="G17" s="47">
        <v>8</v>
      </c>
      <c r="H17" s="133">
        <f>IF(B$17=0,0,G17/B$17)</f>
        <v>3.2388663967611336E-2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100</v>
      </c>
      <c r="C18" s="39">
        <f>IF(B$17=0,0,B18/B$17)</f>
        <v>0.40485829959514169</v>
      </c>
      <c r="E18" s="63" t="s">
        <v>80</v>
      </c>
      <c r="F18" s="60" t="s">
        <v>35</v>
      </c>
      <c r="G18" s="47">
        <v>5</v>
      </c>
      <c r="H18" s="133">
        <f>IF(B$17=0,0,G18/B$17)</f>
        <v>2.0242914979757085E-2</v>
      </c>
      <c r="I18" s="94">
        <v>3</v>
      </c>
      <c r="K18" s="38">
        <v>16</v>
      </c>
      <c r="L18" s="99">
        <v>-50.3</v>
      </c>
      <c r="N18" s="115" t="s">
        <v>172</v>
      </c>
      <c r="O18" s="125">
        <f>IF(P18=0,0,Q18/P18)</f>
        <v>0.97619047619047583</v>
      </c>
      <c r="P18" s="119">
        <v>21</v>
      </c>
      <c r="Q18" s="107">
        <v>20.499999999999993</v>
      </c>
    </row>
    <row r="19" spans="1:17" x14ac:dyDescent="0.4">
      <c r="A19" s="55" t="s">
        <v>11</v>
      </c>
      <c r="B19" s="47">
        <v>147</v>
      </c>
      <c r="C19" s="39">
        <f>IF(B$17=0,0,B19/B$17)</f>
        <v>0.59514170040485825</v>
      </c>
      <c r="E19" s="63" t="s">
        <v>180</v>
      </c>
      <c r="F19" s="60" t="s">
        <v>181</v>
      </c>
      <c r="G19" s="47">
        <v>5</v>
      </c>
      <c r="H19" s="133">
        <f>IF(B$17=0,0,G19/B$17)</f>
        <v>2.0242914979757085E-2</v>
      </c>
      <c r="I19" s="94">
        <v>3</v>
      </c>
      <c r="K19" s="38">
        <v>17</v>
      </c>
      <c r="L19" s="99">
        <v>-74.3</v>
      </c>
      <c r="N19" s="115" t="s">
        <v>128</v>
      </c>
      <c r="O19" s="125">
        <f>IF(P19=0,0,Q19/P19)</f>
        <v>0.24736842105262688</v>
      </c>
      <c r="P19" s="119">
        <v>38</v>
      </c>
      <c r="Q19" s="107">
        <v>9.3999999999998209</v>
      </c>
    </row>
    <row r="20" spans="1:17" x14ac:dyDescent="0.4">
      <c r="A20" s="55" t="s">
        <v>13</v>
      </c>
      <c r="B20" s="47">
        <v>151</v>
      </c>
      <c r="C20" s="39">
        <f>IF(B$3=0,0,B20/B$3)</f>
        <v>0.17476851851851852</v>
      </c>
      <c r="E20" s="63" t="s">
        <v>74</v>
      </c>
      <c r="F20" s="60" t="s">
        <v>29</v>
      </c>
      <c r="G20" s="47">
        <v>3</v>
      </c>
      <c r="H20" s="133">
        <f>IF(B$17=0,0,G20/B$17)</f>
        <v>1.2145748987854251E-2</v>
      </c>
      <c r="I20" s="94">
        <v>3</v>
      </c>
      <c r="K20" s="38">
        <v>18</v>
      </c>
      <c r="L20" s="99">
        <v>-76.099999999999994</v>
      </c>
      <c r="N20" s="115" t="s">
        <v>127</v>
      </c>
      <c r="O20" s="125">
        <f>IF(P20=0,0,Q20/P20)</f>
        <v>-1.725862068965514</v>
      </c>
      <c r="P20" s="119">
        <v>58</v>
      </c>
      <c r="Q20" s="107">
        <v>-100.09999999999981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76</v>
      </c>
      <c r="F21" s="60" t="s">
        <v>31</v>
      </c>
      <c r="G21" s="47">
        <v>3</v>
      </c>
      <c r="H21" s="133">
        <f>IF(B$17=0,0,G21/B$17)</f>
        <v>1.2145748987854251E-2</v>
      </c>
      <c r="I21" s="94">
        <v>2</v>
      </c>
      <c r="K21" s="38">
        <v>19</v>
      </c>
      <c r="L21" s="99">
        <v>0.60000000000000853</v>
      </c>
      <c r="N21" s="115" t="s">
        <v>200</v>
      </c>
      <c r="O21" s="125">
        <f>IF(P21=0,0,Q21/P21)</f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5</v>
      </c>
      <c r="E22" s="63" t="s">
        <v>78</v>
      </c>
      <c r="F22" s="60" t="s">
        <v>33</v>
      </c>
      <c r="G22" s="47">
        <v>3</v>
      </c>
      <c r="H22" s="133">
        <f>IF(B$17=0,0,G22/B$17)</f>
        <v>1.2145748987854251E-2</v>
      </c>
      <c r="I22" s="94">
        <v>3</v>
      </c>
      <c r="K22" s="38">
        <v>20</v>
      </c>
      <c r="L22" s="99">
        <v>-3.5999999999999917</v>
      </c>
      <c r="N22" s="115" t="s">
        <v>177</v>
      </c>
      <c r="O22" s="125">
        <f>IF(P22=0,0,Q22/P22)</f>
        <v>-37.686363636363637</v>
      </c>
      <c r="P22" s="119">
        <v>22</v>
      </c>
      <c r="Q22" s="107">
        <v>-829.1</v>
      </c>
    </row>
    <row r="23" spans="1:17" x14ac:dyDescent="0.4">
      <c r="A23" s="55" t="s">
        <v>5</v>
      </c>
      <c r="B23" s="51">
        <f>IF(B$17=0,0,C23/B$17)</f>
        <v>9887.4493927125513</v>
      </c>
      <c r="C23" s="41">
        <v>2442200</v>
      </c>
      <c r="E23" s="63" t="s">
        <v>85</v>
      </c>
      <c r="F23" s="60" t="s">
        <v>40</v>
      </c>
      <c r="G23" s="47">
        <v>2</v>
      </c>
      <c r="H23" s="133">
        <f>IF(B$17=0,0,G23/B$17)</f>
        <v>8.0971659919028341E-3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-8369.5364238410602</v>
      </c>
      <c r="C24" s="45">
        <v>-1263800</v>
      </c>
      <c r="E24" s="63" t="s">
        <v>93</v>
      </c>
      <c r="F24" s="60" t="s">
        <v>48</v>
      </c>
      <c r="G24" s="47">
        <v>2</v>
      </c>
      <c r="H24" s="133">
        <f>IF(B$17=0,0,G24/B$17)</f>
        <v>8.0971659919028341E-3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4.048582995951417E-3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94</v>
      </c>
      <c r="F26" s="60" t="s">
        <v>49</v>
      </c>
      <c r="G26" s="47">
        <v>1</v>
      </c>
      <c r="H26" s="133">
        <f>IF(B$17=0,0,G26/B$17)</f>
        <v>4.048582995951417E-3</v>
      </c>
      <c r="I26" s="94">
        <v>3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2.3148148148148147E-3</v>
      </c>
      <c r="E27" s="63" t="s">
        <v>75</v>
      </c>
      <c r="F27" s="60" t="s">
        <v>30</v>
      </c>
      <c r="G27" s="47">
        <v>0</v>
      </c>
      <c r="H27" s="133">
        <f>IF(B$17=0,0,G27/B$17)</f>
        <v>0</v>
      </c>
      <c r="I27" s="94">
        <v>7</v>
      </c>
      <c r="K27" s="38">
        <v>25</v>
      </c>
      <c r="L27" s="99">
        <v>-39.999999999999986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  <row r="99" spans="11:12" x14ac:dyDescent="0.4">
      <c r="K99" s="38">
        <v>97</v>
      </c>
      <c r="L99" s="99">
        <v>-49.399999999999984</v>
      </c>
    </row>
    <row r="100" spans="11:12" x14ac:dyDescent="0.4">
      <c r="K100" s="38">
        <v>98</v>
      </c>
      <c r="L100" s="99">
        <v>22.600000000000016</v>
      </c>
    </row>
    <row r="101" spans="11:12" x14ac:dyDescent="0.4">
      <c r="K101" s="38">
        <v>99</v>
      </c>
      <c r="L101" s="99">
        <v>-10.099999999999987</v>
      </c>
    </row>
    <row r="102" spans="11:12" x14ac:dyDescent="0.4">
      <c r="K102" s="38">
        <v>100</v>
      </c>
      <c r="L102" s="99">
        <v>-46.699999999999989</v>
      </c>
    </row>
    <row r="103" spans="11:12" x14ac:dyDescent="0.4">
      <c r="K103" s="38">
        <v>101</v>
      </c>
      <c r="L103" s="99">
        <v>-17.099999999999987</v>
      </c>
    </row>
    <row r="104" spans="11:12" x14ac:dyDescent="0.4">
      <c r="K104" s="38">
        <v>102</v>
      </c>
      <c r="L104" s="99">
        <v>27.400000000000013</v>
      </c>
    </row>
    <row r="105" spans="11:12" x14ac:dyDescent="0.4">
      <c r="K105" s="38">
        <v>103</v>
      </c>
      <c r="L105" s="99">
        <v>34.400000000000013</v>
      </c>
    </row>
    <row r="106" spans="11:12" x14ac:dyDescent="0.4">
      <c r="K106" s="38">
        <v>104</v>
      </c>
      <c r="L106" s="99">
        <v>29.800000000000011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1516F-05CE-4E71-9BB2-E488E52DDB31}">
  <sheetPr codeName="Sheet15"/>
  <dimension ref="A1:Q10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100</v>
      </c>
      <c r="C2" s="151"/>
      <c r="E2" s="62" t="s">
        <v>65</v>
      </c>
      <c r="F2" s="59" t="s">
        <v>21</v>
      </c>
      <c r="G2" s="46">
        <v>101</v>
      </c>
      <c r="H2" s="132">
        <f>IF(B$17=0,0,G2/B$17)</f>
        <v>0.35438596491228069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134</v>
      </c>
      <c r="P2" s="118">
        <v>100</v>
      </c>
      <c r="Q2" s="102">
        <v>13400</v>
      </c>
    </row>
    <row r="3" spans="1:17" x14ac:dyDescent="0.4">
      <c r="A3" s="55" t="s">
        <v>8</v>
      </c>
      <c r="B3" s="152">
        <v>842</v>
      </c>
      <c r="C3" s="153"/>
      <c r="E3" s="63" t="s">
        <v>66</v>
      </c>
      <c r="F3" s="60" t="s">
        <v>22</v>
      </c>
      <c r="G3" s="47">
        <v>29</v>
      </c>
      <c r="H3" s="133">
        <f>IF(B$17=0,0,G3/B$17)</f>
        <v>0.10175438596491228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-1281</v>
      </c>
      <c r="P3" s="119">
        <v>100</v>
      </c>
      <c r="Q3" s="103">
        <v>-128100</v>
      </c>
    </row>
    <row r="4" spans="1:17" x14ac:dyDescent="0.4">
      <c r="A4" s="55" t="s">
        <v>6</v>
      </c>
      <c r="B4" s="154">
        <v>-177.80000000000004</v>
      </c>
      <c r="C4" s="155"/>
      <c r="E4" s="63" t="s">
        <v>67</v>
      </c>
      <c r="F4" s="60" t="s">
        <v>23</v>
      </c>
      <c r="G4" s="47">
        <v>183</v>
      </c>
      <c r="H4" s="133">
        <f>IF(B$17=0,0,G4/B$17)</f>
        <v>0.64210526315789473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-752.22222222222217</v>
      </c>
      <c r="P4" s="119">
        <v>90</v>
      </c>
      <c r="Q4" s="103">
        <v>-67700</v>
      </c>
    </row>
    <row r="5" spans="1:17" x14ac:dyDescent="0.4">
      <c r="A5" s="55" t="s">
        <v>7</v>
      </c>
      <c r="B5" s="156">
        <f>IF(B$2=0,0,B$4/B$2)</f>
        <v>-1.7780000000000005</v>
      </c>
      <c r="C5" s="157"/>
      <c r="E5" s="63" t="s">
        <v>68</v>
      </c>
      <c r="F5" s="60" t="s">
        <v>24</v>
      </c>
      <c r="G5" s="47">
        <v>50</v>
      </c>
      <c r="H5" s="133">
        <f>IF(B$17=0,0,G5/B$17)</f>
        <v>0.17543859649122806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1100</v>
      </c>
      <c r="P5" s="119">
        <v>86</v>
      </c>
      <c r="Q5" s="103">
        <v>94600</v>
      </c>
    </row>
    <row r="6" spans="1:17" x14ac:dyDescent="0.4">
      <c r="A6" s="55" t="s">
        <v>1</v>
      </c>
      <c r="B6" s="146">
        <f>IF(B$2=0,0,(B$7*1+B$8*2+B$9*3)/B$2)</f>
        <v>2.0499999999999998</v>
      </c>
      <c r="C6" s="147"/>
      <c r="E6" s="63" t="s">
        <v>69</v>
      </c>
      <c r="F6" s="60" t="s">
        <v>12</v>
      </c>
      <c r="G6" s="47">
        <v>71</v>
      </c>
      <c r="H6" s="133">
        <f>IF(B$17=0,0,G6/B$17)</f>
        <v>0.24912280701754386</v>
      </c>
      <c r="I6" s="94">
        <v>13</v>
      </c>
      <c r="K6" s="38">
        <v>4</v>
      </c>
      <c r="L6" s="99">
        <v>34.9</v>
      </c>
      <c r="N6" s="115" t="s">
        <v>136</v>
      </c>
      <c r="O6" s="122">
        <f t="shared" si="0"/>
        <v>-126.25</v>
      </c>
      <c r="P6" s="119">
        <v>80</v>
      </c>
      <c r="Q6" s="103">
        <v>-10100</v>
      </c>
    </row>
    <row r="7" spans="1:17" x14ac:dyDescent="0.4">
      <c r="A7" s="55" t="s">
        <v>2</v>
      </c>
      <c r="B7" s="47">
        <v>25</v>
      </c>
      <c r="C7" s="39">
        <f>IF(B$2=0,0,B7/B$2)</f>
        <v>0.25</v>
      </c>
      <c r="E7" s="63" t="s">
        <v>70</v>
      </c>
      <c r="F7" s="60" t="s">
        <v>25</v>
      </c>
      <c r="G7" s="47">
        <v>46</v>
      </c>
      <c r="H7" s="133">
        <f>IF(B$17=0,0,G7/B$17)</f>
        <v>0.16140350877192983</v>
      </c>
      <c r="I7" s="94">
        <v>8</v>
      </c>
      <c r="K7" s="38">
        <v>5</v>
      </c>
      <c r="L7" s="99">
        <v>29.4</v>
      </c>
      <c r="N7" s="116" t="s">
        <v>137</v>
      </c>
      <c r="O7" s="123">
        <f t="shared" si="0"/>
        <v>-449.27536231884056</v>
      </c>
      <c r="P7" s="120">
        <v>69</v>
      </c>
      <c r="Q7" s="104">
        <v>-31000</v>
      </c>
    </row>
    <row r="8" spans="1:17" x14ac:dyDescent="0.4">
      <c r="A8" s="55" t="s">
        <v>3</v>
      </c>
      <c r="B8" s="47">
        <v>45</v>
      </c>
      <c r="C8" s="39">
        <f>IF(B$2=0,0,B8/B$2)</f>
        <v>0.45</v>
      </c>
      <c r="E8" s="63" t="s">
        <v>71</v>
      </c>
      <c r="F8" s="60" t="s">
        <v>26</v>
      </c>
      <c r="G8" s="47">
        <v>21</v>
      </c>
      <c r="H8" s="133">
        <f>IF(B$17=0,0,G8/B$17)</f>
        <v>7.3684210526315783E-2</v>
      </c>
      <c r="I8" s="94">
        <v>8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30</v>
      </c>
      <c r="C9" s="40">
        <f t="shared" ref="C9" si="1">IF(B$2=0,0,B9/B$2)</f>
        <v>0.3</v>
      </c>
      <c r="E9" s="63" t="s">
        <v>72</v>
      </c>
      <c r="F9" s="60" t="s">
        <v>27</v>
      </c>
      <c r="G9" s="47">
        <v>23</v>
      </c>
      <c r="H9" s="133">
        <f>IF(B$17=0,0,G9/B$17)</f>
        <v>8.0701754385964913E-2</v>
      </c>
      <c r="I9" s="94">
        <v>4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0.05</v>
      </c>
      <c r="E10" s="63" t="s">
        <v>73</v>
      </c>
      <c r="F10" s="60" t="s">
        <v>28</v>
      </c>
      <c r="G10" s="47">
        <v>162</v>
      </c>
      <c r="H10" s="133">
        <f>IF(B$17=0,0,G10/B$17)</f>
        <v>0.56842105263157894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-3.8612903225806474</v>
      </c>
      <c r="P10" s="118">
        <v>31</v>
      </c>
      <c r="Q10" s="106">
        <v>-119.70000000000007</v>
      </c>
    </row>
    <row r="11" spans="1:17" x14ac:dyDescent="0.4">
      <c r="A11" s="56" t="s">
        <v>140</v>
      </c>
      <c r="B11" s="48">
        <v>10</v>
      </c>
      <c r="C11" s="40">
        <f>IF(B$2=0,0,B11/B$2)</f>
        <v>0.1</v>
      </c>
      <c r="E11" s="63" t="s">
        <v>74</v>
      </c>
      <c r="F11" s="60" t="s">
        <v>29</v>
      </c>
      <c r="G11" s="47">
        <v>1</v>
      </c>
      <c r="H11" s="133">
        <f>IF(B$17=0,0,G11/B$17)</f>
        <v>3.5087719298245615E-3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2.2866666666666666</v>
      </c>
      <c r="P11" s="119">
        <v>30</v>
      </c>
      <c r="Q11" s="107">
        <v>68.599999999999994</v>
      </c>
    </row>
    <row r="12" spans="1:17" x14ac:dyDescent="0.4">
      <c r="A12" s="57" t="s">
        <v>160</v>
      </c>
      <c r="B12" s="49">
        <v>8</v>
      </c>
      <c r="C12" s="42">
        <f>IF(B$2=0,0,B12/B$2)</f>
        <v>0.08</v>
      </c>
      <c r="E12" s="63" t="s">
        <v>75</v>
      </c>
      <c r="F12" s="60" t="s">
        <v>30</v>
      </c>
      <c r="G12" s="47">
        <v>2</v>
      </c>
      <c r="H12" s="133">
        <f>IF(B$17=0,0,G12/B$17)</f>
        <v>7.0175438596491229E-3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-3.2487179487179492</v>
      </c>
      <c r="P12" s="120">
        <v>39</v>
      </c>
      <c r="Q12" s="108">
        <v>-126.70000000000002</v>
      </c>
    </row>
    <row r="13" spans="1:17" x14ac:dyDescent="0.4">
      <c r="A13" s="58" t="s">
        <v>122</v>
      </c>
      <c r="B13" s="50">
        <v>180</v>
      </c>
      <c r="C13" s="44">
        <f>IF(B$3=0,0,B13/B$3)</f>
        <v>0.21377672209026127</v>
      </c>
      <c r="E13" s="63" t="s">
        <v>76</v>
      </c>
      <c r="F13" s="60" t="s">
        <v>31</v>
      </c>
      <c r="G13" s="47">
        <v>1</v>
      </c>
      <c r="H13" s="133">
        <f>IF(B$17=0,0,G13/B$17)</f>
        <v>3.5087719298245615E-3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244</v>
      </c>
      <c r="C14" s="39">
        <f>IF(B$3=0,0,B14/B$3)</f>
        <v>0.28978622327790976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100</v>
      </c>
      <c r="C15" s="37">
        <f>IF(B$13=0,0,B15/B$13)</f>
        <v>0.55555555555555558</v>
      </c>
      <c r="E15" s="63" t="s">
        <v>78</v>
      </c>
      <c r="F15" s="60" t="s">
        <v>33</v>
      </c>
      <c r="G15" s="47">
        <v>1</v>
      </c>
      <c r="H15" s="133">
        <f>IF(B$17=0,0,G15/B$17)</f>
        <v>3.5087719298245615E-3</v>
      </c>
      <c r="I15" s="94">
        <v>7</v>
      </c>
      <c r="K15" s="38">
        <v>13</v>
      </c>
      <c r="L15" s="99">
        <v>-3</v>
      </c>
      <c r="N15" s="114" t="s">
        <v>184</v>
      </c>
      <c r="O15" s="124">
        <f t="shared" ref="O15:O23" si="2"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103</v>
      </c>
      <c r="C16" s="37">
        <f>IF(B$14=0,0,B16/B$14)</f>
        <v>0.42213114754098363</v>
      </c>
      <c r="E16" s="63" t="s">
        <v>79</v>
      </c>
      <c r="F16" s="60" t="s">
        <v>34</v>
      </c>
      <c r="G16" s="47">
        <v>4</v>
      </c>
      <c r="H16" s="133">
        <f>IF(B$17=0,0,G16/B$17)</f>
        <v>1.4035087719298246E-2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 t="shared" si="2"/>
        <v>19.805714285714274</v>
      </c>
      <c r="P16" s="119">
        <v>35</v>
      </c>
      <c r="Q16" s="107">
        <v>693.19999999999959</v>
      </c>
    </row>
    <row r="17" spans="1:17" x14ac:dyDescent="0.4">
      <c r="A17" s="54" t="s">
        <v>10</v>
      </c>
      <c r="B17" s="46">
        <f>B19+B18</f>
        <v>285</v>
      </c>
      <c r="C17" s="37">
        <f>IF(B$3=0,0,B17/B$3)</f>
        <v>0.33847980997624705</v>
      </c>
      <c r="E17" s="63" t="s">
        <v>80</v>
      </c>
      <c r="F17" s="60" t="s">
        <v>35</v>
      </c>
      <c r="G17" s="47">
        <v>3</v>
      </c>
      <c r="H17" s="133">
        <f>IF(B$17=0,0,G17/B$17)</f>
        <v>1.0526315789473684E-2</v>
      </c>
      <c r="I17" s="94">
        <v>11</v>
      </c>
      <c r="K17" s="38">
        <v>15</v>
      </c>
      <c r="L17" s="99">
        <v>-80.3</v>
      </c>
      <c r="N17" s="115" t="s">
        <v>173</v>
      </c>
      <c r="O17" s="125">
        <f t="shared" si="2"/>
        <v>6.6333333333333302</v>
      </c>
      <c r="P17" s="119">
        <v>12</v>
      </c>
      <c r="Q17" s="107">
        <v>79.599999999999966</v>
      </c>
    </row>
    <row r="18" spans="1:17" x14ac:dyDescent="0.4">
      <c r="A18" s="55" t="s">
        <v>12</v>
      </c>
      <c r="B18" s="47">
        <v>114</v>
      </c>
      <c r="C18" s="39">
        <f>IF(B$17=0,0,B18/B$17)</f>
        <v>0.4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177</v>
      </c>
      <c r="O18" s="125">
        <f t="shared" si="2"/>
        <v>2.2741935483870948</v>
      </c>
      <c r="P18" s="119">
        <v>31</v>
      </c>
      <c r="Q18" s="107">
        <v>70.499999999999943</v>
      </c>
    </row>
    <row r="19" spans="1:17" x14ac:dyDescent="0.4">
      <c r="A19" s="55" t="s">
        <v>11</v>
      </c>
      <c r="B19" s="47">
        <v>171</v>
      </c>
      <c r="C19" s="39">
        <f>IF(B$17=0,0,B19/B$17)</f>
        <v>0.6</v>
      </c>
      <c r="E19" s="63" t="s">
        <v>82</v>
      </c>
      <c r="F19" s="60" t="s">
        <v>37</v>
      </c>
      <c r="G19" s="47">
        <v>9</v>
      </c>
      <c r="H19" s="133">
        <f>IF(B$17=0,0,G19/B$17)</f>
        <v>3.1578947368421054E-2</v>
      </c>
      <c r="I19" s="94">
        <v>4</v>
      </c>
      <c r="K19" s="38">
        <v>17</v>
      </c>
      <c r="L19" s="99">
        <v>-55.099999999999994</v>
      </c>
      <c r="N19" s="115" t="s">
        <v>128</v>
      </c>
      <c r="O19" s="125">
        <f t="shared" si="2"/>
        <v>0.40270270270270248</v>
      </c>
      <c r="P19" s="119">
        <v>37</v>
      </c>
      <c r="Q19" s="107">
        <v>14.899999999999991</v>
      </c>
    </row>
    <row r="20" spans="1:17" x14ac:dyDescent="0.4">
      <c r="A20" s="55" t="s">
        <v>13</v>
      </c>
      <c r="B20" s="47">
        <v>119</v>
      </c>
      <c r="C20" s="39">
        <f>IF(B$3=0,0,B20/B$3)</f>
        <v>0.14133016627078385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171</v>
      </c>
      <c r="O20" s="125">
        <f t="shared" si="2"/>
        <v>-0.9761904761904765</v>
      </c>
      <c r="P20" s="119">
        <v>21</v>
      </c>
      <c r="Q20" s="107">
        <v>-20.500000000000007</v>
      </c>
    </row>
    <row r="21" spans="1:17" x14ac:dyDescent="0.4">
      <c r="A21" s="55" t="s">
        <v>191</v>
      </c>
      <c r="B21" s="47">
        <v>10</v>
      </c>
      <c r="C21" s="135">
        <v>1</v>
      </c>
      <c r="E21" s="63" t="s">
        <v>84</v>
      </c>
      <c r="F21" s="60" t="s">
        <v>39</v>
      </c>
      <c r="G21" s="47">
        <v>20</v>
      </c>
      <c r="H21" s="133">
        <f>IF(B$17=0,0,G21/B$17)</f>
        <v>7.0175438596491224E-2</v>
      </c>
      <c r="I21" s="94">
        <v>2</v>
      </c>
      <c r="K21" s="38">
        <v>19</v>
      </c>
      <c r="L21" s="99">
        <v>29.200000000000003</v>
      </c>
      <c r="N21" s="115" t="s">
        <v>200</v>
      </c>
      <c r="O21" s="125">
        <f t="shared" si="2"/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43</v>
      </c>
      <c r="N22" s="115" t="s">
        <v>127</v>
      </c>
      <c r="O22" s="125">
        <f t="shared" si="2"/>
        <v>-26.555999999999994</v>
      </c>
      <c r="P22" s="119">
        <v>50</v>
      </c>
      <c r="Q22" s="107">
        <v>-1327.7999999999997</v>
      </c>
    </row>
    <row r="23" spans="1:17" x14ac:dyDescent="0.4">
      <c r="A23" s="55" t="s">
        <v>5</v>
      </c>
      <c r="B23" s="51">
        <f>IF(B$17=0,0,C23/B$17)</f>
        <v>6753.333333333333</v>
      </c>
      <c r="C23" s="41">
        <v>1924700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  <c r="N23" s="115" t="s">
        <v>223</v>
      </c>
      <c r="O23" s="125">
        <f t="shared" si="2"/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-8181.5126050420167</v>
      </c>
      <c r="C24" s="45">
        <v>-973600</v>
      </c>
      <c r="E24" s="63" t="s">
        <v>87</v>
      </c>
      <c r="F24" s="60" t="s">
        <v>42</v>
      </c>
      <c r="G24" s="47">
        <v>11</v>
      </c>
      <c r="H24" s="133">
        <f>IF(B$17=0,0,G24/B$17)</f>
        <v>3.8596491228070177E-2</v>
      </c>
      <c r="I24" s="94">
        <v>11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3.5087719298245615E-3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1.1876484560570072E-3</v>
      </c>
      <c r="E27" s="63" t="s">
        <v>90</v>
      </c>
      <c r="F27" s="60" t="s">
        <v>45</v>
      </c>
      <c r="G27" s="47">
        <v>22</v>
      </c>
      <c r="H27" s="133">
        <f>IF(B$17=0,0,G27/B$17)</f>
        <v>7.7192982456140355E-2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3.5087719298245615E-3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1.4035087719298246E-2</v>
      </c>
      <c r="I29" s="94">
        <v>8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  <c r="K50" s="38">
        <v>48</v>
      </c>
      <c r="L50" s="99">
        <v>111.4</v>
      </c>
    </row>
    <row r="51" spans="5:12" x14ac:dyDescent="0.4">
      <c r="E51" s="136" t="s">
        <v>245</v>
      </c>
      <c r="F51" s="137" t="s">
        <v>246</v>
      </c>
      <c r="G51" s="48">
        <v>121</v>
      </c>
      <c r="H51" s="138">
        <f>IF(B$17=0,0,G51/B$17)</f>
        <v>0.42456140350877192</v>
      </c>
      <c r="I51" s="139">
        <v>4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  <row r="95" spans="11:12" x14ac:dyDescent="0.4">
      <c r="K95" s="38">
        <v>93</v>
      </c>
      <c r="L95" s="99">
        <v>-155.10000000000005</v>
      </c>
    </row>
    <row r="96" spans="11:12" x14ac:dyDescent="0.4">
      <c r="K96" s="38">
        <v>94</v>
      </c>
      <c r="L96" s="99">
        <v>-184.60000000000005</v>
      </c>
    </row>
    <row r="97" spans="11:12" x14ac:dyDescent="0.4">
      <c r="K97" s="38">
        <v>95</v>
      </c>
      <c r="L97" s="99">
        <v>-161.50000000000006</v>
      </c>
    </row>
    <row r="98" spans="11:12" x14ac:dyDescent="0.4">
      <c r="K98" s="38">
        <v>96</v>
      </c>
      <c r="L98" s="99">
        <v>-202.00000000000006</v>
      </c>
    </row>
    <row r="99" spans="11:12" x14ac:dyDescent="0.4">
      <c r="K99" s="38">
        <v>97</v>
      </c>
      <c r="L99" s="99">
        <v>-200.50000000000006</v>
      </c>
    </row>
    <row r="100" spans="11:12" x14ac:dyDescent="0.4">
      <c r="K100" s="38">
        <v>98</v>
      </c>
      <c r="L100" s="99">
        <v>-164.70000000000005</v>
      </c>
    </row>
    <row r="101" spans="11:12" x14ac:dyDescent="0.4">
      <c r="K101" s="38">
        <v>99</v>
      </c>
      <c r="L101" s="99">
        <v>-172.90000000000003</v>
      </c>
    </row>
    <row r="102" spans="11:12" x14ac:dyDescent="0.4">
      <c r="K102" s="38">
        <v>100</v>
      </c>
      <c r="L102" s="99">
        <v>-177.80000000000004</v>
      </c>
    </row>
  </sheetData>
  <sortState ref="E2:I10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4EFD6-7A02-4DF5-9CF7-2727707B2927}">
  <sheetPr codeName="Sheet17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53</v>
      </c>
      <c r="C2" s="151"/>
      <c r="E2" s="62" t="s">
        <v>65</v>
      </c>
      <c r="F2" s="59" t="s">
        <v>21</v>
      </c>
      <c r="G2" s="46">
        <v>55</v>
      </c>
      <c r="H2" s="132">
        <f>IF(B$17=0,0,G2/B$17)</f>
        <v>0.41984732824427479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-2686.7924528301887</v>
      </c>
      <c r="P2" s="118">
        <v>53</v>
      </c>
      <c r="Q2" s="102">
        <v>-142400</v>
      </c>
    </row>
    <row r="3" spans="1:17" x14ac:dyDescent="0.4">
      <c r="A3" s="55" t="s">
        <v>8</v>
      </c>
      <c r="B3" s="152">
        <v>461</v>
      </c>
      <c r="C3" s="153"/>
      <c r="E3" s="63" t="s">
        <v>66</v>
      </c>
      <c r="F3" s="60" t="s">
        <v>22</v>
      </c>
      <c r="G3" s="47">
        <v>10</v>
      </c>
      <c r="H3" s="133">
        <f>IF(B$17=0,0,G3/B$17)</f>
        <v>7.6335877862595422E-2</v>
      </c>
      <c r="I3" s="94">
        <v>10</v>
      </c>
      <c r="K3" s="38">
        <v>1</v>
      </c>
      <c r="L3" s="99">
        <v>-82.6</v>
      </c>
      <c r="N3" s="115" t="s">
        <v>133</v>
      </c>
      <c r="O3" s="122">
        <f t="shared" si="0"/>
        <v>1784.9056603773586</v>
      </c>
      <c r="P3" s="119">
        <v>53</v>
      </c>
      <c r="Q3" s="103">
        <v>94600</v>
      </c>
    </row>
    <row r="4" spans="1:17" x14ac:dyDescent="0.4">
      <c r="A4" s="55" t="s">
        <v>6</v>
      </c>
      <c r="B4" s="154">
        <v>-396.70000000000005</v>
      </c>
      <c r="C4" s="155"/>
      <c r="E4" s="63" t="s">
        <v>67</v>
      </c>
      <c r="F4" s="60" t="s">
        <v>23</v>
      </c>
      <c r="G4" s="47">
        <v>87</v>
      </c>
      <c r="H4" s="133">
        <f>IF(B$17=0,0,G4/B$17)</f>
        <v>0.66412213740458015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-1194</v>
      </c>
      <c r="P4" s="119">
        <v>50</v>
      </c>
      <c r="Q4" s="103">
        <v>-59700</v>
      </c>
    </row>
    <row r="5" spans="1:17" x14ac:dyDescent="0.4">
      <c r="A5" s="55" t="s">
        <v>7</v>
      </c>
      <c r="B5" s="156">
        <f>IF(B$2=0,0,B$4/B$2)</f>
        <v>-7.4849056603773594</v>
      </c>
      <c r="C5" s="157"/>
      <c r="E5" s="63" t="s">
        <v>68</v>
      </c>
      <c r="F5" s="60" t="s">
        <v>24</v>
      </c>
      <c r="G5" s="47">
        <v>29</v>
      </c>
      <c r="H5" s="133">
        <f>IF(B$17=0,0,G5/B$17)</f>
        <v>0.22137404580152673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-4158.695652173913</v>
      </c>
      <c r="P5" s="119">
        <v>46</v>
      </c>
      <c r="Q5" s="103">
        <v>-191300</v>
      </c>
    </row>
    <row r="6" spans="1:17" x14ac:dyDescent="0.4">
      <c r="A6" s="55" t="s">
        <v>1</v>
      </c>
      <c r="B6" s="146">
        <f>IF(B$2=0,0,(B$7*1+B$8*2+B$9*3)/B$2)</f>
        <v>2.1132075471698113</v>
      </c>
      <c r="C6" s="147"/>
      <c r="E6" s="63" t="s">
        <v>69</v>
      </c>
      <c r="F6" s="60" t="s">
        <v>12</v>
      </c>
      <c r="G6" s="47">
        <v>50</v>
      </c>
      <c r="H6" s="133">
        <f>IF(B$17=0,0,G6/B$17)</f>
        <v>0.38167938931297712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-251.21951219512195</v>
      </c>
      <c r="P6" s="119">
        <v>41</v>
      </c>
      <c r="Q6" s="103">
        <v>-10300</v>
      </c>
    </row>
    <row r="7" spans="1:17" x14ac:dyDescent="0.4">
      <c r="A7" s="55" t="s">
        <v>2</v>
      </c>
      <c r="B7" s="47">
        <v>15</v>
      </c>
      <c r="C7" s="39">
        <f>IF(B$2=0,0,B7/B$2)</f>
        <v>0.28301886792452829</v>
      </c>
      <c r="E7" s="63" t="s">
        <v>70</v>
      </c>
      <c r="F7" s="60" t="s">
        <v>25</v>
      </c>
      <c r="G7" s="47">
        <v>16</v>
      </c>
      <c r="H7" s="133">
        <f>IF(B$17=0,0,G7/B$17)</f>
        <v>0.12213740458015267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-53.846153846153847</v>
      </c>
      <c r="P7" s="120">
        <v>39</v>
      </c>
      <c r="Q7" s="104">
        <v>-2100</v>
      </c>
    </row>
    <row r="8" spans="1:17" x14ac:dyDescent="0.4">
      <c r="A8" s="55" t="s">
        <v>3</v>
      </c>
      <c r="B8" s="47">
        <v>17</v>
      </c>
      <c r="C8" s="39">
        <f>IF(B$2=0,0,B8/B$2)</f>
        <v>0.32075471698113206</v>
      </c>
      <c r="E8" s="63" t="s">
        <v>71</v>
      </c>
      <c r="F8" s="60" t="s">
        <v>26</v>
      </c>
      <c r="G8" s="47">
        <v>15</v>
      </c>
      <c r="H8" s="133">
        <f>IF(B$17=0,0,G8/B$17)</f>
        <v>0.11450381679389313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0.39622641509433965</v>
      </c>
      <c r="E9" s="63" t="s">
        <v>72</v>
      </c>
      <c r="F9" s="60" t="s">
        <v>27</v>
      </c>
      <c r="G9" s="47">
        <v>6</v>
      </c>
      <c r="H9" s="133">
        <f>IF(B$17=0,0,G9/B$17)</f>
        <v>4.5801526717557252E-2</v>
      </c>
      <c r="I9" s="94">
        <v>11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0.15094339622641509</v>
      </c>
      <c r="E10" s="63" t="s">
        <v>73</v>
      </c>
      <c r="F10" s="60" t="s">
        <v>28</v>
      </c>
      <c r="G10" s="47">
        <v>67</v>
      </c>
      <c r="H10" s="133">
        <f>IF(B$17=0,0,G10/B$17)</f>
        <v>0.51145038167938928</v>
      </c>
      <c r="I10" s="94">
        <v>9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>IF(B$2=0,0,B11/B$2)</f>
        <v>7.5471698113207544E-2</v>
      </c>
      <c r="E11" s="63" t="s">
        <v>74</v>
      </c>
      <c r="F11" s="60" t="s">
        <v>29</v>
      </c>
      <c r="G11" s="47">
        <v>3</v>
      </c>
      <c r="H11" s="133">
        <f>IF(B$17=0,0,G11/B$17)</f>
        <v>2.2900763358778626E-2</v>
      </c>
      <c r="I11" s="94">
        <v>1</v>
      </c>
      <c r="K11" s="38">
        <v>9</v>
      </c>
      <c r="L11" s="99">
        <v>-260.59999999999997</v>
      </c>
      <c r="N11" s="115" t="s">
        <v>165</v>
      </c>
      <c r="O11" s="125">
        <f>IF(P11=0,0,Q11/P11)</f>
        <v>-4.331999999999999</v>
      </c>
      <c r="P11" s="119">
        <v>25</v>
      </c>
      <c r="Q11" s="107">
        <v>-108.29999999999997</v>
      </c>
    </row>
    <row r="12" spans="1:17" x14ac:dyDescent="0.4">
      <c r="A12" s="57" t="s">
        <v>160</v>
      </c>
      <c r="B12" s="49">
        <v>3</v>
      </c>
      <c r="C12" s="42">
        <f>IF(B$2=0,0,B12/B$2)</f>
        <v>5.6603773584905662E-2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103</v>
      </c>
      <c r="C13" s="44">
        <f>IF(B$3=0,0,B13/B$3)</f>
        <v>0.22342733188720174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109</v>
      </c>
      <c r="C14" s="39">
        <f>IF(B$3=0,0,B14/B$3)</f>
        <v>0.23644251626898047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0.55339805825242716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K15" s="38">
        <v>13</v>
      </c>
      <c r="L15" s="99">
        <v>-302.59999999999997</v>
      </c>
      <c r="N15" s="114" t="s">
        <v>271</v>
      </c>
      <c r="O15" s="124">
        <f t="shared" ref="O15:O24" si="2">IF(P15=0,0,Q15/P15)</f>
        <v>83.449999999999989</v>
      </c>
      <c r="P15" s="118">
        <v>2</v>
      </c>
      <c r="Q15" s="106">
        <v>166.89999999999998</v>
      </c>
    </row>
    <row r="16" spans="1:17" x14ac:dyDescent="0.4">
      <c r="A16" s="54" t="s">
        <v>125</v>
      </c>
      <c r="B16" s="46">
        <v>37</v>
      </c>
      <c r="C16" s="37">
        <f>IF(B$14=0,0,B16/B$14)</f>
        <v>0.33944954128440369</v>
      </c>
      <c r="E16" s="63" t="s">
        <v>79</v>
      </c>
      <c r="F16" s="60" t="s">
        <v>34</v>
      </c>
      <c r="G16" s="47">
        <v>3</v>
      </c>
      <c r="H16" s="133">
        <f>IF(B$17=0,0,G16/B$17)</f>
        <v>2.2900763358778626E-2</v>
      </c>
      <c r="I16" s="94">
        <v>9</v>
      </c>
      <c r="K16" s="38">
        <v>14</v>
      </c>
      <c r="L16" s="99">
        <v>-269.99999999999994</v>
      </c>
      <c r="N16" s="115" t="s">
        <v>129</v>
      </c>
      <c r="O16" s="125">
        <f t="shared" si="2"/>
        <v>17.118181818181821</v>
      </c>
      <c r="P16" s="119">
        <v>11</v>
      </c>
      <c r="Q16" s="107">
        <v>188.3</v>
      </c>
    </row>
    <row r="17" spans="1:17" x14ac:dyDescent="0.4">
      <c r="A17" s="54" t="s">
        <v>10</v>
      </c>
      <c r="B17" s="46">
        <f>B19+B18</f>
        <v>131</v>
      </c>
      <c r="C17" s="37">
        <f>IF(B$3=0,0,B17/B$3)</f>
        <v>0.2841648590021692</v>
      </c>
      <c r="E17" s="63" t="s">
        <v>80</v>
      </c>
      <c r="F17" s="60" t="s">
        <v>35</v>
      </c>
      <c r="G17" s="47">
        <v>2</v>
      </c>
      <c r="H17" s="133">
        <f>IF(B$17=0,0,G17/B$17)</f>
        <v>1.5267175572519083E-2</v>
      </c>
      <c r="I17" s="94">
        <v>7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66</v>
      </c>
      <c r="C18" s="39">
        <f>IF(B$17=0,0,B18/B$17)</f>
        <v>0.50381679389312972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128</v>
      </c>
      <c r="O18" s="125">
        <f t="shared" si="2"/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65</v>
      </c>
      <c r="C19" s="39">
        <f>IF(B$17=0,0,B19/B$17)</f>
        <v>0.49618320610687022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  <c r="K19" s="38">
        <v>17</v>
      </c>
      <c r="L19" s="99">
        <v>-248.89999999999995</v>
      </c>
      <c r="N19" s="115" t="s">
        <v>171</v>
      </c>
      <c r="O19" s="125">
        <f t="shared" si="2"/>
        <v>-12.777777777777775</v>
      </c>
      <c r="P19" s="119">
        <v>18</v>
      </c>
      <c r="Q19" s="107">
        <v>-229.99999999999994</v>
      </c>
    </row>
    <row r="20" spans="1:17" x14ac:dyDescent="0.4">
      <c r="A20" s="55" t="s">
        <v>13</v>
      </c>
      <c r="B20" s="47">
        <v>84</v>
      </c>
      <c r="C20" s="39">
        <f>IF(B$3=0,0,B20/B$3)</f>
        <v>0.1822125813449024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-16.769565217391303</v>
      </c>
      <c r="P20" s="119">
        <v>23</v>
      </c>
      <c r="Q20" s="107">
        <v>-385.7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1.5267175572519083E-2</v>
      </c>
      <c r="I21" s="94">
        <v>11</v>
      </c>
      <c r="K21" s="38">
        <v>19</v>
      </c>
      <c r="L21" s="99">
        <v>-188.59999999999994</v>
      </c>
      <c r="N21" s="115" t="s">
        <v>177</v>
      </c>
      <c r="O21" s="125">
        <f t="shared" si="2"/>
        <v>-25.12222222222222</v>
      </c>
      <c r="P21" s="119">
        <v>9</v>
      </c>
      <c r="Q21" s="107">
        <v>-226.1</v>
      </c>
    </row>
    <row r="22" spans="1:17" x14ac:dyDescent="0.4">
      <c r="A22" s="55" t="s">
        <v>192</v>
      </c>
      <c r="B22" s="47">
        <v>24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7648.0916030534354</v>
      </c>
      <c r="C23" s="41">
        <v>1001900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  <c r="N23" s="115" t="s">
        <v>200</v>
      </c>
      <c r="O23" s="125">
        <f t="shared" si="2"/>
        <v>-59.70000000000001</v>
      </c>
      <c r="P23" s="119">
        <v>3</v>
      </c>
      <c r="Q23" s="107">
        <v>-179.10000000000002</v>
      </c>
    </row>
    <row r="24" spans="1:17" x14ac:dyDescent="0.4">
      <c r="A24" s="57" t="s">
        <v>14</v>
      </c>
      <c r="B24" s="52">
        <f>IF(B$20=0,0,C24/B$20)</f>
        <v>-8327.3809523809523</v>
      </c>
      <c r="C24" s="45">
        <v>-699500</v>
      </c>
      <c r="E24" s="63" t="s">
        <v>87</v>
      </c>
      <c r="F24" s="60" t="s">
        <v>42</v>
      </c>
      <c r="G24" s="47">
        <v>6</v>
      </c>
      <c r="H24" s="133">
        <f>IF(B$17=0,0,G24/B$17)</f>
        <v>4.5801526717557252E-2</v>
      </c>
      <c r="I24" s="94">
        <v>10</v>
      </c>
      <c r="K24" s="38">
        <v>22</v>
      </c>
      <c r="L24" s="99">
        <v>-262.49999999999994</v>
      </c>
      <c r="N24" s="115" t="s">
        <v>184</v>
      </c>
      <c r="O24" s="125">
        <f t="shared" si="2"/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7.6335877862595417E-3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113300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4.3383947939262474E-3</v>
      </c>
      <c r="E27" s="63" t="s">
        <v>90</v>
      </c>
      <c r="F27" s="60" t="s">
        <v>45</v>
      </c>
      <c r="G27" s="47">
        <v>18</v>
      </c>
      <c r="H27" s="133">
        <f>IF(B$17=0,0,G27/B$17)</f>
        <v>0.13740458015267176</v>
      </c>
      <c r="I27" s="94">
        <v>6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1.5267175572519083E-2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1</v>
      </c>
      <c r="H44" s="133">
        <f>IF(B$17=0,0,G44/B$17)</f>
        <v>7.6335877862595417E-3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>IF(B$17=0,0,G50/B$17)</f>
        <v>1.5267175572519083E-2</v>
      </c>
      <c r="I50" s="94">
        <v>6</v>
      </c>
      <c r="K50" s="38">
        <v>48</v>
      </c>
      <c r="L50" s="99">
        <v>-387.7</v>
      </c>
    </row>
    <row r="51" spans="5:12" x14ac:dyDescent="0.4">
      <c r="E51" s="136" t="s">
        <v>245</v>
      </c>
      <c r="F51" s="137" t="s">
        <v>246</v>
      </c>
      <c r="G51" s="48">
        <v>50</v>
      </c>
      <c r="H51" s="138">
        <f>IF(B$17=0,0,G51/B$17)</f>
        <v>0.38167938931297712</v>
      </c>
      <c r="I51" s="139">
        <v>11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  <row r="55" spans="5:12" x14ac:dyDescent="0.4">
      <c r="K55" s="38">
        <v>53</v>
      </c>
      <c r="L55" s="99">
        <v>-396.70000000000005</v>
      </c>
    </row>
  </sheetData>
  <sortState ref="E2:I5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256F6-5061-448B-8B1C-543DD81A1EE8}">
  <sheetPr codeName="Sheet19"/>
  <dimension ref="A1:Q9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97</v>
      </c>
      <c r="C2" s="151"/>
      <c r="E2" s="62" t="s">
        <v>65</v>
      </c>
      <c r="F2" s="59" t="s">
        <v>21</v>
      </c>
      <c r="G2" s="46">
        <v>134</v>
      </c>
      <c r="H2" s="132">
        <f>IF(B$17=0,0,G2/B$17)</f>
        <v>0.61467889908256879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927.8350515463917</v>
      </c>
      <c r="P2" s="118">
        <v>97</v>
      </c>
      <c r="Q2" s="102">
        <v>90000</v>
      </c>
    </row>
    <row r="3" spans="1:17" x14ac:dyDescent="0.4">
      <c r="A3" s="55" t="s">
        <v>8</v>
      </c>
      <c r="B3" s="152">
        <v>793</v>
      </c>
      <c r="C3" s="153"/>
      <c r="E3" s="63" t="s">
        <v>67</v>
      </c>
      <c r="F3" s="60" t="s">
        <v>23</v>
      </c>
      <c r="G3" s="47">
        <v>120</v>
      </c>
      <c r="H3" s="133">
        <f>IF(B$17=0,0,G3/B$17)</f>
        <v>0.55045871559633031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237.63440860215053</v>
      </c>
      <c r="P3" s="119">
        <v>93</v>
      </c>
      <c r="Q3" s="103">
        <v>22100</v>
      </c>
    </row>
    <row r="4" spans="1:17" x14ac:dyDescent="0.4">
      <c r="A4" s="55" t="s">
        <v>6</v>
      </c>
      <c r="B4" s="154">
        <v>19.799999999999926</v>
      </c>
      <c r="C4" s="155"/>
      <c r="E4" s="63" t="s">
        <v>73</v>
      </c>
      <c r="F4" s="60" t="s">
        <v>28</v>
      </c>
      <c r="G4" s="47">
        <v>96</v>
      </c>
      <c r="H4" s="133">
        <f>IF(B$17=0,0,G4/B$17)</f>
        <v>0.44036697247706424</v>
      </c>
      <c r="I4" s="94">
        <v>13</v>
      </c>
      <c r="K4" s="38">
        <v>2</v>
      </c>
      <c r="L4" s="99">
        <v>30</v>
      </c>
      <c r="N4" s="115" t="s">
        <v>134</v>
      </c>
      <c r="O4" s="122">
        <f t="shared" si="0"/>
        <v>-776.74418604651157</v>
      </c>
      <c r="P4" s="119">
        <v>86</v>
      </c>
      <c r="Q4" s="103">
        <v>-66800</v>
      </c>
    </row>
    <row r="5" spans="1:17" x14ac:dyDescent="0.4">
      <c r="A5" s="55" t="s">
        <v>7</v>
      </c>
      <c r="B5" s="156">
        <f>IF(B$2=0,0,B$4/B$2)</f>
        <v>0.20412371134020543</v>
      </c>
      <c r="C5" s="157"/>
      <c r="E5" s="63" t="s">
        <v>245</v>
      </c>
      <c r="F5" s="60" t="s">
        <v>246</v>
      </c>
      <c r="G5" s="47">
        <v>93</v>
      </c>
      <c r="H5" s="133">
        <f>IF(B$17=0,0,G5/B$17)</f>
        <v>0.42660550458715596</v>
      </c>
      <c r="I5" s="94">
        <v>3</v>
      </c>
      <c r="K5" s="38">
        <v>3</v>
      </c>
      <c r="L5" s="99">
        <v>-10</v>
      </c>
      <c r="N5" s="115" t="s">
        <v>135</v>
      </c>
      <c r="O5" s="122">
        <f t="shared" si="0"/>
        <v>1296.2962962962963</v>
      </c>
      <c r="P5" s="119">
        <v>81</v>
      </c>
      <c r="Q5" s="103">
        <v>105000</v>
      </c>
    </row>
    <row r="6" spans="1:17" x14ac:dyDescent="0.4">
      <c r="A6" s="55" t="s">
        <v>1</v>
      </c>
      <c r="B6" s="146">
        <f>IF(B$2=0,0,(B$7*1+B$8*2+B$9*3)/B$2)</f>
        <v>1.9896907216494846</v>
      </c>
      <c r="C6" s="147"/>
      <c r="E6" s="63" t="s">
        <v>68</v>
      </c>
      <c r="F6" s="60" t="s">
        <v>24</v>
      </c>
      <c r="G6" s="47">
        <v>91</v>
      </c>
      <c r="H6" s="133">
        <f>IF(B$17=0,0,G6/B$17)</f>
        <v>0.41743119266055045</v>
      </c>
      <c r="I6" s="94">
        <v>2</v>
      </c>
      <c r="K6" s="38">
        <v>4</v>
      </c>
      <c r="L6" s="99">
        <v>40</v>
      </c>
      <c r="N6" s="115" t="s">
        <v>136</v>
      </c>
      <c r="O6" s="122">
        <f t="shared" si="0"/>
        <v>-1895.9459459459461</v>
      </c>
      <c r="P6" s="119">
        <v>74</v>
      </c>
      <c r="Q6" s="103">
        <v>-140300</v>
      </c>
    </row>
    <row r="7" spans="1:17" x14ac:dyDescent="0.4">
      <c r="A7" s="55" t="s">
        <v>2</v>
      </c>
      <c r="B7" s="47">
        <v>33</v>
      </c>
      <c r="C7" s="39">
        <f>IF(B$2=0,0,B7/B$2)</f>
        <v>0.34020618556701032</v>
      </c>
      <c r="E7" s="63" t="s">
        <v>69</v>
      </c>
      <c r="F7" s="60" t="s">
        <v>12</v>
      </c>
      <c r="G7" s="47">
        <v>73</v>
      </c>
      <c r="H7" s="133">
        <f>IF(B$17=0,0,G7/B$17)</f>
        <v>0.33486238532110091</v>
      </c>
      <c r="I7" s="94">
        <v>6</v>
      </c>
      <c r="K7" s="38">
        <v>5</v>
      </c>
      <c r="L7" s="99">
        <v>35.4</v>
      </c>
      <c r="N7" s="116" t="s">
        <v>137</v>
      </c>
      <c r="O7" s="123">
        <f t="shared" si="0"/>
        <v>793.44262295081967</v>
      </c>
      <c r="P7" s="120">
        <v>61</v>
      </c>
      <c r="Q7" s="104">
        <v>48400</v>
      </c>
    </row>
    <row r="8" spans="1:17" x14ac:dyDescent="0.4">
      <c r="A8" s="55" t="s">
        <v>3</v>
      </c>
      <c r="B8" s="47">
        <v>32</v>
      </c>
      <c r="C8" s="39">
        <f>IF(B$2=0,0,B8/B$2)</f>
        <v>0.32989690721649484</v>
      </c>
      <c r="E8" s="63" t="s">
        <v>70</v>
      </c>
      <c r="F8" s="60" t="s">
        <v>25</v>
      </c>
      <c r="G8" s="47">
        <v>35</v>
      </c>
      <c r="H8" s="133">
        <f>IF(B$17=0,0,G8/B$17)</f>
        <v>0.16055045871559634</v>
      </c>
      <c r="I8" s="94">
        <v>9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ref="C9" si="1">IF(B$2=0,0,B9/B$2)</f>
        <v>0.32989690721649484</v>
      </c>
      <c r="E9" s="63" t="s">
        <v>66</v>
      </c>
      <c r="F9" s="60" t="s">
        <v>22</v>
      </c>
      <c r="G9" s="47">
        <v>25</v>
      </c>
      <c r="H9" s="133">
        <f>IF(B$17=0,0,G9/B$17)</f>
        <v>0.11467889908256881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0.13402061855670103</v>
      </c>
      <c r="E10" s="63" t="s">
        <v>90</v>
      </c>
      <c r="F10" s="60" t="s">
        <v>45</v>
      </c>
      <c r="G10" s="47">
        <v>24</v>
      </c>
      <c r="H10" s="133">
        <f>IF(B$17=0,0,G10/B$17)</f>
        <v>0.11009174311926606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-8.6303030303030308</v>
      </c>
      <c r="P10" s="118">
        <v>33</v>
      </c>
      <c r="Q10" s="106">
        <v>-284.8</v>
      </c>
    </row>
    <row r="11" spans="1:17" x14ac:dyDescent="0.4">
      <c r="A11" s="56" t="s">
        <v>140</v>
      </c>
      <c r="B11" s="48">
        <v>11</v>
      </c>
      <c r="C11" s="40">
        <f>IF(B$2=0,0,B11/B$2)</f>
        <v>0.1134020618556701</v>
      </c>
      <c r="E11" s="63" t="s">
        <v>71</v>
      </c>
      <c r="F11" s="60" t="s">
        <v>26</v>
      </c>
      <c r="G11" s="47">
        <v>16</v>
      </c>
      <c r="H11" s="133">
        <f>IF(B$17=0,0,G11/B$17)</f>
        <v>7.3394495412844041E-2</v>
      </c>
      <c r="I11" s="94">
        <v>9</v>
      </c>
      <c r="K11" s="38">
        <v>9</v>
      </c>
      <c r="L11" s="99">
        <v>-128.6</v>
      </c>
      <c r="N11" s="115" t="s">
        <v>165</v>
      </c>
      <c r="O11" s="125">
        <f>IF(P11=0,0,Q11/P11)</f>
        <v>6.8944444444444439</v>
      </c>
      <c r="P11" s="119">
        <v>36</v>
      </c>
      <c r="Q11" s="107">
        <v>248.2</v>
      </c>
    </row>
    <row r="12" spans="1:17" x14ac:dyDescent="0.4">
      <c r="A12" s="57" t="s">
        <v>160</v>
      </c>
      <c r="B12" s="49">
        <v>7</v>
      </c>
      <c r="C12" s="42">
        <f>IF(B$2=0,0,B12/B$2)</f>
        <v>7.2164948453608241E-2</v>
      </c>
      <c r="E12" s="63" t="s">
        <v>72</v>
      </c>
      <c r="F12" s="60" t="s">
        <v>27</v>
      </c>
      <c r="G12" s="47">
        <v>16</v>
      </c>
      <c r="H12" s="133">
        <f>IF(B$17=0,0,G12/B$17)</f>
        <v>7.3394495412844041E-2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2.0142857142857138</v>
      </c>
      <c r="P12" s="120">
        <v>28</v>
      </c>
      <c r="Q12" s="108">
        <v>56.399999999999991</v>
      </c>
    </row>
    <row r="13" spans="1:17" x14ac:dyDescent="0.4">
      <c r="A13" s="58" t="s">
        <v>122</v>
      </c>
      <c r="B13" s="50">
        <v>220</v>
      </c>
      <c r="C13" s="44">
        <f>IF(B$3=0,0,B13/B$3)</f>
        <v>0.27742749054224464</v>
      </c>
      <c r="E13" s="63" t="s">
        <v>84</v>
      </c>
      <c r="F13" s="60" t="s">
        <v>39</v>
      </c>
      <c r="G13" s="47">
        <v>12</v>
      </c>
      <c r="H13" s="133">
        <f>IF(B$17=0,0,G13/B$17)</f>
        <v>5.5045871559633031E-2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145</v>
      </c>
      <c r="C14" s="39">
        <f>IF(B$3=0,0,B14/B$3)</f>
        <v>0.1828499369482976</v>
      </c>
      <c r="E14" s="63" t="s">
        <v>87</v>
      </c>
      <c r="F14" s="60" t="s">
        <v>42</v>
      </c>
      <c r="G14" s="47">
        <v>10</v>
      </c>
      <c r="H14" s="133">
        <f>IF(B$17=0,0,G14/B$17)</f>
        <v>4.5871559633027525E-2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134</v>
      </c>
      <c r="C15" s="37">
        <f>IF(B$13=0,0,B15/B$13)</f>
        <v>0.60909090909090913</v>
      </c>
      <c r="E15" s="63" t="s">
        <v>92</v>
      </c>
      <c r="F15" s="60" t="s">
        <v>47</v>
      </c>
      <c r="G15" s="47">
        <v>8</v>
      </c>
      <c r="H15" s="133">
        <f>IF(B$17=0,0,G15/B$17)</f>
        <v>3.669724770642202E-2</v>
      </c>
      <c r="I15" s="94">
        <v>2</v>
      </c>
      <c r="K15" s="38">
        <v>13</v>
      </c>
      <c r="L15" s="99">
        <v>-209.59999999999997</v>
      </c>
      <c r="N15" s="114" t="s">
        <v>271</v>
      </c>
      <c r="O15" s="124">
        <f>IF(P15=0,0,Q15/P15)</f>
        <v>45.8</v>
      </c>
      <c r="P15" s="118">
        <v>2</v>
      </c>
      <c r="Q15" s="106">
        <v>91.6</v>
      </c>
    </row>
    <row r="16" spans="1:17" x14ac:dyDescent="0.4">
      <c r="A16" s="54" t="s">
        <v>125</v>
      </c>
      <c r="B16" s="46">
        <v>49</v>
      </c>
      <c r="C16" s="37">
        <f>IF(B$14=0,0,B16/B$14)</f>
        <v>0.33793103448275863</v>
      </c>
      <c r="E16" s="63" t="s">
        <v>82</v>
      </c>
      <c r="F16" s="60" t="s">
        <v>37</v>
      </c>
      <c r="G16" s="47">
        <v>7</v>
      </c>
      <c r="H16" s="133">
        <f>IF(B$17=0,0,G16/B$17)</f>
        <v>3.2110091743119268E-2</v>
      </c>
      <c r="I16" s="94">
        <v>3</v>
      </c>
      <c r="K16" s="38">
        <v>14</v>
      </c>
      <c r="L16" s="99">
        <v>-178.49999999999997</v>
      </c>
      <c r="N16" s="115" t="s">
        <v>171</v>
      </c>
      <c r="O16" s="125">
        <f>IF(P16=0,0,Q16/P16)</f>
        <v>37.686363636363645</v>
      </c>
      <c r="P16" s="119">
        <v>22</v>
      </c>
      <c r="Q16" s="107">
        <v>829.10000000000014</v>
      </c>
    </row>
    <row r="17" spans="1:17" x14ac:dyDescent="0.4">
      <c r="A17" s="54" t="s">
        <v>10</v>
      </c>
      <c r="B17" s="46">
        <f>B19+B18</f>
        <v>218</v>
      </c>
      <c r="C17" s="37">
        <f>IF(B$3=0,0,B17/B$3)</f>
        <v>0.27490542244640603</v>
      </c>
      <c r="E17" s="63" t="s">
        <v>79</v>
      </c>
      <c r="F17" s="60" t="s">
        <v>34</v>
      </c>
      <c r="G17" s="47">
        <v>6</v>
      </c>
      <c r="H17" s="133">
        <f>IF(B$17=0,0,G17/B$17)</f>
        <v>2.7522935779816515E-2</v>
      </c>
      <c r="I17" s="94">
        <v>6</v>
      </c>
      <c r="K17" s="38">
        <v>15</v>
      </c>
      <c r="L17" s="99">
        <v>-146.19999999999999</v>
      </c>
      <c r="N17" s="115" t="s">
        <v>173</v>
      </c>
      <c r="O17" s="125">
        <f>IF(P17=0,0,Q17/P17)</f>
        <v>25.122222222222224</v>
      </c>
      <c r="P17" s="119">
        <v>9</v>
      </c>
      <c r="Q17" s="107">
        <v>226.10000000000002</v>
      </c>
    </row>
    <row r="18" spans="1:17" x14ac:dyDescent="0.4">
      <c r="A18" s="55" t="s">
        <v>12</v>
      </c>
      <c r="B18" s="47">
        <v>100</v>
      </c>
      <c r="C18" s="39">
        <f>IF(B$17=0,0,B18/B$17)</f>
        <v>0.45871559633027525</v>
      </c>
      <c r="E18" s="63" t="s">
        <v>86</v>
      </c>
      <c r="F18" s="60" t="s">
        <v>41</v>
      </c>
      <c r="G18" s="47">
        <v>4</v>
      </c>
      <c r="H18" s="133">
        <f>IF(B$17=0,0,G18/B$17)</f>
        <v>1.834862385321101E-2</v>
      </c>
      <c r="I18" s="94">
        <v>1</v>
      </c>
      <c r="K18" s="38">
        <v>16</v>
      </c>
      <c r="L18" s="99">
        <v>-153.29999999999998</v>
      </c>
      <c r="N18" s="115" t="s">
        <v>184</v>
      </c>
      <c r="O18" s="125">
        <f>IF(P18=0,0,Q18/P18)</f>
        <v>4.8666666666666698</v>
      </c>
      <c r="P18" s="119">
        <v>6</v>
      </c>
      <c r="Q18" s="107">
        <v>29.200000000000017</v>
      </c>
    </row>
    <row r="19" spans="1:17" x14ac:dyDescent="0.4">
      <c r="A19" s="55" t="s">
        <v>11</v>
      </c>
      <c r="B19" s="47">
        <v>118</v>
      </c>
      <c r="C19" s="39">
        <f>IF(B$17=0,0,B19/B$17)</f>
        <v>0.54128440366972475</v>
      </c>
      <c r="E19" s="63" t="s">
        <v>80</v>
      </c>
      <c r="F19" s="60" t="s">
        <v>35</v>
      </c>
      <c r="G19" s="47">
        <v>3</v>
      </c>
      <c r="H19" s="133">
        <f>IF(B$17=0,0,G19/B$17)</f>
        <v>1.3761467889908258E-2</v>
      </c>
      <c r="I19" s="94">
        <v>9</v>
      </c>
      <c r="K19" s="38">
        <v>17</v>
      </c>
      <c r="L19" s="99">
        <v>-161.19999999999999</v>
      </c>
      <c r="N19" s="115" t="s">
        <v>128</v>
      </c>
      <c r="O19" s="125">
        <f>IF(P19=0,0,Q19/P19)</f>
        <v>1.0906250000000004</v>
      </c>
      <c r="P19" s="119">
        <v>32</v>
      </c>
      <c r="Q19" s="107">
        <v>34.900000000000013</v>
      </c>
    </row>
    <row r="20" spans="1:17" x14ac:dyDescent="0.4">
      <c r="A20" s="55" t="s">
        <v>13</v>
      </c>
      <c r="B20" s="47">
        <v>119</v>
      </c>
      <c r="C20" s="39">
        <f>IF(B$3=0,0,B20/B$3)</f>
        <v>0.15006305170239598</v>
      </c>
      <c r="E20" s="63" t="s">
        <v>76</v>
      </c>
      <c r="F20" s="60" t="s">
        <v>31</v>
      </c>
      <c r="G20" s="47">
        <v>2</v>
      </c>
      <c r="H20" s="133">
        <f>IF(B$17=0,0,G20/B$17)</f>
        <v>9.1743119266055051E-3</v>
      </c>
      <c r="I20" s="94">
        <v>4</v>
      </c>
      <c r="K20" s="38">
        <v>18</v>
      </c>
      <c r="L20" s="99">
        <v>-159</v>
      </c>
      <c r="N20" s="115" t="s">
        <v>200</v>
      </c>
      <c r="O20" s="125">
        <f>IF(P20=0,0,Q20/P20)</f>
        <v>-0.89999999999999858</v>
      </c>
      <c r="P20" s="119">
        <v>9</v>
      </c>
      <c r="Q20" s="107">
        <v>-8.0999999999999872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2</v>
      </c>
      <c r="H21" s="133">
        <f>IF(B$17=0,0,G21/B$17)</f>
        <v>9.1743119266055051E-3</v>
      </c>
      <c r="I21" s="94">
        <v>4</v>
      </c>
      <c r="K21" s="38">
        <v>19</v>
      </c>
      <c r="L21" s="99">
        <v>-235.6</v>
      </c>
      <c r="N21" s="115" t="s">
        <v>172</v>
      </c>
      <c r="O21" s="125">
        <f>IF(P21=0,0,Q21/P21)</f>
        <v>-2.2741935483870979</v>
      </c>
      <c r="P21" s="119">
        <v>31</v>
      </c>
      <c r="Q21" s="107">
        <v>-70.500000000000028</v>
      </c>
    </row>
    <row r="22" spans="1:17" x14ac:dyDescent="0.4">
      <c r="A22" s="55" t="s">
        <v>192</v>
      </c>
      <c r="B22" s="47">
        <v>45</v>
      </c>
      <c r="C22" s="135">
        <v>2</v>
      </c>
      <c r="E22" s="63" t="s">
        <v>91</v>
      </c>
      <c r="F22" s="60" t="s">
        <v>46</v>
      </c>
      <c r="G22" s="47">
        <v>2</v>
      </c>
      <c r="H22" s="133">
        <f>IF(B$17=0,0,G22/B$17)</f>
        <v>9.1743119266055051E-3</v>
      </c>
      <c r="I22" s="94">
        <v>1</v>
      </c>
      <c r="K22" s="38">
        <v>20</v>
      </c>
      <c r="L22" s="99">
        <v>-200.8</v>
      </c>
      <c r="N22" s="115" t="s">
        <v>129</v>
      </c>
      <c r="O22" s="125">
        <f>IF(P22=0,0,Q22/P22)</f>
        <v>-3.0875000000000008</v>
      </c>
      <c r="P22" s="119">
        <v>40</v>
      </c>
      <c r="Q22" s="107">
        <v>-123.50000000000003</v>
      </c>
    </row>
    <row r="23" spans="1:17" x14ac:dyDescent="0.4">
      <c r="A23" s="55" t="s">
        <v>5</v>
      </c>
      <c r="B23" s="51">
        <f>IF(B$17=0,0,C23/B$17)</f>
        <v>8802.2935779816507</v>
      </c>
      <c r="C23" s="41">
        <v>1918900</v>
      </c>
      <c r="E23" s="63" t="s">
        <v>75</v>
      </c>
      <c r="F23" s="60" t="s">
        <v>30</v>
      </c>
      <c r="G23" s="47">
        <v>1</v>
      </c>
      <c r="H23" s="133">
        <f>IF(B$17=0,0,G23/B$17)</f>
        <v>4.5871559633027525E-3</v>
      </c>
      <c r="I23" s="94">
        <v>5</v>
      </c>
      <c r="K23" s="38">
        <v>21</v>
      </c>
      <c r="L23" s="99">
        <v>-188.60000000000002</v>
      </c>
      <c r="N23" s="115" t="s">
        <v>127</v>
      </c>
      <c r="O23" s="125">
        <f>IF(P23=0,0,Q23/P23)</f>
        <v>-20.307500000000008</v>
      </c>
      <c r="P23" s="119">
        <v>40</v>
      </c>
      <c r="Q23" s="107">
        <v>-812.3000000000003</v>
      </c>
    </row>
    <row r="24" spans="1:17" x14ac:dyDescent="0.4">
      <c r="A24" s="57" t="s">
        <v>14</v>
      </c>
      <c r="B24" s="52">
        <f>IF(B$20=0,0,C24/B$20)</f>
        <v>-7187.3949579831933</v>
      </c>
      <c r="C24" s="45">
        <v>-855300</v>
      </c>
      <c r="E24" s="63" t="s">
        <v>93</v>
      </c>
      <c r="F24" s="60" t="s">
        <v>48</v>
      </c>
      <c r="G24" s="47">
        <v>1</v>
      </c>
      <c r="H24" s="133">
        <f>IF(B$17=0,0,G24/B$17)</f>
        <v>4.5871559633027525E-3</v>
      </c>
      <c r="I24" s="94">
        <v>3</v>
      </c>
      <c r="K24" s="38">
        <v>22</v>
      </c>
      <c r="L24" s="99">
        <v>-142.60000000000002</v>
      </c>
      <c r="N24" s="115" t="s">
        <v>183</v>
      </c>
      <c r="O24" s="125">
        <f>IF(P24=0,0,Q24/P24)</f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4.5871559633027525E-3</v>
      </c>
      <c r="I25" s="94">
        <v>2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102</v>
      </c>
      <c r="F26" s="60" t="s">
        <v>57</v>
      </c>
      <c r="G26" s="47">
        <v>1</v>
      </c>
      <c r="H26" s="133">
        <f>IF(B$17=0,0,G26/B$17)</f>
        <v>4.5871559633027525E-3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3.7831021437578815E-3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  <row r="91" spans="11:12" x14ac:dyDescent="0.4">
      <c r="K91" s="38">
        <v>89</v>
      </c>
      <c r="L91" s="99">
        <v>-75.500000000000071</v>
      </c>
    </row>
    <row r="92" spans="11:12" x14ac:dyDescent="0.4">
      <c r="K92" s="38">
        <v>90</v>
      </c>
      <c r="L92" s="99">
        <v>-66.500000000000071</v>
      </c>
    </row>
    <row r="93" spans="11:12" x14ac:dyDescent="0.4">
      <c r="K93" s="38">
        <v>91</v>
      </c>
      <c r="L93" s="99">
        <v>-39.600000000000072</v>
      </c>
    </row>
    <row r="94" spans="11:12" x14ac:dyDescent="0.4">
      <c r="K94" s="38">
        <v>92</v>
      </c>
      <c r="L94" s="99">
        <v>-0.7000000000000739</v>
      </c>
    </row>
    <row r="95" spans="11:12" x14ac:dyDescent="0.4">
      <c r="K95" s="38">
        <v>93</v>
      </c>
      <c r="L95" s="99">
        <v>29.599999999999927</v>
      </c>
    </row>
    <row r="96" spans="11:12" x14ac:dyDescent="0.4">
      <c r="K96" s="38">
        <v>94</v>
      </c>
      <c r="L96" s="99">
        <v>57.299999999999926</v>
      </c>
    </row>
    <row r="97" spans="11:12" x14ac:dyDescent="0.4">
      <c r="K97" s="38">
        <v>95</v>
      </c>
      <c r="L97" s="99">
        <v>47.299999999999926</v>
      </c>
    </row>
    <row r="98" spans="11:12" x14ac:dyDescent="0.4">
      <c r="K98" s="38">
        <v>96</v>
      </c>
      <c r="L98" s="99">
        <v>48.899999999999928</v>
      </c>
    </row>
    <row r="99" spans="11:12" x14ac:dyDescent="0.4">
      <c r="K99" s="38">
        <v>97</v>
      </c>
      <c r="L99" s="99">
        <v>19.799999999999926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FE0D2-114B-4B59-87BC-2D69547E56B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14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9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D1226-BDF4-44F2-9F16-2BCA27D3D284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24</v>
      </c>
      <c r="C2" s="151"/>
      <c r="E2" s="62" t="s">
        <v>65</v>
      </c>
      <c r="F2" s="59" t="s">
        <v>21</v>
      </c>
      <c r="G2" s="46">
        <v>27</v>
      </c>
      <c r="H2" s="132">
        <f>IF(B$17=0,0,G2/B$17)</f>
        <v>0.54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2">
        <v>181</v>
      </c>
      <c r="C3" s="153"/>
      <c r="E3" s="63" t="s">
        <v>66</v>
      </c>
      <c r="F3" s="60" t="s">
        <v>22</v>
      </c>
      <c r="G3" s="47">
        <v>4</v>
      </c>
      <c r="H3" s="133">
        <f>IF(B$17=0,0,G3/B$17)</f>
        <v>0.08</v>
      </c>
      <c r="I3" s="94">
        <v>9</v>
      </c>
      <c r="K3" s="38">
        <v>1</v>
      </c>
      <c r="L3" s="99">
        <v>-43.7</v>
      </c>
      <c r="N3" s="115" t="s">
        <v>133</v>
      </c>
      <c r="O3" s="122">
        <f t="shared" si="0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4">
        <v>-300.5</v>
      </c>
      <c r="C4" s="155"/>
      <c r="E4" s="63" t="s">
        <v>67</v>
      </c>
      <c r="F4" s="60" t="s">
        <v>23</v>
      </c>
      <c r="G4" s="47">
        <v>43</v>
      </c>
      <c r="H4" s="133">
        <f>IF(B$17=0,0,G4/B$17)</f>
        <v>0.86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6">
        <f>IF(B$2=0,0,B$4/B$2)</f>
        <v>-12.520833333333334</v>
      </c>
      <c r="C5" s="157"/>
      <c r="E5" s="63" t="s">
        <v>68</v>
      </c>
      <c r="F5" s="60" t="s">
        <v>24</v>
      </c>
      <c r="G5" s="47">
        <v>12</v>
      </c>
      <c r="H5" s="133">
        <f>IF(B$17=0,0,G5/B$17)</f>
        <v>0.24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>IF(B$2=0,0,B7/B$2)</f>
        <v>0.33333333333333331</v>
      </c>
      <c r="E7" s="63" t="s">
        <v>70</v>
      </c>
      <c r="F7" s="60" t="s">
        <v>25</v>
      </c>
      <c r="G7" s="47">
        <v>8</v>
      </c>
      <c r="H7" s="133">
        <f>IF(B$17=0,0,G7/B$17)</f>
        <v>0.16</v>
      </c>
      <c r="I7" s="94">
        <v>10</v>
      </c>
      <c r="K7" s="38">
        <v>5</v>
      </c>
      <c r="L7" s="99">
        <v>-121</v>
      </c>
      <c r="N7" s="116" t="s">
        <v>137</v>
      </c>
      <c r="O7" s="123">
        <f t="shared" si="0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>IF(B$2=0,0,B8/B$2)</f>
        <v>0.125</v>
      </c>
      <c r="E8" s="63" t="s">
        <v>71</v>
      </c>
      <c r="F8" s="60" t="s">
        <v>26</v>
      </c>
      <c r="G8" s="47">
        <v>8</v>
      </c>
      <c r="H8" s="133">
        <f>IF(B$17=0,0,G8/B$17)</f>
        <v>0.16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0.54166666666666663</v>
      </c>
      <c r="E9" s="63" t="s">
        <v>72</v>
      </c>
      <c r="F9" s="60" t="s">
        <v>27</v>
      </c>
      <c r="G9" s="47">
        <v>3</v>
      </c>
      <c r="H9" s="133">
        <f>IF(B$17=0,0,G9/B$17)</f>
        <v>0.06</v>
      </c>
      <c r="I9" s="94">
        <v>9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0.29166666666666669</v>
      </c>
      <c r="E10" s="63" t="s">
        <v>73</v>
      </c>
      <c r="F10" s="60" t="s">
        <v>28</v>
      </c>
      <c r="G10" s="47">
        <v>30</v>
      </c>
      <c r="H10" s="133">
        <f>IF(B$17=0,0,G10/B$17)</f>
        <v>0.6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>IF(B$2=0,0,B11/B$2)</f>
        <v>8.3333333333333329E-2</v>
      </c>
      <c r="E11" s="63" t="s">
        <v>74</v>
      </c>
      <c r="F11" s="60" t="s">
        <v>29</v>
      </c>
      <c r="G11" s="47">
        <v>1</v>
      </c>
      <c r="H11" s="133">
        <f>IF(B$17=0,0,G11/B$17)</f>
        <v>0.02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0.125</v>
      </c>
      <c r="E12" s="63" t="s">
        <v>75</v>
      </c>
      <c r="F12" s="60" t="s">
        <v>30</v>
      </c>
      <c r="G12" s="47">
        <v>1</v>
      </c>
      <c r="H12" s="133">
        <f>IF(B$17=0,0,G12/B$17)</f>
        <v>0.02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76</v>
      </c>
      <c r="F13" s="60" t="s">
        <v>31</v>
      </c>
      <c r="G13" s="47">
        <v>1</v>
      </c>
      <c r="H13" s="133">
        <f>IF(B$17=0,0,G13/B$17)</f>
        <v>0.02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K15" s="38">
        <v>13</v>
      </c>
      <c r="L15" s="99">
        <v>-144.79999999999998</v>
      </c>
      <c r="N15" s="114" t="s">
        <v>173</v>
      </c>
      <c r="O15" s="124">
        <f t="shared" ref="O15:O23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K16" s="38">
        <v>14</v>
      </c>
      <c r="L16" s="99">
        <v>-138.69999999999999</v>
      </c>
      <c r="N16" s="115" t="s">
        <v>129</v>
      </c>
      <c r="O16" s="125">
        <f t="shared" si="2"/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80</v>
      </c>
      <c r="F17" s="60" t="s">
        <v>35</v>
      </c>
      <c r="G17" s="47">
        <v>3</v>
      </c>
      <c r="H17" s="133">
        <f>IF(B$17=0,0,G17/B$17)</f>
        <v>0.06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2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82</v>
      </c>
      <c r="F19" s="60" t="s">
        <v>37</v>
      </c>
      <c r="G19" s="47">
        <v>1</v>
      </c>
      <c r="H19" s="133">
        <f>IF(B$17=0,0,G19/B$17)</f>
        <v>0.02</v>
      </c>
      <c r="I19" s="94">
        <v>9</v>
      </c>
      <c r="K19" s="38">
        <v>17</v>
      </c>
      <c r="L19" s="99">
        <v>-203.5</v>
      </c>
      <c r="N19" s="115" t="s">
        <v>128</v>
      </c>
      <c r="O19" s="125">
        <f t="shared" si="2"/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2"/>
        <v>-29.121428571428577</v>
      </c>
      <c r="P20" s="119">
        <v>14</v>
      </c>
      <c r="Q20" s="107">
        <v>-407.7000000000001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0.12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2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-189.2</v>
      </c>
      <c r="N23" s="115" t="s">
        <v>223</v>
      </c>
      <c r="O23" s="125">
        <f t="shared" si="2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</v>
      </c>
      <c r="I27" s="94">
        <v>11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0.02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0.32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ACAE-267F-43B3-BCB7-011BCC18A1EE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19</v>
      </c>
      <c r="C2" s="151"/>
      <c r="E2" s="62" t="s">
        <v>65</v>
      </c>
      <c r="F2" s="59" t="s">
        <v>21</v>
      </c>
      <c r="G2" s="46">
        <v>27</v>
      </c>
      <c r="H2" s="132">
        <f>IF(B$17=0,0,G2/B$17)</f>
        <v>0.45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-1789.4736842105262</v>
      </c>
      <c r="P2" s="118">
        <v>19</v>
      </c>
      <c r="Q2" s="102">
        <v>-34000</v>
      </c>
    </row>
    <row r="3" spans="1:17" x14ac:dyDescent="0.4">
      <c r="A3" s="55" t="s">
        <v>8</v>
      </c>
      <c r="B3" s="152">
        <v>175</v>
      </c>
      <c r="C3" s="153"/>
      <c r="E3" s="63" t="s">
        <v>66</v>
      </c>
      <c r="F3" s="60" t="s">
        <v>22</v>
      </c>
      <c r="G3" s="47">
        <v>5</v>
      </c>
      <c r="H3" s="133">
        <f>IF(B$17=0,0,G3/B$17)</f>
        <v>8.3333333333333329E-2</v>
      </c>
      <c r="I3" s="94">
        <v>7</v>
      </c>
      <c r="K3" s="38">
        <v>1</v>
      </c>
      <c r="L3" s="99">
        <v>-12.5</v>
      </c>
      <c r="N3" s="115" t="s">
        <v>133</v>
      </c>
      <c r="O3" s="122">
        <f t="shared" si="0"/>
        <v>2684.2105263157896</v>
      </c>
      <c r="P3" s="119">
        <v>19</v>
      </c>
      <c r="Q3" s="103">
        <v>51000</v>
      </c>
    </row>
    <row r="4" spans="1:17" x14ac:dyDescent="0.4">
      <c r="A4" s="55" t="s">
        <v>6</v>
      </c>
      <c r="B4" s="154">
        <v>94.299999999999983</v>
      </c>
      <c r="C4" s="155"/>
      <c r="E4" s="63" t="s">
        <v>67</v>
      </c>
      <c r="F4" s="60" t="s">
        <v>23</v>
      </c>
      <c r="G4" s="47">
        <v>32</v>
      </c>
      <c r="H4" s="133">
        <f>IF(B$17=0,0,G4/B$17)</f>
        <v>0.53333333333333333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-6316.666666666667</v>
      </c>
      <c r="P4" s="119">
        <v>18</v>
      </c>
      <c r="Q4" s="103">
        <v>-113700</v>
      </c>
    </row>
    <row r="5" spans="1:17" x14ac:dyDescent="0.4">
      <c r="A5" s="55" t="s">
        <v>7</v>
      </c>
      <c r="B5" s="156">
        <f>IF(B$2=0,0,B$4/B$2)</f>
        <v>4.9631578947368409</v>
      </c>
      <c r="C5" s="157"/>
      <c r="E5" s="63" t="s">
        <v>68</v>
      </c>
      <c r="F5" s="60" t="s">
        <v>24</v>
      </c>
      <c r="G5" s="47">
        <v>18</v>
      </c>
      <c r="H5" s="133">
        <f>IF(B$17=0,0,G5/B$17)</f>
        <v>0.3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-950</v>
      </c>
      <c r="P5" s="119">
        <v>18</v>
      </c>
      <c r="Q5" s="103">
        <v>-17100</v>
      </c>
    </row>
    <row r="6" spans="1:17" x14ac:dyDescent="0.4">
      <c r="A6" s="55" t="s">
        <v>1</v>
      </c>
      <c r="B6" s="146">
        <f>IF(B$2=0,0,(B$7*1+B$8*2+B$9*3)/B$2)</f>
        <v>1.8421052631578947</v>
      </c>
      <c r="C6" s="147"/>
      <c r="E6" s="63" t="s">
        <v>69</v>
      </c>
      <c r="F6" s="60" t="s">
        <v>12</v>
      </c>
      <c r="G6" s="47">
        <v>23</v>
      </c>
      <c r="H6" s="133">
        <f>IF(B$17=0,0,G6/B$17)</f>
        <v>0.38333333333333336</v>
      </c>
      <c r="I6" s="94">
        <v>2</v>
      </c>
      <c r="K6" s="38">
        <v>4</v>
      </c>
      <c r="L6" s="99">
        <v>19.399999999999995</v>
      </c>
      <c r="N6" s="115" t="s">
        <v>136</v>
      </c>
      <c r="O6" s="122">
        <f t="shared" si="0"/>
        <v>9793.3333333333339</v>
      </c>
      <c r="P6" s="119">
        <v>15</v>
      </c>
      <c r="Q6" s="103">
        <v>146900</v>
      </c>
    </row>
    <row r="7" spans="1:17" x14ac:dyDescent="0.4">
      <c r="A7" s="55" t="s">
        <v>2</v>
      </c>
      <c r="B7" s="47">
        <v>7</v>
      </c>
      <c r="C7" s="39">
        <f>IF(B$2=0,0,B7/B$2)</f>
        <v>0.36842105263157893</v>
      </c>
      <c r="E7" s="63" t="s">
        <v>70</v>
      </c>
      <c r="F7" s="60" t="s">
        <v>25</v>
      </c>
      <c r="G7" s="47">
        <v>10</v>
      </c>
      <c r="H7" s="133">
        <f>IF(B$17=0,0,G7/B$17)</f>
        <v>0.16666666666666666</v>
      </c>
      <c r="I7" s="94">
        <v>5</v>
      </c>
      <c r="K7" s="38">
        <v>5</v>
      </c>
      <c r="L7" s="99">
        <v>-16.100000000000005</v>
      </c>
      <c r="N7" s="116" t="s">
        <v>137</v>
      </c>
      <c r="O7" s="123">
        <f t="shared" si="0"/>
        <v>1650</v>
      </c>
      <c r="P7" s="120">
        <v>14</v>
      </c>
      <c r="Q7" s="104">
        <v>23100</v>
      </c>
    </row>
    <row r="8" spans="1:17" x14ac:dyDescent="0.4">
      <c r="A8" s="55" t="s">
        <v>3</v>
      </c>
      <c r="B8" s="47">
        <v>8</v>
      </c>
      <c r="C8" s="39">
        <f>IF(B$2=0,0,B8/B$2)</f>
        <v>0.42105263157894735</v>
      </c>
      <c r="E8" s="63" t="s">
        <v>71</v>
      </c>
      <c r="F8" s="60" t="s">
        <v>26</v>
      </c>
      <c r="G8" s="47">
        <v>1</v>
      </c>
      <c r="H8" s="133">
        <f>IF(B$17=0,0,G8/B$17)</f>
        <v>1.6666666666666666E-2</v>
      </c>
      <c r="I8" s="94">
        <v>12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0.21052631578947367</v>
      </c>
      <c r="E9" s="63" t="s">
        <v>72</v>
      </c>
      <c r="F9" s="60" t="s">
        <v>27</v>
      </c>
      <c r="G9" s="47">
        <v>1</v>
      </c>
      <c r="H9" s="133">
        <f>IF(B$17=0,0,G9/B$17)</f>
        <v>1.6666666666666666E-2</v>
      </c>
      <c r="I9" s="94">
        <v>12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0.15789473684210525</v>
      </c>
      <c r="E10" s="63" t="s">
        <v>73</v>
      </c>
      <c r="F10" s="60" t="s">
        <v>28</v>
      </c>
      <c r="G10" s="47">
        <v>43</v>
      </c>
      <c r="H10" s="133">
        <f>IF(B$17=0,0,G10/B$17)</f>
        <v>0.71666666666666667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>IF(B$2=0,0,B11/B$2)</f>
        <v>5.2631578947368418E-2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15.639999999999997</v>
      </c>
      <c r="P11" s="119">
        <v>5</v>
      </c>
      <c r="Q11" s="107">
        <v>78.199999999999989</v>
      </c>
    </row>
    <row r="12" spans="1:17" x14ac:dyDescent="0.4">
      <c r="A12" s="57" t="s">
        <v>160</v>
      </c>
      <c r="B12" s="49">
        <v>2</v>
      </c>
      <c r="C12" s="42">
        <f>IF(B$2=0,0,B12/B$2)</f>
        <v>0.10526315789473684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">
      <c r="A13" s="58" t="s">
        <v>122</v>
      </c>
      <c r="B13" s="50">
        <v>43</v>
      </c>
      <c r="C13" s="44">
        <f>IF(B$3=0,0,B13/B$3)</f>
        <v>0.24571428571428572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55</v>
      </c>
      <c r="C14" s="39">
        <f>IF(B$3=0,0,B14/B$3)</f>
        <v>0.31428571428571428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27</v>
      </c>
      <c r="C15" s="37">
        <f>IF(B$13=0,0,B15/B$13)</f>
        <v>0.62790697674418605</v>
      </c>
      <c r="E15" s="63" t="s">
        <v>78</v>
      </c>
      <c r="F15" s="60" t="s">
        <v>33</v>
      </c>
      <c r="G15" s="47">
        <v>3</v>
      </c>
      <c r="H15" s="133">
        <f>IF(B$17=0,0,G15/B$17)</f>
        <v>0.05</v>
      </c>
      <c r="I15" s="94">
        <v>1</v>
      </c>
      <c r="K15" s="38">
        <v>13</v>
      </c>
      <c r="L15" s="99">
        <v>83.299999999999983</v>
      </c>
      <c r="N15" s="114" t="s">
        <v>173</v>
      </c>
      <c r="O15" s="124">
        <f t="shared" ref="O15:O22" si="2">IF(P15=0,0,Q15/P15)</f>
        <v>59.70000000000001</v>
      </c>
      <c r="P15" s="118">
        <v>3</v>
      </c>
      <c r="Q15" s="106">
        <v>179.10000000000002</v>
      </c>
    </row>
    <row r="16" spans="1:17" x14ac:dyDescent="0.4">
      <c r="A16" s="54" t="s">
        <v>125</v>
      </c>
      <c r="B16" s="46">
        <v>24</v>
      </c>
      <c r="C16" s="37">
        <f>IF(B$14=0,0,B16/B$14)</f>
        <v>0.43636363636363634</v>
      </c>
      <c r="E16" s="63" t="s">
        <v>79</v>
      </c>
      <c r="F16" s="60" t="s">
        <v>34</v>
      </c>
      <c r="G16" s="47">
        <v>4</v>
      </c>
      <c r="H16" s="133">
        <f>IF(B$17=0,0,G16/B$17)</f>
        <v>6.6666666666666666E-2</v>
      </c>
      <c r="I16" s="94">
        <v>2</v>
      </c>
      <c r="K16" s="38">
        <v>14</v>
      </c>
      <c r="L16" s="99">
        <v>114.99999999999999</v>
      </c>
      <c r="N16" s="115" t="s">
        <v>271</v>
      </c>
      <c r="O16" s="125">
        <f t="shared" si="2"/>
        <v>27.366666666666664</v>
      </c>
      <c r="P16" s="119">
        <v>3</v>
      </c>
      <c r="Q16" s="107">
        <v>82.1</v>
      </c>
    </row>
    <row r="17" spans="1:17" x14ac:dyDescent="0.4">
      <c r="A17" s="54" t="s">
        <v>10</v>
      </c>
      <c r="B17" s="46">
        <f>B19+B18</f>
        <v>60</v>
      </c>
      <c r="C17" s="37">
        <f>IF(B$3=0,0,B17/B$3)</f>
        <v>0.34285714285714286</v>
      </c>
      <c r="E17" s="63" t="s">
        <v>80</v>
      </c>
      <c r="F17" s="60" t="s">
        <v>35</v>
      </c>
      <c r="G17" s="47">
        <v>1</v>
      </c>
      <c r="H17" s="133">
        <f>IF(B$17=0,0,G17/B$17)</f>
        <v>1.6666666666666666E-2</v>
      </c>
      <c r="I17" s="94">
        <v>5</v>
      </c>
      <c r="K17" s="38">
        <v>15</v>
      </c>
      <c r="L17" s="99">
        <v>157.69999999999999</v>
      </c>
      <c r="N17" s="115" t="s">
        <v>172</v>
      </c>
      <c r="O17" s="125">
        <f t="shared" si="2"/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35</v>
      </c>
      <c r="C18" s="39">
        <f>IF(B$17=0,0,B18/B$17)</f>
        <v>0.58333333333333337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99.6</v>
      </c>
      <c r="N18" s="115" t="s">
        <v>127</v>
      </c>
      <c r="O18" s="125">
        <f t="shared" si="2"/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25</v>
      </c>
      <c r="C19" s="39">
        <f>IF(B$17=0,0,B19/B$17)</f>
        <v>0.41666666666666669</v>
      </c>
      <c r="E19" s="63" t="s">
        <v>82</v>
      </c>
      <c r="F19" s="60" t="s">
        <v>37</v>
      </c>
      <c r="G19" s="47">
        <v>1</v>
      </c>
      <c r="H19" s="133">
        <f>IF(B$17=0,0,G19/B$17)</f>
        <v>1.6666666666666666E-2</v>
      </c>
      <c r="I19" s="94">
        <v>10</v>
      </c>
      <c r="K19" s="38">
        <v>17</v>
      </c>
      <c r="L19" s="99">
        <v>112.39999999999999</v>
      </c>
      <c r="N19" s="115" t="s">
        <v>171</v>
      </c>
      <c r="O19" s="125">
        <f t="shared" si="2"/>
        <v>12.75</v>
      </c>
      <c r="P19" s="119">
        <v>6</v>
      </c>
      <c r="Q19" s="107">
        <v>76.5</v>
      </c>
    </row>
    <row r="20" spans="1:17" x14ac:dyDescent="0.4">
      <c r="A20" s="55" t="s">
        <v>13</v>
      </c>
      <c r="B20" s="47">
        <v>28</v>
      </c>
      <c r="C20" s="39">
        <f>IF(B$3=0,0,B20/B$3)</f>
        <v>0.16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45.399999999999991</v>
      </c>
      <c r="N20" s="115" t="s">
        <v>128</v>
      </c>
      <c r="O20" s="125">
        <f t="shared" si="2"/>
        <v>5.5000000000000018</v>
      </c>
      <c r="P20" s="119">
        <v>2</v>
      </c>
      <c r="Q20" s="107">
        <v>11.000000000000004</v>
      </c>
    </row>
    <row r="21" spans="1:17" x14ac:dyDescent="0.4">
      <c r="A21" s="55" t="s">
        <v>191</v>
      </c>
      <c r="B21" s="47">
        <v>7</v>
      </c>
      <c r="C21" s="135">
        <v>2</v>
      </c>
      <c r="E21" s="63" t="s">
        <v>84</v>
      </c>
      <c r="F21" s="60" t="s">
        <v>39</v>
      </c>
      <c r="G21" s="47">
        <v>3</v>
      </c>
      <c r="H21" s="133">
        <f>IF(B$17=0,0,G21/B$17)</f>
        <v>0.05</v>
      </c>
      <c r="I21" s="94">
        <v>6</v>
      </c>
      <c r="K21" s="38">
        <v>19</v>
      </c>
      <c r="L21" s="99">
        <v>94.299999999999983</v>
      </c>
      <c r="N21" s="115" t="s">
        <v>177</v>
      </c>
      <c r="O21" s="125">
        <f t="shared" si="2"/>
        <v>0.90000000000000258</v>
      </c>
      <c r="P21" s="119">
        <v>9</v>
      </c>
      <c r="Q21" s="107">
        <v>8.1000000000000227</v>
      </c>
    </row>
    <row r="22" spans="1:17" x14ac:dyDescent="0.4">
      <c r="A22" s="55" t="s">
        <v>192</v>
      </c>
      <c r="B22" s="47">
        <v>14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N22" s="115" t="s">
        <v>129</v>
      </c>
      <c r="O22" s="125">
        <f t="shared" si="2"/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8058.333333333333</v>
      </c>
      <c r="C23" s="41">
        <v>483500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-8367.8571428571431</v>
      </c>
      <c r="C24" s="45">
        <v>-234300</v>
      </c>
      <c r="E24" s="63" t="s">
        <v>87</v>
      </c>
      <c r="F24" s="60" t="s">
        <v>42</v>
      </c>
      <c r="G24" s="47">
        <v>7</v>
      </c>
      <c r="H24" s="133">
        <f>IF(B$17=0,0,G24/B$17)</f>
        <v>0.11666666666666667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106300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1.1428571428571429E-2</v>
      </c>
      <c r="E27" s="63" t="s">
        <v>90</v>
      </c>
      <c r="F27" s="60" t="s">
        <v>45</v>
      </c>
      <c r="G27" s="47">
        <v>9</v>
      </c>
      <c r="H27" s="133">
        <f>IF(B$17=0,0,G27/B$17)</f>
        <v>0.15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18</v>
      </c>
      <c r="H51" s="138">
        <f>IF(B$17=0,0,G51/B$17)</f>
        <v>0.3</v>
      </c>
      <c r="I51" s="139">
        <v>14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D449E-3599-439E-A753-9209FCC06FB1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14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8E87-5C66-4819-911F-4476543A35FE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65</v>
      </c>
      <c r="F2" s="59" t="s">
        <v>21</v>
      </c>
      <c r="G2" s="46">
        <v>4</v>
      </c>
      <c r="H2" s="132">
        <f>IF(B$17=0,0,G2/B$17)</f>
        <v>0.25</v>
      </c>
      <c r="I2" s="93">
        <v>14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6.25E-2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68</v>
      </c>
      <c r="F5" s="60" t="s">
        <v>24</v>
      </c>
      <c r="G5" s="47">
        <v>4</v>
      </c>
      <c r="H5" s="133">
        <f>IF(B$17=0,0,G5/B$17)</f>
        <v>0.25</v>
      </c>
      <c r="I5" s="94">
        <v>10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69</v>
      </c>
      <c r="F6" s="60" t="s">
        <v>12</v>
      </c>
      <c r="G6" s="47">
        <v>5</v>
      </c>
      <c r="H6" s="133">
        <f>IF(B$17=0,0,G6/B$17)</f>
        <v>0.3125</v>
      </c>
      <c r="I6" s="94">
        <v>7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6.25E-2</v>
      </c>
      <c r="I7" s="94">
        <v>13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71</v>
      </c>
      <c r="F8" s="60" t="s">
        <v>26</v>
      </c>
      <c r="G8" s="47">
        <v>1</v>
      </c>
      <c r="H8" s="133">
        <f>IF(B$17=0,0,G8/B$17)</f>
        <v>6.25E-2</v>
      </c>
      <c r="I8" s="94">
        <v>11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14</v>
      </c>
      <c r="H10" s="133">
        <f>IF(B$17=0,0,G10/B$17)</f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>IF(B$17=0,0,G16/B$17)</f>
        <v>6.25E-2</v>
      </c>
      <c r="I16" s="94">
        <v>3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>IF(B$17=0,0,G17/B$17)</f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>IF(B$17=0,0,G21/B$17)</f>
        <v>6.25E-2</v>
      </c>
      <c r="I21" s="94">
        <v>3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92100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>IF(B$17=0,0,G27/B$17)</f>
        <v>0.1875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0.125</v>
      </c>
      <c r="I50" s="94">
        <v>1</v>
      </c>
    </row>
    <row r="51" spans="5:9" x14ac:dyDescent="0.4">
      <c r="E51" s="136" t="s">
        <v>245</v>
      </c>
      <c r="F51" s="137" t="s">
        <v>246</v>
      </c>
      <c r="G51" s="48">
        <v>6</v>
      </c>
      <c r="H51" s="138">
        <f>IF(B$17=0,0,G51/B$17)</f>
        <v>0.375</v>
      </c>
      <c r="I51" s="139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C462E-AE1C-424B-85CC-510DF4460F11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65</v>
      </c>
      <c r="F2" s="59" t="s">
        <v>21</v>
      </c>
      <c r="G2" s="46">
        <v>7</v>
      </c>
      <c r="H2" s="132">
        <f>IF(B$17=0,0,G2/B$17)</f>
        <v>0.5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-5416.666666666667</v>
      </c>
      <c r="P2" s="118">
        <v>6</v>
      </c>
      <c r="Q2" s="102">
        <v>-32500</v>
      </c>
    </row>
    <row r="3" spans="1:17" x14ac:dyDescent="0.4">
      <c r="A3" s="55" t="s">
        <v>8</v>
      </c>
      <c r="B3" s="152">
        <v>56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-43.2</v>
      </c>
      <c r="N3" s="115" t="s">
        <v>133</v>
      </c>
      <c r="O3" s="122">
        <f t="shared" si="0"/>
        <v>-3366.6666666666665</v>
      </c>
      <c r="P3" s="119">
        <v>6</v>
      </c>
      <c r="Q3" s="103">
        <v>-20200</v>
      </c>
    </row>
    <row r="4" spans="1:17" x14ac:dyDescent="0.4">
      <c r="A4" s="55" t="s">
        <v>6</v>
      </c>
      <c r="B4" s="154">
        <v>-201.8</v>
      </c>
      <c r="C4" s="155"/>
      <c r="E4" s="63" t="s">
        <v>67</v>
      </c>
      <c r="F4" s="60" t="s">
        <v>23</v>
      </c>
      <c r="G4" s="47">
        <v>6</v>
      </c>
      <c r="H4" s="133">
        <f>IF(B$17=0,0,G4/B$17)</f>
        <v>0.42857142857142855</v>
      </c>
      <c r="I4" s="94">
        <v>14</v>
      </c>
      <c r="K4" s="38">
        <v>2</v>
      </c>
      <c r="L4" s="99">
        <v>-96.5</v>
      </c>
      <c r="N4" s="115" t="s">
        <v>134</v>
      </c>
      <c r="O4" s="122">
        <f t="shared" si="0"/>
        <v>360</v>
      </c>
      <c r="P4" s="119">
        <v>5</v>
      </c>
      <c r="Q4" s="103">
        <v>1800</v>
      </c>
    </row>
    <row r="5" spans="1:17" x14ac:dyDescent="0.4">
      <c r="A5" s="55" t="s">
        <v>7</v>
      </c>
      <c r="B5" s="156">
        <f>IF(B$2=0,0,B$4/B$2)</f>
        <v>-33.633333333333333</v>
      </c>
      <c r="C5" s="157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0"/>
        <v>5680</v>
      </c>
      <c r="P5" s="119">
        <v>5</v>
      </c>
      <c r="Q5" s="103">
        <v>28400</v>
      </c>
    </row>
    <row r="6" spans="1:17" x14ac:dyDescent="0.4">
      <c r="A6" s="55" t="s">
        <v>1</v>
      </c>
      <c r="B6" s="146">
        <f>IF(B$2=0,0,(B$7*1+B$8*2+B$9*3)/B$2)</f>
        <v>2.6666666666666665</v>
      </c>
      <c r="C6" s="147"/>
      <c r="E6" s="63" t="s">
        <v>69</v>
      </c>
      <c r="F6" s="60" t="s">
        <v>12</v>
      </c>
      <c r="G6" s="47">
        <v>4</v>
      </c>
      <c r="H6" s="133">
        <f>IF(B$17=0,0,G6/B$17)</f>
        <v>0.2857142857142857</v>
      </c>
      <c r="I6" s="94">
        <v>11</v>
      </c>
      <c r="K6" s="38">
        <v>4</v>
      </c>
      <c r="L6" s="99">
        <v>-134.1</v>
      </c>
      <c r="N6" s="115" t="s">
        <v>136</v>
      </c>
      <c r="O6" s="122">
        <f t="shared" si="0"/>
        <v>-6525</v>
      </c>
      <c r="P6" s="119">
        <v>4</v>
      </c>
      <c r="Q6" s="103">
        <v>-26100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3">
        <f>IF(B$17=0,0,G7/B$17)</f>
        <v>7.1428571428571425E-2</v>
      </c>
      <c r="I7" s="94">
        <v>12</v>
      </c>
      <c r="K7" s="38">
        <v>5</v>
      </c>
      <c r="L7" s="99">
        <v>-152</v>
      </c>
      <c r="N7" s="116" t="s">
        <v>137</v>
      </c>
      <c r="O7" s="123">
        <f t="shared" si="0"/>
        <v>-5675</v>
      </c>
      <c r="P7" s="120">
        <v>4</v>
      </c>
      <c r="Q7" s="104">
        <v>-22700</v>
      </c>
    </row>
    <row r="8" spans="1:17" x14ac:dyDescent="0.4">
      <c r="A8" s="55" t="s">
        <v>3</v>
      </c>
      <c r="B8" s="47">
        <v>2</v>
      </c>
      <c r="C8" s="39">
        <f>IF(B$2=0,0,B8/B$2)</f>
        <v>0.33333333333333331</v>
      </c>
      <c r="E8" s="63" t="s">
        <v>71</v>
      </c>
      <c r="F8" s="60" t="s">
        <v>26</v>
      </c>
      <c r="G8" s="47">
        <v>1</v>
      </c>
      <c r="H8" s="133">
        <f>IF(B$17=0,0,G8/B$17)</f>
        <v>7.1428571428571425E-2</v>
      </c>
      <c r="I8" s="94">
        <v>10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0.66666666666666663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0.16666666666666666</v>
      </c>
      <c r="E10" s="63" t="s">
        <v>73</v>
      </c>
      <c r="F10" s="60" t="s">
        <v>28</v>
      </c>
      <c r="G10" s="47">
        <v>7</v>
      </c>
      <c r="H10" s="133">
        <f>IF(B$17=0,0,G10/B$17)</f>
        <v>0.5</v>
      </c>
      <c r="I10" s="94">
        <v>10</v>
      </c>
      <c r="N10" s="114" t="s">
        <v>164</v>
      </c>
      <c r="O10" s="124">
        <f>IF(P10=0,0,Q10/P10)</f>
        <v>-23.274999999999999</v>
      </c>
      <c r="P10" s="118">
        <v>4</v>
      </c>
      <c r="Q10" s="106">
        <v>-93.1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10</v>
      </c>
      <c r="C13" s="44">
        <f>IF(B$3=0,0,B13/B$3)</f>
        <v>0.17857142857142858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0.35714285714285715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200</v>
      </c>
      <c r="O15" s="124">
        <f>IF(P15=0,0,Q15/P15)</f>
        <v>-27.366666666666664</v>
      </c>
      <c r="P15" s="118">
        <v>3</v>
      </c>
      <c r="Q15" s="106">
        <v>-82.1</v>
      </c>
    </row>
    <row r="16" spans="1:17" x14ac:dyDescent="0.4">
      <c r="A16" s="54" t="s">
        <v>125</v>
      </c>
      <c r="B16" s="46">
        <v>5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7.1428571428571425E-2</v>
      </c>
      <c r="I16" s="94">
        <v>1</v>
      </c>
      <c r="N16" s="115" t="s">
        <v>177</v>
      </c>
      <c r="O16" s="125">
        <f>IF(P16=0,0,Q16/P16)</f>
        <v>-45.800000000000004</v>
      </c>
      <c r="P16" s="119">
        <v>2</v>
      </c>
      <c r="Q16" s="107">
        <v>-91.600000000000009</v>
      </c>
    </row>
    <row r="17" spans="1:17" x14ac:dyDescent="0.4">
      <c r="A17" s="54" t="s">
        <v>10</v>
      </c>
      <c r="B17" s="46">
        <f>B19+B18</f>
        <v>14</v>
      </c>
      <c r="C17" s="37">
        <f>IF(B$3=0,0,B17/B$3)</f>
        <v>0.25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129</v>
      </c>
      <c r="O17" s="125">
        <f>IF(P17=0,0,Q17/P17)</f>
        <v>-52.959999999999994</v>
      </c>
      <c r="P17" s="119">
        <v>5</v>
      </c>
      <c r="Q17" s="107">
        <v>-264.79999999999995</v>
      </c>
    </row>
    <row r="18" spans="1:17" x14ac:dyDescent="0.4">
      <c r="A18" s="55" t="s">
        <v>12</v>
      </c>
      <c r="B18" s="47">
        <v>6</v>
      </c>
      <c r="C18" s="39">
        <f>IF(B$17=0,0,B18/B$17)</f>
        <v>0.42857142857142855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">
      <c r="A19" s="55" t="s">
        <v>11</v>
      </c>
      <c r="B19" s="47">
        <v>8</v>
      </c>
      <c r="C19" s="39">
        <f>IF(B$17=0,0,B19/B$17)</f>
        <v>0.5714285714285714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12</v>
      </c>
      <c r="C20" s="39">
        <f>IF(B$3=0,0,B20/B$3)</f>
        <v>0.21428571428571427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8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6614.2857142857147</v>
      </c>
      <c r="C23" s="41">
        <v>92600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-6825</v>
      </c>
      <c r="C24" s="45">
        <v>-81900</v>
      </c>
      <c r="E24" s="63" t="s">
        <v>87</v>
      </c>
      <c r="F24" s="60" t="s">
        <v>42</v>
      </c>
      <c r="G24" s="47">
        <v>1</v>
      </c>
      <c r="H24" s="133">
        <f>IF(B$17=0,0,G24/B$17)</f>
        <v>7.1428571428571425E-2</v>
      </c>
      <c r="I24" s="94">
        <v>4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52800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1</v>
      </c>
      <c r="C27" s="42">
        <f>IF(B$3=0,0,B27/B$3)</f>
        <v>1.7857142857142856E-2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7.1428571428571425E-2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9</v>
      </c>
      <c r="H51" s="138">
        <f>IF(B$17=0,0,G51/B$17)</f>
        <v>0.6428571428571429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87A8-BE2B-42A3-AF71-AEEE2BD79822}">
  <sheetPr codeName="Sheet33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7C37B-C67C-494A-A563-7DF7747F0872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ADF4C-CDCB-453E-BD90-B0185FC642FC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F47A5-4BDB-4AE4-98E3-9E0042B93A70}">
  <sheetPr codeName="Sheet26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8F870-C171-4491-B5D7-DA2630134B4F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901B2-ED97-4D84-A144-DAB8F99F8197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15F17-7E21-4F70-9FE1-8704985F4A2F}">
  <sheetPr codeName="Sheet20"/>
  <dimension ref="A1:Q10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  <row r="100" spans="1:17" x14ac:dyDescent="0.4">
      <c r="A100" s="69">
        <v>97</v>
      </c>
      <c r="B100" s="66">
        <v>19.799999999999926</v>
      </c>
      <c r="C100" s="66">
        <v>0.20412371134020543</v>
      </c>
      <c r="D100" s="71">
        <v>1.9896907216494846</v>
      </c>
      <c r="E100" s="67">
        <v>0.34020618556701032</v>
      </c>
      <c r="F100" s="67">
        <v>0.32989690721649484</v>
      </c>
      <c r="G100" s="67">
        <v>0.27490542244640603</v>
      </c>
      <c r="H100" s="67">
        <v>0.15006305170239598</v>
      </c>
      <c r="I100" s="68">
        <v>8802.2935779816507</v>
      </c>
      <c r="J100" s="68">
        <v>-7187.3949579831933</v>
      </c>
      <c r="K100" s="67">
        <v>0.13402061855670103</v>
      </c>
      <c r="L100" s="67">
        <v>0.1134020618556701</v>
      </c>
      <c r="M100" s="67">
        <v>0.27742749054224464</v>
      </c>
      <c r="N100" s="67">
        <v>0.1828499369482976</v>
      </c>
      <c r="O100" s="67">
        <v>0.60909090909090913</v>
      </c>
      <c r="P100" s="67">
        <v>0.33793103448275863</v>
      </c>
      <c r="Q100" s="67">
        <v>0.45871559633027525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EA65-AA77-4DF0-8DDF-183586E97343}">
  <sheetPr codeName="Sheet18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40688-FB11-4D5B-BE50-EFB2375ACB09}">
  <sheetPr codeName="Sheet16"/>
  <dimension ref="A1:Q10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  <row r="101" spans="1:17" x14ac:dyDescent="0.4">
      <c r="A101" s="69">
        <v>98</v>
      </c>
      <c r="B101" s="66">
        <v>-164.70000000000005</v>
      </c>
      <c r="C101" s="66">
        <v>-1.6806122448979597</v>
      </c>
      <c r="D101" s="71">
        <v>2.0510204081632653</v>
      </c>
      <c r="E101" s="67">
        <v>0.25510204081632654</v>
      </c>
      <c r="F101" s="67">
        <v>0.30612244897959184</v>
      </c>
      <c r="G101" s="67">
        <v>0.3385731559854897</v>
      </c>
      <c r="H101" s="67">
        <v>0.14147521160822249</v>
      </c>
      <c r="I101" s="68">
        <v>6786.7857142857147</v>
      </c>
      <c r="J101" s="68">
        <v>-8153.8461538461543</v>
      </c>
      <c r="K101" s="67">
        <v>5.1020408163265307E-2</v>
      </c>
      <c r="L101" s="67">
        <v>0.10204081632653061</v>
      </c>
      <c r="M101" s="67">
        <v>0.21402660217654171</v>
      </c>
      <c r="N101" s="67">
        <v>0.2841596130592503</v>
      </c>
      <c r="O101" s="67">
        <v>0.5536723163841808</v>
      </c>
      <c r="P101" s="67">
        <v>0.42553191489361702</v>
      </c>
      <c r="Q101" s="67">
        <v>0.4</v>
      </c>
    </row>
    <row r="102" spans="1:17" x14ac:dyDescent="0.4">
      <c r="A102" s="69">
        <v>99</v>
      </c>
      <c r="B102" s="66">
        <v>-172.90000000000003</v>
      </c>
      <c r="C102" s="66">
        <v>-1.7464646464646467</v>
      </c>
      <c r="D102" s="71">
        <v>2.0505050505050506</v>
      </c>
      <c r="E102" s="67">
        <v>0.25252525252525254</v>
      </c>
      <c r="F102" s="67">
        <v>0.30303030303030304</v>
      </c>
      <c r="G102" s="67">
        <v>0.33693045563549162</v>
      </c>
      <c r="H102" s="67">
        <v>0.14028776978417265</v>
      </c>
      <c r="I102" s="68">
        <v>6766.9039145907473</v>
      </c>
      <c r="J102" s="68">
        <v>-8153.8461538461543</v>
      </c>
      <c r="K102" s="67">
        <v>5.0505050505050504E-2</v>
      </c>
      <c r="L102" s="67">
        <v>0.10101010101010101</v>
      </c>
      <c r="M102" s="67">
        <v>0.21223021582733814</v>
      </c>
      <c r="N102" s="67">
        <v>0.28776978417266186</v>
      </c>
      <c r="O102" s="67">
        <v>0.5536723163841808</v>
      </c>
      <c r="P102" s="67">
        <v>0.42083333333333334</v>
      </c>
      <c r="Q102" s="67">
        <v>0.40213523131672596</v>
      </c>
    </row>
    <row r="103" spans="1:17" x14ac:dyDescent="0.4">
      <c r="A103" s="69">
        <v>100</v>
      </c>
      <c r="B103" s="66">
        <v>-177.80000000000004</v>
      </c>
      <c r="C103" s="66">
        <v>-1.7780000000000005</v>
      </c>
      <c r="D103" s="71">
        <v>2.0499999999999998</v>
      </c>
      <c r="E103" s="67">
        <v>0.25</v>
      </c>
      <c r="F103" s="67">
        <v>0.3</v>
      </c>
      <c r="G103" s="67">
        <v>0.33847980997624705</v>
      </c>
      <c r="H103" s="67">
        <v>0.14133016627078385</v>
      </c>
      <c r="I103" s="68">
        <v>6753.333333333333</v>
      </c>
      <c r="J103" s="68">
        <v>-8181.5126050420167</v>
      </c>
      <c r="K103" s="67">
        <v>0.05</v>
      </c>
      <c r="L103" s="67">
        <v>0.1</v>
      </c>
      <c r="M103" s="67">
        <v>0.21377672209026127</v>
      </c>
      <c r="N103" s="67">
        <v>0.28978622327790976</v>
      </c>
      <c r="O103" s="67">
        <v>0.55555555555555558</v>
      </c>
      <c r="P103" s="67">
        <v>0.42213114754098363</v>
      </c>
      <c r="Q103" s="67">
        <v>0.4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0AAF-3AB7-4131-9DFF-404881CD7E76}">
  <sheetPr codeName="Sheet14"/>
  <dimension ref="A1:Q10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  <row r="103" spans="1:17" x14ac:dyDescent="0.4">
      <c r="A103" s="69">
        <v>100</v>
      </c>
      <c r="B103" s="66">
        <v>-46.699999999999989</v>
      </c>
      <c r="C103" s="66">
        <v>-0.46699999999999986</v>
      </c>
      <c r="D103" s="71">
        <v>2.06</v>
      </c>
      <c r="E103" s="67">
        <v>0.3</v>
      </c>
      <c r="F103" s="67">
        <v>0.36</v>
      </c>
      <c r="G103" s="67">
        <v>0.28226779252110978</v>
      </c>
      <c r="H103" s="67">
        <v>0.1773220747889023</v>
      </c>
      <c r="I103" s="68">
        <v>9999.1452991452988</v>
      </c>
      <c r="J103" s="68">
        <v>-8448.299319727892</v>
      </c>
      <c r="K103" s="67">
        <v>0.11</v>
      </c>
      <c r="L103" s="67">
        <v>0.15</v>
      </c>
      <c r="M103" s="67">
        <v>0.28829915560916769</v>
      </c>
      <c r="N103" s="67">
        <v>0.19662243667068757</v>
      </c>
      <c r="O103" s="67">
        <v>0.56485355648535562</v>
      </c>
      <c r="P103" s="67">
        <v>0.40490797546012269</v>
      </c>
      <c r="Q103" s="67">
        <v>0.40598290598290598</v>
      </c>
    </row>
    <row r="104" spans="1:17" x14ac:dyDescent="0.4">
      <c r="A104" s="69">
        <v>101</v>
      </c>
      <c r="B104" s="66">
        <v>-17.099999999999987</v>
      </c>
      <c r="C104" s="66">
        <v>-0.16930693069306918</v>
      </c>
      <c r="D104" s="71">
        <v>2.0495049504950495</v>
      </c>
      <c r="E104" s="67">
        <v>0.30693069306930693</v>
      </c>
      <c r="F104" s="67">
        <v>0.35643564356435642</v>
      </c>
      <c r="G104" s="67">
        <v>0.28229665071770332</v>
      </c>
      <c r="H104" s="67">
        <v>0.17822966507177032</v>
      </c>
      <c r="I104" s="68">
        <v>10024.576271186441</v>
      </c>
      <c r="J104" s="68">
        <v>-8423.4899328859065</v>
      </c>
      <c r="K104" s="67">
        <v>0.10891089108910891</v>
      </c>
      <c r="L104" s="67">
        <v>0.14851485148514851</v>
      </c>
      <c r="M104" s="67">
        <v>0.28708133971291866</v>
      </c>
      <c r="N104" s="67">
        <v>0.19856459330143542</v>
      </c>
      <c r="O104" s="67">
        <v>0.5625</v>
      </c>
      <c r="P104" s="67">
        <v>0.40361445783132532</v>
      </c>
      <c r="Q104" s="67">
        <v>0.40677966101694918</v>
      </c>
    </row>
    <row r="105" spans="1:17" x14ac:dyDescent="0.4">
      <c r="A105" s="69">
        <v>102</v>
      </c>
      <c r="B105" s="66">
        <v>27.400000000000013</v>
      </c>
      <c r="C105" s="66">
        <v>0.26862745098039226</v>
      </c>
      <c r="D105" s="71">
        <v>2.0392156862745097</v>
      </c>
      <c r="E105" s="67">
        <v>0.31372549019607843</v>
      </c>
      <c r="F105" s="67">
        <v>0.35294117647058826</v>
      </c>
      <c r="G105" s="67">
        <v>0.28436018957345971</v>
      </c>
      <c r="H105" s="67">
        <v>0.17772511848341233</v>
      </c>
      <c r="I105" s="68">
        <v>10017.083333333334</v>
      </c>
      <c r="J105" s="68">
        <v>-8399.3333333333339</v>
      </c>
      <c r="K105" s="67">
        <v>0.10784313725490197</v>
      </c>
      <c r="L105" s="67">
        <v>0.14705882352941177</v>
      </c>
      <c r="M105" s="67">
        <v>0.28554502369668244</v>
      </c>
      <c r="N105" s="67">
        <v>0.1990521327014218</v>
      </c>
      <c r="O105" s="67">
        <v>0.56431535269709543</v>
      </c>
      <c r="P105" s="67">
        <v>0.40476190476190477</v>
      </c>
      <c r="Q105" s="67">
        <v>0.40416666666666667</v>
      </c>
    </row>
    <row r="106" spans="1:17" x14ac:dyDescent="0.4">
      <c r="A106" s="69">
        <v>103</v>
      </c>
      <c r="B106" s="66">
        <v>34.400000000000013</v>
      </c>
      <c r="C106" s="66">
        <v>0.33398058252427199</v>
      </c>
      <c r="D106" s="71">
        <v>2.0388349514563107</v>
      </c>
      <c r="E106" s="67">
        <v>0.31067961165048541</v>
      </c>
      <c r="F106" s="67">
        <v>0.34951456310679613</v>
      </c>
      <c r="G106" s="67">
        <v>0.2847058823529412</v>
      </c>
      <c r="H106" s="67">
        <v>0.17647058823529413</v>
      </c>
      <c r="I106" s="68">
        <v>10000.413223140496</v>
      </c>
      <c r="J106" s="68">
        <v>-8399.3333333333339</v>
      </c>
      <c r="K106" s="67">
        <v>0.10679611650485436</v>
      </c>
      <c r="L106" s="67">
        <v>0.14563106796116504</v>
      </c>
      <c r="M106" s="67">
        <v>0.28352941176470586</v>
      </c>
      <c r="N106" s="67">
        <v>0.1976470588235294</v>
      </c>
      <c r="O106" s="67">
        <v>0.56431535269709543</v>
      </c>
      <c r="P106" s="67">
        <v>0.40476190476190477</v>
      </c>
      <c r="Q106" s="67">
        <v>0.4049586776859504</v>
      </c>
    </row>
    <row r="107" spans="1:17" x14ac:dyDescent="0.4">
      <c r="A107" s="69">
        <v>104</v>
      </c>
      <c r="B107" s="66">
        <v>29.800000000000011</v>
      </c>
      <c r="C107" s="66">
        <v>0.28653846153846163</v>
      </c>
      <c r="D107" s="71">
        <v>2.0384615384615383</v>
      </c>
      <c r="E107" s="67">
        <v>0.30769230769230771</v>
      </c>
      <c r="F107" s="67">
        <v>0.34615384615384615</v>
      </c>
      <c r="G107" s="67">
        <v>0.28587962962962965</v>
      </c>
      <c r="H107" s="67">
        <v>0.17476851851851852</v>
      </c>
      <c r="I107" s="68">
        <v>9887.4493927125513</v>
      </c>
      <c r="J107" s="68">
        <v>-8369.5364238410602</v>
      </c>
      <c r="K107" s="67">
        <v>0.10576923076923077</v>
      </c>
      <c r="L107" s="67">
        <v>0.14423076923076922</v>
      </c>
      <c r="M107" s="67">
        <v>0.28356481481481483</v>
      </c>
      <c r="N107" s="67">
        <v>0.19675925925925927</v>
      </c>
      <c r="O107" s="67">
        <v>0.56326530612244896</v>
      </c>
      <c r="P107" s="67">
        <v>0.4</v>
      </c>
      <c r="Q107" s="67">
        <v>0.40485829959514169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03992-7F68-4A00-90DB-AB3044AE7802}">
  <sheetPr codeName="Sheet12"/>
  <dimension ref="A1:Q15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  <row r="134" spans="1:17" x14ac:dyDescent="0.4">
      <c r="A134" s="69">
        <v>131</v>
      </c>
      <c r="B134" s="66">
        <v>-938.50000000000011</v>
      </c>
      <c r="C134" s="66">
        <v>-7.1641221374045809</v>
      </c>
      <c r="D134" s="71">
        <v>2.0916030534351147</v>
      </c>
      <c r="E134" s="67">
        <v>0.31297709923664124</v>
      </c>
      <c r="F134" s="67">
        <v>0.40458015267175573</v>
      </c>
      <c r="G134" s="67">
        <v>0.27017225747960111</v>
      </c>
      <c r="H134" s="67">
        <v>0.17769718948322757</v>
      </c>
      <c r="I134" s="68">
        <v>8558.3892617449656</v>
      </c>
      <c r="J134" s="68">
        <v>-8792.8571428571431</v>
      </c>
      <c r="K134" s="67">
        <v>0.16793893129770993</v>
      </c>
      <c r="L134" s="67">
        <v>0.11450381679389313</v>
      </c>
      <c r="M134" s="67">
        <v>0.25929283771532186</v>
      </c>
      <c r="N134" s="67">
        <v>0.18041704442429737</v>
      </c>
      <c r="O134" s="67">
        <v>0.534965034965035</v>
      </c>
      <c r="P134" s="67">
        <v>0.32160804020100503</v>
      </c>
      <c r="Q134" s="67">
        <v>0.43624161073825501</v>
      </c>
    </row>
    <row r="135" spans="1:17" x14ac:dyDescent="0.4">
      <c r="A135" s="69">
        <v>132</v>
      </c>
      <c r="B135" s="66">
        <v>-967.90000000000009</v>
      </c>
      <c r="C135" s="66">
        <v>-7.332575757575758</v>
      </c>
      <c r="D135" s="71">
        <v>2.0984848484848486</v>
      </c>
      <c r="E135" s="67">
        <v>0.31060606060606061</v>
      </c>
      <c r="F135" s="67">
        <v>0.40909090909090912</v>
      </c>
      <c r="G135" s="67">
        <v>0.26936936936936939</v>
      </c>
      <c r="H135" s="67">
        <v>0.17747747747747747</v>
      </c>
      <c r="I135" s="68">
        <v>8555.5183946488287</v>
      </c>
      <c r="J135" s="68">
        <v>-8787.3096446700511</v>
      </c>
      <c r="K135" s="67">
        <v>0.16666666666666666</v>
      </c>
      <c r="L135" s="67">
        <v>0.11363636363636363</v>
      </c>
      <c r="M135" s="67">
        <v>0.25765765765765763</v>
      </c>
      <c r="N135" s="67">
        <v>0.18378378378378379</v>
      </c>
      <c r="O135" s="67">
        <v>0.534965034965035</v>
      </c>
      <c r="P135" s="67">
        <v>0.31862745098039214</v>
      </c>
      <c r="Q135" s="67">
        <v>0.43812709030100333</v>
      </c>
    </row>
    <row r="136" spans="1:17" x14ac:dyDescent="0.4">
      <c r="A136" s="69">
        <v>133</v>
      </c>
      <c r="B136" s="66">
        <v>-1016.2</v>
      </c>
      <c r="C136" s="66">
        <v>-7.6406015037593988</v>
      </c>
      <c r="D136" s="71">
        <v>2.1052631578947367</v>
      </c>
      <c r="E136" s="67">
        <v>0.30827067669172931</v>
      </c>
      <c r="F136" s="67">
        <v>0.41353383458646614</v>
      </c>
      <c r="G136" s="67">
        <v>0.26744186046511625</v>
      </c>
      <c r="H136" s="67">
        <v>0.17889087656529518</v>
      </c>
      <c r="I136" s="68">
        <v>8555.5183946488287</v>
      </c>
      <c r="J136" s="68">
        <v>-8740.5</v>
      </c>
      <c r="K136" s="67">
        <v>0.16541353383458646</v>
      </c>
      <c r="L136" s="67">
        <v>0.11278195488721804</v>
      </c>
      <c r="M136" s="67">
        <v>0.2558139534883721</v>
      </c>
      <c r="N136" s="67">
        <v>0.18515205724508049</v>
      </c>
      <c r="O136" s="67">
        <v>0.534965034965035</v>
      </c>
      <c r="P136" s="67">
        <v>0.3140096618357488</v>
      </c>
      <c r="Q136" s="67">
        <v>0.43812709030100333</v>
      </c>
    </row>
    <row r="137" spans="1:17" x14ac:dyDescent="0.4">
      <c r="A137" s="69">
        <v>134</v>
      </c>
      <c r="B137" s="66">
        <v>-1019.5</v>
      </c>
      <c r="C137" s="66">
        <v>-7.6082089552238807</v>
      </c>
      <c r="D137" s="71">
        <v>2.1044776119402986</v>
      </c>
      <c r="E137" s="67">
        <v>0.30597014925373134</v>
      </c>
      <c r="F137" s="67">
        <v>0.41044776119402987</v>
      </c>
      <c r="G137" s="67">
        <v>0.26885536823425021</v>
      </c>
      <c r="H137" s="67">
        <v>0.17923691215616683</v>
      </c>
      <c r="I137" s="68">
        <v>8540.924092409241</v>
      </c>
      <c r="J137" s="68">
        <v>-8726.2376237623757</v>
      </c>
      <c r="K137" s="67">
        <v>0.16417910447761194</v>
      </c>
      <c r="L137" s="67">
        <v>0.11194029850746269</v>
      </c>
      <c r="M137" s="67">
        <v>0.25554569653948533</v>
      </c>
      <c r="N137" s="67">
        <v>0.18633540372670807</v>
      </c>
      <c r="O137" s="67">
        <v>0.53819444444444442</v>
      </c>
      <c r="P137" s="67">
        <v>0.31904761904761902</v>
      </c>
      <c r="Q137" s="67">
        <v>0.43564356435643564</v>
      </c>
    </row>
    <row r="138" spans="1:17" x14ac:dyDescent="0.4">
      <c r="A138" s="69">
        <v>135</v>
      </c>
      <c r="B138" s="66">
        <v>-991.3</v>
      </c>
      <c r="C138" s="66">
        <v>-7.3429629629629627</v>
      </c>
      <c r="D138" s="71">
        <v>2.0962962962962961</v>
      </c>
      <c r="E138" s="67">
        <v>0.31111111111111112</v>
      </c>
      <c r="F138" s="67">
        <v>0.40740740740740738</v>
      </c>
      <c r="G138" s="67">
        <v>0.26919682259488087</v>
      </c>
      <c r="H138" s="67">
        <v>0.18005295675198588</v>
      </c>
      <c r="I138" s="68">
        <v>8541.3114754098369</v>
      </c>
      <c r="J138" s="68">
        <v>-8684.8039215686276</v>
      </c>
      <c r="K138" s="67">
        <v>0.16296296296296298</v>
      </c>
      <c r="L138" s="67">
        <v>0.1111111111111111</v>
      </c>
      <c r="M138" s="67">
        <v>0.25595763459841131</v>
      </c>
      <c r="N138" s="67">
        <v>0.18534863195057369</v>
      </c>
      <c r="O138" s="67">
        <v>0.54137931034482756</v>
      </c>
      <c r="P138" s="67">
        <v>0.31904761904761902</v>
      </c>
      <c r="Q138" s="67">
        <v>0.43606557377049182</v>
      </c>
    </row>
    <row r="139" spans="1:17" x14ac:dyDescent="0.4">
      <c r="A139" s="69">
        <v>136</v>
      </c>
      <c r="B139" s="66">
        <v>-995.5</v>
      </c>
      <c r="C139" s="66">
        <v>-7.319852941176471</v>
      </c>
      <c r="D139" s="71">
        <v>2.0955882352941178</v>
      </c>
      <c r="E139" s="67">
        <v>0.30882352941176472</v>
      </c>
      <c r="F139" s="67">
        <v>0.40441176470588236</v>
      </c>
      <c r="G139" s="67">
        <v>0.27017543859649124</v>
      </c>
      <c r="H139" s="67">
        <v>0.17894736842105263</v>
      </c>
      <c r="I139" s="68">
        <v>8486.6883116883109</v>
      </c>
      <c r="J139" s="68">
        <v>-8684.8039215686276</v>
      </c>
      <c r="K139" s="67">
        <v>0.16176470588235295</v>
      </c>
      <c r="L139" s="67">
        <v>0.11029411764705882</v>
      </c>
      <c r="M139" s="67">
        <v>0.256140350877193</v>
      </c>
      <c r="N139" s="67">
        <v>0.18684210526315789</v>
      </c>
      <c r="O139" s="67">
        <v>0.54109589041095896</v>
      </c>
      <c r="P139" s="67">
        <v>0.323943661971831</v>
      </c>
      <c r="Q139" s="67">
        <v>0.43181818181818182</v>
      </c>
    </row>
    <row r="140" spans="1:17" x14ac:dyDescent="0.4">
      <c r="A140" s="69">
        <v>137</v>
      </c>
      <c r="B140" s="66">
        <v>-998.4</v>
      </c>
      <c r="C140" s="66">
        <v>-7.287591240875912</v>
      </c>
      <c r="D140" s="71">
        <v>2.0948905109489053</v>
      </c>
      <c r="E140" s="67">
        <v>0.30656934306569344</v>
      </c>
      <c r="F140" s="67">
        <v>0.40145985401459855</v>
      </c>
      <c r="G140" s="67">
        <v>0.27050610820244331</v>
      </c>
      <c r="H140" s="67">
        <v>0.17975567190226877</v>
      </c>
      <c r="I140" s="68">
        <v>8467.0967741935492</v>
      </c>
      <c r="J140" s="68">
        <v>-8638.3495145631059</v>
      </c>
      <c r="K140" s="67">
        <v>0.16058394160583941</v>
      </c>
      <c r="L140" s="67">
        <v>0.10948905109489052</v>
      </c>
      <c r="M140" s="67">
        <v>0.25654450261780104</v>
      </c>
      <c r="N140" s="67">
        <v>0.18673647469458987</v>
      </c>
      <c r="O140" s="67">
        <v>0.54081632653061229</v>
      </c>
      <c r="P140" s="67">
        <v>0.32710280373831774</v>
      </c>
      <c r="Q140" s="67">
        <v>0.42903225806451611</v>
      </c>
    </row>
    <row r="141" spans="1:17" x14ac:dyDescent="0.4">
      <c r="A141" s="69">
        <v>138</v>
      </c>
      <c r="B141" s="66">
        <v>-1041.2</v>
      </c>
      <c r="C141" s="66">
        <v>-7.5449275362318842</v>
      </c>
      <c r="D141" s="71">
        <v>2.1014492753623188</v>
      </c>
      <c r="E141" s="67">
        <v>0.30434782608695654</v>
      </c>
      <c r="F141" s="67">
        <v>0.40579710144927539</v>
      </c>
      <c r="G141" s="67">
        <v>0.26973113616652211</v>
      </c>
      <c r="H141" s="67">
        <v>0.1795316565481353</v>
      </c>
      <c r="I141" s="68">
        <v>8456.5916398713834</v>
      </c>
      <c r="J141" s="68">
        <v>-8635.2657004830926</v>
      </c>
      <c r="K141" s="67">
        <v>0.15942028985507245</v>
      </c>
      <c r="L141" s="67">
        <v>0.10869565217391304</v>
      </c>
      <c r="M141" s="67">
        <v>0.25498699045967044</v>
      </c>
      <c r="N141" s="67">
        <v>0.18647007805724197</v>
      </c>
      <c r="O141" s="67">
        <v>0.54081632653061229</v>
      </c>
      <c r="P141" s="67">
        <v>0.32558139534883723</v>
      </c>
      <c r="Q141" s="67">
        <v>0.42765273311897106</v>
      </c>
    </row>
    <row r="142" spans="1:17" x14ac:dyDescent="0.4">
      <c r="A142" s="69">
        <v>139</v>
      </c>
      <c r="B142" s="66">
        <v>-1031.4000000000001</v>
      </c>
      <c r="C142" s="66">
        <v>-7.4201438848920871</v>
      </c>
      <c r="D142" s="71">
        <v>2.1007194244604315</v>
      </c>
      <c r="E142" s="67">
        <v>0.30215827338129497</v>
      </c>
      <c r="F142" s="67">
        <v>0.40287769784172661</v>
      </c>
      <c r="G142" s="67">
        <v>0.27131782945736432</v>
      </c>
      <c r="H142" s="67">
        <v>0.17915590008613264</v>
      </c>
      <c r="I142" s="68">
        <v>8415.2380952380954</v>
      </c>
      <c r="J142" s="68">
        <v>-8651.4423076923085</v>
      </c>
      <c r="K142" s="67">
        <v>0.15827338129496402</v>
      </c>
      <c r="L142" s="67">
        <v>0.1079136690647482</v>
      </c>
      <c r="M142" s="67">
        <v>0.2558139534883721</v>
      </c>
      <c r="N142" s="67">
        <v>0.18518518518518517</v>
      </c>
      <c r="O142" s="67">
        <v>0.54208754208754206</v>
      </c>
      <c r="P142" s="67">
        <v>0.32558139534883723</v>
      </c>
      <c r="Q142" s="67">
        <v>0.42857142857142855</v>
      </c>
    </row>
    <row r="143" spans="1:17" x14ac:dyDescent="0.4">
      <c r="A143" s="69">
        <v>140</v>
      </c>
      <c r="B143" s="66">
        <v>-1031.1000000000001</v>
      </c>
      <c r="C143" s="66">
        <v>-7.3650000000000011</v>
      </c>
      <c r="D143" s="71">
        <v>2.1</v>
      </c>
      <c r="E143" s="67">
        <v>0.3</v>
      </c>
      <c r="F143" s="67">
        <v>0.4</v>
      </c>
      <c r="G143" s="67">
        <v>0.27241673783091375</v>
      </c>
      <c r="H143" s="67">
        <v>0.17847993168232279</v>
      </c>
      <c r="I143" s="68">
        <v>8410.9717868338557</v>
      </c>
      <c r="J143" s="68">
        <v>-8667.4641148325354</v>
      </c>
      <c r="K143" s="67">
        <v>0.15714285714285714</v>
      </c>
      <c r="L143" s="67">
        <v>0.10714285714285714</v>
      </c>
      <c r="M143" s="67">
        <v>0.25533731853116992</v>
      </c>
      <c r="N143" s="67">
        <v>0.18616567036720752</v>
      </c>
      <c r="O143" s="67">
        <v>0.54515050167224077</v>
      </c>
      <c r="P143" s="67">
        <v>0.3256880733944954</v>
      </c>
      <c r="Q143" s="67">
        <v>0.42946708463949845</v>
      </c>
    </row>
    <row r="144" spans="1:17" x14ac:dyDescent="0.4">
      <c r="A144" s="69">
        <v>141</v>
      </c>
      <c r="B144" s="66">
        <v>-1065.2</v>
      </c>
      <c r="C144" s="66">
        <v>-7.5546099290780147</v>
      </c>
      <c r="D144" s="71">
        <v>2.1063829787234041</v>
      </c>
      <c r="E144" s="67">
        <v>0.2978723404255319</v>
      </c>
      <c r="F144" s="67">
        <v>0.40425531914893614</v>
      </c>
      <c r="G144" s="67">
        <v>0.27241962774957701</v>
      </c>
      <c r="H144" s="67">
        <v>0.17851099830795261</v>
      </c>
      <c r="I144" s="68">
        <v>8377.6397515527951</v>
      </c>
      <c r="J144" s="68">
        <v>-8659.7156398104271</v>
      </c>
      <c r="K144" s="67">
        <v>0.15602836879432624</v>
      </c>
      <c r="L144" s="67">
        <v>0.10638297872340426</v>
      </c>
      <c r="M144" s="67">
        <v>0.25380710659898476</v>
      </c>
      <c r="N144" s="67">
        <v>0.18612521150592218</v>
      </c>
      <c r="O144" s="67">
        <v>0.54666666666666663</v>
      </c>
      <c r="P144" s="67">
        <v>0.33181818181818185</v>
      </c>
      <c r="Q144" s="67">
        <v>0.42857142857142855</v>
      </c>
    </row>
    <row r="145" spans="1:17" x14ac:dyDescent="0.4">
      <c r="A145" s="69">
        <v>142</v>
      </c>
      <c r="B145" s="66">
        <v>-1102.6000000000001</v>
      </c>
      <c r="C145" s="66">
        <v>-7.7647887323943667</v>
      </c>
      <c r="D145" s="71">
        <v>2.112676056338028</v>
      </c>
      <c r="E145" s="67">
        <v>0.29577464788732394</v>
      </c>
      <c r="F145" s="67">
        <v>0.40845070422535212</v>
      </c>
      <c r="G145" s="67">
        <v>0.27348993288590606</v>
      </c>
      <c r="H145" s="67">
        <v>0.17785234899328858</v>
      </c>
      <c r="I145" s="68">
        <v>8320.2453987730059</v>
      </c>
      <c r="J145" s="68">
        <v>-8656.6037735849059</v>
      </c>
      <c r="K145" s="67">
        <v>0.15492957746478872</v>
      </c>
      <c r="L145" s="67">
        <v>0.10563380281690141</v>
      </c>
      <c r="M145" s="67">
        <v>0.25419463087248323</v>
      </c>
      <c r="N145" s="67">
        <v>0.18624161073825504</v>
      </c>
      <c r="O145" s="67">
        <v>0.54785478547854782</v>
      </c>
      <c r="P145" s="67">
        <v>0.33333333333333331</v>
      </c>
      <c r="Q145" s="67">
        <v>0.42944785276073622</v>
      </c>
    </row>
    <row r="146" spans="1:17" x14ac:dyDescent="0.4">
      <c r="A146" s="69">
        <v>143</v>
      </c>
      <c r="B146" s="66">
        <v>-1103.4000000000001</v>
      </c>
      <c r="C146" s="66">
        <v>-7.7160839160839165</v>
      </c>
      <c r="D146" s="71">
        <v>2.1118881118881121</v>
      </c>
      <c r="E146" s="67">
        <v>0.2937062937062937</v>
      </c>
      <c r="F146" s="67">
        <v>0.40559440559440557</v>
      </c>
      <c r="G146" s="67">
        <v>0.27341137123745818</v>
      </c>
      <c r="H146" s="67">
        <v>0.17809364548494983</v>
      </c>
      <c r="I146" s="68">
        <v>8331.4984709480123</v>
      </c>
      <c r="J146" s="68">
        <v>-8638.4976525821603</v>
      </c>
      <c r="K146" s="67">
        <v>0.15384615384615385</v>
      </c>
      <c r="L146" s="67">
        <v>0.1048951048951049</v>
      </c>
      <c r="M146" s="67">
        <v>0.25501672240802675</v>
      </c>
      <c r="N146" s="67">
        <v>0.18561872909698995</v>
      </c>
      <c r="O146" s="67">
        <v>0.54754098360655734</v>
      </c>
      <c r="P146" s="67">
        <v>0.33333333333333331</v>
      </c>
      <c r="Q146" s="67">
        <v>0.42813455657492355</v>
      </c>
    </row>
    <row r="147" spans="1:17" x14ac:dyDescent="0.4">
      <c r="A147" s="69">
        <v>144</v>
      </c>
      <c r="B147" s="66">
        <v>-1159.5</v>
      </c>
      <c r="C147" s="66">
        <v>-8.0520833333333339</v>
      </c>
      <c r="D147" s="71">
        <v>2.1180555555555554</v>
      </c>
      <c r="E147" s="67">
        <v>0.29166666666666669</v>
      </c>
      <c r="F147" s="67">
        <v>0.40972222222222221</v>
      </c>
      <c r="G147" s="67">
        <v>0.27129859387923905</v>
      </c>
      <c r="H147" s="67">
        <v>0.17866004962779156</v>
      </c>
      <c r="I147" s="68">
        <v>8317.9878048780483</v>
      </c>
      <c r="J147" s="68">
        <v>-8584.7222222222226</v>
      </c>
      <c r="K147" s="67">
        <v>0.15972222222222221</v>
      </c>
      <c r="L147" s="67">
        <v>0.10416666666666667</v>
      </c>
      <c r="M147" s="67">
        <v>0.25392886683209265</v>
      </c>
      <c r="N147" s="67">
        <v>0.18610421836228289</v>
      </c>
      <c r="O147" s="67">
        <v>0.54723127035830621</v>
      </c>
      <c r="P147" s="67">
        <v>0.3288888888888889</v>
      </c>
      <c r="Q147" s="67">
        <v>0.42682926829268292</v>
      </c>
    </row>
    <row r="148" spans="1:17" x14ac:dyDescent="0.4">
      <c r="A148" s="69">
        <v>145</v>
      </c>
      <c r="B148" s="66">
        <v>-1121.9000000000001</v>
      </c>
      <c r="C148" s="66">
        <v>-7.7372413793103458</v>
      </c>
      <c r="D148" s="71">
        <v>2.1103448275862071</v>
      </c>
      <c r="E148" s="67">
        <v>0.29655172413793102</v>
      </c>
      <c r="F148" s="67">
        <v>0.40689655172413791</v>
      </c>
      <c r="G148" s="67">
        <v>0.27220394736842107</v>
      </c>
      <c r="H148" s="67">
        <v>0.17763157894736842</v>
      </c>
      <c r="I148" s="68">
        <v>8294.2598187311178</v>
      </c>
      <c r="J148" s="68">
        <v>-8584.7222222222226</v>
      </c>
      <c r="K148" s="67">
        <v>0.15862068965517243</v>
      </c>
      <c r="L148" s="67">
        <v>0.10344827586206896</v>
      </c>
      <c r="M148" s="67">
        <v>0.25657894736842107</v>
      </c>
      <c r="N148" s="67">
        <v>0.18667763157894737</v>
      </c>
      <c r="O148" s="67">
        <v>0.54487179487179482</v>
      </c>
      <c r="P148" s="67">
        <v>0.33039647577092512</v>
      </c>
      <c r="Q148" s="67">
        <v>0.42598187311178248</v>
      </c>
    </row>
    <row r="149" spans="1:17" x14ac:dyDescent="0.4">
      <c r="A149" s="69">
        <v>146</v>
      </c>
      <c r="B149" s="66">
        <v>-1181.5</v>
      </c>
      <c r="C149" s="66">
        <v>-8.0924657534246567</v>
      </c>
      <c r="D149" s="71">
        <v>2.1164383561643834</v>
      </c>
      <c r="E149" s="67">
        <v>0.29452054794520549</v>
      </c>
      <c r="F149" s="67">
        <v>0.41095890410958902</v>
      </c>
      <c r="G149" s="67">
        <v>0.27146361406377761</v>
      </c>
      <c r="H149" s="67">
        <v>0.17988552739165986</v>
      </c>
      <c r="I149" s="68">
        <v>8275.3012048192777</v>
      </c>
      <c r="J149" s="68">
        <v>-8580</v>
      </c>
      <c r="K149" s="67">
        <v>0.16438356164383561</v>
      </c>
      <c r="L149" s="67">
        <v>0.10273972602739725</v>
      </c>
      <c r="M149" s="67">
        <v>0.25592804578904332</v>
      </c>
      <c r="N149" s="67">
        <v>0.18642681929681112</v>
      </c>
      <c r="O149" s="67">
        <v>0.54313099041533541</v>
      </c>
      <c r="P149" s="67">
        <v>0.33333333333333331</v>
      </c>
      <c r="Q149" s="67">
        <v>0.4246987951807229</v>
      </c>
    </row>
    <row r="150" spans="1:17" x14ac:dyDescent="0.4">
      <c r="A150" s="69">
        <v>147</v>
      </c>
      <c r="B150" s="66">
        <v>-1213.9000000000001</v>
      </c>
      <c r="C150" s="66">
        <v>-8.257823129251701</v>
      </c>
      <c r="D150" s="71">
        <v>2.1224489795918369</v>
      </c>
      <c r="E150" s="67">
        <v>0.29251700680272108</v>
      </c>
      <c r="F150" s="67">
        <v>0.41496598639455784</v>
      </c>
      <c r="G150" s="67">
        <v>0.27154471544715447</v>
      </c>
      <c r="H150" s="67">
        <v>0.17967479674796749</v>
      </c>
      <c r="I150" s="68">
        <v>8265.2694610778435</v>
      </c>
      <c r="J150" s="68">
        <v>-8595.4751131221728</v>
      </c>
      <c r="K150" s="67">
        <v>0.16326530612244897</v>
      </c>
      <c r="L150" s="67">
        <v>0.10204081632653061</v>
      </c>
      <c r="M150" s="67">
        <v>0.25447154471544714</v>
      </c>
      <c r="N150" s="67">
        <v>0.1886178861788618</v>
      </c>
      <c r="O150" s="67">
        <v>0.54313099041533541</v>
      </c>
      <c r="P150" s="67">
        <v>0.33620689655172414</v>
      </c>
      <c r="Q150" s="67">
        <v>0.42215568862275449</v>
      </c>
    </row>
    <row r="151" spans="1:17" x14ac:dyDescent="0.4">
      <c r="A151" s="69">
        <v>148</v>
      </c>
      <c r="B151" s="66">
        <v>-1255.3000000000002</v>
      </c>
      <c r="C151" s="66">
        <v>-8.4817567567567576</v>
      </c>
      <c r="D151" s="71">
        <v>2.1283783783783785</v>
      </c>
      <c r="E151" s="67">
        <v>0.29054054054054052</v>
      </c>
      <c r="F151" s="67">
        <v>0.41891891891891891</v>
      </c>
      <c r="G151" s="67">
        <v>0.27059773828756056</v>
      </c>
      <c r="H151" s="67">
        <v>0.1801292407108239</v>
      </c>
      <c r="I151" s="68">
        <v>8264.4776119402977</v>
      </c>
      <c r="J151" s="68">
        <v>-8589.686098654709</v>
      </c>
      <c r="K151" s="67">
        <v>0.16216216216216217</v>
      </c>
      <c r="L151" s="67">
        <v>0.10135135135135136</v>
      </c>
      <c r="M151" s="67">
        <v>0.25282714054927302</v>
      </c>
      <c r="N151" s="67">
        <v>0.19063004846526657</v>
      </c>
      <c r="O151" s="67">
        <v>0.54313099041533541</v>
      </c>
      <c r="P151" s="67">
        <v>0.3347457627118644</v>
      </c>
      <c r="Q151" s="67">
        <v>0.42388059701492536</v>
      </c>
    </row>
    <row r="152" spans="1:17" x14ac:dyDescent="0.4">
      <c r="A152" s="69">
        <v>149</v>
      </c>
      <c r="B152" s="66">
        <v>-1227.8000000000002</v>
      </c>
      <c r="C152" s="66">
        <v>-8.2402684563758406</v>
      </c>
      <c r="D152" s="71">
        <v>2.1208053691275168</v>
      </c>
      <c r="E152" s="67">
        <v>0.29530201342281881</v>
      </c>
      <c r="F152" s="67">
        <v>0.41610738255033558</v>
      </c>
      <c r="G152" s="67">
        <v>0.27090032154340837</v>
      </c>
      <c r="H152" s="67">
        <v>0.17926045016077172</v>
      </c>
      <c r="I152" s="68">
        <v>8262.9080118694365</v>
      </c>
      <c r="J152" s="68">
        <v>-8589.686098654709</v>
      </c>
      <c r="K152" s="67">
        <v>0.16107382550335569</v>
      </c>
      <c r="L152" s="67">
        <v>0.10067114093959731</v>
      </c>
      <c r="M152" s="67">
        <v>0.25241157556270094</v>
      </c>
      <c r="N152" s="67">
        <v>0.19131832797427653</v>
      </c>
      <c r="O152" s="67">
        <v>0.54458598726114649</v>
      </c>
      <c r="P152" s="67">
        <v>0.33613445378151263</v>
      </c>
      <c r="Q152" s="67">
        <v>0.42433234421364985</v>
      </c>
    </row>
    <row r="153" spans="1:17" x14ac:dyDescent="0.4">
      <c r="A153" s="69">
        <v>150</v>
      </c>
      <c r="B153" s="66">
        <v>-1274.3000000000002</v>
      </c>
      <c r="C153" s="66">
        <v>-8.4953333333333347</v>
      </c>
      <c r="D153" s="71">
        <v>2.1266666666666665</v>
      </c>
      <c r="E153" s="67">
        <v>0.29333333333333333</v>
      </c>
      <c r="F153" s="67">
        <v>0.42</v>
      </c>
      <c r="G153" s="67">
        <v>0.27027027027027029</v>
      </c>
      <c r="H153" s="67">
        <v>0.17885532591414943</v>
      </c>
      <c r="I153" s="68">
        <v>8236.4705882352937</v>
      </c>
      <c r="J153" s="68">
        <v>-8550.6666666666661</v>
      </c>
      <c r="K153" s="67">
        <v>0.16</v>
      </c>
      <c r="L153" s="67">
        <v>0.1</v>
      </c>
      <c r="M153" s="67">
        <v>0.25437201907790141</v>
      </c>
      <c r="N153" s="67">
        <v>0.1915739268680445</v>
      </c>
      <c r="O153" s="67">
        <v>0.53749999999999998</v>
      </c>
      <c r="P153" s="67">
        <v>0.33609958506224069</v>
      </c>
      <c r="Q153" s="67">
        <v>0.42352941176470588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201F-3A2F-4C4E-A036-3CA84BB87C2E}">
  <sheetPr codeName="Sheet10"/>
  <dimension ref="A1:Q16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  <row r="149" spans="1:17" x14ac:dyDescent="0.4">
      <c r="A149" s="69">
        <v>146</v>
      </c>
      <c r="B149" s="66">
        <v>-357.30000000000007</v>
      </c>
      <c r="C149" s="66">
        <v>-2.4472602739726033</v>
      </c>
      <c r="D149" s="71">
        <v>2.0684931506849313</v>
      </c>
      <c r="E149" s="67">
        <v>0.27397260273972601</v>
      </c>
      <c r="F149" s="67">
        <v>0.34246575342465752</v>
      </c>
      <c r="G149" s="67">
        <v>0.27583333333333332</v>
      </c>
      <c r="H149" s="67">
        <v>0.17249999999999999</v>
      </c>
      <c r="I149" s="68">
        <v>9079.1540785498491</v>
      </c>
      <c r="J149" s="68">
        <v>-7743.9613526570047</v>
      </c>
      <c r="K149" s="67">
        <v>0.13013698630136986</v>
      </c>
      <c r="L149" s="67">
        <v>0.10273972602739725</v>
      </c>
      <c r="M149" s="67">
        <v>0.29833333333333334</v>
      </c>
      <c r="N149" s="67">
        <v>0.17666666666666667</v>
      </c>
      <c r="O149" s="67">
        <v>0.58938547486033521</v>
      </c>
      <c r="P149" s="67">
        <v>0.31603773584905659</v>
      </c>
      <c r="Q149" s="67">
        <v>0.42598187311178248</v>
      </c>
    </row>
    <row r="150" spans="1:17" x14ac:dyDescent="0.4">
      <c r="A150" s="69">
        <v>147</v>
      </c>
      <c r="B150" s="66">
        <v>-359.10000000000008</v>
      </c>
      <c r="C150" s="66">
        <v>-2.4428571428571435</v>
      </c>
      <c r="D150" s="71">
        <v>2.0680272108843538</v>
      </c>
      <c r="E150" s="67">
        <v>0.27210884353741499</v>
      </c>
      <c r="F150" s="67">
        <v>0.3401360544217687</v>
      </c>
      <c r="G150" s="67">
        <v>0.27694859038142622</v>
      </c>
      <c r="H150" s="67">
        <v>0.17247097844112769</v>
      </c>
      <c r="I150" s="68">
        <v>9047.6047904191619</v>
      </c>
      <c r="J150" s="68">
        <v>-7764.4230769230771</v>
      </c>
      <c r="K150" s="67">
        <v>0.12925170068027211</v>
      </c>
      <c r="L150" s="67">
        <v>0.10204081632653061</v>
      </c>
      <c r="M150" s="67">
        <v>0.29850746268656714</v>
      </c>
      <c r="N150" s="67">
        <v>0.17744610281923714</v>
      </c>
      <c r="O150" s="67">
        <v>0.59166666666666667</v>
      </c>
      <c r="P150" s="67">
        <v>0.31775700934579437</v>
      </c>
      <c r="Q150" s="67">
        <v>0.42215568862275449</v>
      </c>
    </row>
    <row r="151" spans="1:17" x14ac:dyDescent="0.4">
      <c r="A151" s="69">
        <v>148</v>
      </c>
      <c r="B151" s="66">
        <v>-415.90000000000009</v>
      </c>
      <c r="C151" s="66">
        <v>-2.8101351351351358</v>
      </c>
      <c r="D151" s="71">
        <v>2.0743243243243241</v>
      </c>
      <c r="E151" s="67">
        <v>0.27027027027027029</v>
      </c>
      <c r="F151" s="67">
        <v>0.34459459459459457</v>
      </c>
      <c r="G151" s="67">
        <v>0.27535037098103876</v>
      </c>
      <c r="H151" s="67">
        <v>0.1755976916735367</v>
      </c>
      <c r="I151" s="68">
        <v>9047.6047904191619</v>
      </c>
      <c r="J151" s="68">
        <v>-7689.2018779342725</v>
      </c>
      <c r="K151" s="67">
        <v>0.13513513513513514</v>
      </c>
      <c r="L151" s="67">
        <v>0.10135135135135136</v>
      </c>
      <c r="M151" s="67">
        <v>0.29843363561417974</v>
      </c>
      <c r="N151" s="67">
        <v>0.17642209398186315</v>
      </c>
      <c r="O151" s="67">
        <v>0.58839779005524862</v>
      </c>
      <c r="P151" s="67">
        <v>0.31775700934579437</v>
      </c>
      <c r="Q151" s="67">
        <v>0.42215568862275449</v>
      </c>
    </row>
    <row r="152" spans="1:17" x14ac:dyDescent="0.4">
      <c r="A152" s="69">
        <v>149</v>
      </c>
      <c r="B152" s="66">
        <v>-448.40000000000009</v>
      </c>
      <c r="C152" s="66">
        <v>-3.0093959731543629</v>
      </c>
      <c r="D152" s="71">
        <v>2.0805369127516777</v>
      </c>
      <c r="E152" s="67">
        <v>0.26845637583892618</v>
      </c>
      <c r="F152" s="67">
        <v>0.34899328859060402</v>
      </c>
      <c r="G152" s="67">
        <v>0.27481542247744051</v>
      </c>
      <c r="H152" s="67">
        <v>0.17719442165709598</v>
      </c>
      <c r="I152" s="68">
        <v>9044.4776119402977</v>
      </c>
      <c r="J152" s="68">
        <v>-7677.3148148148148</v>
      </c>
      <c r="K152" s="67">
        <v>0.13422818791946309</v>
      </c>
      <c r="L152" s="67">
        <v>0.10067114093959731</v>
      </c>
      <c r="M152" s="67">
        <v>0.2969647251845775</v>
      </c>
      <c r="N152" s="67">
        <v>0.1763740771123872</v>
      </c>
      <c r="O152" s="67">
        <v>0.58839779005524862</v>
      </c>
      <c r="P152" s="67">
        <v>0.31627906976744186</v>
      </c>
      <c r="Q152" s="67">
        <v>0.42388059701492536</v>
      </c>
    </row>
    <row r="153" spans="1:17" x14ac:dyDescent="0.4">
      <c r="A153" s="69">
        <v>150</v>
      </c>
      <c r="B153" s="66">
        <v>-461.10000000000008</v>
      </c>
      <c r="C153" s="66">
        <v>-3.0740000000000007</v>
      </c>
      <c r="D153" s="71">
        <v>2.08</v>
      </c>
      <c r="E153" s="67">
        <v>0.26666666666666666</v>
      </c>
      <c r="F153" s="67">
        <v>0.34666666666666668</v>
      </c>
      <c r="G153" s="67">
        <v>0.27487765089722677</v>
      </c>
      <c r="H153" s="67">
        <v>0.17781402936378465</v>
      </c>
      <c r="I153" s="68">
        <v>9030.2670623145405</v>
      </c>
      <c r="J153" s="68">
        <v>-7667.4311926605506</v>
      </c>
      <c r="K153" s="67">
        <v>0.13333333333333333</v>
      </c>
      <c r="L153" s="67">
        <v>0.1</v>
      </c>
      <c r="M153" s="67">
        <v>0.29853181076672103</v>
      </c>
      <c r="N153" s="67">
        <v>0.1769983686786297</v>
      </c>
      <c r="O153" s="67">
        <v>0.58469945355191255</v>
      </c>
      <c r="P153" s="67">
        <v>0.31797235023041476</v>
      </c>
      <c r="Q153" s="67">
        <v>0.42433234421364985</v>
      </c>
    </row>
    <row r="154" spans="1:17" x14ac:dyDescent="0.4">
      <c r="A154" s="69">
        <v>151</v>
      </c>
      <c r="B154" s="66">
        <v>-504.2000000000001</v>
      </c>
      <c r="C154" s="66">
        <v>-3.3390728476821199</v>
      </c>
      <c r="D154" s="71">
        <v>2.0860927152317883</v>
      </c>
      <c r="E154" s="67">
        <v>0.26490066225165565</v>
      </c>
      <c r="F154" s="67">
        <v>0.35099337748344372</v>
      </c>
      <c r="G154" s="67">
        <v>0.27390599675850891</v>
      </c>
      <c r="H154" s="67">
        <v>0.17990275526742303</v>
      </c>
      <c r="I154" s="68">
        <v>9018.9349112426044</v>
      </c>
      <c r="J154" s="68">
        <v>-7613.5135135135133</v>
      </c>
      <c r="K154" s="67">
        <v>0.13245033112582782</v>
      </c>
      <c r="L154" s="67">
        <v>9.9337748344370855E-2</v>
      </c>
      <c r="M154" s="67">
        <v>0.29821717990275526</v>
      </c>
      <c r="N154" s="67">
        <v>0.17585089141004862</v>
      </c>
      <c r="O154" s="67">
        <v>0.58423913043478259</v>
      </c>
      <c r="P154" s="67">
        <v>0.31797235023041476</v>
      </c>
      <c r="Q154" s="67">
        <v>0.42307692307692307</v>
      </c>
    </row>
    <row r="155" spans="1:17" x14ac:dyDescent="0.4">
      <c r="A155" s="69">
        <v>152</v>
      </c>
      <c r="B155" s="66">
        <v>-477.7000000000001</v>
      </c>
      <c r="C155" s="66">
        <v>-3.1427631578947377</v>
      </c>
      <c r="D155" s="71">
        <v>2.0789473684210527</v>
      </c>
      <c r="E155" s="67">
        <v>0.26973684210526316</v>
      </c>
      <c r="F155" s="67">
        <v>0.34868421052631576</v>
      </c>
      <c r="G155" s="67">
        <v>0.27491961414790994</v>
      </c>
      <c r="H155" s="67">
        <v>0.17926045016077172</v>
      </c>
      <c r="I155" s="68">
        <v>8982.4561403508778</v>
      </c>
      <c r="J155" s="68">
        <v>-7591.0313901345289</v>
      </c>
      <c r="K155" s="67">
        <v>0.13157894736842105</v>
      </c>
      <c r="L155" s="67">
        <v>9.8684210526315791E-2</v>
      </c>
      <c r="M155" s="67">
        <v>0.29823151125401931</v>
      </c>
      <c r="N155" s="67">
        <v>0.17604501607717041</v>
      </c>
      <c r="O155" s="67">
        <v>0.58490566037735847</v>
      </c>
      <c r="P155" s="67">
        <v>0.32420091324200911</v>
      </c>
      <c r="Q155" s="67">
        <v>0.42982456140350878</v>
      </c>
    </row>
    <row r="156" spans="1:17" x14ac:dyDescent="0.4">
      <c r="A156" s="69">
        <v>153</v>
      </c>
      <c r="B156" s="66">
        <v>-436.90000000000009</v>
      </c>
      <c r="C156" s="66">
        <v>-2.8555555555555561</v>
      </c>
      <c r="D156" s="71">
        <v>2.0718954248366015</v>
      </c>
      <c r="E156" s="67">
        <v>0.27450980392156865</v>
      </c>
      <c r="F156" s="67">
        <v>0.34640522875816993</v>
      </c>
      <c r="G156" s="67">
        <v>0.27569721115537849</v>
      </c>
      <c r="H156" s="67">
        <v>0.1800796812749004</v>
      </c>
      <c r="I156" s="68">
        <v>8992.7745664739887</v>
      </c>
      <c r="J156" s="68">
        <v>-7582.7433628318586</v>
      </c>
      <c r="K156" s="67">
        <v>0.13071895424836602</v>
      </c>
      <c r="L156" s="67">
        <v>9.8039215686274508E-2</v>
      </c>
      <c r="M156" s="67">
        <v>0.29960159362549799</v>
      </c>
      <c r="N156" s="67">
        <v>0.1752988047808765</v>
      </c>
      <c r="O156" s="67">
        <v>0.58776595744680848</v>
      </c>
      <c r="P156" s="67">
        <v>0.32272727272727275</v>
      </c>
      <c r="Q156" s="67">
        <v>0.430635838150289</v>
      </c>
    </row>
    <row r="157" spans="1:17" x14ac:dyDescent="0.4">
      <c r="A157" s="69">
        <v>154</v>
      </c>
      <c r="B157" s="66">
        <v>-439.90000000000009</v>
      </c>
      <c r="C157" s="66">
        <v>-2.8564935064935071</v>
      </c>
      <c r="D157" s="71">
        <v>2.0714285714285716</v>
      </c>
      <c r="E157" s="67">
        <v>0.27272727272727271</v>
      </c>
      <c r="F157" s="67">
        <v>0.34415584415584416</v>
      </c>
      <c r="G157" s="67">
        <v>0.27588932806324112</v>
      </c>
      <c r="H157" s="67">
        <v>0.18023715415019761</v>
      </c>
      <c r="I157" s="68">
        <v>8985.3868194842398</v>
      </c>
      <c r="J157" s="68">
        <v>-7536.8421052631575</v>
      </c>
      <c r="K157" s="67">
        <v>0.12987012987012986</v>
      </c>
      <c r="L157" s="67">
        <v>9.7402597402597407E-2</v>
      </c>
      <c r="M157" s="67">
        <v>0.29881422924901185</v>
      </c>
      <c r="N157" s="67">
        <v>0.17549407114624507</v>
      </c>
      <c r="O157" s="67">
        <v>0.58730158730158732</v>
      </c>
      <c r="P157" s="67">
        <v>0.32432432432432434</v>
      </c>
      <c r="Q157" s="67">
        <v>0.43266475644699143</v>
      </c>
    </row>
    <row r="158" spans="1:17" x14ac:dyDescent="0.4">
      <c r="A158" s="69">
        <v>155</v>
      </c>
      <c r="B158" s="66">
        <v>-381.10000000000008</v>
      </c>
      <c r="C158" s="66">
        <v>-2.4587096774193555</v>
      </c>
      <c r="D158" s="71">
        <v>2.064516129032258</v>
      </c>
      <c r="E158" s="67">
        <v>0.27741935483870966</v>
      </c>
      <c r="F158" s="67">
        <v>0.34193548387096773</v>
      </c>
      <c r="G158" s="67">
        <v>0.27738376674546888</v>
      </c>
      <c r="H158" s="67">
        <v>0.17966903073286053</v>
      </c>
      <c r="I158" s="68">
        <v>9007.670454545454</v>
      </c>
      <c r="J158" s="68">
        <v>-7536.8421052631575</v>
      </c>
      <c r="K158" s="67">
        <v>0.12903225806451613</v>
      </c>
      <c r="L158" s="67">
        <v>0.1032258064516129</v>
      </c>
      <c r="M158" s="67">
        <v>0.29866036249014971</v>
      </c>
      <c r="N158" s="67">
        <v>0.17494089834515367</v>
      </c>
      <c r="O158" s="67">
        <v>0.58839050131926118</v>
      </c>
      <c r="P158" s="67">
        <v>0.32432432432432434</v>
      </c>
      <c r="Q158" s="67">
        <v>0.43181818181818182</v>
      </c>
    </row>
    <row r="159" spans="1:17" x14ac:dyDescent="0.4">
      <c r="A159" s="69">
        <v>156</v>
      </c>
      <c r="B159" s="66">
        <v>-372.50000000000006</v>
      </c>
      <c r="C159" s="66">
        <v>-2.3878205128205132</v>
      </c>
      <c r="D159" s="71">
        <v>2.0641025641025643</v>
      </c>
      <c r="E159" s="67">
        <v>0.27564102564102566</v>
      </c>
      <c r="F159" s="67">
        <v>0.33974358974358976</v>
      </c>
      <c r="G159" s="67">
        <v>0.27769110764430577</v>
      </c>
      <c r="H159" s="67">
        <v>0.18096723868954759</v>
      </c>
      <c r="I159" s="68">
        <v>9005.0561797752816</v>
      </c>
      <c r="J159" s="68">
        <v>-7469.8275862068967</v>
      </c>
      <c r="K159" s="67">
        <v>0.12820512820512819</v>
      </c>
      <c r="L159" s="67">
        <v>0.10256410256410256</v>
      </c>
      <c r="M159" s="67">
        <v>0.29797191887675506</v>
      </c>
      <c r="N159" s="67">
        <v>0.17394695787831513</v>
      </c>
      <c r="O159" s="67">
        <v>0.58900523560209428</v>
      </c>
      <c r="P159" s="67">
        <v>0.32286995515695066</v>
      </c>
      <c r="Q159" s="67">
        <v>0.4353932584269663</v>
      </c>
    </row>
    <row r="160" spans="1:17" x14ac:dyDescent="0.4">
      <c r="A160" s="69">
        <v>157</v>
      </c>
      <c r="B160" s="66">
        <v>-408.20000000000005</v>
      </c>
      <c r="C160" s="66">
        <v>-2.6</v>
      </c>
      <c r="D160" s="71">
        <v>2.0700636942675161</v>
      </c>
      <c r="E160" s="67">
        <v>0.27388535031847133</v>
      </c>
      <c r="F160" s="67">
        <v>0.34394904458598724</v>
      </c>
      <c r="G160" s="67">
        <v>0.27695888285492631</v>
      </c>
      <c r="H160" s="67">
        <v>0.18153607447633824</v>
      </c>
      <c r="I160" s="68">
        <v>8991.0364145658259</v>
      </c>
      <c r="J160" s="68">
        <v>-7462.3931623931621</v>
      </c>
      <c r="K160" s="67">
        <v>0.12738853503184713</v>
      </c>
      <c r="L160" s="67">
        <v>0.10191082802547771</v>
      </c>
      <c r="M160" s="67">
        <v>0.29712955779674166</v>
      </c>
      <c r="N160" s="67">
        <v>0.1730023273855702</v>
      </c>
      <c r="O160" s="67">
        <v>0.58746736292428203</v>
      </c>
      <c r="P160" s="67">
        <v>0.32286995515695066</v>
      </c>
      <c r="Q160" s="67">
        <v>0.43697478991596639</v>
      </c>
    </row>
    <row r="161" spans="1:17" x14ac:dyDescent="0.4">
      <c r="A161" s="69">
        <v>158</v>
      </c>
      <c r="B161" s="66">
        <v>-403.00000000000006</v>
      </c>
      <c r="C161" s="66">
        <v>-2.5506329113924053</v>
      </c>
      <c r="D161" s="71">
        <v>2.0696202531645569</v>
      </c>
      <c r="E161" s="67">
        <v>0.27215189873417722</v>
      </c>
      <c r="F161" s="67">
        <v>0.34177215189873417</v>
      </c>
      <c r="G161" s="67">
        <v>0.27623456790123457</v>
      </c>
      <c r="H161" s="67">
        <v>0.18132716049382716</v>
      </c>
      <c r="I161" s="68">
        <v>8987.4301675977658</v>
      </c>
      <c r="J161" s="68">
        <v>-7439.1489361702124</v>
      </c>
      <c r="K161" s="67">
        <v>0.12658227848101267</v>
      </c>
      <c r="L161" s="67">
        <v>0.10126582278481013</v>
      </c>
      <c r="M161" s="67">
        <v>0.29706790123456789</v>
      </c>
      <c r="N161" s="67">
        <v>0.17206790123456789</v>
      </c>
      <c r="O161" s="67">
        <v>0.58701298701298699</v>
      </c>
      <c r="P161" s="67">
        <v>0.32286995515695066</v>
      </c>
      <c r="Q161" s="67">
        <v>0.43854748603351956</v>
      </c>
    </row>
    <row r="162" spans="1:17" x14ac:dyDescent="0.4">
      <c r="A162" s="69">
        <v>159</v>
      </c>
      <c r="B162" s="66">
        <v>-410.40000000000003</v>
      </c>
      <c r="C162" s="66">
        <v>-2.5811320754716984</v>
      </c>
      <c r="D162" s="71">
        <v>2.0691823899371071</v>
      </c>
      <c r="E162" s="67">
        <v>0.27044025157232704</v>
      </c>
      <c r="F162" s="67">
        <v>0.33962264150943394</v>
      </c>
      <c r="G162" s="67">
        <v>0.27718223583460949</v>
      </c>
      <c r="H162" s="67">
        <v>0.18147013782542112</v>
      </c>
      <c r="I162" s="68">
        <v>8941.9889502762435</v>
      </c>
      <c r="J162" s="68">
        <v>-7465.8227848101269</v>
      </c>
      <c r="K162" s="67">
        <v>0.12578616352201258</v>
      </c>
      <c r="L162" s="67">
        <v>0.10062893081761007</v>
      </c>
      <c r="M162" s="67">
        <v>0.29555895865237364</v>
      </c>
      <c r="N162" s="67">
        <v>0.17151607963246554</v>
      </c>
      <c r="O162" s="67">
        <v>0.58808290155440412</v>
      </c>
      <c r="P162" s="67">
        <v>0.32142857142857145</v>
      </c>
      <c r="Q162" s="67">
        <v>0.43922651933701656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98308-BACC-491A-94AD-3E1F46787C04}">
  <sheetPr codeName="Sheet8"/>
  <dimension ref="A1:Q19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1976.5000000000005</v>
      </c>
      <c r="C172" s="66">
        <v>11.695266272189352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2031.1000000000004</v>
      </c>
      <c r="C173" s="66">
        <v>11.947647058823531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2031.0000000000005</v>
      </c>
      <c r="C174" s="66">
        <v>11.877192982456142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2043.9000000000005</v>
      </c>
      <c r="C175" s="66">
        <v>11.883139534883725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2066.5000000000005</v>
      </c>
      <c r="C176" s="66">
        <v>11.945086705202314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2121.1000000000004</v>
      </c>
      <c r="C177" s="66">
        <v>12.190229885057473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2087.3000000000002</v>
      </c>
      <c r="C178" s="66">
        <v>11.927428571428573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">
      <c r="A179" s="69">
        <v>176</v>
      </c>
      <c r="B179" s="66">
        <v>2055.5</v>
      </c>
      <c r="C179" s="66">
        <v>11.678977272727273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  <row r="180" spans="1:17" x14ac:dyDescent="0.4">
      <c r="A180" s="69">
        <v>177</v>
      </c>
      <c r="B180" s="66">
        <v>2093.1</v>
      </c>
      <c r="C180" s="66">
        <v>11.82542372881356</v>
      </c>
      <c r="D180" s="71">
        <v>1.7740112994350283</v>
      </c>
      <c r="E180" s="67">
        <v>0.46892655367231639</v>
      </c>
      <c r="F180" s="67">
        <v>0.24293785310734464</v>
      </c>
      <c r="G180" s="67">
        <v>0.33907649896623021</v>
      </c>
      <c r="H180" s="67">
        <v>0.1543762922122674</v>
      </c>
      <c r="I180" s="68">
        <v>9255.8943089430886</v>
      </c>
      <c r="J180" s="68">
        <v>-8129.9107142857147</v>
      </c>
      <c r="K180" s="67">
        <v>9.03954802259887E-2</v>
      </c>
      <c r="L180" s="67">
        <v>0.16949152542372881</v>
      </c>
      <c r="M180" s="67">
        <v>0.31495520330806343</v>
      </c>
      <c r="N180" s="67">
        <v>0.20951068228807718</v>
      </c>
      <c r="O180" s="67">
        <v>0.57768052516411383</v>
      </c>
      <c r="P180" s="67">
        <v>0.51315789473684215</v>
      </c>
      <c r="Q180" s="67">
        <v>0.42682926829268292</v>
      </c>
    </row>
    <row r="181" spans="1:17" x14ac:dyDescent="0.4">
      <c r="A181" s="69">
        <v>178</v>
      </c>
      <c r="B181" s="66">
        <v>2146.2999999999997</v>
      </c>
      <c r="C181" s="66">
        <v>12.057865168539324</v>
      </c>
      <c r="D181" s="71">
        <v>1.7696629213483146</v>
      </c>
      <c r="E181" s="67">
        <v>0.47191011235955055</v>
      </c>
      <c r="F181" s="67">
        <v>0.24157303370786518</v>
      </c>
      <c r="G181" s="67">
        <v>0.3399588759424263</v>
      </c>
      <c r="H181" s="67">
        <v>0.15421521590130227</v>
      </c>
      <c r="I181" s="68">
        <v>9261.0887096774186</v>
      </c>
      <c r="J181" s="68">
        <v>-8105.333333333333</v>
      </c>
      <c r="K181" s="67">
        <v>8.98876404494382E-2</v>
      </c>
      <c r="L181" s="67">
        <v>0.16853932584269662</v>
      </c>
      <c r="M181" s="67">
        <v>0.31459904043865661</v>
      </c>
      <c r="N181" s="67">
        <v>0.21041809458533242</v>
      </c>
      <c r="O181" s="67">
        <v>0.579520697167756</v>
      </c>
      <c r="P181" s="67">
        <v>0.51465798045602607</v>
      </c>
      <c r="Q181" s="67">
        <v>0.42540322580645162</v>
      </c>
    </row>
    <row r="182" spans="1:17" x14ac:dyDescent="0.4">
      <c r="A182" s="69">
        <v>179</v>
      </c>
      <c r="B182" s="66">
        <v>2182.3999999999996</v>
      </c>
      <c r="C182" s="66">
        <v>12.192178770949718</v>
      </c>
      <c r="D182" s="71">
        <v>1.76536312849162</v>
      </c>
      <c r="E182" s="67">
        <v>0.47486033519553073</v>
      </c>
      <c r="F182" s="67">
        <v>0.24022346368715083</v>
      </c>
      <c r="G182" s="67">
        <v>0.34059945504087191</v>
      </c>
      <c r="H182" s="67">
        <v>0.15463215258855587</v>
      </c>
      <c r="I182" s="68">
        <v>9272.2000000000007</v>
      </c>
      <c r="J182" s="68">
        <v>-8122.0264317180618</v>
      </c>
      <c r="K182" s="67">
        <v>8.9385474860335198E-2</v>
      </c>
      <c r="L182" s="67">
        <v>0.16759776536312848</v>
      </c>
      <c r="M182" s="67">
        <v>0.3133514986376022</v>
      </c>
      <c r="N182" s="67">
        <v>0.2098092643051771</v>
      </c>
      <c r="O182" s="67">
        <v>0.58043478260869563</v>
      </c>
      <c r="P182" s="67">
        <v>0.51623376623376627</v>
      </c>
      <c r="Q182" s="67">
        <v>0.42599999999999999</v>
      </c>
    </row>
    <row r="183" spans="1:17" x14ac:dyDescent="0.4">
      <c r="A183" s="69">
        <v>180</v>
      </c>
      <c r="B183" s="66">
        <v>2155.9999999999995</v>
      </c>
      <c r="C183" s="66">
        <v>11.977777777777776</v>
      </c>
      <c r="D183" s="71">
        <v>1.7722222222222221</v>
      </c>
      <c r="E183" s="67">
        <v>0.47222222222222221</v>
      </c>
      <c r="F183" s="67">
        <v>0.24444444444444444</v>
      </c>
      <c r="G183" s="67">
        <v>0.33989145183175035</v>
      </c>
      <c r="H183" s="67">
        <v>0.15535956580732699</v>
      </c>
      <c r="I183" s="68">
        <v>9277.6447105788429</v>
      </c>
      <c r="J183" s="68">
        <v>-8107.4235807860259</v>
      </c>
      <c r="K183" s="67">
        <v>8.8888888888888892E-2</v>
      </c>
      <c r="L183" s="67">
        <v>0.16666666666666666</v>
      </c>
      <c r="M183" s="67">
        <v>0.31275440976933516</v>
      </c>
      <c r="N183" s="67">
        <v>0.21031207598371776</v>
      </c>
      <c r="O183" s="67">
        <v>0.57917570498915405</v>
      </c>
      <c r="P183" s="67">
        <v>0.5161290322580645</v>
      </c>
      <c r="Q183" s="67">
        <v>0.42514970059880242</v>
      </c>
    </row>
    <row r="184" spans="1:17" x14ac:dyDescent="0.4">
      <c r="A184" s="69">
        <v>181</v>
      </c>
      <c r="B184" s="66">
        <v>2216.9999999999995</v>
      </c>
      <c r="C184" s="66">
        <v>12.248618784530384</v>
      </c>
      <c r="D184" s="71">
        <v>1.7679558011049723</v>
      </c>
      <c r="E184" s="67">
        <v>0.47513812154696133</v>
      </c>
      <c r="F184" s="67">
        <v>0.24309392265193369</v>
      </c>
      <c r="G184" s="67">
        <v>0.34098582039162728</v>
      </c>
      <c r="H184" s="67">
        <v>0.15462525320729237</v>
      </c>
      <c r="I184" s="68">
        <v>9279.4059405940588</v>
      </c>
      <c r="J184" s="68">
        <v>-8107.4235807860259</v>
      </c>
      <c r="K184" s="67">
        <v>8.8397790055248615E-2</v>
      </c>
      <c r="L184" s="67">
        <v>0.17127071823204421</v>
      </c>
      <c r="M184" s="67">
        <v>0.31127616475354491</v>
      </c>
      <c r="N184" s="67">
        <v>0.21134368669817691</v>
      </c>
      <c r="O184" s="67">
        <v>0.57917570498915405</v>
      </c>
      <c r="P184" s="67">
        <v>0.52076677316293929</v>
      </c>
      <c r="Q184" s="67">
        <v>0.42574257425742573</v>
      </c>
    </row>
    <row r="185" spans="1:17" x14ac:dyDescent="0.4">
      <c r="A185" s="69">
        <v>182</v>
      </c>
      <c r="B185" s="66">
        <v>2252.3999999999996</v>
      </c>
      <c r="C185" s="66">
        <v>12.375824175824174</v>
      </c>
      <c r="D185" s="71">
        <v>1.7637362637362637</v>
      </c>
      <c r="E185" s="67">
        <v>0.47802197802197804</v>
      </c>
      <c r="F185" s="67">
        <v>0.24175824175824176</v>
      </c>
      <c r="G185" s="67">
        <v>0.34162743779421656</v>
      </c>
      <c r="H185" s="67">
        <v>0.15400134498991258</v>
      </c>
      <c r="I185" s="68">
        <v>9258.8582677165359</v>
      </c>
      <c r="J185" s="68">
        <v>-8107.4235807860259</v>
      </c>
      <c r="K185" s="67">
        <v>8.7912087912087919E-2</v>
      </c>
      <c r="L185" s="67">
        <v>0.17032967032967034</v>
      </c>
      <c r="M185" s="67">
        <v>0.31069266980497645</v>
      </c>
      <c r="N185" s="67">
        <v>0.2125084061869536</v>
      </c>
      <c r="O185" s="67">
        <v>0.58008658008658009</v>
      </c>
      <c r="P185" s="67">
        <v>0.51898734177215189</v>
      </c>
      <c r="Q185" s="67">
        <v>0.42322834645669294</v>
      </c>
    </row>
    <row r="186" spans="1:17" x14ac:dyDescent="0.4">
      <c r="A186" s="69">
        <v>183</v>
      </c>
      <c r="B186" s="66">
        <v>2307.8999999999996</v>
      </c>
      <c r="C186" s="66">
        <v>12.611475409836064</v>
      </c>
      <c r="D186" s="71">
        <v>1.7595628415300546</v>
      </c>
      <c r="E186" s="67">
        <v>0.48087431693989069</v>
      </c>
      <c r="F186" s="67">
        <v>0.24043715846994534</v>
      </c>
      <c r="G186" s="67">
        <v>0.34203480589022756</v>
      </c>
      <c r="H186" s="67">
        <v>0.15327978580990628</v>
      </c>
      <c r="I186" s="68">
        <v>9277.495107632094</v>
      </c>
      <c r="J186" s="68">
        <v>-8107.4235807860259</v>
      </c>
      <c r="K186" s="67">
        <v>8.7431693989071038E-2</v>
      </c>
      <c r="L186" s="67">
        <v>0.16939890710382513</v>
      </c>
      <c r="M186" s="67">
        <v>0.3112449799196787</v>
      </c>
      <c r="N186" s="67">
        <v>0.21218206157965194</v>
      </c>
      <c r="O186" s="67">
        <v>0.58279569892473115</v>
      </c>
      <c r="P186" s="67">
        <v>0.51735015772870663</v>
      </c>
      <c r="Q186" s="67">
        <v>0.42465753424657532</v>
      </c>
    </row>
    <row r="187" spans="1:17" x14ac:dyDescent="0.4">
      <c r="A187" s="69">
        <v>184</v>
      </c>
      <c r="B187" s="66">
        <v>2341.1999999999998</v>
      </c>
      <c r="C187" s="66">
        <v>12.723913043478261</v>
      </c>
      <c r="D187" s="71">
        <v>1.7554347826086956</v>
      </c>
      <c r="E187" s="67">
        <v>0.48369565217391303</v>
      </c>
      <c r="F187" s="67">
        <v>0.2391304347826087</v>
      </c>
      <c r="G187" s="67">
        <v>0.34221038615179761</v>
      </c>
      <c r="H187" s="67">
        <v>0.15312916111850866</v>
      </c>
      <c r="I187" s="68">
        <v>9269.2607003891044</v>
      </c>
      <c r="J187" s="68">
        <v>-8094.782608695652</v>
      </c>
      <c r="K187" s="67">
        <v>8.6956521739130432E-2</v>
      </c>
      <c r="L187" s="67">
        <v>0.16847826086956522</v>
      </c>
      <c r="M187" s="67">
        <v>0.30958721704394143</v>
      </c>
      <c r="N187" s="67">
        <v>0.21371504660452731</v>
      </c>
      <c r="O187" s="67">
        <v>0.58279569892473115</v>
      </c>
      <c r="P187" s="67">
        <v>0.52024922118380057</v>
      </c>
      <c r="Q187" s="67">
        <v>0.42217898832684825</v>
      </c>
    </row>
    <row r="188" spans="1:17" x14ac:dyDescent="0.4">
      <c r="A188" s="69">
        <v>185</v>
      </c>
      <c r="B188" s="66">
        <v>2314.3999999999996</v>
      </c>
      <c r="C188" s="66">
        <v>12.510270270270269</v>
      </c>
      <c r="D188" s="71">
        <v>1.7621621621621621</v>
      </c>
      <c r="E188" s="67">
        <v>0.48108108108108111</v>
      </c>
      <c r="F188" s="67">
        <v>0.24324324324324326</v>
      </c>
      <c r="G188" s="67">
        <v>0.34126984126984128</v>
      </c>
      <c r="H188" s="67">
        <v>0.15277777777777779</v>
      </c>
      <c r="I188" s="68">
        <v>9279.8449612403092</v>
      </c>
      <c r="J188" s="68">
        <v>-8093.0735930735927</v>
      </c>
      <c r="K188" s="67">
        <v>8.6486486486486491E-2</v>
      </c>
      <c r="L188" s="67">
        <v>0.16756756756756758</v>
      </c>
      <c r="M188" s="67">
        <v>0.3082010582010582</v>
      </c>
      <c r="N188" s="67">
        <v>0.21362433862433863</v>
      </c>
      <c r="O188" s="67">
        <v>0.58154506437768239</v>
      </c>
      <c r="P188" s="67">
        <v>0.52012383900928794</v>
      </c>
      <c r="Q188" s="67">
        <v>0.42248062015503873</v>
      </c>
    </row>
    <row r="189" spans="1:17" x14ac:dyDescent="0.4">
      <c r="A189" s="69">
        <v>186</v>
      </c>
      <c r="B189" s="66">
        <v>2307.6999999999998</v>
      </c>
      <c r="C189" s="66">
        <v>12.406989247311827</v>
      </c>
      <c r="D189" s="71">
        <v>1.7634408602150538</v>
      </c>
      <c r="E189" s="67">
        <v>0.478494623655914</v>
      </c>
      <c r="F189" s="67">
        <v>0.24193548387096775</v>
      </c>
      <c r="G189" s="67">
        <v>0.33946158896913986</v>
      </c>
      <c r="H189" s="67">
        <v>0.15167432698621142</v>
      </c>
      <c r="I189" s="68">
        <v>9277.3694390715664</v>
      </c>
      <c r="J189" s="68">
        <v>-8093.0735930735927</v>
      </c>
      <c r="K189" s="67">
        <v>8.6021505376344093E-2</v>
      </c>
      <c r="L189" s="67">
        <v>0.16666666666666666</v>
      </c>
      <c r="M189" s="67">
        <v>0.30728824688115564</v>
      </c>
      <c r="N189" s="67">
        <v>0.21339461588969139</v>
      </c>
      <c r="O189" s="67">
        <v>0.58119658119658124</v>
      </c>
      <c r="P189" s="67">
        <v>0.51692307692307693</v>
      </c>
      <c r="Q189" s="67">
        <v>0.42166344294003866</v>
      </c>
    </row>
    <row r="190" spans="1:17" x14ac:dyDescent="0.4">
      <c r="A190" s="69">
        <v>187</v>
      </c>
      <c r="B190" s="66">
        <v>2348.1</v>
      </c>
      <c r="C190" s="66">
        <v>12.55668449197861</v>
      </c>
      <c r="D190" s="71">
        <v>1.7593582887700534</v>
      </c>
      <c r="E190" s="67">
        <v>0.48128342245989303</v>
      </c>
      <c r="F190" s="67">
        <v>0.24064171122994651</v>
      </c>
      <c r="G190" s="67">
        <v>0.33920417482061316</v>
      </c>
      <c r="H190" s="67">
        <v>0.15068493150684931</v>
      </c>
      <c r="I190" s="68">
        <v>9293.8461538461543</v>
      </c>
      <c r="J190" s="68">
        <v>-8093.0735930735927</v>
      </c>
      <c r="K190" s="67">
        <v>8.5561497326203204E-2</v>
      </c>
      <c r="L190" s="67">
        <v>0.16577540106951871</v>
      </c>
      <c r="M190" s="67">
        <v>0.30789302022178733</v>
      </c>
      <c r="N190" s="67">
        <v>0.21200260926288322</v>
      </c>
      <c r="O190" s="67">
        <v>0.58050847457627119</v>
      </c>
      <c r="P190" s="67">
        <v>0.51692307692307693</v>
      </c>
      <c r="Q190" s="67">
        <v>0.42499999999999999</v>
      </c>
    </row>
    <row r="191" spans="1:17" x14ac:dyDescent="0.4">
      <c r="A191" s="69">
        <v>188</v>
      </c>
      <c r="B191" s="66">
        <v>2290.1</v>
      </c>
      <c r="C191" s="66">
        <v>12.181382978723404</v>
      </c>
      <c r="D191" s="71">
        <v>1.7659574468085106</v>
      </c>
      <c r="E191" s="67">
        <v>0.47872340425531917</v>
      </c>
      <c r="F191" s="67">
        <v>0.24468085106382978</v>
      </c>
      <c r="G191" s="67">
        <v>0.33832140533506833</v>
      </c>
      <c r="H191" s="67">
        <v>0.15159401431359792</v>
      </c>
      <c r="I191" s="68">
        <v>9293.8461538461543</v>
      </c>
      <c r="J191" s="68">
        <v>-8152.3605150214589</v>
      </c>
      <c r="K191" s="67">
        <v>9.0425531914893623E-2</v>
      </c>
      <c r="L191" s="67">
        <v>0.16489361702127658</v>
      </c>
      <c r="M191" s="67">
        <v>0.30839297332465843</v>
      </c>
      <c r="N191" s="67">
        <v>0.2114508783344177</v>
      </c>
      <c r="O191" s="67">
        <v>0.57805907172995785</v>
      </c>
      <c r="P191" s="67">
        <v>0.51692307692307693</v>
      </c>
      <c r="Q191" s="67">
        <v>0.42499999999999999</v>
      </c>
    </row>
    <row r="192" spans="1:17" x14ac:dyDescent="0.4">
      <c r="A192" s="69">
        <v>189</v>
      </c>
      <c r="B192" s="66">
        <v>2337.6</v>
      </c>
      <c r="C192" s="66">
        <v>12.368253968253967</v>
      </c>
      <c r="D192" s="71">
        <v>1.7619047619047619</v>
      </c>
      <c r="E192" s="67">
        <v>0.48148148148148145</v>
      </c>
      <c r="F192" s="67">
        <v>0.24338624338624337</v>
      </c>
      <c r="G192" s="67">
        <v>0.34</v>
      </c>
      <c r="H192" s="67">
        <v>0.15096774193548387</v>
      </c>
      <c r="I192" s="68">
        <v>9226.944971537001</v>
      </c>
      <c r="J192" s="68">
        <v>-8168.8034188034189</v>
      </c>
      <c r="K192" s="67">
        <v>8.9947089947089942E-2</v>
      </c>
      <c r="L192" s="67">
        <v>0.1693121693121693</v>
      </c>
      <c r="M192" s="67">
        <v>0.30774193548387097</v>
      </c>
      <c r="N192" s="67">
        <v>0.21225806451612902</v>
      </c>
      <c r="O192" s="67">
        <v>0.5765199161425576</v>
      </c>
      <c r="P192" s="67">
        <v>0.52279635258358659</v>
      </c>
      <c r="Q192" s="67">
        <v>0.42125237191650855</v>
      </c>
    </row>
    <row r="193" spans="1:17" x14ac:dyDescent="0.4">
      <c r="A193" s="69">
        <v>190</v>
      </c>
      <c r="B193" s="66">
        <v>2335.6999999999998</v>
      </c>
      <c r="C193" s="66">
        <v>12.293157894736842</v>
      </c>
      <c r="D193" s="71">
        <v>1.763157894736842</v>
      </c>
      <c r="E193" s="67">
        <v>0.47894736842105262</v>
      </c>
      <c r="F193" s="67">
        <v>0.24210526315789474</v>
      </c>
      <c r="G193" s="67">
        <v>0.33911368015414256</v>
      </c>
      <c r="H193" s="67">
        <v>0.15093127809890816</v>
      </c>
      <c r="I193" s="68">
        <v>9224.621212121212</v>
      </c>
      <c r="J193" s="68">
        <v>-8150.6382978723404</v>
      </c>
      <c r="K193" s="67">
        <v>8.9473684210526316E-2</v>
      </c>
      <c r="L193" s="67">
        <v>0.16842105263157894</v>
      </c>
      <c r="M193" s="67">
        <v>0.30700064226075785</v>
      </c>
      <c r="N193" s="67">
        <v>0.21323057161207451</v>
      </c>
      <c r="O193" s="67">
        <v>0.57740585774058573</v>
      </c>
      <c r="P193" s="67">
        <v>0.51807228915662651</v>
      </c>
      <c r="Q193" s="67">
        <v>0.42045454545454547</v>
      </c>
    </row>
    <row r="194" spans="1:17" x14ac:dyDescent="0.4">
      <c r="A194" s="69">
        <v>191</v>
      </c>
      <c r="B194" s="66">
        <v>2390.1</v>
      </c>
      <c r="C194" s="66">
        <v>12.513612565445026</v>
      </c>
      <c r="D194" s="71">
        <v>1.7591623036649215</v>
      </c>
      <c r="E194" s="67">
        <v>0.48167539267015708</v>
      </c>
      <c r="F194" s="67">
        <v>0.24083769633507854</v>
      </c>
      <c r="G194" s="67">
        <v>0.34015345268542202</v>
      </c>
      <c r="H194" s="67">
        <v>0.15025575447570333</v>
      </c>
      <c r="I194" s="68">
        <v>9217.8571428571431</v>
      </c>
      <c r="J194" s="68">
        <v>-8150.6382978723404</v>
      </c>
      <c r="K194" s="67">
        <v>8.9005235602094238E-2</v>
      </c>
      <c r="L194" s="67">
        <v>0.17277486910994763</v>
      </c>
      <c r="M194" s="67">
        <v>0.30754475703324807</v>
      </c>
      <c r="N194" s="67">
        <v>0.21355498721227623</v>
      </c>
      <c r="O194" s="67">
        <v>0.57796257796257799</v>
      </c>
      <c r="P194" s="67">
        <v>0.52095808383233533</v>
      </c>
      <c r="Q194" s="67">
        <v>0.41729323308270677</v>
      </c>
    </row>
    <row r="195" spans="1:17" x14ac:dyDescent="0.4">
      <c r="A195" s="69">
        <v>192</v>
      </c>
      <c r="B195" s="66">
        <v>2392.9</v>
      </c>
      <c r="C195" s="66">
        <v>12.463020833333333</v>
      </c>
      <c r="D195" s="71">
        <v>1.7604166666666667</v>
      </c>
      <c r="E195" s="67">
        <v>0.47916666666666669</v>
      </c>
      <c r="F195" s="67">
        <v>0.23958333333333334</v>
      </c>
      <c r="G195" s="67">
        <v>0.33991088478676001</v>
      </c>
      <c r="H195" s="67">
        <v>0.15022278803309994</v>
      </c>
      <c r="I195" s="68">
        <v>9211.0486891385772</v>
      </c>
      <c r="J195" s="68">
        <v>-8124.5762711864409</v>
      </c>
      <c r="K195" s="67">
        <v>8.8541666666666671E-2</v>
      </c>
      <c r="L195" s="67">
        <v>0.171875</v>
      </c>
      <c r="M195" s="67">
        <v>0.30808402291534054</v>
      </c>
      <c r="N195" s="67">
        <v>0.21323997453851051</v>
      </c>
      <c r="O195" s="67">
        <v>0.57851239669421484</v>
      </c>
      <c r="P195" s="67">
        <v>0.5194029850746269</v>
      </c>
      <c r="Q195" s="67">
        <v>0.41760299625468167</v>
      </c>
    </row>
    <row r="196" spans="1:17" x14ac:dyDescent="0.4">
      <c r="A196" s="69">
        <v>193</v>
      </c>
      <c r="B196" s="66">
        <v>2389.8000000000002</v>
      </c>
      <c r="C196" s="66">
        <v>12.38238341968912</v>
      </c>
      <c r="D196" s="71">
        <v>1.7616580310880829</v>
      </c>
      <c r="E196" s="67">
        <v>0.47668393782383417</v>
      </c>
      <c r="F196" s="67">
        <v>0.23834196891191708</v>
      </c>
      <c r="G196" s="67">
        <v>0.33945535148828371</v>
      </c>
      <c r="H196" s="67">
        <v>0.15009499683343888</v>
      </c>
      <c r="I196" s="68">
        <v>9208.0223880597023</v>
      </c>
      <c r="J196" s="68">
        <v>-8117.2995780590718</v>
      </c>
      <c r="K196" s="67">
        <v>8.8082901554404139E-2</v>
      </c>
      <c r="L196" s="67">
        <v>0.17098445595854922</v>
      </c>
      <c r="M196" s="67">
        <v>0.30715642811906269</v>
      </c>
      <c r="N196" s="67">
        <v>0.21279290690310323</v>
      </c>
      <c r="O196" s="67">
        <v>0.57938144329896912</v>
      </c>
      <c r="P196" s="67">
        <v>0.52083333333333337</v>
      </c>
      <c r="Q196" s="67">
        <v>0.41791044776119401</v>
      </c>
    </row>
    <row r="197" spans="1:17" x14ac:dyDescent="0.4">
      <c r="A197" s="69">
        <v>194</v>
      </c>
      <c r="B197" s="66">
        <v>2355.3000000000002</v>
      </c>
      <c r="C197" s="66">
        <v>12.140721649484536</v>
      </c>
      <c r="D197" s="71">
        <v>1.768041237113402</v>
      </c>
      <c r="E197" s="67">
        <v>0.47422680412371132</v>
      </c>
      <c r="F197" s="67">
        <v>0.2422680412371134</v>
      </c>
      <c r="G197" s="67">
        <v>0.33880126182965298</v>
      </c>
      <c r="H197" s="67">
        <v>0.15078864353312302</v>
      </c>
      <c r="I197" s="68">
        <v>9213.2216014897585</v>
      </c>
      <c r="J197" s="68">
        <v>-8133.0543933054396</v>
      </c>
      <c r="K197" s="67">
        <v>8.7628865979381437E-2</v>
      </c>
      <c r="L197" s="67">
        <v>0.17010309278350516</v>
      </c>
      <c r="M197" s="67">
        <v>0.305993690851735</v>
      </c>
      <c r="N197" s="67">
        <v>0.21324921135646688</v>
      </c>
      <c r="O197" s="67">
        <v>0.57938144329896912</v>
      </c>
      <c r="P197" s="67">
        <v>0.52071005917159763</v>
      </c>
      <c r="Q197" s="67">
        <v>0.41899441340782123</v>
      </c>
    </row>
    <row r="198" spans="1:17" x14ac:dyDescent="0.4">
      <c r="A198" s="69">
        <v>195</v>
      </c>
      <c r="B198" s="66">
        <v>2406.4</v>
      </c>
      <c r="C198" s="66">
        <v>12.340512820512821</v>
      </c>
      <c r="D198" s="71">
        <v>1.7641025641025641</v>
      </c>
      <c r="E198" s="67">
        <v>0.47692307692307695</v>
      </c>
      <c r="F198" s="67">
        <v>0.24102564102564103</v>
      </c>
      <c r="G198" s="67">
        <v>0.33896185115697308</v>
      </c>
      <c r="H198" s="67">
        <v>0.15134459036898062</v>
      </c>
      <c r="I198" s="68">
        <v>9223.9852398523981</v>
      </c>
      <c r="J198" s="68">
        <v>-8085.9504132231405</v>
      </c>
      <c r="K198" s="67">
        <v>8.7179487179487175E-2</v>
      </c>
      <c r="L198" s="67">
        <v>0.16923076923076924</v>
      </c>
      <c r="M198" s="67">
        <v>0.30456535334584117</v>
      </c>
      <c r="N198" s="67">
        <v>0.21513445903689807</v>
      </c>
      <c r="O198" s="67">
        <v>0.58110882956878851</v>
      </c>
      <c r="P198" s="67">
        <v>0.51453488372093026</v>
      </c>
      <c r="Q198" s="67">
        <v>0.42066420664206644</v>
      </c>
    </row>
    <row r="199" spans="1:17" x14ac:dyDescent="0.4">
      <c r="A199" s="69">
        <v>196</v>
      </c>
      <c r="B199" s="66">
        <v>2442.9</v>
      </c>
      <c r="C199" s="66">
        <v>12.463775510204082</v>
      </c>
      <c r="D199" s="71">
        <v>1.760204081632653</v>
      </c>
      <c r="E199" s="67">
        <v>0.47959183673469385</v>
      </c>
      <c r="F199" s="67">
        <v>0.23979591836734693</v>
      </c>
      <c r="G199" s="67">
        <v>0.33871970167806092</v>
      </c>
      <c r="H199" s="67">
        <v>0.15102548166563082</v>
      </c>
      <c r="I199" s="68">
        <v>9226.0550458715588</v>
      </c>
      <c r="J199" s="68">
        <v>-8085.5967078189296</v>
      </c>
      <c r="K199" s="67">
        <v>8.673469387755102E-2</v>
      </c>
      <c r="L199" s="67">
        <v>0.1683673469387755</v>
      </c>
      <c r="M199" s="67">
        <v>0.30267246737103792</v>
      </c>
      <c r="N199" s="67">
        <v>0.21628340584213798</v>
      </c>
      <c r="O199" s="67">
        <v>0.58110882956878851</v>
      </c>
      <c r="P199" s="67">
        <v>0.51436781609195403</v>
      </c>
      <c r="Q199" s="67">
        <v>0.42018348623853213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5E0A1-3671-477F-8E5D-F76354472F80}">
  <sheetPr codeName="Sheet6"/>
  <dimension ref="A1:Q30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0</v>
      </c>
      <c r="C271" s="66">
        <v>0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0</v>
      </c>
      <c r="C272" s="66">
        <v>0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0</v>
      </c>
      <c r="C273" s="66">
        <v>0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1.4155343563970746E-15</v>
      </c>
      <c r="C274" s="66">
        <v>1.7411246696150978E-18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-5.3290705182007514E-15</v>
      </c>
      <c r="C275" s="66">
        <v>-6.5307236742656266E-18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-7.1054273576010019E-15</v>
      </c>
      <c r="C276" s="66">
        <v>-8.6757354793663026E-18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-7.1054273576010019E-15</v>
      </c>
      <c r="C277" s="66">
        <v>-8.6440722111934331E-18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-5.3290705182007514E-15</v>
      </c>
      <c r="C278" s="66">
        <v>-6.4594794160009108E-18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">
      <c r="A279" s="69">
        <v>276</v>
      </c>
      <c r="B279" s="66">
        <v>-7.1054273576010019E-15</v>
      </c>
      <c r="C279" s="66">
        <v>-8.5814340067644946E-18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">
      <c r="A280" s="69">
        <v>277</v>
      </c>
      <c r="B280" s="66">
        <v>-7.1054273576010019E-15</v>
      </c>
      <c r="C280" s="66">
        <v>-8.5504541006028906E-18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">
      <c r="A281" s="69">
        <v>278</v>
      </c>
      <c r="B281" s="66">
        <v>-4.9960036108132044E-15</v>
      </c>
      <c r="C281" s="66">
        <v>-5.9904120033731465E-18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">
      <c r="A282" s="69">
        <v>279</v>
      </c>
      <c r="B282" s="66">
        <v>-7.1054273576010019E-15</v>
      </c>
      <c r="C282" s="66">
        <v>-8.4891605228207902E-18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">
      <c r="A283" s="69">
        <v>280</v>
      </c>
      <c r="B283" s="66">
        <v>-7.1054273576010019E-15</v>
      </c>
      <c r="C283" s="66">
        <v>-8.4588420923821458E-18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">
      <c r="A284" s="69">
        <v>281</v>
      </c>
      <c r="B284" s="66">
        <v>-5.3290705182007514E-15</v>
      </c>
      <c r="C284" s="66">
        <v>-6.3215545886129907E-18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">
      <c r="A285" s="69">
        <v>282</v>
      </c>
      <c r="B285" s="66">
        <v>-3.5527136788005009E-15</v>
      </c>
      <c r="C285" s="66">
        <v>-4.1994251522464549E-18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">
      <c r="A286" s="69">
        <v>283</v>
      </c>
      <c r="B286" s="66">
        <v>-3.5527136788005009E-15</v>
      </c>
      <c r="C286" s="66">
        <v>-4.1845861941113082E-18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">
      <c r="A287" s="69">
        <v>284</v>
      </c>
      <c r="B287" s="66">
        <v>0</v>
      </c>
      <c r="C287" s="66">
        <v>0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">
      <c r="A288" s="69">
        <v>285</v>
      </c>
      <c r="B288" s="66">
        <v>0</v>
      </c>
      <c r="C288" s="66">
        <v>0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  <row r="289" spans="1:17" x14ac:dyDescent="0.4">
      <c r="A289" s="69">
        <v>286</v>
      </c>
      <c r="B289" s="66">
        <v>-4.2188474935755949E-15</v>
      </c>
      <c r="C289" s="66">
        <v>-4.9170716708340265E-18</v>
      </c>
      <c r="D289" s="71">
        <v>2</v>
      </c>
      <c r="E289" s="67">
        <v>0.33333333333333331</v>
      </c>
      <c r="F289" s="67">
        <v>0.33333333333333331</v>
      </c>
      <c r="G289" s="67">
        <v>0.2978395061728395</v>
      </c>
      <c r="H289" s="67">
        <v>0.16568462401795736</v>
      </c>
      <c r="I289" s="68">
        <v>8705.605275553462</v>
      </c>
      <c r="J289" s="68">
        <v>-8204.8264182895855</v>
      </c>
      <c r="K289" s="67">
        <v>0.12237762237762238</v>
      </c>
      <c r="L289" s="67">
        <v>0.12237762237762238</v>
      </c>
      <c r="M289" s="67">
        <v>0.27216610549943882</v>
      </c>
      <c r="N289" s="67">
        <v>0.21085858585858586</v>
      </c>
      <c r="O289" s="67">
        <v>0.57680412371134016</v>
      </c>
      <c r="P289" s="67">
        <v>0.39520958083832336</v>
      </c>
      <c r="Q289" s="67">
        <v>0.43570419218087614</v>
      </c>
    </row>
    <row r="290" spans="1:17" x14ac:dyDescent="0.4">
      <c r="A290" s="69">
        <v>287</v>
      </c>
      <c r="B290" s="66">
        <v>0</v>
      </c>
      <c r="C290" s="66">
        <v>0</v>
      </c>
      <c r="D290" s="71">
        <v>2</v>
      </c>
      <c r="E290" s="67">
        <v>0.33333333333333331</v>
      </c>
      <c r="F290" s="67">
        <v>0.33333333333333331</v>
      </c>
      <c r="G290" s="67">
        <v>0.29780388865575608</v>
      </c>
      <c r="H290" s="67">
        <v>0.16533780948384388</v>
      </c>
      <c r="I290" s="68">
        <v>8696.8060122123061</v>
      </c>
      <c r="J290" s="68">
        <v>-8204.3993231810491</v>
      </c>
      <c r="K290" s="67">
        <v>0.12195121951219512</v>
      </c>
      <c r="L290" s="67">
        <v>0.12195121951219512</v>
      </c>
      <c r="M290" s="67">
        <v>0.27178626381312071</v>
      </c>
      <c r="N290" s="67">
        <v>0.21191775073436844</v>
      </c>
      <c r="O290" s="67">
        <v>0.57694287184765825</v>
      </c>
      <c r="P290" s="67">
        <v>0.39405940594059408</v>
      </c>
      <c r="Q290" s="67">
        <v>0.43682480037576327</v>
      </c>
    </row>
    <row r="291" spans="1:17" x14ac:dyDescent="0.4">
      <c r="A291" s="69">
        <v>288</v>
      </c>
      <c r="B291" s="66">
        <v>7.1054273576010019E-15</v>
      </c>
      <c r="C291" s="66">
        <v>8.2238742564826406E-18</v>
      </c>
      <c r="D291" s="71">
        <v>2</v>
      </c>
      <c r="E291" s="67">
        <v>0.33333333333333331</v>
      </c>
      <c r="F291" s="67">
        <v>0.33333333333333331</v>
      </c>
      <c r="G291" s="67">
        <v>0.29792276592778477</v>
      </c>
      <c r="H291" s="67">
        <v>0.16562107904642409</v>
      </c>
      <c r="I291" s="68">
        <v>8693.6359382311657</v>
      </c>
      <c r="J291" s="68">
        <v>-8195.9595959595954</v>
      </c>
      <c r="K291" s="67">
        <v>0.12152777777777778</v>
      </c>
      <c r="L291" s="67">
        <v>0.12152777777777778</v>
      </c>
      <c r="M291" s="67">
        <v>0.2715739578976718</v>
      </c>
      <c r="N291" s="67">
        <v>0.21260281611599052</v>
      </c>
      <c r="O291" s="67">
        <v>0.57751540041067762</v>
      </c>
      <c r="P291" s="67">
        <v>0.39409836065573772</v>
      </c>
      <c r="Q291" s="67">
        <v>0.4361254094525035</v>
      </c>
    </row>
    <row r="292" spans="1:17" x14ac:dyDescent="0.4">
      <c r="A292" s="69">
        <v>289</v>
      </c>
      <c r="B292" s="66">
        <v>1.1546319456101628E-14</v>
      </c>
      <c r="C292" s="66">
        <v>1.3317554159286768E-17</v>
      </c>
      <c r="D292" s="71">
        <v>2</v>
      </c>
      <c r="E292" s="67">
        <v>0.33333333333333331</v>
      </c>
      <c r="F292" s="67">
        <v>0.33333333333333331</v>
      </c>
      <c r="G292" s="67">
        <v>0.29805555555555557</v>
      </c>
      <c r="H292" s="67">
        <v>0.16569444444444445</v>
      </c>
      <c r="I292" s="68">
        <v>8696.5051258154708</v>
      </c>
      <c r="J292" s="68">
        <v>-8195.4735959765294</v>
      </c>
      <c r="K292" s="67">
        <v>0.12110726643598616</v>
      </c>
      <c r="L292" s="67">
        <v>0.12110726643598616</v>
      </c>
      <c r="M292" s="67">
        <v>0.27152777777777776</v>
      </c>
      <c r="N292" s="67">
        <v>0.21249999999999999</v>
      </c>
      <c r="O292" s="67">
        <v>0.57749360613810741</v>
      </c>
      <c r="P292" s="67">
        <v>0.39477124183006534</v>
      </c>
      <c r="Q292" s="67">
        <v>0.43616029822926372</v>
      </c>
    </row>
    <row r="293" spans="1:17" x14ac:dyDescent="0.4">
      <c r="A293" s="69">
        <v>290</v>
      </c>
      <c r="B293" s="66">
        <v>1.0658141036401503E-14</v>
      </c>
      <c r="C293" s="66">
        <v>1.2250736823450003E-17</v>
      </c>
      <c r="D293" s="71">
        <v>2</v>
      </c>
      <c r="E293" s="67">
        <v>0.33333333333333331</v>
      </c>
      <c r="F293" s="67">
        <v>0.33333333333333331</v>
      </c>
      <c r="G293" s="67">
        <v>0.29814353006372957</v>
      </c>
      <c r="H293" s="67">
        <v>0.16597395400387918</v>
      </c>
      <c r="I293" s="68">
        <v>8693.5873605947963</v>
      </c>
      <c r="J293" s="68">
        <v>-8189.5659432387311</v>
      </c>
      <c r="K293" s="67">
        <v>0.1206896551724138</v>
      </c>
      <c r="L293" s="67">
        <v>0.1206896551724138</v>
      </c>
      <c r="M293" s="67">
        <v>0.27154336381269051</v>
      </c>
      <c r="N293" s="67">
        <v>0.21252424494319755</v>
      </c>
      <c r="O293" s="67">
        <v>0.57806122448979591</v>
      </c>
      <c r="P293" s="67">
        <v>0.39504563233376794</v>
      </c>
      <c r="Q293" s="67">
        <v>0.4354089219330855</v>
      </c>
    </row>
    <row r="294" spans="1:17" x14ac:dyDescent="0.4">
      <c r="A294" s="69">
        <v>291</v>
      </c>
      <c r="B294" s="66">
        <v>1.6875389974302379E-14</v>
      </c>
      <c r="C294" s="66">
        <v>1.9330343613175691E-17</v>
      </c>
      <c r="D294" s="71">
        <v>2</v>
      </c>
      <c r="E294" s="67">
        <v>0.33333333333333331</v>
      </c>
      <c r="F294" s="67">
        <v>0.33333333333333331</v>
      </c>
      <c r="G294" s="67">
        <v>0.2982456140350877</v>
      </c>
      <c r="H294" s="67">
        <v>0.1661831744716121</v>
      </c>
      <c r="I294" s="68">
        <v>8687.0773506252899</v>
      </c>
      <c r="J294" s="68">
        <v>-8174.4804655029093</v>
      </c>
      <c r="K294" s="67">
        <v>0.12142038946162657</v>
      </c>
      <c r="L294" s="67">
        <v>0.12142038946162657</v>
      </c>
      <c r="M294" s="67">
        <v>0.27130819173919052</v>
      </c>
      <c r="N294" s="67">
        <v>0.21273656582400885</v>
      </c>
      <c r="O294" s="67">
        <v>0.57739307535641549</v>
      </c>
      <c r="P294" s="67">
        <v>0.39675324675324675</v>
      </c>
      <c r="Q294" s="67">
        <v>0.43492357572950441</v>
      </c>
    </row>
    <row r="295" spans="1:17" x14ac:dyDescent="0.4">
      <c r="A295" s="69">
        <v>292</v>
      </c>
      <c r="B295" s="66">
        <v>1.2878587085651816E-14</v>
      </c>
      <c r="C295" s="66">
        <v>1.4701583431109378E-17</v>
      </c>
      <c r="D295" s="71">
        <v>2</v>
      </c>
      <c r="E295" s="67">
        <v>0.33333333333333331</v>
      </c>
      <c r="F295" s="67">
        <v>0.33333333333333331</v>
      </c>
      <c r="G295" s="67">
        <v>0.29833264434339257</v>
      </c>
      <c r="H295" s="67">
        <v>0.1664599696844426</v>
      </c>
      <c r="I295" s="68">
        <v>8679.7690531177832</v>
      </c>
      <c r="J295" s="68">
        <v>-8164.0728476821196</v>
      </c>
      <c r="K295" s="67">
        <v>0.12100456621004566</v>
      </c>
      <c r="L295" s="67">
        <v>0.12100456621004566</v>
      </c>
      <c r="M295" s="67">
        <v>0.27104864268981671</v>
      </c>
      <c r="N295" s="67">
        <v>0.21289789169078133</v>
      </c>
      <c r="O295" s="67">
        <v>0.57752923233350284</v>
      </c>
      <c r="P295" s="67">
        <v>0.39676375404530745</v>
      </c>
      <c r="Q295" s="67">
        <v>0.43418013856812931</v>
      </c>
    </row>
    <row r="296" spans="1:17" x14ac:dyDescent="0.4">
      <c r="A296" s="69">
        <v>293</v>
      </c>
      <c r="B296" s="66">
        <v>1.4210854715202004E-14</v>
      </c>
      <c r="C296" s="66">
        <v>1.6167070210696249E-17</v>
      </c>
      <c r="D296" s="71">
        <v>2</v>
      </c>
      <c r="E296" s="67">
        <v>0.33333333333333331</v>
      </c>
      <c r="F296" s="67">
        <v>0.33333333333333331</v>
      </c>
      <c r="G296" s="67">
        <v>0.29829623522945864</v>
      </c>
      <c r="H296" s="67">
        <v>0.16639186589722452</v>
      </c>
      <c r="I296" s="68">
        <v>8681.4831874712108</v>
      </c>
      <c r="J296" s="68">
        <v>-8161.3542526837327</v>
      </c>
      <c r="K296" s="67">
        <v>0.12059158134243458</v>
      </c>
      <c r="L296" s="67">
        <v>0.12059158134243458</v>
      </c>
      <c r="M296" s="67">
        <v>0.27122835943940643</v>
      </c>
      <c r="N296" s="67">
        <v>0.21283319593294861</v>
      </c>
      <c r="O296" s="67">
        <v>0.57750759878419455</v>
      </c>
      <c r="P296" s="67">
        <v>0.39638476436410586</v>
      </c>
      <c r="Q296" s="67">
        <v>0.43436204514048826</v>
      </c>
    </row>
    <row r="297" spans="1:17" x14ac:dyDescent="0.4">
      <c r="A297" s="69">
        <v>294</v>
      </c>
      <c r="B297" s="66">
        <v>1.0658141036401503E-14</v>
      </c>
      <c r="C297" s="66">
        <v>1.2084060131974493E-17</v>
      </c>
      <c r="D297" s="71">
        <v>2</v>
      </c>
      <c r="E297" s="67">
        <v>0.33333333333333331</v>
      </c>
      <c r="F297" s="67">
        <v>0.33333333333333331</v>
      </c>
      <c r="G297" s="67">
        <v>0.29841139413859219</v>
      </c>
      <c r="H297" s="67">
        <v>0.16666666666666666</v>
      </c>
      <c r="I297" s="68">
        <v>8672.3726480036712</v>
      </c>
      <c r="J297" s="68">
        <v>-8150.6162695152016</v>
      </c>
      <c r="K297" s="67">
        <v>0.12018140589569161</v>
      </c>
      <c r="L297" s="67">
        <v>0.12018140589569161</v>
      </c>
      <c r="M297" s="67">
        <v>0.27102163790742262</v>
      </c>
      <c r="N297" s="67">
        <v>0.2126814571350315</v>
      </c>
      <c r="O297" s="67">
        <v>0.5775644264780192</v>
      </c>
      <c r="P297" s="67">
        <v>0.39729555698647778</v>
      </c>
      <c r="Q297" s="67">
        <v>0.43368517668655349</v>
      </c>
    </row>
    <row r="298" spans="1:17" x14ac:dyDescent="0.4">
      <c r="A298" s="69">
        <v>295</v>
      </c>
      <c r="B298" s="66">
        <v>9.936496070395151E-15</v>
      </c>
      <c r="C298" s="66">
        <v>1.1227679175587742E-17</v>
      </c>
      <c r="D298" s="71">
        <v>2</v>
      </c>
      <c r="E298" s="67">
        <v>0.33333333333333331</v>
      </c>
      <c r="F298" s="67">
        <v>0.33333333333333331</v>
      </c>
      <c r="G298" s="67">
        <v>0.29855428259683581</v>
      </c>
      <c r="H298" s="67">
        <v>0.16639388979814512</v>
      </c>
      <c r="I298" s="68">
        <v>8669.25536774783</v>
      </c>
      <c r="J298" s="68">
        <v>-8148.8524590163934</v>
      </c>
      <c r="K298" s="67">
        <v>0.11977401129943503</v>
      </c>
      <c r="L298" s="67">
        <v>0.11977401129943503</v>
      </c>
      <c r="M298" s="67">
        <v>0.27073104200763776</v>
      </c>
      <c r="N298" s="67">
        <v>0.21276595744680851</v>
      </c>
      <c r="O298" s="67">
        <v>0.57783375314861463</v>
      </c>
      <c r="P298" s="67">
        <v>0.39807692307692305</v>
      </c>
      <c r="Q298" s="67">
        <v>0.43490178163544996</v>
      </c>
    </row>
    <row r="299" spans="1:17" x14ac:dyDescent="0.4">
      <c r="A299" s="69">
        <v>296</v>
      </c>
      <c r="B299" s="66">
        <v>0</v>
      </c>
      <c r="C299" s="66">
        <v>0</v>
      </c>
      <c r="D299" s="71">
        <v>2</v>
      </c>
      <c r="E299" s="67">
        <v>0.33333333333333331</v>
      </c>
      <c r="F299" s="67">
        <v>0.33333333333333331</v>
      </c>
      <c r="G299" s="67">
        <v>0.29830278343516631</v>
      </c>
      <c r="H299" s="67">
        <v>0.16632722335369993</v>
      </c>
      <c r="I299" s="68">
        <v>8665.9080564406013</v>
      </c>
      <c r="J299" s="68">
        <v>-8145.4693877551017</v>
      </c>
      <c r="K299" s="67">
        <v>0.11936936936936937</v>
      </c>
      <c r="L299" s="67">
        <v>0.11936936936936937</v>
      </c>
      <c r="M299" s="67">
        <v>0.27060420909708077</v>
      </c>
      <c r="N299" s="67">
        <v>0.21249151391717583</v>
      </c>
      <c r="O299" s="67">
        <v>0.57852483692925238</v>
      </c>
      <c r="P299" s="67">
        <v>0.39808306709265173</v>
      </c>
      <c r="Q299" s="67">
        <v>0.43468365953573052</v>
      </c>
    </row>
    <row r="300" spans="1:17" x14ac:dyDescent="0.4">
      <c r="A300" s="69">
        <v>297</v>
      </c>
      <c r="B300" s="66">
        <v>0</v>
      </c>
      <c r="C300" s="66">
        <v>0</v>
      </c>
      <c r="D300" s="71">
        <v>2</v>
      </c>
      <c r="E300" s="67">
        <v>0.33333333333333331</v>
      </c>
      <c r="F300" s="67">
        <v>0.33333333333333331</v>
      </c>
      <c r="G300" s="67">
        <v>0.2984448951994591</v>
      </c>
      <c r="H300" s="67">
        <v>0.16605814739688979</v>
      </c>
      <c r="I300" s="68">
        <v>8660.8971454463081</v>
      </c>
      <c r="J300" s="68">
        <v>-8135.9120521172636</v>
      </c>
      <c r="K300" s="67">
        <v>0.11896745230078563</v>
      </c>
      <c r="L300" s="67">
        <v>0.11896745230078563</v>
      </c>
      <c r="M300" s="67">
        <v>0.27072346179851253</v>
      </c>
      <c r="N300" s="67">
        <v>0.21217038539553754</v>
      </c>
      <c r="O300" s="67">
        <v>0.57842157842157838</v>
      </c>
      <c r="P300" s="67">
        <v>0.39834289356277885</v>
      </c>
      <c r="Q300" s="67">
        <v>0.43588581785228819</v>
      </c>
    </row>
    <row r="301" spans="1:17" x14ac:dyDescent="0.4">
      <c r="A301" s="69">
        <v>298</v>
      </c>
      <c r="B301" s="66">
        <v>-2.886579864025407E-15</v>
      </c>
      <c r="C301" s="66">
        <v>-3.228836536941171E-18</v>
      </c>
      <c r="D301" s="71">
        <v>2</v>
      </c>
      <c r="E301" s="67">
        <v>0.33333333333333331</v>
      </c>
      <c r="F301" s="67">
        <v>0.33333333333333331</v>
      </c>
      <c r="G301" s="67">
        <v>0.29850141757796678</v>
      </c>
      <c r="H301" s="67">
        <v>0.16619414067773727</v>
      </c>
      <c r="I301" s="68">
        <v>8666.3952962460426</v>
      </c>
      <c r="J301" s="68">
        <v>-8144.3541835905771</v>
      </c>
      <c r="K301" s="67">
        <v>0.11968680089485459</v>
      </c>
      <c r="L301" s="67">
        <v>0.11968680089485459</v>
      </c>
      <c r="M301" s="67">
        <v>0.27095990279465371</v>
      </c>
      <c r="N301" s="67">
        <v>0.21182665046577562</v>
      </c>
      <c r="O301" s="67">
        <v>0.57797708021923266</v>
      </c>
      <c r="P301" s="67">
        <v>0.39834289356277885</v>
      </c>
      <c r="Q301" s="67">
        <v>0.43554952510176392</v>
      </c>
    </row>
    <row r="302" spans="1:17" x14ac:dyDescent="0.4">
      <c r="A302" s="69">
        <v>299</v>
      </c>
      <c r="B302" s="66">
        <v>-7.1054273576010019E-15</v>
      </c>
      <c r="C302" s="66">
        <v>-7.9213236985518414E-18</v>
      </c>
      <c r="D302" s="71">
        <v>2</v>
      </c>
      <c r="E302" s="67">
        <v>0.33333333333333331</v>
      </c>
      <c r="F302" s="67">
        <v>0.33333333333333331</v>
      </c>
      <c r="G302" s="67">
        <v>0.29854955680902501</v>
      </c>
      <c r="H302" s="67">
        <v>0.16639806607574537</v>
      </c>
      <c r="I302" s="68">
        <v>8650.5623031938812</v>
      </c>
      <c r="J302" s="68">
        <v>-8124.7780468119454</v>
      </c>
      <c r="K302" s="67">
        <v>0.12040133779264214</v>
      </c>
      <c r="L302" s="67">
        <v>0.12040133779264214</v>
      </c>
      <c r="M302" s="67">
        <v>0.27061509535320977</v>
      </c>
      <c r="N302" s="67">
        <v>0.21179156594144508</v>
      </c>
      <c r="O302" s="67">
        <v>0.57766749379652604</v>
      </c>
      <c r="P302" s="67">
        <v>0.398858592263792</v>
      </c>
      <c r="Q302" s="67">
        <v>0.43499775078722447</v>
      </c>
    </row>
    <row r="303" spans="1:17" x14ac:dyDescent="0.4">
      <c r="A303" s="69">
        <v>300</v>
      </c>
      <c r="B303" s="66">
        <v>-7.1054273576010019E-15</v>
      </c>
      <c r="C303" s="66">
        <v>-7.8949192862233354E-18</v>
      </c>
      <c r="D303" s="71">
        <v>2</v>
      </c>
      <c r="E303" s="67">
        <v>0.33333333333333331</v>
      </c>
      <c r="F303" s="67">
        <v>0.33333333333333331</v>
      </c>
      <c r="G303" s="67">
        <v>0.29837953662782912</v>
      </c>
      <c r="H303" s="67">
        <v>0.16633186018481319</v>
      </c>
      <c r="I303" s="68">
        <v>8644.2100538599643</v>
      </c>
      <c r="J303" s="68">
        <v>-8118.9210950080515</v>
      </c>
      <c r="K303" s="67">
        <v>0.12</v>
      </c>
      <c r="L303" s="67">
        <v>0.12</v>
      </c>
      <c r="M303" s="67">
        <v>0.27079148252310165</v>
      </c>
      <c r="N303" s="67">
        <v>0.21186554171688765</v>
      </c>
      <c r="O303" s="67">
        <v>0.5771513353115727</v>
      </c>
      <c r="P303" s="67">
        <v>0.39823008849557523</v>
      </c>
      <c r="Q303" s="67">
        <v>0.43491921005385997</v>
      </c>
    </row>
    <row r="304" spans="1:17" x14ac:dyDescent="0.4">
      <c r="A304" s="69">
        <v>301</v>
      </c>
      <c r="B304" s="66">
        <v>-7.1054273576010019E-15</v>
      </c>
      <c r="C304" s="66">
        <v>-7.8686903184950183E-18</v>
      </c>
      <c r="D304" s="71">
        <v>2</v>
      </c>
      <c r="E304" s="67">
        <v>0.33333333333333331</v>
      </c>
      <c r="F304" s="67">
        <v>0.33333333333333331</v>
      </c>
      <c r="G304" s="67">
        <v>0.29834401709401709</v>
      </c>
      <c r="H304" s="67">
        <v>0.16653311965811965</v>
      </c>
      <c r="I304" s="68">
        <v>8640.2417188898835</v>
      </c>
      <c r="J304" s="68">
        <v>-8114.6752205292705</v>
      </c>
      <c r="K304" s="67">
        <v>0.12070874861572536</v>
      </c>
      <c r="L304" s="67">
        <v>0.12070874861572536</v>
      </c>
      <c r="M304" s="67">
        <v>0.27083333333333331</v>
      </c>
      <c r="N304" s="67">
        <v>0.21167200854700854</v>
      </c>
      <c r="O304" s="67">
        <v>0.57692307692307687</v>
      </c>
      <c r="P304" s="67">
        <v>0.39936908517350156</v>
      </c>
      <c r="Q304" s="67">
        <v>0.43419874664279318</v>
      </c>
    </row>
    <row r="305" spans="1:17" x14ac:dyDescent="0.4">
      <c r="A305" s="69">
        <v>302</v>
      </c>
      <c r="B305" s="66">
        <v>-7.1054273576010019E-15</v>
      </c>
      <c r="C305" s="66">
        <v>-7.8426350525397371E-18</v>
      </c>
      <c r="D305" s="71">
        <v>2</v>
      </c>
      <c r="E305" s="67">
        <v>0.33333333333333331</v>
      </c>
      <c r="F305" s="67">
        <v>0.33333333333333331</v>
      </c>
      <c r="G305" s="67">
        <v>0.29830869623118922</v>
      </c>
      <c r="H305" s="67">
        <v>0.16660007990411507</v>
      </c>
      <c r="I305" s="68">
        <v>8641.2053571428569</v>
      </c>
      <c r="J305" s="68">
        <v>-8110.4716227018389</v>
      </c>
      <c r="K305" s="67">
        <v>0.12030905077262694</v>
      </c>
      <c r="L305" s="67">
        <v>0.12030905077262694</v>
      </c>
      <c r="M305" s="67">
        <v>0.27060860300972167</v>
      </c>
      <c r="N305" s="67">
        <v>0.2121454254894127</v>
      </c>
      <c r="O305" s="67">
        <v>0.57677165354330706</v>
      </c>
      <c r="P305" s="67">
        <v>0.3992467043314501</v>
      </c>
      <c r="Q305" s="67">
        <v>0.43392857142857144</v>
      </c>
    </row>
    <row r="306" spans="1:17" x14ac:dyDescent="0.4">
      <c r="A306" s="69">
        <v>303</v>
      </c>
      <c r="B306" s="66">
        <v>-7.1054273576010019E-15</v>
      </c>
      <c r="C306" s="66">
        <v>-7.8167517685379554E-18</v>
      </c>
      <c r="D306" s="71">
        <v>2</v>
      </c>
      <c r="E306" s="67">
        <v>0.33333333333333331</v>
      </c>
      <c r="F306" s="67">
        <v>0.33333333333333331</v>
      </c>
      <c r="G306" s="67">
        <v>0.29828753484667464</v>
      </c>
      <c r="H306" s="67">
        <v>0.16660029204832072</v>
      </c>
      <c r="I306" s="68">
        <v>8642.3676012461056</v>
      </c>
      <c r="J306" s="68">
        <v>-8106.2151394422308</v>
      </c>
      <c r="K306" s="67">
        <v>0.11991199119911991</v>
      </c>
      <c r="L306" s="67">
        <v>0.11991199119911991</v>
      </c>
      <c r="M306" s="67">
        <v>0.27001194743130225</v>
      </c>
      <c r="N306" s="67">
        <v>0.21239877870702242</v>
      </c>
      <c r="O306" s="67">
        <v>0.57718780727630281</v>
      </c>
      <c r="P306" s="67">
        <v>0.39937499999999998</v>
      </c>
      <c r="Q306" s="67">
        <v>0.43391188251001334</v>
      </c>
    </row>
    <row r="307" spans="1:17" x14ac:dyDescent="0.4">
      <c r="A307" s="69">
        <v>304</v>
      </c>
      <c r="B307" s="66">
        <v>-7.1054273576010019E-15</v>
      </c>
      <c r="C307" s="66">
        <v>-7.7910387692993437E-18</v>
      </c>
      <c r="D307" s="71">
        <v>2</v>
      </c>
      <c r="E307" s="67">
        <v>0.33333333333333331</v>
      </c>
      <c r="F307" s="67">
        <v>0.33333333333333331</v>
      </c>
      <c r="G307" s="67">
        <v>0.29823864388822674</v>
      </c>
      <c r="H307" s="67">
        <v>0.16646801748112833</v>
      </c>
      <c r="I307" s="68">
        <v>8642.7175843694495</v>
      </c>
      <c r="J307" s="68">
        <v>-8109.2283214001591</v>
      </c>
      <c r="K307" s="67">
        <v>0.11951754385964912</v>
      </c>
      <c r="L307" s="67">
        <v>0.11951754385964912</v>
      </c>
      <c r="M307" s="67">
        <v>0.269500728380347</v>
      </c>
      <c r="N307" s="67">
        <v>0.21242219573566415</v>
      </c>
      <c r="O307" s="67">
        <v>0.57739557739557734</v>
      </c>
      <c r="P307" s="67">
        <v>0.39962593516209477</v>
      </c>
      <c r="Q307" s="67">
        <v>0.43428063943161632</v>
      </c>
    </row>
    <row r="308" spans="1:17" x14ac:dyDescent="0.4">
      <c r="A308" s="69">
        <v>305</v>
      </c>
      <c r="B308" s="66">
        <v>-7.1054273576010019E-15</v>
      </c>
      <c r="C308" s="66">
        <v>-7.7654943798918053E-18</v>
      </c>
      <c r="D308" s="71">
        <v>2</v>
      </c>
      <c r="E308" s="67">
        <v>0.33333333333333331</v>
      </c>
      <c r="F308" s="67">
        <v>0.33333333333333331</v>
      </c>
      <c r="G308" s="67">
        <v>0.29830106677202689</v>
      </c>
      <c r="H308" s="67">
        <v>0.16633741604109048</v>
      </c>
      <c r="I308" s="68">
        <v>8632.7593818984551</v>
      </c>
      <c r="J308" s="68">
        <v>-8090.7363420427555</v>
      </c>
      <c r="K308" s="67">
        <v>0.11912568306010929</v>
      </c>
      <c r="L308" s="67">
        <v>0.11912568306010929</v>
      </c>
      <c r="M308" s="67">
        <v>0.2695904122217832</v>
      </c>
      <c r="N308" s="67">
        <v>0.21269590412221784</v>
      </c>
      <c r="O308" s="67">
        <v>0.57645334636052759</v>
      </c>
      <c r="P308" s="67">
        <v>0.39814241486068114</v>
      </c>
      <c r="Q308" s="67">
        <v>0.43443708609271525</v>
      </c>
    </row>
    <row r="309" spans="1:17" x14ac:dyDescent="0.4">
      <c r="A309" s="69">
        <v>306</v>
      </c>
      <c r="B309" s="66">
        <v>-7.1054273576010019E-15</v>
      </c>
      <c r="C309" s="66">
        <v>-7.7401169472777806E-18</v>
      </c>
      <c r="D309" s="71">
        <v>2</v>
      </c>
      <c r="E309" s="67">
        <v>0.33333333333333331</v>
      </c>
      <c r="F309" s="67">
        <v>0.33333333333333331</v>
      </c>
      <c r="G309" s="67">
        <v>0.29843893480257117</v>
      </c>
      <c r="H309" s="67">
        <v>0.16633871179325724</v>
      </c>
      <c r="I309" s="68">
        <v>8620.7912087912082</v>
      </c>
      <c r="J309" s="68">
        <v>-8089.3533123028392</v>
      </c>
      <c r="K309" s="67">
        <v>0.11873638344226579</v>
      </c>
      <c r="L309" s="67">
        <v>0.11873638344226579</v>
      </c>
      <c r="M309" s="67">
        <v>0.26905417814508725</v>
      </c>
      <c r="N309" s="67">
        <v>0.21290830381739473</v>
      </c>
      <c r="O309" s="67">
        <v>0.57630424183325202</v>
      </c>
      <c r="P309" s="67">
        <v>0.39802834257547753</v>
      </c>
      <c r="Q309" s="67">
        <v>0.43472527472527472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2019-07-15T15:15:01Z</dcterms:modified>
</cp:coreProperties>
</file>