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5DE51CC4-41D1-4A70-AB63-3B518DAF9C0F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2" i="5587" l="1"/>
  <c r="H51" i="5587"/>
  <c r="H50" i="5587"/>
  <c r="H49" i="5587"/>
  <c r="H48" i="5587"/>
  <c r="H47" i="5587"/>
  <c r="H46" i="5587"/>
  <c r="H45" i="5587"/>
  <c r="H44" i="5587"/>
  <c r="H43" i="5587"/>
  <c r="H42" i="5587"/>
  <c r="H41" i="5587"/>
  <c r="H40" i="5587"/>
  <c r="H39" i="5587"/>
  <c r="H38" i="5587"/>
  <c r="H37" i="5587"/>
  <c r="H36" i="5587"/>
  <c r="H35" i="5587"/>
  <c r="H34" i="5587"/>
  <c r="H33" i="5587"/>
  <c r="H32" i="5587"/>
  <c r="H31" i="5587"/>
  <c r="H30" i="5587"/>
  <c r="H29" i="5587"/>
  <c r="H28" i="5587"/>
  <c r="H27" i="5587"/>
  <c r="C27" i="5587"/>
  <c r="H26" i="5587"/>
  <c r="H25" i="5587"/>
  <c r="H24" i="5587"/>
  <c r="B24" i="5587"/>
  <c r="H23" i="5587"/>
  <c r="B23" i="5587"/>
  <c r="H22" i="5587"/>
  <c r="H21" i="5587"/>
  <c r="H20" i="5587"/>
  <c r="C20" i="5587"/>
  <c r="H19" i="5587"/>
  <c r="C19" i="5587"/>
  <c r="O18" i="5587"/>
  <c r="H18" i="5587"/>
  <c r="C18" i="5587"/>
  <c r="O17" i="5587"/>
  <c r="H17" i="5587"/>
  <c r="C17" i="5587"/>
  <c r="B17" i="5587"/>
  <c r="O16" i="5587"/>
  <c r="H16" i="5587"/>
  <c r="C16" i="5587"/>
  <c r="O15" i="5587"/>
  <c r="H15" i="5587"/>
  <c r="C15" i="5587"/>
  <c r="H14" i="5587"/>
  <c r="C14" i="5587"/>
  <c r="H13" i="5587"/>
  <c r="C13" i="5587"/>
  <c r="O12" i="5587"/>
  <c r="H12" i="5587"/>
  <c r="C12" i="5587"/>
  <c r="O11" i="5587"/>
  <c r="H11" i="5587"/>
  <c r="C11" i="5587"/>
  <c r="O10" i="5587"/>
  <c r="H10" i="5587"/>
  <c r="C10" i="5587"/>
  <c r="H9" i="5587"/>
  <c r="C9" i="5587"/>
  <c r="H8" i="5587"/>
  <c r="C8" i="5587"/>
  <c r="O7" i="5587"/>
  <c r="H7" i="5587"/>
  <c r="C7" i="5587"/>
  <c r="O6" i="5587"/>
  <c r="H6" i="5587"/>
  <c r="B6" i="5587"/>
  <c r="O5" i="5587"/>
  <c r="H5" i="5587"/>
  <c r="B5" i="5587"/>
  <c r="O4" i="5587"/>
  <c r="H4" i="5587"/>
  <c r="O3" i="5587"/>
  <c r="H3" i="5587"/>
  <c r="O2" i="5587"/>
  <c r="H2" i="5587"/>
  <c r="H52" i="5585"/>
  <c r="H51" i="5585"/>
  <c r="H50" i="5585"/>
  <c r="H49" i="5585"/>
  <c r="H48" i="5585"/>
  <c r="H47" i="5585"/>
  <c r="H46" i="5585"/>
  <c r="H45" i="5585"/>
  <c r="H44" i="5585"/>
  <c r="H43" i="5585"/>
  <c r="H42" i="5585"/>
  <c r="H41" i="5585"/>
  <c r="H40" i="5585"/>
  <c r="H39" i="5585"/>
  <c r="H38" i="5585"/>
  <c r="H37" i="5585"/>
  <c r="H36" i="5585"/>
  <c r="H35" i="5585"/>
  <c r="H34" i="5585"/>
  <c r="H33" i="5585"/>
  <c r="H32" i="5585"/>
  <c r="H31" i="5585"/>
  <c r="H30" i="5585"/>
  <c r="H29" i="5585"/>
  <c r="H28" i="5585"/>
  <c r="H27" i="5585"/>
  <c r="C27" i="5585"/>
  <c r="H26" i="5585"/>
  <c r="H25" i="5585"/>
  <c r="H24" i="5585"/>
  <c r="B24" i="5585"/>
  <c r="H23" i="5585"/>
  <c r="B23" i="5585"/>
  <c r="H22" i="5585"/>
  <c r="H21" i="5585"/>
  <c r="H20" i="5585"/>
  <c r="C20" i="5585"/>
  <c r="H19" i="5585"/>
  <c r="C19" i="5585"/>
  <c r="O18" i="5585"/>
  <c r="H18" i="5585"/>
  <c r="C18" i="5585"/>
  <c r="O17" i="5585"/>
  <c r="H17" i="5585"/>
  <c r="C17" i="5585"/>
  <c r="B17" i="5585"/>
  <c r="O16" i="5585"/>
  <c r="H16" i="5585"/>
  <c r="C16" i="5585"/>
  <c r="O15" i="5585"/>
  <c r="H15" i="5585"/>
  <c r="C15" i="5585"/>
  <c r="H14" i="5585"/>
  <c r="C14" i="5585"/>
  <c r="H13" i="5585"/>
  <c r="C13" i="5585"/>
  <c r="O12" i="5585"/>
  <c r="H12" i="5585"/>
  <c r="C12" i="5585"/>
  <c r="O11" i="5585"/>
  <c r="H11" i="5585"/>
  <c r="C11" i="5585"/>
  <c r="O10" i="5585"/>
  <c r="H10" i="5585"/>
  <c r="C10" i="5585"/>
  <c r="H9" i="5585"/>
  <c r="C9" i="5585"/>
  <c r="H8" i="5585"/>
  <c r="C8" i="5585"/>
  <c r="O7" i="5585"/>
  <c r="H7" i="5585"/>
  <c r="C7" i="5585"/>
  <c r="O6" i="5585"/>
  <c r="H6" i="5585"/>
  <c r="B6" i="5585"/>
  <c r="O5" i="5585"/>
  <c r="H5" i="5585"/>
  <c r="B5" i="5585"/>
  <c r="O4" i="5585"/>
  <c r="H4" i="5585"/>
  <c r="O3" i="5585"/>
  <c r="H3" i="5585"/>
  <c r="O2" i="5585"/>
  <c r="H2" i="5585"/>
  <c r="H52" i="5583"/>
  <c r="H51" i="5583"/>
  <c r="H50" i="5583"/>
  <c r="H49" i="5583"/>
  <c r="H48" i="5583"/>
  <c r="H47" i="5583"/>
  <c r="H46" i="5583"/>
  <c r="H45" i="5583"/>
  <c r="H44" i="5583"/>
  <c r="H43" i="5583"/>
  <c r="H42" i="5583"/>
  <c r="H41" i="5583"/>
  <c r="H40" i="5583"/>
  <c r="H39" i="5583"/>
  <c r="H38" i="5583"/>
  <c r="H37" i="5583"/>
  <c r="H36" i="5583"/>
  <c r="H35" i="5583"/>
  <c r="H34" i="5583"/>
  <c r="H33" i="5583"/>
  <c r="H32" i="5583"/>
  <c r="H31" i="5583"/>
  <c r="H30" i="5583"/>
  <c r="H29" i="5583"/>
  <c r="H28" i="5583"/>
  <c r="H27" i="5583"/>
  <c r="C27" i="5583"/>
  <c r="H26" i="5583"/>
  <c r="H25" i="5583"/>
  <c r="H24" i="5583"/>
  <c r="B24" i="5583"/>
  <c r="H23" i="5583"/>
  <c r="B23" i="5583"/>
  <c r="H22" i="5583"/>
  <c r="H21" i="5583"/>
  <c r="H20" i="5583"/>
  <c r="C20" i="5583"/>
  <c r="H19" i="5583"/>
  <c r="C19" i="5583"/>
  <c r="H18" i="5583"/>
  <c r="C18" i="5583"/>
  <c r="H17" i="5583"/>
  <c r="C17" i="5583"/>
  <c r="B17" i="5583"/>
  <c r="O16" i="5583"/>
  <c r="H16" i="5583"/>
  <c r="C16" i="5583"/>
  <c r="O15" i="5583"/>
  <c r="H15" i="5583"/>
  <c r="C15" i="5583"/>
  <c r="H14" i="5583"/>
  <c r="C14" i="5583"/>
  <c r="H13" i="5583"/>
  <c r="C13" i="5583"/>
  <c r="O12" i="5583"/>
  <c r="H12" i="5583"/>
  <c r="C12" i="5583"/>
  <c r="O11" i="5583"/>
  <c r="H11" i="5583"/>
  <c r="C11" i="5583"/>
  <c r="O10" i="5583"/>
  <c r="H10" i="5583"/>
  <c r="C10" i="5583"/>
  <c r="H9" i="5583"/>
  <c r="C9" i="5583"/>
  <c r="H8" i="5583"/>
  <c r="C8" i="5583"/>
  <c r="O7" i="5583"/>
  <c r="H7" i="5583"/>
  <c r="C7" i="5583"/>
  <c r="O6" i="5583"/>
  <c r="H6" i="5583"/>
  <c r="B6" i="5583"/>
  <c r="O5" i="5583"/>
  <c r="H5" i="5583"/>
  <c r="B5" i="5583"/>
  <c r="O4" i="5583"/>
  <c r="H4" i="5583"/>
  <c r="O3" i="5583"/>
  <c r="H3" i="5583"/>
  <c r="O2" i="5583"/>
  <c r="H2" i="5583"/>
  <c r="H52" i="5581"/>
  <c r="H51" i="5581"/>
  <c r="H50" i="5581"/>
  <c r="H49" i="5581"/>
  <c r="H48" i="5581"/>
  <c r="H47" i="5581"/>
  <c r="H46" i="5581"/>
  <c r="H45" i="5581"/>
  <c r="H44" i="5581"/>
  <c r="H43" i="5581"/>
  <c r="H42" i="5581"/>
  <c r="H41" i="5581"/>
  <c r="H40" i="5581"/>
  <c r="H39" i="5581"/>
  <c r="H38" i="5581"/>
  <c r="H37" i="5581"/>
  <c r="H36" i="5581"/>
  <c r="H35" i="5581"/>
  <c r="H34" i="5581"/>
  <c r="H33" i="5581"/>
  <c r="H32" i="5581"/>
  <c r="H31" i="5581"/>
  <c r="H30" i="5581"/>
  <c r="H29" i="5581"/>
  <c r="H28" i="5581"/>
  <c r="H27" i="5581"/>
  <c r="C27" i="5581"/>
  <c r="H26" i="5581"/>
  <c r="H25" i="5581"/>
  <c r="H24" i="5581"/>
  <c r="B24" i="5581"/>
  <c r="H23" i="5581"/>
  <c r="B23" i="5581"/>
  <c r="O22" i="5581"/>
  <c r="H22" i="5581"/>
  <c r="O21" i="5581"/>
  <c r="H21" i="5581"/>
  <c r="O20" i="5581"/>
  <c r="H20" i="5581"/>
  <c r="C20" i="5581"/>
  <c r="O19" i="5581"/>
  <c r="H19" i="5581"/>
  <c r="C19" i="5581"/>
  <c r="O18" i="5581"/>
  <c r="H18" i="5581"/>
  <c r="C18" i="5581"/>
  <c r="O17" i="5581"/>
  <c r="H17" i="5581"/>
  <c r="C17" i="5581"/>
  <c r="B17" i="5581"/>
  <c r="O16" i="5581"/>
  <c r="H16" i="5581"/>
  <c r="C16" i="5581"/>
  <c r="O15" i="5581"/>
  <c r="H15" i="5581"/>
  <c r="C15" i="5581"/>
  <c r="H14" i="5581"/>
  <c r="C14" i="5581"/>
  <c r="H13" i="5581"/>
  <c r="C13" i="5581"/>
  <c r="O12" i="5581"/>
  <c r="H12" i="5581"/>
  <c r="C12" i="5581"/>
  <c r="O11" i="5581"/>
  <c r="H11" i="5581"/>
  <c r="C11" i="5581"/>
  <c r="O10" i="5581"/>
  <c r="H10" i="5581"/>
  <c r="C10" i="5581"/>
  <c r="H9" i="5581"/>
  <c r="C9" i="5581"/>
  <c r="H8" i="5581"/>
  <c r="C8" i="5581"/>
  <c r="O7" i="5581"/>
  <c r="H7" i="5581"/>
  <c r="C7" i="5581"/>
  <c r="O6" i="5581"/>
  <c r="H6" i="5581"/>
  <c r="B6" i="5581"/>
  <c r="O5" i="5581"/>
  <c r="H5" i="5581"/>
  <c r="B5" i="5581"/>
  <c r="O4" i="5581"/>
  <c r="H4" i="5581"/>
  <c r="O3" i="5581"/>
  <c r="H3" i="5581"/>
  <c r="O2" i="5581"/>
  <c r="H2" i="5581"/>
  <c r="H52" i="5579"/>
  <c r="H51" i="5579"/>
  <c r="H50" i="5579"/>
  <c r="H49" i="5579"/>
  <c r="H48" i="5579"/>
  <c r="H47" i="5579"/>
  <c r="H46" i="5579"/>
  <c r="H45" i="5579"/>
  <c r="H44" i="5579"/>
  <c r="H43" i="5579"/>
  <c r="H42" i="5579"/>
  <c r="H41" i="5579"/>
  <c r="H40" i="5579"/>
  <c r="H39" i="5579"/>
  <c r="H38" i="5579"/>
  <c r="H37" i="5579"/>
  <c r="H36" i="5579"/>
  <c r="H35" i="5579"/>
  <c r="H34" i="5579"/>
  <c r="H33" i="5579"/>
  <c r="H32" i="5579"/>
  <c r="H31" i="5579"/>
  <c r="H30" i="5579"/>
  <c r="H29" i="5579"/>
  <c r="H28" i="5579"/>
  <c r="H27" i="5579"/>
  <c r="C27" i="5579"/>
  <c r="H26" i="5579"/>
  <c r="H25" i="5579"/>
  <c r="H24" i="5579"/>
  <c r="B24" i="5579"/>
  <c r="O23" i="5579"/>
  <c r="H23" i="5579"/>
  <c r="B23" i="5579"/>
  <c r="O22" i="5579"/>
  <c r="H22" i="5579"/>
  <c r="O21" i="5579"/>
  <c r="H21" i="5579"/>
  <c r="O20" i="5579"/>
  <c r="H20" i="5579"/>
  <c r="C20" i="5579"/>
  <c r="O19" i="5579"/>
  <c r="H19" i="5579"/>
  <c r="C19" i="5579"/>
  <c r="O18" i="5579"/>
  <c r="H18" i="5579"/>
  <c r="C18" i="5579"/>
  <c r="O17" i="5579"/>
  <c r="H17" i="5579"/>
  <c r="C17" i="5579"/>
  <c r="B17" i="5579"/>
  <c r="O16" i="5579"/>
  <c r="H16" i="5579"/>
  <c r="C16" i="5579"/>
  <c r="O15" i="5579"/>
  <c r="H15" i="5579"/>
  <c r="C15" i="5579"/>
  <c r="H14" i="5579"/>
  <c r="C14" i="5579"/>
  <c r="H13" i="5579"/>
  <c r="C13" i="5579"/>
  <c r="O12" i="5579"/>
  <c r="H12" i="5579"/>
  <c r="C12" i="5579"/>
  <c r="O11" i="5579"/>
  <c r="H11" i="5579"/>
  <c r="C11" i="5579"/>
  <c r="O10" i="5579"/>
  <c r="H10" i="5579"/>
  <c r="C10" i="5579"/>
  <c r="H9" i="5579"/>
  <c r="C9" i="5579"/>
  <c r="H8" i="5579"/>
  <c r="C8" i="5579"/>
  <c r="O7" i="5579"/>
  <c r="H7" i="5579"/>
  <c r="C7" i="5579"/>
  <c r="O6" i="5579"/>
  <c r="H6" i="5579"/>
  <c r="B6" i="5579"/>
  <c r="O5" i="5579"/>
  <c r="H5" i="5579"/>
  <c r="B5" i="5579"/>
  <c r="O4" i="5579"/>
  <c r="H4" i="5579"/>
  <c r="O3" i="5579"/>
  <c r="H3" i="5579"/>
  <c r="O2" i="5579"/>
  <c r="H2" i="5579"/>
  <c r="H52" i="5577"/>
  <c r="H51" i="5577"/>
  <c r="H50" i="5577"/>
  <c r="H49" i="5577"/>
  <c r="H48" i="5577"/>
  <c r="H47" i="5577"/>
  <c r="H46" i="5577"/>
  <c r="H45" i="5577"/>
  <c r="H44" i="5577"/>
  <c r="H43" i="5577"/>
  <c r="H42" i="5577"/>
  <c r="H41" i="5577"/>
  <c r="H40" i="5577"/>
  <c r="H39" i="5577"/>
  <c r="H38" i="5577"/>
  <c r="H37" i="5577"/>
  <c r="H36" i="5577"/>
  <c r="H35" i="5577"/>
  <c r="H34" i="5577"/>
  <c r="H33" i="5577"/>
  <c r="H32" i="5577"/>
  <c r="H31" i="5577"/>
  <c r="H30" i="5577"/>
  <c r="H29" i="5577"/>
  <c r="H28" i="5577"/>
  <c r="H27" i="5577"/>
  <c r="C27" i="5577"/>
  <c r="H26" i="5577"/>
  <c r="H25" i="5577"/>
  <c r="H24" i="5577"/>
  <c r="B24" i="5577"/>
  <c r="H23" i="5577"/>
  <c r="B23" i="5577"/>
  <c r="H22" i="5577"/>
  <c r="H21" i="5577"/>
  <c r="H20" i="5577"/>
  <c r="C20" i="5577"/>
  <c r="H19" i="5577"/>
  <c r="C19" i="5577"/>
  <c r="O18" i="5577"/>
  <c r="H18" i="5577"/>
  <c r="C18" i="5577"/>
  <c r="O17" i="5577"/>
  <c r="H17" i="5577"/>
  <c r="C17" i="5577"/>
  <c r="B17" i="5577"/>
  <c r="O16" i="5577"/>
  <c r="H16" i="5577"/>
  <c r="C16" i="5577"/>
  <c r="O15" i="5577"/>
  <c r="H15" i="5577"/>
  <c r="C15" i="5577"/>
  <c r="H14" i="5577"/>
  <c r="C14" i="5577"/>
  <c r="H13" i="5577"/>
  <c r="C13" i="5577"/>
  <c r="O12" i="5577"/>
  <c r="H12" i="5577"/>
  <c r="C12" i="5577"/>
  <c r="O11" i="5577"/>
  <c r="H11" i="5577"/>
  <c r="C11" i="5577"/>
  <c r="O10" i="5577"/>
  <c r="H10" i="5577"/>
  <c r="C10" i="5577"/>
  <c r="H9" i="5577"/>
  <c r="C9" i="5577"/>
  <c r="H8" i="5577"/>
  <c r="C8" i="5577"/>
  <c r="O7" i="5577"/>
  <c r="H7" i="5577"/>
  <c r="C7" i="5577"/>
  <c r="O6" i="5577"/>
  <c r="H6" i="5577"/>
  <c r="B6" i="5577"/>
  <c r="O5" i="5577"/>
  <c r="H5" i="5577"/>
  <c r="B5" i="5577"/>
  <c r="O4" i="5577"/>
  <c r="H4" i="5577"/>
  <c r="O3" i="5577"/>
  <c r="H3" i="5577"/>
  <c r="O2" i="5577"/>
  <c r="H2" i="5577"/>
  <c r="H52" i="5575"/>
  <c r="C27" i="5575"/>
  <c r="O24" i="5575"/>
  <c r="B24" i="5575"/>
  <c r="O23" i="5575"/>
  <c r="O21" i="5575"/>
  <c r="O22" i="5575"/>
  <c r="O20" i="5575"/>
  <c r="C20" i="5575"/>
  <c r="O19" i="5575"/>
  <c r="O18" i="5575"/>
  <c r="O17" i="5575"/>
  <c r="B17" i="5575"/>
  <c r="H6" i="5575" s="1"/>
  <c r="O16" i="5575"/>
  <c r="C16" i="5575"/>
  <c r="O15" i="5575"/>
  <c r="C15" i="5575"/>
  <c r="C14" i="5575"/>
  <c r="C13" i="5575"/>
  <c r="O12" i="5575"/>
  <c r="H20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H52" i="5573"/>
  <c r="H49" i="5573"/>
  <c r="H48" i="5573"/>
  <c r="H47" i="5573"/>
  <c r="H46" i="5573"/>
  <c r="H45" i="5573"/>
  <c r="H43" i="5573"/>
  <c r="H42" i="5573"/>
  <c r="H41" i="5573"/>
  <c r="H40" i="5573"/>
  <c r="H39" i="5573"/>
  <c r="H38" i="5573"/>
  <c r="H37" i="5573"/>
  <c r="H36" i="5573"/>
  <c r="H35" i="5573"/>
  <c r="H34" i="5573"/>
  <c r="H33" i="5573"/>
  <c r="H32" i="5573"/>
  <c r="H31" i="5573"/>
  <c r="H30" i="5573"/>
  <c r="H28" i="5573"/>
  <c r="H26" i="5573"/>
  <c r="H23" i="5573"/>
  <c r="H22" i="5573"/>
  <c r="H20" i="5573"/>
  <c r="H18" i="5573"/>
  <c r="C27" i="5573"/>
  <c r="H15" i="5573"/>
  <c r="H14" i="5573"/>
  <c r="O24" i="5573"/>
  <c r="H13" i="5573"/>
  <c r="B24" i="5573"/>
  <c r="O23" i="5573"/>
  <c r="H12" i="5573"/>
  <c r="B23" i="5573"/>
  <c r="O22" i="5573"/>
  <c r="H44" i="5573"/>
  <c r="O21" i="5573"/>
  <c r="H25" i="5573"/>
  <c r="O20" i="5573"/>
  <c r="H19" i="5573"/>
  <c r="C20" i="5573"/>
  <c r="O19" i="5573"/>
  <c r="H50" i="5573"/>
  <c r="C19" i="5573"/>
  <c r="O18" i="5573"/>
  <c r="H29" i="5573"/>
  <c r="C18" i="5573"/>
  <c r="O17" i="5573"/>
  <c r="H21" i="5573"/>
  <c r="C17" i="5573"/>
  <c r="B17" i="5573"/>
  <c r="O16" i="5573"/>
  <c r="H17" i="5573"/>
  <c r="C16" i="5573"/>
  <c r="O15" i="5573"/>
  <c r="H16" i="5573"/>
  <c r="C15" i="5573"/>
  <c r="H11" i="5573"/>
  <c r="C14" i="5573"/>
  <c r="H24" i="5573"/>
  <c r="C13" i="5573"/>
  <c r="O12" i="5573"/>
  <c r="H9" i="5573"/>
  <c r="C12" i="5573"/>
  <c r="O11" i="5573"/>
  <c r="H3" i="5573"/>
  <c r="C11" i="5573"/>
  <c r="O10" i="5573"/>
  <c r="H8" i="5573"/>
  <c r="C10" i="5573"/>
  <c r="H27" i="5573"/>
  <c r="C9" i="5573"/>
  <c r="H7" i="5573"/>
  <c r="C8" i="5573"/>
  <c r="O7" i="5573"/>
  <c r="H5" i="5573"/>
  <c r="C7" i="5573"/>
  <c r="O6" i="5573"/>
  <c r="H51" i="5573"/>
  <c r="B6" i="5573"/>
  <c r="O5" i="5573"/>
  <c r="H6" i="5573"/>
  <c r="B5" i="5573"/>
  <c r="O4" i="5573"/>
  <c r="H2" i="5573"/>
  <c r="O3" i="5573"/>
  <c r="H10" i="5573"/>
  <c r="O2" i="5573"/>
  <c r="H4" i="5573"/>
  <c r="H52" i="5571"/>
  <c r="H51" i="5571"/>
  <c r="H50" i="5571"/>
  <c r="H49" i="5571"/>
  <c r="H48" i="5571"/>
  <c r="H47" i="5571"/>
  <c r="H46" i="5571"/>
  <c r="H45" i="5571"/>
  <c r="H44" i="5571"/>
  <c r="H43" i="5571"/>
  <c r="H42" i="5571"/>
  <c r="H41" i="5571"/>
  <c r="H40" i="5571"/>
  <c r="H39" i="5571"/>
  <c r="H38" i="5571"/>
  <c r="H37" i="5571"/>
  <c r="H36" i="5571"/>
  <c r="H35" i="5571"/>
  <c r="H34" i="5571"/>
  <c r="H33" i="5571"/>
  <c r="H32" i="5571"/>
  <c r="H31" i="5571"/>
  <c r="H30" i="5571"/>
  <c r="H29" i="5571"/>
  <c r="H28" i="5571"/>
  <c r="H27" i="5571"/>
  <c r="C27" i="5571"/>
  <c r="H26" i="5571"/>
  <c r="H25" i="5571"/>
  <c r="H24" i="5571"/>
  <c r="B24" i="5571"/>
  <c r="O23" i="5571"/>
  <c r="H23" i="5571"/>
  <c r="B23" i="5571"/>
  <c r="O22" i="5571"/>
  <c r="H22" i="5571"/>
  <c r="O21" i="5571"/>
  <c r="H21" i="5571"/>
  <c r="O20" i="5571"/>
  <c r="H20" i="5571"/>
  <c r="C20" i="5571"/>
  <c r="O19" i="5571"/>
  <c r="H19" i="5571"/>
  <c r="C19" i="5571"/>
  <c r="O18" i="5571"/>
  <c r="H18" i="5571"/>
  <c r="C18" i="5571"/>
  <c r="O17" i="5571"/>
  <c r="H17" i="5571"/>
  <c r="C17" i="5571"/>
  <c r="B17" i="5571"/>
  <c r="O16" i="5571"/>
  <c r="H16" i="5571"/>
  <c r="C16" i="5571"/>
  <c r="O15" i="5571"/>
  <c r="H15" i="5571"/>
  <c r="C15" i="5571"/>
  <c r="H14" i="5571"/>
  <c r="C14" i="5571"/>
  <c r="H13" i="5571"/>
  <c r="C13" i="5571"/>
  <c r="O12" i="5571"/>
  <c r="H12" i="5571"/>
  <c r="C12" i="5571"/>
  <c r="O11" i="5571"/>
  <c r="H11" i="5571"/>
  <c r="C11" i="5571"/>
  <c r="O10" i="5571"/>
  <c r="H10" i="5571"/>
  <c r="C10" i="5571"/>
  <c r="H9" i="5571"/>
  <c r="C9" i="5571"/>
  <c r="H8" i="5571"/>
  <c r="C8" i="5571"/>
  <c r="O7" i="5571"/>
  <c r="H7" i="5571"/>
  <c r="C7" i="5571"/>
  <c r="O6" i="5571"/>
  <c r="H6" i="5571"/>
  <c r="B6" i="5571"/>
  <c r="O5" i="5571"/>
  <c r="H5" i="5571"/>
  <c r="B5" i="5571"/>
  <c r="O4" i="5571"/>
  <c r="H4" i="5571"/>
  <c r="O3" i="5571"/>
  <c r="H3" i="5571"/>
  <c r="O2" i="5571"/>
  <c r="H2" i="5571"/>
  <c r="C27" i="5569"/>
  <c r="B24" i="5569"/>
  <c r="O23" i="5569"/>
  <c r="O22" i="5569"/>
  <c r="O21" i="5569"/>
  <c r="O20" i="5569"/>
  <c r="C20" i="5569"/>
  <c r="O19" i="5569"/>
  <c r="O18" i="5569"/>
  <c r="O17" i="5569"/>
  <c r="B17" i="5569"/>
  <c r="H50" i="5569" s="1"/>
  <c r="O16" i="5569"/>
  <c r="C16" i="5569"/>
  <c r="O15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C27" i="5567"/>
  <c r="O24" i="5567"/>
  <c r="B24" i="5567"/>
  <c r="O23" i="5567"/>
  <c r="O22" i="5567"/>
  <c r="O21" i="5567"/>
  <c r="O20" i="5567"/>
  <c r="C20" i="5567"/>
  <c r="O19" i="5567"/>
  <c r="O18" i="5567"/>
  <c r="O17" i="5567"/>
  <c r="B17" i="5567"/>
  <c r="H52" i="5567" s="1"/>
  <c r="O16" i="5567"/>
  <c r="C16" i="5567"/>
  <c r="O15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H52" i="5565"/>
  <c r="H51" i="5565"/>
  <c r="H50" i="5565"/>
  <c r="H49" i="5565"/>
  <c r="H48" i="5565"/>
  <c r="H47" i="5565"/>
  <c r="H46" i="5565"/>
  <c r="H45" i="5565"/>
  <c r="H44" i="5565"/>
  <c r="H43" i="5565"/>
  <c r="H42" i="5565"/>
  <c r="H41" i="5565"/>
  <c r="H40" i="5565"/>
  <c r="H39" i="5565"/>
  <c r="H38" i="5565"/>
  <c r="H37" i="5565"/>
  <c r="H36" i="5565"/>
  <c r="H35" i="5565"/>
  <c r="H34" i="5565"/>
  <c r="H33" i="5565"/>
  <c r="H32" i="5565"/>
  <c r="H31" i="5565"/>
  <c r="H30" i="5565"/>
  <c r="H29" i="5565"/>
  <c r="H28" i="5565"/>
  <c r="H27" i="5565"/>
  <c r="C27" i="5565"/>
  <c r="H26" i="5565"/>
  <c r="H25" i="5565"/>
  <c r="H24" i="5565"/>
  <c r="B24" i="5565"/>
  <c r="H23" i="5565"/>
  <c r="B23" i="5565"/>
  <c r="O22" i="5565"/>
  <c r="H22" i="5565"/>
  <c r="O21" i="5565"/>
  <c r="H21" i="5565"/>
  <c r="O20" i="5565"/>
  <c r="H20" i="5565"/>
  <c r="C20" i="5565"/>
  <c r="O19" i="5565"/>
  <c r="H19" i="5565"/>
  <c r="C19" i="5565"/>
  <c r="O18" i="5565"/>
  <c r="H18" i="5565"/>
  <c r="C18" i="5565"/>
  <c r="O17" i="5565"/>
  <c r="H17" i="5565"/>
  <c r="C17" i="5565"/>
  <c r="B17" i="5565"/>
  <c r="O16" i="5565"/>
  <c r="H16" i="5565"/>
  <c r="C16" i="5565"/>
  <c r="O15" i="5565"/>
  <c r="H15" i="5565"/>
  <c r="C15" i="5565"/>
  <c r="H14" i="5565"/>
  <c r="C14" i="5565"/>
  <c r="H13" i="5565"/>
  <c r="C13" i="5565"/>
  <c r="O12" i="5565"/>
  <c r="H12" i="5565"/>
  <c r="C12" i="5565"/>
  <c r="O11" i="5565"/>
  <c r="H11" i="5565"/>
  <c r="C11" i="5565"/>
  <c r="O10" i="5565"/>
  <c r="H10" i="5565"/>
  <c r="C10" i="5565"/>
  <c r="H9" i="5565"/>
  <c r="C9" i="5565"/>
  <c r="H8" i="5565"/>
  <c r="C8" i="5565"/>
  <c r="O7" i="5565"/>
  <c r="H7" i="5565"/>
  <c r="C7" i="5565"/>
  <c r="O6" i="5565"/>
  <c r="H6" i="5565"/>
  <c r="B6" i="5565"/>
  <c r="O5" i="5565"/>
  <c r="H5" i="5565"/>
  <c r="B5" i="5565"/>
  <c r="O4" i="5565"/>
  <c r="H4" i="5565"/>
  <c r="O3" i="5565"/>
  <c r="H3" i="5565"/>
  <c r="O2" i="5565"/>
  <c r="H2" i="5565"/>
  <c r="C27" i="5563"/>
  <c r="O25" i="5563"/>
  <c r="O24" i="5563"/>
  <c r="B24" i="5563"/>
  <c r="O23" i="5563"/>
  <c r="O22" i="5563"/>
  <c r="O21" i="5563"/>
  <c r="O20" i="5563"/>
  <c r="C20" i="5563"/>
  <c r="O19" i="5563"/>
  <c r="O18" i="5563"/>
  <c r="O17" i="5563"/>
  <c r="B17" i="5563"/>
  <c r="H51" i="5563" s="1"/>
  <c r="O16" i="5563"/>
  <c r="C16" i="5563"/>
  <c r="O15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27" i="5561"/>
  <c r="C27" i="5561"/>
  <c r="O26" i="5561"/>
  <c r="O25" i="5561"/>
  <c r="O24" i="5561"/>
  <c r="B24" i="5561"/>
  <c r="O23" i="5561"/>
  <c r="O22" i="5561"/>
  <c r="O21" i="5561"/>
  <c r="O20" i="5561"/>
  <c r="C20" i="5561"/>
  <c r="O19" i="5561"/>
  <c r="O18" i="5561"/>
  <c r="O17" i="5561"/>
  <c r="B17" i="5561"/>
  <c r="H46" i="5561" s="1"/>
  <c r="O16" i="5561"/>
  <c r="C16" i="5561"/>
  <c r="O15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  <c r="H3" i="5575" l="1"/>
  <c r="H14" i="5575"/>
  <c r="H7" i="5575"/>
  <c r="H30" i="5575"/>
  <c r="H16" i="5575"/>
  <c r="H25" i="5575"/>
  <c r="H29" i="5563"/>
  <c r="H30" i="5563"/>
  <c r="C19" i="5563"/>
  <c r="H45" i="5563"/>
  <c r="H18" i="5563"/>
  <c r="H44" i="5563"/>
  <c r="H46" i="5563"/>
  <c r="H39" i="5563"/>
  <c r="H7" i="5563"/>
  <c r="H16" i="5563"/>
  <c r="H22" i="5563"/>
  <c r="H4" i="5563"/>
  <c r="H12" i="5563"/>
  <c r="H38" i="5575"/>
  <c r="H39" i="5575"/>
  <c r="H11" i="5575"/>
  <c r="H40" i="5575"/>
  <c r="H26" i="5575"/>
  <c r="H4" i="5575"/>
  <c r="H13" i="5575"/>
  <c r="H23" i="5575"/>
  <c r="H45" i="5575"/>
  <c r="H9" i="5575"/>
  <c r="C18" i="5575"/>
  <c r="H15" i="5575"/>
  <c r="H46" i="5575"/>
  <c r="H22" i="5575"/>
  <c r="H29" i="5575"/>
  <c r="H24" i="5575"/>
  <c r="H47" i="5575"/>
  <c r="H10" i="5567"/>
  <c r="H39" i="5567"/>
  <c r="H37" i="5567"/>
  <c r="H13" i="5567"/>
  <c r="H40" i="5567"/>
  <c r="H38" i="5567"/>
  <c r="C18" i="5567"/>
  <c r="H19" i="5567"/>
  <c r="H21" i="5567"/>
  <c r="H25" i="5567"/>
  <c r="H45" i="5567"/>
  <c r="H6" i="5567"/>
  <c r="H4" i="5567"/>
  <c r="H30" i="5567"/>
  <c r="H46" i="5567"/>
  <c r="H24" i="5567"/>
  <c r="H3" i="5567"/>
  <c r="H22" i="5567"/>
  <c r="H12" i="5567"/>
  <c r="C19" i="5567"/>
  <c r="H31" i="5567"/>
  <c r="H47" i="5567"/>
  <c r="C17" i="5567"/>
  <c r="H26" i="5567"/>
  <c r="H7" i="5567"/>
  <c r="H16" i="5567"/>
  <c r="H9" i="5567"/>
  <c r="H32" i="5567"/>
  <c r="H48" i="5567"/>
  <c r="H17" i="5567"/>
  <c r="H27" i="5567"/>
  <c r="H33" i="5567"/>
  <c r="H41" i="5567"/>
  <c r="H49" i="5567"/>
  <c r="H5" i="5567"/>
  <c r="H14" i="5567"/>
  <c r="B23" i="5567"/>
  <c r="H34" i="5567"/>
  <c r="H42" i="5567"/>
  <c r="H50" i="5567"/>
  <c r="H11" i="5567"/>
  <c r="H2" i="5567"/>
  <c r="H8" i="5567"/>
  <c r="H18" i="5567"/>
  <c r="H23" i="5567"/>
  <c r="H28" i="5567"/>
  <c r="H35" i="5567"/>
  <c r="H43" i="5567"/>
  <c r="H51" i="5567"/>
  <c r="H15" i="5567"/>
  <c r="H20" i="5567"/>
  <c r="H29" i="5567"/>
  <c r="H36" i="5567"/>
  <c r="H44" i="5567"/>
  <c r="H28" i="5563"/>
  <c r="H9" i="5563"/>
  <c r="H24" i="5563"/>
  <c r="H31" i="5563"/>
  <c r="H47" i="5563"/>
  <c r="H6" i="5563"/>
  <c r="H52" i="5563"/>
  <c r="H3" i="5563"/>
  <c r="H10" i="5563"/>
  <c r="H13" i="5563"/>
  <c r="H21" i="5563"/>
  <c r="H25" i="5563"/>
  <c r="H37" i="5563"/>
  <c r="H36" i="5563"/>
  <c r="C18" i="5563"/>
  <c r="H38" i="5563"/>
  <c r="H48" i="5575"/>
  <c r="H8" i="5575"/>
  <c r="H21" i="5575"/>
  <c r="C19" i="5575"/>
  <c r="H31" i="5575"/>
  <c r="H32" i="5575"/>
  <c r="H34" i="5575"/>
  <c r="H41" i="5575"/>
  <c r="H49" i="5575"/>
  <c r="H17" i="5575"/>
  <c r="H33" i="5575"/>
  <c r="H35" i="5575"/>
  <c r="H42" i="5575"/>
  <c r="H50" i="5575"/>
  <c r="H5" i="5575"/>
  <c r="H27" i="5575"/>
  <c r="H28" i="5575"/>
  <c r="C17" i="5575"/>
  <c r="B23" i="5575"/>
  <c r="H36" i="5575"/>
  <c r="H43" i="5575"/>
  <c r="H51" i="5575"/>
  <c r="H2" i="5575"/>
  <c r="H12" i="5575"/>
  <c r="H19" i="5575"/>
  <c r="H18" i="5575"/>
  <c r="H10" i="5575"/>
  <c r="H37" i="5575"/>
  <c r="H44" i="5575"/>
  <c r="H8" i="5569"/>
  <c r="H21" i="5569"/>
  <c r="C19" i="5569"/>
  <c r="H24" i="5569"/>
  <c r="H32" i="5569"/>
  <c r="H35" i="5569"/>
  <c r="H43" i="5569"/>
  <c r="H51" i="5569"/>
  <c r="H17" i="5569"/>
  <c r="H36" i="5569"/>
  <c r="H44" i="5569"/>
  <c r="H19" i="5569"/>
  <c r="H20" i="5569"/>
  <c r="H28" i="5569"/>
  <c r="H9" i="5569"/>
  <c r="H5" i="5569"/>
  <c r="C17" i="5569"/>
  <c r="H4" i="5569"/>
  <c r="H11" i="5569"/>
  <c r="H18" i="5569"/>
  <c r="H31" i="5569"/>
  <c r="H33" i="5569"/>
  <c r="H38" i="5569"/>
  <c r="H46" i="5569"/>
  <c r="H52" i="5569"/>
  <c r="H45" i="5569"/>
  <c r="H22" i="5569"/>
  <c r="H30" i="5569"/>
  <c r="H16" i="5569"/>
  <c r="H39" i="5569"/>
  <c r="H47" i="5569"/>
  <c r="B23" i="5569"/>
  <c r="H10" i="5569"/>
  <c r="H7" i="5569"/>
  <c r="H13" i="5569"/>
  <c r="C18" i="5569"/>
  <c r="H23" i="5569"/>
  <c r="H40" i="5569"/>
  <c r="H48" i="5569"/>
  <c r="H37" i="5569"/>
  <c r="H27" i="5569"/>
  <c r="H29" i="5569"/>
  <c r="H15" i="5569"/>
  <c r="H12" i="5569"/>
  <c r="H26" i="5569"/>
  <c r="H41" i="5569"/>
  <c r="H49" i="5569"/>
  <c r="H6" i="5569"/>
  <c r="H2" i="5569"/>
  <c r="H3" i="5569"/>
  <c r="H14" i="5569"/>
  <c r="H25" i="5569"/>
  <c r="H34" i="5569"/>
  <c r="H42" i="5569"/>
  <c r="H8" i="5561"/>
  <c r="H20" i="5561"/>
  <c r="H2" i="5561"/>
  <c r="H26" i="5561"/>
  <c r="H6" i="5561"/>
  <c r="H3" i="5561"/>
  <c r="H14" i="5561"/>
  <c r="B23" i="5561"/>
  <c r="H31" i="5561"/>
  <c r="C17" i="5561"/>
  <c r="H17" i="5561"/>
  <c r="H15" i="5561"/>
  <c r="H33" i="5561"/>
  <c r="H7" i="5561"/>
  <c r="H11" i="5561"/>
  <c r="H5" i="5561"/>
  <c r="H39" i="5561"/>
  <c r="H19" i="5563"/>
  <c r="H32" i="5563"/>
  <c r="H40" i="5563"/>
  <c r="H48" i="5563"/>
  <c r="H5" i="5563"/>
  <c r="H14" i="5563"/>
  <c r="B23" i="5563"/>
  <c r="H26" i="5563"/>
  <c r="H49" i="5563"/>
  <c r="H11" i="5563"/>
  <c r="H33" i="5563"/>
  <c r="H8" i="5563"/>
  <c r="H17" i="5563"/>
  <c r="H23" i="5563"/>
  <c r="H34" i="5563"/>
  <c r="H42" i="5563"/>
  <c r="H50" i="5563"/>
  <c r="C17" i="5563"/>
  <c r="H41" i="5563"/>
  <c r="H2" i="5563"/>
  <c r="H15" i="5563"/>
  <c r="H20" i="5563"/>
  <c r="H27" i="5563"/>
  <c r="H35" i="5563"/>
  <c r="H43" i="5563"/>
  <c r="H47" i="5561"/>
  <c r="H23" i="5561"/>
  <c r="H32" i="5561"/>
  <c r="H40" i="5561"/>
  <c r="H48" i="5561"/>
  <c r="H41" i="5561"/>
  <c r="H49" i="5561"/>
  <c r="H9" i="5561"/>
  <c r="H12" i="5561"/>
  <c r="C18" i="5561"/>
  <c r="H27" i="5561"/>
  <c r="H34" i="5561"/>
  <c r="H42" i="5561"/>
  <c r="H50" i="5561"/>
  <c r="H18" i="5561"/>
  <c r="H21" i="5561"/>
  <c r="H24" i="5561"/>
  <c r="H35" i="5561"/>
  <c r="H43" i="5561"/>
  <c r="H51" i="5561"/>
  <c r="H4" i="5561"/>
  <c r="H10" i="5561"/>
  <c r="H16" i="5561"/>
  <c r="H28" i="5561"/>
  <c r="H36" i="5561"/>
  <c r="H44" i="5561"/>
  <c r="H52" i="5561"/>
  <c r="H13" i="5561"/>
  <c r="C19" i="5561"/>
  <c r="H22" i="5561"/>
  <c r="H25" i="5561"/>
  <c r="H29" i="5561"/>
  <c r="H37" i="5561"/>
  <c r="H45" i="5561"/>
  <c r="H19" i="5561"/>
  <c r="H30" i="5561"/>
  <c r="H38" i="5561"/>
</calcChain>
</file>

<file path=xl/sharedStrings.xml><?xml version="1.0" encoding="utf-8"?>
<sst xmlns="http://schemas.openxmlformats.org/spreadsheetml/2006/main" count="3669" uniqueCount="296">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</sst>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全体!$K$2:$K$983</c:f>
              <c:numCache>
                <c:formatCode>General</c:formatCode>
                <c:ptCount val="9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</c:numCache>
            </c:numRef>
          </c:xVal>
          <c:yVal>
            <c:numRef>
              <c:f>全体!$L$2:$L$983</c:f>
              <c:numCache>
                <c:formatCode>\+0.0;\-0.0;\±0</c:formatCode>
                <c:ptCount val="98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-1.0000000000000071</c:v>
                </c:pt>
                <c:pt idx="967">
                  <c:v>-67.5</c:v>
                </c:pt>
                <c:pt idx="968">
                  <c:v>-20.5</c:v>
                </c:pt>
                <c:pt idx="969">
                  <c:v>-1</c:v>
                </c:pt>
                <c:pt idx="970">
                  <c:v>10.1</c:v>
                </c:pt>
                <c:pt idx="971">
                  <c:v>-36.9</c:v>
                </c:pt>
                <c:pt idx="972">
                  <c:v>-1</c:v>
                </c:pt>
                <c:pt idx="973">
                  <c:v>-1.2</c:v>
                </c:pt>
                <c:pt idx="974">
                  <c:v>-27.5</c:v>
                </c:pt>
                <c:pt idx="975">
                  <c:v>-1</c:v>
                </c:pt>
                <c:pt idx="976">
                  <c:v>-8</c:v>
                </c:pt>
                <c:pt idx="977">
                  <c:v>49.5</c:v>
                </c:pt>
                <c:pt idx="978">
                  <c:v>-1</c:v>
                </c:pt>
                <c:pt idx="979">
                  <c:v>-1.4</c:v>
                </c:pt>
                <c:pt idx="980">
                  <c:v>23.400000000000002</c:v>
                </c:pt>
                <c:pt idx="981">
                  <c:v>-0.99999999999999645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-17.382413087934559</c:v>
                </c:pt>
                <c:pt idx="1">
                  <c:v>-7.3145245559038665</c:v>
                </c:pt>
                <c:pt idx="2">
                  <c:v>14.492753623188406</c:v>
                </c:pt>
                <c:pt idx="3">
                  <c:v>3.6363636363636362</c:v>
                </c:pt>
                <c:pt idx="4">
                  <c:v>-10.840108401084011</c:v>
                </c:pt>
                <c:pt idx="5">
                  <c:v>23.364485981308412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だいち!$K$2:$K$215</c:f>
              <c:numCache>
                <c:formatCode>General</c:formatCode>
                <c:ptCount val="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</c:numCache>
            </c:numRef>
          </c:xVal>
          <c:yVal>
            <c:numRef>
              <c:f>だいち!$L$2:$L$215</c:f>
              <c:numCache>
                <c:formatCode>\+0.0;\-0.0;\±0</c:formatCode>
                <c:ptCount val="21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1204.7169811320755</c:v>
                </c:pt>
                <c:pt idx="1">
                  <c:v>1734.2995169082126</c:v>
                </c:pt>
                <c:pt idx="2">
                  <c:v>812.62626262626259</c:v>
                </c:pt>
                <c:pt idx="3">
                  <c:v>2733.5164835164837</c:v>
                </c:pt>
                <c:pt idx="4">
                  <c:v>1287.5776397515529</c:v>
                </c:pt>
                <c:pt idx="5">
                  <c:v>1272.992700729927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りくと!$K$2:$K$164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りくと!$L$2:$L$164</c:f>
              <c:numCache>
                <c:formatCode>\+0.0;\-0.0;\±0</c:formatCode>
                <c:ptCount val="16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700.61728395061732</c:v>
                </c:pt>
                <c:pt idx="1">
                  <c:v>-1628.0254777070063</c:v>
                </c:pt>
                <c:pt idx="2">
                  <c:v>-369.33333333333331</c:v>
                </c:pt>
                <c:pt idx="3">
                  <c:v>-335.55555555555554</c:v>
                </c:pt>
                <c:pt idx="4">
                  <c:v>212.60504201680672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ただ!$L$2:$L$167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-1856.0975609756097</c:v>
                </c:pt>
                <c:pt idx="1">
                  <c:v>-1511.25</c:v>
                </c:pt>
                <c:pt idx="2">
                  <c:v>898.68421052631584</c:v>
                </c:pt>
                <c:pt idx="3">
                  <c:v>-2911.6788321167883</c:v>
                </c:pt>
                <c:pt idx="4">
                  <c:v>4.8780487804878048</c:v>
                </c:pt>
                <c:pt idx="5">
                  <c:v>-531.19266055045875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れんたろう!$L$2:$L$109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847.6635514018692</c:v>
                </c:pt>
                <c:pt idx="1">
                  <c:v>941.34615384615381</c:v>
                </c:pt>
                <c:pt idx="2">
                  <c:v>1768.421052631579</c:v>
                </c:pt>
                <c:pt idx="3">
                  <c:v>-179.76190476190476</c:v>
                </c:pt>
                <c:pt idx="4">
                  <c:v>-1856</c:v>
                </c:pt>
                <c:pt idx="5">
                  <c:v>-588.05970149253733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たかの!$L$2:$L$105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178.64077669902912</c:v>
                </c:pt>
                <c:pt idx="1">
                  <c:v>-1133.009708737864</c:v>
                </c:pt>
                <c:pt idx="2">
                  <c:v>-993.54838709677415</c:v>
                </c:pt>
                <c:pt idx="3">
                  <c:v>978.40909090909088</c:v>
                </c:pt>
                <c:pt idx="4">
                  <c:v>-159.7560975609756</c:v>
                </c:pt>
                <c:pt idx="5">
                  <c:v>-671.42857142857144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-3356.8965517241381</c:v>
                </c:pt>
                <c:pt idx="1">
                  <c:v>1650</c:v>
                </c:pt>
                <c:pt idx="2">
                  <c:v>-1530.909090909091</c:v>
                </c:pt>
                <c:pt idx="3">
                  <c:v>-4210</c:v>
                </c:pt>
                <c:pt idx="4">
                  <c:v>120.45454545454545</c:v>
                </c:pt>
                <c:pt idx="5">
                  <c:v>-169.04761904761904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695.41284403669727</c:v>
                </c:pt>
                <c:pt idx="1">
                  <c:v>660</c:v>
                </c:pt>
                <c:pt idx="2">
                  <c:v>-583.67346938775506</c:v>
                </c:pt>
                <c:pt idx="3">
                  <c:v>1023.6559139784946</c:v>
                </c:pt>
                <c:pt idx="4">
                  <c:v>-2343.5294117647059</c:v>
                </c:pt>
                <c:pt idx="5">
                  <c:v>898.55072463768113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-5362.5</c:v>
                </c:pt>
                <c:pt idx="1">
                  <c:v>-4025</c:v>
                </c:pt>
                <c:pt idx="2">
                  <c:v>-300</c:v>
                </c:pt>
                <c:pt idx="3">
                  <c:v>3914.2857142857142</c:v>
                </c:pt>
                <c:pt idx="4">
                  <c:v>-6466.666666666667</c:v>
                </c:pt>
                <c:pt idx="5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まっつん2!$B$3:$B$112</c:f>
              <c:numCache>
                <c:formatCode>\+0.0;\-0.0;\±0</c:formatCode>
                <c:ptCount val="11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9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まっつん2!$C$3:$C$112</c:f>
              <c:numCache>
                <c:formatCode>\+0.0;\-0.0;\±0</c:formatCode>
                <c:ptCount val="110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  <c:pt idx="89">
                  <c:v>-0.84831460674157388</c:v>
                </c:pt>
                <c:pt idx="90">
                  <c:v>-0.73888888888888971</c:v>
                </c:pt>
                <c:pt idx="91">
                  <c:v>-0.43516483516483595</c:v>
                </c:pt>
                <c:pt idx="92">
                  <c:v>-7.6086956521747165E-3</c:v>
                </c:pt>
                <c:pt idx="93">
                  <c:v>0.31827956989247236</c:v>
                </c:pt>
                <c:pt idx="94">
                  <c:v>0.60957446808510563</c:v>
                </c:pt>
                <c:pt idx="95">
                  <c:v>0.4978947368421045</c:v>
                </c:pt>
                <c:pt idx="96">
                  <c:v>0.50937499999999925</c:v>
                </c:pt>
                <c:pt idx="97">
                  <c:v>0.20412371134020543</c:v>
                </c:pt>
                <c:pt idx="98">
                  <c:v>0.88877551020408085</c:v>
                </c:pt>
                <c:pt idx="99">
                  <c:v>1.2050505050505043</c:v>
                </c:pt>
                <c:pt idx="100">
                  <c:v>1.1559999999999993</c:v>
                </c:pt>
                <c:pt idx="101">
                  <c:v>1.1049504950495042</c:v>
                </c:pt>
                <c:pt idx="102">
                  <c:v>1.1029411764705876</c:v>
                </c:pt>
                <c:pt idx="103">
                  <c:v>0.65728155339805761</c:v>
                </c:pt>
                <c:pt idx="104">
                  <c:v>0.547115384615384</c:v>
                </c:pt>
                <c:pt idx="105">
                  <c:v>-9.1428571428572053E-2</c:v>
                </c:pt>
                <c:pt idx="106">
                  <c:v>1.4150943396225794E-2</c:v>
                </c:pt>
                <c:pt idx="107">
                  <c:v>1.214953271027976E-2</c:v>
                </c:pt>
                <c:pt idx="108">
                  <c:v>-5.2777777777778388E-2</c:v>
                </c:pt>
                <c:pt idx="109">
                  <c:v>-5.5963302752294185E-2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193679918450525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まっつん2!$D$3:$D$112</c:f>
              <c:numCache>
                <c:formatCode>0.00\ "位"</c:formatCode>
                <c:ptCount val="110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  <c:pt idx="89">
                  <c:v>2.0224719101123596</c:v>
                </c:pt>
                <c:pt idx="90">
                  <c:v>2.0222222222222221</c:v>
                </c:pt>
                <c:pt idx="91">
                  <c:v>2.0109890109890109</c:v>
                </c:pt>
                <c:pt idx="92">
                  <c:v>2</c:v>
                </c:pt>
                <c:pt idx="93">
                  <c:v>1.989247311827957</c:v>
                </c:pt>
                <c:pt idx="94">
                  <c:v>1.9787234042553192</c:v>
                </c:pt>
                <c:pt idx="95">
                  <c:v>1.9789473684210526</c:v>
                </c:pt>
                <c:pt idx="96">
                  <c:v>1.9791666666666667</c:v>
                </c:pt>
                <c:pt idx="97">
                  <c:v>1.9896907216494846</c:v>
                </c:pt>
                <c:pt idx="98">
                  <c:v>1.9795918367346939</c:v>
                </c:pt>
                <c:pt idx="99">
                  <c:v>1.9696969696969697</c:v>
                </c:pt>
                <c:pt idx="100">
                  <c:v>1.97</c:v>
                </c:pt>
                <c:pt idx="101">
                  <c:v>1.9702970297029703</c:v>
                </c:pt>
                <c:pt idx="102">
                  <c:v>1.9705882352941178</c:v>
                </c:pt>
                <c:pt idx="103">
                  <c:v>1.9805825242718447</c:v>
                </c:pt>
                <c:pt idx="104">
                  <c:v>1.9807692307692308</c:v>
                </c:pt>
                <c:pt idx="105">
                  <c:v>1.9904761904761905</c:v>
                </c:pt>
                <c:pt idx="106">
                  <c:v>1.9905660377358489</c:v>
                </c:pt>
                <c:pt idx="107">
                  <c:v>1.9906542056074767</c:v>
                </c:pt>
                <c:pt idx="108">
                  <c:v>1.9907407407407407</c:v>
                </c:pt>
                <c:pt idx="109">
                  <c:v>1.9908256880733946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まっつん2!$E$3:$E$112</c:f>
              <c:numCache>
                <c:formatCode>0.0%</c:formatCode>
                <c:ptCount val="11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  <c:pt idx="89">
                  <c:v>0.3258426966292135</c:v>
                </c:pt>
                <c:pt idx="90">
                  <c:v>0.32222222222222224</c:v>
                </c:pt>
                <c:pt idx="91">
                  <c:v>0.32967032967032966</c:v>
                </c:pt>
                <c:pt idx="92">
                  <c:v>0.33695652173913043</c:v>
                </c:pt>
                <c:pt idx="93">
                  <c:v>0.34408602150537637</c:v>
                </c:pt>
                <c:pt idx="94">
                  <c:v>0.35106382978723405</c:v>
                </c:pt>
                <c:pt idx="95">
                  <c:v>0.3473684210526316</c:v>
                </c:pt>
                <c:pt idx="96">
                  <c:v>0.34375</c:v>
                </c:pt>
                <c:pt idx="97">
                  <c:v>0.34020618556701032</c:v>
                </c:pt>
                <c:pt idx="98">
                  <c:v>0.34693877551020408</c:v>
                </c:pt>
                <c:pt idx="99">
                  <c:v>0.35353535353535354</c:v>
                </c:pt>
                <c:pt idx="100">
                  <c:v>0.35</c:v>
                </c:pt>
                <c:pt idx="101">
                  <c:v>0.34653465346534651</c:v>
                </c:pt>
                <c:pt idx="102">
                  <c:v>0.34313725490196079</c:v>
                </c:pt>
                <c:pt idx="103">
                  <c:v>0.33980582524271846</c:v>
                </c:pt>
                <c:pt idx="104">
                  <c:v>0.33653846153846156</c:v>
                </c:pt>
                <c:pt idx="105">
                  <c:v>0.33333333333333331</c:v>
                </c:pt>
                <c:pt idx="106">
                  <c:v>0.330188679245283</c:v>
                </c:pt>
                <c:pt idx="107">
                  <c:v>0.32710280373831774</c:v>
                </c:pt>
                <c:pt idx="108">
                  <c:v>0.32407407407407407</c:v>
                </c:pt>
                <c:pt idx="109">
                  <c:v>0.32110091743119268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まっつん2!$F$3:$F$112</c:f>
              <c:numCache>
                <c:formatCode>0.0%</c:formatCode>
                <c:ptCount val="110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0.34831460674157305</c:v>
                </c:pt>
                <c:pt idx="90">
                  <c:v>0.34444444444444444</c:v>
                </c:pt>
                <c:pt idx="91">
                  <c:v>0.34065934065934067</c:v>
                </c:pt>
                <c:pt idx="92">
                  <c:v>0.33695652173913043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0.32989690721649484</c:v>
                </c:pt>
                <c:pt idx="98">
                  <c:v>0.32653061224489793</c:v>
                </c:pt>
                <c:pt idx="99">
                  <c:v>0.32323232323232326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0.32038834951456313</c:v>
                </c:pt>
                <c:pt idx="104">
                  <c:v>0.31730769230769229</c:v>
                </c:pt>
                <c:pt idx="105">
                  <c:v>0.32380952380952382</c:v>
                </c:pt>
                <c:pt idx="106">
                  <c:v>0.32075471698113206</c:v>
                </c:pt>
                <c:pt idx="107">
                  <c:v>0.31775700934579437</c:v>
                </c:pt>
                <c:pt idx="108">
                  <c:v>0.31481481481481483</c:v>
                </c:pt>
                <c:pt idx="109">
                  <c:v>0.31192660550458717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まっつん2!$G$3:$G$112</c:f>
              <c:numCache>
                <c:formatCode>0.0%</c:formatCode>
                <c:ptCount val="110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  <c:pt idx="89">
                  <c:v>0.27235213204951858</c:v>
                </c:pt>
                <c:pt idx="90">
                  <c:v>0.27309782608695654</c:v>
                </c:pt>
                <c:pt idx="91">
                  <c:v>0.2767379679144385</c:v>
                </c:pt>
                <c:pt idx="92">
                  <c:v>0.27777777777777779</c:v>
                </c:pt>
                <c:pt idx="93">
                  <c:v>0.27748691099476441</c:v>
                </c:pt>
                <c:pt idx="94">
                  <c:v>0.2779220779220779</c:v>
                </c:pt>
                <c:pt idx="95">
                  <c:v>0.27684346701164297</c:v>
                </c:pt>
                <c:pt idx="96">
                  <c:v>0.27458492975734355</c:v>
                </c:pt>
                <c:pt idx="97">
                  <c:v>0.27490542244640603</c:v>
                </c:pt>
                <c:pt idx="98">
                  <c:v>0.27750000000000002</c:v>
                </c:pt>
                <c:pt idx="99">
                  <c:v>0.27935723114956734</c:v>
                </c:pt>
                <c:pt idx="100">
                  <c:v>0.27892813641900122</c:v>
                </c:pt>
                <c:pt idx="101">
                  <c:v>0.27677496991576411</c:v>
                </c:pt>
                <c:pt idx="102">
                  <c:v>0.27824019024970276</c:v>
                </c:pt>
                <c:pt idx="103">
                  <c:v>0.2752941176470588</c:v>
                </c:pt>
                <c:pt idx="104">
                  <c:v>0.27336448598130841</c:v>
                </c:pt>
                <c:pt idx="105">
                  <c:v>0.27293844367015097</c:v>
                </c:pt>
                <c:pt idx="106">
                  <c:v>0.27304147465437789</c:v>
                </c:pt>
                <c:pt idx="107">
                  <c:v>0.27324263038548752</c:v>
                </c:pt>
                <c:pt idx="108">
                  <c:v>0.27130044843049328</c:v>
                </c:pt>
                <c:pt idx="109">
                  <c:v>0.27081021087680357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772855912390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まっつん2!$H$3:$H$112</c:f>
              <c:numCache>
                <c:formatCode>0.0%</c:formatCode>
                <c:ptCount val="110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  <c:pt idx="89">
                  <c:v>0.1499312242090784</c:v>
                </c:pt>
                <c:pt idx="90">
                  <c:v>0.15081521739130435</c:v>
                </c:pt>
                <c:pt idx="91">
                  <c:v>0.15240641711229946</c:v>
                </c:pt>
                <c:pt idx="92">
                  <c:v>0.15079365079365079</c:v>
                </c:pt>
                <c:pt idx="93">
                  <c:v>0.15052356020942409</c:v>
                </c:pt>
                <c:pt idx="94">
                  <c:v>0.15064935064935064</c:v>
                </c:pt>
                <c:pt idx="95">
                  <c:v>0.1500646830530401</c:v>
                </c:pt>
                <c:pt idx="96">
                  <c:v>0.14942528735632185</c:v>
                </c:pt>
                <c:pt idx="97">
                  <c:v>0.15006305170239598</c:v>
                </c:pt>
                <c:pt idx="98">
                  <c:v>0.15</c:v>
                </c:pt>
                <c:pt idx="99">
                  <c:v>0.14956736711990112</c:v>
                </c:pt>
                <c:pt idx="100">
                  <c:v>0.15103532277710111</c:v>
                </c:pt>
                <c:pt idx="101">
                  <c:v>0.15042117930204574</c:v>
                </c:pt>
                <c:pt idx="102">
                  <c:v>0.14982164090368608</c:v>
                </c:pt>
                <c:pt idx="103">
                  <c:v>0.14941176470588236</c:v>
                </c:pt>
                <c:pt idx="104">
                  <c:v>0.14836448598130841</c:v>
                </c:pt>
                <c:pt idx="105">
                  <c:v>0.15098722415795587</c:v>
                </c:pt>
                <c:pt idx="106">
                  <c:v>0.15092165898617513</c:v>
                </c:pt>
                <c:pt idx="107">
                  <c:v>0.15192743764172337</c:v>
                </c:pt>
                <c:pt idx="108">
                  <c:v>0.15022421524663676</c:v>
                </c:pt>
                <c:pt idx="109">
                  <c:v>0.15094339622641509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0514334932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まっつん2!$I$3:$I$112</c:f>
              <c:numCache>
                <c:formatCode>0</c:formatCode>
                <c:ptCount val="110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  <c:pt idx="89">
                  <c:v>8841.4141414141413</c:v>
                </c:pt>
                <c:pt idx="90">
                  <c:v>8868.6567164179105</c:v>
                </c:pt>
                <c:pt idx="91">
                  <c:v>8809.6618357487914</c:v>
                </c:pt>
                <c:pt idx="92">
                  <c:v>8806.1904761904771</c:v>
                </c:pt>
                <c:pt idx="93">
                  <c:v>8836.3207547169804</c:v>
                </c:pt>
                <c:pt idx="94">
                  <c:v>8841.5887850467298</c:v>
                </c:pt>
                <c:pt idx="95">
                  <c:v>8841.5887850467298</c:v>
                </c:pt>
                <c:pt idx="96">
                  <c:v>8874.8837209302328</c:v>
                </c:pt>
                <c:pt idx="97">
                  <c:v>8802.2935779816507</c:v>
                </c:pt>
                <c:pt idx="98">
                  <c:v>8856.7567567567567</c:v>
                </c:pt>
                <c:pt idx="99">
                  <c:v>8835.3982300884963</c:v>
                </c:pt>
                <c:pt idx="100">
                  <c:v>8838.427947598253</c:v>
                </c:pt>
                <c:pt idx="101">
                  <c:v>8806.95652173913</c:v>
                </c:pt>
                <c:pt idx="102">
                  <c:v>8729.9145299145293</c:v>
                </c:pt>
                <c:pt idx="103">
                  <c:v>8729.9145299145293</c:v>
                </c:pt>
                <c:pt idx="104">
                  <c:v>8729.9145299145293</c:v>
                </c:pt>
                <c:pt idx="105">
                  <c:v>8705.5319148936178</c:v>
                </c:pt>
                <c:pt idx="106">
                  <c:v>8733.3333333333339</c:v>
                </c:pt>
                <c:pt idx="107">
                  <c:v>8734.8547717842321</c:v>
                </c:pt>
                <c:pt idx="108">
                  <c:v>8748.3471074380159</c:v>
                </c:pt>
                <c:pt idx="109">
                  <c:v>8807.7868852459014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9.00826446280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まっつん2!$J$3:$J$112</c:f>
              <c:numCache>
                <c:formatCode>0</c:formatCode>
                <c:ptCount val="110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  <c:pt idx="89">
                  <c:v>-7214.6788990825689</c:v>
                </c:pt>
                <c:pt idx="90">
                  <c:v>-7185.5855855855852</c:v>
                </c:pt>
                <c:pt idx="91">
                  <c:v>-7247.3684210526317</c:v>
                </c:pt>
                <c:pt idx="92">
                  <c:v>-7247.3684210526317</c:v>
                </c:pt>
                <c:pt idx="93">
                  <c:v>-7251.304347826087</c:v>
                </c:pt>
                <c:pt idx="94">
                  <c:v>-7257.7586206896549</c:v>
                </c:pt>
                <c:pt idx="95">
                  <c:v>-7257.7586206896549</c:v>
                </c:pt>
                <c:pt idx="96">
                  <c:v>-7229.0598290598291</c:v>
                </c:pt>
                <c:pt idx="97">
                  <c:v>-7187.3949579831933</c:v>
                </c:pt>
                <c:pt idx="98">
                  <c:v>-7135.833333333333</c:v>
                </c:pt>
                <c:pt idx="99">
                  <c:v>-7172.727272727273</c:v>
                </c:pt>
                <c:pt idx="100">
                  <c:v>-7139.5161290322585</c:v>
                </c:pt>
                <c:pt idx="101">
                  <c:v>-7092.8</c:v>
                </c:pt>
                <c:pt idx="102">
                  <c:v>-7128.5714285714284</c:v>
                </c:pt>
                <c:pt idx="103">
                  <c:v>-7113.3858267716532</c:v>
                </c:pt>
                <c:pt idx="104">
                  <c:v>-7113.3858267716532</c:v>
                </c:pt>
                <c:pt idx="105">
                  <c:v>-7287.6923076923076</c:v>
                </c:pt>
                <c:pt idx="106">
                  <c:v>-7251.9083969465646</c:v>
                </c:pt>
                <c:pt idx="107">
                  <c:v>-7208.9552238805973</c:v>
                </c:pt>
                <c:pt idx="108">
                  <c:v>-7208.9552238805973</c:v>
                </c:pt>
                <c:pt idx="109">
                  <c:v>-7219.8529411764703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47.3412112259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まっつん2!$K$3:$K$112</c:f>
              <c:numCache>
                <c:formatCode>0.0%</c:formatCode>
                <c:ptCount val="1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  <c:pt idx="89">
                  <c:v>0.14606741573033707</c:v>
                </c:pt>
                <c:pt idx="90">
                  <c:v>0.14444444444444443</c:v>
                </c:pt>
                <c:pt idx="91">
                  <c:v>0.14285714285714285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0.13829787234042554</c:v>
                </c:pt>
                <c:pt idx="95">
                  <c:v>0.1368421052631579</c:v>
                </c:pt>
                <c:pt idx="96">
                  <c:v>0.13541666666666666</c:v>
                </c:pt>
                <c:pt idx="97">
                  <c:v>0.13402061855670103</c:v>
                </c:pt>
                <c:pt idx="98">
                  <c:v>0.1326530612244898</c:v>
                </c:pt>
                <c:pt idx="99">
                  <c:v>0.13131313131313133</c:v>
                </c:pt>
                <c:pt idx="100">
                  <c:v>0.13</c:v>
                </c:pt>
                <c:pt idx="101">
                  <c:v>0.12871287128712872</c:v>
                </c:pt>
                <c:pt idx="102">
                  <c:v>0.12745098039215685</c:v>
                </c:pt>
                <c:pt idx="103">
                  <c:v>0.12621359223300971</c:v>
                </c:pt>
                <c:pt idx="104">
                  <c:v>0.125</c:v>
                </c:pt>
                <c:pt idx="105">
                  <c:v>0.13333333333333333</c:v>
                </c:pt>
                <c:pt idx="106">
                  <c:v>0.13207547169811321</c:v>
                </c:pt>
                <c:pt idx="107">
                  <c:v>0.13084112149532709</c:v>
                </c:pt>
                <c:pt idx="108">
                  <c:v>0.12962962962962962</c:v>
                </c:pt>
                <c:pt idx="109">
                  <c:v>0.12844036697247707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8246687054026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まっつん2!$L$3:$L$112</c:f>
              <c:numCache>
                <c:formatCode>0.0%</c:formatCode>
                <c:ptCount val="1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8246687054026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まっつん2!$M$3:$M$112</c:f>
              <c:numCache>
                <c:formatCode>0.0%</c:formatCode>
                <c:ptCount val="110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  <c:pt idx="89">
                  <c:v>0.28198074277854196</c:v>
                </c:pt>
                <c:pt idx="90">
                  <c:v>0.27989130434782611</c:v>
                </c:pt>
                <c:pt idx="91">
                  <c:v>0.28074866310160429</c:v>
                </c:pt>
                <c:pt idx="92">
                  <c:v>0.28042328042328041</c:v>
                </c:pt>
                <c:pt idx="93">
                  <c:v>0.281413612565445</c:v>
                </c:pt>
                <c:pt idx="94">
                  <c:v>0.2818181818181818</c:v>
                </c:pt>
                <c:pt idx="95">
                  <c:v>0.28072445019404918</c:v>
                </c:pt>
                <c:pt idx="96">
                  <c:v>0.27713920817369092</c:v>
                </c:pt>
                <c:pt idx="97">
                  <c:v>0.27742749054224464</c:v>
                </c:pt>
                <c:pt idx="98">
                  <c:v>0.28000000000000003</c:v>
                </c:pt>
                <c:pt idx="99">
                  <c:v>0.27812113720642767</c:v>
                </c:pt>
                <c:pt idx="100">
                  <c:v>0.27771010962241172</c:v>
                </c:pt>
                <c:pt idx="101">
                  <c:v>0.27557160048134777</c:v>
                </c:pt>
                <c:pt idx="102">
                  <c:v>0.27586206896551724</c:v>
                </c:pt>
                <c:pt idx="103">
                  <c:v>0.27294117647058824</c:v>
                </c:pt>
                <c:pt idx="104">
                  <c:v>0.27336448598130841</c:v>
                </c:pt>
                <c:pt idx="105">
                  <c:v>0.27177700348432055</c:v>
                </c:pt>
                <c:pt idx="106">
                  <c:v>0.27188940092165897</c:v>
                </c:pt>
                <c:pt idx="107">
                  <c:v>0.27324263038548752</c:v>
                </c:pt>
                <c:pt idx="108">
                  <c:v>0.273542600896861</c:v>
                </c:pt>
                <c:pt idx="109">
                  <c:v>0.27192008879023305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7995570321151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まっつん2!$N$3:$N$112</c:f>
              <c:numCache>
                <c:formatCode>0.0%</c:formatCode>
                <c:ptCount val="110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  <c:pt idx="89">
                  <c:v>0.17744154057771663</c:v>
                </c:pt>
                <c:pt idx="90">
                  <c:v>0.18070652173913043</c:v>
                </c:pt>
                <c:pt idx="91">
                  <c:v>0.18449197860962566</c:v>
                </c:pt>
                <c:pt idx="92">
                  <c:v>0.18386243386243387</c:v>
                </c:pt>
                <c:pt idx="93">
                  <c:v>0.18324607329842932</c:v>
                </c:pt>
                <c:pt idx="94">
                  <c:v>0.18311688311688312</c:v>
                </c:pt>
                <c:pt idx="95">
                  <c:v>0.18240620957309184</c:v>
                </c:pt>
                <c:pt idx="96">
                  <c:v>0.18135376756066413</c:v>
                </c:pt>
                <c:pt idx="97">
                  <c:v>0.1828499369482976</c:v>
                </c:pt>
                <c:pt idx="98">
                  <c:v>0.1825</c:v>
                </c:pt>
                <c:pt idx="99">
                  <c:v>0.18665018541409148</c:v>
                </c:pt>
                <c:pt idx="100">
                  <c:v>0.18635809987819732</c:v>
                </c:pt>
                <c:pt idx="101">
                  <c:v>0.18772563176895307</c:v>
                </c:pt>
                <c:pt idx="102">
                  <c:v>0.18549346016646848</c:v>
                </c:pt>
                <c:pt idx="103">
                  <c:v>0.18588235294117647</c:v>
                </c:pt>
                <c:pt idx="104">
                  <c:v>0.18457943925233644</c:v>
                </c:pt>
                <c:pt idx="105">
                  <c:v>0.18466898954703834</c:v>
                </c:pt>
                <c:pt idx="106">
                  <c:v>0.18317972350230416</c:v>
                </c:pt>
                <c:pt idx="107">
                  <c:v>0.18367346938775511</c:v>
                </c:pt>
                <c:pt idx="108">
                  <c:v>0.18273542600896861</c:v>
                </c:pt>
                <c:pt idx="109">
                  <c:v>0.18201997780244172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360895779500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まっつん2!$O$3:$O$112</c:f>
              <c:numCache>
                <c:formatCode>0.0%</c:formatCode>
                <c:ptCount val="110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  <c:pt idx="89">
                  <c:v>0.60487804878048779</c:v>
                </c:pt>
                <c:pt idx="90">
                  <c:v>0.60679611650485432</c:v>
                </c:pt>
                <c:pt idx="91">
                  <c:v>0.61428571428571432</c:v>
                </c:pt>
                <c:pt idx="92">
                  <c:v>0.61792452830188682</c:v>
                </c:pt>
                <c:pt idx="93">
                  <c:v>0.61395348837209307</c:v>
                </c:pt>
                <c:pt idx="94">
                  <c:v>0.61290322580645162</c:v>
                </c:pt>
                <c:pt idx="95">
                  <c:v>0.61290322580645162</c:v>
                </c:pt>
                <c:pt idx="96">
                  <c:v>0.61290322580645162</c:v>
                </c:pt>
                <c:pt idx="97">
                  <c:v>0.60909090909090913</c:v>
                </c:pt>
                <c:pt idx="98">
                  <c:v>0.6116071428571429</c:v>
                </c:pt>
                <c:pt idx="99">
                  <c:v>0.61333333333333329</c:v>
                </c:pt>
                <c:pt idx="100">
                  <c:v>0.61403508771929827</c:v>
                </c:pt>
                <c:pt idx="101">
                  <c:v>0.611353711790393</c:v>
                </c:pt>
                <c:pt idx="102">
                  <c:v>0.61637931034482762</c:v>
                </c:pt>
                <c:pt idx="103">
                  <c:v>0.61637931034482762</c:v>
                </c:pt>
                <c:pt idx="104">
                  <c:v>0.61111111111111116</c:v>
                </c:pt>
                <c:pt idx="105">
                  <c:v>0.61111111111111116</c:v>
                </c:pt>
                <c:pt idx="106">
                  <c:v>0.61016949152542377</c:v>
                </c:pt>
                <c:pt idx="107">
                  <c:v>0.60580912863070535</c:v>
                </c:pt>
                <c:pt idx="108">
                  <c:v>0.60245901639344257</c:v>
                </c:pt>
                <c:pt idx="109">
                  <c:v>0.60408163265306125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21671258034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まっつん2!$P$3:$P$112</c:f>
              <c:numCache>
                <c:formatCode>0.0%</c:formatCode>
                <c:ptCount val="110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0.33834586466165412</c:v>
                </c:pt>
                <c:pt idx="91">
                  <c:v>0.34057971014492755</c:v>
                </c:pt>
                <c:pt idx="92">
                  <c:v>0.33812949640287771</c:v>
                </c:pt>
                <c:pt idx="93">
                  <c:v>0.33571428571428569</c:v>
                </c:pt>
                <c:pt idx="94">
                  <c:v>0.34042553191489361</c:v>
                </c:pt>
                <c:pt idx="95">
                  <c:v>0.34042553191489361</c:v>
                </c:pt>
                <c:pt idx="96">
                  <c:v>0.3380281690140845</c:v>
                </c:pt>
                <c:pt idx="97">
                  <c:v>0.33793103448275863</c:v>
                </c:pt>
                <c:pt idx="98">
                  <c:v>0.34246575342465752</c:v>
                </c:pt>
                <c:pt idx="99">
                  <c:v>0.35099337748344372</c:v>
                </c:pt>
                <c:pt idx="100">
                  <c:v>0.34640522875816993</c:v>
                </c:pt>
                <c:pt idx="101">
                  <c:v>0.34615384615384615</c:v>
                </c:pt>
                <c:pt idx="102">
                  <c:v>0.34615384615384615</c:v>
                </c:pt>
                <c:pt idx="103">
                  <c:v>0.34177215189873417</c:v>
                </c:pt>
                <c:pt idx="104">
                  <c:v>0.34177215189873417</c:v>
                </c:pt>
                <c:pt idx="105">
                  <c:v>0.34591194968553457</c:v>
                </c:pt>
                <c:pt idx="106">
                  <c:v>0.34591194968553457</c:v>
                </c:pt>
                <c:pt idx="107">
                  <c:v>0.35185185185185186</c:v>
                </c:pt>
                <c:pt idx="108">
                  <c:v>0.34969325153374231</c:v>
                </c:pt>
                <c:pt idx="109">
                  <c:v>0.34756097560975607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8041474654377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まっつん2!$A$3:$A$112</c:f>
              <c:numCache>
                <c:formatCode>0\ "回"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まっつん2!$Q$3:$Q$112</c:f>
              <c:numCache>
                <c:formatCode>0.0%</c:formatCode>
                <c:ptCount val="110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  <c:pt idx="89">
                  <c:v>0.42424242424242425</c:v>
                </c:pt>
                <c:pt idx="90">
                  <c:v>0.42786069651741293</c:v>
                </c:pt>
                <c:pt idx="91">
                  <c:v>0.43961352657004832</c:v>
                </c:pt>
                <c:pt idx="92">
                  <c:v>0.44761904761904764</c:v>
                </c:pt>
                <c:pt idx="93">
                  <c:v>0.44811320754716982</c:v>
                </c:pt>
                <c:pt idx="94">
                  <c:v>0.45327102803738317</c:v>
                </c:pt>
                <c:pt idx="95">
                  <c:v>0.45327102803738317</c:v>
                </c:pt>
                <c:pt idx="96">
                  <c:v>0.45581395348837211</c:v>
                </c:pt>
                <c:pt idx="97">
                  <c:v>0.45871559633027525</c:v>
                </c:pt>
                <c:pt idx="98">
                  <c:v>0.45945945945945948</c:v>
                </c:pt>
                <c:pt idx="99">
                  <c:v>0.45132743362831856</c:v>
                </c:pt>
                <c:pt idx="100">
                  <c:v>0.45851528384279477</c:v>
                </c:pt>
                <c:pt idx="101">
                  <c:v>0.46086956521739131</c:v>
                </c:pt>
                <c:pt idx="102">
                  <c:v>0.45726495726495725</c:v>
                </c:pt>
                <c:pt idx="103">
                  <c:v>0.45726495726495725</c:v>
                </c:pt>
                <c:pt idx="104">
                  <c:v>0.45726495726495725</c:v>
                </c:pt>
                <c:pt idx="105">
                  <c:v>0.45957446808510638</c:v>
                </c:pt>
                <c:pt idx="106">
                  <c:v>0.46413502109704641</c:v>
                </c:pt>
                <c:pt idx="107">
                  <c:v>0.46058091286307051</c:v>
                </c:pt>
                <c:pt idx="108">
                  <c:v>0.45867768595041325</c:v>
                </c:pt>
                <c:pt idx="109">
                  <c:v>0.45901639344262296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05785123966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0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43662.009675925925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43662.009675925925</v>
      </c>
      <c r="C86" s="30" t="s">
        <v>130</v>
      </c>
    </row>
    <row r="87" spans="1:15" x14ac:dyDescent="0.4">
      <c r="A87" s="30" t="s">
        <v>278</v>
      </c>
      <c r="B87" s="31">
        <v>43662.009675925925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43662.009675925925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43662.009675925925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43662.009675925925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43662.009675925925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43662.008599537039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43663.045115740744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43663.04478009259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43666.700092592589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43672.825671296298</v>
      </c>
      <c r="C96" s="30" t="s">
        <v>130</v>
      </c>
      <c r="D96" s="30" t="s">
        <v>131</v>
      </c>
      <c r="E96" s="30" t="s">
        <v>169</v>
      </c>
    </row>
    <row r="97" spans="1:6" x14ac:dyDescent="0.4">
      <c r="A97" s="30" t="s">
        <v>292</v>
      </c>
      <c r="B97" s="31">
        <v>43672.870659722219</v>
      </c>
      <c r="C97" s="30" t="s">
        <v>130</v>
      </c>
      <c r="D97" s="30" t="s">
        <v>131</v>
      </c>
    </row>
    <row r="98" spans="1:6" x14ac:dyDescent="0.4">
      <c r="A98" s="30" t="s">
        <v>293</v>
      </c>
      <c r="B98" s="31">
        <v>43673.893599537034</v>
      </c>
      <c r="C98" s="30" t="s">
        <v>130</v>
      </c>
      <c r="D98" s="30" t="s">
        <v>131</v>
      </c>
      <c r="E98" s="30" t="s">
        <v>169</v>
      </c>
      <c r="F98" s="30" t="s">
        <v>174</v>
      </c>
    </row>
    <row r="99" spans="1:6" x14ac:dyDescent="0.4">
      <c r="A99" s="30" t="s">
        <v>294</v>
      </c>
      <c r="B99" s="31">
        <v>43680.770092592589</v>
      </c>
      <c r="C99" s="30" t="s">
        <v>130</v>
      </c>
      <c r="D99" s="30" t="s">
        <v>131</v>
      </c>
      <c r="E99" s="30" t="s">
        <v>169</v>
      </c>
      <c r="F99" s="30" t="s">
        <v>174</v>
      </c>
    </row>
    <row r="100" spans="1:6" x14ac:dyDescent="0.4">
      <c r="A100" s="30" t="s">
        <v>295</v>
      </c>
      <c r="B100" s="31">
        <v>43680.844942129632</v>
      </c>
      <c r="C100" s="30" t="s">
        <v>130</v>
      </c>
      <c r="D100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981</v>
      </c>
    </row>
    <row r="2" spans="1:2" x14ac:dyDescent="0.4">
      <c r="A2" t="s">
        <v>127</v>
      </c>
      <c r="B2">
        <v>213</v>
      </c>
    </row>
    <row r="3" spans="1:2" x14ac:dyDescent="0.4">
      <c r="A3" t="s">
        <v>128</v>
      </c>
      <c r="B3">
        <v>162</v>
      </c>
    </row>
    <row r="4" spans="1:2" x14ac:dyDescent="0.4">
      <c r="A4" t="s">
        <v>129</v>
      </c>
      <c r="B4">
        <v>165</v>
      </c>
    </row>
    <row r="5" spans="1:2" x14ac:dyDescent="0.4">
      <c r="A5" t="s">
        <v>171</v>
      </c>
      <c r="B5">
        <v>107</v>
      </c>
    </row>
    <row r="6" spans="1:2" x14ac:dyDescent="0.4">
      <c r="A6" t="s">
        <v>172</v>
      </c>
      <c r="B6">
        <v>103</v>
      </c>
    </row>
    <row r="7" spans="1:2" x14ac:dyDescent="0.4">
      <c r="A7" t="s">
        <v>173</v>
      </c>
      <c r="B7">
        <v>59</v>
      </c>
    </row>
    <row r="8" spans="1:2" x14ac:dyDescent="0.4">
      <c r="A8" t="s">
        <v>177</v>
      </c>
      <c r="B8">
        <v>109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0.97240792050524949</v>
      </c>
      <c r="G2" s="163"/>
      <c r="H2" s="162">
        <v>0.70114756509933718</v>
      </c>
      <c r="I2" s="163"/>
      <c r="J2" s="162">
        <v>0.86548724214574968</v>
      </c>
      <c r="K2" s="163"/>
      <c r="L2" s="162">
        <v>0.68770259520000376</v>
      </c>
      <c r="M2" s="163"/>
      <c r="N2" s="162">
        <v>0.72380953320399311</v>
      </c>
      <c r="O2" s="163"/>
      <c r="P2" s="162">
        <v>0.40212433443206697</v>
      </c>
      <c r="Q2" s="163"/>
      <c r="R2" s="162">
        <v>0.38239133062227698</v>
      </c>
      <c r="S2" s="163"/>
      <c r="T2" s="162">
        <v>0.68344158192713633</v>
      </c>
      <c r="U2" s="163"/>
      <c r="V2" s="162">
        <v>0.57079940475090296</v>
      </c>
      <c r="W2" s="163"/>
      <c r="X2" s="162">
        <v>0.66667897183715297</v>
      </c>
      <c r="Y2" s="163"/>
      <c r="Z2" s="162">
        <v>9.1734485831648088E-2</v>
      </c>
      <c r="AA2" s="163"/>
      <c r="AB2" s="162">
        <v>-0.1680839897457006</v>
      </c>
      <c r="AC2" s="163"/>
      <c r="AD2" s="162">
        <v>0.75865550600584786</v>
      </c>
      <c r="AE2" s="163"/>
      <c r="AF2" s="162">
        <v>-0.15416842340548789</v>
      </c>
      <c r="AG2" s="163"/>
      <c r="AH2" s="162">
        <v>0.52076528327059257</v>
      </c>
      <c r="AI2" s="163"/>
    </row>
    <row r="3" spans="1:35" x14ac:dyDescent="0.4">
      <c r="A3" s="74">
        <v>1</v>
      </c>
      <c r="B3" s="75" t="s">
        <v>127</v>
      </c>
      <c r="C3" s="76">
        <v>2670.7000000000003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0.30592294422081656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197.1</v>
      </c>
      <c r="D4" s="85" t="s">
        <v>223</v>
      </c>
      <c r="E4" s="97">
        <v>16.733333333333331</v>
      </c>
      <c r="F4" s="85" t="s">
        <v>127</v>
      </c>
      <c r="G4" s="86">
        <v>1.755868544600939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-7089.4736842105267</v>
      </c>
      <c r="T4" s="85" t="s">
        <v>222</v>
      </c>
      <c r="U4" s="87">
        <v>0</v>
      </c>
      <c r="V4" s="85" t="s">
        <v>127</v>
      </c>
      <c r="W4" s="87">
        <v>0.17370892018779344</v>
      </c>
      <c r="X4" s="85" t="s">
        <v>128</v>
      </c>
      <c r="Y4" s="88">
        <v>0.29624060150375942</v>
      </c>
      <c r="Z4" s="85" t="s">
        <v>271</v>
      </c>
      <c r="AA4" s="88">
        <v>0.33333333333333331</v>
      </c>
      <c r="AB4" s="85" t="s">
        <v>271</v>
      </c>
      <c r="AC4" s="88">
        <v>0.69230769230769229</v>
      </c>
      <c r="AD4" s="85" t="s">
        <v>127</v>
      </c>
      <c r="AE4" s="88">
        <v>0.50130548302872058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0.48826291079812206</v>
      </c>
      <c r="J5" s="85" t="s">
        <v>200</v>
      </c>
      <c r="K5" s="87">
        <v>0.19047619047619047</v>
      </c>
      <c r="L5" s="85" t="s">
        <v>127</v>
      </c>
      <c r="M5" s="88">
        <v>0.33870040253018974</v>
      </c>
      <c r="N5" s="85" t="s">
        <v>223</v>
      </c>
      <c r="O5" s="88">
        <v>0.13043478260869565</v>
      </c>
      <c r="P5" s="85" t="s">
        <v>171</v>
      </c>
      <c r="Q5" s="89">
        <v>9976.8339768339774</v>
      </c>
      <c r="R5" s="85" t="s">
        <v>177</v>
      </c>
      <c r="S5" s="89">
        <v>-7219.8529411764703</v>
      </c>
      <c r="T5" s="85" t="s">
        <v>223</v>
      </c>
      <c r="U5" s="87">
        <v>0</v>
      </c>
      <c r="V5" s="85" t="s">
        <v>171</v>
      </c>
      <c r="W5" s="87">
        <v>0.14953271028037382</v>
      </c>
      <c r="X5" s="85" t="s">
        <v>171</v>
      </c>
      <c r="Y5" s="88">
        <v>0.28329571106094809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0.50354609929078009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12.53849765258216</v>
      </c>
      <c r="F6" s="85" t="s">
        <v>200</v>
      </c>
      <c r="G6" s="86">
        <v>1.8571428571428572</v>
      </c>
      <c r="H6" s="85" t="s">
        <v>184</v>
      </c>
      <c r="I6" s="87">
        <v>0.33333333333333331</v>
      </c>
      <c r="J6" s="85" t="s">
        <v>127</v>
      </c>
      <c r="K6" s="87">
        <v>0.24413145539906103</v>
      </c>
      <c r="L6" s="85" t="s">
        <v>172</v>
      </c>
      <c r="M6" s="88">
        <v>0.33564814814814814</v>
      </c>
      <c r="N6" s="85" t="s">
        <v>172</v>
      </c>
      <c r="O6" s="88">
        <v>0.14351851851851852</v>
      </c>
      <c r="P6" s="85" t="s">
        <v>127</v>
      </c>
      <c r="Q6" s="89">
        <v>9249.2359932088293</v>
      </c>
      <c r="R6" s="85" t="s">
        <v>128</v>
      </c>
      <c r="S6" s="89">
        <v>-7664.1975308641977</v>
      </c>
      <c r="T6" s="85" t="s">
        <v>172</v>
      </c>
      <c r="U6" s="87">
        <v>5.8252427184466021E-2</v>
      </c>
      <c r="V6" s="85" t="s">
        <v>145</v>
      </c>
      <c r="W6" s="87">
        <v>0.11824668705402651</v>
      </c>
      <c r="X6" s="85" t="s">
        <v>177</v>
      </c>
      <c r="Y6" s="88">
        <v>0.27192008879023305</v>
      </c>
      <c r="Z6" s="85" t="s">
        <v>172</v>
      </c>
      <c r="AA6" s="88">
        <v>0.28703703703703703</v>
      </c>
      <c r="AB6" s="85" t="s">
        <v>200</v>
      </c>
      <c r="AC6" s="88">
        <v>0.60416666666666663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3.9428571428571422</v>
      </c>
      <c r="F7" s="85" t="s">
        <v>177</v>
      </c>
      <c r="G7" s="86">
        <v>1.9908256880733946</v>
      </c>
      <c r="H7" s="85" t="s">
        <v>200</v>
      </c>
      <c r="I7" s="87">
        <v>0.33333333333333331</v>
      </c>
      <c r="J7" s="85" t="s">
        <v>172</v>
      </c>
      <c r="K7" s="87">
        <v>0.31067961165048541</v>
      </c>
      <c r="L7" s="85" t="s">
        <v>145</v>
      </c>
      <c r="M7" s="88">
        <v>0.29777285591239078</v>
      </c>
      <c r="N7" s="85" t="s">
        <v>127</v>
      </c>
      <c r="O7" s="88">
        <v>0.14951121334100057</v>
      </c>
      <c r="P7" s="85" t="s">
        <v>128</v>
      </c>
      <c r="Q7" s="89">
        <v>8953.6585365853662</v>
      </c>
      <c r="R7" s="85" t="s">
        <v>145</v>
      </c>
      <c r="S7" s="89">
        <v>-8147.3412112259966</v>
      </c>
      <c r="T7" s="85" t="s">
        <v>127</v>
      </c>
      <c r="U7" s="87">
        <v>8.4507042253521125E-2</v>
      </c>
      <c r="V7" s="85" t="s">
        <v>129</v>
      </c>
      <c r="W7" s="87">
        <v>0.10303030303030303</v>
      </c>
      <c r="X7" s="85" t="s">
        <v>145</v>
      </c>
      <c r="Y7" s="88">
        <v>0.26799557032115173</v>
      </c>
      <c r="Z7" s="85" t="s">
        <v>184</v>
      </c>
      <c r="AA7" s="88">
        <v>0.24861878453038674</v>
      </c>
      <c r="AB7" s="85" t="s">
        <v>177</v>
      </c>
      <c r="AC7" s="88">
        <v>0.60408163265306125</v>
      </c>
      <c r="AD7" s="85" t="s">
        <v>172</v>
      </c>
      <c r="AE7" s="88">
        <v>0.42338709677419356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1.842056074766355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0.31192660550458717</v>
      </c>
      <c r="L8" s="85" t="s">
        <v>171</v>
      </c>
      <c r="M8" s="88">
        <v>0.29232505643340856</v>
      </c>
      <c r="N8" s="85" t="s">
        <v>177</v>
      </c>
      <c r="O8" s="88">
        <v>0.15094339622641509</v>
      </c>
      <c r="P8" s="85" t="s">
        <v>177</v>
      </c>
      <c r="Q8" s="89">
        <v>8807.7868852459014</v>
      </c>
      <c r="R8" s="85" t="s">
        <v>173</v>
      </c>
      <c r="S8" s="89">
        <v>-8221.649484536083</v>
      </c>
      <c r="T8" s="85" t="s">
        <v>171</v>
      </c>
      <c r="U8" s="87">
        <v>0.10280373831775701</v>
      </c>
      <c r="V8" s="85" t="s">
        <v>177</v>
      </c>
      <c r="W8" s="87">
        <v>0.10091743119266056</v>
      </c>
      <c r="X8" s="85" t="s">
        <v>183</v>
      </c>
      <c r="Y8" s="88">
        <v>0.26315789473684209</v>
      </c>
      <c r="Z8" s="85" t="s">
        <v>173</v>
      </c>
      <c r="AA8" s="88">
        <v>0.22376237623762377</v>
      </c>
      <c r="AB8" s="85" t="s">
        <v>183</v>
      </c>
      <c r="AC8" s="88">
        <v>0.6</v>
      </c>
      <c r="AD8" s="85" t="s">
        <v>171</v>
      </c>
      <c r="AE8" s="88">
        <v>0.41477272727272729</v>
      </c>
      <c r="AF8" s="85" t="s">
        <v>177</v>
      </c>
      <c r="AG8" s="88">
        <v>0.45901639344262296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-0.99999999999999645</v>
      </c>
      <c r="D9" s="85" t="s">
        <v>145</v>
      </c>
      <c r="E9" s="97">
        <v>-1.0193679918450525E-3</v>
      </c>
      <c r="F9" s="85" t="s">
        <v>222</v>
      </c>
      <c r="G9" s="86">
        <v>2</v>
      </c>
      <c r="H9" s="85" t="s">
        <v>171</v>
      </c>
      <c r="I9" s="87">
        <v>0.32710280373831774</v>
      </c>
      <c r="J9" s="85" t="s">
        <v>145</v>
      </c>
      <c r="K9" s="87">
        <v>0.33333333333333331</v>
      </c>
      <c r="L9" s="85" t="s">
        <v>173</v>
      </c>
      <c r="M9" s="88">
        <v>0.27920792079207923</v>
      </c>
      <c r="N9" s="85" t="s">
        <v>200</v>
      </c>
      <c r="O9" s="88">
        <v>0.16230366492146597</v>
      </c>
      <c r="P9" s="85" t="s">
        <v>145</v>
      </c>
      <c r="Q9" s="89">
        <v>8649.0082644628092</v>
      </c>
      <c r="R9" s="85" t="s">
        <v>127</v>
      </c>
      <c r="S9" s="89">
        <v>-8279.6153846153848</v>
      </c>
      <c r="T9" s="85" t="s">
        <v>145</v>
      </c>
      <c r="U9" s="87">
        <v>0.11824668705402651</v>
      </c>
      <c r="V9" s="85" t="s">
        <v>128</v>
      </c>
      <c r="W9" s="87">
        <v>9.8765432098765427E-2</v>
      </c>
      <c r="X9" s="85" t="s">
        <v>200</v>
      </c>
      <c r="Y9" s="88">
        <v>0.2513089005235602</v>
      </c>
      <c r="Z9" s="85" t="s">
        <v>127</v>
      </c>
      <c r="AA9" s="88">
        <v>0.22024151811385853</v>
      </c>
      <c r="AB9" s="85" t="s">
        <v>128</v>
      </c>
      <c r="AC9" s="88">
        <v>0.58629441624365486</v>
      </c>
      <c r="AD9" s="85" t="s">
        <v>145</v>
      </c>
      <c r="AE9" s="88">
        <v>0.39804147465437789</v>
      </c>
      <c r="AF9" s="85" t="s">
        <v>128</v>
      </c>
      <c r="AG9" s="88">
        <v>0.44173441734417346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177</v>
      </c>
      <c r="C10" s="84">
        <v>-6.1000000000000663</v>
      </c>
      <c r="D10" s="85" t="s">
        <v>177</v>
      </c>
      <c r="E10" s="97">
        <v>-5.5963302752294185E-2</v>
      </c>
      <c r="F10" s="85" t="s">
        <v>171</v>
      </c>
      <c r="G10" s="86">
        <v>2.0093457943925235</v>
      </c>
      <c r="H10" s="85" t="s">
        <v>177</v>
      </c>
      <c r="I10" s="87">
        <v>0.32110091743119268</v>
      </c>
      <c r="J10" s="85" t="s">
        <v>223</v>
      </c>
      <c r="K10" s="87">
        <v>0.33333333333333331</v>
      </c>
      <c r="L10" s="85" t="s">
        <v>128</v>
      </c>
      <c r="M10" s="88">
        <v>0.27744360902255638</v>
      </c>
      <c r="N10" s="85" t="s">
        <v>145</v>
      </c>
      <c r="O10" s="88">
        <v>0.16660514334932938</v>
      </c>
      <c r="P10" s="85" t="s">
        <v>184</v>
      </c>
      <c r="Q10" s="89">
        <v>8434</v>
      </c>
      <c r="R10" s="85" t="s">
        <v>172</v>
      </c>
      <c r="S10" s="89">
        <v>-8308.0645161290322</v>
      </c>
      <c r="T10" s="85" t="s">
        <v>271</v>
      </c>
      <c r="U10" s="87">
        <v>0.125</v>
      </c>
      <c r="V10" s="85" t="s">
        <v>172</v>
      </c>
      <c r="W10" s="87">
        <v>9.7087378640776698E-2</v>
      </c>
      <c r="X10" s="85" t="s">
        <v>129</v>
      </c>
      <c r="Y10" s="88">
        <v>0.25</v>
      </c>
      <c r="Z10" s="85" t="s">
        <v>145</v>
      </c>
      <c r="AA10" s="88">
        <v>0.2136089577950043</v>
      </c>
      <c r="AB10" s="85" t="s">
        <v>127</v>
      </c>
      <c r="AC10" s="88">
        <v>0.58270676691729328</v>
      </c>
      <c r="AD10" s="85" t="s">
        <v>184</v>
      </c>
      <c r="AE10" s="88">
        <v>0.37777777777777777</v>
      </c>
      <c r="AF10" s="85" t="s">
        <v>145</v>
      </c>
      <c r="AG10" s="88">
        <v>0.43305785123966944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-259.40000000000003</v>
      </c>
      <c r="D11" s="85" t="s">
        <v>172</v>
      </c>
      <c r="E11" s="97">
        <v>-2.518446601941748</v>
      </c>
      <c r="F11" s="85" t="s">
        <v>172</v>
      </c>
      <c r="G11" s="86">
        <v>2.0679611650485437</v>
      </c>
      <c r="H11" s="85" t="s">
        <v>129</v>
      </c>
      <c r="I11" s="87">
        <v>0.29090909090909089</v>
      </c>
      <c r="J11" s="85" t="s">
        <v>171</v>
      </c>
      <c r="K11" s="87">
        <v>0.3364485981308411</v>
      </c>
      <c r="L11" s="85" t="s">
        <v>184</v>
      </c>
      <c r="M11" s="88">
        <v>0.27624309392265195</v>
      </c>
      <c r="N11" s="85" t="s">
        <v>129</v>
      </c>
      <c r="O11" s="88">
        <v>0.17318840579710146</v>
      </c>
      <c r="P11" s="85" t="s">
        <v>129</v>
      </c>
      <c r="Q11" s="89">
        <v>8314.7453083109922</v>
      </c>
      <c r="R11" s="85" t="s">
        <v>171</v>
      </c>
      <c r="S11" s="89">
        <v>-8313.5483870967746</v>
      </c>
      <c r="T11" s="85" t="s">
        <v>177</v>
      </c>
      <c r="U11" s="87">
        <v>0.12844036697247707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0.5762167125803489</v>
      </c>
      <c r="AD11" s="85" t="s">
        <v>177</v>
      </c>
      <c r="AE11" s="88">
        <v>0.34756097560975607</v>
      </c>
      <c r="AF11" s="85" t="s">
        <v>129</v>
      </c>
      <c r="AG11" s="88">
        <v>0.42091152815013405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-289.8</v>
      </c>
      <c r="D12" s="85" t="s">
        <v>128</v>
      </c>
      <c r="E12" s="97">
        <v>-3.0296296296296297</v>
      </c>
      <c r="F12" s="85" t="s">
        <v>128</v>
      </c>
      <c r="G12" s="86">
        <v>2.074074074074074</v>
      </c>
      <c r="H12" s="85" t="s">
        <v>128</v>
      </c>
      <c r="I12" s="87">
        <v>0.27160493827160492</v>
      </c>
      <c r="J12" s="85" t="s">
        <v>128</v>
      </c>
      <c r="K12" s="87">
        <v>0.34567901234567899</v>
      </c>
      <c r="L12" s="85" t="s">
        <v>177</v>
      </c>
      <c r="M12" s="88">
        <v>0.27081021087680357</v>
      </c>
      <c r="N12" s="85" t="s">
        <v>171</v>
      </c>
      <c r="O12" s="88">
        <v>0.17494356659142213</v>
      </c>
      <c r="P12" s="85" t="s">
        <v>200</v>
      </c>
      <c r="Q12" s="89">
        <v>8000</v>
      </c>
      <c r="R12" s="85" t="s">
        <v>129</v>
      </c>
      <c r="S12" s="89">
        <v>-8471.5481171548108</v>
      </c>
      <c r="T12" s="85" t="s">
        <v>128</v>
      </c>
      <c r="U12" s="87">
        <v>0.13580246913580246</v>
      </c>
      <c r="V12" s="85" t="s">
        <v>173</v>
      </c>
      <c r="W12" s="87">
        <v>6.7796610169491525E-2</v>
      </c>
      <c r="X12" s="85" t="s">
        <v>222</v>
      </c>
      <c r="Y12" s="88">
        <v>0.23076923076923078</v>
      </c>
      <c r="Z12" s="85" t="s">
        <v>171</v>
      </c>
      <c r="AA12" s="88">
        <v>0.19864559819413091</v>
      </c>
      <c r="AB12" s="85" t="s">
        <v>171</v>
      </c>
      <c r="AC12" s="88">
        <v>0.56573705179282874</v>
      </c>
      <c r="AD12" s="85" t="s">
        <v>129</v>
      </c>
      <c r="AE12" s="88">
        <v>0.34074074074074073</v>
      </c>
      <c r="AF12" s="85" t="s">
        <v>127</v>
      </c>
      <c r="AG12" s="88">
        <v>0.41935483870967744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129</v>
      </c>
      <c r="E13" s="97">
        <v>-7.6284848484848489</v>
      </c>
      <c r="F13" s="85" t="s">
        <v>129</v>
      </c>
      <c r="G13" s="86">
        <v>2.1212121212121211</v>
      </c>
      <c r="H13" s="85" t="s">
        <v>173</v>
      </c>
      <c r="I13" s="87">
        <v>0.2711864406779661</v>
      </c>
      <c r="J13" s="85" t="s">
        <v>173</v>
      </c>
      <c r="K13" s="87">
        <v>0.40677966101694918</v>
      </c>
      <c r="L13" s="85" t="s">
        <v>129</v>
      </c>
      <c r="M13" s="88">
        <v>0.27028985507246378</v>
      </c>
      <c r="N13" s="85" t="s">
        <v>128</v>
      </c>
      <c r="O13" s="88">
        <v>0.18270676691729323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200</v>
      </c>
      <c r="U13" s="87">
        <v>0.14285714285714285</v>
      </c>
      <c r="V13" s="85" t="s">
        <v>200</v>
      </c>
      <c r="W13" s="87">
        <v>4.7619047619047616E-2</v>
      </c>
      <c r="X13" s="85" t="s">
        <v>173</v>
      </c>
      <c r="Y13" s="88">
        <v>0.21782178217821782</v>
      </c>
      <c r="Z13" s="85" t="s">
        <v>129</v>
      </c>
      <c r="AA13" s="88">
        <v>0.19565217391304349</v>
      </c>
      <c r="AB13" s="85" t="s">
        <v>173</v>
      </c>
      <c r="AC13" s="88">
        <v>0.5636363636363636</v>
      </c>
      <c r="AD13" s="85" t="s">
        <v>173</v>
      </c>
      <c r="AE13" s="88">
        <v>0.33628318584070799</v>
      </c>
      <c r="AF13" s="85" t="s">
        <v>271</v>
      </c>
      <c r="AG13" s="88">
        <v>0.41176470588235292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128</v>
      </c>
      <c r="C14" s="84">
        <v>-490.8</v>
      </c>
      <c r="D14" s="85" t="s">
        <v>173</v>
      </c>
      <c r="E14" s="97">
        <v>-8.8305084745762716</v>
      </c>
      <c r="F14" s="85" t="s">
        <v>173</v>
      </c>
      <c r="G14" s="86">
        <v>2.1355932203389831</v>
      </c>
      <c r="H14" s="85" t="s">
        <v>172</v>
      </c>
      <c r="I14" s="87">
        <v>0.24271844660194175</v>
      </c>
      <c r="J14" s="85" t="s">
        <v>129</v>
      </c>
      <c r="K14" s="87">
        <v>0.41212121212121211</v>
      </c>
      <c r="L14" s="85" t="s">
        <v>183</v>
      </c>
      <c r="M14" s="88">
        <v>0.26315789473684209</v>
      </c>
      <c r="N14" s="85" t="s">
        <v>173</v>
      </c>
      <c r="O14" s="88">
        <v>0.19207920792079208</v>
      </c>
      <c r="P14" s="85" t="s">
        <v>173</v>
      </c>
      <c r="Q14" s="89">
        <v>7531.2056737588655</v>
      </c>
      <c r="R14" s="85" t="s">
        <v>184</v>
      </c>
      <c r="S14" s="89">
        <v>-9878.0487804878048</v>
      </c>
      <c r="T14" s="85" t="s">
        <v>129</v>
      </c>
      <c r="U14" s="87">
        <v>0.14545454545454545</v>
      </c>
      <c r="V14" s="85" t="s">
        <v>183</v>
      </c>
      <c r="W14" s="87">
        <v>0</v>
      </c>
      <c r="X14" s="85" t="s">
        <v>172</v>
      </c>
      <c r="Y14" s="88">
        <v>0.21180555555555555</v>
      </c>
      <c r="Z14" s="85" t="s">
        <v>177</v>
      </c>
      <c r="AA14" s="88">
        <v>0.18201997780244172</v>
      </c>
      <c r="AB14" s="85" t="s">
        <v>172</v>
      </c>
      <c r="AC14" s="88">
        <v>0.55737704918032782</v>
      </c>
      <c r="AD14" s="85" t="s">
        <v>128</v>
      </c>
      <c r="AE14" s="88">
        <v>0.31877729257641924</v>
      </c>
      <c r="AF14" s="85" t="s">
        <v>171</v>
      </c>
      <c r="AG14" s="88">
        <v>0.40154440154440152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173</v>
      </c>
      <c r="C15" s="84">
        <v>-521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0.2361111111111111</v>
      </c>
      <c r="N15" s="85" t="s">
        <v>184</v>
      </c>
      <c r="O15" s="88">
        <v>0.22651933701657459</v>
      </c>
      <c r="P15" s="85" t="s">
        <v>271</v>
      </c>
      <c r="Q15" s="89">
        <v>6776.4705882352937</v>
      </c>
      <c r="R15" s="85" t="s">
        <v>223</v>
      </c>
      <c r="S15" s="89">
        <v>-10583.333333333334</v>
      </c>
      <c r="T15" s="85" t="s">
        <v>173</v>
      </c>
      <c r="U15" s="87">
        <v>0.16949152542372881</v>
      </c>
      <c r="V15" s="85" t="s">
        <v>222</v>
      </c>
      <c r="W15" s="87">
        <v>0</v>
      </c>
      <c r="X15" s="85" t="s">
        <v>271</v>
      </c>
      <c r="Y15" s="88">
        <v>0.18055555555555555</v>
      </c>
      <c r="Z15" s="85" t="s">
        <v>128</v>
      </c>
      <c r="AA15" s="88">
        <v>0.17218045112781954</v>
      </c>
      <c r="AB15" s="85" t="s">
        <v>129</v>
      </c>
      <c r="AC15" s="88">
        <v>0.53623188405797106</v>
      </c>
      <c r="AD15" s="85" t="s">
        <v>271</v>
      </c>
      <c r="AE15" s="88">
        <v>0.25</v>
      </c>
      <c r="AF15" s="85" t="s">
        <v>172</v>
      </c>
      <c r="AG15" s="88">
        <v>0.39655172413793105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-1258.7</v>
      </c>
      <c r="D16" s="85" t="s">
        <v>271</v>
      </c>
      <c r="E16" s="97">
        <v>-36.225000000000001</v>
      </c>
      <c r="F16" s="85" t="s">
        <v>271</v>
      </c>
      <c r="G16" s="86">
        <v>2.75</v>
      </c>
      <c r="H16" s="85" t="s">
        <v>271</v>
      </c>
      <c r="I16" s="87">
        <v>0</v>
      </c>
      <c r="J16" s="85" t="s">
        <v>271</v>
      </c>
      <c r="K16" s="87">
        <v>0.75</v>
      </c>
      <c r="L16" s="85" t="s">
        <v>222</v>
      </c>
      <c r="M16" s="88">
        <v>0.15384615384615385</v>
      </c>
      <c r="N16" s="85" t="s">
        <v>271</v>
      </c>
      <c r="O16" s="88">
        <v>0.2638888888888889</v>
      </c>
      <c r="P16" s="85" t="s">
        <v>172</v>
      </c>
      <c r="Q16" s="89">
        <v>6773.7931034482763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xmlns:xlrd2="http://schemas.microsoft.com/office/spreadsheetml/2017/richdata2"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8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981</v>
      </c>
      <c r="C2" s="151"/>
      <c r="E2" s="62" t="s">
        <v>67</v>
      </c>
      <c r="F2" s="59" t="s">
        <v>23</v>
      </c>
      <c r="G2" s="46">
        <v>1746</v>
      </c>
      <c r="H2" s="132">
        <f>IF(B$17=0,0,G2/B$17)</f>
        <v>0.7214876033057851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-17.382413087934559</v>
      </c>
      <c r="P2" s="118">
        <v>978</v>
      </c>
      <c r="Q2" s="102">
        <v>-17000</v>
      </c>
    </row>
    <row r="3" spans="1:17" x14ac:dyDescent="0.4">
      <c r="A3" s="55" t="s">
        <v>8</v>
      </c>
      <c r="B3" s="152">
        <v>8127</v>
      </c>
      <c r="C3" s="153"/>
      <c r="E3" s="63" t="s">
        <v>73</v>
      </c>
      <c r="F3" s="60" t="s">
        <v>28</v>
      </c>
      <c r="G3" s="47">
        <v>1257</v>
      </c>
      <c r="H3" s="133">
        <f>IF(B$17=0,0,G3/B$17)</f>
        <v>0.51942148760330575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-7.3145245559038665</v>
      </c>
      <c r="P3" s="119">
        <v>957</v>
      </c>
      <c r="Q3" s="103">
        <v>-7000</v>
      </c>
    </row>
    <row r="4" spans="1:17" x14ac:dyDescent="0.4">
      <c r="A4" s="55" t="s">
        <v>6</v>
      </c>
      <c r="B4" s="154">
        <v>-0.99999999999999645</v>
      </c>
      <c r="C4" s="155"/>
      <c r="E4" s="63" t="s">
        <v>65</v>
      </c>
      <c r="F4" s="60" t="s">
        <v>21</v>
      </c>
      <c r="G4" s="47">
        <v>1193</v>
      </c>
      <c r="H4" s="133">
        <f>IF(B$17=0,0,G4/B$17)</f>
        <v>0.49297520661157024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14.492753623188406</v>
      </c>
      <c r="P4" s="119">
        <v>897</v>
      </c>
      <c r="Q4" s="103">
        <v>13000</v>
      </c>
    </row>
    <row r="5" spans="1:17" x14ac:dyDescent="0.4">
      <c r="A5" s="55" t="s">
        <v>7</v>
      </c>
      <c r="B5" s="156">
        <f>IF(B$2=0,0,B$4/B$2)</f>
        <v>-1.0193679918450525E-3</v>
      </c>
      <c r="C5" s="157"/>
      <c r="E5" s="63" t="s">
        <v>245</v>
      </c>
      <c r="F5" s="60" t="s">
        <v>246</v>
      </c>
      <c r="G5" s="47">
        <v>970</v>
      </c>
      <c r="H5" s="133">
        <f>IF(B$17=0,0,G5/B$17)</f>
        <v>0.40082644628099173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3.6363636363636362</v>
      </c>
      <c r="P5" s="119">
        <v>825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755</v>
      </c>
      <c r="H6" s="133">
        <f>IF(B$17=0,0,G6/B$17)</f>
        <v>0.31198347107438018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-10.840108401084011</v>
      </c>
      <c r="P6" s="119">
        <v>738</v>
      </c>
      <c r="Q6" s="103">
        <v>-8000</v>
      </c>
    </row>
    <row r="7" spans="1:17" x14ac:dyDescent="0.4">
      <c r="A7" s="55" t="s">
        <v>2</v>
      </c>
      <c r="B7" s="47">
        <v>327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728</v>
      </c>
      <c r="H7" s="133">
        <f>IF(B$17=0,0,G7/B$17)</f>
        <v>0.30082644628099175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23.364485981308412</v>
      </c>
      <c r="P7" s="120">
        <v>642</v>
      </c>
      <c r="Q7" s="104">
        <v>15000</v>
      </c>
    </row>
    <row r="8" spans="1:17" x14ac:dyDescent="0.4">
      <c r="A8" s="55" t="s">
        <v>3</v>
      </c>
      <c r="B8" s="47">
        <v>327</v>
      </c>
      <c r="C8" s="39">
        <f t="shared" si="1"/>
        <v>0.33333333333333331</v>
      </c>
      <c r="E8" s="63" t="s">
        <v>70</v>
      </c>
      <c r="F8" s="60" t="s">
        <v>25</v>
      </c>
      <c r="G8" s="47">
        <v>406</v>
      </c>
      <c r="H8" s="133">
        <f>IF(B$17=0,0,G8/B$17)</f>
        <v>0.16776859504132233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327</v>
      </c>
      <c r="C9" s="40">
        <f t="shared" si="1"/>
        <v>0.33333333333333331</v>
      </c>
      <c r="E9" s="63" t="s">
        <v>90</v>
      </c>
      <c r="F9" s="60" t="s">
        <v>45</v>
      </c>
      <c r="G9" s="47">
        <v>317</v>
      </c>
      <c r="H9" s="133">
        <f>IF(B$17=0,0,G9/B$17)</f>
        <v>0.1309917355371901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116</v>
      </c>
      <c r="C10" s="40">
        <f t="shared" si="1"/>
        <v>0.11824668705402651</v>
      </c>
      <c r="E10" s="63" t="s">
        <v>66</v>
      </c>
      <c r="F10" s="60" t="s">
        <v>22</v>
      </c>
      <c r="G10" s="47">
        <v>269</v>
      </c>
      <c r="H10" s="133">
        <f>IF(B$17=0,0,G10/B$17)</f>
        <v>0.11115702479338843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-2.2584097859327201</v>
      </c>
      <c r="P10" s="118">
        <v>327</v>
      </c>
      <c r="Q10" s="106">
        <v>-738.49999999999943</v>
      </c>
    </row>
    <row r="11" spans="1:17" x14ac:dyDescent="0.4">
      <c r="A11" s="56" t="s">
        <v>140</v>
      </c>
      <c r="B11" s="48">
        <v>116</v>
      </c>
      <c r="C11" s="40">
        <f t="shared" si="1"/>
        <v>0.11824668705402651</v>
      </c>
      <c r="E11" s="63" t="s">
        <v>71</v>
      </c>
      <c r="F11" s="60" t="s">
        <v>26</v>
      </c>
      <c r="G11" s="47">
        <v>243</v>
      </c>
      <c r="H11" s="133">
        <f>IF(B$17=0,0,G11/B$17)</f>
        <v>0.10041322314049586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0.79724770642201903</v>
      </c>
      <c r="P11" s="119">
        <v>327</v>
      </c>
      <c r="Q11" s="107">
        <v>260.70000000000022</v>
      </c>
    </row>
    <row r="12" spans="1:17" x14ac:dyDescent="0.4">
      <c r="A12" s="57" t="s">
        <v>160</v>
      </c>
      <c r="B12" s="49">
        <v>86</v>
      </c>
      <c r="C12" s="42">
        <f t="shared" si="1"/>
        <v>8.766564729867482E-2</v>
      </c>
      <c r="E12" s="63" t="s">
        <v>72</v>
      </c>
      <c r="F12" s="60" t="s">
        <v>27</v>
      </c>
      <c r="G12" s="47">
        <v>164</v>
      </c>
      <c r="H12" s="133">
        <f>IF(B$17=0,0,G12/B$17)</f>
        <v>6.7768595041322308E-2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1.4581039755351679</v>
      </c>
      <c r="P12" s="120">
        <v>327</v>
      </c>
      <c r="Q12" s="108">
        <v>476.7999999999999</v>
      </c>
    </row>
    <row r="13" spans="1:17" x14ac:dyDescent="0.4">
      <c r="A13" s="58" t="s">
        <v>122</v>
      </c>
      <c r="B13" s="50">
        <v>2178</v>
      </c>
      <c r="C13" s="44">
        <f>IF(B$3=0,0,B13/B$3)</f>
        <v>0.26799557032115173</v>
      </c>
      <c r="E13" s="63" t="s">
        <v>87</v>
      </c>
      <c r="F13" s="60" t="s">
        <v>42</v>
      </c>
      <c r="G13" s="47">
        <v>139</v>
      </c>
      <c r="H13" s="133">
        <f>IF(B$17=0,0,G13/B$17)</f>
        <v>5.743801652892562E-2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1736</v>
      </c>
      <c r="C14" s="39">
        <f>IF(B$3=0,0,B14/B$3)</f>
        <v>0.2136089577950043</v>
      </c>
      <c r="E14" s="63" t="s">
        <v>84</v>
      </c>
      <c r="F14" s="60" t="s">
        <v>39</v>
      </c>
      <c r="G14" s="47">
        <v>117</v>
      </c>
      <c r="H14" s="133">
        <f>IF(B$17=0,0,G14/B$17)</f>
        <v>4.8347107438016526E-2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1255</v>
      </c>
      <c r="C15" s="37">
        <f>IF(B$13=0,0,B15/B$13)</f>
        <v>0.5762167125803489</v>
      </c>
      <c r="E15" s="63" t="s">
        <v>79</v>
      </c>
      <c r="F15" s="60" t="s">
        <v>34</v>
      </c>
      <c r="G15" s="47">
        <v>66</v>
      </c>
      <c r="H15" s="133">
        <f>IF(B$17=0,0,G15/B$17)</f>
        <v>2.7272727272727271E-2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54.337499999999999</v>
      </c>
      <c r="P15" s="118">
        <v>16</v>
      </c>
      <c r="Q15" s="106">
        <v>869.4</v>
      </c>
    </row>
    <row r="16" spans="1:17" x14ac:dyDescent="0.4">
      <c r="A16" s="54" t="s">
        <v>125</v>
      </c>
      <c r="B16" s="46">
        <v>691</v>
      </c>
      <c r="C16" s="37">
        <f>IF(B$14=0,0,B16/B$14)</f>
        <v>0.39804147465437789</v>
      </c>
      <c r="E16" s="63" t="s">
        <v>82</v>
      </c>
      <c r="F16" s="60" t="s">
        <v>37</v>
      </c>
      <c r="G16" s="47">
        <v>61</v>
      </c>
      <c r="H16" s="133">
        <f>IF(B$17=0,0,G16/B$17)</f>
        <v>2.5206611570247933E-2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2420</v>
      </c>
      <c r="C17" s="37">
        <f>IF(B$3=0,0,B17/B$3)</f>
        <v>0.29777285591239078</v>
      </c>
      <c r="E17" s="63" t="s">
        <v>92</v>
      </c>
      <c r="F17" s="60" t="s">
        <v>47</v>
      </c>
      <c r="G17" s="47">
        <v>50</v>
      </c>
      <c r="H17" s="133">
        <f>IF(B$17=0,0,G17/B$17)</f>
        <v>2.0661157024793389E-2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13.245762711864405</v>
      </c>
      <c r="P17" s="119">
        <v>118</v>
      </c>
      <c r="Q17" s="107">
        <v>1562.9999999999998</v>
      </c>
    </row>
    <row r="18" spans="1:17" x14ac:dyDescent="0.4">
      <c r="A18" s="55" t="s">
        <v>12</v>
      </c>
      <c r="B18" s="47">
        <v>1048</v>
      </c>
      <c r="C18" s="39">
        <f>IF(B$17=0,0,B18/B$17)</f>
        <v>0.43305785123966944</v>
      </c>
      <c r="E18" s="63" t="s">
        <v>180</v>
      </c>
      <c r="F18" s="60" t="s">
        <v>181</v>
      </c>
      <c r="G18" s="47">
        <v>43</v>
      </c>
      <c r="H18" s="133">
        <f>IF(B$17=0,0,G18/B$17)</f>
        <v>1.7768595041322315E-2</v>
      </c>
      <c r="I18" s="94">
        <v>5</v>
      </c>
      <c r="K18" s="38">
        <v>16</v>
      </c>
      <c r="L18" s="99">
        <v>90.899999999999991</v>
      </c>
      <c r="N18" s="115" t="s">
        <v>129</v>
      </c>
      <c r="O18" s="125">
        <f>IF(P18=0,0,Q18/P18)</f>
        <v>11.442727272727298</v>
      </c>
      <c r="P18" s="119">
        <v>330</v>
      </c>
      <c r="Q18" s="107">
        <v>3776.1000000000085</v>
      </c>
    </row>
    <row r="19" spans="1:17" x14ac:dyDescent="0.4">
      <c r="A19" s="55" t="s">
        <v>11</v>
      </c>
      <c r="B19" s="47">
        <v>1372</v>
      </c>
      <c r="C19" s="39">
        <f>IF(B$17=0,0,B19/B$17)</f>
        <v>0.56694214876033056</v>
      </c>
      <c r="E19" s="63" t="s">
        <v>80</v>
      </c>
      <c r="F19" s="60" t="s">
        <v>35</v>
      </c>
      <c r="G19" s="47">
        <v>42</v>
      </c>
      <c r="H19" s="133">
        <f>IF(B$17=0,0,G19/B$17)</f>
        <v>1.7355371900826446E-2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4.5444444444444443</v>
      </c>
      <c r="P19" s="119">
        <v>324</v>
      </c>
      <c r="Q19" s="107">
        <v>1472.4</v>
      </c>
    </row>
    <row r="20" spans="1:17" x14ac:dyDescent="0.4">
      <c r="A20" s="55" t="s">
        <v>13</v>
      </c>
      <c r="B20" s="47">
        <v>1354</v>
      </c>
      <c r="C20" s="39">
        <f>IF(B$3=0,0,B20/B$3)</f>
        <v>0.16660514334932938</v>
      </c>
      <c r="E20" s="63" t="s">
        <v>78</v>
      </c>
      <c r="F20" s="60" t="s">
        <v>33</v>
      </c>
      <c r="G20" s="47">
        <v>19</v>
      </c>
      <c r="H20" s="133">
        <f>IF(B$17=0,0,G20/B$17)</f>
        <v>7.8512396694214882E-3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3.7776699029126211</v>
      </c>
      <c r="P20" s="119">
        <v>206</v>
      </c>
      <c r="Q20" s="107">
        <v>778.19999999999993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16</v>
      </c>
      <c r="H21" s="133">
        <f>IF(B$17=0,0,G21/B$17)</f>
        <v>6.6115702479338841E-3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>IF(P21=0,0,Q21/P21)</f>
        <v>7.935779816513594E-2</v>
      </c>
      <c r="P21" s="119">
        <v>218</v>
      </c>
      <c r="Q21" s="107">
        <v>17.299999999999635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76</v>
      </c>
      <c r="F22" s="60" t="s">
        <v>31</v>
      </c>
      <c r="G22" s="47">
        <v>15</v>
      </c>
      <c r="H22" s="133">
        <f>IF(B$17=0,0,G22/B$17)</f>
        <v>6.1983471074380167E-3</v>
      </c>
      <c r="I22" s="94">
        <v>6</v>
      </c>
      <c r="K22" s="38">
        <v>20</v>
      </c>
      <c r="L22" s="99">
        <v>0.79999999999999716</v>
      </c>
      <c r="N22" s="115" t="s">
        <v>171</v>
      </c>
      <c r="O22" s="125">
        <f>IF(P22=0,0,Q22/P22)</f>
        <v>-2.7677570093457926</v>
      </c>
      <c r="P22" s="119">
        <v>214</v>
      </c>
      <c r="Q22" s="107">
        <v>-592.29999999999961</v>
      </c>
    </row>
    <row r="23" spans="1:17" x14ac:dyDescent="0.4">
      <c r="A23" s="55" t="s">
        <v>5</v>
      </c>
      <c r="B23" s="51">
        <f>IF(B$17=0,0,C23/B$17)</f>
        <v>8649.0082644628092</v>
      </c>
      <c r="C23" s="41">
        <v>20930600</v>
      </c>
      <c r="E23" s="63" t="s">
        <v>86</v>
      </c>
      <c r="F23" s="60" t="s">
        <v>41</v>
      </c>
      <c r="G23" s="47">
        <v>12</v>
      </c>
      <c r="H23" s="133">
        <f>IF(B$17=0,0,G23/B$17)</f>
        <v>4.9586776859504135E-3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-5.9142857142857093</v>
      </c>
      <c r="P23" s="119">
        <v>42</v>
      </c>
      <c r="Q23" s="107">
        <v>-248.39999999999981</v>
      </c>
    </row>
    <row r="24" spans="1:17" x14ac:dyDescent="0.4">
      <c r="A24" s="57" t="s">
        <v>14</v>
      </c>
      <c r="B24" s="52">
        <f>IF(B$20=0,0,C24/B$20)</f>
        <v>-8147.3412112259966</v>
      </c>
      <c r="C24" s="45">
        <v>-11031500</v>
      </c>
      <c r="E24" s="63" t="s">
        <v>75</v>
      </c>
      <c r="F24" s="60" t="s">
        <v>30</v>
      </c>
      <c r="G24" s="47">
        <v>10</v>
      </c>
      <c r="H24" s="133">
        <f>IF(B$17=0,0,G24/B$17)</f>
        <v>4.1322314049586778E-3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-18.810093896713607</v>
      </c>
      <c r="P24" s="119">
        <v>426</v>
      </c>
      <c r="Q24" s="107">
        <v>-8013.0999999999958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10</v>
      </c>
      <c r="H25" s="133">
        <f>IF(B$17=0,0,G25/B$17)</f>
        <v>4.1322314049586778E-3</v>
      </c>
      <c r="I25" s="94">
        <v>3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>IF(B$17=0,0,G26/B$17)</f>
        <v>2.8925619834710742E-3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21</v>
      </c>
      <c r="C27" s="42">
        <f>IF(B$3=0,0,B27/B$3)</f>
        <v>2.5839793281653748E-3</v>
      </c>
      <c r="E27" s="63" t="s">
        <v>94</v>
      </c>
      <c r="F27" s="60" t="s">
        <v>49</v>
      </c>
      <c r="G27" s="47">
        <v>7</v>
      </c>
      <c r="H27" s="133">
        <f>IF(B$17=0,0,G27/B$17)</f>
        <v>2.8925619834710742E-3</v>
      </c>
      <c r="I27" s="94">
        <v>5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>IF(B$17=0,0,G28/B$17)</f>
        <v>2.4793388429752068E-3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2.4793388429752068E-3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1.652892561983471E-3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8.2644628099173552E-4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4.1322314049586776E-4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4.1322314049586776E-4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4.1322314049586776E-4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  <row r="954" spans="11:12" x14ac:dyDescent="0.4">
      <c r="K954" s="38">
        <v>952</v>
      </c>
      <c r="L954" s="99">
        <v>60.999999999999986</v>
      </c>
    </row>
    <row r="955" spans="11:12" x14ac:dyDescent="0.4">
      <c r="K955" s="38">
        <v>953</v>
      </c>
      <c r="L955" s="99">
        <v>13.399999999999984</v>
      </c>
    </row>
    <row r="956" spans="11:12" x14ac:dyDescent="0.4">
      <c r="K956" s="38">
        <v>954</v>
      </c>
      <c r="L956" s="99">
        <v>-1.5987211554602254E-14</v>
      </c>
    </row>
    <row r="957" spans="11:12" x14ac:dyDescent="0.4">
      <c r="K957" s="38">
        <v>955</v>
      </c>
      <c r="L957" s="99">
        <v>44.899999999999984</v>
      </c>
    </row>
    <row r="958" spans="11:12" x14ac:dyDescent="0.4">
      <c r="K958" s="38">
        <v>956</v>
      </c>
      <c r="L958" s="99">
        <v>-19.600000000000016</v>
      </c>
    </row>
    <row r="959" spans="11:12" x14ac:dyDescent="0.4">
      <c r="K959" s="38">
        <v>957</v>
      </c>
      <c r="L959" s="99">
        <v>-1.4210854715202004E-14</v>
      </c>
    </row>
    <row r="960" spans="11:12" x14ac:dyDescent="0.4">
      <c r="K960" s="38">
        <v>958</v>
      </c>
      <c r="L960" s="99">
        <v>51.999999999999986</v>
      </c>
    </row>
    <row r="961" spans="11:12" x14ac:dyDescent="0.4">
      <c r="K961" s="38">
        <v>959</v>
      </c>
      <c r="L961" s="99">
        <v>-7.4000000000000128</v>
      </c>
    </row>
    <row r="962" spans="11:12" x14ac:dyDescent="0.4">
      <c r="K962" s="38">
        <v>960</v>
      </c>
      <c r="L962" s="99">
        <v>-1.2434497875801753E-14</v>
      </c>
    </row>
    <row r="963" spans="11:12" x14ac:dyDescent="0.4">
      <c r="K963" s="38">
        <v>961</v>
      </c>
      <c r="L963" s="99">
        <v>-65.000000000000014</v>
      </c>
    </row>
    <row r="964" spans="11:12" x14ac:dyDescent="0.4">
      <c r="K964" s="38">
        <v>962</v>
      </c>
      <c r="L964" s="99">
        <v>-65.000000000000014</v>
      </c>
    </row>
    <row r="965" spans="11:12" x14ac:dyDescent="0.4">
      <c r="K965" s="38">
        <v>963</v>
      </c>
      <c r="L965" s="99">
        <v>-1.4210854715202004E-14</v>
      </c>
    </row>
    <row r="966" spans="11:12" x14ac:dyDescent="0.4">
      <c r="K966" s="38">
        <v>964</v>
      </c>
      <c r="L966" s="99">
        <v>-10.800000000000015</v>
      </c>
    </row>
    <row r="967" spans="11:12" x14ac:dyDescent="0.4">
      <c r="K967" s="38">
        <v>965</v>
      </c>
      <c r="L967" s="99">
        <v>-57.600000000000009</v>
      </c>
    </row>
    <row r="968" spans="11:12" x14ac:dyDescent="0.4">
      <c r="K968" s="38">
        <v>966</v>
      </c>
      <c r="L968" s="99">
        <v>-1.0000000000000071</v>
      </c>
    </row>
    <row r="969" spans="11:12" x14ac:dyDescent="0.4">
      <c r="K969" s="38">
        <v>967</v>
      </c>
      <c r="L969" s="99">
        <v>-67.5</v>
      </c>
    </row>
    <row r="970" spans="11:12" x14ac:dyDescent="0.4">
      <c r="K970" s="38">
        <v>968</v>
      </c>
      <c r="L970" s="99">
        <v>-20.5</v>
      </c>
    </row>
    <row r="971" spans="11:12" x14ac:dyDescent="0.4">
      <c r="K971" s="38">
        <v>969</v>
      </c>
      <c r="L971" s="99">
        <v>-1</v>
      </c>
    </row>
    <row r="972" spans="11:12" x14ac:dyDescent="0.4">
      <c r="K972" s="38">
        <v>970</v>
      </c>
      <c r="L972" s="99">
        <v>10.1</v>
      </c>
    </row>
    <row r="973" spans="11:12" x14ac:dyDescent="0.4">
      <c r="K973" s="38">
        <v>971</v>
      </c>
      <c r="L973" s="99">
        <v>-36.9</v>
      </c>
    </row>
    <row r="974" spans="11:12" x14ac:dyDescent="0.4">
      <c r="K974" s="38">
        <v>972</v>
      </c>
      <c r="L974" s="99">
        <v>-1</v>
      </c>
    </row>
    <row r="975" spans="11:12" x14ac:dyDescent="0.4">
      <c r="K975" s="38">
        <v>973</v>
      </c>
      <c r="L975" s="99">
        <v>-1.2</v>
      </c>
    </row>
    <row r="976" spans="11:12" x14ac:dyDescent="0.4">
      <c r="K976" s="38">
        <v>974</v>
      </c>
      <c r="L976" s="99">
        <v>-27.5</v>
      </c>
    </row>
    <row r="977" spans="11:12" x14ac:dyDescent="0.4">
      <c r="K977" s="38">
        <v>975</v>
      </c>
      <c r="L977" s="99">
        <v>-1</v>
      </c>
    </row>
    <row r="978" spans="11:12" x14ac:dyDescent="0.4">
      <c r="K978" s="38">
        <v>976</v>
      </c>
      <c r="L978" s="99">
        <v>-8</v>
      </c>
    </row>
    <row r="979" spans="11:12" x14ac:dyDescent="0.4">
      <c r="K979" s="38">
        <v>977</v>
      </c>
      <c r="L979" s="99">
        <v>49.5</v>
      </c>
    </row>
    <row r="980" spans="11:12" x14ac:dyDescent="0.4">
      <c r="K980" s="38">
        <v>978</v>
      </c>
      <c r="L980" s="99">
        <v>-1</v>
      </c>
    </row>
    <row r="981" spans="11:12" x14ac:dyDescent="0.4">
      <c r="K981" s="38">
        <v>979</v>
      </c>
      <c r="L981" s="99">
        <v>-1.4</v>
      </c>
    </row>
    <row r="982" spans="11:12" x14ac:dyDescent="0.4">
      <c r="K982" s="38">
        <v>980</v>
      </c>
      <c r="L982" s="99">
        <v>23.400000000000002</v>
      </c>
    </row>
    <row r="983" spans="11:12" x14ac:dyDescent="0.4">
      <c r="K983" s="38">
        <v>981</v>
      </c>
      <c r="L983" s="99">
        <v>-0.99999999999999645</v>
      </c>
    </row>
  </sheetData>
  <sortState xmlns:xlrd2="http://schemas.microsoft.com/office/spreadsheetml/2017/richdata2"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2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213</v>
      </c>
      <c r="C2" s="151"/>
      <c r="E2" s="62" t="s">
        <v>67</v>
      </c>
      <c r="F2" s="59" t="s">
        <v>23</v>
      </c>
      <c r="G2" s="46">
        <v>456</v>
      </c>
      <c r="H2" s="132">
        <f>IF(B$17=0,0,G2/B$17)</f>
        <v>0.77419354838709675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1204.7169811320755</v>
      </c>
      <c r="P2" s="118">
        <v>212</v>
      </c>
      <c r="Q2" s="102">
        <v>255400</v>
      </c>
    </row>
    <row r="3" spans="1:17" x14ac:dyDescent="0.4">
      <c r="A3" s="55" t="s">
        <v>8</v>
      </c>
      <c r="B3" s="152">
        <v>1739</v>
      </c>
      <c r="C3" s="153"/>
      <c r="E3" s="63" t="s">
        <v>73</v>
      </c>
      <c r="F3" s="60" t="s">
        <v>28</v>
      </c>
      <c r="G3" s="47">
        <v>330</v>
      </c>
      <c r="H3" s="133">
        <f>IF(B$17=0,0,G3/B$17)</f>
        <v>0.56027164685908315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1734.2995169082126</v>
      </c>
      <c r="P3" s="119">
        <v>207</v>
      </c>
      <c r="Q3" s="103">
        <v>359000</v>
      </c>
    </row>
    <row r="4" spans="1:17" x14ac:dyDescent="0.4">
      <c r="A4" s="55" t="s">
        <v>6</v>
      </c>
      <c r="B4" s="154">
        <v>2670.7000000000003</v>
      </c>
      <c r="C4" s="155"/>
      <c r="E4" s="63" t="s">
        <v>65</v>
      </c>
      <c r="F4" s="60" t="s">
        <v>21</v>
      </c>
      <c r="G4" s="47">
        <v>280</v>
      </c>
      <c r="H4" s="133">
        <f>IF(B$17=0,0,G4/B$17)</f>
        <v>0.47538200339558573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812.62626262626259</v>
      </c>
      <c r="P4" s="119">
        <v>198</v>
      </c>
      <c r="Q4" s="103">
        <v>160900</v>
      </c>
    </row>
    <row r="5" spans="1:17" x14ac:dyDescent="0.4">
      <c r="A5" s="55" t="s">
        <v>7</v>
      </c>
      <c r="B5" s="156">
        <f>IF(B$2=0,0,B$4/B$2)</f>
        <v>12.53849765258216</v>
      </c>
      <c r="C5" s="157"/>
      <c r="E5" s="63" t="s">
        <v>245</v>
      </c>
      <c r="F5" s="60" t="s">
        <v>246</v>
      </c>
      <c r="G5" s="47">
        <v>236</v>
      </c>
      <c r="H5" s="133">
        <f>IF(B$17=0,0,G5/B$17)</f>
        <v>0.40067911714770799</v>
      </c>
      <c r="I5" s="94">
        <v>7</v>
      </c>
      <c r="K5" s="38">
        <v>3</v>
      </c>
      <c r="L5" s="99">
        <v>70.399999999999991</v>
      </c>
      <c r="N5" s="115" t="s">
        <v>135</v>
      </c>
      <c r="O5" s="122">
        <f t="shared" si="0"/>
        <v>2733.5164835164837</v>
      </c>
      <c r="P5" s="119">
        <v>182</v>
      </c>
      <c r="Q5" s="103">
        <v>497500</v>
      </c>
    </row>
    <row r="6" spans="1:17" x14ac:dyDescent="0.4">
      <c r="A6" s="55" t="s">
        <v>1</v>
      </c>
      <c r="B6" s="146">
        <f>IF(B$2=0,0,(B$7*1+B$8*2+B$9*3)/B$2)</f>
        <v>1.755868544600939</v>
      </c>
      <c r="C6" s="147"/>
      <c r="E6" s="63" t="s">
        <v>68</v>
      </c>
      <c r="F6" s="60" t="s">
        <v>24</v>
      </c>
      <c r="G6" s="47">
        <v>184</v>
      </c>
      <c r="H6" s="133">
        <f>IF(B$17=0,0,G6/B$17)</f>
        <v>0.31239388794567063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1287.5776397515529</v>
      </c>
      <c r="P6" s="119">
        <v>161</v>
      </c>
      <c r="Q6" s="103">
        <v>207300</v>
      </c>
    </row>
    <row r="7" spans="1:17" x14ac:dyDescent="0.4">
      <c r="A7" s="55" t="s">
        <v>2</v>
      </c>
      <c r="B7" s="47">
        <v>104</v>
      </c>
      <c r="C7" s="39">
        <f t="shared" ref="C7:C12" si="1">IF(B$2=0,0,B7/B$2)</f>
        <v>0.48826291079812206</v>
      </c>
      <c r="E7" s="63" t="s">
        <v>69</v>
      </c>
      <c r="F7" s="60" t="s">
        <v>12</v>
      </c>
      <c r="G7" s="47">
        <v>164</v>
      </c>
      <c r="H7" s="133">
        <f>IF(B$17=0,0,G7/B$17)</f>
        <v>0.27843803056027167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1272.992700729927</v>
      </c>
      <c r="P7" s="120">
        <v>137</v>
      </c>
      <c r="Q7" s="104">
        <v>174400</v>
      </c>
    </row>
    <row r="8" spans="1:17" x14ac:dyDescent="0.4">
      <c r="A8" s="55" t="s">
        <v>3</v>
      </c>
      <c r="B8" s="47">
        <v>57</v>
      </c>
      <c r="C8" s="39">
        <f t="shared" si="1"/>
        <v>0.26760563380281688</v>
      </c>
      <c r="E8" s="63" t="s">
        <v>90</v>
      </c>
      <c r="F8" s="60" t="s">
        <v>45</v>
      </c>
      <c r="G8" s="47">
        <v>97</v>
      </c>
      <c r="H8" s="133">
        <f>IF(B$17=0,0,G8/B$17)</f>
        <v>0.16468590831918506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52</v>
      </c>
      <c r="C9" s="40">
        <f t="shared" si="1"/>
        <v>0.24413145539906103</v>
      </c>
      <c r="E9" s="63" t="s">
        <v>70</v>
      </c>
      <c r="F9" s="60" t="s">
        <v>25</v>
      </c>
      <c r="G9" s="47">
        <v>94</v>
      </c>
      <c r="H9" s="133">
        <f>IF(B$17=0,0,G9/B$17)</f>
        <v>0.15959252971137522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 t="shared" si="1"/>
        <v>8.4507042253521125E-2</v>
      </c>
      <c r="E10" s="63" t="s">
        <v>66</v>
      </c>
      <c r="F10" s="60" t="s">
        <v>22</v>
      </c>
      <c r="G10" s="47">
        <v>72</v>
      </c>
      <c r="H10" s="133">
        <f>IF(B$17=0,0,G10/B$17)</f>
        <v>0.12224108658743633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18.037313432835823</v>
      </c>
      <c r="P10" s="118">
        <v>67</v>
      </c>
      <c r="Q10" s="106">
        <v>1208.5000000000002</v>
      </c>
    </row>
    <row r="11" spans="1:17" x14ac:dyDescent="0.4">
      <c r="A11" s="56" t="s">
        <v>140</v>
      </c>
      <c r="B11" s="48">
        <v>37</v>
      </c>
      <c r="C11" s="40">
        <f t="shared" si="1"/>
        <v>0.17370892018779344</v>
      </c>
      <c r="E11" s="63" t="s">
        <v>71</v>
      </c>
      <c r="F11" s="60" t="s">
        <v>26</v>
      </c>
      <c r="G11" s="47">
        <v>46</v>
      </c>
      <c r="H11" s="133">
        <f>IF(B$17=0,0,G11/B$17)</f>
        <v>7.8098471986417659E-2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8.492647058823529</v>
      </c>
      <c r="P11" s="119">
        <v>68</v>
      </c>
      <c r="Q11" s="107">
        <v>577.5</v>
      </c>
    </row>
    <row r="12" spans="1:17" x14ac:dyDescent="0.4">
      <c r="A12" s="57" t="s">
        <v>160</v>
      </c>
      <c r="B12" s="49">
        <v>30</v>
      </c>
      <c r="C12" s="42">
        <f t="shared" si="1"/>
        <v>0.14084507042253522</v>
      </c>
      <c r="E12" s="63" t="s">
        <v>72</v>
      </c>
      <c r="F12" s="60" t="s">
        <v>27</v>
      </c>
      <c r="G12" s="47">
        <v>39</v>
      </c>
      <c r="H12" s="133">
        <f>IF(B$17=0,0,G12/B$17)</f>
        <v>6.6213921901528014E-2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11.342307692307696</v>
      </c>
      <c r="P12" s="120">
        <v>78</v>
      </c>
      <c r="Q12" s="108">
        <v>884.70000000000027</v>
      </c>
    </row>
    <row r="13" spans="1:17" x14ac:dyDescent="0.4">
      <c r="A13" s="58" t="s">
        <v>122</v>
      </c>
      <c r="B13" s="50">
        <v>532</v>
      </c>
      <c r="C13" s="44">
        <f>IF(B$3=0,0,B13/B$3)</f>
        <v>0.30592294422081656</v>
      </c>
      <c r="E13" s="63" t="s">
        <v>87</v>
      </c>
      <c r="F13" s="60" t="s">
        <v>42</v>
      </c>
      <c r="G13" s="47">
        <v>39</v>
      </c>
      <c r="H13" s="133">
        <f>IF(B$17=0,0,G13/B$17)</f>
        <v>6.6213921901528014E-2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383</v>
      </c>
      <c r="C14" s="39">
        <f>IF(B$3=0,0,B14/B$3)</f>
        <v>0.22024151811385853</v>
      </c>
      <c r="E14" s="63" t="s">
        <v>84</v>
      </c>
      <c r="F14" s="60" t="s">
        <v>39</v>
      </c>
      <c r="G14" s="47">
        <v>29</v>
      </c>
      <c r="H14" s="133">
        <f>IF(B$17=0,0,G14/B$17)</f>
        <v>4.9235993208828523E-2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310</v>
      </c>
      <c r="C15" s="37">
        <f>IF(B$13=0,0,B15/B$13)</f>
        <v>0.58270676691729328</v>
      </c>
      <c r="E15" s="63" t="s">
        <v>180</v>
      </c>
      <c r="F15" s="60" t="s">
        <v>181</v>
      </c>
      <c r="G15" s="47">
        <v>25</v>
      </c>
      <c r="H15" s="133">
        <f>IF(B$17=0,0,G15/B$17)</f>
        <v>4.2444821731748725E-2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192</v>
      </c>
      <c r="C16" s="37">
        <f>IF(B$14=0,0,B16/B$14)</f>
        <v>0.50130548302872058</v>
      </c>
      <c r="E16" s="63" t="s">
        <v>79</v>
      </c>
      <c r="F16" s="60" t="s">
        <v>34</v>
      </c>
      <c r="G16" s="47">
        <v>14</v>
      </c>
      <c r="H16" s="133">
        <f>IF(B$17=0,0,G16/B$17)</f>
        <v>2.3769100169779286E-2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589</v>
      </c>
      <c r="C17" s="37">
        <f>IF(B$3=0,0,B17/B$3)</f>
        <v>0.33870040253018974</v>
      </c>
      <c r="E17" s="63" t="s">
        <v>92</v>
      </c>
      <c r="F17" s="60" t="s">
        <v>47</v>
      </c>
      <c r="G17" s="47">
        <v>13</v>
      </c>
      <c r="H17" s="133">
        <f>IF(B$17=0,0,G17/B$17)</f>
        <v>2.2071307300509338E-2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247</v>
      </c>
      <c r="C18" s="39">
        <f>IF(B$17=0,0,B18/B$17)</f>
        <v>0.41935483870967744</v>
      </c>
      <c r="E18" s="63" t="s">
        <v>82</v>
      </c>
      <c r="F18" s="60" t="s">
        <v>37</v>
      </c>
      <c r="G18" s="47">
        <v>12</v>
      </c>
      <c r="H18" s="133">
        <f>IF(B$17=0,0,G18/B$17)</f>
        <v>2.037351443123939E-2</v>
      </c>
      <c r="I18" s="94">
        <v>8</v>
      </c>
      <c r="K18" s="38">
        <v>16</v>
      </c>
      <c r="L18" s="99">
        <v>425.50000000000006</v>
      </c>
      <c r="N18" s="115" t="s">
        <v>172</v>
      </c>
      <c r="O18" s="125">
        <f>IF(P18=0,0,Q18/P18)</f>
        <v>27.732075471698106</v>
      </c>
      <c r="P18" s="119">
        <v>53</v>
      </c>
      <c r="Q18" s="107">
        <v>1469.7999999999997</v>
      </c>
    </row>
    <row r="19" spans="1:17" x14ac:dyDescent="0.4">
      <c r="A19" s="55" t="s">
        <v>11</v>
      </c>
      <c r="B19" s="47">
        <v>342</v>
      </c>
      <c r="C19" s="39">
        <f>IF(B$17=0,0,B19/B$17)</f>
        <v>0.58064516129032262</v>
      </c>
      <c r="E19" s="63" t="s">
        <v>80</v>
      </c>
      <c r="F19" s="60" t="s">
        <v>35</v>
      </c>
      <c r="G19" s="47">
        <v>8</v>
      </c>
      <c r="H19" s="133">
        <f>IF(B$17=0,0,G19/B$17)</f>
        <v>1.3582342954159592E-2</v>
      </c>
      <c r="I19" s="94">
        <v>10</v>
      </c>
      <c r="K19" s="38">
        <v>17</v>
      </c>
      <c r="L19" s="99">
        <v>427.40000000000003</v>
      </c>
      <c r="N19" s="115" t="s">
        <v>173</v>
      </c>
      <c r="O19" s="125">
        <f>IF(P19=0,0,Q19/P19)</f>
        <v>25.017857142857139</v>
      </c>
      <c r="P19" s="119">
        <v>28</v>
      </c>
      <c r="Q19" s="107">
        <v>700.49999999999989</v>
      </c>
    </row>
    <row r="20" spans="1:17" x14ac:dyDescent="0.4">
      <c r="A20" s="55" t="s">
        <v>13</v>
      </c>
      <c r="B20" s="47">
        <v>260</v>
      </c>
      <c r="C20" s="39">
        <f>IF(B$3=0,0,B20/B$3)</f>
        <v>0.14951121334100057</v>
      </c>
      <c r="E20" s="63" t="s">
        <v>86</v>
      </c>
      <c r="F20" s="60" t="s">
        <v>41</v>
      </c>
      <c r="G20" s="47">
        <v>6</v>
      </c>
      <c r="H20" s="133">
        <f>IF(B$17=0,0,G20/B$17)</f>
        <v>1.0186757215619695E-2</v>
      </c>
      <c r="I20" s="94">
        <v>2</v>
      </c>
      <c r="K20" s="38">
        <v>18</v>
      </c>
      <c r="L20" s="99">
        <v>429.3</v>
      </c>
      <c r="N20" s="115" t="s">
        <v>129</v>
      </c>
      <c r="O20" s="125">
        <f>IF(P20=0,0,Q20/P20)</f>
        <v>23.9368932038835</v>
      </c>
      <c r="P20" s="119">
        <v>103</v>
      </c>
      <c r="Q20" s="107">
        <v>2465.5000000000005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74</v>
      </c>
      <c r="F21" s="60" t="s">
        <v>29</v>
      </c>
      <c r="G21" s="47">
        <v>4</v>
      </c>
      <c r="H21" s="133">
        <f>IF(B$17=0,0,G21/B$17)</f>
        <v>6.7911714770797962E-3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>IF(P21=0,0,Q21/P21)</f>
        <v>20.091666666666672</v>
      </c>
      <c r="P21" s="119">
        <v>48</v>
      </c>
      <c r="Q21" s="107">
        <v>964.40000000000032</v>
      </c>
    </row>
    <row r="22" spans="1:17" x14ac:dyDescent="0.4">
      <c r="A22" s="55" t="s">
        <v>192</v>
      </c>
      <c r="B22" s="47">
        <v>39</v>
      </c>
      <c r="C22" s="135">
        <v>13</v>
      </c>
      <c r="E22" s="63" t="s">
        <v>78</v>
      </c>
      <c r="F22" s="60" t="s">
        <v>33</v>
      </c>
      <c r="G22" s="47">
        <v>4</v>
      </c>
      <c r="H22" s="133">
        <f>IF(B$17=0,0,G22/B$17)</f>
        <v>6.7911714770797962E-3</v>
      </c>
      <c r="I22" s="94">
        <v>6</v>
      </c>
      <c r="K22" s="38">
        <v>20</v>
      </c>
      <c r="L22" s="99">
        <v>469.6</v>
      </c>
      <c r="N22" s="115" t="s">
        <v>128</v>
      </c>
      <c r="O22" s="125">
        <f>IF(P22=0,0,Q22/P22)</f>
        <v>19.544642857142861</v>
      </c>
      <c r="P22" s="119">
        <v>112</v>
      </c>
      <c r="Q22" s="107">
        <v>2189.0000000000005</v>
      </c>
    </row>
    <row r="23" spans="1:17" x14ac:dyDescent="0.4">
      <c r="A23" s="55" t="s">
        <v>5</v>
      </c>
      <c r="B23" s="51">
        <f>IF(B$17=0,0,C23/B$17)</f>
        <v>9249.2359932088293</v>
      </c>
      <c r="C23" s="41">
        <v>5447800</v>
      </c>
      <c r="E23" s="63" t="s">
        <v>93</v>
      </c>
      <c r="F23" s="60" t="s">
        <v>48</v>
      </c>
      <c r="G23" s="47">
        <v>4</v>
      </c>
      <c r="H23" s="133">
        <f>IF(B$17=0,0,G23/B$17)</f>
        <v>6.7911714770797962E-3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-2.7377049180327888</v>
      </c>
      <c r="P23" s="119">
        <v>61</v>
      </c>
      <c r="Q23" s="107">
        <v>-167.00000000000011</v>
      </c>
    </row>
    <row r="24" spans="1:17" x14ac:dyDescent="0.4">
      <c r="A24" s="57" t="s">
        <v>14</v>
      </c>
      <c r="B24" s="52">
        <f>IF(B$20=0,0,C24/B$20)</f>
        <v>-8279.6153846153848</v>
      </c>
      <c r="C24" s="45">
        <v>-2152700</v>
      </c>
      <c r="E24" s="63" t="s">
        <v>91</v>
      </c>
      <c r="F24" s="60" t="s">
        <v>46</v>
      </c>
      <c r="G24" s="47">
        <v>3</v>
      </c>
      <c r="H24" s="133">
        <f>IF(B$17=0,0,G24/B$17)</f>
        <v>5.0933786078098476E-3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3.3955857385398981E-3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3.3955857385398981E-3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5.750431282346176E-4</v>
      </c>
      <c r="E27" s="63" t="s">
        <v>76</v>
      </c>
      <c r="F27" s="60" t="s">
        <v>31</v>
      </c>
      <c r="G27" s="47">
        <v>1</v>
      </c>
      <c r="H27" s="133">
        <f>IF(B$17=0,0,G27/B$17)</f>
        <v>1.697792869269949E-3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1.697792869269949E-3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1.697792869269949E-3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1.697792869269949E-3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  <row r="206" spans="11:12" x14ac:dyDescent="0.4">
      <c r="K206" s="38">
        <v>204</v>
      </c>
      <c r="L206" s="99">
        <v>2629.6000000000004</v>
      </c>
    </row>
    <row r="207" spans="11:12" x14ac:dyDescent="0.4">
      <c r="K207" s="38">
        <v>205</v>
      </c>
      <c r="L207" s="99">
        <v>2674.5000000000005</v>
      </c>
    </row>
    <row r="208" spans="11:12" x14ac:dyDescent="0.4">
      <c r="K208" s="38">
        <v>206</v>
      </c>
      <c r="L208" s="99">
        <v>2726.5000000000005</v>
      </c>
    </row>
    <row r="209" spans="11:12" x14ac:dyDescent="0.4">
      <c r="K209" s="38">
        <v>207</v>
      </c>
      <c r="L209" s="99">
        <v>2661.5000000000005</v>
      </c>
    </row>
    <row r="210" spans="11:12" x14ac:dyDescent="0.4">
      <c r="K210" s="38">
        <v>208</v>
      </c>
      <c r="L210" s="99">
        <v>2614.7000000000003</v>
      </c>
    </row>
    <row r="211" spans="11:12" x14ac:dyDescent="0.4">
      <c r="K211" s="38">
        <v>209</v>
      </c>
      <c r="L211" s="99">
        <v>2661.7000000000003</v>
      </c>
    </row>
    <row r="212" spans="11:12" x14ac:dyDescent="0.4">
      <c r="K212" s="38">
        <v>210</v>
      </c>
      <c r="L212" s="99">
        <v>2614.7000000000003</v>
      </c>
    </row>
    <row r="213" spans="11:12" x14ac:dyDescent="0.4">
      <c r="K213" s="38">
        <v>211</v>
      </c>
      <c r="L213" s="99">
        <v>2588.4</v>
      </c>
    </row>
    <row r="214" spans="11:12" x14ac:dyDescent="0.4">
      <c r="K214" s="38">
        <v>212</v>
      </c>
      <c r="L214" s="99">
        <v>2645.9</v>
      </c>
    </row>
    <row r="215" spans="11:12" x14ac:dyDescent="0.4">
      <c r="K215" s="38">
        <v>213</v>
      </c>
      <c r="L215" s="99">
        <v>2670.7000000000003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162</v>
      </c>
      <c r="C2" s="151"/>
      <c r="E2" s="62" t="s">
        <v>65</v>
      </c>
      <c r="F2" s="59" t="s">
        <v>21</v>
      </c>
      <c r="G2" s="46">
        <v>218</v>
      </c>
      <c r="H2" s="132">
        <f>IF(B$17=0,0,G2/B$17)</f>
        <v>0.59078590785907859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700.61728395061732</v>
      </c>
      <c r="P2" s="118">
        <v>162</v>
      </c>
      <c r="Q2" s="102">
        <v>113500</v>
      </c>
    </row>
    <row r="3" spans="1:17" x14ac:dyDescent="0.4">
      <c r="A3" s="55" t="s">
        <v>8</v>
      </c>
      <c r="B3" s="152">
        <v>1330</v>
      </c>
      <c r="C3" s="153"/>
      <c r="E3" s="63" t="s">
        <v>66</v>
      </c>
      <c r="F3" s="60" t="s">
        <v>22</v>
      </c>
      <c r="G3" s="47">
        <v>52</v>
      </c>
      <c r="H3" s="133">
        <f>IF(B$17=0,0,G3/B$17)</f>
        <v>0.14092140921409213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-1628.0254777070063</v>
      </c>
      <c r="P3" s="119">
        <v>157</v>
      </c>
      <c r="Q3" s="103">
        <v>-255600</v>
      </c>
    </row>
    <row r="4" spans="1:17" x14ac:dyDescent="0.4">
      <c r="A4" s="55" t="s">
        <v>6</v>
      </c>
      <c r="B4" s="154">
        <v>-490.8</v>
      </c>
      <c r="C4" s="155"/>
      <c r="E4" s="63" t="s">
        <v>67</v>
      </c>
      <c r="F4" s="60" t="s">
        <v>23</v>
      </c>
      <c r="G4" s="47">
        <v>266</v>
      </c>
      <c r="H4" s="133">
        <f>IF(B$17=0,0,G4/B$17)</f>
        <v>0.72086720867208676</v>
      </c>
      <c r="I4" s="94">
        <v>8</v>
      </c>
      <c r="K4" s="38">
        <v>2</v>
      </c>
      <c r="L4" s="99">
        <v>6.2999999999999972</v>
      </c>
      <c r="N4" s="115" t="s">
        <v>134</v>
      </c>
      <c r="O4" s="122">
        <f t="shared" si="0"/>
        <v>-369.33333333333331</v>
      </c>
      <c r="P4" s="119">
        <v>150</v>
      </c>
      <c r="Q4" s="103">
        <v>-55400</v>
      </c>
    </row>
    <row r="5" spans="1:17" x14ac:dyDescent="0.4">
      <c r="A5" s="55" t="s">
        <v>7</v>
      </c>
      <c r="B5" s="156">
        <f>IF(B$2=0,0,B$4/B$2)</f>
        <v>-3.0296296296296297</v>
      </c>
      <c r="C5" s="157"/>
      <c r="E5" s="63" t="s">
        <v>68</v>
      </c>
      <c r="F5" s="60" t="s">
        <v>24</v>
      </c>
      <c r="G5" s="47">
        <v>142</v>
      </c>
      <c r="H5" s="133">
        <f>IF(B$17=0,0,G5/B$17)</f>
        <v>0.38482384823848237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-335.55555555555554</v>
      </c>
      <c r="P5" s="119">
        <v>135</v>
      </c>
      <c r="Q5" s="103">
        <v>-45300</v>
      </c>
    </row>
    <row r="6" spans="1:17" x14ac:dyDescent="0.4">
      <c r="A6" s="55" t="s">
        <v>1</v>
      </c>
      <c r="B6" s="146">
        <f>IF(B$2=0,0,(B$7*1+B$8*2+B$9*3)/B$2)</f>
        <v>2.074074074074074</v>
      </c>
      <c r="C6" s="147"/>
      <c r="E6" s="63" t="s">
        <v>69</v>
      </c>
      <c r="F6" s="60" t="s">
        <v>12</v>
      </c>
      <c r="G6" s="47">
        <v>131</v>
      </c>
      <c r="H6" s="133">
        <f>IF(B$17=0,0,G6/B$17)</f>
        <v>0.35501355013550134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212.60504201680672</v>
      </c>
      <c r="P6" s="119">
        <v>119</v>
      </c>
      <c r="Q6" s="103">
        <v>25300</v>
      </c>
    </row>
    <row r="7" spans="1:17" x14ac:dyDescent="0.4">
      <c r="A7" s="55" t="s">
        <v>2</v>
      </c>
      <c r="B7" s="47">
        <v>44</v>
      </c>
      <c r="C7" s="39">
        <f t="shared" ref="C7:C12" si="1">IF(B$2=0,0,B7/B$2)</f>
        <v>0.27160493827160492</v>
      </c>
      <c r="E7" s="63" t="s">
        <v>70</v>
      </c>
      <c r="F7" s="60" t="s">
        <v>25</v>
      </c>
      <c r="G7" s="47">
        <v>81</v>
      </c>
      <c r="H7" s="133">
        <f>IF(B$17=0,0,G7/B$17)</f>
        <v>0.21951219512195122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 t="shared" si="1"/>
        <v>0.38271604938271603</v>
      </c>
      <c r="E8" s="63" t="s">
        <v>71</v>
      </c>
      <c r="F8" s="60" t="s">
        <v>26</v>
      </c>
      <c r="G8" s="47">
        <v>48</v>
      </c>
      <c r="H8" s="133">
        <f>IF(B$17=0,0,G8/B$17)</f>
        <v>0.13008130081300814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56</v>
      </c>
      <c r="C9" s="40">
        <f t="shared" si="1"/>
        <v>0.34567901234567899</v>
      </c>
      <c r="E9" s="63" t="s">
        <v>72</v>
      </c>
      <c r="F9" s="60" t="s">
        <v>27</v>
      </c>
      <c r="G9" s="47">
        <v>18</v>
      </c>
      <c r="H9" s="133">
        <f>IF(B$17=0,0,G9/B$17)</f>
        <v>4.878048780487805E-2</v>
      </c>
      <c r="I9" s="94">
        <v>11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 t="shared" si="1"/>
        <v>0.13580246913580246</v>
      </c>
      <c r="E10" s="63" t="s">
        <v>73</v>
      </c>
      <c r="F10" s="60" t="s">
        <v>28</v>
      </c>
      <c r="G10" s="47">
        <v>165</v>
      </c>
      <c r="H10" s="133">
        <f>IF(B$17=0,0,G10/B$17)</f>
        <v>0.44715447154471544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 t="shared" si="1"/>
        <v>9.8765432098765427E-2</v>
      </c>
      <c r="E11" s="63" t="s">
        <v>74</v>
      </c>
      <c r="F11" s="60" t="s">
        <v>29</v>
      </c>
      <c r="G11" s="47">
        <v>3</v>
      </c>
      <c r="H11" s="133">
        <f>IF(B$17=0,0,G11/B$17)</f>
        <v>8.130081300813009E-3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-3.397727272727272</v>
      </c>
      <c r="P11" s="119">
        <v>44</v>
      </c>
      <c r="Q11" s="107">
        <v>-149.49999999999997</v>
      </c>
    </row>
    <row r="12" spans="1:17" x14ac:dyDescent="0.4">
      <c r="A12" s="57" t="s">
        <v>160</v>
      </c>
      <c r="B12" s="49">
        <v>9</v>
      </c>
      <c r="C12" s="42">
        <f t="shared" si="1"/>
        <v>5.5555555555555552E-2</v>
      </c>
      <c r="E12" s="63" t="s">
        <v>75</v>
      </c>
      <c r="F12" s="60" t="s">
        <v>30</v>
      </c>
      <c r="G12" s="47">
        <v>2</v>
      </c>
      <c r="H12" s="133">
        <f>IF(B$17=0,0,G12/B$17)</f>
        <v>5.4200542005420054E-3</v>
      </c>
      <c r="I12" s="94">
        <v>5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394</v>
      </c>
      <c r="C13" s="44">
        <f>IF(B$3=0,0,B13/B$3)</f>
        <v>0.29624060150375942</v>
      </c>
      <c r="E13" s="63" t="s">
        <v>76</v>
      </c>
      <c r="F13" s="60" t="s">
        <v>31</v>
      </c>
      <c r="G13" s="47">
        <v>4</v>
      </c>
      <c r="H13" s="133">
        <f>IF(B$17=0,0,G13/B$17)</f>
        <v>1.0840108401084011E-2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229</v>
      </c>
      <c r="C14" s="39">
        <f>IF(B$3=0,0,B14/B$3)</f>
        <v>0.17218045112781954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231</v>
      </c>
      <c r="C15" s="37">
        <f>IF(B$13=0,0,B15/B$13)</f>
        <v>0.58629441624365486</v>
      </c>
      <c r="E15" s="63" t="s">
        <v>78</v>
      </c>
      <c r="F15" s="60" t="s">
        <v>33</v>
      </c>
      <c r="G15" s="47">
        <v>1</v>
      </c>
      <c r="H15" s="133">
        <f>IF(B$17=0,0,G15/B$17)</f>
        <v>2.7100271002710027E-3</v>
      </c>
      <c r="I15" s="94">
        <v>8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0.31877729257641924</v>
      </c>
      <c r="E16" s="63" t="s">
        <v>79</v>
      </c>
      <c r="F16" s="60" t="s">
        <v>34</v>
      </c>
      <c r="G16" s="47">
        <v>8</v>
      </c>
      <c r="H16" s="133">
        <f>IF(B$17=0,0,G16/B$17)</f>
        <v>2.1680216802168022E-2</v>
      </c>
      <c r="I16" s="94">
        <v>9</v>
      </c>
      <c r="K16" s="38">
        <v>14</v>
      </c>
      <c r="L16" s="99">
        <v>-25.600000000000009</v>
      </c>
      <c r="N16" s="115" t="s">
        <v>173</v>
      </c>
      <c r="O16" s="125">
        <f t="shared" si="2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369</v>
      </c>
      <c r="C17" s="37">
        <f>IF(B$3=0,0,B17/B$3)</f>
        <v>0.27744360902255638</v>
      </c>
      <c r="E17" s="63" t="s">
        <v>80</v>
      </c>
      <c r="F17" s="60" t="s">
        <v>35</v>
      </c>
      <c r="G17" s="47">
        <v>7</v>
      </c>
      <c r="H17" s="133">
        <f>IF(B$17=0,0,G17/B$17)</f>
        <v>1.8970189701897018E-2</v>
      </c>
      <c r="I17" s="94">
        <v>5</v>
      </c>
      <c r="K17" s="38">
        <v>15</v>
      </c>
      <c r="L17" s="99">
        <v>47.999999999999986</v>
      </c>
      <c r="N17" s="115" t="s">
        <v>129</v>
      </c>
      <c r="O17" s="125">
        <f t="shared" si="2"/>
        <v>4.3045454545454529</v>
      </c>
      <c r="P17" s="119">
        <v>66</v>
      </c>
      <c r="Q17" s="107">
        <v>284.09999999999991</v>
      </c>
    </row>
    <row r="18" spans="1:17" x14ac:dyDescent="0.4">
      <c r="A18" s="55" t="s">
        <v>12</v>
      </c>
      <c r="B18" s="47">
        <v>163</v>
      </c>
      <c r="C18" s="39">
        <f>IF(B$17=0,0,B18/B$17)</f>
        <v>0.44173441734417346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177</v>
      </c>
      <c r="O18" s="125">
        <f t="shared" si="2"/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0.5582655826558266</v>
      </c>
      <c r="E19" s="63" t="s">
        <v>82</v>
      </c>
      <c r="F19" s="60" t="s">
        <v>37</v>
      </c>
      <c r="G19" s="47">
        <v>11</v>
      </c>
      <c r="H19" s="133">
        <f>IF(B$17=0,0,G19/B$17)</f>
        <v>2.9810298102981029E-2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243</v>
      </c>
      <c r="C20" s="39">
        <f>IF(B$3=0,0,B20/B$3)</f>
        <v>0.18270676691729323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172</v>
      </c>
      <c r="O20" s="125">
        <f t="shared" si="2"/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15</v>
      </c>
      <c r="H21" s="133">
        <f>IF(B$17=0,0,G21/B$17)</f>
        <v>4.065040650406504E-2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 t="shared" si="2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2.7100271002710027E-3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-19.544642857142861</v>
      </c>
      <c r="P22" s="119">
        <v>112</v>
      </c>
      <c r="Q22" s="107">
        <v>-2189.0000000000005</v>
      </c>
    </row>
    <row r="23" spans="1:17" x14ac:dyDescent="0.4">
      <c r="A23" s="55" t="s">
        <v>5</v>
      </c>
      <c r="B23" s="51">
        <f>IF(B$17=0,0,C23/B$17)</f>
        <v>8953.6585365853662</v>
      </c>
      <c r="C23" s="41">
        <v>3303900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-7664.1975308641977</v>
      </c>
      <c r="C24" s="45">
        <v>-1862400</v>
      </c>
      <c r="E24" s="63" t="s">
        <v>87</v>
      </c>
      <c r="F24" s="60" t="s">
        <v>42</v>
      </c>
      <c r="G24" s="47">
        <v>20</v>
      </c>
      <c r="H24" s="133">
        <f>IF(B$17=0,0,G24/B$17)</f>
        <v>5.4200542005420058E-2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2.7100271002710027E-3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4.5112781954887221E-3</v>
      </c>
      <c r="E27" s="63" t="s">
        <v>90</v>
      </c>
      <c r="F27" s="60" t="s">
        <v>45</v>
      </c>
      <c r="G27" s="47">
        <v>43</v>
      </c>
      <c r="H27" s="133">
        <f>IF(B$17=0,0,G27/B$17)</f>
        <v>0.11653116531165311</v>
      </c>
      <c r="I27" s="94">
        <v>9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7</v>
      </c>
      <c r="H29" s="133">
        <f>IF(B$17=0,0,G29/B$17)</f>
        <v>1.8970189701897018E-2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2.7100271002710027E-3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2.7100271002710027E-3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2.7100271002710027E-3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8</v>
      </c>
      <c r="H50" s="133">
        <f>IF(B$17=0,0,G50/B$17)</f>
        <v>2.1680216802168022E-2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156</v>
      </c>
      <c r="H51" s="138">
        <f>IF(B$17=0,0,G51/B$17)</f>
        <v>0.42276422764227645</v>
      </c>
      <c r="I51" s="139">
        <v>4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</sheetData>
  <sortState xmlns:xlrd2="http://schemas.microsoft.com/office/spreadsheetml/2017/richdata2" ref="E2:I16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6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165</v>
      </c>
      <c r="C2" s="151"/>
      <c r="E2" s="62" t="s">
        <v>67</v>
      </c>
      <c r="F2" s="59" t="s">
        <v>23</v>
      </c>
      <c r="G2" s="46">
        <v>305</v>
      </c>
      <c r="H2" s="132">
        <f>IF(B$17=0,0,G2/B$17)</f>
        <v>0.81769436997319034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-1856.0975609756097</v>
      </c>
      <c r="P2" s="118">
        <v>164</v>
      </c>
      <c r="Q2" s="102">
        <v>-304400</v>
      </c>
    </row>
    <row r="3" spans="1:17" x14ac:dyDescent="0.4">
      <c r="A3" s="55" t="s">
        <v>8</v>
      </c>
      <c r="B3" s="152">
        <v>1380</v>
      </c>
      <c r="C3" s="153"/>
      <c r="E3" s="63" t="s">
        <v>65</v>
      </c>
      <c r="F3" s="60" t="s">
        <v>21</v>
      </c>
      <c r="G3" s="47">
        <v>177</v>
      </c>
      <c r="H3" s="133">
        <f>IF(B$17=0,0,G3/B$17)</f>
        <v>0.47453083109919569</v>
      </c>
      <c r="I3" s="94">
        <v>10</v>
      </c>
      <c r="K3" s="38">
        <v>1</v>
      </c>
      <c r="L3" s="99">
        <v>-40.4</v>
      </c>
      <c r="N3" s="115" t="s">
        <v>133</v>
      </c>
      <c r="O3" s="122">
        <f t="shared" si="0"/>
        <v>-1511.25</v>
      </c>
      <c r="P3" s="119">
        <v>160</v>
      </c>
      <c r="Q3" s="103">
        <v>-241800</v>
      </c>
    </row>
    <row r="4" spans="1:17" x14ac:dyDescent="0.4">
      <c r="A4" s="55" t="s">
        <v>6</v>
      </c>
      <c r="B4" s="154">
        <v>-1258.7</v>
      </c>
      <c r="C4" s="155"/>
      <c r="E4" s="63" t="s">
        <v>73</v>
      </c>
      <c r="F4" s="60" t="s">
        <v>28</v>
      </c>
      <c r="G4" s="47">
        <v>171</v>
      </c>
      <c r="H4" s="133">
        <f>IF(B$17=0,0,G4/B$17)</f>
        <v>0.45844504021447718</v>
      </c>
      <c r="I4" s="94">
        <v>10</v>
      </c>
      <c r="K4" s="38">
        <v>2</v>
      </c>
      <c r="L4" s="99">
        <v>-3.3999999999999986</v>
      </c>
      <c r="N4" s="115" t="s">
        <v>134</v>
      </c>
      <c r="O4" s="122">
        <f t="shared" si="0"/>
        <v>898.68421052631584</v>
      </c>
      <c r="P4" s="119">
        <v>152</v>
      </c>
      <c r="Q4" s="103">
        <v>136600</v>
      </c>
    </row>
    <row r="5" spans="1:17" x14ac:dyDescent="0.4">
      <c r="A5" s="55" t="s">
        <v>7</v>
      </c>
      <c r="B5" s="156">
        <f>IF(B$2=0,0,B$4/B$2)</f>
        <v>-7.6284848484848489</v>
      </c>
      <c r="C5" s="157"/>
      <c r="E5" s="63" t="s">
        <v>245</v>
      </c>
      <c r="F5" s="60" t="s">
        <v>246</v>
      </c>
      <c r="G5" s="47">
        <v>144</v>
      </c>
      <c r="H5" s="133">
        <f>IF(B$17=0,0,G5/B$17)</f>
        <v>0.38605898123324395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-2911.6788321167883</v>
      </c>
      <c r="P5" s="119">
        <v>137</v>
      </c>
      <c r="Q5" s="103">
        <v>-398900</v>
      </c>
    </row>
    <row r="6" spans="1:17" x14ac:dyDescent="0.4">
      <c r="A6" s="55" t="s">
        <v>1</v>
      </c>
      <c r="B6" s="146">
        <f>IF(B$2=0,0,(B$7*1+B$8*2+B$9*3)/B$2)</f>
        <v>2.1212121212121211</v>
      </c>
      <c r="C6" s="147"/>
      <c r="E6" s="63" t="s">
        <v>69</v>
      </c>
      <c r="F6" s="60" t="s">
        <v>12</v>
      </c>
      <c r="G6" s="47">
        <v>125</v>
      </c>
      <c r="H6" s="133">
        <f>IF(B$17=0,0,G6/B$17)</f>
        <v>0.33512064343163539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4.8780487804878048</v>
      </c>
      <c r="P6" s="119">
        <v>123</v>
      </c>
      <c r="Q6" s="103">
        <v>600</v>
      </c>
    </row>
    <row r="7" spans="1:17" x14ac:dyDescent="0.4">
      <c r="A7" s="55" t="s">
        <v>2</v>
      </c>
      <c r="B7" s="47">
        <v>48</v>
      </c>
      <c r="C7" s="39">
        <f t="shared" ref="C7:C12" si="1">IF(B$2=0,0,B7/B$2)</f>
        <v>0.29090909090909089</v>
      </c>
      <c r="E7" s="63" t="s">
        <v>68</v>
      </c>
      <c r="F7" s="60" t="s">
        <v>24</v>
      </c>
      <c r="G7" s="47">
        <v>94</v>
      </c>
      <c r="H7" s="133">
        <f>IF(B$17=0,0,G7/B$17)</f>
        <v>0.25201072386058981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-531.19266055045875</v>
      </c>
      <c r="P7" s="120">
        <v>109</v>
      </c>
      <c r="Q7" s="104">
        <v>-57900</v>
      </c>
    </row>
    <row r="8" spans="1:17" x14ac:dyDescent="0.4">
      <c r="A8" s="55" t="s">
        <v>3</v>
      </c>
      <c r="B8" s="47">
        <v>49</v>
      </c>
      <c r="C8" s="39">
        <f t="shared" si="1"/>
        <v>0.29696969696969699</v>
      </c>
      <c r="E8" s="63" t="s">
        <v>70</v>
      </c>
      <c r="F8" s="60" t="s">
        <v>25</v>
      </c>
      <c r="G8" s="47">
        <v>60</v>
      </c>
      <c r="H8" s="133">
        <f>IF(B$17=0,0,G8/B$17)</f>
        <v>0.16085790884718498</v>
      </c>
      <c r="I8" s="94">
        <v>5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68</v>
      </c>
      <c r="C9" s="40">
        <f t="shared" si="1"/>
        <v>0.41212121212121211</v>
      </c>
      <c r="E9" s="63" t="s">
        <v>71</v>
      </c>
      <c r="F9" s="60" t="s">
        <v>26</v>
      </c>
      <c r="G9" s="47">
        <v>55</v>
      </c>
      <c r="H9" s="133">
        <f>IF(B$17=0,0,G9/B$17)</f>
        <v>0.14745308310991956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 t="shared" si="1"/>
        <v>0.14545454545454545</v>
      </c>
      <c r="E10" s="63" t="s">
        <v>90</v>
      </c>
      <c r="F10" s="60" t="s">
        <v>45</v>
      </c>
      <c r="G10" s="47">
        <v>44</v>
      </c>
      <c r="H10" s="133">
        <f>IF(B$17=0,0,G10/B$17)</f>
        <v>0.11796246648793565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-12.48541666666666</v>
      </c>
      <c r="P10" s="118">
        <v>48</v>
      </c>
      <c r="Q10" s="106">
        <v>-599.29999999999973</v>
      </c>
    </row>
    <row r="11" spans="1:17" x14ac:dyDescent="0.4">
      <c r="A11" s="56" t="s">
        <v>140</v>
      </c>
      <c r="B11" s="48">
        <v>17</v>
      </c>
      <c r="C11" s="40">
        <f t="shared" si="1"/>
        <v>0.10303030303030303</v>
      </c>
      <c r="E11" s="63" t="s">
        <v>72</v>
      </c>
      <c r="F11" s="60" t="s">
        <v>27</v>
      </c>
      <c r="G11" s="47">
        <v>37</v>
      </c>
      <c r="H11" s="133">
        <f>IF(B$17=0,0,G11/B$17)</f>
        <v>9.9195710455764072E-2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-4.6433333333333353</v>
      </c>
      <c r="P11" s="119">
        <v>60</v>
      </c>
      <c r="Q11" s="107">
        <v>-278.60000000000014</v>
      </c>
    </row>
    <row r="12" spans="1:17" x14ac:dyDescent="0.4">
      <c r="A12" s="57" t="s">
        <v>160</v>
      </c>
      <c r="B12" s="49">
        <v>15</v>
      </c>
      <c r="C12" s="42">
        <f t="shared" si="1"/>
        <v>9.0909090909090912E-2</v>
      </c>
      <c r="E12" s="63" t="s">
        <v>66</v>
      </c>
      <c r="F12" s="60" t="s">
        <v>22</v>
      </c>
      <c r="G12" s="47">
        <v>33</v>
      </c>
      <c r="H12" s="133">
        <f>IF(B$17=0,0,G12/B$17)</f>
        <v>8.8471849865951746E-2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-6.6807017543859617</v>
      </c>
      <c r="P12" s="120">
        <v>57</v>
      </c>
      <c r="Q12" s="108">
        <v>-380.79999999999984</v>
      </c>
    </row>
    <row r="13" spans="1:17" x14ac:dyDescent="0.4">
      <c r="A13" s="58" t="s">
        <v>122</v>
      </c>
      <c r="B13" s="50">
        <v>345</v>
      </c>
      <c r="C13" s="44">
        <f>IF(B$3=0,0,B13/B$3)</f>
        <v>0.25</v>
      </c>
      <c r="E13" s="63" t="s">
        <v>87</v>
      </c>
      <c r="F13" s="60" t="s">
        <v>42</v>
      </c>
      <c r="G13" s="47">
        <v>21</v>
      </c>
      <c r="H13" s="133">
        <f>IF(B$17=0,0,G13/B$17)</f>
        <v>5.6300268096514748E-2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270</v>
      </c>
      <c r="C14" s="39">
        <f>IF(B$3=0,0,B14/B$3)</f>
        <v>0.19565217391304349</v>
      </c>
      <c r="E14" s="63" t="s">
        <v>84</v>
      </c>
      <c r="F14" s="60" t="s">
        <v>39</v>
      </c>
      <c r="G14" s="47">
        <v>14</v>
      </c>
      <c r="H14" s="133">
        <f>IF(B$17=0,0,G14/B$17)</f>
        <v>3.7533512064343161E-2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185</v>
      </c>
      <c r="C15" s="37">
        <f>IF(B$13=0,0,B15/B$13)</f>
        <v>0.53623188405797106</v>
      </c>
      <c r="E15" s="63" t="s">
        <v>79</v>
      </c>
      <c r="F15" s="60" t="s">
        <v>34</v>
      </c>
      <c r="G15" s="47">
        <v>12</v>
      </c>
      <c r="H15" s="133">
        <f>IF(B$17=0,0,G15/B$17)</f>
        <v>3.2171581769436998E-2</v>
      </c>
      <c r="I15" s="94">
        <v>6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92</v>
      </c>
      <c r="C16" s="37">
        <f>IF(B$14=0,0,B16/B$14)</f>
        <v>0.34074074074074073</v>
      </c>
      <c r="E16" s="63" t="s">
        <v>82</v>
      </c>
      <c r="F16" s="60" t="s">
        <v>37</v>
      </c>
      <c r="G16" s="47">
        <v>10</v>
      </c>
      <c r="H16" s="133">
        <f>IF(B$17=0,0,G16/B$17)</f>
        <v>2.6809651474530832E-2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373</v>
      </c>
      <c r="C17" s="37">
        <f>IF(B$3=0,0,B17/B$3)</f>
        <v>0.27028985507246378</v>
      </c>
      <c r="E17" s="63" t="s">
        <v>80</v>
      </c>
      <c r="F17" s="60" t="s">
        <v>35</v>
      </c>
      <c r="G17" s="47">
        <v>6</v>
      </c>
      <c r="H17" s="133">
        <f>IF(B$17=0,0,G17/B$17)</f>
        <v>1.6085790884718499E-2</v>
      </c>
      <c r="I17" s="94">
        <v>8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157</v>
      </c>
      <c r="C18" s="39">
        <f>IF(B$17=0,0,B18/B$17)</f>
        <v>0.42091152815013405</v>
      </c>
      <c r="E18" s="63" t="s">
        <v>78</v>
      </c>
      <c r="F18" s="60" t="s">
        <v>33</v>
      </c>
      <c r="G18" s="47">
        <v>5</v>
      </c>
      <c r="H18" s="133">
        <f>IF(B$17=0,0,G18/B$17)</f>
        <v>1.3404825737265416E-2</v>
      </c>
      <c r="I18" s="94">
        <v>2</v>
      </c>
      <c r="K18" s="38">
        <v>16</v>
      </c>
      <c r="L18" s="99">
        <v>-472</v>
      </c>
      <c r="N18" s="115" t="s">
        <v>177</v>
      </c>
      <c r="O18" s="125">
        <f>IF(P18=0,0,Q18/P18)</f>
        <v>2.7875000000000014</v>
      </c>
      <c r="P18" s="119">
        <v>48</v>
      </c>
      <c r="Q18" s="107">
        <v>133.80000000000007</v>
      </c>
    </row>
    <row r="19" spans="1:17" x14ac:dyDescent="0.4">
      <c r="A19" s="55" t="s">
        <v>11</v>
      </c>
      <c r="B19" s="47">
        <v>216</v>
      </c>
      <c r="C19" s="39">
        <f>IF(B$17=0,0,B19/B$17)</f>
        <v>0.579088471849866</v>
      </c>
      <c r="E19" s="63" t="s">
        <v>92</v>
      </c>
      <c r="F19" s="60" t="s">
        <v>47</v>
      </c>
      <c r="G19" s="47">
        <v>5</v>
      </c>
      <c r="H19" s="133">
        <f>IF(B$17=0,0,G19/B$17)</f>
        <v>1.3404825737265416E-2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-2.7749999999999932</v>
      </c>
      <c r="P19" s="119">
        <v>16</v>
      </c>
      <c r="Q19" s="107">
        <v>-44.399999999999892</v>
      </c>
    </row>
    <row r="20" spans="1:17" x14ac:dyDescent="0.4">
      <c r="A20" s="55" t="s">
        <v>13</v>
      </c>
      <c r="B20" s="47">
        <v>239</v>
      </c>
      <c r="C20" s="39">
        <f>IF(B$3=0,0,B20/B$3)</f>
        <v>0.17318840579710146</v>
      </c>
      <c r="E20" s="63" t="s">
        <v>75</v>
      </c>
      <c r="F20" s="60" t="s">
        <v>30</v>
      </c>
      <c r="G20" s="47">
        <v>3</v>
      </c>
      <c r="H20" s="133">
        <f>IF(B$17=0,0,G20/B$17)</f>
        <v>8.0428954423592495E-3</v>
      </c>
      <c r="I20" s="94">
        <v>3</v>
      </c>
      <c r="K20" s="38">
        <v>18</v>
      </c>
      <c r="L20" s="99">
        <v>-537.19999999999993</v>
      </c>
      <c r="N20" s="115" t="s">
        <v>128</v>
      </c>
      <c r="O20" s="125">
        <f>IF(P20=0,0,Q20/P20)</f>
        <v>-4.3045454545454538</v>
      </c>
      <c r="P20" s="119">
        <v>66</v>
      </c>
      <c r="Q20" s="107">
        <v>-284.09999999999997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8.0428954423592495E-3</v>
      </c>
      <c r="I21" s="94">
        <v>5</v>
      </c>
      <c r="K21" s="38">
        <v>19</v>
      </c>
      <c r="L21" s="99">
        <v>-569.49999999999989</v>
      </c>
      <c r="N21" s="115" t="s">
        <v>171</v>
      </c>
      <c r="O21" s="125">
        <f>IF(P21=0,0,Q21/P21)</f>
        <v>-20.797499999999992</v>
      </c>
      <c r="P21" s="119">
        <v>40</v>
      </c>
      <c r="Q21" s="107">
        <v>-831.89999999999975</v>
      </c>
    </row>
    <row r="22" spans="1:17" x14ac:dyDescent="0.4">
      <c r="A22" s="55" t="s">
        <v>192</v>
      </c>
      <c r="B22" s="47">
        <v>39</v>
      </c>
      <c r="C22" s="135">
        <v>1</v>
      </c>
      <c r="E22" s="63" t="s">
        <v>88</v>
      </c>
      <c r="F22" s="60" t="s">
        <v>43</v>
      </c>
      <c r="G22" s="47">
        <v>3</v>
      </c>
      <c r="H22" s="133">
        <f>IF(B$17=0,0,G22/B$17)</f>
        <v>8.0428954423592495E-3</v>
      </c>
      <c r="I22" s="94">
        <v>1</v>
      </c>
      <c r="K22" s="38">
        <v>20</v>
      </c>
      <c r="L22" s="99">
        <v>-632.99999999999989</v>
      </c>
      <c r="N22" s="115" t="s">
        <v>172</v>
      </c>
      <c r="O22" s="125">
        <f>IF(P22=0,0,Q22/P22)</f>
        <v>-20.858333333333327</v>
      </c>
      <c r="P22" s="119">
        <v>36</v>
      </c>
      <c r="Q22" s="107">
        <v>-750.89999999999975</v>
      </c>
    </row>
    <row r="23" spans="1:17" x14ac:dyDescent="0.4">
      <c r="A23" s="55" t="s">
        <v>5</v>
      </c>
      <c r="B23" s="51">
        <f>IF(B$17=0,0,C23/B$17)</f>
        <v>8314.7453083109922</v>
      </c>
      <c r="C23" s="41">
        <v>3101400</v>
      </c>
      <c r="E23" s="63" t="s">
        <v>85</v>
      </c>
      <c r="F23" s="60" t="s">
        <v>40</v>
      </c>
      <c r="G23" s="47">
        <v>2</v>
      </c>
      <c r="H23" s="133">
        <f>IF(B$17=0,0,G23/B$17)</f>
        <v>5.3619302949061663E-3</v>
      </c>
      <c r="I23" s="94">
        <v>2</v>
      </c>
      <c r="K23" s="38">
        <v>21</v>
      </c>
      <c r="L23" s="99">
        <v>-629.49999999999989</v>
      </c>
      <c r="N23" s="115" t="s">
        <v>127</v>
      </c>
      <c r="O23" s="125">
        <f>IF(P23=0,0,Q23/P23)</f>
        <v>-23.936893203883503</v>
      </c>
      <c r="P23" s="119">
        <v>103</v>
      </c>
      <c r="Q23" s="107">
        <v>-2465.5000000000009</v>
      </c>
    </row>
    <row r="24" spans="1:17" x14ac:dyDescent="0.4">
      <c r="A24" s="57" t="s">
        <v>14</v>
      </c>
      <c r="B24" s="52">
        <f>IF(B$20=0,0,C24/B$20)</f>
        <v>-8471.5481171548108</v>
      </c>
      <c r="C24" s="45">
        <v>-2024700</v>
      </c>
      <c r="E24" s="63" t="s">
        <v>94</v>
      </c>
      <c r="F24" s="60" t="s">
        <v>49</v>
      </c>
      <c r="G24" s="47">
        <v>2</v>
      </c>
      <c r="H24" s="133">
        <f>IF(B$17=0,0,G24/B$17)</f>
        <v>5.3619302949061663E-3</v>
      </c>
      <c r="I24" s="94">
        <v>1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1</v>
      </c>
      <c r="H25" s="133">
        <f>IF(B$17=0,0,G25/B$17)</f>
        <v>2.6809651474530832E-3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86</v>
      </c>
      <c r="F26" s="60" t="s">
        <v>41</v>
      </c>
      <c r="G26" s="47">
        <v>1</v>
      </c>
      <c r="H26" s="133">
        <f>IF(B$17=0,0,G26/B$17)</f>
        <v>2.6809651474530832E-3</v>
      </c>
      <c r="I26" s="94">
        <v>4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3</v>
      </c>
      <c r="C27" s="42">
        <f>IF(B$3=0,0,B27/B$3)</f>
        <v>2.1739130434782609E-3</v>
      </c>
      <c r="E27" s="63" t="s">
        <v>89</v>
      </c>
      <c r="F27" s="60" t="s">
        <v>44</v>
      </c>
      <c r="G27" s="47">
        <v>1</v>
      </c>
      <c r="H27" s="133">
        <f>IF(B$17=0,0,G27/B$17)</f>
        <v>2.6809651474530832E-3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93</v>
      </c>
      <c r="F28" s="60" t="s">
        <v>48</v>
      </c>
      <c r="G28" s="47">
        <v>1</v>
      </c>
      <c r="H28" s="133">
        <f>IF(B$17=0,0,G28/B$17)</f>
        <v>2.6809651474530832E-3</v>
      </c>
      <c r="I28" s="94">
        <v>6</v>
      </c>
      <c r="K28" s="38">
        <v>26</v>
      </c>
      <c r="L28" s="99">
        <v>-818.49999999999989</v>
      </c>
    </row>
    <row r="29" spans="1:17" x14ac:dyDescent="0.4">
      <c r="E29" s="63" t="s">
        <v>180</v>
      </c>
      <c r="F29" s="60" t="s">
        <v>181</v>
      </c>
      <c r="G29" s="47">
        <v>1</v>
      </c>
      <c r="H29" s="133">
        <f>IF(B$17=0,0,G29/B$17)</f>
        <v>2.6809651474530832E-3</v>
      </c>
      <c r="I29" s="94">
        <v>7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  <row r="159" spans="11:12" x14ac:dyDescent="0.4">
      <c r="K159" s="38">
        <v>157</v>
      </c>
      <c r="L159" s="99">
        <v>-1357.7</v>
      </c>
    </row>
    <row r="160" spans="11:12" x14ac:dyDescent="0.4">
      <c r="K160" s="38">
        <v>158</v>
      </c>
      <c r="L160" s="99">
        <v>-1338.1000000000001</v>
      </c>
    </row>
    <row r="161" spans="11:12" x14ac:dyDescent="0.4">
      <c r="K161" s="38">
        <v>159</v>
      </c>
      <c r="L161" s="99">
        <v>-1330.7</v>
      </c>
    </row>
    <row r="162" spans="11:12" x14ac:dyDescent="0.4">
      <c r="K162" s="38">
        <v>160</v>
      </c>
      <c r="L162" s="99">
        <v>-1265.7</v>
      </c>
    </row>
    <row r="163" spans="11:12" x14ac:dyDescent="0.4">
      <c r="K163" s="38">
        <v>161</v>
      </c>
      <c r="L163" s="99">
        <v>-1246.2</v>
      </c>
    </row>
    <row r="164" spans="11:12" x14ac:dyDescent="0.4">
      <c r="K164" s="38">
        <v>162</v>
      </c>
      <c r="L164" s="99">
        <v>-1210.3</v>
      </c>
    </row>
    <row r="165" spans="11:12" x14ac:dyDescent="0.4">
      <c r="K165" s="38">
        <v>163</v>
      </c>
      <c r="L165" s="99">
        <v>-1183.8</v>
      </c>
    </row>
    <row r="166" spans="11:12" x14ac:dyDescent="0.4">
      <c r="K166" s="38">
        <v>164</v>
      </c>
      <c r="L166" s="99">
        <v>-1234.3</v>
      </c>
    </row>
    <row r="167" spans="11:12" x14ac:dyDescent="0.4">
      <c r="K167" s="38">
        <v>165</v>
      </c>
      <c r="L167" s="99">
        <v>-1258.7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0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107</v>
      </c>
      <c r="C2" s="151"/>
      <c r="E2" s="62" t="s">
        <v>67</v>
      </c>
      <c r="F2" s="59" t="s">
        <v>23</v>
      </c>
      <c r="G2" s="46">
        <v>201</v>
      </c>
      <c r="H2" s="132">
        <f>IF(B$17=0,0,G2/B$17)</f>
        <v>0.77606177606177607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847.6635514018692</v>
      </c>
      <c r="P2" s="118">
        <v>107</v>
      </c>
      <c r="Q2" s="102">
        <v>90700</v>
      </c>
    </row>
    <row r="3" spans="1:17" x14ac:dyDescent="0.4">
      <c r="A3" s="55" t="s">
        <v>8</v>
      </c>
      <c r="B3" s="152">
        <v>886</v>
      </c>
      <c r="C3" s="153"/>
      <c r="E3" s="63" t="s">
        <v>73</v>
      </c>
      <c r="F3" s="60" t="s">
        <v>28</v>
      </c>
      <c r="G3" s="47">
        <v>146</v>
      </c>
      <c r="H3" s="133">
        <f>IF(B$17=0,0,G3/B$17)</f>
        <v>0.56370656370656369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941.34615384615381</v>
      </c>
      <c r="P3" s="119">
        <v>104</v>
      </c>
      <c r="Q3" s="103">
        <v>97900</v>
      </c>
    </row>
    <row r="4" spans="1:17" x14ac:dyDescent="0.4">
      <c r="A4" s="55" t="s">
        <v>6</v>
      </c>
      <c r="B4" s="154">
        <v>197.1</v>
      </c>
      <c r="C4" s="155"/>
      <c r="E4" s="63" t="s">
        <v>65</v>
      </c>
      <c r="F4" s="60" t="s">
        <v>21</v>
      </c>
      <c r="G4" s="47">
        <v>134</v>
      </c>
      <c r="H4" s="133">
        <f>IF(B$17=0,0,G4/B$17)</f>
        <v>0.51737451737451734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0"/>
        <v>1768.421052631579</v>
      </c>
      <c r="P4" s="119">
        <v>95</v>
      </c>
      <c r="Q4" s="103">
        <v>168000</v>
      </c>
    </row>
    <row r="5" spans="1:17" x14ac:dyDescent="0.4">
      <c r="A5" s="55" t="s">
        <v>7</v>
      </c>
      <c r="B5" s="156">
        <f>IF(B$2=0,0,B$4/B$2)</f>
        <v>1.842056074766355</v>
      </c>
      <c r="C5" s="157"/>
      <c r="E5" s="63" t="s">
        <v>245</v>
      </c>
      <c r="F5" s="60" t="s">
        <v>246</v>
      </c>
      <c r="G5" s="47">
        <v>103</v>
      </c>
      <c r="H5" s="133">
        <f>IF(B$17=0,0,G5/B$17)</f>
        <v>0.39768339768339767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-179.76190476190476</v>
      </c>
      <c r="P5" s="119">
        <v>84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2.0093457943925235</v>
      </c>
      <c r="C6" s="147"/>
      <c r="E6" s="63" t="s">
        <v>68</v>
      </c>
      <c r="F6" s="60" t="s">
        <v>24</v>
      </c>
      <c r="G6" s="47">
        <v>86</v>
      </c>
      <c r="H6" s="133">
        <f>IF(B$17=0,0,G6/B$17)</f>
        <v>0.33204633204633205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-1856</v>
      </c>
      <c r="P6" s="119">
        <v>75</v>
      </c>
      <c r="Q6" s="103">
        <v>-139200</v>
      </c>
    </row>
    <row r="7" spans="1:17" x14ac:dyDescent="0.4">
      <c r="A7" s="55" t="s">
        <v>2</v>
      </c>
      <c r="B7" s="47">
        <v>35</v>
      </c>
      <c r="C7" s="39">
        <f t="shared" ref="C7:C12" si="1">IF(B$2=0,0,B7/B$2)</f>
        <v>0.32710280373831774</v>
      </c>
      <c r="E7" s="63" t="s">
        <v>69</v>
      </c>
      <c r="F7" s="60" t="s">
        <v>12</v>
      </c>
      <c r="G7" s="47">
        <v>75</v>
      </c>
      <c r="H7" s="133">
        <f>IF(B$17=0,0,G7/B$17)</f>
        <v>0.28957528957528955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-588.05970149253733</v>
      </c>
      <c r="P7" s="120">
        <v>67</v>
      </c>
      <c r="Q7" s="104">
        <v>-39400</v>
      </c>
    </row>
    <row r="8" spans="1:17" x14ac:dyDescent="0.4">
      <c r="A8" s="55" t="s">
        <v>3</v>
      </c>
      <c r="B8" s="47">
        <v>36</v>
      </c>
      <c r="C8" s="39">
        <f t="shared" si="1"/>
        <v>0.3364485981308411</v>
      </c>
      <c r="E8" s="63" t="s">
        <v>70</v>
      </c>
      <c r="F8" s="60" t="s">
        <v>25</v>
      </c>
      <c r="G8" s="47">
        <v>47</v>
      </c>
      <c r="H8" s="133">
        <f>IF(B$17=0,0,G8/B$17)</f>
        <v>0.18146718146718147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si="1"/>
        <v>0.3364485981308411</v>
      </c>
      <c r="E9" s="63" t="s">
        <v>90</v>
      </c>
      <c r="F9" s="60" t="s">
        <v>45</v>
      </c>
      <c r="G9" s="47">
        <v>44</v>
      </c>
      <c r="H9" s="133">
        <f>IF(B$17=0,0,G9/B$17)</f>
        <v>0.16988416988416988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 t="shared" si="1"/>
        <v>0.10280373831775701</v>
      </c>
      <c r="E10" s="63" t="s">
        <v>66</v>
      </c>
      <c r="F10" s="60" t="s">
        <v>22</v>
      </c>
      <c r="G10" s="47">
        <v>30</v>
      </c>
      <c r="H10" s="133">
        <f>IF(B$17=0,0,G10/B$17)</f>
        <v>0.11583011583011583</v>
      </c>
      <c r="I10" s="94">
        <v>4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16</v>
      </c>
      <c r="C11" s="40">
        <f t="shared" si="1"/>
        <v>0.14953271028037382</v>
      </c>
      <c r="E11" s="63" t="s">
        <v>71</v>
      </c>
      <c r="F11" s="60" t="s">
        <v>26</v>
      </c>
      <c r="G11" s="47">
        <v>26</v>
      </c>
      <c r="H11" s="133">
        <f>IF(B$17=0,0,G11/B$17)</f>
        <v>0.10038610038610038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4.5945945945947558E-2</v>
      </c>
      <c r="P11" s="119">
        <v>37</v>
      </c>
      <c r="Q11" s="107">
        <v>1.7000000000000597</v>
      </c>
    </row>
    <row r="12" spans="1:17" x14ac:dyDescent="0.4">
      <c r="A12" s="57" t="s">
        <v>160</v>
      </c>
      <c r="B12" s="49">
        <v>7</v>
      </c>
      <c r="C12" s="42">
        <f t="shared" si="1"/>
        <v>6.5420560747663545E-2</v>
      </c>
      <c r="E12" s="63" t="s">
        <v>87</v>
      </c>
      <c r="F12" s="60" t="s">
        <v>42</v>
      </c>
      <c r="G12" s="47">
        <v>20</v>
      </c>
      <c r="H12" s="133">
        <f>IF(B$17=0,0,G12/B$17)</f>
        <v>7.7220077220077218E-2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1.5585365853658537</v>
      </c>
      <c r="P12" s="120">
        <v>41</v>
      </c>
      <c r="Q12" s="108">
        <v>63.9</v>
      </c>
    </row>
    <row r="13" spans="1:17" x14ac:dyDescent="0.4">
      <c r="A13" s="58" t="s">
        <v>122</v>
      </c>
      <c r="B13" s="50">
        <v>251</v>
      </c>
      <c r="C13" s="44">
        <f>IF(B$3=0,0,B13/B$3)</f>
        <v>0.28329571106094809</v>
      </c>
      <c r="E13" s="63" t="s">
        <v>72</v>
      </c>
      <c r="F13" s="60" t="s">
        <v>27</v>
      </c>
      <c r="G13" s="47">
        <v>15</v>
      </c>
      <c r="H13" s="133">
        <f>IF(B$17=0,0,G13/B$17)</f>
        <v>5.7915057915057917E-2</v>
      </c>
      <c r="I13" s="94">
        <v>9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176</v>
      </c>
      <c r="C14" s="39">
        <f>IF(B$3=0,0,B14/B$3)</f>
        <v>0.19864559819413091</v>
      </c>
      <c r="E14" s="63" t="s">
        <v>79</v>
      </c>
      <c r="F14" s="60" t="s">
        <v>34</v>
      </c>
      <c r="G14" s="47">
        <v>11</v>
      </c>
      <c r="H14" s="133">
        <f>IF(B$17=0,0,G14/B$17)</f>
        <v>4.2471042471042469E-2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142</v>
      </c>
      <c r="C15" s="37">
        <f>IF(B$13=0,0,B15/B$13)</f>
        <v>0.56573705179282874</v>
      </c>
      <c r="E15" s="63" t="s">
        <v>84</v>
      </c>
      <c r="F15" s="60" t="s">
        <v>39</v>
      </c>
      <c r="G15" s="47">
        <v>11</v>
      </c>
      <c r="H15" s="133">
        <f>IF(B$17=0,0,G15/B$17)</f>
        <v>4.2471042471042469E-2</v>
      </c>
      <c r="I15" s="94">
        <v>8</v>
      </c>
      <c r="K15" s="38">
        <v>13</v>
      </c>
      <c r="L15" s="99">
        <v>-58.7</v>
      </c>
      <c r="N15" s="114" t="s">
        <v>129</v>
      </c>
      <c r="O15" s="124">
        <f>IF(P15=0,0,Q15/P15)</f>
        <v>20.797499999999992</v>
      </c>
      <c r="P15" s="118">
        <v>40</v>
      </c>
      <c r="Q15" s="106">
        <v>831.89999999999964</v>
      </c>
    </row>
    <row r="16" spans="1:17" x14ac:dyDescent="0.4">
      <c r="A16" s="54" t="s">
        <v>125</v>
      </c>
      <c r="B16" s="46">
        <v>73</v>
      </c>
      <c r="C16" s="37">
        <f>IF(B$14=0,0,B16/B$14)</f>
        <v>0.41477272727272729</v>
      </c>
      <c r="E16" s="63" t="s">
        <v>92</v>
      </c>
      <c r="F16" s="60" t="s">
        <v>47</v>
      </c>
      <c r="G16" s="47">
        <v>9</v>
      </c>
      <c r="H16" s="133">
        <f>IF(B$17=0,0,G16/B$17)</f>
        <v>3.4749034749034749E-2</v>
      </c>
      <c r="I16" s="94">
        <v>3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259</v>
      </c>
      <c r="C17" s="37">
        <f>IF(B$3=0,0,B17/B$3)</f>
        <v>0.29232505643340856</v>
      </c>
      <c r="E17" s="63" t="s">
        <v>82</v>
      </c>
      <c r="F17" s="60" t="s">
        <v>37</v>
      </c>
      <c r="G17" s="47">
        <v>8</v>
      </c>
      <c r="H17" s="133">
        <f>IF(B$17=0,0,G17/B$17)</f>
        <v>3.0888030888030889E-2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104</v>
      </c>
      <c r="C18" s="39">
        <f>IF(B$17=0,0,B18/B$17)</f>
        <v>0.40154440154440152</v>
      </c>
      <c r="E18" s="63" t="s">
        <v>80</v>
      </c>
      <c r="F18" s="60" t="s">
        <v>35</v>
      </c>
      <c r="G18" s="47">
        <v>6</v>
      </c>
      <c r="H18" s="133">
        <f>IF(B$17=0,0,G18/B$17)</f>
        <v>2.3166023166023165E-2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>IF(P18=0,0,Q18/P18)</f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155</v>
      </c>
      <c r="C19" s="39">
        <f>IF(B$17=0,0,B19/B$17)</f>
        <v>0.59845559845559848</v>
      </c>
      <c r="E19" s="63" t="s">
        <v>180</v>
      </c>
      <c r="F19" s="60" t="s">
        <v>181</v>
      </c>
      <c r="G19" s="47">
        <v>5</v>
      </c>
      <c r="H19" s="133">
        <f>IF(B$17=0,0,G19/B$17)</f>
        <v>1.9305019305019305E-2</v>
      </c>
      <c r="I19" s="94">
        <v>4</v>
      </c>
      <c r="K19" s="38">
        <v>17</v>
      </c>
      <c r="L19" s="99">
        <v>-74.3</v>
      </c>
      <c r="N19" s="115" t="s">
        <v>127</v>
      </c>
      <c r="O19" s="125">
        <f>IF(P19=0,0,Q19/P19)</f>
        <v>2.7377049180327897</v>
      </c>
      <c r="P19" s="119">
        <v>61</v>
      </c>
      <c r="Q19" s="107">
        <v>167.00000000000017</v>
      </c>
    </row>
    <row r="20" spans="1:17" x14ac:dyDescent="0.4">
      <c r="A20" s="55" t="s">
        <v>13</v>
      </c>
      <c r="B20" s="47">
        <v>155</v>
      </c>
      <c r="C20" s="39">
        <f>IF(B$3=0,0,B20/B$3)</f>
        <v>0.17494356659142213</v>
      </c>
      <c r="E20" s="63" t="s">
        <v>74</v>
      </c>
      <c r="F20" s="60" t="s">
        <v>29</v>
      </c>
      <c r="G20" s="47">
        <v>3</v>
      </c>
      <c r="H20" s="133">
        <f>IF(B$17=0,0,G20/B$17)</f>
        <v>1.1583011583011582E-2</v>
      </c>
      <c r="I20" s="94">
        <v>3</v>
      </c>
      <c r="K20" s="38">
        <v>18</v>
      </c>
      <c r="L20" s="99">
        <v>-76.099999999999994</v>
      </c>
      <c r="N20" s="115" t="s">
        <v>128</v>
      </c>
      <c r="O20" s="125">
        <f>IF(P20=0,0,Q20/P20)</f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1.1583011583011582E-2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9</v>
      </c>
      <c r="E22" s="63" t="s">
        <v>78</v>
      </c>
      <c r="F22" s="60" t="s">
        <v>33</v>
      </c>
      <c r="G22" s="47">
        <v>3</v>
      </c>
      <c r="H22" s="133">
        <f>IF(B$17=0,0,G22/B$17)</f>
        <v>1.1583011583011582E-2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-30.295833333333334</v>
      </c>
      <c r="P22" s="119">
        <v>24</v>
      </c>
      <c r="Q22" s="107">
        <v>-727.1</v>
      </c>
    </row>
    <row r="23" spans="1:17" x14ac:dyDescent="0.4">
      <c r="A23" s="55" t="s">
        <v>5</v>
      </c>
      <c r="B23" s="51">
        <f>IF(B$17=0,0,C23/B$17)</f>
        <v>9976.8339768339774</v>
      </c>
      <c r="C23" s="41">
        <v>2584000</v>
      </c>
      <c r="E23" s="63" t="s">
        <v>93</v>
      </c>
      <c r="F23" s="60" t="s">
        <v>48</v>
      </c>
      <c r="G23" s="47">
        <v>3</v>
      </c>
      <c r="H23" s="133">
        <f>IF(B$17=0,0,G23/B$17)</f>
        <v>1.1583011583011582E-2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-8313.5483870967746</v>
      </c>
      <c r="C24" s="45">
        <v>-1288600</v>
      </c>
      <c r="E24" s="63" t="s">
        <v>85</v>
      </c>
      <c r="F24" s="60" t="s">
        <v>40</v>
      </c>
      <c r="G24" s="47">
        <v>2</v>
      </c>
      <c r="H24" s="133">
        <f>IF(B$17=0,0,G24/B$17)</f>
        <v>7.7220077220077222E-3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3.8610038610038611E-3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3.8610038610038611E-3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2.257336343115124E-3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  <row r="109" spans="11:12" x14ac:dyDescent="0.4">
      <c r="K109" s="38">
        <v>107</v>
      </c>
      <c r="L109" s="99">
        <v>197.1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103</v>
      </c>
      <c r="H2" s="132">
        <f>IF(B$17=0,0,G2/B$17)</f>
        <v>0.35517241379310344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178.64077669902912</v>
      </c>
      <c r="P2" s="118">
        <v>103</v>
      </c>
      <c r="Q2" s="102">
        <v>18400</v>
      </c>
    </row>
    <row r="3" spans="1:17" x14ac:dyDescent="0.4">
      <c r="A3" s="55" t="s">
        <v>8</v>
      </c>
      <c r="B3" s="152">
        <v>864</v>
      </c>
      <c r="C3" s="153"/>
      <c r="E3" s="63" t="s">
        <v>66</v>
      </c>
      <c r="F3" s="60" t="s">
        <v>22</v>
      </c>
      <c r="G3" s="47">
        <v>31</v>
      </c>
      <c r="H3" s="133">
        <f>IF(B$17=0,0,G3/B$17)</f>
        <v>0.10689655172413794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-1133.009708737864</v>
      </c>
      <c r="P3" s="119">
        <v>103</v>
      </c>
      <c r="Q3" s="103">
        <v>-116700</v>
      </c>
    </row>
    <row r="4" spans="1:17" x14ac:dyDescent="0.4">
      <c r="A4" s="55" t="s">
        <v>6</v>
      </c>
      <c r="B4" s="154">
        <v>-259.40000000000003</v>
      </c>
      <c r="C4" s="155"/>
      <c r="E4" s="63" t="s">
        <v>67</v>
      </c>
      <c r="F4" s="60" t="s">
        <v>23</v>
      </c>
      <c r="G4" s="47">
        <v>186</v>
      </c>
      <c r="H4" s="133">
        <f>IF(B$17=0,0,G4/B$17)</f>
        <v>0.64137931034482754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-993.54838709677415</v>
      </c>
      <c r="P4" s="119">
        <v>93</v>
      </c>
      <c r="Q4" s="103">
        <v>-92400</v>
      </c>
    </row>
    <row r="5" spans="1:17" x14ac:dyDescent="0.4">
      <c r="A5" s="55" t="s">
        <v>7</v>
      </c>
      <c r="B5" s="156">
        <f>IF(B$2=0,0,B$4/B$2)</f>
        <v>-2.518446601941748</v>
      </c>
      <c r="C5" s="157"/>
      <c r="E5" s="63" t="s">
        <v>68</v>
      </c>
      <c r="F5" s="60" t="s">
        <v>24</v>
      </c>
      <c r="G5" s="47">
        <v>50</v>
      </c>
      <c r="H5" s="133">
        <f>IF(B$17=0,0,G5/B$17)</f>
        <v>0.17241379310344829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978.40909090909088</v>
      </c>
      <c r="P5" s="119">
        <v>88</v>
      </c>
      <c r="Q5" s="103">
        <v>86100</v>
      </c>
    </row>
    <row r="6" spans="1:17" x14ac:dyDescent="0.4">
      <c r="A6" s="55" t="s">
        <v>1</v>
      </c>
      <c r="B6" s="146">
        <f>IF(B$2=0,0,(B$7*1+B$8*2+B$9*3)/B$2)</f>
        <v>2.0679611650485437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0.24827586206896551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-159.7560975609756</v>
      </c>
      <c r="P6" s="119">
        <v>82</v>
      </c>
      <c r="Q6" s="103">
        <v>-13100</v>
      </c>
    </row>
    <row r="7" spans="1:17" x14ac:dyDescent="0.4">
      <c r="A7" s="55" t="s">
        <v>2</v>
      </c>
      <c r="B7" s="47">
        <v>25</v>
      </c>
      <c r="C7" s="39">
        <f t="shared" ref="C7:C12" si="1">IF(B$2=0,0,B7/B$2)</f>
        <v>0.24271844660194175</v>
      </c>
      <c r="E7" s="63" t="s">
        <v>70</v>
      </c>
      <c r="F7" s="60" t="s">
        <v>25</v>
      </c>
      <c r="G7" s="47">
        <v>46</v>
      </c>
      <c r="H7" s="133">
        <f>IF(B$17=0,0,G7/B$17)</f>
        <v>0.15862068965517243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0"/>
        <v>-671.42857142857144</v>
      </c>
      <c r="P7" s="120">
        <v>70</v>
      </c>
      <c r="Q7" s="104">
        <v>-47000</v>
      </c>
    </row>
    <row r="8" spans="1:17" x14ac:dyDescent="0.4">
      <c r="A8" s="55" t="s">
        <v>3</v>
      </c>
      <c r="B8" s="47">
        <v>46</v>
      </c>
      <c r="C8" s="39">
        <f t="shared" si="1"/>
        <v>0.44660194174757284</v>
      </c>
      <c r="E8" s="63" t="s">
        <v>71</v>
      </c>
      <c r="F8" s="60" t="s">
        <v>26</v>
      </c>
      <c r="G8" s="47">
        <v>21</v>
      </c>
      <c r="H8" s="133">
        <f>IF(B$17=0,0,G8/B$17)</f>
        <v>7.2413793103448282E-2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1"/>
        <v>0.31067961165048541</v>
      </c>
      <c r="E9" s="63" t="s">
        <v>72</v>
      </c>
      <c r="F9" s="60" t="s">
        <v>27</v>
      </c>
      <c r="G9" s="47">
        <v>23</v>
      </c>
      <c r="H9" s="133">
        <f>IF(B$17=0,0,G9/B$17)</f>
        <v>7.9310344827586213E-2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 t="shared" si="1"/>
        <v>5.8252427184466021E-2</v>
      </c>
      <c r="E10" s="63" t="s">
        <v>73</v>
      </c>
      <c r="F10" s="60" t="s">
        <v>28</v>
      </c>
      <c r="G10" s="47">
        <v>165</v>
      </c>
      <c r="H10" s="133">
        <f>IF(B$17=0,0,G10/B$17)</f>
        <v>0.56896551724137934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-5.0515151515151535</v>
      </c>
      <c r="P10" s="118">
        <v>33</v>
      </c>
      <c r="Q10" s="106">
        <v>-166.70000000000007</v>
      </c>
    </row>
    <row r="11" spans="1:17" x14ac:dyDescent="0.4">
      <c r="A11" s="56" t="s">
        <v>140</v>
      </c>
      <c r="B11" s="48">
        <v>10</v>
      </c>
      <c r="C11" s="40">
        <f t="shared" si="1"/>
        <v>9.7087378640776698E-2</v>
      </c>
      <c r="E11" s="63" t="s">
        <v>74</v>
      </c>
      <c r="F11" s="60" t="s">
        <v>29</v>
      </c>
      <c r="G11" s="47">
        <v>1</v>
      </c>
      <c r="H11" s="133">
        <f>IF(B$17=0,0,G11/B$17)</f>
        <v>3.4482758620689655E-3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 t="shared" si="1"/>
        <v>7.7669902912621352E-2</v>
      </c>
      <c r="E12" s="63" t="s">
        <v>75</v>
      </c>
      <c r="F12" s="60" t="s">
        <v>30</v>
      </c>
      <c r="G12" s="47">
        <v>2</v>
      </c>
      <c r="H12" s="133">
        <f>IF(B$17=0,0,G12/B$17)</f>
        <v>6.8965517241379309E-3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183</v>
      </c>
      <c r="C13" s="44">
        <f>IF(B$3=0,0,B13/B$3)</f>
        <v>0.21180555555555555</v>
      </c>
      <c r="E13" s="63" t="s">
        <v>76</v>
      </c>
      <c r="F13" s="60" t="s">
        <v>31</v>
      </c>
      <c r="G13" s="47">
        <v>1</v>
      </c>
      <c r="H13" s="133">
        <f>IF(B$17=0,0,G13/B$17)</f>
        <v>3.4482758620689655E-3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248</v>
      </c>
      <c r="C14" s="39">
        <f>IF(B$3=0,0,B14/B$3)</f>
        <v>0.28703703703703703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102</v>
      </c>
      <c r="C15" s="37">
        <f>IF(B$13=0,0,B15/B$13)</f>
        <v>0.55737704918032782</v>
      </c>
      <c r="E15" s="63" t="s">
        <v>78</v>
      </c>
      <c r="F15" s="60" t="s">
        <v>33</v>
      </c>
      <c r="G15" s="47">
        <v>1</v>
      </c>
      <c r="H15" s="133">
        <f>IF(B$17=0,0,G15/B$17)</f>
        <v>3.4482758620689655E-3</v>
      </c>
      <c r="I15" s="94">
        <v>7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105</v>
      </c>
      <c r="C16" s="37">
        <f>IF(B$14=0,0,B16/B$14)</f>
        <v>0.42338709677419356</v>
      </c>
      <c r="E16" s="63" t="s">
        <v>79</v>
      </c>
      <c r="F16" s="60" t="s">
        <v>34</v>
      </c>
      <c r="G16" s="47">
        <v>4</v>
      </c>
      <c r="H16" s="133">
        <f>IF(B$17=0,0,G16/B$17)</f>
        <v>1.3793103448275862E-2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20.858333333333324</v>
      </c>
      <c r="P16" s="119">
        <v>36</v>
      </c>
      <c r="Q16" s="107">
        <v>750.89999999999964</v>
      </c>
    </row>
    <row r="17" spans="1:17" x14ac:dyDescent="0.4">
      <c r="A17" s="54" t="s">
        <v>10</v>
      </c>
      <c r="B17" s="46">
        <f>B19+B18</f>
        <v>290</v>
      </c>
      <c r="C17" s="37">
        <f>IF(B$3=0,0,B17/B$3)</f>
        <v>0.33564814814814814</v>
      </c>
      <c r="E17" s="63" t="s">
        <v>80</v>
      </c>
      <c r="F17" s="60" t="s">
        <v>35</v>
      </c>
      <c r="G17" s="47">
        <v>3</v>
      </c>
      <c r="H17" s="133">
        <f>IF(B$17=0,0,G17/B$17)</f>
        <v>1.0344827586206896E-2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 t="shared" si="2"/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115</v>
      </c>
      <c r="C18" s="39">
        <f>IF(B$17=0,0,B18/B$17)</f>
        <v>0.39655172413793105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2"/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175</v>
      </c>
      <c r="C19" s="39">
        <f>IF(B$17=0,0,B19/B$17)</f>
        <v>0.60344827586206895</v>
      </c>
      <c r="E19" s="63" t="s">
        <v>82</v>
      </c>
      <c r="F19" s="60" t="s">
        <v>37</v>
      </c>
      <c r="G19" s="47">
        <v>9</v>
      </c>
      <c r="H19" s="133">
        <f>IF(B$17=0,0,G19/B$17)</f>
        <v>3.1034482758620689E-2</v>
      </c>
      <c r="I19" s="94">
        <v>2</v>
      </c>
      <c r="K19" s="38">
        <v>17</v>
      </c>
      <c r="L19" s="99">
        <v>-55.099999999999994</v>
      </c>
      <c r="N19" s="115" t="s">
        <v>128</v>
      </c>
      <c r="O19" s="125">
        <f t="shared" si="2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124</v>
      </c>
      <c r="C20" s="39">
        <f>IF(B$3=0,0,B20/B$3)</f>
        <v>0.14351851851851852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21</v>
      </c>
      <c r="H21" s="133">
        <f>IF(B$17=0,0,G21/B$17)</f>
        <v>7.2413793103448282E-2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6773.7931034482763</v>
      </c>
      <c r="C23" s="41">
        <v>1964400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-8308.0645161290322</v>
      </c>
      <c r="C24" s="45">
        <v>-1030200</v>
      </c>
      <c r="E24" s="63" t="s">
        <v>87</v>
      </c>
      <c r="F24" s="60" t="s">
        <v>42</v>
      </c>
      <c r="G24" s="47">
        <v>12</v>
      </c>
      <c r="H24" s="133">
        <f>IF(B$17=0,0,G24/B$17)</f>
        <v>4.1379310344827586E-2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3.4482758620689655E-3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1.1574074074074073E-3</v>
      </c>
      <c r="E27" s="63" t="s">
        <v>90</v>
      </c>
      <c r="F27" s="60" t="s">
        <v>45</v>
      </c>
      <c r="G27" s="47">
        <v>23</v>
      </c>
      <c r="H27" s="133">
        <f>IF(B$17=0,0,G27/B$17)</f>
        <v>7.9310344827586213E-2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3.4482758620689655E-3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1.3793103448275862E-2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123</v>
      </c>
      <c r="H51" s="138">
        <f>IF(B$17=0,0,G51/B$17)</f>
        <v>0.42413793103448277</v>
      </c>
      <c r="I51" s="139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59</v>
      </c>
      <c r="C2" s="151"/>
      <c r="E2" s="62" t="s">
        <v>65</v>
      </c>
      <c r="F2" s="59" t="s">
        <v>21</v>
      </c>
      <c r="G2" s="46">
        <v>60</v>
      </c>
      <c r="H2" s="132">
        <f>IF(B$17=0,0,G2/B$17)</f>
        <v>0.42553191489361702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-3356.8965517241381</v>
      </c>
      <c r="P2" s="118">
        <v>58</v>
      </c>
      <c r="Q2" s="102">
        <v>-194700</v>
      </c>
    </row>
    <row r="3" spans="1:17" x14ac:dyDescent="0.4">
      <c r="A3" s="55" t="s">
        <v>8</v>
      </c>
      <c r="B3" s="152">
        <v>505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7.0921985815602842E-2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1650</v>
      </c>
      <c r="P3" s="119">
        <v>58</v>
      </c>
      <c r="Q3" s="103">
        <v>95700</v>
      </c>
    </row>
    <row r="4" spans="1:17" x14ac:dyDescent="0.4">
      <c r="A4" s="55" t="s">
        <v>6</v>
      </c>
      <c r="B4" s="154">
        <v>-521</v>
      </c>
      <c r="C4" s="155"/>
      <c r="E4" s="63" t="s">
        <v>67</v>
      </c>
      <c r="F4" s="60" t="s">
        <v>23</v>
      </c>
      <c r="G4" s="47">
        <v>92</v>
      </c>
      <c r="H4" s="133">
        <f>IF(B$17=0,0,G4/B$17)</f>
        <v>0.65248226950354615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-1530.909090909091</v>
      </c>
      <c r="P4" s="119">
        <v>55</v>
      </c>
      <c r="Q4" s="103">
        <v>-84200</v>
      </c>
    </row>
    <row r="5" spans="1:17" x14ac:dyDescent="0.4">
      <c r="A5" s="55" t="s">
        <v>7</v>
      </c>
      <c r="B5" s="156">
        <f>IF(B$2=0,0,B$4/B$2)</f>
        <v>-8.8305084745762716</v>
      </c>
      <c r="C5" s="157"/>
      <c r="E5" s="63" t="s">
        <v>68</v>
      </c>
      <c r="F5" s="60" t="s">
        <v>24</v>
      </c>
      <c r="G5" s="47">
        <v>30</v>
      </c>
      <c r="H5" s="133">
        <f>IF(B$17=0,0,G5/B$17)</f>
        <v>0.21276595744680851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-4210</v>
      </c>
      <c r="P5" s="119">
        <v>50</v>
      </c>
      <c r="Q5" s="103">
        <v>-210500</v>
      </c>
    </row>
    <row r="6" spans="1:17" x14ac:dyDescent="0.4">
      <c r="A6" s="55" t="s">
        <v>1</v>
      </c>
      <c r="B6" s="146">
        <f>IF(B$2=0,0,(B$7*1+B$8*2+B$9*3)/B$2)</f>
        <v>2.1355932203389831</v>
      </c>
      <c r="C6" s="147"/>
      <c r="E6" s="63" t="s">
        <v>69</v>
      </c>
      <c r="F6" s="60" t="s">
        <v>12</v>
      </c>
      <c r="G6" s="47">
        <v>55</v>
      </c>
      <c r="H6" s="133">
        <f>IF(B$17=0,0,G6/B$17)</f>
        <v>0.39007092198581561</v>
      </c>
      <c r="I6" s="94">
        <v>2</v>
      </c>
      <c r="K6" s="38">
        <v>4</v>
      </c>
      <c r="L6" s="99">
        <v>-150.6</v>
      </c>
      <c r="N6" s="115" t="s">
        <v>136</v>
      </c>
      <c r="O6" s="122">
        <f t="shared" si="0"/>
        <v>120.45454545454545</v>
      </c>
      <c r="P6" s="119">
        <v>44</v>
      </c>
      <c r="Q6" s="103">
        <v>5300</v>
      </c>
    </row>
    <row r="7" spans="1:17" x14ac:dyDescent="0.4">
      <c r="A7" s="55" t="s">
        <v>2</v>
      </c>
      <c r="B7" s="47">
        <v>16</v>
      </c>
      <c r="C7" s="39">
        <f t="shared" ref="C7:C12" si="1">IF(B$2=0,0,B7/B$2)</f>
        <v>0.2711864406779661</v>
      </c>
      <c r="E7" s="63" t="s">
        <v>70</v>
      </c>
      <c r="F7" s="60" t="s">
        <v>25</v>
      </c>
      <c r="G7" s="47">
        <v>19</v>
      </c>
      <c r="H7" s="133">
        <f>IF(B$17=0,0,G7/B$17)</f>
        <v>0.13475177304964539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-169.04761904761904</v>
      </c>
      <c r="P7" s="120">
        <v>42</v>
      </c>
      <c r="Q7" s="104">
        <v>-7100</v>
      </c>
    </row>
    <row r="8" spans="1:17" x14ac:dyDescent="0.4">
      <c r="A8" s="55" t="s">
        <v>3</v>
      </c>
      <c r="B8" s="47">
        <v>19</v>
      </c>
      <c r="C8" s="39">
        <f t="shared" si="1"/>
        <v>0.32203389830508472</v>
      </c>
      <c r="E8" s="63" t="s">
        <v>71</v>
      </c>
      <c r="F8" s="60" t="s">
        <v>26</v>
      </c>
      <c r="G8" s="47">
        <v>17</v>
      </c>
      <c r="H8" s="133">
        <f>IF(B$17=0,0,G8/B$17)</f>
        <v>0.12056737588652482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si="1"/>
        <v>0.40677966101694918</v>
      </c>
      <c r="E9" s="63" t="s">
        <v>72</v>
      </c>
      <c r="F9" s="60" t="s">
        <v>27</v>
      </c>
      <c r="G9" s="47">
        <v>7</v>
      </c>
      <c r="H9" s="133">
        <f>IF(B$17=0,0,G9/B$17)</f>
        <v>4.9645390070921988E-2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 t="shared" si="1"/>
        <v>0.16949152542372881</v>
      </c>
      <c r="E10" s="63" t="s">
        <v>73</v>
      </c>
      <c r="F10" s="60" t="s">
        <v>28</v>
      </c>
      <c r="G10" s="47">
        <v>69</v>
      </c>
      <c r="H10" s="133">
        <f>IF(B$17=0,0,G10/B$17)</f>
        <v>0.48936170212765956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 t="shared" si="1"/>
        <v>6.7796610169491525E-2</v>
      </c>
      <c r="E11" s="63" t="s">
        <v>74</v>
      </c>
      <c r="F11" s="60" t="s">
        <v>29</v>
      </c>
      <c r="G11" s="47">
        <v>3</v>
      </c>
      <c r="H11" s="133">
        <f>IF(B$17=0,0,G11/B$17)</f>
        <v>2.1276595744680851E-2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-7.753333333333333</v>
      </c>
      <c r="P11" s="119">
        <v>30</v>
      </c>
      <c r="Q11" s="107">
        <v>-232.6</v>
      </c>
    </row>
    <row r="12" spans="1:17" x14ac:dyDescent="0.4">
      <c r="A12" s="57" t="s">
        <v>160</v>
      </c>
      <c r="B12" s="49">
        <v>3</v>
      </c>
      <c r="C12" s="42">
        <f t="shared" si="1"/>
        <v>5.0847457627118647E-2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-6.4599999999999982</v>
      </c>
      <c r="P12" s="120">
        <v>15</v>
      </c>
      <c r="Q12" s="108">
        <v>-96.899999999999977</v>
      </c>
    </row>
    <row r="13" spans="1:17" x14ac:dyDescent="0.4">
      <c r="A13" s="58" t="s">
        <v>122</v>
      </c>
      <c r="B13" s="50">
        <v>110</v>
      </c>
      <c r="C13" s="44">
        <f>IF(B$3=0,0,B13/B$3)</f>
        <v>0.21782178217821782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</v>
      </c>
      <c r="C14" s="39">
        <f>IF(B$3=0,0,B14/B$3)</f>
        <v>0.22376237623762377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0.5636363636363636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0.33628318584070799</v>
      </c>
      <c r="E16" s="63" t="s">
        <v>79</v>
      </c>
      <c r="F16" s="60" t="s">
        <v>34</v>
      </c>
      <c r="G16" s="47">
        <v>3</v>
      </c>
      <c r="H16" s="133">
        <f>IF(B$17=0,0,G16/B$17)</f>
        <v>2.1276595744680851E-2</v>
      </c>
      <c r="I16" s="94">
        <v>10</v>
      </c>
      <c r="K16" s="38">
        <v>14</v>
      </c>
      <c r="L16" s="99">
        <v>-269.99999999999994</v>
      </c>
      <c r="N16" s="115" t="s">
        <v>129</v>
      </c>
      <c r="O16" s="125">
        <f t="shared" si="2"/>
        <v>2.7750000000000004</v>
      </c>
      <c r="P16" s="119">
        <v>16</v>
      </c>
      <c r="Q16" s="107">
        <v>44.400000000000006</v>
      </c>
    </row>
    <row r="17" spans="1:17" x14ac:dyDescent="0.4">
      <c r="A17" s="54" t="s">
        <v>10</v>
      </c>
      <c r="B17" s="46">
        <f>B19+B18</f>
        <v>141</v>
      </c>
      <c r="C17" s="37">
        <f>IF(B$3=0,0,B17/B$3)</f>
        <v>0.27920792079207923</v>
      </c>
      <c r="E17" s="63" t="s">
        <v>80</v>
      </c>
      <c r="F17" s="60" t="s">
        <v>35</v>
      </c>
      <c r="G17" s="47">
        <v>3</v>
      </c>
      <c r="H17" s="133">
        <f>IF(B$17=0,0,G17/B$17)</f>
        <v>2.1276595744680851E-2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71</v>
      </c>
      <c r="C18" s="39">
        <f>IF(B$17=0,0,B18/B$17)</f>
        <v>0.50354609929078009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70</v>
      </c>
      <c r="C19" s="39">
        <f>IF(B$17=0,0,B19/B$17)</f>
        <v>0.49645390070921985</v>
      </c>
      <c r="E19" s="63" t="s">
        <v>82</v>
      </c>
      <c r="F19" s="60" t="s">
        <v>37</v>
      </c>
      <c r="G19" s="47">
        <v>1</v>
      </c>
      <c r="H19" s="133">
        <f>IF(B$17=0,0,G19/B$17)</f>
        <v>7.0921985815602835E-3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97</v>
      </c>
      <c r="C20" s="39">
        <f>IF(B$3=0,0,B20/B$3)</f>
        <v>0.19207920792079208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-16.7</v>
      </c>
      <c r="P20" s="119">
        <v>10</v>
      </c>
      <c r="Q20" s="107">
        <v>-167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2.1276595744680851E-2</v>
      </c>
      <c r="I21" s="94">
        <v>11</v>
      </c>
      <c r="K21" s="38">
        <v>19</v>
      </c>
      <c r="L21" s="99">
        <v>-188.59999999999994</v>
      </c>
      <c r="N21" s="115" t="s">
        <v>127</v>
      </c>
      <c r="O21" s="125">
        <f t="shared" si="2"/>
        <v>-25.017857142857142</v>
      </c>
      <c r="P21" s="119">
        <v>28</v>
      </c>
      <c r="Q21" s="107">
        <v>-700.5</v>
      </c>
    </row>
    <row r="22" spans="1:17" x14ac:dyDescent="0.4">
      <c r="A22" s="55" t="s">
        <v>192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7531.2056737588655</v>
      </c>
      <c r="C23" s="41">
        <v>1061900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-8221.649484536083</v>
      </c>
      <c r="C24" s="45">
        <v>-797500</v>
      </c>
      <c r="E24" s="63" t="s">
        <v>87</v>
      </c>
      <c r="F24" s="60" t="s">
        <v>42</v>
      </c>
      <c r="G24" s="47">
        <v>6</v>
      </c>
      <c r="H24" s="133">
        <f>IF(B$17=0,0,G24/B$17)</f>
        <v>4.2553191489361701E-2</v>
      </c>
      <c r="I24" s="94">
        <v>10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7.0921985815602835E-3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3.9603960396039604E-3</v>
      </c>
      <c r="E27" s="63" t="s">
        <v>90</v>
      </c>
      <c r="F27" s="60" t="s">
        <v>45</v>
      </c>
      <c r="G27" s="47">
        <v>18</v>
      </c>
      <c r="H27" s="133">
        <f>IF(B$17=0,0,G27/B$17)</f>
        <v>0.1276595744680851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1.4184397163120567E-2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7.0921985815602835E-3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1.4184397163120567E-2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51</v>
      </c>
      <c r="H51" s="138">
        <f>IF(B$17=0,0,G51/B$17)</f>
        <v>0.36170212765957449</v>
      </c>
      <c r="I51" s="139">
        <v>12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  <row r="58" spans="5:12" x14ac:dyDescent="0.4">
      <c r="K58" s="38">
        <v>56</v>
      </c>
      <c r="L58" s="99">
        <v>-397.1</v>
      </c>
    </row>
    <row r="59" spans="5:12" x14ac:dyDescent="0.4">
      <c r="K59" s="38">
        <v>57</v>
      </c>
      <c r="L59" s="99">
        <v>-461.6</v>
      </c>
    </row>
    <row r="60" spans="5:12" x14ac:dyDescent="0.4">
      <c r="K60" s="38">
        <v>58</v>
      </c>
      <c r="L60" s="99">
        <v>-521</v>
      </c>
    </row>
    <row r="61" spans="5:12" x14ac:dyDescent="0.4">
      <c r="K61" s="38">
        <v>59</v>
      </c>
      <c r="L61" s="99">
        <v>-521</v>
      </c>
    </row>
  </sheetData>
  <sortState xmlns:xlrd2="http://schemas.microsoft.com/office/spreadsheetml/2017/richdata2" ref="E2:I6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11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109</v>
      </c>
      <c r="C2" s="151"/>
      <c r="E2" s="62" t="s">
        <v>65</v>
      </c>
      <c r="F2" s="59" t="s">
        <v>21</v>
      </c>
      <c r="G2" s="46">
        <v>148</v>
      </c>
      <c r="H2" s="132">
        <f>IF(B$17=0,0,G2/B$17)</f>
        <v>0.60655737704918034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695.41284403669727</v>
      </c>
      <c r="P2" s="118">
        <v>109</v>
      </c>
      <c r="Q2" s="102">
        <v>75800</v>
      </c>
    </row>
    <row r="3" spans="1:17" x14ac:dyDescent="0.4">
      <c r="A3" s="55" t="s">
        <v>8</v>
      </c>
      <c r="B3" s="152">
        <v>901</v>
      </c>
      <c r="C3" s="153"/>
      <c r="E3" s="63" t="s">
        <v>67</v>
      </c>
      <c r="F3" s="60" t="s">
        <v>23</v>
      </c>
      <c r="G3" s="47">
        <v>132</v>
      </c>
      <c r="H3" s="133">
        <f>IF(B$17=0,0,G3/B$17)</f>
        <v>0.54098360655737709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660</v>
      </c>
      <c r="P3" s="119">
        <v>105</v>
      </c>
      <c r="Q3" s="103">
        <v>69300</v>
      </c>
    </row>
    <row r="4" spans="1:17" x14ac:dyDescent="0.4">
      <c r="A4" s="55" t="s">
        <v>6</v>
      </c>
      <c r="B4" s="154">
        <v>-6.1000000000000663</v>
      </c>
      <c r="C4" s="155"/>
      <c r="E4" s="63" t="s">
        <v>73</v>
      </c>
      <c r="F4" s="60" t="s">
        <v>28</v>
      </c>
      <c r="G4" s="47">
        <v>109</v>
      </c>
      <c r="H4" s="133">
        <f>IF(B$17=0,0,G4/B$17)</f>
        <v>0.44672131147540983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-583.67346938775506</v>
      </c>
      <c r="P4" s="119">
        <v>98</v>
      </c>
      <c r="Q4" s="103">
        <v>-57200</v>
      </c>
    </row>
    <row r="5" spans="1:17" x14ac:dyDescent="0.4">
      <c r="A5" s="55" t="s">
        <v>7</v>
      </c>
      <c r="B5" s="156">
        <f>IF(B$2=0,0,B$4/B$2)</f>
        <v>-5.5963302752294185E-2</v>
      </c>
      <c r="C5" s="157"/>
      <c r="E5" s="63" t="s">
        <v>68</v>
      </c>
      <c r="F5" s="60" t="s">
        <v>24</v>
      </c>
      <c r="G5" s="47">
        <v>103</v>
      </c>
      <c r="H5" s="133">
        <f>IF(B$17=0,0,G5/B$17)</f>
        <v>0.42213114754098363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1023.6559139784946</v>
      </c>
      <c r="P5" s="119">
        <v>93</v>
      </c>
      <c r="Q5" s="103">
        <v>95200</v>
      </c>
    </row>
    <row r="6" spans="1:17" x14ac:dyDescent="0.4">
      <c r="A6" s="55" t="s">
        <v>1</v>
      </c>
      <c r="B6" s="146">
        <f>IF(B$2=0,0,(B$7*1+B$8*2+B$9*3)/B$2)</f>
        <v>1.9908256880733946</v>
      </c>
      <c r="C6" s="147"/>
      <c r="E6" s="63" t="s">
        <v>245</v>
      </c>
      <c r="F6" s="60" t="s">
        <v>246</v>
      </c>
      <c r="G6" s="47">
        <v>102</v>
      </c>
      <c r="H6" s="133">
        <f>IF(B$17=0,0,G6/B$17)</f>
        <v>0.41803278688524592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-2343.5294117647059</v>
      </c>
      <c r="P6" s="119">
        <v>85</v>
      </c>
      <c r="Q6" s="103">
        <v>-199200</v>
      </c>
    </row>
    <row r="7" spans="1:17" x14ac:dyDescent="0.4">
      <c r="A7" s="55" t="s">
        <v>2</v>
      </c>
      <c r="B7" s="47">
        <v>35</v>
      </c>
      <c r="C7" s="39">
        <f t="shared" ref="C7:C12" si="1">IF(B$2=0,0,B7/B$2)</f>
        <v>0.32110091743119268</v>
      </c>
      <c r="E7" s="63" t="s">
        <v>69</v>
      </c>
      <c r="F7" s="60" t="s">
        <v>12</v>
      </c>
      <c r="G7" s="47">
        <v>84</v>
      </c>
      <c r="H7" s="133">
        <f>IF(B$17=0,0,G7/B$17)</f>
        <v>0.34426229508196721</v>
      </c>
      <c r="I7" s="94">
        <v>5</v>
      </c>
      <c r="K7" s="38">
        <v>5</v>
      </c>
      <c r="L7" s="99">
        <v>35.4</v>
      </c>
      <c r="N7" s="116" t="s">
        <v>137</v>
      </c>
      <c r="O7" s="123">
        <f t="shared" si="0"/>
        <v>898.55072463768113</v>
      </c>
      <c r="P7" s="120">
        <v>69</v>
      </c>
      <c r="Q7" s="104">
        <v>62000</v>
      </c>
    </row>
    <row r="8" spans="1:17" x14ac:dyDescent="0.4">
      <c r="A8" s="55" t="s">
        <v>3</v>
      </c>
      <c r="B8" s="47">
        <v>40</v>
      </c>
      <c r="C8" s="39">
        <f t="shared" si="1"/>
        <v>0.3669724770642202</v>
      </c>
      <c r="E8" s="63" t="s">
        <v>70</v>
      </c>
      <c r="F8" s="60" t="s">
        <v>25</v>
      </c>
      <c r="G8" s="47">
        <v>37</v>
      </c>
      <c r="H8" s="133">
        <f>IF(B$17=0,0,G8/B$17)</f>
        <v>0.15163934426229508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si="1"/>
        <v>0.31192660550458717</v>
      </c>
      <c r="E9" s="63" t="s">
        <v>66</v>
      </c>
      <c r="F9" s="60" t="s">
        <v>22</v>
      </c>
      <c r="G9" s="47">
        <v>30</v>
      </c>
      <c r="H9" s="133">
        <f>IF(B$17=0,0,G9/B$17)</f>
        <v>0.12295081967213115</v>
      </c>
      <c r="I9" s="94">
        <v>2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 t="shared" si="1"/>
        <v>0.12844036697247707</v>
      </c>
      <c r="E10" s="63" t="s">
        <v>90</v>
      </c>
      <c r="F10" s="60" t="s">
        <v>45</v>
      </c>
      <c r="G10" s="47">
        <v>27</v>
      </c>
      <c r="H10" s="133">
        <f>IF(B$17=0,0,G10/B$17)</f>
        <v>0.11065573770491803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-7.7648648648648653</v>
      </c>
      <c r="P10" s="118">
        <v>37</v>
      </c>
      <c r="Q10" s="106">
        <v>-287.3</v>
      </c>
    </row>
    <row r="11" spans="1:17" x14ac:dyDescent="0.4">
      <c r="A11" s="56" t="s">
        <v>140</v>
      </c>
      <c r="B11" s="48">
        <v>11</v>
      </c>
      <c r="C11" s="40">
        <f t="shared" si="1"/>
        <v>0.10091743119266056</v>
      </c>
      <c r="E11" s="63" t="s">
        <v>72</v>
      </c>
      <c r="F11" s="60" t="s">
        <v>27</v>
      </c>
      <c r="G11" s="47">
        <v>18</v>
      </c>
      <c r="H11" s="133">
        <f>IF(B$17=0,0,G11/B$17)</f>
        <v>7.3770491803278687E-2</v>
      </c>
      <c r="I11" s="94">
        <v>5</v>
      </c>
      <c r="K11" s="38">
        <v>9</v>
      </c>
      <c r="L11" s="99">
        <v>-128.6</v>
      </c>
      <c r="N11" s="115" t="s">
        <v>165</v>
      </c>
      <c r="O11" s="125">
        <f>IF(P11=0,0,Q11/P11)</f>
        <v>5.0256410256410247</v>
      </c>
      <c r="P11" s="119">
        <v>39</v>
      </c>
      <c r="Q11" s="107">
        <v>195.99999999999997</v>
      </c>
    </row>
    <row r="12" spans="1:17" x14ac:dyDescent="0.4">
      <c r="A12" s="57" t="s">
        <v>160</v>
      </c>
      <c r="B12" s="49">
        <v>8</v>
      </c>
      <c r="C12" s="42">
        <f t="shared" si="1"/>
        <v>7.3394495412844041E-2</v>
      </c>
      <c r="E12" s="63" t="s">
        <v>71</v>
      </c>
      <c r="F12" s="60" t="s">
        <v>26</v>
      </c>
      <c r="G12" s="47">
        <v>17</v>
      </c>
      <c r="H12" s="133">
        <f>IF(B$17=0,0,G12/B$17)</f>
        <v>6.9672131147540978E-2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2.5818181818181811</v>
      </c>
      <c r="P12" s="120">
        <v>33</v>
      </c>
      <c r="Q12" s="108">
        <v>85.199999999999974</v>
      </c>
    </row>
    <row r="13" spans="1:17" x14ac:dyDescent="0.4">
      <c r="A13" s="58" t="s">
        <v>122</v>
      </c>
      <c r="B13" s="50">
        <v>245</v>
      </c>
      <c r="C13" s="44">
        <f>IF(B$3=0,0,B13/B$3)</f>
        <v>0.27192008879023305</v>
      </c>
      <c r="E13" s="63" t="s">
        <v>84</v>
      </c>
      <c r="F13" s="60" t="s">
        <v>39</v>
      </c>
      <c r="G13" s="47">
        <v>14</v>
      </c>
      <c r="H13" s="133">
        <f>IF(B$17=0,0,G13/B$17)</f>
        <v>5.737704918032787E-2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164</v>
      </c>
      <c r="C14" s="39">
        <f>IF(B$3=0,0,B14/B$3)</f>
        <v>0.18201997780244172</v>
      </c>
      <c r="E14" s="63" t="s">
        <v>87</v>
      </c>
      <c r="F14" s="60" t="s">
        <v>42</v>
      </c>
      <c r="G14" s="47">
        <v>11</v>
      </c>
      <c r="H14" s="133">
        <f>IF(B$17=0,0,G14/B$17)</f>
        <v>4.5081967213114756E-2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148</v>
      </c>
      <c r="C15" s="37">
        <f>IF(B$13=0,0,B15/B$13)</f>
        <v>0.60408163265306125</v>
      </c>
      <c r="E15" s="63" t="s">
        <v>92</v>
      </c>
      <c r="F15" s="60" t="s">
        <v>47</v>
      </c>
      <c r="G15" s="47">
        <v>9</v>
      </c>
      <c r="H15" s="133">
        <f>IF(B$17=0,0,G15/B$17)</f>
        <v>3.6885245901639344E-2</v>
      </c>
      <c r="I15" s="94">
        <v>2</v>
      </c>
      <c r="K15" s="38">
        <v>13</v>
      </c>
      <c r="L15" s="99">
        <v>-209.59999999999997</v>
      </c>
      <c r="N15" s="114" t="s">
        <v>271</v>
      </c>
      <c r="O15" s="124">
        <f>IF(P15=0,0,Q15/P15)</f>
        <v>69.774999999999991</v>
      </c>
      <c r="P15" s="118">
        <v>4</v>
      </c>
      <c r="Q15" s="106">
        <v>279.09999999999997</v>
      </c>
    </row>
    <row r="16" spans="1:17" x14ac:dyDescent="0.4">
      <c r="A16" s="54" t="s">
        <v>125</v>
      </c>
      <c r="B16" s="46">
        <v>57</v>
      </c>
      <c r="C16" s="37">
        <f>IF(B$14=0,0,B16/B$14)</f>
        <v>0.34756097560975607</v>
      </c>
      <c r="E16" s="63" t="s">
        <v>79</v>
      </c>
      <c r="F16" s="60" t="s">
        <v>34</v>
      </c>
      <c r="G16" s="47">
        <v>8</v>
      </c>
      <c r="H16" s="133">
        <f>IF(B$17=0,0,G16/B$17)</f>
        <v>3.2786885245901641E-2</v>
      </c>
      <c r="I16" s="94">
        <v>5</v>
      </c>
      <c r="K16" s="38">
        <v>14</v>
      </c>
      <c r="L16" s="99">
        <v>-178.49999999999997</v>
      </c>
      <c r="N16" s="115" t="s">
        <v>171</v>
      </c>
      <c r="O16" s="125">
        <f>IF(P16=0,0,Q16/P16)</f>
        <v>30.295833333333338</v>
      </c>
      <c r="P16" s="119">
        <v>24</v>
      </c>
      <c r="Q16" s="107">
        <v>727.10000000000014</v>
      </c>
    </row>
    <row r="17" spans="1:17" x14ac:dyDescent="0.4">
      <c r="A17" s="54" t="s">
        <v>10</v>
      </c>
      <c r="B17" s="46">
        <f>B19+B18</f>
        <v>244</v>
      </c>
      <c r="C17" s="37">
        <f>IF(B$3=0,0,B17/B$3)</f>
        <v>0.27081021087680357</v>
      </c>
      <c r="E17" s="63" t="s">
        <v>82</v>
      </c>
      <c r="F17" s="60" t="s">
        <v>37</v>
      </c>
      <c r="G17" s="47">
        <v>7</v>
      </c>
      <c r="H17" s="133">
        <f>IF(B$17=0,0,G17/B$17)</f>
        <v>2.8688524590163935E-2</v>
      </c>
      <c r="I17" s="94">
        <v>5</v>
      </c>
      <c r="K17" s="38">
        <v>15</v>
      </c>
      <c r="L17" s="99">
        <v>-146.19999999999999</v>
      </c>
      <c r="N17" s="115" t="s">
        <v>173</v>
      </c>
      <c r="O17" s="125">
        <f>IF(P17=0,0,Q17/P17)</f>
        <v>16.700000000000003</v>
      </c>
      <c r="P17" s="119">
        <v>10</v>
      </c>
      <c r="Q17" s="107">
        <v>167.00000000000003</v>
      </c>
    </row>
    <row r="18" spans="1:17" x14ac:dyDescent="0.4">
      <c r="A18" s="55" t="s">
        <v>12</v>
      </c>
      <c r="B18" s="47">
        <v>112</v>
      </c>
      <c r="C18" s="39">
        <f>IF(B$17=0,0,B18/B$17)</f>
        <v>0.45901639344262296</v>
      </c>
      <c r="E18" s="63" t="s">
        <v>86</v>
      </c>
      <c r="F18" s="60" t="s">
        <v>41</v>
      </c>
      <c r="G18" s="47">
        <v>5</v>
      </c>
      <c r="H18" s="133">
        <f>IF(B$17=0,0,G18/B$17)</f>
        <v>2.0491803278688523E-2</v>
      </c>
      <c r="I18" s="94">
        <v>1</v>
      </c>
      <c r="K18" s="38">
        <v>16</v>
      </c>
      <c r="L18" s="99">
        <v>-153.29999999999998</v>
      </c>
      <c r="N18" s="115" t="s">
        <v>200</v>
      </c>
      <c r="O18" s="125">
        <f>IF(P18=0,0,Q18/P18)</f>
        <v>9.3545454545454572</v>
      </c>
      <c r="P18" s="119">
        <v>11</v>
      </c>
      <c r="Q18" s="107">
        <v>102.90000000000002</v>
      </c>
    </row>
    <row r="19" spans="1:17" x14ac:dyDescent="0.4">
      <c r="A19" s="55" t="s">
        <v>11</v>
      </c>
      <c r="B19" s="47">
        <v>132</v>
      </c>
      <c r="C19" s="39">
        <f>IF(B$17=0,0,B19/B$17)</f>
        <v>0.54098360655737709</v>
      </c>
      <c r="E19" s="63" t="s">
        <v>80</v>
      </c>
      <c r="F19" s="60" t="s">
        <v>35</v>
      </c>
      <c r="G19" s="47">
        <v>4</v>
      </c>
      <c r="H19" s="133">
        <f>IF(B$17=0,0,G19/B$17)</f>
        <v>1.6393442622950821E-2</v>
      </c>
      <c r="I19" s="94">
        <v>7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136</v>
      </c>
      <c r="C20" s="39">
        <f>IF(B$3=0,0,B20/B$3)</f>
        <v>0.15094339622641509</v>
      </c>
      <c r="E20" s="63" t="s">
        <v>75</v>
      </c>
      <c r="F20" s="60" t="s">
        <v>30</v>
      </c>
      <c r="G20" s="47">
        <v>2</v>
      </c>
      <c r="H20" s="133">
        <f>IF(B$17=0,0,G20/B$17)</f>
        <v>8.1967213114754103E-3</v>
      </c>
      <c r="I20" s="94">
        <v>2</v>
      </c>
      <c r="K20" s="38">
        <v>18</v>
      </c>
      <c r="L20" s="99">
        <v>-159</v>
      </c>
      <c r="N20" s="115" t="s">
        <v>128</v>
      </c>
      <c r="O20" s="125">
        <f>IF(P20=0,0,Q20/P20)</f>
        <v>-0.50909090909090871</v>
      </c>
      <c r="P20" s="119">
        <v>33</v>
      </c>
      <c r="Q20" s="107">
        <v>-16.799999999999986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76</v>
      </c>
      <c r="F21" s="60" t="s">
        <v>31</v>
      </c>
      <c r="G21" s="47">
        <v>2</v>
      </c>
      <c r="H21" s="133">
        <f>IF(B$17=0,0,G21/B$17)</f>
        <v>8.1967213114754103E-3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0</v>
      </c>
      <c r="E22" s="63" t="s">
        <v>78</v>
      </c>
      <c r="F22" s="60" t="s">
        <v>33</v>
      </c>
      <c r="G22" s="47">
        <v>2</v>
      </c>
      <c r="H22" s="133">
        <f>IF(B$17=0,0,G22/B$17)</f>
        <v>8.1967213114754103E-3</v>
      </c>
      <c r="I22" s="94">
        <v>4</v>
      </c>
      <c r="K22" s="38">
        <v>20</v>
      </c>
      <c r="L22" s="99">
        <v>-200.8</v>
      </c>
      <c r="N22" s="115" t="s">
        <v>129</v>
      </c>
      <c r="O22" s="125">
        <f>IF(P22=0,0,Q22/P22)</f>
        <v>-2.7875000000000001</v>
      </c>
      <c r="P22" s="119">
        <v>48</v>
      </c>
      <c r="Q22" s="107">
        <v>-133.80000000000001</v>
      </c>
    </row>
    <row r="23" spans="1:17" x14ac:dyDescent="0.4">
      <c r="A23" s="55" t="s">
        <v>5</v>
      </c>
      <c r="B23" s="51">
        <f>IF(B$17=0,0,C23/B$17)</f>
        <v>8807.7868852459014</v>
      </c>
      <c r="C23" s="41">
        <v>2149100</v>
      </c>
      <c r="E23" s="63" t="s">
        <v>91</v>
      </c>
      <c r="F23" s="60" t="s">
        <v>46</v>
      </c>
      <c r="G23" s="47">
        <v>2</v>
      </c>
      <c r="H23" s="133">
        <f>IF(B$17=0,0,G23/B$17)</f>
        <v>8.1967213114754103E-3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>IF(P23=0,0,Q23/P23)</f>
        <v>-20.091666666666672</v>
      </c>
      <c r="P23" s="119">
        <v>48</v>
      </c>
      <c r="Q23" s="107">
        <v>-964.40000000000032</v>
      </c>
    </row>
    <row r="24" spans="1:17" x14ac:dyDescent="0.4">
      <c r="A24" s="57" t="s">
        <v>14</v>
      </c>
      <c r="B24" s="52">
        <f>IF(B$20=0,0,C24/B$20)</f>
        <v>-7219.8529411764703</v>
      </c>
      <c r="C24" s="45">
        <v>-981900</v>
      </c>
      <c r="E24" s="63" t="s">
        <v>93</v>
      </c>
      <c r="F24" s="60" t="s">
        <v>48</v>
      </c>
      <c r="G24" s="47">
        <v>1</v>
      </c>
      <c r="H24" s="133">
        <f>IF(B$17=0,0,G24/B$17)</f>
        <v>4.0983606557377051E-3</v>
      </c>
      <c r="I24" s="94">
        <v>4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4.0983606557377051E-3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4.0983606557377051E-3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3.3296337402885681E-3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  <row r="106" spans="11:12" x14ac:dyDescent="0.4">
      <c r="K106" s="38">
        <v>104</v>
      </c>
      <c r="L106" s="99">
        <v>56.899999999999935</v>
      </c>
    </row>
    <row r="107" spans="11:12" x14ac:dyDescent="0.4">
      <c r="K107" s="38">
        <v>105</v>
      </c>
      <c r="L107" s="99">
        <v>-9.6000000000000654</v>
      </c>
    </row>
    <row r="108" spans="11:12" x14ac:dyDescent="0.4">
      <c r="K108" s="38">
        <v>106</v>
      </c>
      <c r="L108" s="99">
        <v>1.4999999999999343</v>
      </c>
    </row>
    <row r="109" spans="11:12" x14ac:dyDescent="0.4">
      <c r="K109" s="38">
        <v>107</v>
      </c>
      <c r="L109" s="99">
        <v>1.2999999999999343</v>
      </c>
    </row>
    <row r="110" spans="11:12" x14ac:dyDescent="0.4">
      <c r="K110" s="38">
        <v>108</v>
      </c>
      <c r="L110" s="99">
        <v>-5.7000000000000659</v>
      </c>
    </row>
    <row r="111" spans="11:12" x14ac:dyDescent="0.4">
      <c r="K111" s="38">
        <v>109</v>
      </c>
      <c r="L111" s="99">
        <v>-6.1000000000000663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 t="shared" si="1"/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8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6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 t="shared" si="1"/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 t="shared" si="1"/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 t="shared" si="1"/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 t="shared" si="1"/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29</v>
      </c>
      <c r="H2" s="132">
        <f>IF(B$17=0,0,G2/B$17)</f>
        <v>0.44615384615384618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7.6923076923076927E-2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67</v>
      </c>
      <c r="F4" s="60" t="s">
        <v>23</v>
      </c>
      <c r="G4" s="47">
        <v>34</v>
      </c>
      <c r="H4" s="133">
        <f>IF(B$17=0,0,G4/B$17)</f>
        <v>0.52307692307692311</v>
      </c>
      <c r="I4" s="94">
        <v>14</v>
      </c>
      <c r="K4" s="38">
        <v>2</v>
      </c>
      <c r="L4" s="99">
        <v>-28.1</v>
      </c>
      <c r="N4" s="115" t="s">
        <v>134</v>
      </c>
      <c r="O4" s="122">
        <f t="shared" si="0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68</v>
      </c>
      <c r="F5" s="60" t="s">
        <v>24</v>
      </c>
      <c r="G5" s="47">
        <v>20</v>
      </c>
      <c r="H5" s="133">
        <f>IF(B$17=0,0,G5/B$17)</f>
        <v>0.30769230769230771</v>
      </c>
      <c r="I5" s="94">
        <v>7</v>
      </c>
      <c r="K5" s="38">
        <v>3</v>
      </c>
      <c r="L5" s="99">
        <v>-20.400000000000002</v>
      </c>
      <c r="N5" s="115" t="s">
        <v>135</v>
      </c>
      <c r="O5" s="122">
        <f t="shared" si="0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0.35384615384615387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0.15384615384615385</v>
      </c>
      <c r="I7" s="94">
        <v>9</v>
      </c>
      <c r="K7" s="38">
        <v>5</v>
      </c>
      <c r="L7" s="99">
        <v>-16.100000000000005</v>
      </c>
      <c r="N7" s="116" t="s">
        <v>137</v>
      </c>
      <c r="O7" s="123">
        <f t="shared" si="0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 t="shared" si="1"/>
        <v>0.47619047619047616</v>
      </c>
      <c r="E8" s="63" t="s">
        <v>71</v>
      </c>
      <c r="F8" s="60" t="s">
        <v>26</v>
      </c>
      <c r="G8" s="47">
        <v>3</v>
      </c>
      <c r="H8" s="133">
        <f>IF(B$17=0,0,G8/B$17)</f>
        <v>4.6153846153846156E-2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0.19047619047619047</v>
      </c>
      <c r="E9" s="63" t="s">
        <v>72</v>
      </c>
      <c r="F9" s="60" t="s">
        <v>27</v>
      </c>
      <c r="G9" s="47">
        <v>1</v>
      </c>
      <c r="H9" s="133">
        <f>IF(B$17=0,0,G9/B$17)</f>
        <v>1.5384615384615385E-2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 t="shared" si="1"/>
        <v>0.14285714285714285</v>
      </c>
      <c r="E10" s="63" t="s">
        <v>73</v>
      </c>
      <c r="F10" s="60" t="s">
        <v>28</v>
      </c>
      <c r="G10" s="47">
        <v>48</v>
      </c>
      <c r="H10" s="133">
        <f>IF(B$17=0,0,G10/B$17)</f>
        <v>0.7384615384615385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 t="shared" si="1"/>
        <v>4.7619047619047616E-2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 t="shared" si="1"/>
        <v>9.5238095238095233E-2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78</v>
      </c>
      <c r="F15" s="60" t="s">
        <v>33</v>
      </c>
      <c r="G15" s="47">
        <v>3</v>
      </c>
      <c r="H15" s="133">
        <f>IF(B$17=0,0,G15/B$17)</f>
        <v>4.6153846153846156E-2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79</v>
      </c>
      <c r="F16" s="60" t="s">
        <v>34</v>
      </c>
      <c r="G16" s="47">
        <v>4</v>
      </c>
      <c r="H16" s="133">
        <f>IF(B$17=0,0,G16/B$17)</f>
        <v>6.1538461538461542E-2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>IF(B$17=0,0,G17/B$17)</f>
        <v>1.5384615384615385E-2</v>
      </c>
      <c r="I17" s="94">
        <v>9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82</v>
      </c>
      <c r="F19" s="60" t="s">
        <v>37</v>
      </c>
      <c r="G19" s="47">
        <v>1</v>
      </c>
      <c r="H19" s="133">
        <f>IF(B$17=0,0,G19/B$17)</f>
        <v>1.5384615384615385E-2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4.6153846153846156E-2</v>
      </c>
      <c r="I21" s="94">
        <v>7</v>
      </c>
      <c r="K21" s="38">
        <v>19</v>
      </c>
      <c r="L21" s="99">
        <v>94.299999999999983</v>
      </c>
      <c r="N21" s="115" t="s">
        <v>177</v>
      </c>
      <c r="O21" s="125">
        <f t="shared" si="2"/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80.999999999999986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87</v>
      </c>
      <c r="F24" s="60" t="s">
        <v>42</v>
      </c>
      <c r="G24" s="47">
        <v>7</v>
      </c>
      <c r="H24" s="133">
        <f>IF(B$17=0,0,G24/B$17)</f>
        <v>0.1076923076923077</v>
      </c>
      <c r="I24" s="94">
        <v>3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90</v>
      </c>
      <c r="F27" s="60" t="s">
        <v>45</v>
      </c>
      <c r="G27" s="47">
        <v>10</v>
      </c>
      <c r="H27" s="133">
        <f>IF(B$17=0,0,G27/B$17)</f>
        <v>0.15384615384615385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21</v>
      </c>
      <c r="H51" s="138">
        <f>IF(B$17=0,0,G51/B$17)</f>
        <v>0.32307692307692309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 t="shared" si="1"/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 t="shared" si="1"/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 t="shared" si="1"/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0.52941176470588236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-5362.5</v>
      </c>
      <c r="P2" s="118">
        <v>8</v>
      </c>
      <c r="Q2" s="102">
        <v>-42900</v>
      </c>
    </row>
    <row r="3" spans="1:17" x14ac:dyDescent="0.4">
      <c r="A3" s="55" t="s">
        <v>8</v>
      </c>
      <c r="B3" s="152">
        <v>72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5.8823529411764705E-2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-4025</v>
      </c>
      <c r="P3" s="119">
        <v>8</v>
      </c>
      <c r="Q3" s="103">
        <v>-32200</v>
      </c>
    </row>
    <row r="4" spans="1:17" x14ac:dyDescent="0.4">
      <c r="A4" s="55" t="s">
        <v>6</v>
      </c>
      <c r="B4" s="154">
        <v>-289.8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0.52941176470588236</v>
      </c>
      <c r="I4" s="94">
        <v>13</v>
      </c>
      <c r="K4" s="38">
        <v>2</v>
      </c>
      <c r="L4" s="99">
        <v>-96.5</v>
      </c>
      <c r="N4" s="115" t="s">
        <v>134</v>
      </c>
      <c r="O4" s="122">
        <f t="shared" si="0"/>
        <v>-300</v>
      </c>
      <c r="P4" s="119">
        <v>7</v>
      </c>
      <c r="Q4" s="103">
        <v>-2100</v>
      </c>
    </row>
    <row r="5" spans="1:17" x14ac:dyDescent="0.4">
      <c r="A5" s="55" t="s">
        <v>7</v>
      </c>
      <c r="B5" s="156">
        <f>IF(B$2=0,0,B$4/B$2)</f>
        <v>-36.225000000000001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3914.2857142857142</v>
      </c>
      <c r="P5" s="119">
        <v>7</v>
      </c>
      <c r="Q5" s="103">
        <v>27400</v>
      </c>
    </row>
    <row r="6" spans="1:17" x14ac:dyDescent="0.4">
      <c r="A6" s="55" t="s">
        <v>1</v>
      </c>
      <c r="B6" s="146">
        <f>IF(B$2=0,0,(B$7*1+B$8*2+B$9*3)/B$2)</f>
        <v>2.75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0.23529411764705882</v>
      </c>
      <c r="I6" s="94">
        <v>13</v>
      </c>
      <c r="K6" s="38">
        <v>4</v>
      </c>
      <c r="L6" s="99">
        <v>-134.1</v>
      </c>
      <c r="N6" s="115" t="s">
        <v>136</v>
      </c>
      <c r="O6" s="122">
        <f t="shared" si="0"/>
        <v>-6466.666666666667</v>
      </c>
      <c r="P6" s="119">
        <v>6</v>
      </c>
      <c r="Q6" s="103">
        <v>-38800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2</v>
      </c>
      <c r="H7" s="133">
        <f>IF(B$17=0,0,G7/B$17)</f>
        <v>0.11764705882352941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-6140</v>
      </c>
      <c r="P7" s="120">
        <v>5</v>
      </c>
      <c r="Q7" s="104">
        <v>-30700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5.8823529411764705E-2</v>
      </c>
      <c r="I8" s="94">
        <v>11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0.75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1"/>
        <v>0.125</v>
      </c>
      <c r="E10" s="63" t="s">
        <v>73</v>
      </c>
      <c r="F10" s="60" t="s">
        <v>28</v>
      </c>
      <c r="G10" s="47">
        <v>7</v>
      </c>
      <c r="H10" s="133">
        <f>IF(B$17=0,0,G10/B$17)</f>
        <v>0.41176470588235292</v>
      </c>
      <c r="I10" s="94">
        <v>13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0.18055555555555555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</v>
      </c>
      <c r="C15" s="37">
        <f>IF(B$13=0,0,B15/B$13)</f>
        <v>0.69230769230769229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5.8823529411764705E-2</v>
      </c>
      <c r="I16" s="94">
        <v>3</v>
      </c>
      <c r="N16" s="115" t="s">
        <v>129</v>
      </c>
      <c r="O16" s="125">
        <f>IF(P16=0,0,Q16/P16)</f>
        <v>-52.959999999999994</v>
      </c>
      <c r="P16" s="119">
        <v>5</v>
      </c>
      <c r="Q16" s="107">
        <v>-264.79999999999995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0.2361111111111111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177</v>
      </c>
      <c r="O17" s="125">
        <f>IF(P17=0,0,Q17/P17)</f>
        <v>-69.775000000000006</v>
      </c>
      <c r="P17" s="119">
        <v>4</v>
      </c>
      <c r="Q17" s="107">
        <v>-279.10000000000002</v>
      </c>
    </row>
    <row r="18" spans="1:17" x14ac:dyDescent="0.4">
      <c r="A18" s="55" t="s">
        <v>12</v>
      </c>
      <c r="B18" s="47">
        <v>7</v>
      </c>
      <c r="C18" s="39">
        <f>IF(B$17=0,0,B18/B$17)</f>
        <v>0.41176470588235292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10</v>
      </c>
      <c r="C19" s="39">
        <f>IF(B$17=0,0,B19/B$17)</f>
        <v>0.58823529411764708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19</v>
      </c>
      <c r="C20" s="39">
        <f>IF(B$3=0,0,B20/B$3)</f>
        <v>0.2638888888888889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6776.4705882352937</v>
      </c>
      <c r="C23" s="41">
        <v>115200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-7089.4736842105267</v>
      </c>
      <c r="C24" s="45">
        <v>-134700</v>
      </c>
      <c r="E24" s="63" t="s">
        <v>87</v>
      </c>
      <c r="F24" s="60" t="s">
        <v>42</v>
      </c>
      <c r="G24" s="47">
        <v>2</v>
      </c>
      <c r="H24" s="133">
        <f>IF(B$17=0,0,G24/B$17)</f>
        <v>0.11764705882352941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1</v>
      </c>
      <c r="H27" s="133">
        <f>IF(B$17=0,0,G27/B$17)</f>
        <v>5.8823529411764705E-2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5.8823529411764705E-2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0.52941176470588236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  <row r="107" spans="1:17" x14ac:dyDescent="0.4">
      <c r="A107" s="69">
        <v>104</v>
      </c>
      <c r="B107" s="66">
        <v>56.899999999999935</v>
      </c>
      <c r="C107" s="66">
        <v>0.547115384615384</v>
      </c>
      <c r="D107" s="71">
        <v>1.9807692307692308</v>
      </c>
      <c r="E107" s="67">
        <v>0.33653846153846156</v>
      </c>
      <c r="F107" s="67">
        <v>0.31730769230769229</v>
      </c>
      <c r="G107" s="67">
        <v>0.27336448598130841</v>
      </c>
      <c r="H107" s="67">
        <v>0.14836448598130841</v>
      </c>
      <c r="I107" s="68">
        <v>8729.9145299145293</v>
      </c>
      <c r="J107" s="68">
        <v>-7113.3858267716532</v>
      </c>
      <c r="K107" s="67">
        <v>0.125</v>
      </c>
      <c r="L107" s="67">
        <v>0.10576923076923077</v>
      </c>
      <c r="M107" s="67">
        <v>0.27336448598130841</v>
      </c>
      <c r="N107" s="67">
        <v>0.18457943925233644</v>
      </c>
      <c r="O107" s="67">
        <v>0.61111111111111116</v>
      </c>
      <c r="P107" s="67">
        <v>0.34177215189873417</v>
      </c>
      <c r="Q107" s="67">
        <v>0.45726495726495725</v>
      </c>
    </row>
    <row r="108" spans="1:17" x14ac:dyDescent="0.4">
      <c r="A108" s="69">
        <v>105</v>
      </c>
      <c r="B108" s="66">
        <v>-9.6000000000000654</v>
      </c>
      <c r="C108" s="66">
        <v>-9.1428571428572053E-2</v>
      </c>
      <c r="D108" s="71">
        <v>1.9904761904761905</v>
      </c>
      <c r="E108" s="67">
        <v>0.33333333333333331</v>
      </c>
      <c r="F108" s="67">
        <v>0.32380952380952382</v>
      </c>
      <c r="G108" s="67">
        <v>0.27293844367015097</v>
      </c>
      <c r="H108" s="67">
        <v>0.15098722415795587</v>
      </c>
      <c r="I108" s="68">
        <v>8705.5319148936178</v>
      </c>
      <c r="J108" s="68">
        <v>-7287.6923076923076</v>
      </c>
      <c r="K108" s="67">
        <v>0.13333333333333333</v>
      </c>
      <c r="L108" s="67">
        <v>0.10476190476190476</v>
      </c>
      <c r="M108" s="67">
        <v>0.27177700348432055</v>
      </c>
      <c r="N108" s="67">
        <v>0.18466898954703834</v>
      </c>
      <c r="O108" s="67">
        <v>0.61111111111111116</v>
      </c>
      <c r="P108" s="67">
        <v>0.34591194968553457</v>
      </c>
      <c r="Q108" s="67">
        <v>0.45957446808510638</v>
      </c>
    </row>
    <row r="109" spans="1:17" x14ac:dyDescent="0.4">
      <c r="A109" s="69">
        <v>106</v>
      </c>
      <c r="B109" s="66">
        <v>1.4999999999999343</v>
      </c>
      <c r="C109" s="66">
        <v>1.4150943396225794E-2</v>
      </c>
      <c r="D109" s="71">
        <v>1.9905660377358489</v>
      </c>
      <c r="E109" s="67">
        <v>0.330188679245283</v>
      </c>
      <c r="F109" s="67">
        <v>0.32075471698113206</v>
      </c>
      <c r="G109" s="67">
        <v>0.27304147465437789</v>
      </c>
      <c r="H109" s="67">
        <v>0.15092165898617513</v>
      </c>
      <c r="I109" s="68">
        <v>8733.3333333333339</v>
      </c>
      <c r="J109" s="68">
        <v>-7251.9083969465646</v>
      </c>
      <c r="K109" s="67">
        <v>0.13207547169811321</v>
      </c>
      <c r="L109" s="67">
        <v>0.10377358490566038</v>
      </c>
      <c r="M109" s="67">
        <v>0.27188940092165897</v>
      </c>
      <c r="N109" s="67">
        <v>0.18317972350230416</v>
      </c>
      <c r="O109" s="67">
        <v>0.61016949152542377</v>
      </c>
      <c r="P109" s="67">
        <v>0.34591194968553457</v>
      </c>
      <c r="Q109" s="67">
        <v>0.46413502109704641</v>
      </c>
    </row>
    <row r="110" spans="1:17" x14ac:dyDescent="0.4">
      <c r="A110" s="69">
        <v>107</v>
      </c>
      <c r="B110" s="66">
        <v>1.2999999999999343</v>
      </c>
      <c r="C110" s="66">
        <v>1.214953271027976E-2</v>
      </c>
      <c r="D110" s="71">
        <v>1.9906542056074767</v>
      </c>
      <c r="E110" s="67">
        <v>0.32710280373831774</v>
      </c>
      <c r="F110" s="67">
        <v>0.31775700934579437</v>
      </c>
      <c r="G110" s="67">
        <v>0.27324263038548752</v>
      </c>
      <c r="H110" s="67">
        <v>0.15192743764172337</v>
      </c>
      <c r="I110" s="68">
        <v>8734.8547717842321</v>
      </c>
      <c r="J110" s="68">
        <v>-7208.9552238805973</v>
      </c>
      <c r="K110" s="67">
        <v>0.13084112149532709</v>
      </c>
      <c r="L110" s="67">
        <v>0.10280373831775701</v>
      </c>
      <c r="M110" s="67">
        <v>0.27324263038548752</v>
      </c>
      <c r="N110" s="67">
        <v>0.18367346938775511</v>
      </c>
      <c r="O110" s="67">
        <v>0.60580912863070535</v>
      </c>
      <c r="P110" s="67">
        <v>0.35185185185185186</v>
      </c>
      <c r="Q110" s="67">
        <v>0.46058091286307051</v>
      </c>
    </row>
    <row r="111" spans="1:17" x14ac:dyDescent="0.4">
      <c r="A111" s="69">
        <v>108</v>
      </c>
      <c r="B111" s="66">
        <v>-5.7000000000000659</v>
      </c>
      <c r="C111" s="66">
        <v>-5.2777777777778388E-2</v>
      </c>
      <c r="D111" s="71">
        <v>1.9907407407407407</v>
      </c>
      <c r="E111" s="67">
        <v>0.32407407407407407</v>
      </c>
      <c r="F111" s="67">
        <v>0.31481481481481483</v>
      </c>
      <c r="G111" s="67">
        <v>0.27130044843049328</v>
      </c>
      <c r="H111" s="67">
        <v>0.15022421524663676</v>
      </c>
      <c r="I111" s="68">
        <v>8748.3471074380159</v>
      </c>
      <c r="J111" s="68">
        <v>-7208.9552238805973</v>
      </c>
      <c r="K111" s="67">
        <v>0.12962962962962962</v>
      </c>
      <c r="L111" s="67">
        <v>0.10185185185185185</v>
      </c>
      <c r="M111" s="67">
        <v>0.273542600896861</v>
      </c>
      <c r="N111" s="67">
        <v>0.18273542600896861</v>
      </c>
      <c r="O111" s="67">
        <v>0.60245901639344257</v>
      </c>
      <c r="P111" s="67">
        <v>0.34969325153374231</v>
      </c>
      <c r="Q111" s="67">
        <v>0.45867768595041325</v>
      </c>
    </row>
    <row r="112" spans="1:17" x14ac:dyDescent="0.4">
      <c r="A112" s="69">
        <v>109</v>
      </c>
      <c r="B112" s="66">
        <v>-6.1000000000000663</v>
      </c>
      <c r="C112" s="66">
        <v>-5.5963302752294185E-2</v>
      </c>
      <c r="D112" s="71">
        <v>1.9908256880733946</v>
      </c>
      <c r="E112" s="67">
        <v>0.32110091743119268</v>
      </c>
      <c r="F112" s="67">
        <v>0.31192660550458717</v>
      </c>
      <c r="G112" s="67">
        <v>0.27081021087680357</v>
      </c>
      <c r="H112" s="67">
        <v>0.15094339622641509</v>
      </c>
      <c r="I112" s="68">
        <v>8807.7868852459014</v>
      </c>
      <c r="J112" s="68">
        <v>-7219.8529411764703</v>
      </c>
      <c r="K112" s="67">
        <v>0.12844036697247707</v>
      </c>
      <c r="L112" s="67">
        <v>0.10091743119266056</v>
      </c>
      <c r="M112" s="67">
        <v>0.27192008879023305</v>
      </c>
      <c r="N112" s="67">
        <v>0.18201997780244172</v>
      </c>
      <c r="O112" s="67">
        <v>0.60408163265306125</v>
      </c>
      <c r="P112" s="67">
        <v>0.34756097560975607</v>
      </c>
      <c r="Q112" s="67">
        <v>0.45901639344262296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  <row r="110" spans="1:17" x14ac:dyDescent="0.4">
      <c r="A110" s="69">
        <v>107</v>
      </c>
      <c r="B110" s="66">
        <v>197.1</v>
      </c>
      <c r="C110" s="66">
        <v>1.842056074766355</v>
      </c>
      <c r="D110" s="71">
        <v>2.0093457943925235</v>
      </c>
      <c r="E110" s="67">
        <v>0.32710280373831774</v>
      </c>
      <c r="F110" s="67">
        <v>0.3364485981308411</v>
      </c>
      <c r="G110" s="67">
        <v>0.29232505643340856</v>
      </c>
      <c r="H110" s="67">
        <v>0.17494356659142213</v>
      </c>
      <c r="I110" s="68">
        <v>9976.8339768339774</v>
      </c>
      <c r="J110" s="68">
        <v>-8313.5483870967746</v>
      </c>
      <c r="K110" s="67">
        <v>0.10280373831775701</v>
      </c>
      <c r="L110" s="67">
        <v>0.14953271028037382</v>
      </c>
      <c r="M110" s="67">
        <v>0.28329571106094809</v>
      </c>
      <c r="N110" s="67">
        <v>0.19864559819413091</v>
      </c>
      <c r="O110" s="67">
        <v>0.56573705179282874</v>
      </c>
      <c r="P110" s="67">
        <v>0.41477272727272729</v>
      </c>
      <c r="Q110" s="67">
        <v>0.40154440154440152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6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  <row r="164" spans="1:17" x14ac:dyDescent="0.4">
      <c r="A164" s="69">
        <v>161</v>
      </c>
      <c r="B164" s="66">
        <v>-1246.2</v>
      </c>
      <c r="C164" s="66">
        <v>-7.7403726708074538</v>
      </c>
      <c r="D164" s="71">
        <v>2.1242236024844718</v>
      </c>
      <c r="E164" s="67">
        <v>0.2857142857142857</v>
      </c>
      <c r="F164" s="67">
        <v>0.40993788819875776</v>
      </c>
      <c r="G164" s="67">
        <v>0.26865671641791045</v>
      </c>
      <c r="H164" s="67">
        <v>0.17388059701492536</v>
      </c>
      <c r="I164" s="68">
        <v>8334.7222222222226</v>
      </c>
      <c r="J164" s="68">
        <v>-8471.2446351931339</v>
      </c>
      <c r="K164" s="67">
        <v>0.14906832298136646</v>
      </c>
      <c r="L164" s="67">
        <v>0.10559006211180125</v>
      </c>
      <c r="M164" s="67">
        <v>0.25149253731343285</v>
      </c>
      <c r="N164" s="67">
        <v>0.19402985074626866</v>
      </c>
      <c r="O164" s="67">
        <v>0.53412462908011871</v>
      </c>
      <c r="P164" s="67">
        <v>0.34230769230769231</v>
      </c>
      <c r="Q164" s="67">
        <v>0.41388888888888886</v>
      </c>
    </row>
    <row r="165" spans="1:17" x14ac:dyDescent="0.4">
      <c r="A165" s="69">
        <v>162</v>
      </c>
      <c r="B165" s="66">
        <v>-1210.3</v>
      </c>
      <c r="C165" s="66">
        <v>-7.4709876543209877</v>
      </c>
      <c r="D165" s="71">
        <v>2.117283950617284</v>
      </c>
      <c r="E165" s="67">
        <v>0.29012345679012347</v>
      </c>
      <c r="F165" s="67">
        <v>0.40740740740740738</v>
      </c>
      <c r="G165" s="67">
        <v>0.27023014105419452</v>
      </c>
      <c r="H165" s="67">
        <v>0.17297698589458055</v>
      </c>
      <c r="I165" s="68">
        <v>8330.7692307692305</v>
      </c>
      <c r="J165" s="68">
        <v>-8471.2446351931339</v>
      </c>
      <c r="K165" s="67">
        <v>0.14814814814814814</v>
      </c>
      <c r="L165" s="67">
        <v>0.10493827160493827</v>
      </c>
      <c r="M165" s="67">
        <v>0.25092798812175204</v>
      </c>
      <c r="N165" s="67">
        <v>0.19376391982182628</v>
      </c>
      <c r="O165" s="67">
        <v>0.53550295857988162</v>
      </c>
      <c r="P165" s="67">
        <v>0.34482758620689657</v>
      </c>
      <c r="Q165" s="67">
        <v>0.41483516483516486</v>
      </c>
    </row>
    <row r="166" spans="1:17" x14ac:dyDescent="0.4">
      <c r="A166" s="69">
        <v>163</v>
      </c>
      <c r="B166" s="66">
        <v>-1183.8</v>
      </c>
      <c r="C166" s="66">
        <v>-7.2625766871165638</v>
      </c>
      <c r="D166" s="71">
        <v>2.1104294478527605</v>
      </c>
      <c r="E166" s="67">
        <v>0.29447852760736198</v>
      </c>
      <c r="F166" s="67">
        <v>0.40490797546012269</v>
      </c>
      <c r="G166" s="67">
        <v>0.27112417340191036</v>
      </c>
      <c r="H166" s="67">
        <v>0.17193240264511389</v>
      </c>
      <c r="I166" s="68">
        <v>8310.0271002710033</v>
      </c>
      <c r="J166" s="68">
        <v>-8469.2307692307695</v>
      </c>
      <c r="K166" s="67">
        <v>0.14723926380368099</v>
      </c>
      <c r="L166" s="67">
        <v>0.10429447852760736</v>
      </c>
      <c r="M166" s="67">
        <v>0.24981631153563555</v>
      </c>
      <c r="N166" s="67">
        <v>0.19397501836884642</v>
      </c>
      <c r="O166" s="67">
        <v>0.53529411764705881</v>
      </c>
      <c r="P166" s="67">
        <v>0.34469696969696972</v>
      </c>
      <c r="Q166" s="67">
        <v>0.41734417344173441</v>
      </c>
    </row>
    <row r="167" spans="1:17" x14ac:dyDescent="0.4">
      <c r="A167" s="69">
        <v>164</v>
      </c>
      <c r="B167" s="66">
        <v>-1234.3</v>
      </c>
      <c r="C167" s="66">
        <v>-7.5262195121951221</v>
      </c>
      <c r="D167" s="71">
        <v>2.1158536585365852</v>
      </c>
      <c r="E167" s="67">
        <v>0.29268292682926828</v>
      </c>
      <c r="F167" s="67">
        <v>0.40853658536585363</v>
      </c>
      <c r="G167" s="67">
        <v>0.27060539752005836</v>
      </c>
      <c r="H167" s="67">
        <v>0.17213712618526622</v>
      </c>
      <c r="I167" s="68">
        <v>8294.8787061994608</v>
      </c>
      <c r="J167" s="68">
        <v>-8499.1525423728817</v>
      </c>
      <c r="K167" s="67">
        <v>0.14634146341463414</v>
      </c>
      <c r="L167" s="67">
        <v>0.10365853658536585</v>
      </c>
      <c r="M167" s="67">
        <v>0.24945295404814005</v>
      </c>
      <c r="N167" s="67">
        <v>0.19620714806710429</v>
      </c>
      <c r="O167" s="67">
        <v>0.53508771929824561</v>
      </c>
      <c r="P167" s="67">
        <v>0.34200743494423791</v>
      </c>
      <c r="Q167" s="67">
        <v>0.41778975741239893</v>
      </c>
    </row>
    <row r="168" spans="1:17" x14ac:dyDescent="0.4">
      <c r="A168" s="69">
        <v>165</v>
      </c>
      <c r="B168" s="66">
        <v>-1258.7</v>
      </c>
      <c r="C168" s="66">
        <v>-7.6284848484848489</v>
      </c>
      <c r="D168" s="71">
        <v>2.1212121212121211</v>
      </c>
      <c r="E168" s="67">
        <v>0.29090909090909089</v>
      </c>
      <c r="F168" s="67">
        <v>0.41212121212121211</v>
      </c>
      <c r="G168" s="67">
        <v>0.27028985507246378</v>
      </c>
      <c r="H168" s="67">
        <v>0.17318840579710146</v>
      </c>
      <c r="I168" s="68">
        <v>8314.7453083109922</v>
      </c>
      <c r="J168" s="68">
        <v>-8471.5481171548108</v>
      </c>
      <c r="K168" s="67">
        <v>0.14545454545454545</v>
      </c>
      <c r="L168" s="67">
        <v>0.10303030303030303</v>
      </c>
      <c r="M168" s="67">
        <v>0.25</v>
      </c>
      <c r="N168" s="67">
        <v>0.19565217391304349</v>
      </c>
      <c r="O168" s="67">
        <v>0.53623188405797106</v>
      </c>
      <c r="P168" s="67">
        <v>0.34074074074074073</v>
      </c>
      <c r="Q168" s="67">
        <v>0.42091152815013405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2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  <row r="211" spans="1:17" x14ac:dyDescent="0.4">
      <c r="A211" s="69">
        <v>208</v>
      </c>
      <c r="B211" s="66">
        <v>2614.7000000000003</v>
      </c>
      <c r="C211" s="66">
        <v>12.570673076923079</v>
      </c>
      <c r="D211" s="71">
        <v>1.7548076923076923</v>
      </c>
      <c r="E211" s="67">
        <v>0.48557692307692307</v>
      </c>
      <c r="F211" s="67">
        <v>0.24038461538461539</v>
      </c>
      <c r="G211" s="67">
        <v>0.3400236127508855</v>
      </c>
      <c r="H211" s="67">
        <v>0.1511216056670602</v>
      </c>
      <c r="I211" s="68">
        <v>9227.4305555555547</v>
      </c>
      <c r="J211" s="68">
        <v>-8317.96875</v>
      </c>
      <c r="K211" s="67">
        <v>8.6538461538461536E-2</v>
      </c>
      <c r="L211" s="67">
        <v>0.17307692307692307</v>
      </c>
      <c r="M211" s="67">
        <v>0.30637544273907913</v>
      </c>
      <c r="N211" s="67">
        <v>0.22077922077922077</v>
      </c>
      <c r="O211" s="67">
        <v>0.58188824662813099</v>
      </c>
      <c r="P211" s="67">
        <v>0.50267379679144386</v>
      </c>
      <c r="Q211" s="67">
        <v>0.4201388888888889</v>
      </c>
    </row>
    <row r="212" spans="1:17" x14ac:dyDescent="0.4">
      <c r="A212" s="69">
        <v>209</v>
      </c>
      <c r="B212" s="66">
        <v>2661.7000000000003</v>
      </c>
      <c r="C212" s="66">
        <v>12.735406698564594</v>
      </c>
      <c r="D212" s="71">
        <v>1.7511961722488039</v>
      </c>
      <c r="E212" s="67">
        <v>0.48803827751196172</v>
      </c>
      <c r="F212" s="67">
        <v>0.23923444976076555</v>
      </c>
      <c r="G212" s="67">
        <v>0.34020011771630371</v>
      </c>
      <c r="H212" s="67">
        <v>0.15067686874632136</v>
      </c>
      <c r="I212" s="68">
        <v>9250.8650519031144</v>
      </c>
      <c r="J212" s="68">
        <v>-8317.96875</v>
      </c>
      <c r="K212" s="67">
        <v>8.6124401913875603E-2</v>
      </c>
      <c r="L212" s="67">
        <v>0.17703349282296652</v>
      </c>
      <c r="M212" s="67">
        <v>0.30606238964096527</v>
      </c>
      <c r="N212" s="67">
        <v>0.22071806945261918</v>
      </c>
      <c r="O212" s="67">
        <v>0.58269230769230773</v>
      </c>
      <c r="P212" s="67">
        <v>0.504</v>
      </c>
      <c r="Q212" s="67">
        <v>0.41868512110726641</v>
      </c>
    </row>
    <row r="213" spans="1:17" x14ac:dyDescent="0.4">
      <c r="A213" s="69">
        <v>210</v>
      </c>
      <c r="B213" s="66">
        <v>2614.7000000000003</v>
      </c>
      <c r="C213" s="66">
        <v>12.450952380952382</v>
      </c>
      <c r="D213" s="71">
        <v>1.7571428571428571</v>
      </c>
      <c r="E213" s="67">
        <v>0.48571428571428571</v>
      </c>
      <c r="F213" s="67">
        <v>0.24285714285714285</v>
      </c>
      <c r="G213" s="67">
        <v>0.33939038686987105</v>
      </c>
      <c r="H213" s="67">
        <v>0.15064478311840562</v>
      </c>
      <c r="I213" s="68">
        <v>9241.7962003454231</v>
      </c>
      <c r="J213" s="68">
        <v>-8332.2957198443582</v>
      </c>
      <c r="K213" s="67">
        <v>8.5714285714285715E-2</v>
      </c>
      <c r="L213" s="67">
        <v>0.1761904761904762</v>
      </c>
      <c r="M213" s="67">
        <v>0.30480656506447829</v>
      </c>
      <c r="N213" s="67">
        <v>0.22039859320046892</v>
      </c>
      <c r="O213" s="67">
        <v>0.58269230769230773</v>
      </c>
      <c r="P213" s="67">
        <v>0.50265957446808507</v>
      </c>
      <c r="Q213" s="67">
        <v>0.41968911917098445</v>
      </c>
    </row>
    <row r="214" spans="1:17" x14ac:dyDescent="0.4">
      <c r="A214" s="69">
        <v>211</v>
      </c>
      <c r="B214" s="66">
        <v>2588.4</v>
      </c>
      <c r="C214" s="66">
        <v>12.267298578199053</v>
      </c>
      <c r="D214" s="71">
        <v>1.7630331753554502</v>
      </c>
      <c r="E214" s="67">
        <v>0.48341232227488151</v>
      </c>
      <c r="F214" s="67">
        <v>0.24644549763033174</v>
      </c>
      <c r="G214" s="67">
        <v>0.33779069767441861</v>
      </c>
      <c r="H214" s="67">
        <v>0.15058139534883722</v>
      </c>
      <c r="I214" s="68">
        <v>9261.6179001721175</v>
      </c>
      <c r="J214" s="68">
        <v>-8280.6949806949815</v>
      </c>
      <c r="K214" s="67">
        <v>8.5308056872037921E-2</v>
      </c>
      <c r="L214" s="67">
        <v>0.17535545023696683</v>
      </c>
      <c r="M214" s="67">
        <v>0.30523255813953487</v>
      </c>
      <c r="N214" s="67">
        <v>0.21976744186046512</v>
      </c>
      <c r="O214" s="67">
        <v>0.580952380952381</v>
      </c>
      <c r="P214" s="67">
        <v>0.5</v>
      </c>
      <c r="Q214" s="67">
        <v>0.41996557659208261</v>
      </c>
    </row>
    <row r="215" spans="1:17" x14ac:dyDescent="0.4">
      <c r="A215" s="69">
        <v>212</v>
      </c>
      <c r="B215" s="66">
        <v>2645.9</v>
      </c>
      <c r="C215" s="66">
        <v>12.480660377358491</v>
      </c>
      <c r="D215" s="71">
        <v>1.7594339622641511</v>
      </c>
      <c r="E215" s="67">
        <v>0.48584905660377359</v>
      </c>
      <c r="F215" s="67">
        <v>0.24528301886792453</v>
      </c>
      <c r="G215" s="67">
        <v>0.33815028901734107</v>
      </c>
      <c r="H215" s="67">
        <v>0.15028901734104047</v>
      </c>
      <c r="I215" s="68">
        <v>9266.6666666666661</v>
      </c>
      <c r="J215" s="68">
        <v>-8279.6153846153848</v>
      </c>
      <c r="K215" s="67">
        <v>8.4905660377358486E-2</v>
      </c>
      <c r="L215" s="67">
        <v>0.17452830188679244</v>
      </c>
      <c r="M215" s="67">
        <v>0.30578034682080923</v>
      </c>
      <c r="N215" s="67">
        <v>0.21907514450867052</v>
      </c>
      <c r="O215" s="67">
        <v>0.58412098298676751</v>
      </c>
      <c r="P215" s="67">
        <v>0.49868073878627966</v>
      </c>
      <c r="Q215" s="67">
        <v>0.42222222222222222</v>
      </c>
    </row>
    <row r="216" spans="1:17" x14ac:dyDescent="0.4">
      <c r="A216" s="69">
        <v>213</v>
      </c>
      <c r="B216" s="66">
        <v>2670.7000000000003</v>
      </c>
      <c r="C216" s="66">
        <v>12.53849765258216</v>
      </c>
      <c r="D216" s="71">
        <v>1.755868544600939</v>
      </c>
      <c r="E216" s="67">
        <v>0.48826291079812206</v>
      </c>
      <c r="F216" s="67">
        <v>0.24413145539906103</v>
      </c>
      <c r="G216" s="67">
        <v>0.33870040253018974</v>
      </c>
      <c r="H216" s="67">
        <v>0.14951121334100057</v>
      </c>
      <c r="I216" s="68">
        <v>9249.2359932088293</v>
      </c>
      <c r="J216" s="68">
        <v>-8279.6153846153848</v>
      </c>
      <c r="K216" s="67">
        <v>8.4507042253521125E-2</v>
      </c>
      <c r="L216" s="67">
        <v>0.17370892018779344</v>
      </c>
      <c r="M216" s="67">
        <v>0.30592294422081656</v>
      </c>
      <c r="N216" s="67">
        <v>0.22024151811385853</v>
      </c>
      <c r="O216" s="67">
        <v>0.58270676691729328</v>
      </c>
      <c r="P216" s="67">
        <v>0.50130548302872058</v>
      </c>
      <c r="Q216" s="67">
        <v>0.41935483870967744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  <row r="325" spans="1:17" x14ac:dyDescent="0.4">
      <c r="A325" s="69">
        <v>322</v>
      </c>
      <c r="B325" s="66">
        <v>-1.0000000000000071</v>
      </c>
      <c r="C325" s="66">
        <v>-1.0351966873706079E-3</v>
      </c>
      <c r="D325" s="71">
        <v>2</v>
      </c>
      <c r="E325" s="67">
        <v>0.33333333333333331</v>
      </c>
      <c r="F325" s="67">
        <v>0.33333333333333331</v>
      </c>
      <c r="G325" s="67">
        <v>0.29804804804804808</v>
      </c>
      <c r="H325" s="67">
        <v>0.16704204204204204</v>
      </c>
      <c r="I325" s="68">
        <v>8635.8522250209899</v>
      </c>
      <c r="J325" s="68">
        <v>-8148.9138576779023</v>
      </c>
      <c r="K325" s="67">
        <v>0.11904761904761904</v>
      </c>
      <c r="L325" s="67">
        <v>0.11904761904761904</v>
      </c>
      <c r="M325" s="67">
        <v>0.26851851851851855</v>
      </c>
      <c r="N325" s="67">
        <v>0.21383883883883884</v>
      </c>
      <c r="O325" s="67">
        <v>0.57642124883504198</v>
      </c>
      <c r="P325" s="67">
        <v>0.39730836746635462</v>
      </c>
      <c r="Q325" s="67">
        <v>0.43198992443324935</v>
      </c>
    </row>
    <row r="326" spans="1:17" x14ac:dyDescent="0.4">
      <c r="A326" s="69">
        <v>323</v>
      </c>
      <c r="B326" s="66">
        <v>-1</v>
      </c>
      <c r="C326" s="66">
        <v>-1.0319917440660474E-3</v>
      </c>
      <c r="D326" s="71">
        <v>2</v>
      </c>
      <c r="E326" s="67">
        <v>0.33333333333333331</v>
      </c>
      <c r="F326" s="67">
        <v>0.33333333333333331</v>
      </c>
      <c r="G326" s="67">
        <v>0.29811415011864617</v>
      </c>
      <c r="H326" s="67">
        <v>0.16710378418883476</v>
      </c>
      <c r="I326" s="68">
        <v>8640.8043569333895</v>
      </c>
      <c r="J326" s="68">
        <v>-8163.5276532137523</v>
      </c>
      <c r="K326" s="67">
        <v>0.11971104231166151</v>
      </c>
      <c r="L326" s="67">
        <v>0.11971104231166151</v>
      </c>
      <c r="M326" s="67">
        <v>0.2681403771699763</v>
      </c>
      <c r="N326" s="67">
        <v>0.2139378044211315</v>
      </c>
      <c r="O326" s="67">
        <v>0.57661853749417791</v>
      </c>
      <c r="P326" s="67">
        <v>0.39871570344424984</v>
      </c>
      <c r="Q326" s="67">
        <v>0.43192291579388353</v>
      </c>
    </row>
    <row r="327" spans="1:17" x14ac:dyDescent="0.4">
      <c r="A327" s="69">
        <v>324</v>
      </c>
      <c r="B327" s="66">
        <v>-1</v>
      </c>
      <c r="C327" s="66">
        <v>-1.02880658436214E-3</v>
      </c>
      <c r="D327" s="71">
        <v>2</v>
      </c>
      <c r="E327" s="67">
        <v>0.33333333333333331</v>
      </c>
      <c r="F327" s="67">
        <v>0.33333333333333331</v>
      </c>
      <c r="G327" s="67">
        <v>0.2982062780269058</v>
      </c>
      <c r="H327" s="67">
        <v>0.16691579471848531</v>
      </c>
      <c r="I327" s="68">
        <v>8640.559732664995</v>
      </c>
      <c r="J327" s="68">
        <v>-8162.2388059701489</v>
      </c>
      <c r="K327" s="67">
        <v>0.11934156378600823</v>
      </c>
      <c r="L327" s="67">
        <v>0.11934156378600823</v>
      </c>
      <c r="M327" s="67">
        <v>0.26781265570503238</v>
      </c>
      <c r="N327" s="67">
        <v>0.21362730443447933</v>
      </c>
      <c r="O327" s="67">
        <v>0.57674418604651168</v>
      </c>
      <c r="P327" s="67">
        <v>0.39883381924198252</v>
      </c>
      <c r="Q327" s="67">
        <v>0.43274853801169588</v>
      </c>
    </row>
    <row r="328" spans="1:17" x14ac:dyDescent="0.4">
      <c r="A328" s="69">
        <v>325</v>
      </c>
      <c r="B328" s="66">
        <v>-1</v>
      </c>
      <c r="C328" s="66">
        <v>-1.0256410256410256E-3</v>
      </c>
      <c r="D328" s="71">
        <v>2</v>
      </c>
      <c r="E328" s="67">
        <v>0.33333333333333331</v>
      </c>
      <c r="F328" s="67">
        <v>0.33333333333333331</v>
      </c>
      <c r="G328" s="67">
        <v>0.29801734820322179</v>
      </c>
      <c r="H328" s="67">
        <v>0.1667905824039653</v>
      </c>
      <c r="I328" s="68">
        <v>8642.328482328483</v>
      </c>
      <c r="J328" s="68">
        <v>-8146.1367013372956</v>
      </c>
      <c r="K328" s="67">
        <v>0.11897435897435897</v>
      </c>
      <c r="L328" s="67">
        <v>0.11897435897435897</v>
      </c>
      <c r="M328" s="67">
        <v>0.26790582403965302</v>
      </c>
      <c r="N328" s="67">
        <v>0.21350681536555141</v>
      </c>
      <c r="O328" s="67">
        <v>0.57585568917668828</v>
      </c>
      <c r="P328" s="67">
        <v>0.39872315728380731</v>
      </c>
      <c r="Q328" s="67">
        <v>0.43284823284823287</v>
      </c>
    </row>
    <row r="329" spans="1:17" x14ac:dyDescent="0.4">
      <c r="A329" s="69">
        <v>326</v>
      </c>
      <c r="B329" s="66">
        <v>-1</v>
      </c>
      <c r="C329" s="66">
        <v>-1.0224948875255625E-3</v>
      </c>
      <c r="D329" s="71">
        <v>2</v>
      </c>
      <c r="E329" s="67">
        <v>0.33333333333333331</v>
      </c>
      <c r="F329" s="67">
        <v>0.33333333333333331</v>
      </c>
      <c r="G329" s="67">
        <v>0.29777777777777775</v>
      </c>
      <c r="H329" s="67">
        <v>0.1665432098765432</v>
      </c>
      <c r="I329" s="68">
        <v>8643.3665008291882</v>
      </c>
      <c r="J329" s="68">
        <v>-8151.7420311341739</v>
      </c>
      <c r="K329" s="67">
        <v>0.11860940695296524</v>
      </c>
      <c r="L329" s="67">
        <v>0.11860940695296524</v>
      </c>
      <c r="M329" s="67">
        <v>0.2680246913580247</v>
      </c>
      <c r="N329" s="67">
        <v>0.21358024691358024</v>
      </c>
      <c r="O329" s="67">
        <v>0.57623215108245052</v>
      </c>
      <c r="P329" s="67">
        <v>0.39768786127167632</v>
      </c>
      <c r="Q329" s="67">
        <v>0.43325041459369817</v>
      </c>
    </row>
    <row r="330" spans="1:17" x14ac:dyDescent="0.4">
      <c r="A330" s="69">
        <v>327</v>
      </c>
      <c r="B330" s="66">
        <v>-0.99999999999999645</v>
      </c>
      <c r="C330" s="66">
        <v>-1.0193679918450525E-3</v>
      </c>
      <c r="D330" s="71">
        <v>2</v>
      </c>
      <c r="E330" s="67">
        <v>0.33333333333333331</v>
      </c>
      <c r="F330" s="67">
        <v>0.33333333333333331</v>
      </c>
      <c r="G330" s="67">
        <v>0.29777285591239078</v>
      </c>
      <c r="H330" s="67">
        <v>0.16660514334932938</v>
      </c>
      <c r="I330" s="68">
        <v>8649.0082644628092</v>
      </c>
      <c r="J330" s="68">
        <v>-8147.3412112259966</v>
      </c>
      <c r="K330" s="67">
        <v>0.11824668705402651</v>
      </c>
      <c r="L330" s="67">
        <v>0.11824668705402651</v>
      </c>
      <c r="M330" s="67">
        <v>0.26799557032115173</v>
      </c>
      <c r="N330" s="67">
        <v>0.2136089577950043</v>
      </c>
      <c r="O330" s="67">
        <v>0.5762167125803489</v>
      </c>
      <c r="P330" s="67">
        <v>0.39804147465437789</v>
      </c>
      <c r="Q330" s="67">
        <v>0.43305785123966944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2019-08-03T11:17:16Z</dcterms:modified>
</cp:coreProperties>
</file>