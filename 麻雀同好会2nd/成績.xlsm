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EA6BFC64-908B-46DA-A2B9-FAF19DD00584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97" r:id="rId6"/>
    <sheet name="だいち" sheetId="4999" r:id="rId7"/>
    <sheet name="りくと" sheetId="5001" r:id="rId8"/>
    <sheet name="ただ" sheetId="5003" r:id="rId9"/>
    <sheet name="れんたろう" sheetId="5005" r:id="rId10"/>
    <sheet name="たかの" sheetId="5007" r:id="rId11"/>
    <sheet name="ぱぱ" sheetId="5009" r:id="rId12"/>
    <sheet name="まっつん" sheetId="5011" r:id="rId13"/>
    <sheet name="あさひ" sheetId="5013" r:id="rId14"/>
    <sheet name="いっしー" sheetId="5015" r:id="rId15"/>
    <sheet name="ほたに" sheetId="5017" r:id="rId16"/>
    <sheet name="ほたに2" sheetId="5018" state="hidden" r:id="rId17"/>
    <sheet name="いっしー2" sheetId="5016" state="hidden" r:id="rId18"/>
    <sheet name="あさひ2" sheetId="5014" state="hidden" r:id="rId19"/>
    <sheet name="まっつん2" sheetId="5012" state="hidden" r:id="rId20"/>
    <sheet name="ぱぱ2" sheetId="5010" state="hidden" r:id="rId21"/>
    <sheet name="たかの2" sheetId="5008" state="hidden" r:id="rId22"/>
    <sheet name="れんたろう2" sheetId="5006" state="hidden" r:id="rId23"/>
    <sheet name="ただ2" sheetId="5004" state="hidden" r:id="rId24"/>
    <sheet name="りくと2" sheetId="5002" state="hidden" r:id="rId25"/>
    <sheet name="だいち2" sheetId="5000" state="hidden" r:id="rId26"/>
    <sheet name="全体2" sheetId="4998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4999" l="1"/>
  <c r="O18" i="5017"/>
  <c r="O21" i="5009"/>
  <c r="O16" i="5017"/>
  <c r="O15" i="5017" l="1"/>
  <c r="O17" i="5017"/>
  <c r="H36" i="5017"/>
  <c r="H35" i="5017"/>
  <c r="C27" i="5017"/>
  <c r="H27" i="5017"/>
  <c r="B24" i="5017"/>
  <c r="C20" i="5017"/>
  <c r="B17" i="5017"/>
  <c r="H50" i="5017" s="1"/>
  <c r="H11" i="5017"/>
  <c r="C16" i="5017"/>
  <c r="C15" i="5017"/>
  <c r="C14" i="5017"/>
  <c r="C13" i="5017"/>
  <c r="O12" i="5017"/>
  <c r="C12" i="5017"/>
  <c r="O11" i="5017"/>
  <c r="C11" i="5017"/>
  <c r="O10" i="5017"/>
  <c r="C10" i="5017"/>
  <c r="H14" i="5017"/>
  <c r="C9" i="5017"/>
  <c r="C8" i="5017"/>
  <c r="O7" i="5017"/>
  <c r="C7" i="5017"/>
  <c r="O6" i="5017"/>
  <c r="H6" i="5017"/>
  <c r="B6" i="5017"/>
  <c r="O5" i="5017"/>
  <c r="B5" i="5017"/>
  <c r="O4" i="5017"/>
  <c r="H2" i="5017"/>
  <c r="O3" i="5017"/>
  <c r="H10" i="5017"/>
  <c r="O2" i="5017"/>
  <c r="O22" i="5005"/>
  <c r="O16" i="5007"/>
  <c r="O22" i="4997"/>
  <c r="H44" i="5017" l="1"/>
  <c r="H37" i="5017"/>
  <c r="H16" i="5017"/>
  <c r="H22" i="5017"/>
  <c r="H45" i="5017"/>
  <c r="H25" i="5017"/>
  <c r="H24" i="5017"/>
  <c r="H8" i="5017"/>
  <c r="H47" i="5017"/>
  <c r="H20" i="5017"/>
  <c r="H30" i="5017"/>
  <c r="H5" i="5017"/>
  <c r="H18" i="5017"/>
  <c r="H31" i="5017"/>
  <c r="H49" i="5017"/>
  <c r="H4" i="5017"/>
  <c r="C17" i="5017"/>
  <c r="H38" i="5017"/>
  <c r="B23" i="5017"/>
  <c r="H39" i="5017"/>
  <c r="H15" i="5017"/>
  <c r="H26" i="5017"/>
  <c r="H3" i="5017"/>
  <c r="H21" i="5017"/>
  <c r="H41" i="5017"/>
  <c r="H51" i="5017"/>
  <c r="H9" i="5017"/>
  <c r="H46" i="5017"/>
  <c r="H17" i="5017"/>
  <c r="H29" i="5017"/>
  <c r="H48" i="5017"/>
  <c r="C18" i="5017"/>
  <c r="H40" i="5017"/>
  <c r="H13" i="5017"/>
  <c r="H32" i="5017"/>
  <c r="H19" i="5017"/>
  <c r="C19" i="5017"/>
  <c r="H12" i="5017"/>
  <c r="H33" i="5017"/>
  <c r="H43" i="5017"/>
  <c r="H7" i="5017"/>
  <c r="H23" i="5017"/>
  <c r="H28" i="5017"/>
  <c r="H34" i="5017"/>
  <c r="H42" i="5017"/>
  <c r="O17" i="5007" l="1"/>
  <c r="O15" i="5003"/>
  <c r="O19" i="5011"/>
  <c r="O22" i="5011"/>
  <c r="O19" i="4999" l="1"/>
  <c r="O17" i="5015"/>
  <c r="O16" i="5015" l="1"/>
  <c r="O15" i="5015"/>
  <c r="O16" i="5005"/>
  <c r="O19" i="5003"/>
  <c r="O17" i="5013" l="1"/>
  <c r="O22" i="5009"/>
  <c r="O15" i="5013"/>
  <c r="O20" i="5015"/>
  <c r="O15" i="5001"/>
  <c r="O15" i="5011"/>
  <c r="O16" i="4997"/>
  <c r="O18" i="5015"/>
  <c r="O19" i="5015"/>
  <c r="C27" i="5015"/>
  <c r="B24" i="5015"/>
  <c r="C20" i="5015"/>
  <c r="B17" i="5015"/>
  <c r="H50" i="5015" s="1"/>
  <c r="C16" i="5015"/>
  <c r="C15" i="5015"/>
  <c r="C14" i="5015"/>
  <c r="C13" i="5015"/>
  <c r="O12" i="5015"/>
  <c r="C12" i="5015"/>
  <c r="O11" i="5015"/>
  <c r="C11" i="5015"/>
  <c r="O10" i="5015"/>
  <c r="C10" i="5015"/>
  <c r="C9" i="5015"/>
  <c r="C8" i="5015"/>
  <c r="O7" i="5015"/>
  <c r="C7" i="5015"/>
  <c r="O6" i="5015"/>
  <c r="B6" i="5015"/>
  <c r="O5" i="5015"/>
  <c r="B5" i="5015"/>
  <c r="O4" i="5015"/>
  <c r="O3" i="5015"/>
  <c r="O2" i="5015"/>
  <c r="O16" i="5013"/>
  <c r="O18" i="5013"/>
  <c r="H48" i="5013"/>
  <c r="C27" i="5013"/>
  <c r="B24" i="5013"/>
  <c r="C20" i="5013"/>
  <c r="B17" i="5013"/>
  <c r="H50" i="5013" s="1"/>
  <c r="C16" i="5013"/>
  <c r="C15" i="5013"/>
  <c r="C14" i="5013"/>
  <c r="C13" i="5013"/>
  <c r="O12" i="5013"/>
  <c r="C12" i="5013"/>
  <c r="O11" i="5013"/>
  <c r="C11" i="5013"/>
  <c r="O10" i="5013"/>
  <c r="C10" i="5013"/>
  <c r="C9" i="5013"/>
  <c r="C8" i="5013"/>
  <c r="O7" i="5013"/>
  <c r="C7" i="5013"/>
  <c r="O6" i="5013"/>
  <c r="B6" i="5013"/>
  <c r="O5" i="5013"/>
  <c r="B5" i="5013"/>
  <c r="O4" i="5013"/>
  <c r="O3" i="5013"/>
  <c r="O2" i="5013"/>
  <c r="O20" i="5011"/>
  <c r="O21" i="5011"/>
  <c r="O15" i="4999"/>
  <c r="O17" i="4999"/>
  <c r="O24" i="4997"/>
  <c r="H36" i="5015" l="1"/>
  <c r="H35" i="5015"/>
  <c r="H17" i="5015"/>
  <c r="H5" i="5015"/>
  <c r="H12" i="5013"/>
  <c r="H51" i="5013"/>
  <c r="H10" i="5013"/>
  <c r="H22" i="5013"/>
  <c r="H11" i="5013"/>
  <c r="H7" i="5013"/>
  <c r="H2" i="5013"/>
  <c r="H8" i="5013"/>
  <c r="H18" i="5013"/>
  <c r="H36" i="5013"/>
  <c r="H37" i="5013"/>
  <c r="H13" i="5013"/>
  <c r="H15" i="5013"/>
  <c r="H21" i="5013"/>
  <c r="C19" i="5013"/>
  <c r="H38" i="5013"/>
  <c r="H40" i="5013"/>
  <c r="H6" i="5013"/>
  <c r="H3" i="5013"/>
  <c r="C17" i="5013"/>
  <c r="H44" i="5013"/>
  <c r="H19" i="5013"/>
  <c r="H4" i="5013"/>
  <c r="H24" i="5013"/>
  <c r="H43" i="5013"/>
  <c r="H16" i="5013"/>
  <c r="H30" i="5013"/>
  <c r="H20" i="5013"/>
  <c r="H32" i="5013"/>
  <c r="H45" i="5013"/>
  <c r="H29" i="5013"/>
  <c r="H9" i="5013"/>
  <c r="H25" i="5013"/>
  <c r="B23" i="5013"/>
  <c r="H5" i="5013"/>
  <c r="H14" i="5013"/>
  <c r="H17" i="5013"/>
  <c r="C18" i="5013"/>
  <c r="H26" i="5013"/>
  <c r="H35" i="5013"/>
  <c r="H46" i="5013"/>
  <c r="H21" i="5015"/>
  <c r="H16" i="5015"/>
  <c r="H27" i="5015"/>
  <c r="H44" i="5015"/>
  <c r="H18" i="5015"/>
  <c r="H15" i="5015"/>
  <c r="H45" i="5015"/>
  <c r="H37" i="5015"/>
  <c r="H13" i="5015"/>
  <c r="H47" i="5015"/>
  <c r="H6" i="5015"/>
  <c r="H24" i="5015"/>
  <c r="H30" i="5015"/>
  <c r="H39" i="5015"/>
  <c r="H48" i="5015"/>
  <c r="C17" i="5015"/>
  <c r="H49" i="5015"/>
  <c r="H3" i="5015"/>
  <c r="H10" i="5015"/>
  <c r="H9" i="5015"/>
  <c r="H38" i="5015"/>
  <c r="H14" i="5015"/>
  <c r="C18" i="5015"/>
  <c r="H40" i="5015"/>
  <c r="H11" i="5015"/>
  <c r="H22" i="5015"/>
  <c r="H41" i="5015"/>
  <c r="H51" i="5015"/>
  <c r="H2" i="5015"/>
  <c r="H46" i="5015"/>
  <c r="H29" i="5015"/>
  <c r="B23" i="5015"/>
  <c r="H8" i="5015"/>
  <c r="H12" i="5015"/>
  <c r="H19" i="5015"/>
  <c r="H25" i="5015"/>
  <c r="H31" i="5015"/>
  <c r="H4" i="5015"/>
  <c r="H32" i="5015"/>
  <c r="H20" i="5015"/>
  <c r="C19" i="5015"/>
  <c r="H26" i="5015"/>
  <c r="H33" i="5015"/>
  <c r="H43" i="5015"/>
  <c r="H7" i="5015"/>
  <c r="H23" i="5015"/>
  <c r="H28" i="5015"/>
  <c r="H34" i="5015"/>
  <c r="H42" i="5015"/>
  <c r="H31" i="5013"/>
  <c r="H39" i="5013"/>
  <c r="H47" i="5013"/>
  <c r="H27" i="5013"/>
  <c r="H33" i="5013"/>
  <c r="H41" i="5013"/>
  <c r="H49" i="5013"/>
  <c r="H23" i="5013"/>
  <c r="H28" i="5013"/>
  <c r="H34" i="5013"/>
  <c r="H42" i="5013"/>
  <c r="O16" i="5011" l="1"/>
  <c r="O19" i="5009"/>
  <c r="O16" i="5009"/>
  <c r="O20" i="5001"/>
  <c r="O18" i="5007" l="1"/>
  <c r="O17" i="5005"/>
  <c r="O17" i="5009"/>
  <c r="O18" i="5009"/>
  <c r="O15" i="5007" l="1"/>
  <c r="O15" i="5005"/>
  <c r="O20" i="5003"/>
  <c r="O21" i="5003"/>
  <c r="O17" i="5011"/>
  <c r="O18" i="5011"/>
  <c r="H35" i="5011"/>
  <c r="C27" i="5011"/>
  <c r="B24" i="5011"/>
  <c r="C20" i="5011"/>
  <c r="B17" i="5011"/>
  <c r="H50" i="5011" s="1"/>
  <c r="C16" i="5011"/>
  <c r="C15" i="5011"/>
  <c r="C14" i="5011"/>
  <c r="C13" i="5011"/>
  <c r="O12" i="5011"/>
  <c r="C12" i="5011"/>
  <c r="O11" i="5011"/>
  <c r="C11" i="5011"/>
  <c r="O10" i="5011"/>
  <c r="C10" i="5011"/>
  <c r="H14" i="5011"/>
  <c r="C9" i="5011"/>
  <c r="C8" i="5011"/>
  <c r="O7" i="5011"/>
  <c r="C7" i="5011"/>
  <c r="O6" i="5011"/>
  <c r="B6" i="5011"/>
  <c r="O5" i="5011"/>
  <c r="B5" i="5011"/>
  <c r="O4" i="5011"/>
  <c r="O3" i="5011"/>
  <c r="O2" i="5011"/>
  <c r="O20" i="5005"/>
  <c r="O17" i="5001"/>
  <c r="O17" i="4997"/>
  <c r="H7" i="5011" l="1"/>
  <c r="H9" i="5011"/>
  <c r="H28" i="5011"/>
  <c r="H22" i="5011"/>
  <c r="H36" i="5011"/>
  <c r="H44" i="5011"/>
  <c r="H19" i="5011"/>
  <c r="H16" i="5011"/>
  <c r="H45" i="5011"/>
  <c r="H2" i="5011"/>
  <c r="H37" i="5011"/>
  <c r="H26" i="5011"/>
  <c r="C17" i="5011"/>
  <c r="H46" i="5011"/>
  <c r="H8" i="5011"/>
  <c r="H30" i="5011"/>
  <c r="H12" i="5011"/>
  <c r="H6" i="5011"/>
  <c r="C18" i="5011"/>
  <c r="H31" i="5011"/>
  <c r="H49" i="5011"/>
  <c r="H10" i="5011"/>
  <c r="H38" i="5011"/>
  <c r="H23" i="5011"/>
  <c r="H48" i="5011"/>
  <c r="H20" i="5011"/>
  <c r="H40" i="5011"/>
  <c r="H24" i="5011"/>
  <c r="H32" i="5011"/>
  <c r="H51" i="5011"/>
  <c r="H3" i="5011"/>
  <c r="H11" i="5011"/>
  <c r="H15" i="5011"/>
  <c r="H47" i="5011"/>
  <c r="B23" i="5011"/>
  <c r="H39" i="5011"/>
  <c r="H18" i="5011"/>
  <c r="H17" i="5011"/>
  <c r="H4" i="5011"/>
  <c r="H13" i="5011"/>
  <c r="H41" i="5011"/>
  <c r="H21" i="5011"/>
  <c r="C19" i="5011"/>
  <c r="H27" i="5011"/>
  <c r="H33" i="5011"/>
  <c r="H43" i="5011"/>
  <c r="H5" i="5011"/>
  <c r="H25" i="5011"/>
  <c r="H29" i="5011"/>
  <c r="H34" i="5011"/>
  <c r="H42" i="5011"/>
  <c r="O17" i="5003" l="1"/>
  <c r="O20" i="5009"/>
  <c r="O15" i="5009"/>
  <c r="C27" i="5009"/>
  <c r="B24" i="5009"/>
  <c r="C20" i="5009"/>
  <c r="B17" i="5009"/>
  <c r="H51" i="5009" s="1"/>
  <c r="C16" i="5009"/>
  <c r="C15" i="5009"/>
  <c r="C14" i="5009"/>
  <c r="C13" i="5009"/>
  <c r="O12" i="5009"/>
  <c r="C12" i="5009"/>
  <c r="O11" i="5009"/>
  <c r="C11" i="5009"/>
  <c r="O10" i="5009"/>
  <c r="C10" i="5009"/>
  <c r="C9" i="5009"/>
  <c r="C8" i="5009"/>
  <c r="O7" i="5009"/>
  <c r="C7" i="5009"/>
  <c r="O6" i="5009"/>
  <c r="B6" i="5009"/>
  <c r="O5" i="5009"/>
  <c r="B5" i="5009"/>
  <c r="O4" i="5009"/>
  <c r="O3" i="5009"/>
  <c r="O2" i="5009"/>
  <c r="O20" i="4999"/>
  <c r="O18" i="4997"/>
  <c r="O20" i="5007"/>
  <c r="O18" i="5001"/>
  <c r="O19" i="5001"/>
  <c r="O19" i="5005"/>
  <c r="O19" i="5007"/>
  <c r="O21" i="5007"/>
  <c r="C27" i="5007"/>
  <c r="B24" i="5007"/>
  <c r="C20" i="5007"/>
  <c r="B17" i="5007"/>
  <c r="H51" i="5007" s="1"/>
  <c r="C16" i="5007"/>
  <c r="C15" i="5007"/>
  <c r="C14" i="5007"/>
  <c r="C13" i="5007"/>
  <c r="O12" i="5007"/>
  <c r="C12" i="5007"/>
  <c r="O11" i="5007"/>
  <c r="C11" i="5007"/>
  <c r="O10" i="5007"/>
  <c r="C10" i="5007"/>
  <c r="C9" i="5007"/>
  <c r="C8" i="5007"/>
  <c r="O7" i="5007"/>
  <c r="C7" i="5007"/>
  <c r="O6" i="5007"/>
  <c r="B6" i="5007"/>
  <c r="O5" i="5007"/>
  <c r="B5" i="5007"/>
  <c r="O4" i="5007"/>
  <c r="O3" i="5007"/>
  <c r="O2" i="5007"/>
  <c r="O21" i="5005"/>
  <c r="O18" i="5005"/>
  <c r="C27" i="5005"/>
  <c r="B24" i="5005"/>
  <c r="C20" i="5005"/>
  <c r="B17" i="5005"/>
  <c r="H50" i="5005" s="1"/>
  <c r="C16" i="5005"/>
  <c r="C15" i="5005"/>
  <c r="C14" i="5005"/>
  <c r="C13" i="5005"/>
  <c r="O12" i="5005"/>
  <c r="C12" i="5005"/>
  <c r="O11" i="5005"/>
  <c r="C11" i="5005"/>
  <c r="O10" i="5005"/>
  <c r="C10" i="5005"/>
  <c r="C9" i="5005"/>
  <c r="C8" i="5005"/>
  <c r="O7" i="5005"/>
  <c r="C7" i="5005"/>
  <c r="O6" i="5005"/>
  <c r="B6" i="5005"/>
  <c r="O5" i="5005"/>
  <c r="B5" i="5005"/>
  <c r="O4" i="5005"/>
  <c r="O3" i="5005"/>
  <c r="O2" i="5005"/>
  <c r="O18" i="4999"/>
  <c r="O23" i="4999"/>
  <c r="O21" i="4997"/>
  <c r="O19" i="4997"/>
  <c r="H4" i="5005" l="1"/>
  <c r="H11" i="5009"/>
  <c r="H37" i="5009"/>
  <c r="H46" i="5009"/>
  <c r="C19" i="5009"/>
  <c r="H25" i="5009"/>
  <c r="H5" i="5009"/>
  <c r="H45" i="5009"/>
  <c r="H13" i="5009"/>
  <c r="H29" i="5009"/>
  <c r="H20" i="5009"/>
  <c r="H36" i="5009"/>
  <c r="H44" i="5009"/>
  <c r="H3" i="5009"/>
  <c r="H12" i="5009"/>
  <c r="H23" i="5009"/>
  <c r="H2" i="5009"/>
  <c r="H16" i="5009"/>
  <c r="H34" i="5009"/>
  <c r="H14" i="5009"/>
  <c r="H8" i="5009"/>
  <c r="H38" i="5009"/>
  <c r="H47" i="5009"/>
  <c r="H31" i="5009"/>
  <c r="H18" i="5009"/>
  <c r="H10" i="5009"/>
  <c r="H21" i="5009"/>
  <c r="H27" i="5009"/>
  <c r="H49" i="5009"/>
  <c r="B23" i="5009"/>
  <c r="H40" i="5009"/>
  <c r="H7" i="5009"/>
  <c r="H15" i="5009"/>
  <c r="H22" i="5009"/>
  <c r="C18" i="5009"/>
  <c r="H28" i="5009"/>
  <c r="H32" i="5009"/>
  <c r="H41" i="5009"/>
  <c r="H19" i="5009"/>
  <c r="C17" i="5009"/>
  <c r="H39" i="5009"/>
  <c r="H17" i="5009"/>
  <c r="H50" i="5009"/>
  <c r="H4" i="5009"/>
  <c r="H9" i="5009"/>
  <c r="H24" i="5009"/>
  <c r="H33" i="5009"/>
  <c r="H42" i="5009"/>
  <c r="H6" i="5009"/>
  <c r="H48" i="5009"/>
  <c r="H26" i="5009"/>
  <c r="H30" i="5009"/>
  <c r="H35" i="5009"/>
  <c r="H43" i="5009"/>
  <c r="H5" i="5007"/>
  <c r="H19" i="5007"/>
  <c r="H2" i="5007"/>
  <c r="H37" i="5007"/>
  <c r="H26" i="5007"/>
  <c r="H4" i="5007"/>
  <c r="H36" i="5007"/>
  <c r="H14" i="5007"/>
  <c r="H11" i="5007"/>
  <c r="H7" i="5007"/>
  <c r="B23" i="5007"/>
  <c r="H30" i="5007"/>
  <c r="C17" i="5005"/>
  <c r="H22" i="5007"/>
  <c r="H32" i="5007"/>
  <c r="H15" i="5007"/>
  <c r="H20" i="5007"/>
  <c r="H44" i="5007"/>
  <c r="C17" i="5007"/>
  <c r="H6" i="5007"/>
  <c r="H17" i="5007"/>
  <c r="H45" i="5007"/>
  <c r="H40" i="5007"/>
  <c r="H13" i="5007"/>
  <c r="H9" i="5007"/>
  <c r="H3" i="5007"/>
  <c r="C18" i="5007"/>
  <c r="H10" i="5007"/>
  <c r="H48" i="5007"/>
  <c r="H46" i="5007"/>
  <c r="H24" i="5007"/>
  <c r="H27" i="5007"/>
  <c r="H18" i="5007"/>
  <c r="H38" i="5007"/>
  <c r="H23" i="5007"/>
  <c r="C19" i="5007"/>
  <c r="H31" i="5007"/>
  <c r="H39" i="5007"/>
  <c r="H47" i="5007"/>
  <c r="H16" i="5007"/>
  <c r="H28" i="5007"/>
  <c r="H33" i="5007"/>
  <c r="H41" i="5007"/>
  <c r="H49" i="5007"/>
  <c r="H25" i="5007"/>
  <c r="H29" i="5007"/>
  <c r="H34" i="5007"/>
  <c r="H42" i="5007"/>
  <c r="H50" i="5007"/>
  <c r="H8" i="5007"/>
  <c r="H21" i="5007"/>
  <c r="H12" i="5007"/>
  <c r="H35" i="5007"/>
  <c r="H43" i="5007"/>
  <c r="H2" i="5005"/>
  <c r="H26" i="5005"/>
  <c r="H30" i="5005"/>
  <c r="H35" i="5005"/>
  <c r="H43" i="5005"/>
  <c r="H51" i="5005"/>
  <c r="H8" i="5005"/>
  <c r="H16" i="5005"/>
  <c r="H14" i="5005"/>
  <c r="H36" i="5005"/>
  <c r="H44" i="5005"/>
  <c r="H18" i="5005"/>
  <c r="H24" i="5005"/>
  <c r="H27" i="5005"/>
  <c r="H10" i="5005"/>
  <c r="H37" i="5005"/>
  <c r="H45" i="5005"/>
  <c r="H5" i="5005"/>
  <c r="H6" i="5005"/>
  <c r="H20" i="5005"/>
  <c r="H22" i="5005"/>
  <c r="C18" i="5005"/>
  <c r="B23" i="5005"/>
  <c r="H31" i="5005"/>
  <c r="H38" i="5005"/>
  <c r="H46" i="5005"/>
  <c r="H3" i="5005"/>
  <c r="H11" i="5005"/>
  <c r="H25" i="5005"/>
  <c r="H28" i="5005"/>
  <c r="H32" i="5005"/>
  <c r="H39" i="5005"/>
  <c r="H47" i="5005"/>
  <c r="H23" i="5005"/>
  <c r="C19" i="5005"/>
  <c r="H17" i="5005"/>
  <c r="H40" i="5005"/>
  <c r="H48" i="5005"/>
  <c r="H9" i="5005"/>
  <c r="H7" i="5005"/>
  <c r="H13" i="5005"/>
  <c r="H21" i="5005"/>
  <c r="H19" i="5005"/>
  <c r="H12" i="5005"/>
  <c r="H33" i="5005"/>
  <c r="H41" i="5005"/>
  <c r="H49" i="5005"/>
  <c r="H15" i="5005"/>
  <c r="H29" i="5005"/>
  <c r="H34" i="5005"/>
  <c r="H42" i="5005"/>
  <c r="O16" i="5003" l="1"/>
  <c r="O18" i="5003"/>
  <c r="C27" i="5003"/>
  <c r="B24" i="5003"/>
  <c r="C20" i="5003"/>
  <c r="B17" i="5003"/>
  <c r="H5" i="5003" s="1"/>
  <c r="H14" i="5003"/>
  <c r="C16" i="5003"/>
  <c r="C15" i="5003"/>
  <c r="C14" i="5003"/>
  <c r="C13" i="5003"/>
  <c r="O12" i="5003"/>
  <c r="C12" i="5003"/>
  <c r="O11" i="5003"/>
  <c r="C11" i="5003"/>
  <c r="O10" i="5003"/>
  <c r="C10" i="5003"/>
  <c r="C9" i="5003"/>
  <c r="C8" i="5003"/>
  <c r="O7" i="5003"/>
  <c r="C7" i="5003"/>
  <c r="O6" i="5003"/>
  <c r="B6" i="5003"/>
  <c r="O5" i="5003"/>
  <c r="B5" i="5003"/>
  <c r="O4" i="5003"/>
  <c r="O3" i="5003"/>
  <c r="O2" i="5003"/>
  <c r="O21" i="5001"/>
  <c r="O16" i="5001"/>
  <c r="C27" i="5001"/>
  <c r="B24" i="5001"/>
  <c r="C20" i="5001"/>
  <c r="B17" i="5001"/>
  <c r="H18" i="5001" s="1"/>
  <c r="C16" i="5001"/>
  <c r="C15" i="5001"/>
  <c r="C14" i="5001"/>
  <c r="C13" i="5001"/>
  <c r="O12" i="5001"/>
  <c r="C12" i="5001"/>
  <c r="O11" i="5001"/>
  <c r="C11" i="5001"/>
  <c r="O10" i="5001"/>
  <c r="C10" i="5001"/>
  <c r="C9" i="5001"/>
  <c r="C8" i="5001"/>
  <c r="O7" i="5001"/>
  <c r="C7" i="5001"/>
  <c r="O6" i="5001"/>
  <c r="B6" i="5001"/>
  <c r="O5" i="5001"/>
  <c r="B5" i="5001"/>
  <c r="O4" i="5001"/>
  <c r="O3" i="5001"/>
  <c r="O2" i="5001"/>
  <c r="O23" i="4997"/>
  <c r="O16" i="4999"/>
  <c r="O22" i="4999"/>
  <c r="C27" i="4999"/>
  <c r="B24" i="4999"/>
  <c r="C20" i="4999"/>
  <c r="B17" i="4999"/>
  <c r="H16" i="4999" s="1"/>
  <c r="C16" i="4999"/>
  <c r="C15" i="4999"/>
  <c r="C14" i="4999"/>
  <c r="C13" i="4999"/>
  <c r="O12" i="4999"/>
  <c r="C12" i="4999"/>
  <c r="O11" i="4999"/>
  <c r="C11" i="4999"/>
  <c r="O10" i="4999"/>
  <c r="C10" i="4999"/>
  <c r="C9" i="4999"/>
  <c r="C8" i="4999"/>
  <c r="O7" i="4999"/>
  <c r="C7" i="4999"/>
  <c r="O6" i="4999"/>
  <c r="B6" i="4999"/>
  <c r="O5" i="4999"/>
  <c r="B5" i="4999"/>
  <c r="O4" i="4999"/>
  <c r="O3" i="4999"/>
  <c r="O2" i="4999"/>
  <c r="O15" i="4997"/>
  <c r="O20" i="4997"/>
  <c r="C27" i="4997"/>
  <c r="B24" i="4997"/>
  <c r="C20" i="4997"/>
  <c r="B17" i="4997"/>
  <c r="H5" i="4997" s="1"/>
  <c r="C16" i="4997"/>
  <c r="C15" i="4997"/>
  <c r="C14" i="4997"/>
  <c r="C13" i="4997"/>
  <c r="O12" i="4997"/>
  <c r="C12" i="4997"/>
  <c r="O11" i="4997"/>
  <c r="C11" i="4997"/>
  <c r="O10" i="4997"/>
  <c r="C10" i="4997"/>
  <c r="C9" i="4997"/>
  <c r="C8" i="4997"/>
  <c r="O7" i="4997"/>
  <c r="C7" i="4997"/>
  <c r="O6" i="4997"/>
  <c r="B6" i="4997"/>
  <c r="O5" i="4997"/>
  <c r="B5" i="4997"/>
  <c r="O4" i="4997"/>
  <c r="O3" i="4997"/>
  <c r="O2" i="4997"/>
  <c r="H4" i="4999" l="1"/>
  <c r="H22" i="4999"/>
  <c r="H25" i="4999"/>
  <c r="H26" i="4999"/>
  <c r="H19" i="4999"/>
  <c r="H21" i="5003"/>
  <c r="H10" i="5003"/>
  <c r="H30" i="5003"/>
  <c r="H39" i="5003"/>
  <c r="H22" i="5003"/>
  <c r="H41" i="5003"/>
  <c r="C17" i="5003"/>
  <c r="H12" i="5003"/>
  <c r="H15" i="5003"/>
  <c r="H8" i="5003"/>
  <c r="H16" i="5003"/>
  <c r="H31" i="5003"/>
  <c r="H4" i="5003"/>
  <c r="H6" i="5003"/>
  <c r="H40" i="5003"/>
  <c r="H2" i="5003"/>
  <c r="H24" i="5003"/>
  <c r="H6" i="4999"/>
  <c r="H35" i="4999"/>
  <c r="H11" i="4999"/>
  <c r="H15" i="4999"/>
  <c r="H13" i="4999"/>
  <c r="B23" i="4999"/>
  <c r="B23" i="5003"/>
  <c r="H32" i="5003"/>
  <c r="H45" i="5003"/>
  <c r="C18" i="5003"/>
  <c r="H47" i="5003"/>
  <c r="H29" i="5003"/>
  <c r="H19" i="5003"/>
  <c r="H46" i="5003"/>
  <c r="H33" i="5003"/>
  <c r="H7" i="5003"/>
  <c r="H20" i="5003"/>
  <c r="H23" i="5003"/>
  <c r="H26" i="5003"/>
  <c r="H13" i="5003"/>
  <c r="H37" i="5003"/>
  <c r="H48" i="5003"/>
  <c r="H3" i="5003"/>
  <c r="H9" i="5003"/>
  <c r="C19" i="5003"/>
  <c r="H17" i="5003"/>
  <c r="H38" i="5003"/>
  <c r="H49" i="5003"/>
  <c r="H27" i="5003"/>
  <c r="H18" i="5003"/>
  <c r="H34" i="5003"/>
  <c r="H42" i="5003"/>
  <c r="H50" i="5003"/>
  <c r="H35" i="5003"/>
  <c r="H43" i="5003"/>
  <c r="H51" i="5003"/>
  <c r="H25" i="5003"/>
  <c r="H28" i="5003"/>
  <c r="H11" i="5003"/>
  <c r="H36" i="5003"/>
  <c r="H44" i="5003"/>
  <c r="H31" i="5001"/>
  <c r="H10" i="5001"/>
  <c r="H19" i="5001"/>
  <c r="H3" i="5001"/>
  <c r="H37" i="5001"/>
  <c r="H6" i="5001"/>
  <c r="H23" i="5001"/>
  <c r="H34" i="5001"/>
  <c r="H21" i="5001"/>
  <c r="H38" i="5001"/>
  <c r="C18" i="5001"/>
  <c r="H9" i="5001"/>
  <c r="H13" i="5001"/>
  <c r="H12" i="5001"/>
  <c r="H7" i="5001"/>
  <c r="H45" i="5001"/>
  <c r="H29" i="5001"/>
  <c r="H2" i="5001"/>
  <c r="H28" i="5001"/>
  <c r="C19" i="5001"/>
  <c r="H26" i="5001"/>
  <c r="H47" i="5001"/>
  <c r="H42" i="5001"/>
  <c r="H32" i="5001"/>
  <c r="H46" i="5001"/>
  <c r="H22" i="5001"/>
  <c r="H14" i="5001"/>
  <c r="H27" i="5001"/>
  <c r="H48" i="5001"/>
  <c r="H39" i="5001"/>
  <c r="H4" i="5001"/>
  <c r="H16" i="5001"/>
  <c r="H8" i="5001"/>
  <c r="C17" i="5001"/>
  <c r="H24" i="5001"/>
  <c r="H33" i="5001"/>
  <c r="H40" i="5001"/>
  <c r="H50" i="5001"/>
  <c r="H11" i="5001"/>
  <c r="H49" i="5001"/>
  <c r="H20" i="5001"/>
  <c r="H17" i="5001"/>
  <c r="B23" i="5001"/>
  <c r="H15" i="5001"/>
  <c r="H41" i="5001"/>
  <c r="H5" i="5001"/>
  <c r="H30" i="5001"/>
  <c r="H25" i="5001"/>
  <c r="H35" i="5001"/>
  <c r="H43" i="5001"/>
  <c r="H51" i="5001"/>
  <c r="H36" i="5001"/>
  <c r="H44" i="5001"/>
  <c r="H18" i="4997"/>
  <c r="H8" i="4997"/>
  <c r="H24" i="4997"/>
  <c r="H41" i="4999"/>
  <c r="H45" i="4999"/>
  <c r="H10" i="4999"/>
  <c r="H42" i="4999"/>
  <c r="C18" i="4999"/>
  <c r="H30" i="4999"/>
  <c r="H46" i="4999"/>
  <c r="H28" i="4999"/>
  <c r="H33" i="4999"/>
  <c r="H7" i="4999"/>
  <c r="H20" i="4999"/>
  <c r="H3" i="4999"/>
  <c r="H12" i="4999"/>
  <c r="H2" i="4999"/>
  <c r="H29" i="4999"/>
  <c r="C19" i="4999"/>
  <c r="H18" i="4999"/>
  <c r="H5" i="4999"/>
  <c r="H23" i="4999"/>
  <c r="H37" i="4999"/>
  <c r="H47" i="4999"/>
  <c r="H17" i="4999"/>
  <c r="H38" i="4999"/>
  <c r="H48" i="4999"/>
  <c r="H14" i="4999"/>
  <c r="H9" i="4999"/>
  <c r="H39" i="4999"/>
  <c r="H49" i="4999"/>
  <c r="H8" i="4999"/>
  <c r="H21" i="4999"/>
  <c r="C17" i="4999"/>
  <c r="H32" i="4999"/>
  <c r="H24" i="4999"/>
  <c r="H40" i="4999"/>
  <c r="H50" i="4999"/>
  <c r="H31" i="4999"/>
  <c r="H34" i="4999"/>
  <c r="H27" i="4999"/>
  <c r="H43" i="4999"/>
  <c r="H51" i="4999"/>
  <c r="H36" i="4999"/>
  <c r="H44" i="4999"/>
  <c r="H7" i="4997"/>
  <c r="H11" i="4997"/>
  <c r="H14" i="4997"/>
  <c r="H4" i="4997"/>
  <c r="H10" i="4997"/>
  <c r="H25" i="4997"/>
  <c r="H22" i="4997"/>
  <c r="C17" i="4997"/>
  <c r="H40" i="4997"/>
  <c r="H6" i="4997"/>
  <c r="H13" i="4997"/>
  <c r="H36" i="4997"/>
  <c r="H2" i="4997"/>
  <c r="H3" i="4997"/>
  <c r="H20" i="4997"/>
  <c r="C19" i="4997"/>
  <c r="H44" i="4997"/>
  <c r="H21" i="4997"/>
  <c r="H32" i="4997"/>
  <c r="C18" i="4997"/>
  <c r="B23" i="4997"/>
  <c r="H30" i="4997"/>
  <c r="H38" i="4997"/>
  <c r="H46" i="4997"/>
  <c r="H33" i="4997"/>
  <c r="H29" i="4997"/>
  <c r="H16" i="4997"/>
  <c r="H39" i="4997"/>
  <c r="H47" i="4997"/>
  <c r="H48" i="4997"/>
  <c r="H15" i="4997"/>
  <c r="H12" i="4997"/>
  <c r="H23" i="4997"/>
  <c r="H41" i="4997"/>
  <c r="H49" i="4997"/>
  <c r="H26" i="4997"/>
  <c r="H35" i="4997"/>
  <c r="H42" i="4997"/>
  <c r="H50" i="4997"/>
  <c r="H34" i="4997"/>
  <c r="H27" i="4997"/>
  <c r="H31" i="4997"/>
  <c r="H43" i="4997"/>
  <c r="H51" i="4997"/>
  <c r="H17" i="4997"/>
  <c r="H19" i="4997"/>
  <c r="H28" i="4997"/>
  <c r="H9" i="4997"/>
  <c r="H37" i="4997"/>
  <c r="H45" i="499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<sst xmlns="http://schemas.openxmlformats.org/spreadsheetml/2006/main" count="2698" uniqueCount="216">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</sst>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全体!$K$2:$K$341</c:f>
              <c:numCache>
                <c:formatCode>General</c:formatCode>
                <c:ptCount val="3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</c:numCache>
            </c:numRef>
          </c:xVal>
          <c:yVal>
            <c:numRef>
              <c:f>全体!$L$2:$L$341</c:f>
              <c:numCache>
                <c:formatCode>\+0.0;\-0.0;\±0</c:formatCode>
                <c:ptCount val="34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-0.99999999999997868</c:v>
                </c:pt>
                <c:pt idx="328">
                  <c:v>31.500000000000021</c:v>
                </c:pt>
                <c:pt idx="329">
                  <c:v>37.600000000000023</c:v>
                </c:pt>
                <c:pt idx="330">
                  <c:v>-0.99999999999997868</c:v>
                </c:pt>
                <c:pt idx="331">
                  <c:v>-37.799999999999976</c:v>
                </c:pt>
                <c:pt idx="332">
                  <c:v>0.400000000000027</c:v>
                </c:pt>
                <c:pt idx="333">
                  <c:v>-0.99999999999997291</c:v>
                </c:pt>
                <c:pt idx="334">
                  <c:v>9.0000000000000266</c:v>
                </c:pt>
                <c:pt idx="335">
                  <c:v>-40.699999999999974</c:v>
                </c:pt>
                <c:pt idx="336">
                  <c:v>-0.99999999999997158</c:v>
                </c:pt>
                <c:pt idx="337">
                  <c:v>41.500000000000028</c:v>
                </c:pt>
                <c:pt idx="338">
                  <c:v>2.0000000000000284</c:v>
                </c:pt>
                <c:pt idx="339">
                  <c:v>-0.99999999999997158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E5-47B8-90CC-CA125B018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-14.749262536873156</c:v>
                </c:pt>
                <c:pt idx="1">
                  <c:v>-14.880952380952381</c:v>
                </c:pt>
                <c:pt idx="2">
                  <c:v>19.047619047619047</c:v>
                </c:pt>
                <c:pt idx="3">
                  <c:v>10.309278350515465</c:v>
                </c:pt>
                <c:pt idx="4">
                  <c:v>-19.157088122605366</c:v>
                </c:pt>
                <c:pt idx="5">
                  <c:v>20.325203252032519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8-465F-B42A-7B6291296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だいち!$L$2:$L$82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1534.1000000000006</c:v>
                </c:pt>
                <c:pt idx="77">
                  <c:v>1495.5000000000007</c:v>
                </c:pt>
                <c:pt idx="78">
                  <c:v>1533.7000000000007</c:v>
                </c:pt>
                <c:pt idx="79">
                  <c:v>1484.0000000000007</c:v>
                </c:pt>
                <c:pt idx="80">
                  <c:v>1481.0000000000007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90-4DE5-9879-970479EDB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2455</c:v>
                </c:pt>
                <c:pt idx="1">
                  <c:v>2855.6962025316457</c:v>
                </c:pt>
                <c:pt idx="2">
                  <c:v>2773.3333333333335</c:v>
                </c:pt>
                <c:pt idx="3">
                  <c:v>2760.294117647059</c:v>
                </c:pt>
                <c:pt idx="4">
                  <c:v>-200</c:v>
                </c:pt>
                <c:pt idx="5">
                  <c:v>1255.3571428571429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5-48A4-9B7B-F510ABB16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りくと!$L$2:$L$85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E-4482-9746-317D98B2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1020.4819277108434</c:v>
                </c:pt>
                <c:pt idx="1">
                  <c:v>-1984.1463414634147</c:v>
                </c:pt>
                <c:pt idx="2">
                  <c:v>-1036.7088607594937</c:v>
                </c:pt>
                <c:pt idx="3">
                  <c:v>1827.3972602739725</c:v>
                </c:pt>
                <c:pt idx="4">
                  <c:v>703.07692307692309</c:v>
                </c:pt>
                <c:pt idx="5">
                  <c:v>253.2258064516129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7-487C-936F-44FCCAFE5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C7-4FED-A47D-41E6EBF49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-2654.5454545454545</c:v>
                </c:pt>
                <c:pt idx="1">
                  <c:v>-3975.757575757576</c:v>
                </c:pt>
                <c:pt idx="2">
                  <c:v>-3220</c:v>
                </c:pt>
                <c:pt idx="3">
                  <c:v>-6907.4074074074078</c:v>
                </c:pt>
                <c:pt idx="4">
                  <c:v>-3265.217391304348</c:v>
                </c:pt>
                <c:pt idx="5">
                  <c:v>-1422.7272727272727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8-41E1-A7BC-885271CD5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れんたろう!$L$2:$L$42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4-4564-9990-DA62D2038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-492.5</c:v>
                </c:pt>
                <c:pt idx="1">
                  <c:v>660</c:v>
                </c:pt>
                <c:pt idx="2">
                  <c:v>1028.9473684210527</c:v>
                </c:pt>
                <c:pt idx="3">
                  <c:v>-200</c:v>
                </c:pt>
                <c:pt idx="4">
                  <c:v>-741.93548387096769</c:v>
                </c:pt>
                <c:pt idx="5">
                  <c:v>234.48275862068965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9-4644-9F18-DCF89D577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A-41CA-9DF5-066A4A3DB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1808.1081081081081</c:v>
                </c:pt>
                <c:pt idx="1">
                  <c:v>170.27027027027026</c:v>
                </c:pt>
                <c:pt idx="2">
                  <c:v>421.875</c:v>
                </c:pt>
                <c:pt idx="3">
                  <c:v>686.66666666666663</c:v>
                </c:pt>
                <c:pt idx="4">
                  <c:v>-1234.4827586206898</c:v>
                </c:pt>
                <c:pt idx="5">
                  <c:v>-1369.2307692307693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6-4BA9-8792-A0911D197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5B-41B3-8A4B-3892EFAFD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-2981.25</c:v>
                </c:pt>
                <c:pt idx="1">
                  <c:v>1634.375</c:v>
                </c:pt>
                <c:pt idx="2">
                  <c:v>-1513.3333333333333</c:v>
                </c:pt>
                <c:pt idx="3">
                  <c:v>-4092.8571428571427</c:v>
                </c:pt>
                <c:pt idx="4">
                  <c:v>1528</c:v>
                </c:pt>
                <c:pt idx="5">
                  <c:v>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A-4935-9106-C75A3D59C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9-49A7-AA30-8A687CC1E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-5500</c:v>
                </c:pt>
                <c:pt idx="1">
                  <c:v>-1455.5555555555557</c:v>
                </c:pt>
                <c:pt idx="2">
                  <c:v>-731.25</c:v>
                </c:pt>
                <c:pt idx="3">
                  <c:v>-852.94117647058829</c:v>
                </c:pt>
                <c:pt idx="4">
                  <c:v>1213.3333333333333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C-4A50-975C-660635C0C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D-4F83-A112-F53BCBF92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84-4AE5-A0E7-61E39D8C4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いっしー!$L$2:$L$10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9-41BA-93ED-6D108151D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-3837.5</c:v>
                </c:pt>
                <c:pt idx="1">
                  <c:v>-2000</c:v>
                </c:pt>
                <c:pt idx="2">
                  <c:v>-175</c:v>
                </c:pt>
                <c:pt idx="3">
                  <c:v>-4285.7142857142853</c:v>
                </c:pt>
                <c:pt idx="4">
                  <c:v>671.42857142857144</c:v>
                </c:pt>
                <c:pt idx="5">
                  <c:v>-5300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5-4A07-A893-3DE13A297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D-45D9-A4E3-A6D8FA183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8-4718-8BC7-CBDE417A5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0.999999999999971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9498525073745475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317290552584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983957219251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5.99056603773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58.22784810126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294985250737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294985250737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7736185383244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8181818181818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543275632489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908496732026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603773584905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43590.993449074071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43592.860555555555</v>
      </c>
      <c r="C30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0.75596576945291061</v>
      </c>
      <c r="G2" s="159"/>
      <c r="H2" s="158">
        <v>0.82689378684255355</v>
      </c>
      <c r="I2" s="159"/>
      <c r="J2" s="158">
        <v>0.62984318135055695</v>
      </c>
      <c r="K2" s="159"/>
      <c r="L2" s="158">
        <v>0.61769136440063588</v>
      </c>
      <c r="M2" s="159"/>
      <c r="N2" s="158">
        <v>0.36963937008239012</v>
      </c>
      <c r="O2" s="159"/>
      <c r="P2" s="158">
        <v>0.70602108333532354</v>
      </c>
      <c r="Q2" s="159"/>
      <c r="R2" s="158">
        <v>-3.4221896540420176E-2</v>
      </c>
      <c r="S2" s="159"/>
      <c r="T2" s="158">
        <v>0.39250568107765599</v>
      </c>
      <c r="U2" s="159"/>
      <c r="V2" s="158">
        <v>0.72139741818055669</v>
      </c>
      <c r="W2" s="159"/>
      <c r="X2" s="158">
        <v>0.95243469539188585</v>
      </c>
      <c r="Y2" s="159"/>
      <c r="Z2" s="158">
        <v>-6.1700973856225333E-2</v>
      </c>
      <c r="AA2" s="159"/>
      <c r="AB2" s="158">
        <v>0.43144587869112883</v>
      </c>
      <c r="AC2" s="159"/>
      <c r="AD2" s="158">
        <v>0.52402108847863949</v>
      </c>
      <c r="AE2" s="159"/>
      <c r="AF2" s="158">
        <v>-3.8410442599585544E-2</v>
      </c>
      <c r="AG2" s="159"/>
      <c r="AH2" s="158">
        <v>0.86872161125015579</v>
      </c>
      <c r="AI2" s="159"/>
    </row>
    <row r="3" spans="1:35" x14ac:dyDescent="0.4">
      <c r="A3" s="74">
        <v>1</v>
      </c>
      <c r="B3" s="75" t="s">
        <v>127</v>
      </c>
      <c r="C3" s="76">
        <v>1481.0000000000007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0.38377535101404059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0.17499999999999999</v>
      </c>
      <c r="X3" s="77" t="s">
        <v>127</v>
      </c>
      <c r="Y3" s="80">
        <v>0.33073322932917315</v>
      </c>
      <c r="Z3" s="77" t="s">
        <v>172</v>
      </c>
      <c r="AA3" s="80">
        <v>0.30448717948717946</v>
      </c>
      <c r="AB3" s="77" t="s">
        <v>186</v>
      </c>
      <c r="AC3" s="80">
        <v>0.66666666666666663</v>
      </c>
      <c r="AD3" s="77" t="s">
        <v>127</v>
      </c>
      <c r="AE3" s="80">
        <v>0.53289473684210531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127</v>
      </c>
      <c r="E4" s="97">
        <v>18.51250000000001</v>
      </c>
      <c r="F4" s="85" t="s">
        <v>127</v>
      </c>
      <c r="G4" s="86">
        <v>1.625</v>
      </c>
      <c r="H4" s="85" t="s">
        <v>127</v>
      </c>
      <c r="I4" s="87">
        <v>0.5625</v>
      </c>
      <c r="J4" s="85" t="s">
        <v>202</v>
      </c>
      <c r="K4" s="87">
        <v>0</v>
      </c>
      <c r="L4" s="85" t="s">
        <v>172</v>
      </c>
      <c r="M4" s="88">
        <v>0.35576923076923078</v>
      </c>
      <c r="N4" s="85" t="s">
        <v>172</v>
      </c>
      <c r="O4" s="88">
        <v>0.14102564102564102</v>
      </c>
      <c r="P4" s="85" t="s">
        <v>127</v>
      </c>
      <c r="Q4" s="89">
        <v>9298.3739837398371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0.13513513513513514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0.6428571428571429</v>
      </c>
      <c r="AD4" s="85" t="s">
        <v>185</v>
      </c>
      <c r="AE4" s="88">
        <v>0.5</v>
      </c>
      <c r="AF4" s="85" t="s">
        <v>129</v>
      </c>
      <c r="AG4" s="88">
        <v>0.53703703703703709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30.000000000000007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0.1875</v>
      </c>
      <c r="L5" s="85" t="s">
        <v>173</v>
      </c>
      <c r="M5" s="88">
        <v>0.30960854092526691</v>
      </c>
      <c r="N5" s="85" t="s">
        <v>171</v>
      </c>
      <c r="O5" s="88">
        <v>0.15269461077844312</v>
      </c>
      <c r="P5" s="85" t="s">
        <v>128</v>
      </c>
      <c r="Q5" s="89">
        <v>9062.1890547263683</v>
      </c>
      <c r="R5" s="85" t="s">
        <v>177</v>
      </c>
      <c r="S5" s="89">
        <v>-7093.1034482758623</v>
      </c>
      <c r="T5" s="85" t="s">
        <v>171</v>
      </c>
      <c r="U5" s="87">
        <v>2.5000000000000001E-2</v>
      </c>
      <c r="V5" s="85" t="s">
        <v>171</v>
      </c>
      <c r="W5" s="87">
        <v>0.125</v>
      </c>
      <c r="X5" s="85" t="s">
        <v>128</v>
      </c>
      <c r="Y5" s="88">
        <v>0.28364688856729375</v>
      </c>
      <c r="Z5" s="85" t="s">
        <v>177</v>
      </c>
      <c r="AA5" s="88">
        <v>0.25503355704697989</v>
      </c>
      <c r="AB5" s="85" t="s">
        <v>127</v>
      </c>
      <c r="AC5" s="88">
        <v>0.60377358490566035</v>
      </c>
      <c r="AD5" s="85" t="s">
        <v>186</v>
      </c>
      <c r="AE5" s="88">
        <v>0.46666666666666667</v>
      </c>
      <c r="AF5" s="85" t="s">
        <v>186</v>
      </c>
      <c r="AG5" s="88">
        <v>0.52941176470588236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0.81081081081081097</v>
      </c>
      <c r="F6" s="85" t="s">
        <v>145</v>
      </c>
      <c r="G6" s="86">
        <v>2</v>
      </c>
      <c r="H6" s="85" t="s">
        <v>172</v>
      </c>
      <c r="I6" s="87">
        <v>0.29729729729729731</v>
      </c>
      <c r="J6" s="85" t="s">
        <v>128</v>
      </c>
      <c r="K6" s="87">
        <v>0.31325301204819278</v>
      </c>
      <c r="L6" s="85" t="s">
        <v>145</v>
      </c>
      <c r="M6" s="88">
        <v>0.30231729055258466</v>
      </c>
      <c r="N6" s="85" t="s">
        <v>127</v>
      </c>
      <c r="O6" s="88">
        <v>0.15912636505460218</v>
      </c>
      <c r="P6" s="85" t="s">
        <v>171</v>
      </c>
      <c r="Q6" s="89">
        <v>8744.5783132530123</v>
      </c>
      <c r="R6" s="85" t="s">
        <v>171</v>
      </c>
      <c r="S6" s="89">
        <v>-7225.4901960784309</v>
      </c>
      <c r="T6" s="85" t="s">
        <v>172</v>
      </c>
      <c r="U6" s="87">
        <v>5.4054054054054057E-2</v>
      </c>
      <c r="V6" s="85" t="s">
        <v>145</v>
      </c>
      <c r="W6" s="87">
        <v>0.10029498525073746</v>
      </c>
      <c r="X6" s="85" t="s">
        <v>145</v>
      </c>
      <c r="Y6" s="88">
        <v>0.26773618538324423</v>
      </c>
      <c r="Z6" s="85" t="s">
        <v>127</v>
      </c>
      <c r="AA6" s="88">
        <v>0.23712948517940718</v>
      </c>
      <c r="AB6" s="85" t="s">
        <v>185</v>
      </c>
      <c r="AC6" s="88">
        <v>0.6</v>
      </c>
      <c r="AD6" s="85" t="s">
        <v>172</v>
      </c>
      <c r="AE6" s="88">
        <v>0.42105263157894735</v>
      </c>
      <c r="AF6" s="85" t="s">
        <v>173</v>
      </c>
      <c r="AG6" s="88">
        <v>0.51724137931034486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145</v>
      </c>
      <c r="C7" s="84">
        <v>-0.99999999999997158</v>
      </c>
      <c r="D7" s="85" t="s">
        <v>145</v>
      </c>
      <c r="E7" s="97">
        <v>-2.9498525073745475E-3</v>
      </c>
      <c r="F7" s="85" t="s">
        <v>128</v>
      </c>
      <c r="G7" s="86">
        <v>2.036144578313253</v>
      </c>
      <c r="H7" s="85" t="s">
        <v>173</v>
      </c>
      <c r="I7" s="87">
        <v>0.28125</v>
      </c>
      <c r="J7" s="85" t="s">
        <v>145</v>
      </c>
      <c r="K7" s="87">
        <v>0.33333333333333331</v>
      </c>
      <c r="L7" s="85" t="s">
        <v>128</v>
      </c>
      <c r="M7" s="88">
        <v>0.29088277858176553</v>
      </c>
      <c r="N7" s="85" t="s">
        <v>128</v>
      </c>
      <c r="O7" s="88">
        <v>0.16642547033285093</v>
      </c>
      <c r="P7" s="85" t="s">
        <v>145</v>
      </c>
      <c r="Q7" s="89">
        <v>8445.9905660377353</v>
      </c>
      <c r="R7" s="85" t="s">
        <v>128</v>
      </c>
      <c r="S7" s="89">
        <v>-7416.521739130435</v>
      </c>
      <c r="T7" s="85" t="s">
        <v>127</v>
      </c>
      <c r="U7" s="87">
        <v>6.25E-2</v>
      </c>
      <c r="V7" s="85" t="s">
        <v>128</v>
      </c>
      <c r="W7" s="87">
        <v>8.4337349397590355E-2</v>
      </c>
      <c r="X7" s="85" t="s">
        <v>185</v>
      </c>
      <c r="Y7" s="88">
        <v>0.26315789473684209</v>
      </c>
      <c r="Z7" s="85" t="s">
        <v>173</v>
      </c>
      <c r="AA7" s="88">
        <v>0.23487544483985764</v>
      </c>
      <c r="AB7" s="85" t="s">
        <v>173</v>
      </c>
      <c r="AC7" s="88">
        <v>0.59701492537313428</v>
      </c>
      <c r="AD7" s="85" t="s">
        <v>145</v>
      </c>
      <c r="AE7" s="88">
        <v>0.37908496732026142</v>
      </c>
      <c r="AF7" s="85" t="s">
        <v>145</v>
      </c>
      <c r="AG7" s="88">
        <v>0.43160377358490565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128</v>
      </c>
      <c r="C8" s="84">
        <v>-49.100000000000037</v>
      </c>
      <c r="D8" s="85" t="s">
        <v>128</v>
      </c>
      <c r="E8" s="97">
        <v>-0.59156626506024146</v>
      </c>
      <c r="F8" s="85" t="s">
        <v>173</v>
      </c>
      <c r="G8" s="86">
        <v>2.0625</v>
      </c>
      <c r="H8" s="85" t="s">
        <v>128</v>
      </c>
      <c r="I8" s="87">
        <v>0.27710843373493976</v>
      </c>
      <c r="J8" s="85" t="s">
        <v>173</v>
      </c>
      <c r="K8" s="87">
        <v>0.34375</v>
      </c>
      <c r="L8" s="85" t="s">
        <v>185</v>
      </c>
      <c r="M8" s="88">
        <v>0.26315789473684209</v>
      </c>
      <c r="N8" s="85" t="s">
        <v>202</v>
      </c>
      <c r="O8" s="88">
        <v>0.16666666666666666</v>
      </c>
      <c r="P8" s="85" t="s">
        <v>129</v>
      </c>
      <c r="Q8" s="89">
        <v>8348.1481481481478</v>
      </c>
      <c r="R8" s="85" t="s">
        <v>127</v>
      </c>
      <c r="S8" s="89">
        <v>-7916.666666666667</v>
      </c>
      <c r="T8" s="85" t="s">
        <v>145</v>
      </c>
      <c r="U8" s="87">
        <v>0.10029498525073746</v>
      </c>
      <c r="V8" s="85" t="s">
        <v>173</v>
      </c>
      <c r="W8" s="87">
        <v>6.25E-2</v>
      </c>
      <c r="X8" s="85" t="s">
        <v>171</v>
      </c>
      <c r="Y8" s="88">
        <v>0.24850299401197604</v>
      </c>
      <c r="Z8" s="85" t="s">
        <v>186</v>
      </c>
      <c r="AA8" s="88">
        <v>0.22058823529411764</v>
      </c>
      <c r="AB8" s="85" t="s">
        <v>145</v>
      </c>
      <c r="AC8" s="88">
        <v>0.59254327563248999</v>
      </c>
      <c r="AD8" s="85" t="s">
        <v>177</v>
      </c>
      <c r="AE8" s="88">
        <v>0.36842105263157893</v>
      </c>
      <c r="AF8" s="85" t="s">
        <v>127</v>
      </c>
      <c r="AG8" s="88">
        <v>0.42682926829268292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171</v>
      </c>
      <c r="C9" s="84">
        <v>-65.2</v>
      </c>
      <c r="D9" s="85" t="s">
        <v>171</v>
      </c>
      <c r="E9" s="97">
        <v>-1.6300000000000001</v>
      </c>
      <c r="F9" s="85" t="s">
        <v>172</v>
      </c>
      <c r="G9" s="86">
        <v>2.0810810810810811</v>
      </c>
      <c r="H9" s="85" t="s">
        <v>177</v>
      </c>
      <c r="I9" s="87">
        <v>0.26315789473684209</v>
      </c>
      <c r="J9" s="85" t="s">
        <v>171</v>
      </c>
      <c r="K9" s="87">
        <v>0.35</v>
      </c>
      <c r="L9" s="85" t="s">
        <v>186</v>
      </c>
      <c r="M9" s="88">
        <v>0.25</v>
      </c>
      <c r="N9" s="85" t="s">
        <v>145</v>
      </c>
      <c r="O9" s="88">
        <v>0.16898395721925133</v>
      </c>
      <c r="P9" s="85" t="s">
        <v>185</v>
      </c>
      <c r="Q9" s="89">
        <v>7860</v>
      </c>
      <c r="R9" s="85" t="s">
        <v>145</v>
      </c>
      <c r="S9" s="89">
        <v>-7958.2278481012654</v>
      </c>
      <c r="T9" s="85" t="s">
        <v>128</v>
      </c>
      <c r="U9" s="87">
        <v>0.10843373493975904</v>
      </c>
      <c r="V9" s="85" t="s">
        <v>129</v>
      </c>
      <c r="W9" s="87">
        <v>3.0303030303030304E-2</v>
      </c>
      <c r="X9" s="85" t="s">
        <v>129</v>
      </c>
      <c r="Y9" s="88">
        <v>0.24087591240875914</v>
      </c>
      <c r="Z9" s="85" t="s">
        <v>145</v>
      </c>
      <c r="AA9" s="88">
        <v>0.21818181818181817</v>
      </c>
      <c r="AB9" s="85" t="s">
        <v>172</v>
      </c>
      <c r="AC9" s="88">
        <v>0.58333333333333337</v>
      </c>
      <c r="AD9" s="85" t="s">
        <v>171</v>
      </c>
      <c r="AE9" s="88">
        <v>0.33333333333333331</v>
      </c>
      <c r="AF9" s="85" t="s">
        <v>172</v>
      </c>
      <c r="AG9" s="88">
        <v>0.42342342342342343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186</v>
      </c>
      <c r="C10" s="84">
        <v>-170.5</v>
      </c>
      <c r="D10" s="85" t="s">
        <v>173</v>
      </c>
      <c r="E10" s="97">
        <v>-6.0562499999999995</v>
      </c>
      <c r="F10" s="85" t="s">
        <v>171</v>
      </c>
      <c r="G10" s="86">
        <v>2.1</v>
      </c>
      <c r="H10" s="85" t="s">
        <v>171</v>
      </c>
      <c r="I10" s="87">
        <v>0.25</v>
      </c>
      <c r="J10" s="85" t="s">
        <v>172</v>
      </c>
      <c r="K10" s="87">
        <v>0.3783783783783784</v>
      </c>
      <c r="L10" s="85" t="s">
        <v>202</v>
      </c>
      <c r="M10" s="88">
        <v>0.25</v>
      </c>
      <c r="N10" s="85" t="s">
        <v>173</v>
      </c>
      <c r="O10" s="88">
        <v>0.19217081850533807</v>
      </c>
      <c r="P10" s="85" t="s">
        <v>177</v>
      </c>
      <c r="Q10" s="89">
        <v>7431.4285714285716</v>
      </c>
      <c r="R10" s="85" t="s">
        <v>173</v>
      </c>
      <c r="S10" s="89">
        <v>-8177.7777777777774</v>
      </c>
      <c r="T10" s="85" t="s">
        <v>173</v>
      </c>
      <c r="U10" s="87">
        <v>0.125</v>
      </c>
      <c r="V10" s="85" t="s">
        <v>177</v>
      </c>
      <c r="W10" s="87">
        <v>0</v>
      </c>
      <c r="X10" s="85" t="s">
        <v>173</v>
      </c>
      <c r="Y10" s="88">
        <v>0.23843416370106763</v>
      </c>
      <c r="Z10" s="85" t="s">
        <v>185</v>
      </c>
      <c r="AA10" s="88">
        <v>0.21052631578947367</v>
      </c>
      <c r="AB10" s="85" t="s">
        <v>171</v>
      </c>
      <c r="AC10" s="88">
        <v>0.5662650602409639</v>
      </c>
      <c r="AD10" s="85" t="s">
        <v>173</v>
      </c>
      <c r="AE10" s="88">
        <v>0.33333333333333331</v>
      </c>
      <c r="AF10" s="85" t="s">
        <v>128</v>
      </c>
      <c r="AG10" s="88">
        <v>0.4079601990049751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173</v>
      </c>
      <c r="C11" s="84">
        <v>-193.79999999999998</v>
      </c>
      <c r="D11" s="85" t="s">
        <v>177</v>
      </c>
      <c r="E11" s="97">
        <v>-12.4</v>
      </c>
      <c r="F11" s="85" t="s">
        <v>177</v>
      </c>
      <c r="G11" s="86">
        <v>2.1578947368421053</v>
      </c>
      <c r="H11" s="85" t="s">
        <v>186</v>
      </c>
      <c r="I11" s="87">
        <v>0.25</v>
      </c>
      <c r="J11" s="85" t="s">
        <v>177</v>
      </c>
      <c r="K11" s="87">
        <v>0.42105263157894735</v>
      </c>
      <c r="L11" s="85" t="s">
        <v>171</v>
      </c>
      <c r="M11" s="88">
        <v>0.24850299401197604</v>
      </c>
      <c r="N11" s="85" t="s">
        <v>177</v>
      </c>
      <c r="O11" s="88">
        <v>0.19463087248322147</v>
      </c>
      <c r="P11" s="85" t="s">
        <v>186</v>
      </c>
      <c r="Q11" s="89">
        <v>7364.7058823529414</v>
      </c>
      <c r="R11" s="85" t="s">
        <v>186</v>
      </c>
      <c r="S11" s="89">
        <v>-8323.5294117647063</v>
      </c>
      <c r="T11" s="85" t="s">
        <v>186</v>
      </c>
      <c r="U11" s="87">
        <v>0.125</v>
      </c>
      <c r="V11" s="85" t="s">
        <v>185</v>
      </c>
      <c r="W11" s="87">
        <v>0</v>
      </c>
      <c r="X11" s="85" t="s">
        <v>172</v>
      </c>
      <c r="Y11" s="88">
        <v>0.23076923076923078</v>
      </c>
      <c r="Z11" s="85" t="s">
        <v>128</v>
      </c>
      <c r="AA11" s="88">
        <v>0.19536903039073805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0.4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-235.6</v>
      </c>
      <c r="D12" s="85" t="s">
        <v>186</v>
      </c>
      <c r="E12" s="97">
        <v>-21.3125</v>
      </c>
      <c r="F12" s="85" t="s">
        <v>186</v>
      </c>
      <c r="G12" s="86">
        <v>2.375</v>
      </c>
      <c r="H12" s="85" t="s">
        <v>202</v>
      </c>
      <c r="I12" s="87">
        <v>0.25</v>
      </c>
      <c r="J12" s="85" t="s">
        <v>129</v>
      </c>
      <c r="K12" s="87">
        <v>0.60606060606060608</v>
      </c>
      <c r="L12" s="85" t="s">
        <v>177</v>
      </c>
      <c r="M12" s="88">
        <v>0.2348993288590604</v>
      </c>
      <c r="N12" s="85" t="s">
        <v>129</v>
      </c>
      <c r="O12" s="88">
        <v>0.19708029197080293</v>
      </c>
      <c r="P12" s="85" t="s">
        <v>172</v>
      </c>
      <c r="Q12" s="89">
        <v>7009.9099099099103</v>
      </c>
      <c r="R12" s="85" t="s">
        <v>172</v>
      </c>
      <c r="S12" s="89">
        <v>-8481.818181818182</v>
      </c>
      <c r="T12" s="85" t="s">
        <v>177</v>
      </c>
      <c r="U12" s="87">
        <v>0.21052631578947367</v>
      </c>
      <c r="V12" s="85" t="s">
        <v>186</v>
      </c>
      <c r="W12" s="87">
        <v>0</v>
      </c>
      <c r="X12" s="85" t="s">
        <v>177</v>
      </c>
      <c r="Y12" s="88">
        <v>0.18120805369127516</v>
      </c>
      <c r="Z12" s="85" t="s">
        <v>171</v>
      </c>
      <c r="AA12" s="88">
        <v>0.17065868263473055</v>
      </c>
      <c r="AB12" s="85" t="s">
        <v>177</v>
      </c>
      <c r="AC12" s="88">
        <v>0.51851851851851849</v>
      </c>
      <c r="AD12" s="85" t="s">
        <v>128</v>
      </c>
      <c r="AE12" s="88">
        <v>0.27407407407407408</v>
      </c>
      <c r="AF12" s="85" t="s">
        <v>171</v>
      </c>
      <c r="AG12" s="88">
        <v>0.33734939759036142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-878.19999999999993</v>
      </c>
      <c r="D13" s="85" t="s">
        <v>129</v>
      </c>
      <c r="E13" s="97">
        <v>-26.61212121212121</v>
      </c>
      <c r="F13" s="85" t="s">
        <v>129</v>
      </c>
      <c r="G13" s="86">
        <v>2.4545454545454546</v>
      </c>
      <c r="H13" s="85" t="s">
        <v>129</v>
      </c>
      <c r="I13" s="87">
        <v>0.15151515151515152</v>
      </c>
      <c r="J13" s="85" t="s">
        <v>186</v>
      </c>
      <c r="K13" s="87">
        <v>0.625</v>
      </c>
      <c r="L13" s="85" t="s">
        <v>129</v>
      </c>
      <c r="M13" s="88">
        <v>0.19708029197080293</v>
      </c>
      <c r="N13" s="85" t="s">
        <v>186</v>
      </c>
      <c r="O13" s="88">
        <v>0.25</v>
      </c>
      <c r="P13" s="85" t="s">
        <v>173</v>
      </c>
      <c r="Q13" s="89">
        <v>6758.6206896551721</v>
      </c>
      <c r="R13" s="85" t="s">
        <v>129</v>
      </c>
      <c r="S13" s="89">
        <v>-9922.2222222222226</v>
      </c>
      <c r="T13" s="85" t="s">
        <v>129</v>
      </c>
      <c r="U13" s="87">
        <v>0.24242424242424243</v>
      </c>
      <c r="V13" s="85" t="s">
        <v>202</v>
      </c>
      <c r="W13" s="87">
        <v>0</v>
      </c>
      <c r="X13" s="85" t="s">
        <v>186</v>
      </c>
      <c r="Y13" s="88">
        <v>0.17647058823529413</v>
      </c>
      <c r="Z13" s="85" t="s">
        <v>129</v>
      </c>
      <c r="AA13" s="88">
        <v>0.145985401459854</v>
      </c>
      <c r="AB13" s="85" t="s">
        <v>129</v>
      </c>
      <c r="AC13" s="88">
        <v>0.46969696969696972</v>
      </c>
      <c r="AD13" s="85" t="s">
        <v>129</v>
      </c>
      <c r="AE13" s="88">
        <v>0.17499999999999999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CEDE6-DD26-409B-8D45-EB377606C54C}">
  <sheetPr codeName="Sheet4"/>
  <dimension ref="A1:Q34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339</v>
      </c>
      <c r="C2" s="147"/>
      <c r="E2" s="62" t="s">
        <v>67</v>
      </c>
      <c r="F2" s="59" t="s">
        <v>23</v>
      </c>
      <c r="G2" s="46">
        <v>628</v>
      </c>
      <c r="H2" s="132">
        <f>IF(B$17=0,0,G2/B$17)</f>
        <v>0.74056603773584906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-14.749262536873156</v>
      </c>
      <c r="P2" s="118">
        <v>339</v>
      </c>
      <c r="Q2" s="102">
        <v>-5000</v>
      </c>
    </row>
    <row r="3" spans="1:17" x14ac:dyDescent="0.4">
      <c r="A3" s="55" t="s">
        <v>8</v>
      </c>
      <c r="B3" s="148">
        <v>2805</v>
      </c>
      <c r="C3" s="149"/>
      <c r="E3" s="63" t="s">
        <v>73</v>
      </c>
      <c r="F3" s="60" t="s">
        <v>28</v>
      </c>
      <c r="G3" s="47">
        <v>440</v>
      </c>
      <c r="H3" s="133">
        <f>IF(B$17=0,0,G3/B$17)</f>
        <v>0.51886792452830188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-14.880952380952381</v>
      </c>
      <c r="P3" s="119">
        <v>336</v>
      </c>
      <c r="Q3" s="103">
        <v>-5000</v>
      </c>
    </row>
    <row r="4" spans="1:17" x14ac:dyDescent="0.4">
      <c r="A4" s="55" t="s">
        <v>6</v>
      </c>
      <c r="B4" s="150">
        <v>-0.99999999999997158</v>
      </c>
      <c r="C4" s="151"/>
      <c r="E4" s="63" t="s">
        <v>65</v>
      </c>
      <c r="F4" s="60" t="s">
        <v>21</v>
      </c>
      <c r="G4" s="47">
        <v>422</v>
      </c>
      <c r="H4" s="133">
        <f>IF(B$17=0,0,G4/B$17)</f>
        <v>0.49764150943396224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19.047619047619047</v>
      </c>
      <c r="P4" s="119">
        <v>315</v>
      </c>
      <c r="Q4" s="103">
        <v>6000</v>
      </c>
    </row>
    <row r="5" spans="1:17" x14ac:dyDescent="0.4">
      <c r="A5" s="55" t="s">
        <v>7</v>
      </c>
      <c r="B5" s="152">
        <f>IF(B$2=0,0,B$4/B$2)</f>
        <v>-2.9498525073745475E-3</v>
      </c>
      <c r="C5" s="153"/>
      <c r="E5" s="63" t="s">
        <v>181</v>
      </c>
      <c r="F5" s="60" t="s">
        <v>182</v>
      </c>
      <c r="G5" s="47">
        <v>328</v>
      </c>
      <c r="H5" s="133">
        <f>IF(B$17=0,0,G5/B$17)</f>
        <v>0.3867924528301887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10.309278350515465</v>
      </c>
      <c r="P5" s="119">
        <v>291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253</v>
      </c>
      <c r="H6" s="133">
        <f>IF(B$17=0,0,G6/B$17)</f>
        <v>0.29834905660377359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-19.157088122605366</v>
      </c>
      <c r="P6" s="119">
        <v>261</v>
      </c>
      <c r="Q6" s="103">
        <v>-5000</v>
      </c>
    </row>
    <row r="7" spans="1:17" x14ac:dyDescent="0.4">
      <c r="A7" s="55" t="s">
        <v>2</v>
      </c>
      <c r="B7" s="47">
        <v>113</v>
      </c>
      <c r="C7" s="39">
        <f>IF(B$2=0,0,B7/B$2)</f>
        <v>0.33333333333333331</v>
      </c>
      <c r="E7" s="63" t="s">
        <v>68</v>
      </c>
      <c r="F7" s="60" t="s">
        <v>24</v>
      </c>
      <c r="G7" s="47">
        <v>247</v>
      </c>
      <c r="H7" s="133">
        <f>IF(B$17=0,0,G7/B$17)</f>
        <v>0.29127358490566035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20.325203252032519</v>
      </c>
      <c r="P7" s="120">
        <v>246</v>
      </c>
      <c r="Q7" s="104">
        <v>5000</v>
      </c>
    </row>
    <row r="8" spans="1:17" x14ac:dyDescent="0.4">
      <c r="A8" s="55" t="s">
        <v>3</v>
      </c>
      <c r="B8" s="47">
        <v>113</v>
      </c>
      <c r="C8" s="39">
        <f>IF(B$2=0,0,B8/B$2)</f>
        <v>0.33333333333333331</v>
      </c>
      <c r="E8" s="63" t="s">
        <v>70</v>
      </c>
      <c r="F8" s="60" t="s">
        <v>25</v>
      </c>
      <c r="G8" s="47">
        <v>154</v>
      </c>
      <c r="H8" s="133">
        <f>IF(B$17=0,0,G8/B$17)</f>
        <v>0.18160377358490565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113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113</v>
      </c>
      <c r="H9" s="133">
        <f>IF(B$17=0,0,G9/B$17)</f>
        <v>0.13325471698113209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34</v>
      </c>
      <c r="C10" s="40">
        <f>IF(B$2=0,0,B10/B$2)</f>
        <v>0.10029498525073746</v>
      </c>
      <c r="E10" s="63" t="s">
        <v>66</v>
      </c>
      <c r="F10" s="60" t="s">
        <v>22</v>
      </c>
      <c r="G10" s="47">
        <v>107</v>
      </c>
      <c r="H10" s="133">
        <f>IF(B$17=0,0,G10/B$17)</f>
        <v>0.12617924528301888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-1.0707964601769913</v>
      </c>
      <c r="P10" s="118">
        <v>113</v>
      </c>
      <c r="Q10" s="106">
        <v>-121</v>
      </c>
    </row>
    <row r="11" spans="1:17" x14ac:dyDescent="0.4">
      <c r="A11" s="56" t="s">
        <v>140</v>
      </c>
      <c r="B11" s="48">
        <v>34</v>
      </c>
      <c r="C11" s="40">
        <f>IF(B$2=0,0,B11/B$2)</f>
        <v>0.10029498525073746</v>
      </c>
      <c r="E11" s="63" t="s">
        <v>71</v>
      </c>
      <c r="F11" s="60" t="s">
        <v>26</v>
      </c>
      <c r="G11" s="47">
        <v>86</v>
      </c>
      <c r="H11" s="133">
        <f>IF(B$17=0,0,G11/B$17)</f>
        <v>0.10141509433962265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-3.4008849557522125</v>
      </c>
      <c r="P11" s="119">
        <v>113</v>
      </c>
      <c r="Q11" s="107">
        <v>-384.3</v>
      </c>
    </row>
    <row r="12" spans="1:17" x14ac:dyDescent="0.4">
      <c r="A12" s="57" t="s">
        <v>160</v>
      </c>
      <c r="B12" s="49">
        <v>34</v>
      </c>
      <c r="C12" s="42">
        <f>IF(B$2=0,0,B12/B$2)</f>
        <v>0.10029498525073746</v>
      </c>
      <c r="E12" s="63" t="s">
        <v>87</v>
      </c>
      <c r="F12" s="60" t="s">
        <v>42</v>
      </c>
      <c r="G12" s="47">
        <v>52</v>
      </c>
      <c r="H12" s="133">
        <f>IF(B$17=0,0,G12/B$17)</f>
        <v>6.1320754716981132E-2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4.4628318584070783</v>
      </c>
      <c r="P12" s="120">
        <v>113</v>
      </c>
      <c r="Q12" s="108">
        <v>504.29999999999984</v>
      </c>
    </row>
    <row r="13" spans="1:17" x14ac:dyDescent="0.4">
      <c r="A13" s="58" t="s">
        <v>122</v>
      </c>
      <c r="B13" s="50">
        <v>751</v>
      </c>
      <c r="C13" s="44">
        <f>IF(B$3=0,0,B13/B$3)</f>
        <v>0.26773618538324423</v>
      </c>
      <c r="E13" s="63" t="s">
        <v>72</v>
      </c>
      <c r="F13" s="60" t="s">
        <v>27</v>
      </c>
      <c r="G13" s="47">
        <v>46</v>
      </c>
      <c r="H13" s="133">
        <f>IF(B$17=0,0,G13/B$17)</f>
        <v>5.4245283018867926E-2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612</v>
      </c>
      <c r="C14" s="39">
        <f>IF(B$3=0,0,B14/B$3)</f>
        <v>0.21818181818181817</v>
      </c>
      <c r="E14" s="63" t="s">
        <v>84</v>
      </c>
      <c r="F14" s="60" t="s">
        <v>39</v>
      </c>
      <c r="G14" s="47">
        <v>37</v>
      </c>
      <c r="H14" s="133">
        <f>IF(B$17=0,0,G14/B$17)</f>
        <v>4.363207547169811E-2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445</v>
      </c>
      <c r="C15" s="37">
        <f>IF(B$13=0,0,B15/B$13)</f>
        <v>0.59254327563248999</v>
      </c>
      <c r="E15" s="63" t="s">
        <v>82</v>
      </c>
      <c r="F15" s="60" t="s">
        <v>37</v>
      </c>
      <c r="G15" s="47">
        <v>25</v>
      </c>
      <c r="H15" s="133">
        <f>IF(B$17=0,0,G15/B$17)</f>
        <v>2.9481132075471699E-2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39.903030303030292</v>
      </c>
      <c r="P15" s="118">
        <v>66</v>
      </c>
      <c r="Q15" s="106">
        <v>2633.5999999999995</v>
      </c>
    </row>
    <row r="16" spans="1:17" x14ac:dyDescent="0.4">
      <c r="A16" s="54" t="s">
        <v>125</v>
      </c>
      <c r="B16" s="46">
        <v>232</v>
      </c>
      <c r="C16" s="37">
        <f>IF(B$14=0,0,B16/B$14)</f>
        <v>0.37908496732026142</v>
      </c>
      <c r="E16" s="63" t="s">
        <v>92</v>
      </c>
      <c r="F16" s="60" t="s">
        <v>47</v>
      </c>
      <c r="G16" s="47">
        <v>15</v>
      </c>
      <c r="H16" s="133">
        <f>IF(B$17=0,0,G16/B$17)</f>
        <v>1.7688679245283018E-2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31.968749999999996</v>
      </c>
      <c r="P16" s="119">
        <v>16</v>
      </c>
      <c r="Q16" s="107">
        <v>511.49999999999994</v>
      </c>
    </row>
    <row r="17" spans="1:17" x14ac:dyDescent="0.4">
      <c r="A17" s="54" t="s">
        <v>10</v>
      </c>
      <c r="B17" s="46">
        <f>B19+B18</f>
        <v>848</v>
      </c>
      <c r="C17" s="37">
        <f>IF(B$3=0,0,B17/B$3)</f>
        <v>0.30231729055258466</v>
      </c>
      <c r="E17" s="63" t="s">
        <v>180</v>
      </c>
      <c r="F17" s="60" t="s">
        <v>183</v>
      </c>
      <c r="G17" s="47">
        <v>15</v>
      </c>
      <c r="H17" s="133">
        <f>IF(B$17=0,0,G17/B$17)</f>
        <v>1.7688679245283018E-2</v>
      </c>
      <c r="I17" s="94">
        <v>4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18.599999999999994</v>
      </c>
      <c r="P17" s="119">
        <v>38</v>
      </c>
      <c r="Q17" s="107">
        <v>706.79999999999984</v>
      </c>
    </row>
    <row r="18" spans="1:17" x14ac:dyDescent="0.4">
      <c r="A18" s="55" t="s">
        <v>12</v>
      </c>
      <c r="B18" s="47">
        <v>366</v>
      </c>
      <c r="C18" s="39">
        <f>IF(B$17=0,0,B18/B$17)</f>
        <v>0.43160377358490565</v>
      </c>
      <c r="E18" s="63" t="s">
        <v>79</v>
      </c>
      <c r="F18" s="60" t="s">
        <v>34</v>
      </c>
      <c r="G18" s="47">
        <v>14</v>
      </c>
      <c r="H18" s="133">
        <f>IF(B$17=0,0,G18/B$17)</f>
        <v>1.6509433962264151E-2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9.0843749999999996</v>
      </c>
      <c r="P18" s="119">
        <v>64</v>
      </c>
      <c r="Q18" s="107">
        <v>581.4</v>
      </c>
    </row>
    <row r="19" spans="1:17" x14ac:dyDescent="0.4">
      <c r="A19" s="55" t="s">
        <v>11</v>
      </c>
      <c r="B19" s="47">
        <v>482</v>
      </c>
      <c r="C19" s="39">
        <f>IF(B$17=0,0,B19/B$17)</f>
        <v>0.56839622641509435</v>
      </c>
      <c r="E19" s="63" t="s">
        <v>80</v>
      </c>
      <c r="F19" s="60" t="s">
        <v>35</v>
      </c>
      <c r="G19" s="47">
        <v>10</v>
      </c>
      <c r="H19" s="133">
        <f>IF(B$17=0,0,G19/B$17)</f>
        <v>1.179245283018868E-2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>IF(P19=0,0,Q19/P19)</f>
        <v>2.4450000000000025</v>
      </c>
      <c r="P19" s="119">
        <v>80</v>
      </c>
      <c r="Q19" s="107">
        <v>195.60000000000019</v>
      </c>
    </row>
    <row r="20" spans="1:17" x14ac:dyDescent="0.4">
      <c r="A20" s="55" t="s">
        <v>13</v>
      </c>
      <c r="B20" s="47">
        <v>474</v>
      </c>
      <c r="C20" s="39">
        <f>IF(B$3=0,0,B20/B$3)</f>
        <v>0.16898395721925133</v>
      </c>
      <c r="E20" s="63" t="s">
        <v>76</v>
      </c>
      <c r="F20" s="60" t="s">
        <v>31</v>
      </c>
      <c r="G20" s="47">
        <v>7</v>
      </c>
      <c r="H20" s="133">
        <f>IF(B$17=0,0,G20/B$17)</f>
        <v>8.2547169811320754E-3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0.881325301204818</v>
      </c>
      <c r="P20" s="119">
        <v>166</v>
      </c>
      <c r="Q20" s="107">
        <v>146.29999999999978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5</v>
      </c>
      <c r="H21" s="133">
        <f>IF(B$17=0,0,G21/B$17)</f>
        <v>5.89622641509434E-3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-1.2162162162162178</v>
      </c>
      <c r="P21" s="119">
        <v>74</v>
      </c>
      <c r="Q21" s="107">
        <v>-90.000000000000114</v>
      </c>
    </row>
    <row r="22" spans="1:17" x14ac:dyDescent="0.4">
      <c r="A22" s="55" t="s">
        <v>194</v>
      </c>
      <c r="B22" s="47">
        <v>31</v>
      </c>
      <c r="C22" s="135">
        <v>12</v>
      </c>
      <c r="E22" s="63" t="s">
        <v>93</v>
      </c>
      <c r="F22" s="60" t="s">
        <v>48</v>
      </c>
      <c r="G22" s="47">
        <v>4</v>
      </c>
      <c r="H22" s="133">
        <f>IF(B$17=0,0,G22/B$17)</f>
        <v>4.7169811320754715E-3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8445.9905660377353</v>
      </c>
      <c r="C23" s="41">
        <v>7162200</v>
      </c>
      <c r="E23" s="63" t="s">
        <v>94</v>
      </c>
      <c r="F23" s="60" t="s">
        <v>49</v>
      </c>
      <c r="G23" s="47">
        <v>3</v>
      </c>
      <c r="H23" s="133">
        <f>IF(B$17=0,0,G23/B$17)</f>
        <v>3.5377358490566039E-3</v>
      </c>
      <c r="I23" s="94">
        <v>4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-27.774999999999967</v>
      </c>
      <c r="P23" s="119">
        <v>160</v>
      </c>
      <c r="Q23" s="107">
        <v>-4443.9999999999945</v>
      </c>
    </row>
    <row r="24" spans="1:17" x14ac:dyDescent="0.4">
      <c r="A24" s="57" t="s">
        <v>14</v>
      </c>
      <c r="B24" s="52">
        <f>IF(B$20=0,0,C24/B$20)</f>
        <v>-7958.2278481012654</v>
      </c>
      <c r="C24" s="45">
        <v>-3772200</v>
      </c>
      <c r="E24" s="63" t="s">
        <v>75</v>
      </c>
      <c r="F24" s="60" t="s">
        <v>30</v>
      </c>
      <c r="G24" s="47">
        <v>2</v>
      </c>
      <c r="H24" s="133">
        <f>IF(B$17=0,0,G24/B$17)</f>
        <v>2.3584905660377358E-3</v>
      </c>
      <c r="I24" s="94">
        <v>2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2</v>
      </c>
      <c r="H25" s="133">
        <f>IF(B$17=0,0,G25/B$17)</f>
        <v>2.3584905660377358E-3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2</v>
      </c>
      <c r="H26" s="133">
        <f>IF(B$17=0,0,G26/B$17)</f>
        <v>2.3584905660377358E-3</v>
      </c>
      <c r="I26" s="94">
        <v>3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3.5650623885918001E-3</v>
      </c>
      <c r="E27" s="63" t="s">
        <v>89</v>
      </c>
      <c r="F27" s="60" t="s">
        <v>44</v>
      </c>
      <c r="G27" s="47">
        <v>2</v>
      </c>
      <c r="H27" s="133">
        <f>IF(B$17=0,0,G27/B$17)</f>
        <v>2.3584905660377358E-3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1.1792452830188679E-3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86</v>
      </c>
      <c r="F29" s="60" t="s">
        <v>41</v>
      </c>
      <c r="G29" s="47">
        <v>1</v>
      </c>
      <c r="H29" s="133">
        <f>IF(B$17=0,0,G29/B$17)</f>
        <v>1.1792452830188679E-3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1</v>
      </c>
      <c r="H30" s="133">
        <f>IF(B$17=0,0,G30/B$17)</f>
        <v>1.1792452830188679E-3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1.1792452830188679E-3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-0.99999999999997868</v>
      </c>
    </row>
    <row r="330" spans="11:12" x14ac:dyDescent="0.4">
      <c r="K330" s="38">
        <v>328</v>
      </c>
      <c r="L330" s="99">
        <v>31.500000000000021</v>
      </c>
    </row>
    <row r="331" spans="11:12" x14ac:dyDescent="0.4">
      <c r="K331" s="38">
        <v>329</v>
      </c>
      <c r="L331" s="99">
        <v>37.600000000000023</v>
      </c>
    </row>
    <row r="332" spans="11:12" x14ac:dyDescent="0.4">
      <c r="K332" s="38">
        <v>330</v>
      </c>
      <c r="L332" s="99">
        <v>-0.99999999999997868</v>
      </c>
    </row>
    <row r="333" spans="11:12" x14ac:dyDescent="0.4">
      <c r="K333" s="38">
        <v>331</v>
      </c>
      <c r="L333" s="99">
        <v>-37.799999999999976</v>
      </c>
    </row>
    <row r="334" spans="11:12" x14ac:dyDescent="0.4">
      <c r="K334" s="38">
        <v>332</v>
      </c>
      <c r="L334" s="99">
        <v>0.400000000000027</v>
      </c>
    </row>
    <row r="335" spans="11:12" x14ac:dyDescent="0.4">
      <c r="K335" s="38">
        <v>333</v>
      </c>
      <c r="L335" s="99">
        <v>-0.99999999999997291</v>
      </c>
    </row>
    <row r="336" spans="11:12" x14ac:dyDescent="0.4">
      <c r="K336" s="38">
        <v>334</v>
      </c>
      <c r="L336" s="99">
        <v>9.0000000000000266</v>
      </c>
    </row>
    <row r="337" spans="11:12" x14ac:dyDescent="0.4">
      <c r="K337" s="38">
        <v>335</v>
      </c>
      <c r="L337" s="99">
        <v>-40.699999999999974</v>
      </c>
    </row>
    <row r="338" spans="11:12" x14ac:dyDescent="0.4">
      <c r="K338" s="38">
        <v>336</v>
      </c>
      <c r="L338" s="99">
        <v>-0.99999999999997158</v>
      </c>
    </row>
    <row r="339" spans="11:12" x14ac:dyDescent="0.4">
      <c r="K339" s="38">
        <v>337</v>
      </c>
      <c r="L339" s="99">
        <v>41.500000000000028</v>
      </c>
    </row>
    <row r="340" spans="11:12" x14ac:dyDescent="0.4">
      <c r="K340" s="38">
        <v>338</v>
      </c>
      <c r="L340" s="99">
        <v>2.0000000000000284</v>
      </c>
    </row>
    <row r="341" spans="11:12" x14ac:dyDescent="0.4">
      <c r="K341" s="38">
        <v>339</v>
      </c>
      <c r="L341" s="99">
        <v>-0.99999999999997158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7BBD0-E14B-40E6-B197-6666F3C48543}">
  <sheetPr codeName="Sheet7"/>
  <dimension ref="A1:Q8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80</v>
      </c>
      <c r="C2" s="147"/>
      <c r="E2" s="62" t="s">
        <v>67</v>
      </c>
      <c r="F2" s="59" t="s">
        <v>23</v>
      </c>
      <c r="G2" s="46">
        <v>185</v>
      </c>
      <c r="H2" s="132">
        <f>IF(B$17=0,0,G2/B$17)</f>
        <v>0.75203252032520329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2455</v>
      </c>
      <c r="P2" s="118">
        <v>80</v>
      </c>
      <c r="Q2" s="102">
        <v>196400</v>
      </c>
    </row>
    <row r="3" spans="1:17" x14ac:dyDescent="0.4">
      <c r="A3" s="55" t="s">
        <v>8</v>
      </c>
      <c r="B3" s="148">
        <v>641</v>
      </c>
      <c r="C3" s="149"/>
      <c r="E3" s="63" t="s">
        <v>73</v>
      </c>
      <c r="F3" s="60" t="s">
        <v>28</v>
      </c>
      <c r="G3" s="47">
        <v>130</v>
      </c>
      <c r="H3" s="133">
        <f>IF(B$17=0,0,G3/B$17)</f>
        <v>0.52845528455284552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2855.6962025316457</v>
      </c>
      <c r="P3" s="119">
        <v>79</v>
      </c>
      <c r="Q3" s="103">
        <v>225600</v>
      </c>
    </row>
    <row r="4" spans="1:17" x14ac:dyDescent="0.4">
      <c r="A4" s="55" t="s">
        <v>6</v>
      </c>
      <c r="B4" s="150">
        <v>1481.0000000000007</v>
      </c>
      <c r="C4" s="151"/>
      <c r="E4" s="63" t="s">
        <v>65</v>
      </c>
      <c r="F4" s="60" t="s">
        <v>21</v>
      </c>
      <c r="G4" s="47">
        <v>118</v>
      </c>
      <c r="H4" s="133">
        <f>IF(B$17=0,0,G4/B$17)</f>
        <v>0.47967479674796748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2773.3333333333335</v>
      </c>
      <c r="P4" s="119">
        <v>75</v>
      </c>
      <c r="Q4" s="103">
        <v>208000</v>
      </c>
    </row>
    <row r="5" spans="1:17" x14ac:dyDescent="0.4">
      <c r="A5" s="55" t="s">
        <v>7</v>
      </c>
      <c r="B5" s="152">
        <f>IF(B$2=0,0,B$4/B$2)</f>
        <v>18.51250000000001</v>
      </c>
      <c r="C5" s="153"/>
      <c r="E5" s="63" t="s">
        <v>181</v>
      </c>
      <c r="F5" s="60" t="s">
        <v>182</v>
      </c>
      <c r="G5" s="47">
        <v>104</v>
      </c>
      <c r="H5" s="133">
        <f>IF(B$17=0,0,G5/B$17)</f>
        <v>0.42276422764227645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2760.294117647059</v>
      </c>
      <c r="P5" s="119">
        <v>68</v>
      </c>
      <c r="Q5" s="103">
        <v>187700</v>
      </c>
    </row>
    <row r="6" spans="1:17" x14ac:dyDescent="0.4">
      <c r="A6" s="55" t="s">
        <v>1</v>
      </c>
      <c r="B6" s="142">
        <f>IF(B$2=0,0,(B$7*1+B$8*2+B$9*3)/B$2)</f>
        <v>1.625</v>
      </c>
      <c r="C6" s="143"/>
      <c r="E6" s="63" t="s">
        <v>68</v>
      </c>
      <c r="F6" s="60" t="s">
        <v>24</v>
      </c>
      <c r="G6" s="47">
        <v>80</v>
      </c>
      <c r="H6" s="133">
        <f>IF(B$17=0,0,G6/B$17)</f>
        <v>0.32520325203252032</v>
      </c>
      <c r="I6" s="94">
        <v>4</v>
      </c>
      <c r="K6" s="38">
        <v>4</v>
      </c>
      <c r="L6" s="99">
        <v>110.5</v>
      </c>
      <c r="N6" s="115" t="s">
        <v>136</v>
      </c>
      <c r="O6" s="122">
        <f t="shared" si="0"/>
        <v>-200</v>
      </c>
      <c r="P6" s="119">
        <v>60</v>
      </c>
      <c r="Q6" s="103">
        <v>-12000</v>
      </c>
    </row>
    <row r="7" spans="1:17" x14ac:dyDescent="0.4">
      <c r="A7" s="55" t="s">
        <v>2</v>
      </c>
      <c r="B7" s="47">
        <v>45</v>
      </c>
      <c r="C7" s="39">
        <f>IF(B$2=0,0,B7/B$2)</f>
        <v>0.5625</v>
      </c>
      <c r="E7" s="63" t="s">
        <v>69</v>
      </c>
      <c r="F7" s="60" t="s">
        <v>12</v>
      </c>
      <c r="G7" s="47">
        <v>63</v>
      </c>
      <c r="H7" s="133">
        <f>IF(B$17=0,0,G7/B$17)</f>
        <v>0.25609756097560976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1255.3571428571429</v>
      </c>
      <c r="P7" s="120">
        <v>56</v>
      </c>
      <c r="Q7" s="104">
        <v>70300</v>
      </c>
    </row>
    <row r="8" spans="1:17" x14ac:dyDescent="0.4">
      <c r="A8" s="55" t="s">
        <v>3</v>
      </c>
      <c r="B8" s="47">
        <v>20</v>
      </c>
      <c r="C8" s="39">
        <f>IF(B$2=0,0,B8/B$2)</f>
        <v>0.25</v>
      </c>
      <c r="E8" s="63" t="s">
        <v>70</v>
      </c>
      <c r="F8" s="60" t="s">
        <v>25</v>
      </c>
      <c r="G8" s="47">
        <v>45</v>
      </c>
      <c r="H8" s="133">
        <f>IF(B$17=0,0,G8/B$17)</f>
        <v>0.18292682926829268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0.1875</v>
      </c>
      <c r="E9" s="63" t="s">
        <v>90</v>
      </c>
      <c r="F9" s="60" t="s">
        <v>45</v>
      </c>
      <c r="G9" s="47">
        <v>43</v>
      </c>
      <c r="H9" s="133">
        <f>IF(B$17=0,0,G9/B$17)</f>
        <v>0.17479674796747968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6.25E-2</v>
      </c>
      <c r="E10" s="63" t="s">
        <v>66</v>
      </c>
      <c r="F10" s="60" t="s">
        <v>22</v>
      </c>
      <c r="G10" s="47">
        <v>38</v>
      </c>
      <c r="H10" s="133">
        <f>IF(B$17=0,0,G10/B$17)</f>
        <v>0.15447154471544716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21.395652173913042</v>
      </c>
      <c r="P10" s="118">
        <v>23</v>
      </c>
      <c r="Q10" s="106">
        <v>492.09999999999997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0.17499999999999999</v>
      </c>
      <c r="E11" s="63" t="s">
        <v>71</v>
      </c>
      <c r="F11" s="60" t="s">
        <v>26</v>
      </c>
      <c r="G11" s="47">
        <v>20</v>
      </c>
      <c r="H11" s="133">
        <f>IF(B$17=0,0,G11/B$17)</f>
        <v>8.1300813008130079E-2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13.799999999999999</v>
      </c>
      <c r="P11" s="119">
        <v>24</v>
      </c>
      <c r="Q11" s="107">
        <v>331.2</v>
      </c>
    </row>
    <row r="12" spans="1:17" x14ac:dyDescent="0.4">
      <c r="A12" s="57" t="s">
        <v>160</v>
      </c>
      <c r="B12" s="49">
        <v>16</v>
      </c>
      <c r="C12" s="42">
        <f>IF(B$2=0,0,B12/B$2)</f>
        <v>0.2</v>
      </c>
      <c r="E12" s="63" t="s">
        <v>87</v>
      </c>
      <c r="F12" s="60" t="s">
        <v>42</v>
      </c>
      <c r="G12" s="47">
        <v>20</v>
      </c>
      <c r="H12" s="133">
        <f>IF(B$17=0,0,G12/B$17)</f>
        <v>8.1300813008130079E-2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19.930303030303037</v>
      </c>
      <c r="P12" s="120">
        <v>33</v>
      </c>
      <c r="Q12" s="108">
        <v>657.70000000000016</v>
      </c>
    </row>
    <row r="13" spans="1:17" x14ac:dyDescent="0.4">
      <c r="A13" s="58" t="s">
        <v>122</v>
      </c>
      <c r="B13" s="50">
        <v>212</v>
      </c>
      <c r="C13" s="44">
        <f>IF(B$3=0,0,B13/B$3)</f>
        <v>0.33073322932917315</v>
      </c>
      <c r="E13" s="63" t="s">
        <v>72</v>
      </c>
      <c r="F13" s="60" t="s">
        <v>27</v>
      </c>
      <c r="G13" s="47">
        <v>15</v>
      </c>
      <c r="H13" s="133">
        <f>IF(B$17=0,0,G13/B$17)</f>
        <v>6.097560975609756E-2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152</v>
      </c>
      <c r="C14" s="39">
        <f>IF(B$3=0,0,B14/B$3)</f>
        <v>0.23712948517940718</v>
      </c>
      <c r="E14" s="63" t="s">
        <v>84</v>
      </c>
      <c r="F14" s="60" t="s">
        <v>39</v>
      </c>
      <c r="G14" s="47">
        <v>14</v>
      </c>
      <c r="H14" s="133">
        <f>IF(B$17=0,0,G14/B$17)</f>
        <v>5.6910569105691054E-2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128</v>
      </c>
      <c r="C15" s="37">
        <f>IF(B$13=0,0,B15/B$13)</f>
        <v>0.60377358490566035</v>
      </c>
      <c r="E15" s="63" t="s">
        <v>82</v>
      </c>
      <c r="F15" s="60" t="s">
        <v>37</v>
      </c>
      <c r="G15" s="47">
        <v>8</v>
      </c>
      <c r="H15" s="133">
        <f>IF(B$17=0,0,G15/B$17)</f>
        <v>3.2520325203252036E-2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81</v>
      </c>
      <c r="C16" s="37">
        <f>IF(B$14=0,0,B16/B$14)</f>
        <v>0.53289473684210531</v>
      </c>
      <c r="E16" s="63" t="s">
        <v>180</v>
      </c>
      <c r="F16" s="60" t="s">
        <v>183</v>
      </c>
      <c r="G16" s="47">
        <v>8</v>
      </c>
      <c r="H16" s="133">
        <f>IF(B$17=0,0,G16/B$17)</f>
        <v>3.2520325203252036E-2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55.327272727272742</v>
      </c>
      <c r="P16" s="119">
        <v>22</v>
      </c>
      <c r="Q16" s="107">
        <v>1217.2000000000003</v>
      </c>
    </row>
    <row r="17" spans="1:17" x14ac:dyDescent="0.4">
      <c r="A17" s="54" t="s">
        <v>10</v>
      </c>
      <c r="B17" s="46">
        <f>B19+B18</f>
        <v>246</v>
      </c>
      <c r="C17" s="37">
        <f>IF(B$3=0,0,B17/B$3)</f>
        <v>0.38377535101404059</v>
      </c>
      <c r="E17" s="63" t="s">
        <v>79</v>
      </c>
      <c r="F17" s="60" t="s">
        <v>34</v>
      </c>
      <c r="G17" s="47">
        <v>4</v>
      </c>
      <c r="H17" s="133">
        <f>IF(B$17=0,0,G17/B$17)</f>
        <v>1.6260162601626018E-2</v>
      </c>
      <c r="I17" s="94">
        <v>6</v>
      </c>
      <c r="K17" s="38">
        <v>15</v>
      </c>
      <c r="L17" s="99">
        <v>481.50000000000006</v>
      </c>
      <c r="N17" s="115" t="s">
        <v>177</v>
      </c>
      <c r="O17" s="125">
        <f>IF(P17=0,0,Q17/P17)</f>
        <v>40.06666666666667</v>
      </c>
      <c r="P17" s="119">
        <v>9</v>
      </c>
      <c r="Q17" s="107">
        <v>360.6</v>
      </c>
    </row>
    <row r="18" spans="1:17" x14ac:dyDescent="0.4">
      <c r="A18" s="55" t="s">
        <v>12</v>
      </c>
      <c r="B18" s="47">
        <v>105</v>
      </c>
      <c r="C18" s="39">
        <f>IF(B$17=0,0,B18/B$17)</f>
        <v>0.42682926829268292</v>
      </c>
      <c r="E18" s="63" t="s">
        <v>92</v>
      </c>
      <c r="F18" s="60" t="s">
        <v>47</v>
      </c>
      <c r="G18" s="47">
        <v>4</v>
      </c>
      <c r="H18" s="133">
        <f>IF(B$17=0,0,G18/B$17)</f>
        <v>1.6260162601626018E-2</v>
      </c>
      <c r="I18" s="94">
        <v>5</v>
      </c>
      <c r="K18" s="38">
        <v>16</v>
      </c>
      <c r="L18" s="99">
        <v>425.50000000000006</v>
      </c>
      <c r="N18" s="115" t="s">
        <v>172</v>
      </c>
      <c r="O18" s="125">
        <f>IF(P18=0,0,Q18/P18)</f>
        <v>31.768421052631584</v>
      </c>
      <c r="P18" s="119">
        <v>19</v>
      </c>
      <c r="Q18" s="107">
        <v>603.60000000000014</v>
      </c>
    </row>
    <row r="19" spans="1:17" x14ac:dyDescent="0.4">
      <c r="A19" s="55" t="s">
        <v>11</v>
      </c>
      <c r="B19" s="47">
        <v>141</v>
      </c>
      <c r="C19" s="39">
        <f>IF(B$17=0,0,B19/B$17)</f>
        <v>0.57317073170731703</v>
      </c>
      <c r="E19" s="63" t="s">
        <v>74</v>
      </c>
      <c r="F19" s="60" t="s">
        <v>29</v>
      </c>
      <c r="G19" s="47">
        <v>2</v>
      </c>
      <c r="H19" s="133">
        <f>IF(B$17=0,0,G19/B$17)</f>
        <v>8.130081300813009E-3</v>
      </c>
      <c r="I19" s="94">
        <v>3</v>
      </c>
      <c r="K19" s="38">
        <v>17</v>
      </c>
      <c r="L19" s="99">
        <v>427.40000000000003</v>
      </c>
      <c r="N19" s="115" t="s">
        <v>186</v>
      </c>
      <c r="O19" s="125">
        <f>IF(P19=0,0,Q19/P19)</f>
        <v>28.879999999999995</v>
      </c>
      <c r="P19" s="119">
        <v>5</v>
      </c>
      <c r="Q19" s="107">
        <v>144.39999999999998</v>
      </c>
    </row>
    <row r="20" spans="1:17" x14ac:dyDescent="0.4">
      <c r="A20" s="55" t="s">
        <v>13</v>
      </c>
      <c r="B20" s="47">
        <v>102</v>
      </c>
      <c r="C20" s="39">
        <f>IF(B$3=0,0,B20/B$3)</f>
        <v>0.15912636505460218</v>
      </c>
      <c r="E20" s="63" t="s">
        <v>80</v>
      </c>
      <c r="F20" s="60" t="s">
        <v>35</v>
      </c>
      <c r="G20" s="47">
        <v>2</v>
      </c>
      <c r="H20" s="133">
        <f>IF(B$17=0,0,G20/B$17)</f>
        <v>8.130081300813009E-3</v>
      </c>
      <c r="I20" s="94">
        <v>6</v>
      </c>
      <c r="K20" s="38">
        <v>18</v>
      </c>
      <c r="L20" s="99">
        <v>429.3</v>
      </c>
      <c r="N20" s="115" t="s">
        <v>173</v>
      </c>
      <c r="O20" s="125">
        <f>IF(P20=0,0,Q20/P20)</f>
        <v>26.206666666666663</v>
      </c>
      <c r="P20" s="119">
        <v>15</v>
      </c>
      <c r="Q20" s="107">
        <v>393.09999999999997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4.0650406504065045E-3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8</v>
      </c>
      <c r="E22" s="63" t="s">
        <v>78</v>
      </c>
      <c r="F22" s="60" t="s">
        <v>33</v>
      </c>
      <c r="G22" s="47">
        <v>1</v>
      </c>
      <c r="H22" s="133">
        <f>IF(B$17=0,0,G22/B$17)</f>
        <v>4.0650406504065045E-3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18.615873015873021</v>
      </c>
      <c r="P22" s="119">
        <v>63</v>
      </c>
      <c r="Q22" s="107">
        <v>1172.8000000000004</v>
      </c>
    </row>
    <row r="23" spans="1:17" x14ac:dyDescent="0.4">
      <c r="A23" s="55" t="s">
        <v>5</v>
      </c>
      <c r="B23" s="51">
        <f>IF(B$17=0,0,C23/B$17)</f>
        <v>9298.3739837398371</v>
      </c>
      <c r="C23" s="41">
        <v>2287400</v>
      </c>
      <c r="E23" s="63" t="s">
        <v>88</v>
      </c>
      <c r="F23" s="60" t="s">
        <v>43</v>
      </c>
      <c r="G23" s="47">
        <v>1</v>
      </c>
      <c r="H23" s="133">
        <f>IF(B$17=0,0,G23/B$17)</f>
        <v>4.0650406504065045E-3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18.399999999999991</v>
      </c>
      <c r="P23" s="119">
        <v>25</v>
      </c>
      <c r="Q23" s="107">
        <v>459.99999999999977</v>
      </c>
    </row>
    <row r="24" spans="1:17" x14ac:dyDescent="0.4">
      <c r="A24" s="57" t="s">
        <v>14</v>
      </c>
      <c r="B24" s="52">
        <f>IF(B$20=0,0,C24/B$20)</f>
        <v>-7916.666666666667</v>
      </c>
      <c r="C24" s="45">
        <v>-807500</v>
      </c>
      <c r="E24" s="63" t="s">
        <v>91</v>
      </c>
      <c r="F24" s="60" t="s">
        <v>46</v>
      </c>
      <c r="G24" s="47">
        <v>1</v>
      </c>
      <c r="H24" s="133">
        <f>IF(B$17=0,0,G24/B$17)</f>
        <v>4.0650406504065045E-3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4.0650406504065045E-3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4.0650406504065045E-3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4.0650406504065045E-3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1534.1000000000006</v>
      </c>
    </row>
    <row r="79" spans="11:12" x14ac:dyDescent="0.4">
      <c r="K79" s="38">
        <v>77</v>
      </c>
      <c r="L79" s="99">
        <v>1495.5000000000007</v>
      </c>
    </row>
    <row r="80" spans="11:12" x14ac:dyDescent="0.4">
      <c r="K80" s="38">
        <v>78</v>
      </c>
      <c r="L80" s="99">
        <v>1533.7000000000007</v>
      </c>
    </row>
    <row r="81" spans="11:12" x14ac:dyDescent="0.4">
      <c r="K81" s="38">
        <v>79</v>
      </c>
      <c r="L81" s="99">
        <v>1484.0000000000007</v>
      </c>
    </row>
    <row r="82" spans="11:12" x14ac:dyDescent="0.4">
      <c r="K82" s="38">
        <v>80</v>
      </c>
      <c r="L82" s="99">
        <v>1481.0000000000007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EC517-6584-4A50-A5AE-5EC15FAE0D64}">
  <sheetPr codeName="Sheet9"/>
  <dimension ref="A1:Q8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83</v>
      </c>
      <c r="C2" s="147"/>
      <c r="E2" s="62" t="s">
        <v>67</v>
      </c>
      <c r="F2" s="59" t="s">
        <v>23</v>
      </c>
      <c r="G2" s="46">
        <v>144</v>
      </c>
      <c r="H2" s="132">
        <f>IF(B$17=0,0,G2/B$17)</f>
        <v>0.71641791044776115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1020.4819277108434</v>
      </c>
      <c r="P2" s="118">
        <v>83</v>
      </c>
      <c r="Q2" s="102">
        <v>84700</v>
      </c>
    </row>
    <row r="3" spans="1:17" x14ac:dyDescent="0.4">
      <c r="A3" s="55" t="s">
        <v>8</v>
      </c>
      <c r="B3" s="148">
        <v>691</v>
      </c>
      <c r="C3" s="149"/>
      <c r="E3" s="63" t="s">
        <v>65</v>
      </c>
      <c r="F3" s="60" t="s">
        <v>21</v>
      </c>
      <c r="G3" s="47">
        <v>118</v>
      </c>
      <c r="H3" s="133">
        <f>IF(B$17=0,0,G3/B$17)</f>
        <v>0.58706467661691542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-1984.1463414634147</v>
      </c>
      <c r="P3" s="119">
        <v>82</v>
      </c>
      <c r="Q3" s="103">
        <v>-162700</v>
      </c>
    </row>
    <row r="4" spans="1:17" x14ac:dyDescent="0.4">
      <c r="A4" s="55" t="s">
        <v>6</v>
      </c>
      <c r="B4" s="150">
        <v>-49.100000000000037</v>
      </c>
      <c r="C4" s="151"/>
      <c r="E4" s="63" t="s">
        <v>73</v>
      </c>
      <c r="F4" s="60" t="s">
        <v>28</v>
      </c>
      <c r="G4" s="47">
        <v>92</v>
      </c>
      <c r="H4" s="133">
        <f>IF(B$17=0,0,G4/B$17)</f>
        <v>0.45771144278606968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-1036.7088607594937</v>
      </c>
      <c r="P4" s="119">
        <v>79</v>
      </c>
      <c r="Q4" s="103">
        <v>-81900</v>
      </c>
    </row>
    <row r="5" spans="1:17" x14ac:dyDescent="0.4">
      <c r="A5" s="55" t="s">
        <v>7</v>
      </c>
      <c r="B5" s="152">
        <f>IF(B$2=0,0,B$4/B$2)</f>
        <v>-0.59156626506024146</v>
      </c>
      <c r="C5" s="153"/>
      <c r="E5" s="63" t="s">
        <v>181</v>
      </c>
      <c r="F5" s="60" t="s">
        <v>182</v>
      </c>
      <c r="G5" s="47">
        <v>87</v>
      </c>
      <c r="H5" s="133">
        <f>IF(B$17=0,0,G5/B$17)</f>
        <v>0.43283582089552236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1827.3972602739725</v>
      </c>
      <c r="P5" s="119">
        <v>73</v>
      </c>
      <c r="Q5" s="103">
        <v>133400</v>
      </c>
    </row>
    <row r="6" spans="1:17" x14ac:dyDescent="0.4">
      <c r="A6" s="55" t="s">
        <v>1</v>
      </c>
      <c r="B6" s="142">
        <f>IF(B$2=0,0,(B$7*1+B$8*2+B$9*3)/B$2)</f>
        <v>2.036144578313253</v>
      </c>
      <c r="C6" s="143"/>
      <c r="E6" s="63" t="s">
        <v>68</v>
      </c>
      <c r="F6" s="60" t="s">
        <v>24</v>
      </c>
      <c r="G6" s="47">
        <v>69</v>
      </c>
      <c r="H6" s="133">
        <f>IF(B$17=0,0,G6/B$17)</f>
        <v>0.34328358208955223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703.07692307692309</v>
      </c>
      <c r="P6" s="119">
        <v>65</v>
      </c>
      <c r="Q6" s="103">
        <v>45700</v>
      </c>
    </row>
    <row r="7" spans="1:17" x14ac:dyDescent="0.4">
      <c r="A7" s="55" t="s">
        <v>2</v>
      </c>
      <c r="B7" s="47">
        <v>23</v>
      </c>
      <c r="C7" s="39">
        <f>IF(B$2=0,0,B7/B$2)</f>
        <v>0.27710843373493976</v>
      </c>
      <c r="E7" s="63" t="s">
        <v>69</v>
      </c>
      <c r="F7" s="60" t="s">
        <v>12</v>
      </c>
      <c r="G7" s="47">
        <v>66</v>
      </c>
      <c r="H7" s="133">
        <f>IF(B$17=0,0,G7/B$17)</f>
        <v>0.32835820895522388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253.2258064516129</v>
      </c>
      <c r="P7" s="120">
        <v>62</v>
      </c>
      <c r="Q7" s="104">
        <v>15700</v>
      </c>
    </row>
    <row r="8" spans="1:17" x14ac:dyDescent="0.4">
      <c r="A8" s="55" t="s">
        <v>3</v>
      </c>
      <c r="B8" s="47">
        <v>34</v>
      </c>
      <c r="C8" s="39">
        <f>IF(B$2=0,0,B8/B$2)</f>
        <v>0.40963855421686746</v>
      </c>
      <c r="E8" s="63" t="s">
        <v>70</v>
      </c>
      <c r="F8" s="60" t="s">
        <v>25</v>
      </c>
      <c r="G8" s="47">
        <v>44</v>
      </c>
      <c r="H8" s="133">
        <f>IF(B$17=0,0,G8/B$17)</f>
        <v>0.21890547263681592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0.31325301204819278</v>
      </c>
      <c r="E9" s="63" t="s">
        <v>66</v>
      </c>
      <c r="F9" s="60" t="s">
        <v>22</v>
      </c>
      <c r="G9" s="47">
        <v>34</v>
      </c>
      <c r="H9" s="133">
        <f>IF(B$17=0,0,G9/B$17)</f>
        <v>0.1691542288557214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0.10843373493975904</v>
      </c>
      <c r="E10" s="63" t="s">
        <v>71</v>
      </c>
      <c r="F10" s="60" t="s">
        <v>26</v>
      </c>
      <c r="G10" s="47">
        <v>25</v>
      </c>
      <c r="H10" s="133">
        <f>IF(B$17=0,0,G10/B$17)</f>
        <v>0.12437810945273632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9.0909090909090426E-2</v>
      </c>
      <c r="P10" s="118">
        <v>44</v>
      </c>
      <c r="Q10" s="106">
        <v>3.9999999999999787</v>
      </c>
    </row>
    <row r="11" spans="1:17" x14ac:dyDescent="0.4">
      <c r="A11" s="56" t="s">
        <v>140</v>
      </c>
      <c r="B11" s="48">
        <v>7</v>
      </c>
      <c r="C11" s="40">
        <f>IF(B$2=0,0,B11/B$2)</f>
        <v>8.4337349397590355E-2</v>
      </c>
      <c r="E11" s="63" t="s">
        <v>90</v>
      </c>
      <c r="F11" s="60" t="s">
        <v>45</v>
      </c>
      <c r="G11" s="47">
        <v>19</v>
      </c>
      <c r="H11" s="133">
        <f>IF(B$17=0,0,G11/B$17)</f>
        <v>9.4527363184079602E-2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-6.9349999999999978</v>
      </c>
      <c r="P11" s="119">
        <v>20</v>
      </c>
      <c r="Q11" s="107">
        <v>-138.69999999999996</v>
      </c>
    </row>
    <row r="12" spans="1:17" x14ac:dyDescent="0.4">
      <c r="A12" s="57" t="s">
        <v>160</v>
      </c>
      <c r="B12" s="49">
        <v>6</v>
      </c>
      <c r="C12" s="42">
        <f>IF(B$2=0,0,B12/B$2)</f>
        <v>7.2289156626506021E-2</v>
      </c>
      <c r="E12" s="63" t="s">
        <v>87</v>
      </c>
      <c r="F12" s="60" t="s">
        <v>42</v>
      </c>
      <c r="G12" s="47">
        <v>11</v>
      </c>
      <c r="H12" s="133">
        <f>IF(B$17=0,0,G12/B$17)</f>
        <v>5.4726368159203981E-2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4.5052631578947366</v>
      </c>
      <c r="P12" s="120">
        <v>19</v>
      </c>
      <c r="Q12" s="108">
        <v>85.6</v>
      </c>
    </row>
    <row r="13" spans="1:17" x14ac:dyDescent="0.4">
      <c r="A13" s="58" t="s">
        <v>122</v>
      </c>
      <c r="B13" s="50">
        <v>196</v>
      </c>
      <c r="C13" s="44">
        <f>IF(B$3=0,0,B13/B$3)</f>
        <v>0.28364688856729375</v>
      </c>
      <c r="E13" s="63" t="s">
        <v>72</v>
      </c>
      <c r="F13" s="60" t="s">
        <v>27</v>
      </c>
      <c r="G13" s="47">
        <v>9</v>
      </c>
      <c r="H13" s="133">
        <f>IF(B$17=0,0,G13/B$17)</f>
        <v>4.4776119402985072E-2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135</v>
      </c>
      <c r="C14" s="39">
        <f>IF(B$3=0,0,B14/B$3)</f>
        <v>0.19536903039073805</v>
      </c>
      <c r="E14" s="63" t="s">
        <v>82</v>
      </c>
      <c r="F14" s="60" t="s">
        <v>37</v>
      </c>
      <c r="G14" s="47">
        <v>8</v>
      </c>
      <c r="H14" s="133">
        <f>IF(B$17=0,0,G14/B$17)</f>
        <v>3.9800995024875621E-2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126</v>
      </c>
      <c r="C15" s="37">
        <f>IF(B$13=0,0,B15/B$13)</f>
        <v>0.6428571428571429</v>
      </c>
      <c r="E15" s="63" t="s">
        <v>92</v>
      </c>
      <c r="F15" s="60" t="s">
        <v>47</v>
      </c>
      <c r="G15" s="47">
        <v>6</v>
      </c>
      <c r="H15" s="133">
        <f>IF(B$17=0,0,G15/B$17)</f>
        <v>2.9850746268656716E-2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>IF(P15=0,0,Q15/P15)</f>
        <v>39.480000000000004</v>
      </c>
      <c r="P15" s="118">
        <v>5</v>
      </c>
      <c r="Q15" s="106">
        <v>197.40000000000003</v>
      </c>
    </row>
    <row r="16" spans="1:17" x14ac:dyDescent="0.4">
      <c r="A16" s="54" t="s">
        <v>125</v>
      </c>
      <c r="B16" s="46">
        <v>37</v>
      </c>
      <c r="C16" s="37">
        <f>IF(B$14=0,0,B16/B$14)</f>
        <v>0.27407407407407408</v>
      </c>
      <c r="E16" s="63" t="s">
        <v>84</v>
      </c>
      <c r="F16" s="60" t="s">
        <v>39</v>
      </c>
      <c r="G16" s="47">
        <v>5</v>
      </c>
      <c r="H16" s="133">
        <f>IF(B$17=0,0,G16/B$17)</f>
        <v>2.4875621890547265E-2</v>
      </c>
      <c r="I16" s="94">
        <v>7</v>
      </c>
      <c r="K16" s="38">
        <v>14</v>
      </c>
      <c r="L16" s="99">
        <v>-25.600000000000009</v>
      </c>
      <c r="N16" s="115" t="s">
        <v>129</v>
      </c>
      <c r="O16" s="125">
        <f>IF(P16=0,0,Q16/P16)</f>
        <v>18.078260869565213</v>
      </c>
      <c r="P16" s="119">
        <v>23</v>
      </c>
      <c r="Q16" s="107">
        <v>415.7999999999999</v>
      </c>
    </row>
    <row r="17" spans="1:17" x14ac:dyDescent="0.4">
      <c r="A17" s="54" t="s">
        <v>10</v>
      </c>
      <c r="B17" s="46">
        <f>B19+B18</f>
        <v>201</v>
      </c>
      <c r="C17" s="37">
        <f>IF(B$3=0,0,B17/B$3)</f>
        <v>0.29088277858176553</v>
      </c>
      <c r="E17" s="63" t="s">
        <v>80</v>
      </c>
      <c r="F17" s="60" t="s">
        <v>35</v>
      </c>
      <c r="G17" s="47">
        <v>4</v>
      </c>
      <c r="H17" s="133">
        <f>IF(B$17=0,0,G17/B$17)</f>
        <v>1.9900497512437811E-2</v>
      </c>
      <c r="I17" s="94">
        <v>2</v>
      </c>
      <c r="K17" s="38">
        <v>15</v>
      </c>
      <c r="L17" s="99">
        <v>47.999999999999986</v>
      </c>
      <c r="N17" s="115" t="s">
        <v>177</v>
      </c>
      <c r="O17" s="125">
        <f>IF(P17=0,0,Q17/P17)</f>
        <v>10.178571428571429</v>
      </c>
      <c r="P17" s="119">
        <v>14</v>
      </c>
      <c r="Q17" s="107">
        <v>142.5</v>
      </c>
    </row>
    <row r="18" spans="1:17" x14ac:dyDescent="0.4">
      <c r="A18" s="55" t="s">
        <v>12</v>
      </c>
      <c r="B18" s="47">
        <v>82</v>
      </c>
      <c r="C18" s="39">
        <f>IF(B$17=0,0,B18/B$17)</f>
        <v>0.4079601990049751</v>
      </c>
      <c r="E18" s="63" t="s">
        <v>180</v>
      </c>
      <c r="F18" s="60" t="s">
        <v>183</v>
      </c>
      <c r="G18" s="47">
        <v>4</v>
      </c>
      <c r="H18" s="133">
        <f>IF(B$17=0,0,G18/B$17)</f>
        <v>1.9900497512437811E-2</v>
      </c>
      <c r="I18" s="94">
        <v>3</v>
      </c>
      <c r="K18" s="38">
        <v>16</v>
      </c>
      <c r="L18" s="99">
        <v>41.699999999999989</v>
      </c>
      <c r="N18" s="115" t="s">
        <v>171</v>
      </c>
      <c r="O18" s="125">
        <f>IF(P18=0,0,Q18/P18)</f>
        <v>10.050000000000008</v>
      </c>
      <c r="P18" s="119">
        <v>20</v>
      </c>
      <c r="Q18" s="107">
        <v>201.00000000000017</v>
      </c>
    </row>
    <row r="19" spans="1:17" x14ac:dyDescent="0.4">
      <c r="A19" s="55" t="s">
        <v>11</v>
      </c>
      <c r="B19" s="47">
        <v>119</v>
      </c>
      <c r="C19" s="39">
        <f>IF(B$17=0,0,B19/B$17)</f>
        <v>0.59203980099502485</v>
      </c>
      <c r="E19" s="63" t="s">
        <v>75</v>
      </c>
      <c r="F19" s="60" t="s">
        <v>30</v>
      </c>
      <c r="G19" s="47">
        <v>2</v>
      </c>
      <c r="H19" s="133">
        <f>IF(B$17=0,0,G19/B$17)</f>
        <v>9.9502487562189053E-3</v>
      </c>
      <c r="I19" s="94">
        <v>1</v>
      </c>
      <c r="K19" s="38">
        <v>17</v>
      </c>
      <c r="L19" s="99">
        <v>94.6</v>
      </c>
      <c r="N19" s="115" t="s">
        <v>172</v>
      </c>
      <c r="O19" s="125">
        <f>IF(P19=0,0,Q19/P19)</f>
        <v>4.9727272727272727</v>
      </c>
      <c r="P19" s="119">
        <v>22</v>
      </c>
      <c r="Q19" s="107">
        <v>109.39999999999999</v>
      </c>
    </row>
    <row r="20" spans="1:17" x14ac:dyDescent="0.4">
      <c r="A20" s="55" t="s">
        <v>13</v>
      </c>
      <c r="B20" s="47">
        <v>115</v>
      </c>
      <c r="C20" s="39">
        <f>IF(B$3=0,0,B20/B$3)</f>
        <v>0.16642547033285093</v>
      </c>
      <c r="E20" s="63" t="s">
        <v>76</v>
      </c>
      <c r="F20" s="60" t="s">
        <v>31</v>
      </c>
      <c r="G20" s="47">
        <v>2</v>
      </c>
      <c r="H20" s="133">
        <f>IF(B$17=0,0,G20/B$17)</f>
        <v>9.9502487562189053E-3</v>
      </c>
      <c r="I20" s="94">
        <v>4</v>
      </c>
      <c r="K20" s="38">
        <v>18</v>
      </c>
      <c r="L20" s="99">
        <v>116.69999999999999</v>
      </c>
      <c r="N20" s="115" t="s">
        <v>173</v>
      </c>
      <c r="O20" s="125">
        <f>IF(P20=0,0,Q20/P20)</f>
        <v>-2.0842105263157902</v>
      </c>
      <c r="P20" s="119">
        <v>19</v>
      </c>
      <c r="Q20" s="107">
        <v>-39.600000000000016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9.9502487562189053E-3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>IF(P21=0,0,Q21/P21)</f>
        <v>-18.615873015873021</v>
      </c>
      <c r="P21" s="119">
        <v>63</v>
      </c>
      <c r="Q21" s="107">
        <v>-1172.8000000000004</v>
      </c>
    </row>
    <row r="22" spans="1:17" x14ac:dyDescent="0.4">
      <c r="A22" s="55" t="s">
        <v>194</v>
      </c>
      <c r="B22" s="47">
        <v>24</v>
      </c>
      <c r="C22" s="135">
        <v>16</v>
      </c>
      <c r="E22" s="63" t="s">
        <v>74</v>
      </c>
      <c r="F22" s="60" t="s">
        <v>29</v>
      </c>
      <c r="G22" s="47">
        <v>1</v>
      </c>
      <c r="H22" s="133">
        <f>IF(B$17=0,0,G22/B$17)</f>
        <v>4.9751243781094526E-3</v>
      </c>
      <c r="I22" s="94">
        <v>5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9062.1890547263683</v>
      </c>
      <c r="C23" s="41">
        <v>1821500</v>
      </c>
      <c r="E23" s="63" t="s">
        <v>78</v>
      </c>
      <c r="F23" s="60" t="s">
        <v>33</v>
      </c>
      <c r="G23" s="47">
        <v>1</v>
      </c>
      <c r="H23" s="133">
        <f>IF(B$17=0,0,G23/B$17)</f>
        <v>4.9751243781094526E-3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-7416.521739130435</v>
      </c>
      <c r="C24" s="45">
        <v>-852900</v>
      </c>
      <c r="E24" s="63" t="s">
        <v>85</v>
      </c>
      <c r="F24" s="60" t="s">
        <v>40</v>
      </c>
      <c r="G24" s="47">
        <v>1</v>
      </c>
      <c r="H24" s="133">
        <f>IF(B$17=0,0,G24/B$17)</f>
        <v>4.9751243781094526E-3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4.9751243781094526E-3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4.9751243781094526E-3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7.2358900144717797E-3</v>
      </c>
      <c r="E27" s="63" t="s">
        <v>94</v>
      </c>
      <c r="F27" s="60" t="s">
        <v>49</v>
      </c>
      <c r="G27" s="47">
        <v>1</v>
      </c>
      <c r="H27" s="133">
        <f>IF(B$17=0,0,G27/B$17)</f>
        <v>4.9751243781094526E-3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99AC-C717-444E-8339-6CA9E8556F9E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33</v>
      </c>
      <c r="C2" s="147"/>
      <c r="E2" s="62" t="s">
        <v>67</v>
      </c>
      <c r="F2" s="59" t="s">
        <v>23</v>
      </c>
      <c r="G2" s="46">
        <v>47</v>
      </c>
      <c r="H2" s="132">
        <f>IF(B$17=0,0,G2/B$17)</f>
        <v>0.87037037037037035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-2654.5454545454545</v>
      </c>
      <c r="P2" s="118">
        <v>33</v>
      </c>
      <c r="Q2" s="102">
        <v>-87600</v>
      </c>
    </row>
    <row r="3" spans="1:17" x14ac:dyDescent="0.4">
      <c r="A3" s="55" t="s">
        <v>8</v>
      </c>
      <c r="B3" s="148">
        <v>274</v>
      </c>
      <c r="C3" s="149"/>
      <c r="E3" s="63" t="s">
        <v>65</v>
      </c>
      <c r="F3" s="60" t="s">
        <v>21</v>
      </c>
      <c r="G3" s="47">
        <v>30</v>
      </c>
      <c r="H3" s="133">
        <f>IF(B$17=0,0,G3/B$17)</f>
        <v>0.55555555555555558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-3975.757575757576</v>
      </c>
      <c r="P3" s="119">
        <v>33</v>
      </c>
      <c r="Q3" s="103">
        <v>-131200</v>
      </c>
    </row>
    <row r="4" spans="1:17" x14ac:dyDescent="0.4">
      <c r="A4" s="55" t="s">
        <v>6</v>
      </c>
      <c r="B4" s="150">
        <v>-878.19999999999993</v>
      </c>
      <c r="C4" s="151"/>
      <c r="E4" s="63" t="s">
        <v>69</v>
      </c>
      <c r="F4" s="60" t="s">
        <v>12</v>
      </c>
      <c r="G4" s="47">
        <v>23</v>
      </c>
      <c r="H4" s="133">
        <f>IF(B$17=0,0,G4/B$17)</f>
        <v>0.42592592592592593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-3220</v>
      </c>
      <c r="P4" s="119">
        <v>30</v>
      </c>
      <c r="Q4" s="103">
        <v>-96600</v>
      </c>
    </row>
    <row r="5" spans="1:17" x14ac:dyDescent="0.4">
      <c r="A5" s="55" t="s">
        <v>7</v>
      </c>
      <c r="B5" s="152">
        <f>IF(B$2=0,0,B$4/B$2)</f>
        <v>-26.61212121212121</v>
      </c>
      <c r="C5" s="153"/>
      <c r="E5" s="63" t="s">
        <v>181</v>
      </c>
      <c r="F5" s="60" t="s">
        <v>182</v>
      </c>
      <c r="G5" s="47">
        <v>21</v>
      </c>
      <c r="H5" s="133">
        <f>IF(B$17=0,0,G5/B$17)</f>
        <v>0.3888888888888889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-6907.4074074074078</v>
      </c>
      <c r="P5" s="119">
        <v>27</v>
      </c>
      <c r="Q5" s="103">
        <v>-186500</v>
      </c>
    </row>
    <row r="6" spans="1:17" x14ac:dyDescent="0.4">
      <c r="A6" s="55" t="s">
        <v>1</v>
      </c>
      <c r="B6" s="142">
        <f>IF(B$2=0,0,(B$7*1+B$8*2+B$9*3)/B$2)</f>
        <v>2.4545454545454546</v>
      </c>
      <c r="C6" s="143"/>
      <c r="E6" s="63" t="s">
        <v>73</v>
      </c>
      <c r="F6" s="60" t="s">
        <v>28</v>
      </c>
      <c r="G6" s="47">
        <v>18</v>
      </c>
      <c r="H6" s="133">
        <f>IF(B$17=0,0,G6/B$17)</f>
        <v>0.33333333333333331</v>
      </c>
      <c r="I6" s="94">
        <v>11</v>
      </c>
      <c r="K6" s="38">
        <v>4</v>
      </c>
      <c r="L6" s="99">
        <v>-31.4</v>
      </c>
      <c r="N6" s="115" t="s">
        <v>136</v>
      </c>
      <c r="O6" s="122">
        <f t="shared" si="0"/>
        <v>-3265.217391304348</v>
      </c>
      <c r="P6" s="119">
        <v>23</v>
      </c>
      <c r="Q6" s="103">
        <v>-75100</v>
      </c>
    </row>
    <row r="7" spans="1:17" x14ac:dyDescent="0.4">
      <c r="A7" s="55" t="s">
        <v>2</v>
      </c>
      <c r="B7" s="47">
        <v>5</v>
      </c>
      <c r="C7" s="39">
        <f>IF(B$2=0,0,B7/B$2)</f>
        <v>0.15151515151515152</v>
      </c>
      <c r="E7" s="63" t="s">
        <v>68</v>
      </c>
      <c r="F7" s="60" t="s">
        <v>24</v>
      </c>
      <c r="G7" s="47">
        <v>17</v>
      </c>
      <c r="H7" s="133">
        <f>IF(B$17=0,0,G7/B$17)</f>
        <v>0.31481481481481483</v>
      </c>
      <c r="I7" s="94">
        <v>5</v>
      </c>
      <c r="K7" s="38">
        <v>5</v>
      </c>
      <c r="L7" s="99">
        <v>-32.199999999999996</v>
      </c>
      <c r="N7" s="116" t="s">
        <v>137</v>
      </c>
      <c r="O7" s="123">
        <f t="shared" si="0"/>
        <v>-1422.7272727272727</v>
      </c>
      <c r="P7" s="120">
        <v>22</v>
      </c>
      <c r="Q7" s="104">
        <v>-31300</v>
      </c>
    </row>
    <row r="8" spans="1:17" x14ac:dyDescent="0.4">
      <c r="A8" s="55" t="s">
        <v>3</v>
      </c>
      <c r="B8" s="47">
        <v>8</v>
      </c>
      <c r="C8" s="39">
        <f>IF(B$2=0,0,B8/B$2)</f>
        <v>0.24242424242424243</v>
      </c>
      <c r="E8" s="63" t="s">
        <v>70</v>
      </c>
      <c r="F8" s="60" t="s">
        <v>25</v>
      </c>
      <c r="G8" s="47">
        <v>13</v>
      </c>
      <c r="H8" s="133">
        <f>IF(B$17=0,0,G8/B$17)</f>
        <v>0.24074074074074073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0.60606060606060608</v>
      </c>
      <c r="E9" s="63" t="s">
        <v>71</v>
      </c>
      <c r="F9" s="60" t="s">
        <v>26</v>
      </c>
      <c r="G9" s="47">
        <v>10</v>
      </c>
      <c r="H9" s="133">
        <f>IF(B$17=0,0,G9/B$17)</f>
        <v>0.18518518518518517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0.24242424242424243</v>
      </c>
      <c r="E10" s="63" t="s">
        <v>72</v>
      </c>
      <c r="F10" s="60" t="s">
        <v>27</v>
      </c>
      <c r="G10" s="47">
        <v>5</v>
      </c>
      <c r="H10" s="133">
        <f>IF(B$17=0,0,G10/B$17)</f>
        <v>9.2592592592592587E-2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-27.736363636363635</v>
      </c>
      <c r="P10" s="118">
        <v>11</v>
      </c>
      <c r="Q10" s="106">
        <v>-305.09999999999997</v>
      </c>
    </row>
    <row r="11" spans="1:17" x14ac:dyDescent="0.4">
      <c r="A11" s="56" t="s">
        <v>140</v>
      </c>
      <c r="B11" s="48">
        <v>1</v>
      </c>
      <c r="C11" s="40">
        <f>IF(B$2=0,0,B11/B$2)</f>
        <v>3.0303030303030304E-2</v>
      </c>
      <c r="E11" s="63" t="s">
        <v>90</v>
      </c>
      <c r="F11" s="60" t="s">
        <v>45</v>
      </c>
      <c r="G11" s="47">
        <v>5</v>
      </c>
      <c r="H11" s="133">
        <f>IF(B$17=0,0,G11/B$17)</f>
        <v>9.2592592592592587E-2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-20.028571428571432</v>
      </c>
      <c r="P11" s="119">
        <v>14</v>
      </c>
      <c r="Q11" s="107">
        <v>-280.40000000000003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66</v>
      </c>
      <c r="F12" s="60" t="s">
        <v>22</v>
      </c>
      <c r="G12" s="47">
        <v>4</v>
      </c>
      <c r="H12" s="133">
        <f>IF(B$17=0,0,G12/B$17)</f>
        <v>7.407407407407407E-2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-36.587499999999999</v>
      </c>
      <c r="P12" s="120">
        <v>8</v>
      </c>
      <c r="Q12" s="108">
        <v>-292.7</v>
      </c>
    </row>
    <row r="13" spans="1:17" x14ac:dyDescent="0.4">
      <c r="A13" s="58" t="s">
        <v>122</v>
      </c>
      <c r="B13" s="50">
        <v>66</v>
      </c>
      <c r="C13" s="44">
        <f>IF(B$3=0,0,B13/B$3)</f>
        <v>0.24087591240875914</v>
      </c>
      <c r="E13" s="63" t="s">
        <v>87</v>
      </c>
      <c r="F13" s="60" t="s">
        <v>42</v>
      </c>
      <c r="G13" s="47">
        <v>2</v>
      </c>
      <c r="H13" s="133">
        <f>IF(B$17=0,0,G13/B$17)</f>
        <v>3.7037037037037035E-2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40</v>
      </c>
      <c r="C14" s="39">
        <f>IF(B$3=0,0,B14/B$3)</f>
        <v>0.145985401459854</v>
      </c>
      <c r="E14" s="63" t="s">
        <v>79</v>
      </c>
      <c r="F14" s="60" t="s">
        <v>34</v>
      </c>
      <c r="G14" s="47">
        <v>1</v>
      </c>
      <c r="H14" s="133">
        <f>IF(B$17=0,0,G14/B$17)</f>
        <v>1.8518518518518517E-2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</v>
      </c>
      <c r="C15" s="37">
        <f>IF(B$13=0,0,B15/B$13)</f>
        <v>0.46969696969696972</v>
      </c>
      <c r="E15" s="63" t="s">
        <v>82</v>
      </c>
      <c r="F15" s="60" t="s">
        <v>37</v>
      </c>
      <c r="G15" s="47">
        <v>1</v>
      </c>
      <c r="H15" s="133">
        <f>IF(B$17=0,0,G15/B$17)</f>
        <v>1.8518518518518517E-2</v>
      </c>
      <c r="I15" s="94">
        <v>7</v>
      </c>
      <c r="K15" s="38">
        <v>13</v>
      </c>
      <c r="L15" s="99">
        <v>-369.1</v>
      </c>
      <c r="N15" s="114" t="s">
        <v>177</v>
      </c>
      <c r="O15" s="124">
        <f>IF(P15=0,0,Q15/P15)</f>
        <v>69.466666666666669</v>
      </c>
      <c r="P15" s="118">
        <v>3</v>
      </c>
      <c r="Q15" s="106">
        <v>208.4</v>
      </c>
    </row>
    <row r="16" spans="1:17" x14ac:dyDescent="0.4">
      <c r="A16" s="54" t="s">
        <v>125</v>
      </c>
      <c r="B16" s="46">
        <v>7</v>
      </c>
      <c r="C16" s="37">
        <f>IF(B$14=0,0,B16/B$14)</f>
        <v>0.17499999999999999</v>
      </c>
      <c r="E16" s="63" t="s">
        <v>84</v>
      </c>
      <c r="F16" s="60" t="s">
        <v>39</v>
      </c>
      <c r="G16" s="47">
        <v>1</v>
      </c>
      <c r="H16" s="133">
        <f>IF(B$17=0,0,G16/B$17)</f>
        <v>1.8518518518518517E-2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-18.078260869565209</v>
      </c>
      <c r="P16" s="119">
        <v>23</v>
      </c>
      <c r="Q16" s="107">
        <v>-415.79999999999984</v>
      </c>
    </row>
    <row r="17" spans="1:17" x14ac:dyDescent="0.4">
      <c r="A17" s="54" t="s">
        <v>10</v>
      </c>
      <c r="B17" s="46">
        <f>B19+B18</f>
        <v>54</v>
      </c>
      <c r="C17" s="37">
        <f>IF(B$3=0,0,B17/B$3)</f>
        <v>0.19708029197080293</v>
      </c>
      <c r="E17" s="63" t="s">
        <v>88</v>
      </c>
      <c r="F17" s="60" t="s">
        <v>43</v>
      </c>
      <c r="G17" s="47">
        <v>1</v>
      </c>
      <c r="H17" s="133">
        <f>IF(B$17=0,0,G17/B$17)</f>
        <v>1.8518518518518517E-2</v>
      </c>
      <c r="I17" s="94">
        <v>1</v>
      </c>
      <c r="K17" s="38">
        <v>15</v>
      </c>
      <c r="L17" s="99">
        <v>-424.5</v>
      </c>
      <c r="N17" s="115" t="s">
        <v>173</v>
      </c>
      <c r="O17" s="125">
        <f>IF(P17=0,0,Q17/P17)</f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29</v>
      </c>
      <c r="C18" s="39">
        <f>IF(B$17=0,0,B18/B$17)</f>
        <v>0.53703703703703709</v>
      </c>
      <c r="E18" s="63" t="s">
        <v>89</v>
      </c>
      <c r="F18" s="60" t="s">
        <v>44</v>
      </c>
      <c r="G18" s="47">
        <v>1</v>
      </c>
      <c r="H18" s="133">
        <f>IF(B$17=0,0,G18/B$17)</f>
        <v>1.8518518518518517E-2</v>
      </c>
      <c r="I18" s="94">
        <v>1</v>
      </c>
      <c r="K18" s="38">
        <v>16</v>
      </c>
      <c r="L18" s="99">
        <v>-472</v>
      </c>
      <c r="N18" s="115" t="s">
        <v>127</v>
      </c>
      <c r="O18" s="125">
        <f>IF(P18=0,0,Q18/P18)</f>
        <v>-55.327272727272749</v>
      </c>
      <c r="P18" s="119">
        <v>22</v>
      </c>
      <c r="Q18" s="107">
        <v>-1217.2000000000005</v>
      </c>
    </row>
    <row r="19" spans="1:17" x14ac:dyDescent="0.4">
      <c r="A19" s="55" t="s">
        <v>11</v>
      </c>
      <c r="B19" s="47">
        <v>25</v>
      </c>
      <c r="C19" s="39">
        <f>IF(B$17=0,0,B19/B$17)</f>
        <v>0.46296296296296297</v>
      </c>
      <c r="E19" s="63" t="s">
        <v>94</v>
      </c>
      <c r="F19" s="60" t="s">
        <v>49</v>
      </c>
      <c r="G19" s="47">
        <v>1</v>
      </c>
      <c r="H19" s="133">
        <f>IF(B$17=0,0,G19/B$17)</f>
        <v>1.8518518518518517E-2</v>
      </c>
      <c r="I19" s="94">
        <v>1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54</v>
      </c>
      <c r="C20" s="39">
        <f>IF(B$3=0,0,B20/B$3)</f>
        <v>0.19708029197080293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8348.1481481481478</v>
      </c>
      <c r="C23" s="41">
        <v>450800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-9922.2222222222226</v>
      </c>
      <c r="C24" s="45">
        <v>-535800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3.6496350364963502E-3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7D88B-F3FB-4888-8591-3D1E7994940B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67</v>
      </c>
      <c r="F2" s="59" t="s">
        <v>23</v>
      </c>
      <c r="G2" s="46">
        <v>58</v>
      </c>
      <c r="H2" s="132">
        <f>IF(B$17=0,0,G2/B$17)</f>
        <v>0.6987951807228916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-492.5</v>
      </c>
      <c r="P2" s="118">
        <v>40</v>
      </c>
      <c r="Q2" s="102">
        <v>-19700</v>
      </c>
    </row>
    <row r="3" spans="1:17" x14ac:dyDescent="0.4">
      <c r="A3" s="55" t="s">
        <v>8</v>
      </c>
      <c r="B3" s="148">
        <v>334</v>
      </c>
      <c r="C3" s="149"/>
      <c r="E3" s="63" t="s">
        <v>65</v>
      </c>
      <c r="F3" s="60" t="s">
        <v>21</v>
      </c>
      <c r="G3" s="47">
        <v>44</v>
      </c>
      <c r="H3" s="133">
        <f>IF(B$17=0,0,G3/B$17)</f>
        <v>0.53012048192771088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660</v>
      </c>
      <c r="P3" s="119">
        <v>40</v>
      </c>
      <c r="Q3" s="103">
        <v>26400</v>
      </c>
    </row>
    <row r="4" spans="1:17" x14ac:dyDescent="0.4">
      <c r="A4" s="55" t="s">
        <v>6</v>
      </c>
      <c r="B4" s="150">
        <v>-65.2</v>
      </c>
      <c r="C4" s="151"/>
      <c r="E4" s="63" t="s">
        <v>73</v>
      </c>
      <c r="F4" s="60" t="s">
        <v>28</v>
      </c>
      <c r="G4" s="47">
        <v>41</v>
      </c>
      <c r="H4" s="133">
        <f>IF(B$17=0,0,G4/B$17)</f>
        <v>0.49397590361445781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1028.9473684210527</v>
      </c>
      <c r="P4" s="119">
        <v>38</v>
      </c>
      <c r="Q4" s="103">
        <v>39100</v>
      </c>
    </row>
    <row r="5" spans="1:17" x14ac:dyDescent="0.4">
      <c r="A5" s="55" t="s">
        <v>7</v>
      </c>
      <c r="B5" s="152">
        <f>IF(B$2=0,0,B$4/B$2)</f>
        <v>-1.6300000000000001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0.30120481927710846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-200</v>
      </c>
      <c r="P5" s="119">
        <v>34</v>
      </c>
      <c r="Q5" s="103">
        <v>-6800</v>
      </c>
    </row>
    <row r="6" spans="1:17" x14ac:dyDescent="0.4">
      <c r="A6" s="55" t="s">
        <v>1</v>
      </c>
      <c r="B6" s="142">
        <f>IF(B$2=0,0,(B$7*1+B$8*2+B$9*3)/B$2)</f>
        <v>2.1</v>
      </c>
      <c r="C6" s="143"/>
      <c r="E6" s="63" t="s">
        <v>68</v>
      </c>
      <c r="F6" s="60" t="s">
        <v>24</v>
      </c>
      <c r="G6" s="47">
        <v>20</v>
      </c>
      <c r="H6" s="133">
        <f>IF(B$17=0,0,G6/B$17)</f>
        <v>0.24096385542168675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-741.93548387096769</v>
      </c>
      <c r="P6" s="119">
        <v>31</v>
      </c>
      <c r="Q6" s="103">
        <v>-23000</v>
      </c>
    </row>
    <row r="7" spans="1:17" x14ac:dyDescent="0.4">
      <c r="A7" s="55" t="s">
        <v>2</v>
      </c>
      <c r="B7" s="47">
        <v>10</v>
      </c>
      <c r="C7" s="39">
        <f>IF(B$2=0,0,B7/B$2)</f>
        <v>0.25</v>
      </c>
      <c r="E7" s="63" t="s">
        <v>69</v>
      </c>
      <c r="F7" s="60" t="s">
        <v>12</v>
      </c>
      <c r="G7" s="47">
        <v>20</v>
      </c>
      <c r="H7" s="133">
        <f>IF(B$17=0,0,G7/B$17)</f>
        <v>0.24096385542168675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234.48275862068965</v>
      </c>
      <c r="P7" s="120">
        <v>29</v>
      </c>
      <c r="Q7" s="104">
        <v>6800</v>
      </c>
    </row>
    <row r="8" spans="1:17" x14ac:dyDescent="0.4">
      <c r="A8" s="55" t="s">
        <v>3</v>
      </c>
      <c r="B8" s="47">
        <v>16</v>
      </c>
      <c r="C8" s="39">
        <f>IF(B$2=0,0,B8/B$2)</f>
        <v>0.4</v>
      </c>
      <c r="E8" s="63" t="s">
        <v>70</v>
      </c>
      <c r="F8" s="60" t="s">
        <v>25</v>
      </c>
      <c r="G8" s="47">
        <v>18</v>
      </c>
      <c r="H8" s="133">
        <f>IF(B$17=0,0,G8/B$17)</f>
        <v>0.21686746987951808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66</v>
      </c>
      <c r="F9" s="60" t="s">
        <v>22</v>
      </c>
      <c r="G9" s="47">
        <v>13</v>
      </c>
      <c r="H9" s="133">
        <f>IF(B$17=0,0,G9/B$17)</f>
        <v>0.15662650602409639</v>
      </c>
      <c r="I9" s="94">
        <v>2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2.5000000000000001E-2</v>
      </c>
      <c r="E10" s="63" t="s">
        <v>90</v>
      </c>
      <c r="F10" s="60" t="s">
        <v>45</v>
      </c>
      <c r="G10" s="47">
        <v>13</v>
      </c>
      <c r="H10" s="133">
        <f>IF(B$17=0,0,G10/B$17)</f>
        <v>0.15662650602409639</v>
      </c>
      <c r="I10" s="94">
        <v>5</v>
      </c>
      <c r="K10" s="38">
        <v>8</v>
      </c>
      <c r="L10" s="99">
        <v>-1.7000000000000028</v>
      </c>
      <c r="N10" s="114" t="s">
        <v>164</v>
      </c>
      <c r="O10" s="124">
        <f>IF(P10=0,0,Q10/P10)</f>
        <v>9.3999999999999986</v>
      </c>
      <c r="P10" s="118">
        <v>8</v>
      </c>
      <c r="Q10" s="106">
        <v>75.199999999999989</v>
      </c>
    </row>
    <row r="11" spans="1:17" x14ac:dyDescent="0.4">
      <c r="A11" s="56" t="s">
        <v>140</v>
      </c>
      <c r="B11" s="48">
        <v>5</v>
      </c>
      <c r="C11" s="40">
        <f>IF(B$2=0,0,B11/B$2)</f>
        <v>0.125</v>
      </c>
      <c r="E11" s="63" t="s">
        <v>71</v>
      </c>
      <c r="F11" s="60" t="s">
        <v>26</v>
      </c>
      <c r="G11" s="47">
        <v>11</v>
      </c>
      <c r="H11" s="133">
        <f>IF(B$17=0,0,G11/B$17)</f>
        <v>0.13253012048192772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-7.9999999999999982</v>
      </c>
      <c r="P11" s="119">
        <v>17</v>
      </c>
      <c r="Q11" s="107">
        <v>-135.99999999999997</v>
      </c>
    </row>
    <row r="12" spans="1:17" x14ac:dyDescent="0.4">
      <c r="A12" s="57" t="s">
        <v>160</v>
      </c>
      <c r="B12" s="49">
        <v>4</v>
      </c>
      <c r="C12" s="42">
        <f>IF(B$2=0,0,B12/B$2)</f>
        <v>0.1</v>
      </c>
      <c r="E12" s="63" t="s">
        <v>87</v>
      </c>
      <c r="F12" s="60" t="s">
        <v>42</v>
      </c>
      <c r="G12" s="47">
        <v>7</v>
      </c>
      <c r="H12" s="133">
        <f>IF(B$17=0,0,G12/B$17)</f>
        <v>8.4337349397590355E-2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-0.29333333333333367</v>
      </c>
      <c r="P12" s="120">
        <v>15</v>
      </c>
      <c r="Q12" s="108">
        <v>-4.4000000000000048</v>
      </c>
    </row>
    <row r="13" spans="1:17" x14ac:dyDescent="0.4">
      <c r="A13" s="58" t="s">
        <v>122</v>
      </c>
      <c r="B13" s="50">
        <v>83</v>
      </c>
      <c r="C13" s="44">
        <f>IF(B$3=0,0,B13/B$3)</f>
        <v>0.24850299401197604</v>
      </c>
      <c r="E13" s="63" t="s">
        <v>72</v>
      </c>
      <c r="F13" s="60" t="s">
        <v>27</v>
      </c>
      <c r="G13" s="47">
        <v>6</v>
      </c>
      <c r="H13" s="133">
        <f>IF(B$17=0,0,G13/B$17)</f>
        <v>7.2289156626506021E-2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57</v>
      </c>
      <c r="C14" s="39">
        <f>IF(B$3=0,0,B14/B$3)</f>
        <v>0.17065868263473055</v>
      </c>
      <c r="E14" s="63" t="s">
        <v>84</v>
      </c>
      <c r="F14" s="60" t="s">
        <v>39</v>
      </c>
      <c r="G14" s="47">
        <v>4</v>
      </c>
      <c r="H14" s="133">
        <f>IF(B$17=0,0,G14/B$17)</f>
        <v>4.8192771084337352E-2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0.5662650602409639</v>
      </c>
      <c r="E15" s="63" t="s">
        <v>79</v>
      </c>
      <c r="F15" s="60" t="s">
        <v>34</v>
      </c>
      <c r="G15" s="47">
        <v>3</v>
      </c>
      <c r="H15" s="133">
        <f>IF(B$17=0,0,G15/B$17)</f>
        <v>3.614457831325301E-2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19</v>
      </c>
      <c r="C16" s="37">
        <f>IF(B$14=0,0,B16/B$14)</f>
        <v>0.33333333333333331</v>
      </c>
      <c r="E16" s="63" t="s">
        <v>76</v>
      </c>
      <c r="F16" s="60" t="s">
        <v>31</v>
      </c>
      <c r="G16" s="47">
        <v>2</v>
      </c>
      <c r="H16" s="133">
        <f>IF(B$17=0,0,G16/B$17)</f>
        <v>2.4096385542168676E-2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83</v>
      </c>
      <c r="C17" s="37">
        <f>IF(B$3=0,0,B17/B$3)</f>
        <v>0.24850299401197604</v>
      </c>
      <c r="E17" s="63" t="s">
        <v>93</v>
      </c>
      <c r="F17" s="60" t="s">
        <v>48</v>
      </c>
      <c r="G17" s="47">
        <v>2</v>
      </c>
      <c r="H17" s="133">
        <f>IF(B$17=0,0,G17/B$17)</f>
        <v>2.4096385542168676E-2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11.7</v>
      </c>
      <c r="P17" s="119">
        <v>13</v>
      </c>
      <c r="Q17" s="107">
        <v>152.1</v>
      </c>
    </row>
    <row r="18" spans="1:17" x14ac:dyDescent="0.4">
      <c r="A18" s="55" t="s">
        <v>12</v>
      </c>
      <c r="B18" s="47">
        <v>28</v>
      </c>
      <c r="C18" s="39">
        <f>IF(B$17=0,0,B18/B$17)</f>
        <v>0.33734939759036142</v>
      </c>
      <c r="E18" s="63" t="s">
        <v>180</v>
      </c>
      <c r="F18" s="60" t="s">
        <v>183</v>
      </c>
      <c r="G18" s="47">
        <v>2</v>
      </c>
      <c r="H18" s="133">
        <f>IF(B$17=0,0,G18/B$17)</f>
        <v>2.4096385542168676E-2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-3.9363636363636374</v>
      </c>
      <c r="P18" s="119">
        <v>11</v>
      </c>
      <c r="Q18" s="107">
        <v>-43.300000000000011</v>
      </c>
    </row>
    <row r="19" spans="1:17" x14ac:dyDescent="0.4">
      <c r="A19" s="55" t="s">
        <v>11</v>
      </c>
      <c r="B19" s="47">
        <v>55</v>
      </c>
      <c r="C19" s="39">
        <f>IF(B$17=0,0,B19/B$17)</f>
        <v>0.66265060240963858</v>
      </c>
      <c r="E19" s="63" t="s">
        <v>82</v>
      </c>
      <c r="F19" s="60" t="s">
        <v>37</v>
      </c>
      <c r="G19" s="47">
        <v>1</v>
      </c>
      <c r="H19" s="133">
        <f>IF(B$17=0,0,G19/B$17)</f>
        <v>1.2048192771084338E-2</v>
      </c>
      <c r="I19" s="94">
        <v>8</v>
      </c>
      <c r="K19" s="38">
        <v>17</v>
      </c>
      <c r="L19" s="99">
        <v>-74.3</v>
      </c>
      <c r="N19" s="115" t="s">
        <v>128</v>
      </c>
      <c r="O19" s="125">
        <f>IF(P19=0,0,Q19/P19)</f>
        <v>-10.050000000000008</v>
      </c>
      <c r="P19" s="119">
        <v>20</v>
      </c>
      <c r="Q19" s="107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0.15269461077844312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-18.399999999999995</v>
      </c>
      <c r="P21" s="119">
        <v>25</v>
      </c>
      <c r="Q21" s="107">
        <v>-459.99999999999989</v>
      </c>
    </row>
    <row r="22" spans="1:17" x14ac:dyDescent="0.4">
      <c r="A22" s="55" t="s">
        <v>194</v>
      </c>
      <c r="B22" s="47">
        <v>20</v>
      </c>
      <c r="C22" s="135">
        <v>15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8744.5783132530123</v>
      </c>
      <c r="C23" s="41">
        <v>725800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-7225.4901960784309</v>
      </c>
      <c r="C24" s="45">
        <v>-368500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2.9940119760479044E-3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96AD8-A3BF-41F1-987A-B446393EB3B0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67</v>
      </c>
      <c r="F2" s="59" t="s">
        <v>23</v>
      </c>
      <c r="G2" s="46">
        <v>83</v>
      </c>
      <c r="H2" s="132">
        <f>IF(B$17=0,0,G2/B$17)</f>
        <v>0.74774774774774777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1808.1081081081081</v>
      </c>
      <c r="P2" s="118">
        <v>37</v>
      </c>
      <c r="Q2" s="102">
        <v>66900</v>
      </c>
    </row>
    <row r="3" spans="1:17" x14ac:dyDescent="0.4">
      <c r="A3" s="55" t="s">
        <v>8</v>
      </c>
      <c r="B3" s="148">
        <v>312</v>
      </c>
      <c r="C3" s="149"/>
      <c r="E3" s="63" t="s">
        <v>73</v>
      </c>
      <c r="F3" s="60" t="s">
        <v>28</v>
      </c>
      <c r="G3" s="47">
        <v>67</v>
      </c>
      <c r="H3" s="133">
        <f>IF(B$17=0,0,G3/B$17)</f>
        <v>0.60360360360360366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170.27027027027026</v>
      </c>
      <c r="P3" s="119">
        <v>37</v>
      </c>
      <c r="Q3" s="103">
        <v>6300</v>
      </c>
    </row>
    <row r="4" spans="1:17" x14ac:dyDescent="0.4">
      <c r="A4" s="55" t="s">
        <v>6</v>
      </c>
      <c r="B4" s="150">
        <v>30.000000000000007</v>
      </c>
      <c r="C4" s="151"/>
      <c r="E4" s="63" t="s">
        <v>65</v>
      </c>
      <c r="F4" s="60" t="s">
        <v>21</v>
      </c>
      <c r="G4" s="47">
        <v>41</v>
      </c>
      <c r="H4" s="133">
        <f>IF(B$17=0,0,G4/B$17)</f>
        <v>0.36936936936936937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421.875</v>
      </c>
      <c r="P4" s="119">
        <v>32</v>
      </c>
      <c r="Q4" s="103">
        <v>13500</v>
      </c>
    </row>
    <row r="5" spans="1:17" x14ac:dyDescent="0.4">
      <c r="A5" s="55" t="s">
        <v>7</v>
      </c>
      <c r="B5" s="152">
        <f>IF(B$2=0,0,B$4/B$2)</f>
        <v>0.81081081081081097</v>
      </c>
      <c r="C5" s="153"/>
      <c r="E5" s="63" t="s">
        <v>181</v>
      </c>
      <c r="F5" s="60" t="s">
        <v>182</v>
      </c>
      <c r="G5" s="47">
        <v>40</v>
      </c>
      <c r="H5" s="133">
        <f>IF(B$17=0,0,G5/B$17)</f>
        <v>0.36036036036036034</v>
      </c>
      <c r="I5" s="94">
        <v>7</v>
      </c>
      <c r="K5" s="38">
        <v>3</v>
      </c>
      <c r="L5" s="99">
        <v>1.7999999999999989</v>
      </c>
      <c r="N5" s="115" t="s">
        <v>135</v>
      </c>
      <c r="O5" s="122">
        <f t="shared" si="0"/>
        <v>686.66666666666663</v>
      </c>
      <c r="P5" s="119">
        <v>30</v>
      </c>
      <c r="Q5" s="103">
        <v>20600</v>
      </c>
    </row>
    <row r="6" spans="1:17" x14ac:dyDescent="0.4">
      <c r="A6" s="55" t="s">
        <v>1</v>
      </c>
      <c r="B6" s="142">
        <f>IF(B$2=0,0,(B$7*1+B$8*2+B$9*3)/B$2)</f>
        <v>2.0810810810810811</v>
      </c>
      <c r="C6" s="143"/>
      <c r="E6" s="63" t="s">
        <v>69</v>
      </c>
      <c r="F6" s="60" t="s">
        <v>12</v>
      </c>
      <c r="G6" s="47">
        <v>30</v>
      </c>
      <c r="H6" s="133">
        <f>IF(B$17=0,0,G6/B$17)</f>
        <v>0.27027027027027029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-1234.4827586206898</v>
      </c>
      <c r="P6" s="119">
        <v>29</v>
      </c>
      <c r="Q6" s="103">
        <v>-35800</v>
      </c>
    </row>
    <row r="7" spans="1:17" x14ac:dyDescent="0.4">
      <c r="A7" s="55" t="s">
        <v>2</v>
      </c>
      <c r="B7" s="47">
        <v>11</v>
      </c>
      <c r="C7" s="39">
        <f>IF(B$2=0,0,B7/B$2)</f>
        <v>0.29729729729729731</v>
      </c>
      <c r="E7" s="63" t="s">
        <v>68</v>
      </c>
      <c r="F7" s="60" t="s">
        <v>24</v>
      </c>
      <c r="G7" s="47">
        <v>22</v>
      </c>
      <c r="H7" s="133">
        <f>IF(B$17=0,0,G7/B$17)</f>
        <v>0.1981981981981982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-1369.2307692307693</v>
      </c>
      <c r="P7" s="120">
        <v>26</v>
      </c>
      <c r="Q7" s="104">
        <v>-35600</v>
      </c>
    </row>
    <row r="8" spans="1:17" x14ac:dyDescent="0.4">
      <c r="A8" s="55" t="s">
        <v>3</v>
      </c>
      <c r="B8" s="47">
        <v>12</v>
      </c>
      <c r="C8" s="39">
        <f>IF(B$2=0,0,B8/B$2)</f>
        <v>0.32432432432432434</v>
      </c>
      <c r="E8" s="63" t="s">
        <v>70</v>
      </c>
      <c r="F8" s="60" t="s">
        <v>25</v>
      </c>
      <c r="G8" s="47">
        <v>15</v>
      </c>
      <c r="H8" s="133">
        <f>IF(B$17=0,0,G8/B$17)</f>
        <v>0.13513513513513514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0.3783783783783784</v>
      </c>
      <c r="E9" s="63" t="s">
        <v>66</v>
      </c>
      <c r="F9" s="60" t="s">
        <v>22</v>
      </c>
      <c r="G9" s="47">
        <v>9</v>
      </c>
      <c r="H9" s="133">
        <f>IF(B$17=0,0,G9/B$17)</f>
        <v>8.1081081081081086E-2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5.4054054054054057E-2</v>
      </c>
      <c r="E10" s="63" t="s">
        <v>90</v>
      </c>
      <c r="F10" s="60" t="s">
        <v>45</v>
      </c>
      <c r="G10" s="47">
        <v>9</v>
      </c>
      <c r="H10" s="133">
        <f>IF(B$17=0,0,G10/B$17)</f>
        <v>8.1081081081081086E-2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-13.050000000000002</v>
      </c>
      <c r="P10" s="118">
        <v>12</v>
      </c>
      <c r="Q10" s="106">
        <v>-156.60000000000002</v>
      </c>
    </row>
    <row r="11" spans="1:17" x14ac:dyDescent="0.4">
      <c r="A11" s="56" t="s">
        <v>140</v>
      </c>
      <c r="B11" s="48">
        <v>5</v>
      </c>
      <c r="C11" s="40">
        <f>IF(B$2=0,0,B11/B$2)</f>
        <v>0.13513513513513514</v>
      </c>
      <c r="E11" s="63" t="s">
        <v>71</v>
      </c>
      <c r="F11" s="60" t="s">
        <v>26</v>
      </c>
      <c r="G11" s="47">
        <v>8</v>
      </c>
      <c r="H11" s="133">
        <f>IF(B$17=0,0,G11/B$17)</f>
        <v>7.2072072072072071E-2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16.169999999999998</v>
      </c>
      <c r="P11" s="119">
        <v>10</v>
      </c>
      <c r="Q11" s="107">
        <v>161.69999999999999</v>
      </c>
    </row>
    <row r="12" spans="1:17" x14ac:dyDescent="0.4">
      <c r="A12" s="57" t="s">
        <v>160</v>
      </c>
      <c r="B12" s="49">
        <v>2</v>
      </c>
      <c r="C12" s="42">
        <f>IF(B$2=0,0,B12/B$2)</f>
        <v>5.4054054054054057E-2</v>
      </c>
      <c r="E12" s="63" t="s">
        <v>84</v>
      </c>
      <c r="F12" s="60" t="s">
        <v>39</v>
      </c>
      <c r="G12" s="47">
        <v>7</v>
      </c>
      <c r="H12" s="133">
        <f>IF(B$17=0,0,G12/B$17)</f>
        <v>6.3063063063063057E-2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1.6600000000000004</v>
      </c>
      <c r="P12" s="120">
        <v>15</v>
      </c>
      <c r="Q12" s="108">
        <v>24.900000000000006</v>
      </c>
    </row>
    <row r="13" spans="1:17" x14ac:dyDescent="0.4">
      <c r="A13" s="58" t="s">
        <v>122</v>
      </c>
      <c r="B13" s="50">
        <v>72</v>
      </c>
      <c r="C13" s="44">
        <f>IF(B$3=0,0,B13/B$3)</f>
        <v>0.23076923076923078</v>
      </c>
      <c r="E13" s="63" t="s">
        <v>87</v>
      </c>
      <c r="F13" s="60" t="s">
        <v>42</v>
      </c>
      <c r="G13" s="47">
        <v>6</v>
      </c>
      <c r="H13" s="133">
        <f>IF(B$17=0,0,G13/B$17)</f>
        <v>5.4054054054054057E-2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95</v>
      </c>
      <c r="C14" s="39">
        <f>IF(B$3=0,0,B14/B$3)</f>
        <v>0.30448717948717946</v>
      </c>
      <c r="E14" s="63" t="s">
        <v>82</v>
      </c>
      <c r="F14" s="60" t="s">
        <v>37</v>
      </c>
      <c r="G14" s="47">
        <v>5</v>
      </c>
      <c r="H14" s="133">
        <f>IF(B$17=0,0,G14/B$17)</f>
        <v>4.5045045045045043E-2</v>
      </c>
      <c r="I14" s="94">
        <v>2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42</v>
      </c>
      <c r="C15" s="37">
        <f>IF(B$13=0,0,B15/B$13)</f>
        <v>0.58333333333333337</v>
      </c>
      <c r="E15" s="63" t="s">
        <v>72</v>
      </c>
      <c r="F15" s="60" t="s">
        <v>27</v>
      </c>
      <c r="G15" s="47">
        <v>4</v>
      </c>
      <c r="H15" s="133">
        <f>IF(B$17=0,0,G15/B$17)</f>
        <v>3.6036036036036036E-2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40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1.8018018018018018E-2</v>
      </c>
      <c r="I16" s="94">
        <v>4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111</v>
      </c>
      <c r="C17" s="37">
        <f>IF(B$3=0,0,B17/B$3)</f>
        <v>0.35576923076923078</v>
      </c>
      <c r="E17" s="63" t="s">
        <v>80</v>
      </c>
      <c r="F17" s="60" t="s">
        <v>35</v>
      </c>
      <c r="G17" s="47">
        <v>2</v>
      </c>
      <c r="H17" s="133">
        <f>IF(B$17=0,0,G17/B$17)</f>
        <v>1.8018018018018018E-2</v>
      </c>
      <c r="I17" s="94">
        <v>3</v>
      </c>
      <c r="K17" s="38">
        <v>15</v>
      </c>
      <c r="L17" s="99">
        <v>-80.3</v>
      </c>
      <c r="N17" s="115" t="s">
        <v>177</v>
      </c>
      <c r="O17" s="125">
        <f>IF(P17=0,0,Q17/P17)</f>
        <v>13.33333333333333</v>
      </c>
      <c r="P17" s="119">
        <v>3</v>
      </c>
      <c r="Q17" s="107">
        <v>39.999999999999993</v>
      </c>
    </row>
    <row r="18" spans="1:17" x14ac:dyDescent="0.4">
      <c r="A18" s="55" t="s">
        <v>12</v>
      </c>
      <c r="B18" s="47">
        <v>47</v>
      </c>
      <c r="C18" s="39">
        <f>IF(B$17=0,0,B18/B$17)</f>
        <v>0.42342342342342343</v>
      </c>
      <c r="E18" s="63" t="s">
        <v>92</v>
      </c>
      <c r="F18" s="60" t="s">
        <v>47</v>
      </c>
      <c r="G18" s="47">
        <v>2</v>
      </c>
      <c r="H18" s="133">
        <f>IF(B$17=0,0,G18/B$17)</f>
        <v>1.8018018018018018E-2</v>
      </c>
      <c r="I18" s="94">
        <v>3</v>
      </c>
      <c r="K18" s="38">
        <v>16</v>
      </c>
      <c r="L18" s="99">
        <v>-87.6</v>
      </c>
      <c r="N18" s="115" t="s">
        <v>173</v>
      </c>
      <c r="O18" s="125">
        <f>IF(P18=0,0,Q18/P18)</f>
        <v>11.574999999999999</v>
      </c>
      <c r="P18" s="119">
        <v>8</v>
      </c>
      <c r="Q18" s="107">
        <v>92.6</v>
      </c>
    </row>
    <row r="19" spans="1:17" x14ac:dyDescent="0.4">
      <c r="A19" s="55" t="s">
        <v>11</v>
      </c>
      <c r="B19" s="47">
        <v>64</v>
      </c>
      <c r="C19" s="39">
        <f>IF(B$17=0,0,B19/B$17)</f>
        <v>0.57657657657657657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44</v>
      </c>
      <c r="C20" s="39">
        <f>IF(B$3=0,0,B20/B$3)</f>
        <v>0.14102564102564102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-4.9727272727272736</v>
      </c>
      <c r="P20" s="119">
        <v>22</v>
      </c>
      <c r="Q20" s="107">
        <v>-109.40000000000002</v>
      </c>
    </row>
    <row r="21" spans="1:17" x14ac:dyDescent="0.4">
      <c r="A21" s="55" t="s">
        <v>193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127</v>
      </c>
      <c r="O21" s="125">
        <f>IF(P21=0,0,Q21/P21)</f>
        <v>-31.768421052631584</v>
      </c>
      <c r="P21" s="119">
        <v>19</v>
      </c>
      <c r="Q21" s="107">
        <v>-603.60000000000014</v>
      </c>
    </row>
    <row r="22" spans="1:17" x14ac:dyDescent="0.4">
      <c r="A22" s="55" t="s">
        <v>194</v>
      </c>
      <c r="B22" s="47">
        <v>23</v>
      </c>
      <c r="C22" s="135">
        <v>19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7009.9099099099103</v>
      </c>
      <c r="C23" s="41">
        <v>778100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-8481.818181818182</v>
      </c>
      <c r="C24" s="45">
        <v>-373200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3.205128205128205E-3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C1CFC-8797-4781-B536-922436C5DDC1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32</v>
      </c>
      <c r="C2" s="147"/>
      <c r="E2" s="62" t="s">
        <v>67</v>
      </c>
      <c r="F2" s="59" t="s">
        <v>23</v>
      </c>
      <c r="G2" s="46">
        <v>65</v>
      </c>
      <c r="H2" s="132">
        <f>IF(B$17=0,0,G2/B$17)</f>
        <v>0.74712643678160917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-2981.25</v>
      </c>
      <c r="P2" s="118">
        <v>32</v>
      </c>
      <c r="Q2" s="102">
        <v>-95400</v>
      </c>
    </row>
    <row r="3" spans="1:17" x14ac:dyDescent="0.4">
      <c r="A3" s="55" t="s">
        <v>8</v>
      </c>
      <c r="B3" s="148">
        <v>281</v>
      </c>
      <c r="C3" s="149"/>
      <c r="E3" s="63" t="s">
        <v>73</v>
      </c>
      <c r="F3" s="60" t="s">
        <v>28</v>
      </c>
      <c r="G3" s="47">
        <v>44</v>
      </c>
      <c r="H3" s="133">
        <f>IF(B$17=0,0,G3/B$17)</f>
        <v>0.50574712643678166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1634.375</v>
      </c>
      <c r="P3" s="119">
        <v>32</v>
      </c>
      <c r="Q3" s="103">
        <v>52300</v>
      </c>
    </row>
    <row r="4" spans="1:17" x14ac:dyDescent="0.4">
      <c r="A4" s="55" t="s">
        <v>6</v>
      </c>
      <c r="B4" s="150">
        <v>-193.79999999999998</v>
      </c>
      <c r="C4" s="151"/>
      <c r="E4" s="63" t="s">
        <v>65</v>
      </c>
      <c r="F4" s="60" t="s">
        <v>21</v>
      </c>
      <c r="G4" s="47">
        <v>39</v>
      </c>
      <c r="H4" s="133">
        <f>IF(B$17=0,0,G4/B$17)</f>
        <v>0.44827586206896552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-1513.3333333333333</v>
      </c>
      <c r="P4" s="119">
        <v>30</v>
      </c>
      <c r="Q4" s="103">
        <v>-45400</v>
      </c>
    </row>
    <row r="5" spans="1:17" x14ac:dyDescent="0.4">
      <c r="A5" s="55" t="s">
        <v>7</v>
      </c>
      <c r="B5" s="152">
        <f>IF(B$2=0,0,B$4/B$2)</f>
        <v>-6.0562499999999995</v>
      </c>
      <c r="C5" s="153"/>
      <c r="E5" s="63" t="s">
        <v>69</v>
      </c>
      <c r="F5" s="60" t="s">
        <v>12</v>
      </c>
      <c r="G5" s="47">
        <v>35</v>
      </c>
      <c r="H5" s="133">
        <f>IF(B$17=0,0,G5/B$17)</f>
        <v>0.40229885057471265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-4092.8571428571427</v>
      </c>
      <c r="P5" s="119">
        <v>28</v>
      </c>
      <c r="Q5" s="103">
        <v>-114600</v>
      </c>
    </row>
    <row r="6" spans="1:17" x14ac:dyDescent="0.4">
      <c r="A6" s="55" t="s">
        <v>1</v>
      </c>
      <c r="B6" s="142">
        <f>IF(B$2=0,0,(B$7*1+B$8*2+B$9*3)/B$2)</f>
        <v>2.0625</v>
      </c>
      <c r="C6" s="143"/>
      <c r="E6" s="63" t="s">
        <v>181</v>
      </c>
      <c r="F6" s="60" t="s">
        <v>182</v>
      </c>
      <c r="G6" s="47">
        <v>29</v>
      </c>
      <c r="H6" s="133">
        <f>IF(B$17=0,0,G6/B$17)</f>
        <v>0.33333333333333331</v>
      </c>
      <c r="I6" s="94">
        <v>8</v>
      </c>
      <c r="K6" s="38">
        <v>4</v>
      </c>
      <c r="L6" s="99">
        <v>-150.6</v>
      </c>
      <c r="N6" s="115" t="s">
        <v>136</v>
      </c>
      <c r="O6" s="122">
        <f t="shared" si="0"/>
        <v>1528</v>
      </c>
      <c r="P6" s="119">
        <v>25</v>
      </c>
      <c r="Q6" s="103">
        <v>38200</v>
      </c>
    </row>
    <row r="7" spans="1:17" x14ac:dyDescent="0.4">
      <c r="A7" s="55" t="s">
        <v>2</v>
      </c>
      <c r="B7" s="47">
        <v>9</v>
      </c>
      <c r="C7" s="39">
        <f>IF(B$2=0,0,B7/B$2)</f>
        <v>0.28125</v>
      </c>
      <c r="E7" s="63" t="s">
        <v>68</v>
      </c>
      <c r="F7" s="60" t="s">
        <v>24</v>
      </c>
      <c r="G7" s="47">
        <v>21</v>
      </c>
      <c r="H7" s="133">
        <f>IF(B$17=0,0,G7/B$17)</f>
        <v>0.2413793103448276</v>
      </c>
      <c r="I7" s="94">
        <v>8</v>
      </c>
      <c r="K7" s="38">
        <v>5</v>
      </c>
      <c r="L7" s="99">
        <v>-184.89999999999998</v>
      </c>
      <c r="N7" s="116" t="s">
        <v>137</v>
      </c>
      <c r="O7" s="123">
        <f t="shared" si="0"/>
        <v>462.5</v>
      </c>
      <c r="P7" s="120">
        <v>24</v>
      </c>
      <c r="Q7" s="104">
        <v>11100</v>
      </c>
    </row>
    <row r="8" spans="1:17" x14ac:dyDescent="0.4">
      <c r="A8" s="55" t="s">
        <v>3</v>
      </c>
      <c r="B8" s="47">
        <v>12</v>
      </c>
      <c r="C8" s="39">
        <f>IF(B$2=0,0,B8/B$2)</f>
        <v>0.375</v>
      </c>
      <c r="E8" s="63" t="s">
        <v>90</v>
      </c>
      <c r="F8" s="60" t="s">
        <v>45</v>
      </c>
      <c r="G8" s="47">
        <v>12</v>
      </c>
      <c r="H8" s="133">
        <f>IF(B$17=0,0,G8/B$17)</f>
        <v>0.13793103448275862</v>
      </c>
      <c r="I8" s="94">
        <v>6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0.34375</v>
      </c>
      <c r="E9" s="63" t="s">
        <v>71</v>
      </c>
      <c r="F9" s="60" t="s">
        <v>26</v>
      </c>
      <c r="G9" s="47">
        <v>10</v>
      </c>
      <c r="H9" s="133">
        <f>IF(B$17=0,0,G9/B$17)</f>
        <v>0.11494252873563218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0.125</v>
      </c>
      <c r="E10" s="63" t="s">
        <v>70</v>
      </c>
      <c r="F10" s="60" t="s">
        <v>25</v>
      </c>
      <c r="G10" s="47">
        <v>8</v>
      </c>
      <c r="H10" s="133">
        <f>IF(B$17=0,0,G10/B$17)</f>
        <v>9.1954022988505746E-2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-7.5625</v>
      </c>
      <c r="P10" s="118">
        <v>8</v>
      </c>
      <c r="Q10" s="106">
        <v>-60.5</v>
      </c>
    </row>
    <row r="11" spans="1:17" x14ac:dyDescent="0.4">
      <c r="A11" s="56" t="s">
        <v>140</v>
      </c>
      <c r="B11" s="48">
        <v>2</v>
      </c>
      <c r="C11" s="40">
        <f>IF(B$2=0,0,B11/B$2)</f>
        <v>6.25E-2</v>
      </c>
      <c r="E11" s="63" t="s">
        <v>72</v>
      </c>
      <c r="F11" s="60" t="s">
        <v>27</v>
      </c>
      <c r="G11" s="47">
        <v>5</v>
      </c>
      <c r="H11" s="133">
        <f>IF(B$17=0,0,G11/B$17)</f>
        <v>5.7471264367816091E-2</v>
      </c>
      <c r="I11" s="94">
        <v>5</v>
      </c>
      <c r="K11" s="38">
        <v>9</v>
      </c>
      <c r="L11" s="99">
        <v>-260.59999999999997</v>
      </c>
      <c r="N11" s="115" t="s">
        <v>165</v>
      </c>
      <c r="O11" s="125">
        <f>IF(P11=0,0,Q11/P11)</f>
        <v>-7.2749999999999986</v>
      </c>
      <c r="P11" s="119">
        <v>16</v>
      </c>
      <c r="Q11" s="107">
        <v>-116.39999999999998</v>
      </c>
    </row>
    <row r="12" spans="1:17" x14ac:dyDescent="0.4">
      <c r="A12" s="57" t="s">
        <v>160</v>
      </c>
      <c r="B12" s="49">
        <v>1</v>
      </c>
      <c r="C12" s="42">
        <f>IF(B$2=0,0,B12/B$2)</f>
        <v>3.125E-2</v>
      </c>
      <c r="E12" s="63" t="s">
        <v>66</v>
      </c>
      <c r="F12" s="60" t="s">
        <v>22</v>
      </c>
      <c r="G12" s="47">
        <v>4</v>
      </c>
      <c r="H12" s="133">
        <f>IF(B$17=0,0,G12/B$17)</f>
        <v>4.5977011494252873E-2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-2.1124999999999989</v>
      </c>
      <c r="P12" s="120">
        <v>8</v>
      </c>
      <c r="Q12" s="108">
        <v>-16.899999999999991</v>
      </c>
    </row>
    <row r="13" spans="1:17" x14ac:dyDescent="0.4">
      <c r="A13" s="58" t="s">
        <v>122</v>
      </c>
      <c r="B13" s="50">
        <v>67</v>
      </c>
      <c r="C13" s="44">
        <f>IF(B$3=0,0,B13/B$3)</f>
        <v>0.23843416370106763</v>
      </c>
      <c r="E13" s="63" t="s">
        <v>87</v>
      </c>
      <c r="F13" s="60" t="s">
        <v>42</v>
      </c>
      <c r="G13" s="47">
        <v>4</v>
      </c>
      <c r="H13" s="133">
        <f>IF(B$17=0,0,G13/B$17)</f>
        <v>4.5977011494252873E-2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66</v>
      </c>
      <c r="C14" s="39">
        <f>IF(B$3=0,0,B14/B$3)</f>
        <v>0.23487544483985764</v>
      </c>
      <c r="E14" s="63" t="s">
        <v>84</v>
      </c>
      <c r="F14" s="60" t="s">
        <v>39</v>
      </c>
      <c r="G14" s="47">
        <v>2</v>
      </c>
      <c r="H14" s="133">
        <f>IF(B$17=0,0,G14/B$17)</f>
        <v>2.2988505747126436E-2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40</v>
      </c>
      <c r="C15" s="37">
        <f>IF(B$13=0,0,B15/B$13)</f>
        <v>0.59701492537313428</v>
      </c>
      <c r="E15" s="63" t="s">
        <v>74</v>
      </c>
      <c r="F15" s="60" t="s">
        <v>29</v>
      </c>
      <c r="G15" s="47">
        <v>1</v>
      </c>
      <c r="H15" s="133">
        <f>IF(B$17=0,0,G15/B$17)</f>
        <v>1.1494252873563218E-2</v>
      </c>
      <c r="I15" s="94">
        <v>2</v>
      </c>
      <c r="K15" s="38">
        <v>13</v>
      </c>
      <c r="L15" s="99">
        <v>-302.59999999999997</v>
      </c>
      <c r="N15" s="114" t="s">
        <v>129</v>
      </c>
      <c r="O15" s="124">
        <f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1</v>
      </c>
      <c r="H16" s="133">
        <f>IF(B$17=0,0,G16/B$17)</f>
        <v>1.1494252873563218E-2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>IF(P16=0,0,Q16/P16)</f>
        <v>2.0842105263157902</v>
      </c>
      <c r="P16" s="119">
        <v>19</v>
      </c>
      <c r="Q16" s="107">
        <v>39.600000000000016</v>
      </c>
    </row>
    <row r="17" spans="1:17" x14ac:dyDescent="0.4">
      <c r="A17" s="54" t="s">
        <v>10</v>
      </c>
      <c r="B17" s="46">
        <f>B19+B18</f>
        <v>87</v>
      </c>
      <c r="C17" s="37">
        <f>IF(B$3=0,0,B17/B$3)</f>
        <v>0.30960854092526691</v>
      </c>
      <c r="E17" s="63" t="s">
        <v>80</v>
      </c>
      <c r="F17" s="60" t="s">
        <v>35</v>
      </c>
      <c r="G17" s="47">
        <v>1</v>
      </c>
      <c r="H17" s="133">
        <f>IF(B$17=0,0,G17/B$17)</f>
        <v>1.1494252873563218E-2</v>
      </c>
      <c r="I17" s="94">
        <v>5</v>
      </c>
      <c r="K17" s="38">
        <v>15</v>
      </c>
      <c r="L17" s="99">
        <v>-264.59999999999997</v>
      </c>
      <c r="N17" s="115" t="s">
        <v>172</v>
      </c>
      <c r="O17" s="125">
        <f>IF(P17=0,0,Q17/P17)</f>
        <v>-11.574999999999999</v>
      </c>
      <c r="P17" s="119">
        <v>8</v>
      </c>
      <c r="Q17" s="107">
        <v>-92.6</v>
      </c>
    </row>
    <row r="18" spans="1:17" x14ac:dyDescent="0.4">
      <c r="A18" s="55" t="s">
        <v>12</v>
      </c>
      <c r="B18" s="47">
        <v>45</v>
      </c>
      <c r="C18" s="39">
        <f>IF(B$17=0,0,B18/B$17)</f>
        <v>0.51724137931034486</v>
      </c>
      <c r="E18" s="63" t="s">
        <v>92</v>
      </c>
      <c r="F18" s="60" t="s">
        <v>47</v>
      </c>
      <c r="G18" s="47">
        <v>1</v>
      </c>
      <c r="H18" s="133">
        <f>IF(B$17=0,0,G18/B$17)</f>
        <v>1.1494252873563218E-2</v>
      </c>
      <c r="I18" s="94">
        <v>6</v>
      </c>
      <c r="K18" s="38">
        <v>16</v>
      </c>
      <c r="L18" s="99">
        <v>-292.79999999999995</v>
      </c>
      <c r="N18" s="115" t="s">
        <v>171</v>
      </c>
      <c r="O18" s="125">
        <f>IF(P18=0,0,Q18/P18)</f>
        <v>-11.699999999999998</v>
      </c>
      <c r="P18" s="119">
        <v>13</v>
      </c>
      <c r="Q18" s="107">
        <v>-152.09999999999997</v>
      </c>
    </row>
    <row r="19" spans="1:17" x14ac:dyDescent="0.4">
      <c r="A19" s="55" t="s">
        <v>11</v>
      </c>
      <c r="B19" s="47">
        <v>42</v>
      </c>
      <c r="C19" s="39">
        <f>IF(B$17=0,0,B19/B$17)</f>
        <v>0.48275862068965519</v>
      </c>
      <c r="E19" s="63" t="s">
        <v>180</v>
      </c>
      <c r="F19" s="60" t="s">
        <v>183</v>
      </c>
      <c r="G19" s="47">
        <v>1</v>
      </c>
      <c r="H19" s="133">
        <f>IF(B$17=0,0,G19/B$17)</f>
        <v>1.1494252873563218E-2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54</v>
      </c>
      <c r="C20" s="39">
        <f>IF(B$3=0,0,B20/B$3)</f>
        <v>0.19217081850533807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-26.20666666666666</v>
      </c>
      <c r="P20" s="119">
        <v>15</v>
      </c>
      <c r="Q20" s="107">
        <v>-393.09999999999991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5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6758.6206896551721</v>
      </c>
      <c r="C23" s="41">
        <v>588000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-8177.7777777777774</v>
      </c>
      <c r="C24" s="45">
        <v>-441600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3.5587188612099642E-3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00343-0C37-472A-8E6A-87E4362CFCE7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19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0.68571428571428572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-5500</v>
      </c>
      <c r="P2" s="118">
        <v>19</v>
      </c>
      <c r="Q2" s="102">
        <v>-104500</v>
      </c>
    </row>
    <row r="3" spans="1:17" x14ac:dyDescent="0.4">
      <c r="A3" s="55" t="s">
        <v>8</v>
      </c>
      <c r="B3" s="148">
        <v>149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0.65714285714285714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0"/>
        <v>-1455.5555555555557</v>
      </c>
      <c r="P3" s="119">
        <v>18</v>
      </c>
      <c r="Q3" s="103">
        <v>-26200</v>
      </c>
    </row>
    <row r="4" spans="1:17" x14ac:dyDescent="0.4">
      <c r="A4" s="55" t="s">
        <v>6</v>
      </c>
      <c r="B4" s="150">
        <v>-235.6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0.42857142857142855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-731.25</v>
      </c>
      <c r="P4" s="119">
        <v>16</v>
      </c>
      <c r="Q4" s="103">
        <v>-11700</v>
      </c>
    </row>
    <row r="5" spans="1:17" x14ac:dyDescent="0.4">
      <c r="A5" s="55" t="s">
        <v>7</v>
      </c>
      <c r="B5" s="152">
        <f>IF(B$2=0,0,B$4/B$2)</f>
        <v>-12.4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0.31428571428571428</v>
      </c>
      <c r="I5" s="94">
        <v>9</v>
      </c>
      <c r="K5" s="38">
        <v>3</v>
      </c>
      <c r="L5" s="99">
        <v>-10</v>
      </c>
      <c r="N5" s="115" t="s">
        <v>135</v>
      </c>
      <c r="O5" s="122">
        <f t="shared" si="0"/>
        <v>-852.94117647058829</v>
      </c>
      <c r="P5" s="119">
        <v>17</v>
      </c>
      <c r="Q5" s="103">
        <v>-14500</v>
      </c>
    </row>
    <row r="6" spans="1:17" x14ac:dyDescent="0.4">
      <c r="A6" s="55" t="s">
        <v>1</v>
      </c>
      <c r="B6" s="142">
        <f>IF(B$2=0,0,(B$7*1+B$8*2+B$9*3)/B$2)</f>
        <v>2.1578947368421053</v>
      </c>
      <c r="C6" s="143"/>
      <c r="E6" s="63" t="s">
        <v>68</v>
      </c>
      <c r="F6" s="60" t="s">
        <v>24</v>
      </c>
      <c r="G6" s="47">
        <v>9</v>
      </c>
      <c r="H6" s="133">
        <f>IF(B$17=0,0,G6/B$17)</f>
        <v>0.25714285714285712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1213.3333333333333</v>
      </c>
      <c r="P6" s="119">
        <v>15</v>
      </c>
      <c r="Q6" s="103">
        <v>18200</v>
      </c>
    </row>
    <row r="7" spans="1:17" x14ac:dyDescent="0.4">
      <c r="A7" s="55" t="s">
        <v>2</v>
      </c>
      <c r="B7" s="47">
        <v>5</v>
      </c>
      <c r="C7" s="39">
        <f>IF(B$2=0,0,B7/B$2)</f>
        <v>0.26315789473684209</v>
      </c>
      <c r="E7" s="63" t="s">
        <v>69</v>
      </c>
      <c r="F7" s="60" t="s">
        <v>12</v>
      </c>
      <c r="G7" s="47">
        <v>6</v>
      </c>
      <c r="H7" s="133">
        <f>IF(B$17=0,0,G7/B$17)</f>
        <v>0.17142857142857143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1450</v>
      </c>
      <c r="P7" s="120">
        <v>14</v>
      </c>
      <c r="Q7" s="104">
        <v>20300</v>
      </c>
    </row>
    <row r="8" spans="1:17" x14ac:dyDescent="0.4">
      <c r="A8" s="55" t="s">
        <v>3</v>
      </c>
      <c r="B8" s="47">
        <v>6</v>
      </c>
      <c r="C8" s="39">
        <f>IF(B$2=0,0,B8/B$2)</f>
        <v>0.31578947368421051</v>
      </c>
      <c r="E8" s="63" t="s">
        <v>70</v>
      </c>
      <c r="F8" s="60" t="s">
        <v>25</v>
      </c>
      <c r="G8" s="47">
        <v>5</v>
      </c>
      <c r="H8" s="133">
        <f>IF(B$17=0,0,G8/B$17)</f>
        <v>0.14285714285714285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0.42105263157894735</v>
      </c>
      <c r="E9" s="63" t="s">
        <v>66</v>
      </c>
      <c r="F9" s="60" t="s">
        <v>22</v>
      </c>
      <c r="G9" s="47">
        <v>4</v>
      </c>
      <c r="H9" s="133">
        <f>IF(B$17=0,0,G9/B$17)</f>
        <v>0.11428571428571428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90</v>
      </c>
      <c r="F10" s="60" t="s">
        <v>45</v>
      </c>
      <c r="G10" s="47">
        <v>4</v>
      </c>
      <c r="H10" s="133">
        <f>IF(B$17=0,0,G10/B$17)</f>
        <v>0.11428571428571428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5.7142857142857141E-2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-20.571428571428573</v>
      </c>
      <c r="P11" s="119">
        <v>7</v>
      </c>
      <c r="Q11" s="107">
        <v>-144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92</v>
      </c>
      <c r="F12" s="60" t="s">
        <v>47</v>
      </c>
      <c r="G12" s="47">
        <v>2</v>
      </c>
      <c r="H12" s="133">
        <f>IF(B$17=0,0,G12/B$17)</f>
        <v>5.7142857142857141E-2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-7.4222222222222207</v>
      </c>
      <c r="P12" s="120">
        <v>9</v>
      </c>
      <c r="Q12" s="108">
        <v>-66.799999999999983</v>
      </c>
    </row>
    <row r="13" spans="1:17" x14ac:dyDescent="0.4">
      <c r="A13" s="58" t="s">
        <v>122</v>
      </c>
      <c r="B13" s="50">
        <v>27</v>
      </c>
      <c r="C13" s="44">
        <f>IF(B$3=0,0,B13/B$3)</f>
        <v>0.18120805369127516</v>
      </c>
      <c r="E13" s="63" t="s">
        <v>71</v>
      </c>
      <c r="F13" s="60" t="s">
        <v>26</v>
      </c>
      <c r="G13" s="47">
        <v>1</v>
      </c>
      <c r="H13" s="133">
        <f>IF(B$17=0,0,G13/B$17)</f>
        <v>2.8571428571428571E-2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</v>
      </c>
      <c r="C14" s="39">
        <f>IF(B$3=0,0,B14/B$3)</f>
        <v>0.25503355704697989</v>
      </c>
      <c r="E14" s="63" t="s">
        <v>72</v>
      </c>
      <c r="F14" s="60" t="s">
        <v>27</v>
      </c>
      <c r="G14" s="47">
        <v>1</v>
      </c>
      <c r="H14" s="133">
        <f>IF(B$17=0,0,G14/B$17)</f>
        <v>2.8571428571428571E-2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0.51851851851851849</v>
      </c>
      <c r="E15" s="63" t="s">
        <v>76</v>
      </c>
      <c r="F15" s="60" t="s">
        <v>31</v>
      </c>
      <c r="G15" s="47">
        <v>1</v>
      </c>
      <c r="H15" s="133">
        <f>IF(B$17=0,0,G15/B$17)</f>
        <v>2.8571428571428571E-2</v>
      </c>
      <c r="I15" s="94">
        <v>2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0.36842105263157893</v>
      </c>
      <c r="E16" s="63" t="s">
        <v>82</v>
      </c>
      <c r="F16" s="60" t="s">
        <v>37</v>
      </c>
      <c r="G16" s="47">
        <v>1</v>
      </c>
      <c r="H16" s="133">
        <f>IF(B$17=0,0,G16/B$17)</f>
        <v>2.8571428571428571E-2</v>
      </c>
      <c r="I16" s="94">
        <v>6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0.2348993288590604</v>
      </c>
      <c r="E17" s="63" t="s">
        <v>86</v>
      </c>
      <c r="F17" s="60" t="s">
        <v>41</v>
      </c>
      <c r="G17" s="47">
        <v>1</v>
      </c>
      <c r="H17" s="133">
        <f>IF(B$17=0,0,G17/B$17)</f>
        <v>2.8571428571428571E-2</v>
      </c>
      <c r="I17" s="94">
        <v>1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14</v>
      </c>
      <c r="C18" s="39">
        <f>IF(B$17=0,0,B18/B$17)</f>
        <v>0.4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6</v>
      </c>
      <c r="K18" s="38">
        <v>16</v>
      </c>
      <c r="L18" s="99">
        <v>-153.29999999999998</v>
      </c>
      <c r="N18" s="115" t="s">
        <v>128</v>
      </c>
      <c r="O18" s="125">
        <f>IF(P18=0,0,Q18/P18)</f>
        <v>-10.178571428571427</v>
      </c>
      <c r="P18" s="119">
        <v>14</v>
      </c>
      <c r="Q18" s="107">
        <v>-142.49999999999997</v>
      </c>
    </row>
    <row r="19" spans="1:17" x14ac:dyDescent="0.4">
      <c r="A19" s="55" t="s">
        <v>11</v>
      </c>
      <c r="B19" s="47">
        <v>21</v>
      </c>
      <c r="C19" s="39">
        <f>IF(B$17=0,0,B19/B$17)</f>
        <v>0.6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29</v>
      </c>
      <c r="C20" s="39">
        <f>IF(B$3=0,0,B20/B$3)</f>
        <v>0.19463087248322147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127</v>
      </c>
      <c r="O20" s="125">
        <f>IF(P20=0,0,Q20/P20)</f>
        <v>-40.066666666666677</v>
      </c>
      <c r="P20" s="119">
        <v>9</v>
      </c>
      <c r="Q20" s="107">
        <v>-360.60000000000008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-235.6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9</v>
      </c>
      <c r="N22" s="115" t="s">
        <v>129</v>
      </c>
      <c r="O22" s="125">
        <f>IF(P22=0,0,Q22/P22)</f>
        <v>-69.466666666666669</v>
      </c>
      <c r="P22" s="119">
        <v>3</v>
      </c>
      <c r="Q22" s="107">
        <v>-208.4</v>
      </c>
    </row>
    <row r="23" spans="1:17" x14ac:dyDescent="0.4">
      <c r="A23" s="55" t="s">
        <v>5</v>
      </c>
      <c r="B23" s="51">
        <f>IF(B$17=0,0,C23/B$17)</f>
        <v>7431.4285714285716</v>
      </c>
      <c r="C23" s="41">
        <v>260100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7</v>
      </c>
    </row>
    <row r="24" spans="1:17" x14ac:dyDescent="0.4">
      <c r="A24" s="57" t="s">
        <v>14</v>
      </c>
      <c r="B24" s="52">
        <f>IF(B$20=0,0,C24/B$20)</f>
        <v>-7093.1034482758623</v>
      </c>
      <c r="C24" s="45">
        <v>-205700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6.7114093959731542E-3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E6903-D113-4174-A84E-D9636DDE923A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D9FF1-CA2D-4842-AB54-3204710A2DBC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</v>
      </c>
      <c r="C2" s="147"/>
      <c r="E2" s="62" t="s">
        <v>73</v>
      </c>
      <c r="F2" s="59" t="s">
        <v>28</v>
      </c>
      <c r="G2" s="46">
        <v>15</v>
      </c>
      <c r="H2" s="132">
        <f>IF(B$17=0,0,G2/B$17)</f>
        <v>0.88235294117647056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-3837.5</v>
      </c>
      <c r="P2" s="118">
        <v>8</v>
      </c>
      <c r="Q2" s="102">
        <v>-30700</v>
      </c>
    </row>
    <row r="3" spans="1:17" x14ac:dyDescent="0.4">
      <c r="A3" s="55" t="s">
        <v>8</v>
      </c>
      <c r="B3" s="148">
        <v>68</v>
      </c>
      <c r="C3" s="149"/>
      <c r="E3" s="63" t="s">
        <v>67</v>
      </c>
      <c r="F3" s="60" t="s">
        <v>23</v>
      </c>
      <c r="G3" s="47">
        <v>13</v>
      </c>
      <c r="H3" s="133">
        <f>IF(B$17=0,0,G3/B$17)</f>
        <v>0.76470588235294112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-2000</v>
      </c>
      <c r="P3" s="119">
        <v>8</v>
      </c>
      <c r="Q3" s="103">
        <v>-16000</v>
      </c>
    </row>
    <row r="4" spans="1:17" x14ac:dyDescent="0.4">
      <c r="A4" s="55" t="s">
        <v>6</v>
      </c>
      <c r="B4" s="150">
        <v>-170.5</v>
      </c>
      <c r="C4" s="151"/>
      <c r="E4" s="63" t="s">
        <v>65</v>
      </c>
      <c r="F4" s="60" t="s">
        <v>21</v>
      </c>
      <c r="G4" s="47">
        <v>8</v>
      </c>
      <c r="H4" s="133">
        <f>IF(B$17=0,0,G4/B$17)</f>
        <v>0.47058823529411764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-175</v>
      </c>
      <c r="P4" s="119">
        <v>8</v>
      </c>
      <c r="Q4" s="103">
        <v>-1400</v>
      </c>
    </row>
    <row r="5" spans="1:17" x14ac:dyDescent="0.4">
      <c r="A5" s="55" t="s">
        <v>7</v>
      </c>
      <c r="B5" s="152">
        <f>IF(B$2=0,0,B$4/B$2)</f>
        <v>-21.3125</v>
      </c>
      <c r="C5" s="153"/>
      <c r="E5" s="63" t="s">
        <v>69</v>
      </c>
      <c r="F5" s="60" t="s">
        <v>12</v>
      </c>
      <c r="G5" s="47">
        <v>4</v>
      </c>
      <c r="H5" s="133">
        <f>IF(B$17=0,0,G5/B$17)</f>
        <v>0.23529411764705882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-4285.7142857142853</v>
      </c>
      <c r="P5" s="119">
        <v>7</v>
      </c>
      <c r="Q5" s="103">
        <v>-30000</v>
      </c>
    </row>
    <row r="6" spans="1:17" x14ac:dyDescent="0.4">
      <c r="A6" s="55" t="s">
        <v>1</v>
      </c>
      <c r="B6" s="142">
        <f>IF(B$2=0,0,(B$7*1+B$8*2+B$9*3)/B$2)</f>
        <v>2.375</v>
      </c>
      <c r="C6" s="143"/>
      <c r="E6" s="63" t="s">
        <v>90</v>
      </c>
      <c r="F6" s="60" t="s">
        <v>45</v>
      </c>
      <c r="G6" s="47">
        <v>4</v>
      </c>
      <c r="H6" s="133">
        <f>IF(B$17=0,0,G6/B$17)</f>
        <v>0.23529411764705882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671.42857142857144</v>
      </c>
      <c r="P6" s="119">
        <v>7</v>
      </c>
      <c r="Q6" s="103">
        <v>4700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181</v>
      </c>
      <c r="F7" s="60" t="s">
        <v>182</v>
      </c>
      <c r="G7" s="47">
        <v>4</v>
      </c>
      <c r="H7" s="133">
        <f>IF(B$17=0,0,G7/B$17)</f>
        <v>0.23529411764705882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-5300</v>
      </c>
      <c r="P7" s="120">
        <v>7</v>
      </c>
      <c r="Q7" s="104">
        <v>-37100</v>
      </c>
    </row>
    <row r="8" spans="1:17" x14ac:dyDescent="0.4">
      <c r="A8" s="55" t="s">
        <v>3</v>
      </c>
      <c r="B8" s="47">
        <v>1</v>
      </c>
      <c r="C8" s="39">
        <f>IF(B$2=0,0,B8/B$2)</f>
        <v>0.125</v>
      </c>
      <c r="E8" s="63" t="s">
        <v>68</v>
      </c>
      <c r="F8" s="60" t="s">
        <v>24</v>
      </c>
      <c r="G8" s="47">
        <v>2</v>
      </c>
      <c r="H8" s="133">
        <f>IF(B$17=0,0,G8/B$17)</f>
        <v>0.11764705882352941</v>
      </c>
      <c r="I8" s="94">
        <v>11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0.625</v>
      </c>
      <c r="E9" s="63" t="s">
        <v>70</v>
      </c>
      <c r="F9" s="60" t="s">
        <v>25</v>
      </c>
      <c r="G9" s="47">
        <v>2</v>
      </c>
      <c r="H9" s="133">
        <f>IF(B$17=0,0,G9/B$17)</f>
        <v>0.11764705882352941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84</v>
      </c>
      <c r="F10" s="60" t="s">
        <v>39</v>
      </c>
      <c r="G10" s="47">
        <v>2</v>
      </c>
      <c r="H10" s="133">
        <f>IF(B$17=0,0,G10/B$17)</f>
        <v>0.11764705882352941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1</v>
      </c>
      <c r="H11" s="133">
        <f>IF(B$17=0,0,G11/B$17)</f>
        <v>5.8823529411764705E-2</v>
      </c>
      <c r="I11" s="94">
        <v>8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74</v>
      </c>
      <c r="F12" s="60" t="s">
        <v>29</v>
      </c>
      <c r="G12" s="47">
        <v>1</v>
      </c>
      <c r="H12" s="133">
        <f>IF(B$17=0,0,G12/B$17)</f>
        <v>5.8823529411764705E-2</v>
      </c>
      <c r="I12" s="94">
        <v>1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12</v>
      </c>
      <c r="C13" s="44">
        <f>IF(B$3=0,0,B13/B$3)</f>
        <v>0.17647058823529413</v>
      </c>
      <c r="E13" s="63" t="s">
        <v>76</v>
      </c>
      <c r="F13" s="60" t="s">
        <v>31</v>
      </c>
      <c r="G13" s="47">
        <v>1</v>
      </c>
      <c r="H13" s="133">
        <f>IF(B$17=0,0,G13/B$17)</f>
        <v>5.8823529411764705E-2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0.22058823529411764</v>
      </c>
      <c r="E14" s="63" t="s">
        <v>80</v>
      </c>
      <c r="F14" s="60" t="s">
        <v>35</v>
      </c>
      <c r="G14" s="47">
        <v>1</v>
      </c>
      <c r="H14" s="133">
        <f>IF(B$17=0,0,G14/B$17)</f>
        <v>5.8823529411764705E-2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5.8823529411764705E-2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7</v>
      </c>
      <c r="C16" s="37">
        <f>IF(B$14=0,0,B16/B$14)</f>
        <v>0.46666666666666667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127</v>
      </c>
      <c r="O17" s="125">
        <f>IF(P17=0,0,Q17/P17)</f>
        <v>-28.880000000000003</v>
      </c>
      <c r="P17" s="119">
        <v>5</v>
      </c>
      <c r="Q17" s="107">
        <v>-144.4</v>
      </c>
    </row>
    <row r="18" spans="1:17" x14ac:dyDescent="0.4">
      <c r="A18" s="55" t="s">
        <v>12</v>
      </c>
      <c r="B18" s="47">
        <v>9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-39.480000000000004</v>
      </c>
      <c r="P18" s="119">
        <v>5</v>
      </c>
      <c r="Q18" s="107">
        <v>-197.4</v>
      </c>
    </row>
    <row r="19" spans="1:17" x14ac:dyDescent="0.4">
      <c r="A19" s="55" t="s">
        <v>11</v>
      </c>
      <c r="B19" s="47">
        <v>8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177</v>
      </c>
      <c r="O19" s="125">
        <f>IF(P19=0,0,Q19/P19)</f>
        <v>-60.800000000000004</v>
      </c>
      <c r="P19" s="119">
        <v>2</v>
      </c>
      <c r="Q19" s="107">
        <v>-121.60000000000001</v>
      </c>
    </row>
    <row r="20" spans="1:17" x14ac:dyDescent="0.4">
      <c r="A20" s="55" t="s">
        <v>13</v>
      </c>
      <c r="B20" s="47">
        <v>17</v>
      </c>
      <c r="C20" s="39">
        <f>IF(B$3=0,0,B20/B$3)</f>
        <v>0.25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194</v>
      </c>
      <c r="B22" s="47">
        <v>10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7364.7058823529414</v>
      </c>
      <c r="C23" s="41">
        <v>125200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-8323.5294117647063</v>
      </c>
      <c r="C24" s="45">
        <v>-141500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CDB2-8589-47FE-A641-471840713899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3277-CFE9-4205-9A34-8D6C3F978859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76E1-CD80-4936-AE69-33C326A6DB2E}">
  <sheetPr codeName="Sheet24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BBC7-72E6-4EEB-8453-811CAD8109C6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B2841-E990-466C-B393-683A77ACC74B}">
  <sheetPr codeName="Sheet20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E728-0862-4822-9B6E-50BF9A36E1B4}">
  <sheetPr codeName="Sheet18"/>
  <dimension ref="A1:Q3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E94DE-BE4C-415F-85E0-83916193017E}">
  <sheetPr codeName="Sheet16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13B8C-0743-460A-A7F7-6C24E6EFCE26}">
  <sheetPr codeName="Sheet14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85954-7AC0-41DF-8808-D40E9BC93E6D}">
  <sheetPr codeName="Sheet12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3A8EF-3927-4C57-B554-BA94B35E736E}">
  <sheetPr codeName="Sheet10"/>
  <dimension ref="A1:Q8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805BE-1C37-4B09-B565-12F741003F18}">
  <sheetPr codeName="Sheet8"/>
  <dimension ref="A1:Q8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1534.1000000000006</v>
      </c>
      <c r="C79" s="66">
        <v>20.185526315789481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1495.5000000000007</v>
      </c>
      <c r="C80" s="66">
        <v>19.422077922077932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1533.7000000000007</v>
      </c>
      <c r="C81" s="66">
        <v>19.662820512820524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1484.0000000000007</v>
      </c>
      <c r="C82" s="66">
        <v>18.784810126582286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1481.0000000000007</v>
      </c>
      <c r="C83" s="66">
        <v>18.51250000000001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0483-8214-43B8-AF83-546D4D71CA57}">
  <sheetPr codeName="Sheet6"/>
  <dimension ref="A1:Q1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-0.99999999999997868</v>
      </c>
      <c r="C112" s="66">
        <v>-3.0581039755351032E-3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-0.99999999999997868</v>
      </c>
      <c r="C113" s="66">
        <v>-3.0303030303029657E-3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-0.99999999999997291</v>
      </c>
      <c r="C114" s="66">
        <v>-3.0030030030029214E-3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-0.99999999999997158</v>
      </c>
      <c r="C115" s="66">
        <v>-2.9761904761903915E-3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-0.99999999999997158</v>
      </c>
      <c r="C116" s="66">
        <v>-2.9498525073745475E-3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2019-05-07T11:39:34Z</dcterms:modified>
</cp:coreProperties>
</file>