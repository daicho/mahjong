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56DBEAF0-E82D-4AA0-B397-274F38B97B49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909" r:id="rId6"/>
    <sheet name="だいち" sheetId="4911" r:id="rId7"/>
    <sheet name="りくと" sheetId="4913" r:id="rId8"/>
    <sheet name="ただ" sheetId="4915" r:id="rId9"/>
    <sheet name="れんたろう" sheetId="4917" r:id="rId10"/>
    <sheet name="たかの" sheetId="4919" r:id="rId11"/>
    <sheet name="ぱぱ" sheetId="4921" r:id="rId12"/>
    <sheet name="まっつん" sheetId="4923" r:id="rId13"/>
    <sheet name="あさひ" sheetId="4925" r:id="rId14"/>
    <sheet name="ほたに" sheetId="4929" r:id="rId15"/>
    <sheet name="いっしー" sheetId="4927" r:id="rId16"/>
    <sheet name="ほたに2" sheetId="4930" state="hidden" r:id="rId17"/>
    <sheet name="いっしー2" sheetId="4928" state="hidden" r:id="rId18"/>
    <sheet name="あさひ2" sheetId="4926" state="hidden" r:id="rId19"/>
    <sheet name="まっつん2" sheetId="4924" state="hidden" r:id="rId20"/>
    <sheet name="ぱぱ2" sheetId="4922" state="hidden" r:id="rId21"/>
    <sheet name="たかの2" sheetId="4920" state="hidden" r:id="rId22"/>
    <sheet name="れんたろう2" sheetId="4918" state="hidden" r:id="rId23"/>
    <sheet name="ただ2" sheetId="4916" state="hidden" r:id="rId24"/>
    <sheet name="りくと2" sheetId="4914" state="hidden" r:id="rId25"/>
    <sheet name="だいち2" sheetId="4912" state="hidden" r:id="rId26"/>
    <sheet name="全体2" sheetId="4910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3">あさひ!$B$17</definedName>
    <definedName name="アガリ数" localSheetId="15">いっしー!$B$17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4">ほたに!$B$17</definedName>
    <definedName name="アガリ数" localSheetId="12">まっつん!$B$17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5">いっしー!$C$17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4">ほたに!$C$17</definedName>
    <definedName name="アガリ率" localSheetId="12">まっつん!$C$17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5">いっしー!$B$27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4">ほたに!$B$27</definedName>
    <definedName name="チョンボ数" localSheetId="12">まっつん!$B$27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5">いっしー!$C$27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4">ほたに!$C$27</definedName>
    <definedName name="チョンボ率" localSheetId="12">まっつん!$C$27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5">いっしー!$B$18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4">ほたに!$B$18</definedName>
    <definedName name="ツモ数" localSheetId="12">まっつん!$B$18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5">いっしー!$C$18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4">ほたに!$C$18</definedName>
    <definedName name="ツモ率" localSheetId="12">まっつん!$C$18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5">いっしー!$B$7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4">ほたに!$B$7</definedName>
    <definedName name="トップ数" localSheetId="12">まっつん!$B$7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5">いっしー!$C$7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4">ほたに!$C$7</definedName>
    <definedName name="トップ率" localSheetId="12">まっつん!$C$7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5">いっしー!$B$11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4">ほたに!$B$11</definedName>
    <definedName name="ふっとばし数" localSheetId="12">まっつん!$B$11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5">いっしー!$C$11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4">ほたに!$C$11</definedName>
    <definedName name="ふっとばし率" localSheetId="12">まっつん!$C$11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5">いっしー!$B$10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4">ほたに!$B$10</definedName>
    <definedName name="ふっとび数" localSheetId="12">まっつん!$B$10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5">いっしー!$C$10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4">ほたに!$C$10</definedName>
    <definedName name="ふっとび率" localSheetId="12">まっつん!$C$10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5">いっしー!$B$9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4">ほたに!$B$9</definedName>
    <definedName name="ラス数" localSheetId="12">まっつん!$B$9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5">いっしー!$C$9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4">ほたに!$C$9</definedName>
    <definedName name="ラス率" localSheetId="12">まっつん!$C$9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5">いっしー!$B$13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4">ほたに!$B$13</definedName>
    <definedName name="リーチ数" localSheetId="12">まっつん!$B$13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5">いっしー!$B$15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4">ほたに!$B$15</definedName>
    <definedName name="リーチ成功数" localSheetId="12">まっつん!$B$15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5">いっしー!$C$15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4">ほたに!$C$15</definedName>
    <definedName name="リーチ成功率" localSheetId="12">まっつん!$C$15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5">いっしー!$C$13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4">ほたに!$C$13</definedName>
    <definedName name="リーチ率" localSheetId="12">まっつん!$C$13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5">いっしー!$B$19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4">ほたに!$B$19</definedName>
    <definedName name="ロン数" localSheetId="12">まっつん!$B$19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5">いっしー!$C$19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4">ほたに!$C$19</definedName>
    <definedName name="ロン率" localSheetId="12">まっつん!$C$19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5">いっしー!$B$12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4">ほたに!$B$12</definedName>
    <definedName name="逆転数" localSheetId="12">まっつん!$B$12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5">いっしー!$C$12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4">ほたに!$C$12</definedName>
    <definedName name="逆転率" localSheetId="12">まっつん!$C$12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5">いっしー!$B$25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4">ほたに!$B$25</definedName>
    <definedName name="最大ドラ数" localSheetId="12">まっつん!$B$25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5">いっしー!$B$26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4">ほたに!$B$26</definedName>
    <definedName name="最大点数" localSheetId="12">まっつん!$B$26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5">いっしー!$B$3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4">ほたに!$B$3</definedName>
    <definedName name="総局数" localSheetId="12">まっつん!$B$3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5">いっしー!$B$2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4">ほたに!$B$2</definedName>
    <definedName name="対戦数" localSheetId="12">まっつん!$B$2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5">いっしー!$B$4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4">ほたに!$B$4</definedName>
    <definedName name="通算スコア" localSheetId="12">まっつん!$B$4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5">いっしー!$B$14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4">ほたに!$B$14</definedName>
    <definedName name="副露数" localSheetId="12">まっつん!$B$14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5">いっしー!$B$16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4">ほたに!$B$16</definedName>
    <definedName name="副露成功数" localSheetId="12">まっつん!$B$16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5">いっしー!$C$16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4">ほたに!$C$16</definedName>
    <definedName name="副露成功率" localSheetId="12">まっつん!$C$16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5">いっしー!$C$14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4">ほたに!$C$14</definedName>
    <definedName name="副露率" localSheetId="12">まっつん!$C$14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5">いっしー!$B$23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4">ほたに!$B$23</definedName>
    <definedName name="平均アガリ点" localSheetId="12">まっつん!$B$23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5">いっしー!$B$5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4">ほたに!$B$5</definedName>
    <definedName name="平均スコア" localSheetId="12">まっつん!$B$5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5">いっしー!$B$6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4">ほたに!$B$6</definedName>
    <definedName name="平均順位" localSheetId="12">まっつん!$B$6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5">いっしー!$B$24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4">ほたに!$B$24</definedName>
    <definedName name="平均放銃点" localSheetId="12">まっつん!$B$24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5">いっしー!$B$20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4">ほたに!$B$20</definedName>
    <definedName name="放銃数" localSheetId="12">まっつん!$B$20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5">いっしー!$C$20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4">ほたに!$C$20</definedName>
    <definedName name="放銃率" localSheetId="12">まっつん!$C$20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5">いっしー!$B$21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4">ほたに!$B$21</definedName>
    <definedName name="連続アガリ" localSheetId="12">まっつん!$B$21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5">いっしー!$B$22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4">ほたに!$B$22</definedName>
    <definedName name="連続無放銃" localSheetId="12">まっつん!$B$22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929" l="1"/>
  <c r="O16" i="4929"/>
  <c r="C27" i="4929"/>
  <c r="B24" i="4929"/>
  <c r="C20" i="4929"/>
  <c r="B17" i="4929"/>
  <c r="H50" i="4929" s="1"/>
  <c r="C16" i="4929"/>
  <c r="C15" i="4929"/>
  <c r="C14" i="4929"/>
  <c r="C13" i="4929"/>
  <c r="O12" i="4929"/>
  <c r="C12" i="4929"/>
  <c r="O11" i="4929"/>
  <c r="C11" i="4929"/>
  <c r="O10" i="4929"/>
  <c r="C10" i="4929"/>
  <c r="C9" i="4929"/>
  <c r="C8" i="4929"/>
  <c r="O7" i="4929"/>
  <c r="C7" i="4929"/>
  <c r="O6" i="4929"/>
  <c r="B6" i="4929"/>
  <c r="O5" i="4929"/>
  <c r="B5" i="4929"/>
  <c r="O4" i="4929"/>
  <c r="O3" i="4929"/>
  <c r="O2" i="4929"/>
  <c r="O21" i="4917"/>
  <c r="O16" i="4919"/>
  <c r="O17" i="4909"/>
  <c r="H21" i="4929" l="1"/>
  <c r="H29" i="4929"/>
  <c r="H37" i="4929"/>
  <c r="H44" i="4929"/>
  <c r="H2" i="4929"/>
  <c r="H11" i="4929"/>
  <c r="H7" i="4929"/>
  <c r="H15" i="4929"/>
  <c r="H26" i="4929"/>
  <c r="H45" i="4929"/>
  <c r="C17" i="4929"/>
  <c r="H32" i="4929"/>
  <c r="H14" i="4929"/>
  <c r="H23" i="4929"/>
  <c r="H40" i="4929"/>
  <c r="H48" i="4929"/>
  <c r="H4" i="4929"/>
  <c r="H8" i="4929"/>
  <c r="H17" i="4929"/>
  <c r="H39" i="4929"/>
  <c r="H5" i="4929"/>
  <c r="H6" i="4929"/>
  <c r="H12" i="4929"/>
  <c r="H19" i="4929"/>
  <c r="H33" i="4929"/>
  <c r="H3" i="4929"/>
  <c r="H13" i="4929"/>
  <c r="H16" i="4929"/>
  <c r="H18" i="4929"/>
  <c r="C18" i="4929"/>
  <c r="B23" i="4929"/>
  <c r="H9" i="4929"/>
  <c r="H35" i="4929"/>
  <c r="H43" i="4929"/>
  <c r="H49" i="4929"/>
  <c r="H51" i="4929"/>
  <c r="C19" i="4929"/>
  <c r="H24" i="4929"/>
  <c r="H27" i="4929"/>
  <c r="H31" i="4929"/>
  <c r="H36" i="4929"/>
  <c r="H41" i="4929"/>
  <c r="H47" i="4929"/>
  <c r="H10" i="4929"/>
  <c r="H20" i="4929"/>
  <c r="H22" i="4929"/>
  <c r="H25" i="4929"/>
  <c r="H28" i="4929"/>
  <c r="H30" i="4929"/>
  <c r="H34" i="4929"/>
  <c r="H38" i="4929"/>
  <c r="H42" i="4929"/>
  <c r="H46" i="4929"/>
  <c r="O17" i="4919" l="1"/>
  <c r="O15" i="4915"/>
  <c r="O20" i="4923"/>
  <c r="O19" i="4923"/>
  <c r="O17" i="4911" l="1"/>
  <c r="O17" i="4927"/>
  <c r="O16" i="4927" l="1"/>
  <c r="O15" i="4927"/>
  <c r="O16" i="4917"/>
  <c r="O20" i="4915"/>
  <c r="O17" i="4925" l="1"/>
  <c r="O20" i="4921"/>
  <c r="O15" i="4925"/>
  <c r="O20" i="4927"/>
  <c r="O15" i="4913"/>
  <c r="O15" i="4923"/>
  <c r="O16" i="4909"/>
  <c r="O19" i="4927"/>
  <c r="O18" i="4927"/>
  <c r="C27" i="4927"/>
  <c r="B24" i="4927"/>
  <c r="C20" i="4927"/>
  <c r="B17" i="4927"/>
  <c r="H51" i="4927" s="1"/>
  <c r="C16" i="4927"/>
  <c r="C15" i="4927"/>
  <c r="C14" i="4927"/>
  <c r="C13" i="4927"/>
  <c r="O12" i="4927"/>
  <c r="C12" i="4927"/>
  <c r="O11" i="4927"/>
  <c r="C11" i="4927"/>
  <c r="O10" i="4927"/>
  <c r="C10" i="4927"/>
  <c r="C9" i="4927"/>
  <c r="C8" i="4927"/>
  <c r="O7" i="4927"/>
  <c r="C7" i="4927"/>
  <c r="O6" i="4927"/>
  <c r="B6" i="4927"/>
  <c r="O5" i="4927"/>
  <c r="B5" i="4927"/>
  <c r="O4" i="4927"/>
  <c r="O3" i="4927"/>
  <c r="O2" i="4927"/>
  <c r="O16" i="4925"/>
  <c r="O18" i="4925"/>
  <c r="C27" i="4925"/>
  <c r="B24" i="4925"/>
  <c r="C20" i="4925"/>
  <c r="B17" i="4925"/>
  <c r="H51" i="4925" s="1"/>
  <c r="C16" i="4925"/>
  <c r="C15" i="4925"/>
  <c r="C14" i="4925"/>
  <c r="C13" i="4925"/>
  <c r="O12" i="4925"/>
  <c r="C12" i="4925"/>
  <c r="O11" i="4925"/>
  <c r="C11" i="4925"/>
  <c r="O10" i="4925"/>
  <c r="C10" i="4925"/>
  <c r="C9" i="4925"/>
  <c r="C8" i="4925"/>
  <c r="O7" i="4925"/>
  <c r="C7" i="4925"/>
  <c r="O6" i="4925"/>
  <c r="B6" i="4925"/>
  <c r="O5" i="4925"/>
  <c r="B5" i="4925"/>
  <c r="O4" i="4925"/>
  <c r="O3" i="4925"/>
  <c r="O2" i="4925"/>
  <c r="O22" i="4923"/>
  <c r="O21" i="4923"/>
  <c r="O15" i="4911"/>
  <c r="O18" i="4911"/>
  <c r="O23" i="4909"/>
  <c r="H2" i="4925" l="1"/>
  <c r="H13" i="4925"/>
  <c r="H3" i="4925"/>
  <c r="H4" i="4925"/>
  <c r="C17" i="4925"/>
  <c r="H2" i="4927"/>
  <c r="H4" i="4927"/>
  <c r="H13" i="4927"/>
  <c r="H15" i="4927"/>
  <c r="H18" i="4927"/>
  <c r="H20" i="4927"/>
  <c r="C18" i="4927"/>
  <c r="H11" i="4927"/>
  <c r="H40" i="4927"/>
  <c r="H24" i="4927"/>
  <c r="H44" i="4927"/>
  <c r="H8" i="4927"/>
  <c r="H17" i="4927"/>
  <c r="H19" i="4927"/>
  <c r="H10" i="4927"/>
  <c r="H32" i="4927"/>
  <c r="H48" i="4927"/>
  <c r="H9" i="4927"/>
  <c r="H3" i="4927"/>
  <c r="C19" i="4927"/>
  <c r="H6" i="4927"/>
  <c r="C17" i="4927"/>
  <c r="H12" i="4927"/>
  <c r="H7" i="4927"/>
  <c r="H14" i="4927"/>
  <c r="H16" i="4927"/>
  <c r="H21" i="4927"/>
  <c r="H26" i="4927"/>
  <c r="H36" i="4927"/>
  <c r="H5" i="4927"/>
  <c r="B23" i="4927"/>
  <c r="H27" i="4927"/>
  <c r="H29" i="4927"/>
  <c r="H33" i="4927"/>
  <c r="H37" i="4927"/>
  <c r="H41" i="4927"/>
  <c r="H45" i="4927"/>
  <c r="H49" i="4927"/>
  <c r="H22" i="4927"/>
  <c r="H23" i="4927"/>
  <c r="H25" i="4927"/>
  <c r="H28" i="4927"/>
  <c r="H30" i="4927"/>
  <c r="H34" i="4927"/>
  <c r="H38" i="4927"/>
  <c r="H42" i="4927"/>
  <c r="H46" i="4927"/>
  <c r="H50" i="4927"/>
  <c r="H31" i="4927"/>
  <c r="H35" i="4927"/>
  <c r="H39" i="4927"/>
  <c r="H43" i="4927"/>
  <c r="H47" i="4927"/>
  <c r="H23" i="4925"/>
  <c r="H12" i="4925"/>
  <c r="H8" i="4925"/>
  <c r="H10" i="4925"/>
  <c r="H15" i="4925"/>
  <c r="H20" i="4925"/>
  <c r="H22" i="4925"/>
  <c r="H25" i="4925"/>
  <c r="H11" i="4925"/>
  <c r="H6" i="4925"/>
  <c r="H32" i="4925"/>
  <c r="H36" i="4925"/>
  <c r="H40" i="4925"/>
  <c r="H44" i="4925"/>
  <c r="H48" i="4925"/>
  <c r="H7" i="4925"/>
  <c r="H5" i="4925"/>
  <c r="H14" i="4925"/>
  <c r="H17" i="4925"/>
  <c r="H19" i="4925"/>
  <c r="C18" i="4925"/>
  <c r="B23" i="4925"/>
  <c r="H27" i="4925"/>
  <c r="H29" i="4925"/>
  <c r="H33" i="4925"/>
  <c r="H37" i="4925"/>
  <c r="H41" i="4925"/>
  <c r="H45" i="4925"/>
  <c r="H49" i="4925"/>
  <c r="H21" i="4925"/>
  <c r="H26" i="4925"/>
  <c r="H28" i="4925"/>
  <c r="H30" i="4925"/>
  <c r="H34" i="4925"/>
  <c r="H38" i="4925"/>
  <c r="H42" i="4925"/>
  <c r="H46" i="4925"/>
  <c r="H50" i="4925"/>
  <c r="H9" i="4925"/>
  <c r="H16" i="4925"/>
  <c r="H18" i="4925"/>
  <c r="C19" i="4925"/>
  <c r="H24" i="4925"/>
  <c r="H31" i="4925"/>
  <c r="H35" i="4925"/>
  <c r="H39" i="4925"/>
  <c r="H43" i="4925"/>
  <c r="H47" i="4925"/>
  <c r="O16" i="4923" l="1"/>
  <c r="O19" i="4921"/>
  <c r="O17" i="4921"/>
  <c r="O18" i="4913"/>
  <c r="O18" i="4919" l="1"/>
  <c r="O17" i="4917"/>
  <c r="O16" i="4921"/>
  <c r="O18" i="4921"/>
  <c r="O15" i="4919" l="1"/>
  <c r="O15" i="4917"/>
  <c r="O19" i="4915"/>
  <c r="O21" i="4915"/>
  <c r="O17" i="4923"/>
  <c r="O18" i="4923"/>
  <c r="C27" i="4923"/>
  <c r="B24" i="4923"/>
  <c r="C20" i="4923"/>
  <c r="B17" i="4923"/>
  <c r="H5" i="4923" s="1"/>
  <c r="C16" i="4923"/>
  <c r="C15" i="4923"/>
  <c r="C14" i="4923"/>
  <c r="C13" i="4923"/>
  <c r="O12" i="4923"/>
  <c r="C12" i="4923"/>
  <c r="O11" i="4923"/>
  <c r="C11" i="4923"/>
  <c r="O10" i="4923"/>
  <c r="C10" i="4923"/>
  <c r="C9" i="4923"/>
  <c r="C8" i="4923"/>
  <c r="O7" i="4923"/>
  <c r="C7" i="4923"/>
  <c r="O6" i="4923"/>
  <c r="B6" i="4923"/>
  <c r="O5" i="4923"/>
  <c r="B5" i="4923"/>
  <c r="O4" i="4923"/>
  <c r="O3" i="4923"/>
  <c r="O2" i="4923"/>
  <c r="O19" i="4917"/>
  <c r="O20" i="4913"/>
  <c r="O18" i="4909"/>
  <c r="H37" i="4923" l="1"/>
  <c r="H4" i="4923"/>
  <c r="H18" i="4923"/>
  <c r="B23" i="4923"/>
  <c r="H17" i="4923"/>
  <c r="H39" i="4923"/>
  <c r="H3" i="4923"/>
  <c r="H19" i="4923"/>
  <c r="H31" i="4923"/>
  <c r="H12" i="4923"/>
  <c r="C18" i="4923"/>
  <c r="H8" i="4923"/>
  <c r="H6" i="4923"/>
  <c r="C19" i="4923"/>
  <c r="H9" i="4923"/>
  <c r="H16" i="4923"/>
  <c r="H21" i="4923"/>
  <c r="H30" i="4923"/>
  <c r="H45" i="4923"/>
  <c r="H47" i="4923"/>
  <c r="H2" i="4923"/>
  <c r="H33" i="4923"/>
  <c r="H41" i="4923"/>
  <c r="H49" i="4923"/>
  <c r="H28" i="4923"/>
  <c r="H7" i="4923"/>
  <c r="H13" i="4923"/>
  <c r="H20" i="4923"/>
  <c r="C17" i="4923"/>
  <c r="H14" i="4923"/>
  <c r="H35" i="4923"/>
  <c r="H43" i="4923"/>
  <c r="H51" i="4923"/>
  <c r="H23" i="4923"/>
  <c r="H25" i="4923"/>
  <c r="H15" i="4923"/>
  <c r="H29" i="4923"/>
  <c r="H11" i="4923"/>
  <c r="H34" i="4923"/>
  <c r="H38" i="4923"/>
  <c r="H42" i="4923"/>
  <c r="H46" i="4923"/>
  <c r="H50" i="4923"/>
  <c r="H22" i="4923"/>
  <c r="H24" i="4923"/>
  <c r="H26" i="4923"/>
  <c r="H27" i="4923"/>
  <c r="H10" i="4923"/>
  <c r="H32" i="4923"/>
  <c r="H36" i="4923"/>
  <c r="H40" i="4923"/>
  <c r="H44" i="4923"/>
  <c r="H48" i="4923"/>
  <c r="O16" i="4915" l="1"/>
  <c r="O21" i="4921"/>
  <c r="O15" i="4921"/>
  <c r="C27" i="4921"/>
  <c r="B24" i="4921"/>
  <c r="C20" i="4921"/>
  <c r="B17" i="4921"/>
  <c r="H50" i="4921" s="1"/>
  <c r="C16" i="4921"/>
  <c r="C15" i="4921"/>
  <c r="C14" i="4921"/>
  <c r="C13" i="4921"/>
  <c r="O12" i="4921"/>
  <c r="C12" i="4921"/>
  <c r="O11" i="4921"/>
  <c r="C11" i="4921"/>
  <c r="O10" i="4921"/>
  <c r="C10" i="4921"/>
  <c r="C9" i="4921"/>
  <c r="C8" i="4921"/>
  <c r="O7" i="4921"/>
  <c r="C7" i="4921"/>
  <c r="O6" i="4921"/>
  <c r="B6" i="4921"/>
  <c r="O5" i="4921"/>
  <c r="B5" i="4921"/>
  <c r="O4" i="4921"/>
  <c r="O3" i="4921"/>
  <c r="O2" i="4921"/>
  <c r="O19" i="4911"/>
  <c r="O19" i="4909"/>
  <c r="O19" i="4919"/>
  <c r="O17" i="4913"/>
  <c r="O19" i="4913"/>
  <c r="O20" i="4917"/>
  <c r="O20" i="4919"/>
  <c r="O21" i="4919"/>
  <c r="C27" i="4919"/>
  <c r="B24" i="4919"/>
  <c r="C20" i="4919"/>
  <c r="B17" i="4919"/>
  <c r="H50" i="4919" s="1"/>
  <c r="C16" i="4919"/>
  <c r="C15" i="4919"/>
  <c r="C14" i="4919"/>
  <c r="C13" i="4919"/>
  <c r="O12" i="4919"/>
  <c r="C12" i="4919"/>
  <c r="O11" i="4919"/>
  <c r="C11" i="4919"/>
  <c r="O10" i="4919"/>
  <c r="C10" i="4919"/>
  <c r="C9" i="4919"/>
  <c r="C8" i="4919"/>
  <c r="O7" i="4919"/>
  <c r="C7" i="4919"/>
  <c r="O6" i="4919"/>
  <c r="B6" i="4919"/>
  <c r="O5" i="4919"/>
  <c r="B5" i="4919"/>
  <c r="O4" i="4919"/>
  <c r="O3" i="4919"/>
  <c r="O2" i="4919"/>
  <c r="O22" i="4917"/>
  <c r="O18" i="4917"/>
  <c r="C27" i="4917"/>
  <c r="B24" i="4917"/>
  <c r="C20" i="4917"/>
  <c r="B17" i="4917"/>
  <c r="H51" i="4917" s="1"/>
  <c r="C16" i="4917"/>
  <c r="C15" i="4917"/>
  <c r="C14" i="4917"/>
  <c r="C13" i="4917"/>
  <c r="O12" i="4917"/>
  <c r="C12" i="4917"/>
  <c r="O11" i="4917"/>
  <c r="C11" i="4917"/>
  <c r="O10" i="4917"/>
  <c r="C10" i="4917"/>
  <c r="C9" i="4917"/>
  <c r="C8" i="4917"/>
  <c r="O7" i="4917"/>
  <c r="C7" i="4917"/>
  <c r="O6" i="4917"/>
  <c r="B6" i="4917"/>
  <c r="O5" i="4917"/>
  <c r="B5" i="4917"/>
  <c r="O4" i="4917"/>
  <c r="O3" i="4917"/>
  <c r="O2" i="4917"/>
  <c r="O20" i="4911"/>
  <c r="O21" i="4911"/>
  <c r="O22" i="4909"/>
  <c r="O20" i="4909"/>
  <c r="H8" i="4921" l="1"/>
  <c r="H20" i="4921"/>
  <c r="H7" i="4919"/>
  <c r="H14" i="4919"/>
  <c r="H3" i="4919"/>
  <c r="H20" i="4919"/>
  <c r="H22" i="4919"/>
  <c r="H32" i="4921"/>
  <c r="H7" i="4921"/>
  <c r="H15" i="4921"/>
  <c r="H2" i="4921"/>
  <c r="H4" i="4921"/>
  <c r="H3" i="4921"/>
  <c r="H22" i="4921"/>
  <c r="C18" i="4921"/>
  <c r="H48" i="4921"/>
  <c r="C17" i="4921"/>
  <c r="H39" i="4921"/>
  <c r="H10" i="4921"/>
  <c r="H19" i="4921"/>
  <c r="H21" i="4921"/>
  <c r="H12" i="4921"/>
  <c r="H14" i="4921"/>
  <c r="H5" i="4921"/>
  <c r="H11" i="4921"/>
  <c r="H18" i="4921"/>
  <c r="H16" i="4921"/>
  <c r="H40" i="4921"/>
  <c r="H31" i="4921"/>
  <c r="H43" i="4921"/>
  <c r="H24" i="4921"/>
  <c r="H13" i="4921"/>
  <c r="H35" i="4921"/>
  <c r="H47" i="4921"/>
  <c r="H35" i="4919"/>
  <c r="H40" i="4919"/>
  <c r="C18" i="4919"/>
  <c r="H5" i="4919"/>
  <c r="H9" i="4919"/>
  <c r="H2" i="4919"/>
  <c r="H15" i="4919"/>
  <c r="H10" i="4919"/>
  <c r="H17" i="4919"/>
  <c r="H11" i="4919"/>
  <c r="H6" i="4919"/>
  <c r="H19" i="4919"/>
  <c r="H16" i="4919"/>
  <c r="B23" i="4919"/>
  <c r="H33" i="4919"/>
  <c r="H21" i="4917"/>
  <c r="H36" i="4917"/>
  <c r="H22" i="4917"/>
  <c r="H46" i="4917"/>
  <c r="H6" i="4917"/>
  <c r="H11" i="4917"/>
  <c r="H49" i="4917"/>
  <c r="H12" i="4917"/>
  <c r="B23" i="4917"/>
  <c r="H9" i="4917"/>
  <c r="H20" i="4917"/>
  <c r="H24" i="4917"/>
  <c r="H8" i="4917"/>
  <c r="H4" i="4917"/>
  <c r="C18" i="4917"/>
  <c r="H3" i="4917"/>
  <c r="H2" i="4917"/>
  <c r="H15" i="4917"/>
  <c r="H33" i="4917"/>
  <c r="H40" i="4917"/>
  <c r="H50" i="4917"/>
  <c r="H7" i="4917"/>
  <c r="H16" i="4917"/>
  <c r="H23" i="4917"/>
  <c r="C17" i="4917"/>
  <c r="H14" i="4917"/>
  <c r="H10" i="4917"/>
  <c r="H41" i="4917"/>
  <c r="H13" i="4917"/>
  <c r="H34" i="4917"/>
  <c r="H44" i="4917"/>
  <c r="H51" i="4921"/>
  <c r="C19" i="4921"/>
  <c r="H26" i="4921"/>
  <c r="H9" i="4921"/>
  <c r="H36" i="4921"/>
  <c r="H44" i="4921"/>
  <c r="H6" i="4921"/>
  <c r="B23" i="4921"/>
  <c r="H28" i="4921"/>
  <c r="H30" i="4921"/>
  <c r="H33" i="4921"/>
  <c r="H37" i="4921"/>
  <c r="H41" i="4921"/>
  <c r="H45" i="4921"/>
  <c r="H49" i="4921"/>
  <c r="H23" i="4921"/>
  <c r="H25" i="4921"/>
  <c r="H27" i="4921"/>
  <c r="H29" i="4921"/>
  <c r="H17" i="4921"/>
  <c r="H34" i="4921"/>
  <c r="H38" i="4921"/>
  <c r="H42" i="4921"/>
  <c r="H46" i="4921"/>
  <c r="H48" i="4919"/>
  <c r="H43" i="4919"/>
  <c r="H49" i="4919"/>
  <c r="H12" i="4919"/>
  <c r="H30" i="4919"/>
  <c r="H37" i="4919"/>
  <c r="H44" i="4919"/>
  <c r="H51" i="4919"/>
  <c r="H8" i="4919"/>
  <c r="H21" i="4919"/>
  <c r="H23" i="4919"/>
  <c r="C17" i="4919"/>
  <c r="H13" i="4919"/>
  <c r="H32" i="4919"/>
  <c r="H39" i="4919"/>
  <c r="H45" i="4919"/>
  <c r="H18" i="4917"/>
  <c r="H31" i="4917"/>
  <c r="H38" i="4917"/>
  <c r="H45" i="4917"/>
  <c r="C19" i="4919"/>
  <c r="H26" i="4919"/>
  <c r="H28" i="4919"/>
  <c r="H31" i="4919"/>
  <c r="H36" i="4919"/>
  <c r="H41" i="4919"/>
  <c r="H47" i="4919"/>
  <c r="H4" i="4919"/>
  <c r="H24" i="4919"/>
  <c r="H25" i="4919"/>
  <c r="H27" i="4919"/>
  <c r="H29" i="4919"/>
  <c r="H18" i="4919"/>
  <c r="H34" i="4919"/>
  <c r="H38" i="4919"/>
  <c r="H42" i="4919"/>
  <c r="H46" i="4919"/>
  <c r="H17" i="4917"/>
  <c r="C19" i="4917"/>
  <c r="H27" i="4917"/>
  <c r="H29" i="4917"/>
  <c r="H19" i="4917"/>
  <c r="H37" i="4917"/>
  <c r="H42" i="4917"/>
  <c r="H48" i="4917"/>
  <c r="H5" i="4917"/>
  <c r="H25" i="4917"/>
  <c r="H26" i="4917"/>
  <c r="H28" i="4917"/>
  <c r="H30" i="4917"/>
  <c r="H32" i="4917"/>
  <c r="H35" i="4917"/>
  <c r="H39" i="4917"/>
  <c r="H43" i="4917"/>
  <c r="H47" i="4917"/>
  <c r="O17" i="4915" l="1"/>
  <c r="O18" i="4915"/>
  <c r="C27" i="4915"/>
  <c r="B24" i="4915"/>
  <c r="C20" i="4915"/>
  <c r="B17" i="4915"/>
  <c r="H50" i="4915" s="1"/>
  <c r="C16" i="4915"/>
  <c r="C15" i="4915"/>
  <c r="C14" i="4915"/>
  <c r="C13" i="4915"/>
  <c r="O12" i="4915"/>
  <c r="C12" i="4915"/>
  <c r="O11" i="4915"/>
  <c r="C11" i="4915"/>
  <c r="O10" i="4915"/>
  <c r="C10" i="4915"/>
  <c r="C9" i="4915"/>
  <c r="C8" i="4915"/>
  <c r="O7" i="4915"/>
  <c r="C7" i="4915"/>
  <c r="O6" i="4915"/>
  <c r="B6" i="4915"/>
  <c r="O5" i="4915"/>
  <c r="B5" i="4915"/>
  <c r="O4" i="4915"/>
  <c r="O3" i="4915"/>
  <c r="O2" i="4915"/>
  <c r="O21" i="4913"/>
  <c r="O16" i="4913"/>
  <c r="C27" i="4913"/>
  <c r="B24" i="4913"/>
  <c r="C20" i="4913"/>
  <c r="B17" i="4913"/>
  <c r="H51" i="4913" s="1"/>
  <c r="C16" i="4913"/>
  <c r="C15" i="4913"/>
  <c r="C14" i="4913"/>
  <c r="H19" i="4913"/>
  <c r="C13" i="4913"/>
  <c r="O12" i="4913"/>
  <c r="C12" i="4913"/>
  <c r="O11" i="4913"/>
  <c r="C11" i="4913"/>
  <c r="O10" i="4913"/>
  <c r="C10" i="4913"/>
  <c r="C9" i="4913"/>
  <c r="C8" i="4913"/>
  <c r="O7" i="4913"/>
  <c r="C7" i="4913"/>
  <c r="O6" i="4913"/>
  <c r="B6" i="4913"/>
  <c r="O5" i="4913"/>
  <c r="B5" i="4913"/>
  <c r="O4" i="4913"/>
  <c r="O3" i="4913"/>
  <c r="O2" i="4913"/>
  <c r="O24" i="4909"/>
  <c r="O16" i="4911"/>
  <c r="O22" i="4911"/>
  <c r="C27" i="4911"/>
  <c r="B24" i="4911"/>
  <c r="C20" i="4911"/>
  <c r="B17" i="4911"/>
  <c r="H51" i="4911" s="1"/>
  <c r="C16" i="4911"/>
  <c r="C15" i="4911"/>
  <c r="C14" i="4911"/>
  <c r="C13" i="4911"/>
  <c r="O12" i="4911"/>
  <c r="C12" i="4911"/>
  <c r="O11" i="4911"/>
  <c r="C11" i="4911"/>
  <c r="O10" i="4911"/>
  <c r="C10" i="4911"/>
  <c r="C9" i="4911"/>
  <c r="C8" i="4911"/>
  <c r="O7" i="4911"/>
  <c r="C7" i="4911"/>
  <c r="O6" i="4911"/>
  <c r="B6" i="4911"/>
  <c r="O5" i="4911"/>
  <c r="B5" i="4911"/>
  <c r="O4" i="4911"/>
  <c r="O3" i="4911"/>
  <c r="O2" i="4911"/>
  <c r="O15" i="4909"/>
  <c r="O21" i="4909"/>
  <c r="C27" i="4909"/>
  <c r="B24" i="4909"/>
  <c r="C20" i="4909"/>
  <c r="B17" i="4909"/>
  <c r="H5" i="4909" s="1"/>
  <c r="C16" i="4909"/>
  <c r="C15" i="4909"/>
  <c r="C14" i="4909"/>
  <c r="C13" i="4909"/>
  <c r="O12" i="4909"/>
  <c r="C12" i="4909"/>
  <c r="O11" i="4909"/>
  <c r="C11" i="4909"/>
  <c r="O10" i="4909"/>
  <c r="C10" i="4909"/>
  <c r="C9" i="4909"/>
  <c r="C8" i="4909"/>
  <c r="O7" i="4909"/>
  <c r="C7" i="4909"/>
  <c r="O6" i="4909"/>
  <c r="B6" i="4909"/>
  <c r="O5" i="4909"/>
  <c r="B5" i="4909"/>
  <c r="O4" i="4909"/>
  <c r="O3" i="4909"/>
  <c r="O2" i="4909"/>
  <c r="H2" i="4913" l="1"/>
  <c r="H16" i="4911"/>
  <c r="H5" i="4915"/>
  <c r="C17" i="4913"/>
  <c r="H3" i="4913"/>
  <c r="H4" i="4913"/>
  <c r="H10" i="4913"/>
  <c r="H8" i="4913"/>
  <c r="H22" i="4913"/>
  <c r="H4" i="4911"/>
  <c r="H3" i="4911"/>
  <c r="H12" i="4911"/>
  <c r="B23" i="4911"/>
  <c r="H7" i="4915"/>
  <c r="H8" i="4915"/>
  <c r="H18" i="4915"/>
  <c r="H20" i="4915"/>
  <c r="H14" i="4915"/>
  <c r="H2" i="4915"/>
  <c r="H10" i="4915"/>
  <c r="C18" i="4915"/>
  <c r="H3" i="4915"/>
  <c r="H48" i="4915"/>
  <c r="H33" i="4915"/>
  <c r="H49" i="4915"/>
  <c r="B23" i="4915"/>
  <c r="H35" i="4915"/>
  <c r="H12" i="4915"/>
  <c r="H4" i="4915"/>
  <c r="H17" i="4915"/>
  <c r="H22" i="4915"/>
  <c r="H40" i="4915"/>
  <c r="H15" i="4915"/>
  <c r="H11" i="4915"/>
  <c r="H43" i="4915"/>
  <c r="H24" i="4915"/>
  <c r="H29" i="4915"/>
  <c r="H37" i="4915"/>
  <c r="H44" i="4915"/>
  <c r="H9" i="4915"/>
  <c r="H19" i="4915"/>
  <c r="H21" i="4915"/>
  <c r="C17" i="4915"/>
  <c r="H13" i="4915"/>
  <c r="H32" i="4915"/>
  <c r="H39" i="4915"/>
  <c r="H45" i="4915"/>
  <c r="H29" i="4911"/>
  <c r="C18" i="4911"/>
  <c r="H6" i="4911"/>
  <c r="H2" i="4911"/>
  <c r="H18" i="4911"/>
  <c r="H8" i="4911"/>
  <c r="H11" i="4909"/>
  <c r="H4" i="4909"/>
  <c r="C17" i="4909"/>
  <c r="H2" i="4909"/>
  <c r="H3" i="4909"/>
  <c r="H51" i="4915"/>
  <c r="C19" i="4915"/>
  <c r="H26" i="4915"/>
  <c r="H28" i="4915"/>
  <c r="H31" i="4915"/>
  <c r="H36" i="4915"/>
  <c r="H41" i="4915"/>
  <c r="H47" i="4915"/>
  <c r="H6" i="4915"/>
  <c r="H23" i="4915"/>
  <c r="H25" i="4915"/>
  <c r="H27" i="4915"/>
  <c r="H16" i="4915"/>
  <c r="H30" i="4915"/>
  <c r="H34" i="4915"/>
  <c r="H38" i="4915"/>
  <c r="H42" i="4915"/>
  <c r="H46" i="4915"/>
  <c r="H13" i="4913"/>
  <c r="H32" i="4913"/>
  <c r="H38" i="4913"/>
  <c r="H45" i="4913"/>
  <c r="H12" i="4913"/>
  <c r="H40" i="4913"/>
  <c r="H9" i="4913"/>
  <c r="H14" i="4913"/>
  <c r="H16" i="4913"/>
  <c r="H41" i="4913"/>
  <c r="H49" i="4913"/>
  <c r="H33" i="4913"/>
  <c r="H46" i="4913"/>
  <c r="H7" i="4913"/>
  <c r="H18" i="4913"/>
  <c r="H20" i="4913"/>
  <c r="H34" i="4913"/>
  <c r="H6" i="4913"/>
  <c r="H21" i="4913"/>
  <c r="H27" i="4913"/>
  <c r="H23" i="4913"/>
  <c r="C18" i="4913"/>
  <c r="B23" i="4913"/>
  <c r="H11" i="4913"/>
  <c r="H36" i="4913"/>
  <c r="H44" i="4913"/>
  <c r="H50" i="4913"/>
  <c r="H17" i="4913"/>
  <c r="C19" i="4913"/>
  <c r="H24" i="4913"/>
  <c r="H31" i="4913"/>
  <c r="H26" i="4913"/>
  <c r="H37" i="4913"/>
  <c r="H42" i="4913"/>
  <c r="H48" i="4913"/>
  <c r="H5" i="4913"/>
  <c r="H28" i="4913"/>
  <c r="H29" i="4913"/>
  <c r="H30" i="4913"/>
  <c r="H25" i="4913"/>
  <c r="H15" i="4913"/>
  <c r="H35" i="4913"/>
  <c r="H39" i="4913"/>
  <c r="H43" i="4913"/>
  <c r="H47" i="4913"/>
  <c r="H36" i="4911"/>
  <c r="H44" i="4911"/>
  <c r="H15" i="4911"/>
  <c r="H24" i="4911"/>
  <c r="H38" i="4911"/>
  <c r="H45" i="4911"/>
  <c r="H9" i="4911"/>
  <c r="H20" i="4911"/>
  <c r="H21" i="4911"/>
  <c r="C17" i="4911"/>
  <c r="H11" i="4911"/>
  <c r="H26" i="4911"/>
  <c r="H40" i="4911"/>
  <c r="H49" i="4911"/>
  <c r="H10" i="4911"/>
  <c r="H7" i="4911"/>
  <c r="H13" i="4911"/>
  <c r="H28" i="4911"/>
  <c r="H22" i="4911"/>
  <c r="H14" i="4911"/>
  <c r="H35" i="4911"/>
  <c r="H41" i="4911"/>
  <c r="H50" i="4911"/>
  <c r="H46" i="4911"/>
  <c r="H19" i="4911"/>
  <c r="C19" i="4911"/>
  <c r="H32" i="4911"/>
  <c r="H23" i="4911"/>
  <c r="H25" i="4911"/>
  <c r="H37" i="4911"/>
  <c r="H42" i="4911"/>
  <c r="H48" i="4911"/>
  <c r="H5" i="4911"/>
  <c r="H30" i="4911"/>
  <c r="H31" i="4911"/>
  <c r="H33" i="4911"/>
  <c r="H34" i="4911"/>
  <c r="H17" i="4911"/>
  <c r="H27" i="4911"/>
  <c r="H39" i="4911"/>
  <c r="H43" i="4911"/>
  <c r="H47" i="4911"/>
  <c r="H27" i="4909"/>
  <c r="H47" i="4909"/>
  <c r="H19" i="4909"/>
  <c r="H24" i="4909"/>
  <c r="C19" i="4909"/>
  <c r="H14" i="4909"/>
  <c r="H22" i="4909"/>
  <c r="H40" i="4909"/>
  <c r="H44" i="4909"/>
  <c r="H18" i="4909"/>
  <c r="H6" i="4909"/>
  <c r="H23" i="4909"/>
  <c r="H20" i="4909"/>
  <c r="H26" i="4909"/>
  <c r="H12" i="4909"/>
  <c r="H9" i="4909"/>
  <c r="H30" i="4909"/>
  <c r="H37" i="4909"/>
  <c r="H41" i="4909"/>
  <c r="H45" i="4909"/>
  <c r="H49" i="4909"/>
  <c r="H7" i="4909"/>
  <c r="H21" i="4909"/>
  <c r="H32" i="4909"/>
  <c r="H17" i="4909"/>
  <c r="C18" i="4909"/>
  <c r="B23" i="4909"/>
  <c r="H28" i="4909"/>
  <c r="H29" i="4909"/>
  <c r="H35" i="4909"/>
  <c r="H38" i="4909"/>
  <c r="H42" i="4909"/>
  <c r="H46" i="4909"/>
  <c r="H50" i="4909"/>
  <c r="H33" i="4909"/>
  <c r="H34" i="4909"/>
  <c r="H25" i="4909"/>
  <c r="H16" i="4909"/>
  <c r="H31" i="4909"/>
  <c r="H39" i="4909"/>
  <c r="H43" i="4909"/>
  <c r="H51" i="4909"/>
  <c r="H8" i="4909"/>
  <c r="H36" i="4909"/>
  <c r="H48" i="4909"/>
  <c r="H10" i="4909"/>
  <c r="H13" i="4909"/>
  <c r="H15" i="4909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<sst xmlns="http://schemas.openxmlformats.org/spreadsheetml/2006/main" count="2665" uniqueCount="207">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</sst>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全体!$K$2:$K$248</c:f>
              <c:numCache>
                <c:formatCode>General</c:formatCode>
                <c:ptCount val="2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</c:numCache>
            </c:numRef>
          </c:xVal>
          <c:yVal>
            <c:numRef>
              <c:f>全体!$L$2:$L$248</c:f>
              <c:numCache>
                <c:formatCode>\+0.0;\-0.0;\±0</c:formatCode>
                <c:ptCount val="247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CF-495D-9B47-3E8782ABDC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-20.325203252032519</c:v>
                </c:pt>
                <c:pt idx="1">
                  <c:v>-12.345679012345679</c:v>
                </c:pt>
                <c:pt idx="2">
                  <c:v>17.777777777777779</c:v>
                </c:pt>
                <c:pt idx="3">
                  <c:v>14.705882352941176</c:v>
                </c:pt>
                <c:pt idx="4">
                  <c:v>-26.455026455026456</c:v>
                </c:pt>
                <c:pt idx="5">
                  <c:v>33.898305084745765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7F-4DB4-901E-606B2CA16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だいち!$K$2:$K$60</c:f>
              <c:numCache>
                <c:formatCode>General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だいち!$L$2:$L$60</c:f>
              <c:numCache>
                <c:formatCode>\+0.0;\-0.0;\±0</c:formatCode>
                <c:ptCount val="59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92-4EAD-BED0-097B0481A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3891.3793103448274</c:v>
                </c:pt>
                <c:pt idx="1">
                  <c:v>3787.719298245614</c:v>
                </c:pt>
                <c:pt idx="2">
                  <c:v>2915.0943396226417</c:v>
                </c:pt>
                <c:pt idx="3">
                  <c:v>5838.2978723404258</c:v>
                </c:pt>
                <c:pt idx="4">
                  <c:v>1483.3333333333333</c:v>
                </c:pt>
                <c:pt idx="5">
                  <c:v>292.30769230769232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FC-44E9-B234-C1D696B6C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りくと!$L$2:$L$61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0C-4256-8EB9-255C550588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1181.3559322033898</c:v>
                </c:pt>
                <c:pt idx="1">
                  <c:v>-1472.4137931034484</c:v>
                </c:pt>
                <c:pt idx="2">
                  <c:v>-1558.9285714285713</c:v>
                </c:pt>
                <c:pt idx="3">
                  <c:v>-108</c:v>
                </c:pt>
                <c:pt idx="4">
                  <c:v>1415.2173913043478</c:v>
                </c:pt>
                <c:pt idx="5">
                  <c:v>1083.7209302325582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9E-49B9-A44B-D6D675E96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ただ!$L$2:$L$28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11-456D-A6D3-4127A529E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-3515.3846153846152</c:v>
                </c:pt>
                <c:pt idx="1">
                  <c:v>-4453.8461538461543</c:v>
                </c:pt>
                <c:pt idx="2">
                  <c:v>-3691.304347826087</c:v>
                </c:pt>
                <c:pt idx="3">
                  <c:v>-7305</c:v>
                </c:pt>
                <c:pt idx="4">
                  <c:v>-2405.5555555555557</c:v>
                </c:pt>
                <c:pt idx="5">
                  <c:v>-2116.6666666666665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12-49CC-99C2-84E83A6F7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れんたろう!$L$2:$L$35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3-41A7-8177-DE2832CD7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-178.78787878787878</c:v>
                </c:pt>
                <c:pt idx="1">
                  <c:v>527.27272727272725</c:v>
                </c:pt>
                <c:pt idx="2">
                  <c:v>1096.7741935483871</c:v>
                </c:pt>
                <c:pt idx="3">
                  <c:v>-2127.5862068965516</c:v>
                </c:pt>
                <c:pt idx="4">
                  <c:v>-611.11111111111109</c:v>
                </c:pt>
                <c:pt idx="5">
                  <c:v>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AC-429E-BB6E-5842517894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たかの!$L$2:$L$25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0-4050-A37B-AB896C312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-347.82608695652175</c:v>
                </c:pt>
                <c:pt idx="1">
                  <c:v>1504.3478260869565</c:v>
                </c:pt>
                <c:pt idx="2">
                  <c:v>147.36842105263159</c:v>
                </c:pt>
                <c:pt idx="3">
                  <c:v>1447.0588235294117</c:v>
                </c:pt>
                <c:pt idx="4">
                  <c:v>-4852.9411764705883</c:v>
                </c:pt>
                <c:pt idx="5">
                  <c:v>-733.33333333333337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77-4304-A3B2-F361BA172B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ぱぱ!$L$2:$L$23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7B-4B61-A119-22F6DFC83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-4204.7619047619046</c:v>
                </c:pt>
                <c:pt idx="1">
                  <c:v>-642.85714285714289</c:v>
                </c:pt>
                <c:pt idx="2">
                  <c:v>-889.47368421052636</c:v>
                </c:pt>
                <c:pt idx="3">
                  <c:v>-3194.4444444444443</c:v>
                </c:pt>
                <c:pt idx="4">
                  <c:v>1164.7058823529412</c:v>
                </c:pt>
                <c:pt idx="5">
                  <c:v>-462.5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22-49DF-887D-EB43C9A1B0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まっつん!$L$2:$L$17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D-4096-9594-7896344BE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-4773.333333333333</c:v>
                </c:pt>
                <c:pt idx="1">
                  <c:v>-3307.1428571428573</c:v>
                </c:pt>
                <c:pt idx="2">
                  <c:v>1069.2307692307693</c:v>
                </c:pt>
                <c:pt idx="3">
                  <c:v>-76.92307692307692</c:v>
                </c:pt>
                <c:pt idx="4">
                  <c:v>-375</c:v>
                </c:pt>
                <c:pt idx="5">
                  <c:v>3227.2727272727275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61-4A85-A199-F2539F1F8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26-4A31-8914-6FBDB973C3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45-43AB-B75E-746CB7261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19-40CD-9B24-C4FE901D5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-18000</c:v>
                </c:pt>
                <c:pt idx="1">
                  <c:v>12000</c:v>
                </c:pt>
                <c:pt idx="2">
                  <c:v>-10000</c:v>
                </c:pt>
                <c:pt idx="3">
                  <c:v>-1000</c:v>
                </c:pt>
                <c:pt idx="4">
                  <c:v>12000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59-4A77-BA67-B547CBC08D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9A-49A5-92F9-E82E537B1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-3742.8571428571427</c:v>
                </c:pt>
                <c:pt idx="1">
                  <c:v>-4085.7142857142858</c:v>
                </c:pt>
                <c:pt idx="2">
                  <c:v>128.57142857142858</c:v>
                </c:pt>
                <c:pt idx="3">
                  <c:v>-7000</c:v>
                </c:pt>
                <c:pt idx="4">
                  <c:v>-2950</c:v>
                </c:pt>
                <c:pt idx="5">
                  <c:v>-4100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2E-44BC-97D5-484BEA4FB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ほたに2!$B$3:$B$4</c:f>
              <c:numCache>
                <c:formatCode>\+0.0;\-0.0;\±0</c:formatCode>
                <c:ptCount val="2"/>
                <c:pt idx="0">
                  <c:v>0</c:v>
                </c:pt>
                <c:pt idx="1">
                  <c:v>-12.5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ほたに2!$C$3:$C$4</c:f>
              <c:numCache>
                <c:formatCode>\+0.0;\-0.0;\±0</c:formatCode>
                <c:ptCount val="2"/>
                <c:pt idx="1">
                  <c:v>-12.5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ほたに2!$D$3:$D$4</c:f>
              <c:numCache>
                <c:formatCode>0.00\ "位"</c:formatCode>
                <c:ptCount val="2"/>
                <c:pt idx="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ほたに2!$E$3:$E$4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ほたに2!$F$3:$F$4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ほたに2!$G$3:$G$4</c:f>
              <c:numCache>
                <c:formatCode>0.0%</c:formatCode>
                <c:ptCount val="2"/>
                <c:pt idx="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832347140039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ほたに2!$H$3:$H$4</c:f>
              <c:numCache>
                <c:formatCode>0.0%</c:formatCode>
                <c:ptCount val="2"/>
                <c:pt idx="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2090729783037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ほたに2!$I$3:$I$4</c:f>
              <c:numCache>
                <c:formatCode>0</c:formatCode>
                <c:ptCount val="2"/>
                <c:pt idx="1">
                  <c:v>12000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88.925619834710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ほたに2!$J$3:$J$4</c:f>
              <c:numCache>
                <c:formatCode>0</c:formatCode>
                <c:ptCount val="2"/>
                <c:pt idx="1">
                  <c:v>-3250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60.17191977077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ほたに2!$K$3:$K$4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1626016260162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ほたに2!$L$3:$L$4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1626016260162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ほたに2!$M$3:$M$4</c:f>
              <c:numCache>
                <c:formatCode>0.0%</c:formatCode>
                <c:ptCount val="2"/>
                <c:pt idx="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93688362919132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ほたに2!$N$3:$N$4</c:f>
              <c:numCache>
                <c:formatCode>0.0%</c:formatCode>
                <c:ptCount val="2"/>
                <c:pt idx="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40039447731755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ほたに2!$O$3:$O$4</c:f>
              <c:numCache>
                <c:formatCode>0.0%</c:formatCode>
                <c:ptCount val="2"/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969581749049429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ほたに2!$P$3:$P$4</c:f>
              <c:numCache>
                <c:formatCode>0.0%</c:formatCode>
                <c:ptCount val="2"/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87096774193548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ほたに2!$Q$3:$Q$4</c:f>
              <c:numCache>
                <c:formatCode>0.0%</c:formatCode>
                <c:ptCount val="2"/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48760330578512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>
      <selection activeCell="B1" sqref="B1:C1"/>
    </sheetView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0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101" customWidth="1"/>
    <col min="13" max="13" width="3.625" style="1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1"/>
  </cols>
  <sheetData>
    <row r="1" spans="1:17" x14ac:dyDescent="0.4">
      <c r="A1" s="20" t="s">
        <v>0</v>
      </c>
      <c r="B1" s="146"/>
      <c r="C1" s="147"/>
      <c r="E1" s="131" t="s">
        <v>168</v>
      </c>
      <c r="F1" s="12" t="s">
        <v>116</v>
      </c>
      <c r="G1" s="26" t="s">
        <v>117</v>
      </c>
      <c r="H1" s="132" t="s">
        <v>118</v>
      </c>
      <c r="I1" s="102" t="s">
        <v>154</v>
      </c>
      <c r="K1" s="2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159</v>
      </c>
    </row>
    <row r="2" spans="1:17" x14ac:dyDescent="0.4">
      <c r="A2" s="21" t="s">
        <v>9</v>
      </c>
      <c r="B2" s="148">
        <v>0</v>
      </c>
      <c r="C2" s="149"/>
      <c r="E2" s="62" t="s">
        <v>65</v>
      </c>
      <c r="F2" s="27" t="s">
        <v>21</v>
      </c>
      <c r="G2" s="14">
        <v>0</v>
      </c>
      <c r="H2" s="134">
        <f>IF(B$17=0,0,G2/B$17)</f>
        <v>0</v>
      </c>
      <c r="I2" s="95"/>
      <c r="K2" s="3">
        <v>0</v>
      </c>
      <c r="L2" s="100">
        <v>0</v>
      </c>
      <c r="N2" s="116" t="s">
        <v>132</v>
      </c>
      <c r="O2" s="123">
        <f t="shared" ref="O2:O7" si="0">IF(P2=0,0,Q2/P2)</f>
        <v>0</v>
      </c>
      <c r="P2" s="120">
        <v>0</v>
      </c>
      <c r="Q2" s="104">
        <v>0</v>
      </c>
    </row>
    <row r="3" spans="1:17" x14ac:dyDescent="0.4">
      <c r="A3" s="22" t="s">
        <v>8</v>
      </c>
      <c r="B3" s="150">
        <v>0</v>
      </c>
      <c r="C3" s="151"/>
      <c r="E3" s="63" t="s">
        <v>66</v>
      </c>
      <c r="F3" s="28" t="s">
        <v>22</v>
      </c>
      <c r="G3" s="15">
        <v>0</v>
      </c>
      <c r="H3" s="135">
        <f t="shared" ref="H3:H51" si="1">IF(B$17=0,0,G3/B$17)</f>
        <v>0</v>
      </c>
      <c r="I3" s="96"/>
      <c r="N3" s="117" t="s">
        <v>133</v>
      </c>
      <c r="O3" s="124">
        <f t="shared" si="0"/>
        <v>0</v>
      </c>
      <c r="P3" s="121">
        <v>0</v>
      </c>
      <c r="Q3" s="105">
        <v>0</v>
      </c>
    </row>
    <row r="4" spans="1:17" x14ac:dyDescent="0.4">
      <c r="A4" s="22" t="s">
        <v>6</v>
      </c>
      <c r="B4" s="152">
        <v>0</v>
      </c>
      <c r="C4" s="153"/>
      <c r="E4" s="63" t="s">
        <v>67</v>
      </c>
      <c r="F4" s="28" t="s">
        <v>23</v>
      </c>
      <c r="G4" s="15">
        <v>0</v>
      </c>
      <c r="H4" s="135">
        <f t="shared" si="1"/>
        <v>0</v>
      </c>
      <c r="I4" s="96"/>
      <c r="N4" s="117" t="s">
        <v>134</v>
      </c>
      <c r="O4" s="124">
        <f t="shared" si="0"/>
        <v>0</v>
      </c>
      <c r="P4" s="121">
        <v>0</v>
      </c>
      <c r="Q4" s="105">
        <v>0</v>
      </c>
    </row>
    <row r="5" spans="1:17" x14ac:dyDescent="0.4">
      <c r="A5" s="22" t="s">
        <v>7</v>
      </c>
      <c r="B5" s="154">
        <f>IF(B$2=0,0,B$4/B$2)</f>
        <v>0</v>
      </c>
      <c r="C5" s="155"/>
      <c r="E5" s="63" t="s">
        <v>68</v>
      </c>
      <c r="F5" s="28" t="s">
        <v>24</v>
      </c>
      <c r="G5" s="15">
        <v>0</v>
      </c>
      <c r="H5" s="135">
        <f>IF(B$17=0,0,G5/B$17)</f>
        <v>0</v>
      </c>
      <c r="I5" s="96"/>
      <c r="N5" s="117" t="s">
        <v>135</v>
      </c>
      <c r="O5" s="124">
        <f t="shared" si="0"/>
        <v>0</v>
      </c>
      <c r="P5" s="121">
        <v>0</v>
      </c>
      <c r="Q5" s="105">
        <v>0</v>
      </c>
    </row>
    <row r="6" spans="1:17" x14ac:dyDescent="0.4">
      <c r="A6" s="22" t="s">
        <v>1</v>
      </c>
      <c r="B6" s="144">
        <f>IF(B$2=0,0,(B$7*1+B$8*2+B$9*3)/B$2)</f>
        <v>0</v>
      </c>
      <c r="C6" s="145"/>
      <c r="E6" s="63" t="s">
        <v>69</v>
      </c>
      <c r="F6" s="28" t="s">
        <v>12</v>
      </c>
      <c r="G6" s="15">
        <v>0</v>
      </c>
      <c r="H6" s="135">
        <f t="shared" si="1"/>
        <v>0</v>
      </c>
      <c r="I6" s="96"/>
      <c r="N6" s="117" t="s">
        <v>136</v>
      </c>
      <c r="O6" s="124">
        <f t="shared" si="0"/>
        <v>0</v>
      </c>
      <c r="P6" s="121">
        <v>0</v>
      </c>
      <c r="Q6" s="105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5">
        <f t="shared" si="1"/>
        <v>0</v>
      </c>
      <c r="I7" s="96"/>
      <c r="N7" s="118" t="s">
        <v>137</v>
      </c>
      <c r="O7" s="125">
        <f t="shared" si="0"/>
        <v>0</v>
      </c>
      <c r="P7" s="122">
        <v>0</v>
      </c>
      <c r="Q7" s="106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5">
        <f t="shared" si="1"/>
        <v>0</v>
      </c>
      <c r="I8" s="96"/>
      <c r="N8" s="43"/>
      <c r="O8" s="129"/>
      <c r="P8" s="113"/>
      <c r="Q8" s="111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5">
        <f t="shared" si="1"/>
        <v>0</v>
      </c>
      <c r="I9" s="96"/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5">
        <f t="shared" si="1"/>
        <v>0</v>
      </c>
      <c r="I10" s="96"/>
      <c r="N10" s="116" t="s">
        <v>165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5">
        <f t="shared" si="1"/>
        <v>0</v>
      </c>
      <c r="I11" s="96"/>
      <c r="N11" s="117" t="s">
        <v>166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5">
        <f t="shared" si="1"/>
        <v>0</v>
      </c>
      <c r="I12" s="96"/>
      <c r="N12" s="118" t="s">
        <v>167</v>
      </c>
      <c r="O12" s="128">
        <f>IF(P12=0,0,Q12/P12)</f>
        <v>0</v>
      </c>
      <c r="P12" s="122">
        <v>0</v>
      </c>
      <c r="Q12" s="110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5">
        <f t="shared" si="1"/>
        <v>0</v>
      </c>
      <c r="I13" s="96"/>
      <c r="N13" s="33"/>
      <c r="O13" s="112"/>
      <c r="P13" s="114"/>
      <c r="Q13" s="112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5">
        <f t="shared" si="1"/>
        <v>0</v>
      </c>
      <c r="I14" s="96"/>
      <c r="N14" s="115" t="s">
        <v>155</v>
      </c>
      <c r="O14" s="34" t="s">
        <v>156</v>
      </c>
      <c r="P14" s="119" t="s">
        <v>157</v>
      </c>
      <c r="Q14" s="107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5">
        <f t="shared" si="1"/>
        <v>0</v>
      </c>
      <c r="I15" s="96"/>
      <c r="N15" s="116"/>
      <c r="O15" s="126"/>
      <c r="P15" s="120"/>
      <c r="Q15" s="108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5">
        <f t="shared" si="1"/>
        <v>0</v>
      </c>
      <c r="I16" s="96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5">
        <f t="shared" si="1"/>
        <v>0</v>
      </c>
      <c r="I17" s="96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5">
        <f t="shared" si="1"/>
        <v>0</v>
      </c>
      <c r="I18" s="96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5">
        <f t="shared" si="1"/>
        <v>0</v>
      </c>
      <c r="I19" s="96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5">
        <f t="shared" si="1"/>
        <v>0</v>
      </c>
      <c r="I20" s="96"/>
    </row>
    <row r="21" spans="1:9" x14ac:dyDescent="0.4">
      <c r="A21" s="55" t="s">
        <v>194</v>
      </c>
      <c r="B21" s="47">
        <v>0</v>
      </c>
      <c r="C21" s="137">
        <v>0</v>
      </c>
      <c r="E21" s="63" t="s">
        <v>84</v>
      </c>
      <c r="F21" s="28" t="s">
        <v>39</v>
      </c>
      <c r="G21" s="15">
        <v>0</v>
      </c>
      <c r="H21" s="135">
        <f t="shared" si="1"/>
        <v>0</v>
      </c>
      <c r="I21" s="96"/>
    </row>
    <row r="22" spans="1:9" x14ac:dyDescent="0.4">
      <c r="A22" s="22" t="s">
        <v>195</v>
      </c>
      <c r="B22" s="15">
        <v>0</v>
      </c>
      <c r="C22" s="137">
        <v>0</v>
      </c>
      <c r="E22" s="63" t="s">
        <v>85</v>
      </c>
      <c r="F22" s="28" t="s">
        <v>40</v>
      </c>
      <c r="G22" s="15">
        <v>0</v>
      </c>
      <c r="H22" s="135">
        <f t="shared" si="1"/>
        <v>0</v>
      </c>
      <c r="I22" s="96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5">
        <f t="shared" si="1"/>
        <v>0</v>
      </c>
      <c r="I23" s="96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5">
        <f t="shared" si="1"/>
        <v>0</v>
      </c>
      <c r="I24" s="96"/>
    </row>
    <row r="25" spans="1:9" x14ac:dyDescent="0.4">
      <c r="A25" s="92" t="s">
        <v>142</v>
      </c>
      <c r="B25" s="142">
        <v>0</v>
      </c>
      <c r="C25" s="143"/>
      <c r="E25" s="63" t="s">
        <v>88</v>
      </c>
      <c r="F25" s="28" t="s">
        <v>43</v>
      </c>
      <c r="G25" s="15">
        <v>0</v>
      </c>
      <c r="H25" s="135">
        <f t="shared" si="1"/>
        <v>0</v>
      </c>
      <c r="I25" s="96"/>
    </row>
    <row r="26" spans="1:9" x14ac:dyDescent="0.4">
      <c r="A26" s="58" t="s">
        <v>152</v>
      </c>
      <c r="B26" s="140">
        <v>0</v>
      </c>
      <c r="C26" s="141"/>
      <c r="E26" s="63" t="s">
        <v>89</v>
      </c>
      <c r="F26" s="28" t="s">
        <v>44</v>
      </c>
      <c r="G26" s="15">
        <v>0</v>
      </c>
      <c r="H26" s="135">
        <f t="shared" si="1"/>
        <v>0</v>
      </c>
      <c r="I26" s="96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5">
        <f t="shared" si="1"/>
        <v>0</v>
      </c>
      <c r="I27" s="96"/>
    </row>
    <row r="28" spans="1:9" x14ac:dyDescent="0.4">
      <c r="E28" s="63" t="s">
        <v>91</v>
      </c>
      <c r="F28" s="28" t="s">
        <v>46</v>
      </c>
      <c r="G28" s="15">
        <v>0</v>
      </c>
      <c r="H28" s="135">
        <f t="shared" si="1"/>
        <v>0</v>
      </c>
      <c r="I28" s="96"/>
    </row>
    <row r="29" spans="1:9" x14ac:dyDescent="0.4">
      <c r="E29" s="63" t="s">
        <v>92</v>
      </c>
      <c r="F29" s="28" t="s">
        <v>47</v>
      </c>
      <c r="G29" s="15">
        <v>0</v>
      </c>
      <c r="H29" s="135">
        <f t="shared" si="1"/>
        <v>0</v>
      </c>
      <c r="I29" s="96"/>
    </row>
    <row r="30" spans="1:9" x14ac:dyDescent="0.4">
      <c r="E30" s="63" t="s">
        <v>93</v>
      </c>
      <c r="F30" s="28" t="s">
        <v>48</v>
      </c>
      <c r="G30" s="15">
        <v>0</v>
      </c>
      <c r="H30" s="135">
        <f t="shared" si="1"/>
        <v>0</v>
      </c>
      <c r="I30" s="96"/>
    </row>
    <row r="31" spans="1:9" x14ac:dyDescent="0.4">
      <c r="E31" s="63" t="s">
        <v>94</v>
      </c>
      <c r="F31" s="28" t="s">
        <v>49</v>
      </c>
      <c r="G31" s="15">
        <v>0</v>
      </c>
      <c r="H31" s="135">
        <f t="shared" si="1"/>
        <v>0</v>
      </c>
      <c r="I31" s="96"/>
    </row>
    <row r="32" spans="1:9" x14ac:dyDescent="0.4">
      <c r="E32" s="63" t="s">
        <v>95</v>
      </c>
      <c r="F32" s="28" t="s">
        <v>50</v>
      </c>
      <c r="G32" s="15">
        <v>0</v>
      </c>
      <c r="H32" s="135">
        <f t="shared" si="1"/>
        <v>0</v>
      </c>
      <c r="I32" s="96"/>
    </row>
    <row r="33" spans="5:9" x14ac:dyDescent="0.4">
      <c r="E33" s="63" t="s">
        <v>96</v>
      </c>
      <c r="F33" s="28" t="s">
        <v>51</v>
      </c>
      <c r="G33" s="15">
        <v>0</v>
      </c>
      <c r="H33" s="135">
        <f t="shared" si="1"/>
        <v>0</v>
      </c>
      <c r="I33" s="96"/>
    </row>
    <row r="34" spans="5:9" x14ac:dyDescent="0.4">
      <c r="E34" s="63" t="s">
        <v>97</v>
      </c>
      <c r="F34" s="28" t="s">
        <v>52</v>
      </c>
      <c r="G34" s="15">
        <v>0</v>
      </c>
      <c r="H34" s="135">
        <f t="shared" si="1"/>
        <v>0</v>
      </c>
      <c r="I34" s="96"/>
    </row>
    <row r="35" spans="5:9" x14ac:dyDescent="0.4">
      <c r="E35" s="63" t="s">
        <v>98</v>
      </c>
      <c r="F35" s="28" t="s">
        <v>53</v>
      </c>
      <c r="G35" s="15">
        <v>0</v>
      </c>
      <c r="H35" s="135">
        <f t="shared" si="1"/>
        <v>0</v>
      </c>
      <c r="I35" s="96"/>
    </row>
    <row r="36" spans="5:9" x14ac:dyDescent="0.4">
      <c r="E36" s="63" t="s">
        <v>99</v>
      </c>
      <c r="F36" s="28" t="s">
        <v>54</v>
      </c>
      <c r="G36" s="15">
        <v>0</v>
      </c>
      <c r="H36" s="135">
        <f t="shared" si="1"/>
        <v>0</v>
      </c>
      <c r="I36" s="96"/>
    </row>
    <row r="37" spans="5:9" x14ac:dyDescent="0.4">
      <c r="E37" s="63" t="s">
        <v>100</v>
      </c>
      <c r="F37" s="28" t="s">
        <v>55</v>
      </c>
      <c r="G37" s="15">
        <v>0</v>
      </c>
      <c r="H37" s="135">
        <f t="shared" si="1"/>
        <v>0</v>
      </c>
      <c r="I37" s="96"/>
    </row>
    <row r="38" spans="5:9" x14ac:dyDescent="0.4">
      <c r="E38" s="63" t="s">
        <v>101</v>
      </c>
      <c r="F38" s="28" t="s">
        <v>56</v>
      </c>
      <c r="G38" s="15">
        <v>0</v>
      </c>
      <c r="H38" s="135">
        <f t="shared" si="1"/>
        <v>0</v>
      </c>
      <c r="I38" s="96"/>
    </row>
    <row r="39" spans="5:9" x14ac:dyDescent="0.4">
      <c r="E39" s="63" t="s">
        <v>102</v>
      </c>
      <c r="F39" s="28" t="s">
        <v>57</v>
      </c>
      <c r="G39" s="15">
        <v>0</v>
      </c>
      <c r="H39" s="135">
        <f t="shared" si="1"/>
        <v>0</v>
      </c>
      <c r="I39" s="96"/>
    </row>
    <row r="40" spans="5:9" x14ac:dyDescent="0.4">
      <c r="E40" s="63" t="s">
        <v>103</v>
      </c>
      <c r="F40" s="28" t="s">
        <v>58</v>
      </c>
      <c r="G40" s="15">
        <v>0</v>
      </c>
      <c r="H40" s="135">
        <f t="shared" si="1"/>
        <v>0</v>
      </c>
      <c r="I40" s="96"/>
    </row>
    <row r="41" spans="5:9" x14ac:dyDescent="0.4">
      <c r="E41" s="63" t="s">
        <v>104</v>
      </c>
      <c r="F41" s="28" t="s">
        <v>59</v>
      </c>
      <c r="G41" s="15">
        <v>0</v>
      </c>
      <c r="H41" s="135">
        <f t="shared" si="1"/>
        <v>0</v>
      </c>
      <c r="I41" s="96"/>
    </row>
    <row r="42" spans="5:9" x14ac:dyDescent="0.4">
      <c r="E42" s="63" t="s">
        <v>105</v>
      </c>
      <c r="F42" s="28" t="s">
        <v>60</v>
      </c>
      <c r="G42" s="15">
        <v>0</v>
      </c>
      <c r="H42" s="135">
        <f t="shared" si="1"/>
        <v>0</v>
      </c>
      <c r="I42" s="96"/>
    </row>
    <row r="43" spans="5:9" x14ac:dyDescent="0.4">
      <c r="E43" s="63" t="s">
        <v>106</v>
      </c>
      <c r="F43" s="28" t="s">
        <v>113</v>
      </c>
      <c r="G43" s="15">
        <v>0</v>
      </c>
      <c r="H43" s="135">
        <f t="shared" si="1"/>
        <v>0</v>
      </c>
      <c r="I43" s="96"/>
    </row>
    <row r="44" spans="5:9" x14ac:dyDescent="0.4">
      <c r="E44" s="63" t="s">
        <v>107</v>
      </c>
      <c r="F44" s="28" t="s">
        <v>114</v>
      </c>
      <c r="G44" s="15">
        <v>0</v>
      </c>
      <c r="H44" s="135">
        <f t="shared" si="1"/>
        <v>0</v>
      </c>
      <c r="I44" s="96"/>
    </row>
    <row r="45" spans="5:9" x14ac:dyDescent="0.4">
      <c r="E45" s="63" t="s">
        <v>108</v>
      </c>
      <c r="F45" s="28" t="s">
        <v>115</v>
      </c>
      <c r="G45" s="15">
        <v>0</v>
      </c>
      <c r="H45" s="135">
        <f t="shared" si="1"/>
        <v>0</v>
      </c>
      <c r="I45" s="96"/>
    </row>
    <row r="46" spans="5:9" x14ac:dyDescent="0.4">
      <c r="E46" s="63" t="s">
        <v>109</v>
      </c>
      <c r="F46" s="28" t="s">
        <v>61</v>
      </c>
      <c r="G46" s="15">
        <v>0</v>
      </c>
      <c r="H46" s="135">
        <f t="shared" si="1"/>
        <v>0</v>
      </c>
      <c r="I46" s="96"/>
    </row>
    <row r="47" spans="5:9" x14ac:dyDescent="0.4">
      <c r="E47" s="63" t="s">
        <v>110</v>
      </c>
      <c r="F47" s="28" t="s">
        <v>62</v>
      </c>
      <c r="G47" s="15">
        <v>0</v>
      </c>
      <c r="H47" s="135">
        <f t="shared" si="1"/>
        <v>0</v>
      </c>
      <c r="I47" s="96"/>
    </row>
    <row r="48" spans="5:9" x14ac:dyDescent="0.4">
      <c r="E48" s="63" t="s">
        <v>111</v>
      </c>
      <c r="F48" s="28" t="s">
        <v>63</v>
      </c>
      <c r="G48" s="15">
        <v>0</v>
      </c>
      <c r="H48" s="135">
        <f t="shared" si="1"/>
        <v>0</v>
      </c>
      <c r="I48" s="96"/>
    </row>
    <row r="49" spans="5:9" x14ac:dyDescent="0.4">
      <c r="E49" s="63" t="s">
        <v>112</v>
      </c>
      <c r="F49" s="60" t="s">
        <v>64</v>
      </c>
      <c r="G49" s="47">
        <v>0</v>
      </c>
      <c r="H49" s="135">
        <f t="shared" si="1"/>
        <v>0</v>
      </c>
      <c r="I49" s="96"/>
    </row>
    <row r="50" spans="5:9" x14ac:dyDescent="0.4">
      <c r="E50" s="63" t="s">
        <v>181</v>
      </c>
      <c r="F50" s="60" t="s">
        <v>184</v>
      </c>
      <c r="G50" s="47">
        <v>0</v>
      </c>
      <c r="H50" s="135">
        <f t="shared" si="1"/>
        <v>0</v>
      </c>
      <c r="I50" s="96"/>
    </row>
    <row r="51" spans="5:9" x14ac:dyDescent="0.4">
      <c r="E51" s="64" t="s">
        <v>182</v>
      </c>
      <c r="F51" s="61" t="s">
        <v>183</v>
      </c>
      <c r="G51" s="49">
        <v>0</v>
      </c>
      <c r="H51" s="136">
        <f t="shared" si="1"/>
        <v>0</v>
      </c>
      <c r="I51" s="97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20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169</v>
      </c>
      <c r="B2" s="31">
        <v>43560.923958333333</v>
      </c>
      <c r="C2" s="30" t="s">
        <v>130</v>
      </c>
      <c r="D2" s="30" t="s">
        <v>131</v>
      </c>
      <c r="E2" s="30" t="s">
        <v>170</v>
      </c>
    </row>
    <row r="3" spans="1:10" x14ac:dyDescent="0.4">
      <c r="A3" s="30" t="s">
        <v>171</v>
      </c>
      <c r="B3" s="31">
        <v>43560.923958333333</v>
      </c>
      <c r="C3" s="30" t="s">
        <v>130</v>
      </c>
      <c r="D3" s="30" t="s">
        <v>131</v>
      </c>
      <c r="E3" s="30" t="s">
        <v>170</v>
      </c>
      <c r="F3" s="30" t="s">
        <v>175</v>
      </c>
      <c r="G3" s="30" t="s">
        <v>176</v>
      </c>
    </row>
    <row r="4" spans="1:10" x14ac:dyDescent="0.4">
      <c r="A4" s="30" t="s">
        <v>177</v>
      </c>
      <c r="B4" s="31">
        <v>43560.923958333333</v>
      </c>
      <c r="C4" s="30" t="s">
        <v>130</v>
      </c>
      <c r="D4" s="30" t="s">
        <v>131</v>
      </c>
      <c r="E4" s="30" t="s">
        <v>170</v>
      </c>
    </row>
    <row r="5" spans="1:10" x14ac:dyDescent="0.4">
      <c r="A5" s="30" t="s">
        <v>179</v>
      </c>
      <c r="B5" s="31">
        <v>43560.923958333333</v>
      </c>
      <c r="C5" s="30" t="s">
        <v>130</v>
      </c>
      <c r="D5" s="30" t="s">
        <v>131</v>
      </c>
      <c r="E5" s="30" t="s">
        <v>170</v>
      </c>
      <c r="F5" s="30" t="s">
        <v>175</v>
      </c>
    </row>
    <row r="6" spans="1:10" x14ac:dyDescent="0.4">
      <c r="A6" s="30" t="s">
        <v>180</v>
      </c>
      <c r="B6" s="31">
        <v>43561.114791666667</v>
      </c>
      <c r="C6" s="30" t="s">
        <v>130</v>
      </c>
      <c r="D6" s="30" t="s">
        <v>131</v>
      </c>
      <c r="E6" s="30" t="s">
        <v>170</v>
      </c>
      <c r="F6" s="30" t="s">
        <v>175</v>
      </c>
      <c r="G6" s="30" t="s">
        <v>176</v>
      </c>
    </row>
    <row r="7" spans="1:10" x14ac:dyDescent="0.4">
      <c r="A7" s="30" t="s">
        <v>185</v>
      </c>
      <c r="B7" s="31">
        <v>43563.354502314818</v>
      </c>
      <c r="C7" s="30" t="s">
        <v>130</v>
      </c>
      <c r="D7" s="30" t="s">
        <v>131</v>
      </c>
      <c r="E7" s="30" t="s">
        <v>170</v>
      </c>
      <c r="F7" s="30" t="s">
        <v>175</v>
      </c>
      <c r="G7" s="30" t="s">
        <v>176</v>
      </c>
      <c r="H7" s="30" t="s">
        <v>188</v>
      </c>
      <c r="I7" s="30" t="s">
        <v>189</v>
      </c>
      <c r="J7" s="30" t="s">
        <v>190</v>
      </c>
    </row>
    <row r="8" spans="1:10" x14ac:dyDescent="0.4">
      <c r="A8" s="30" t="s">
        <v>191</v>
      </c>
      <c r="B8" s="31">
        <v>43566.043888888889</v>
      </c>
      <c r="C8" s="30" t="s">
        <v>130</v>
      </c>
      <c r="D8" s="30" t="s">
        <v>131</v>
      </c>
      <c r="E8" s="30" t="s">
        <v>170</v>
      </c>
      <c r="F8" s="30" t="s">
        <v>175</v>
      </c>
      <c r="G8" s="30" t="s">
        <v>176</v>
      </c>
      <c r="H8" s="30" t="s">
        <v>188</v>
      </c>
      <c r="I8" s="30" t="s">
        <v>189</v>
      </c>
    </row>
    <row r="9" spans="1:10" x14ac:dyDescent="0.4">
      <c r="A9" s="30" t="s">
        <v>192</v>
      </c>
      <c r="B9" s="31">
        <v>43566.04109953704</v>
      </c>
      <c r="C9" s="30" t="s">
        <v>130</v>
      </c>
      <c r="D9" s="30" t="s">
        <v>131</v>
      </c>
    </row>
    <row r="10" spans="1:10" x14ac:dyDescent="0.4">
      <c r="A10" s="30" t="s">
        <v>193</v>
      </c>
      <c r="B10" s="31">
        <v>43566.04109953704</v>
      </c>
      <c r="C10" s="30" t="s">
        <v>130</v>
      </c>
      <c r="D10" s="30" t="s">
        <v>131</v>
      </c>
      <c r="E10" s="30" t="s">
        <v>170</v>
      </c>
      <c r="F10" s="30" t="s">
        <v>175</v>
      </c>
    </row>
    <row r="11" spans="1:10" x14ac:dyDescent="0.4">
      <c r="A11" s="30" t="s">
        <v>196</v>
      </c>
      <c r="B11" s="31">
        <v>43566.04109953704</v>
      </c>
      <c r="C11" s="30" t="s">
        <v>130</v>
      </c>
      <c r="D11" s="30" t="s">
        <v>131</v>
      </c>
      <c r="E11" s="30" t="s">
        <v>170</v>
      </c>
    </row>
    <row r="12" spans="1:10" x14ac:dyDescent="0.4">
      <c r="A12" s="30" t="s">
        <v>197</v>
      </c>
      <c r="B12" s="31">
        <v>43567.62232638889</v>
      </c>
      <c r="C12" s="30" t="s">
        <v>130</v>
      </c>
      <c r="D12" s="30" t="s">
        <v>131</v>
      </c>
      <c r="E12" s="30" t="s">
        <v>170</v>
      </c>
      <c r="F12" s="30" t="s">
        <v>175</v>
      </c>
      <c r="G12" s="30" t="s">
        <v>176</v>
      </c>
    </row>
    <row r="13" spans="1:10" x14ac:dyDescent="0.4">
      <c r="A13" s="30" t="s">
        <v>198</v>
      </c>
      <c r="B13" s="31">
        <v>43568.073333333334</v>
      </c>
      <c r="C13" s="30" t="s">
        <v>130</v>
      </c>
      <c r="D13" s="30" t="s">
        <v>131</v>
      </c>
      <c r="E13" s="30" t="s">
        <v>170</v>
      </c>
    </row>
    <row r="14" spans="1:10" x14ac:dyDescent="0.4">
      <c r="A14" s="30" t="s">
        <v>199</v>
      </c>
      <c r="B14" s="31">
        <v>43569.506898148145</v>
      </c>
      <c r="C14" s="30" t="s">
        <v>130</v>
      </c>
      <c r="D14" s="30" t="s">
        <v>131</v>
      </c>
      <c r="E14" s="30" t="s">
        <v>170</v>
      </c>
      <c r="F14" s="30" t="s">
        <v>175</v>
      </c>
      <c r="G14" s="30" t="s">
        <v>176</v>
      </c>
    </row>
    <row r="15" spans="1:10" x14ac:dyDescent="0.4">
      <c r="A15" s="30" t="s">
        <v>200</v>
      </c>
      <c r="B15" s="31">
        <v>43570.561921296299</v>
      </c>
      <c r="C15" s="30" t="s">
        <v>130</v>
      </c>
      <c r="D15" s="30" t="s">
        <v>131</v>
      </c>
      <c r="E15" s="30" t="s">
        <v>170</v>
      </c>
      <c r="F15" s="30" t="s">
        <v>175</v>
      </c>
      <c r="G15" s="30" t="s">
        <v>176</v>
      </c>
      <c r="H15" s="30" t="s">
        <v>188</v>
      </c>
    </row>
    <row r="16" spans="1:10" x14ac:dyDescent="0.4">
      <c r="A16" s="30" t="s">
        <v>201</v>
      </c>
      <c r="B16" s="31">
        <v>43571.057638888888</v>
      </c>
      <c r="C16" s="30" t="s">
        <v>130</v>
      </c>
      <c r="D16" s="30" t="s">
        <v>131</v>
      </c>
    </row>
    <row r="17" spans="1:8" x14ac:dyDescent="0.4">
      <c r="A17" s="30" t="s">
        <v>202</v>
      </c>
      <c r="B17" s="31">
        <v>43573.881539351853</v>
      </c>
      <c r="C17" s="30" t="s">
        <v>130</v>
      </c>
      <c r="D17" s="30" t="s">
        <v>131</v>
      </c>
      <c r="E17" s="30" t="s">
        <v>170</v>
      </c>
    </row>
    <row r="18" spans="1:8" x14ac:dyDescent="0.4">
      <c r="A18" s="30" t="s">
        <v>204</v>
      </c>
      <c r="B18" s="31">
        <v>43574.073113425926</v>
      </c>
      <c r="C18" s="30" t="s">
        <v>130</v>
      </c>
      <c r="D18" s="30" t="s">
        <v>131</v>
      </c>
      <c r="E18" s="30" t="s">
        <v>170</v>
      </c>
      <c r="F18" s="30" t="s">
        <v>175</v>
      </c>
      <c r="G18" s="30" t="s">
        <v>176</v>
      </c>
    </row>
    <row r="19" spans="1:8" x14ac:dyDescent="0.4">
      <c r="A19" s="30" t="s">
        <v>205</v>
      </c>
      <c r="B19" s="31">
        <v>43575.795416666668</v>
      </c>
      <c r="C19" s="30" t="s">
        <v>130</v>
      </c>
      <c r="D19" s="30" t="s">
        <v>131</v>
      </c>
      <c r="E19" s="30" t="s">
        <v>170</v>
      </c>
    </row>
    <row r="20" spans="1:8" x14ac:dyDescent="0.4">
      <c r="A20" s="30" t="s">
        <v>206</v>
      </c>
      <c r="B20" s="31">
        <v>43576.362476851849</v>
      </c>
      <c r="C20" s="30" t="s">
        <v>130</v>
      </c>
      <c r="D20" s="30" t="s">
        <v>131</v>
      </c>
      <c r="E20" s="30" t="s">
        <v>170</v>
      </c>
      <c r="F20" s="30" t="s">
        <v>175</v>
      </c>
      <c r="G20" s="30" t="s">
        <v>176</v>
      </c>
      <c r="H20" s="30" t="s">
        <v>188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>
      <selection activeCell="B1" sqref="B1:C1"/>
    </sheetView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1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128</v>
      </c>
    </row>
    <row r="4" spans="1:1" x14ac:dyDescent="0.4">
      <c r="A4" t="s">
        <v>129</v>
      </c>
    </row>
    <row r="5" spans="1:1" x14ac:dyDescent="0.4">
      <c r="A5" t="s">
        <v>172</v>
      </c>
    </row>
    <row r="6" spans="1:1" x14ac:dyDescent="0.4">
      <c r="A6" t="s">
        <v>173</v>
      </c>
    </row>
    <row r="7" spans="1:1" x14ac:dyDescent="0.4">
      <c r="A7" t="s">
        <v>174</v>
      </c>
    </row>
    <row r="8" spans="1:1" x14ac:dyDescent="0.4">
      <c r="A8" t="s">
        <v>178</v>
      </c>
    </row>
    <row r="9" spans="1:1" x14ac:dyDescent="0.4">
      <c r="A9" t="s">
        <v>186</v>
      </c>
    </row>
    <row r="10" spans="1:1" x14ac:dyDescent="0.4">
      <c r="A10" t="s">
        <v>187</v>
      </c>
    </row>
    <row r="11" spans="1:1" x14ac:dyDescent="0.4">
      <c r="A11" t="s">
        <v>203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83" customWidth="1"/>
    <col min="2" max="2" width="10.75" style="84" customWidth="1"/>
    <col min="3" max="3" width="10.75" style="85" customWidth="1"/>
    <col min="4" max="4" width="10.75" style="86" customWidth="1"/>
    <col min="5" max="5" width="10.75" style="99" customWidth="1"/>
    <col min="6" max="6" width="10.75" style="86" customWidth="1"/>
    <col min="7" max="7" width="10.75" style="87" customWidth="1"/>
    <col min="8" max="8" width="10.75" style="86" customWidth="1"/>
    <col min="9" max="9" width="10.75" style="88" customWidth="1"/>
    <col min="10" max="10" width="10.75" style="86" customWidth="1"/>
    <col min="11" max="11" width="10.75" style="88" customWidth="1"/>
    <col min="12" max="12" width="10.75" style="86" customWidth="1"/>
    <col min="13" max="13" width="10.75" style="89" customWidth="1"/>
    <col min="14" max="14" width="10.75" style="86" customWidth="1"/>
    <col min="15" max="15" width="10.75" style="89" customWidth="1"/>
    <col min="16" max="16" width="10.75" style="86" customWidth="1"/>
    <col min="17" max="17" width="10.75" style="90" customWidth="1"/>
    <col min="18" max="18" width="10.75" style="86" customWidth="1"/>
    <col min="19" max="19" width="10.75" style="90" customWidth="1"/>
    <col min="20" max="20" width="10.75" style="86" customWidth="1"/>
    <col min="21" max="21" width="10.75" style="88" customWidth="1"/>
    <col min="22" max="22" width="10.75" style="86" customWidth="1"/>
    <col min="23" max="23" width="10.75" style="88" customWidth="1"/>
    <col min="24" max="24" width="10.75" style="86" customWidth="1"/>
    <col min="25" max="25" width="10.75" style="89" customWidth="1"/>
    <col min="26" max="26" width="10.75" style="86" customWidth="1"/>
    <col min="27" max="27" width="10.75" style="89" customWidth="1"/>
    <col min="28" max="28" width="10.75" style="86" customWidth="1"/>
    <col min="29" max="29" width="10.75" style="89" customWidth="1"/>
    <col min="30" max="30" width="10.75" style="86" customWidth="1"/>
    <col min="31" max="31" width="10.75" style="89" customWidth="1"/>
    <col min="32" max="32" width="10.75" style="86" customWidth="1"/>
    <col min="33" max="33" width="10.75" style="89" customWidth="1"/>
    <col min="34" max="34" width="10.75" style="86" customWidth="1"/>
    <col min="35" max="35" width="10.75" style="94" customWidth="1"/>
    <col min="36" max="36" width="10.75" style="86" customWidth="1"/>
    <col min="37" max="37" width="10.75" style="91" customWidth="1"/>
    <col min="38" max="16384" width="9" style="73"/>
  </cols>
  <sheetData>
    <row r="1" spans="1:37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162</v>
      </c>
      <c r="K1" s="161"/>
      <c r="L1" s="160" t="s">
        <v>149</v>
      </c>
      <c r="M1" s="161"/>
      <c r="N1" s="160" t="s">
        <v>150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141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151</v>
      </c>
      <c r="AE1" s="161"/>
      <c r="AF1" s="160" t="s">
        <v>144</v>
      </c>
      <c r="AG1" s="161"/>
      <c r="AH1" s="160" t="s">
        <v>153</v>
      </c>
      <c r="AI1" s="161"/>
      <c r="AJ1" s="160" t="s">
        <v>163</v>
      </c>
      <c r="AK1" s="161"/>
    </row>
    <row r="2" spans="1:37" x14ac:dyDescent="0.4">
      <c r="A2" s="72" t="s">
        <v>161</v>
      </c>
      <c r="B2" s="158"/>
      <c r="C2" s="159"/>
      <c r="D2" s="158"/>
      <c r="E2" s="159"/>
      <c r="F2" s="156">
        <v>0.98636632243472155</v>
      </c>
      <c r="G2" s="157"/>
      <c r="H2" s="156">
        <v>0.9168354135755854</v>
      </c>
      <c r="I2" s="157"/>
      <c r="J2" s="156">
        <v>0.95199170007808676</v>
      </c>
      <c r="K2" s="157"/>
      <c r="L2" s="156">
        <v>0.9249597624678898</v>
      </c>
      <c r="M2" s="157"/>
      <c r="N2" s="156">
        <v>0.84703452211434827</v>
      </c>
      <c r="O2" s="157"/>
      <c r="P2" s="156">
        <v>0.54271871509768366</v>
      </c>
      <c r="Q2" s="157"/>
      <c r="R2" s="156">
        <v>0.57600544770754203</v>
      </c>
      <c r="S2" s="157"/>
      <c r="T2" s="156">
        <v>0.80350037090131332</v>
      </c>
      <c r="U2" s="157"/>
      <c r="V2" s="156">
        <v>0.92474436859280218</v>
      </c>
      <c r="W2" s="157"/>
      <c r="X2" s="156">
        <v>0.63664159365268647</v>
      </c>
      <c r="Y2" s="157"/>
      <c r="Z2" s="156">
        <v>0.41209545821172922</v>
      </c>
      <c r="AA2" s="157"/>
      <c r="AB2" s="156">
        <v>0.88795862689752081</v>
      </c>
      <c r="AC2" s="157"/>
      <c r="AD2" s="156">
        <v>0.88302912179428872</v>
      </c>
      <c r="AE2" s="157"/>
      <c r="AF2" s="156">
        <v>-0.55293534647283338</v>
      </c>
      <c r="AG2" s="157"/>
      <c r="AH2" s="156">
        <v>0.90259926721392947</v>
      </c>
      <c r="AI2" s="157"/>
      <c r="AJ2" s="156">
        <v>-0.17773134395520893</v>
      </c>
      <c r="AK2" s="157"/>
    </row>
    <row r="3" spans="1:37" x14ac:dyDescent="0.4">
      <c r="A3" s="74">
        <v>1</v>
      </c>
      <c r="B3" s="75" t="s">
        <v>127</v>
      </c>
      <c r="C3" s="76">
        <v>1509.2000000000003</v>
      </c>
      <c r="D3" s="77" t="s">
        <v>127</v>
      </c>
      <c r="E3" s="98">
        <v>26.020689655172418</v>
      </c>
      <c r="F3" s="77" t="s">
        <v>186</v>
      </c>
      <c r="G3" s="78">
        <v>1.3333333333333333</v>
      </c>
      <c r="H3" s="77" t="s">
        <v>186</v>
      </c>
      <c r="I3" s="79">
        <v>0.66666666666666663</v>
      </c>
      <c r="J3" s="77" t="s">
        <v>186</v>
      </c>
      <c r="K3" s="79">
        <v>0</v>
      </c>
      <c r="L3" s="77" t="s">
        <v>127</v>
      </c>
      <c r="M3" s="80">
        <v>0.41318681318681316</v>
      </c>
      <c r="N3" s="77" t="s">
        <v>186</v>
      </c>
      <c r="O3" s="80">
        <v>0.10526315789473684</v>
      </c>
      <c r="P3" s="77" t="s">
        <v>203</v>
      </c>
      <c r="Q3" s="81">
        <v>12000</v>
      </c>
      <c r="R3" s="77" t="s">
        <v>203</v>
      </c>
      <c r="S3" s="81">
        <v>-3250</v>
      </c>
      <c r="T3" s="77" t="s">
        <v>186</v>
      </c>
      <c r="U3" s="79">
        <v>0</v>
      </c>
      <c r="V3" s="77" t="s">
        <v>127</v>
      </c>
      <c r="W3" s="79">
        <v>0.2413793103448276</v>
      </c>
      <c r="X3" s="77" t="s">
        <v>127</v>
      </c>
      <c r="Y3" s="80">
        <v>0.33186813186813185</v>
      </c>
      <c r="Z3" s="77" t="s">
        <v>173</v>
      </c>
      <c r="AA3" s="80">
        <v>0.3439153439153439</v>
      </c>
      <c r="AB3" s="77" t="s">
        <v>187</v>
      </c>
      <c r="AC3" s="80">
        <v>0.7142857142857143</v>
      </c>
      <c r="AD3" s="77" t="s">
        <v>127</v>
      </c>
      <c r="AE3" s="80">
        <v>0.55963302752293576</v>
      </c>
      <c r="AF3" s="77" t="s">
        <v>129</v>
      </c>
      <c r="AG3" s="80">
        <v>0.51219512195121952</v>
      </c>
      <c r="AH3" s="77" t="s">
        <v>127</v>
      </c>
      <c r="AI3" s="93">
        <v>116000</v>
      </c>
      <c r="AJ3" s="77" t="s">
        <v>145</v>
      </c>
      <c r="AK3" s="82">
        <v>8</v>
      </c>
    </row>
    <row r="4" spans="1:37" x14ac:dyDescent="0.4">
      <c r="A4" s="83">
        <v>2</v>
      </c>
      <c r="B4" s="84" t="s">
        <v>186</v>
      </c>
      <c r="C4" s="85">
        <v>61</v>
      </c>
      <c r="D4" s="86" t="s">
        <v>186</v>
      </c>
      <c r="E4" s="99">
        <v>20.333333333333332</v>
      </c>
      <c r="F4" s="86" t="s">
        <v>127</v>
      </c>
      <c r="G4" s="87">
        <v>1.5172413793103448</v>
      </c>
      <c r="H4" s="86" t="s">
        <v>127</v>
      </c>
      <c r="I4" s="88">
        <v>0.62068965517241381</v>
      </c>
      <c r="J4" s="86" t="s">
        <v>203</v>
      </c>
      <c r="K4" s="88">
        <v>0</v>
      </c>
      <c r="L4" s="86" t="s">
        <v>173</v>
      </c>
      <c r="M4" s="89">
        <v>0.33333333333333331</v>
      </c>
      <c r="N4" s="86" t="s">
        <v>127</v>
      </c>
      <c r="O4" s="89">
        <v>0.14065934065934066</v>
      </c>
      <c r="P4" s="86" t="s">
        <v>127</v>
      </c>
      <c r="Q4" s="90">
        <v>9556.9148936170204</v>
      </c>
      <c r="R4" s="86" t="s">
        <v>186</v>
      </c>
      <c r="S4" s="90">
        <v>-5150</v>
      </c>
      <c r="T4" s="86" t="s">
        <v>203</v>
      </c>
      <c r="U4" s="88">
        <v>0</v>
      </c>
      <c r="V4" s="86" t="s">
        <v>145</v>
      </c>
      <c r="W4" s="88">
        <v>0.1016260162601626</v>
      </c>
      <c r="X4" s="86" t="s">
        <v>128</v>
      </c>
      <c r="Y4" s="89">
        <v>0.27551020408163263</v>
      </c>
      <c r="Z4" s="86" t="s">
        <v>178</v>
      </c>
      <c r="AA4" s="89">
        <v>0.29203539823008851</v>
      </c>
      <c r="AB4" s="86" t="s">
        <v>127</v>
      </c>
      <c r="AC4" s="89">
        <v>0.64238410596026485</v>
      </c>
      <c r="AD4" s="86" t="s">
        <v>186</v>
      </c>
      <c r="AE4" s="89">
        <v>0.5</v>
      </c>
      <c r="AF4" s="86" t="s">
        <v>174</v>
      </c>
      <c r="AG4" s="89">
        <v>0.5</v>
      </c>
      <c r="AH4" s="86" t="s">
        <v>145</v>
      </c>
      <c r="AI4" s="94">
        <v>116000</v>
      </c>
      <c r="AJ4" s="86" t="s">
        <v>128</v>
      </c>
      <c r="AK4" s="91">
        <v>4</v>
      </c>
    </row>
    <row r="5" spans="1:37" x14ac:dyDescent="0.4">
      <c r="A5" s="83">
        <v>3</v>
      </c>
      <c r="B5" s="84" t="s">
        <v>145</v>
      </c>
      <c r="C5" s="85">
        <v>0</v>
      </c>
      <c r="D5" s="86" t="s">
        <v>145</v>
      </c>
      <c r="E5" s="99">
        <v>0</v>
      </c>
      <c r="F5" s="86" t="s">
        <v>145</v>
      </c>
      <c r="G5" s="87">
        <v>2</v>
      </c>
      <c r="H5" s="86" t="s">
        <v>178</v>
      </c>
      <c r="I5" s="88">
        <v>0.33333333333333331</v>
      </c>
      <c r="J5" s="86" t="s">
        <v>127</v>
      </c>
      <c r="K5" s="88">
        <v>0.13793103448275862</v>
      </c>
      <c r="L5" s="86" t="s">
        <v>145</v>
      </c>
      <c r="M5" s="89">
        <v>0.2983234714003945</v>
      </c>
      <c r="N5" s="86" t="s">
        <v>173</v>
      </c>
      <c r="O5" s="89">
        <v>0.14285714285714285</v>
      </c>
      <c r="P5" s="86" t="s">
        <v>128</v>
      </c>
      <c r="Q5" s="90">
        <v>9092.0863309352517</v>
      </c>
      <c r="R5" s="86" t="s">
        <v>172</v>
      </c>
      <c r="S5" s="90">
        <v>-7206.25</v>
      </c>
      <c r="T5" s="86" t="s">
        <v>172</v>
      </c>
      <c r="U5" s="88">
        <v>3.0303030303030304E-2</v>
      </c>
      <c r="V5" s="86" t="s">
        <v>172</v>
      </c>
      <c r="W5" s="88">
        <v>9.0909090909090912E-2</v>
      </c>
      <c r="X5" s="86" t="s">
        <v>186</v>
      </c>
      <c r="Y5" s="89">
        <v>0.26315789473684209</v>
      </c>
      <c r="Z5" s="86" t="s">
        <v>127</v>
      </c>
      <c r="AA5" s="89">
        <v>0.23956043956043957</v>
      </c>
      <c r="AB5" s="86" t="s">
        <v>128</v>
      </c>
      <c r="AC5" s="89">
        <v>0.62962962962962965</v>
      </c>
      <c r="AD5" s="86" t="s">
        <v>203</v>
      </c>
      <c r="AE5" s="89">
        <v>0.5</v>
      </c>
      <c r="AF5" s="86" t="s">
        <v>187</v>
      </c>
      <c r="AG5" s="89">
        <v>0.5</v>
      </c>
      <c r="AH5" s="86" t="s">
        <v>173</v>
      </c>
      <c r="AI5" s="94">
        <v>95700</v>
      </c>
      <c r="AJ5" s="86" t="s">
        <v>129</v>
      </c>
      <c r="AK5" s="91">
        <v>1</v>
      </c>
    </row>
    <row r="6" spans="1:37" x14ac:dyDescent="0.4">
      <c r="A6" s="83">
        <v>4</v>
      </c>
      <c r="B6" s="84" t="s">
        <v>173</v>
      </c>
      <c r="C6" s="85">
        <v>-5.3999999999999986</v>
      </c>
      <c r="D6" s="86" t="s">
        <v>173</v>
      </c>
      <c r="E6" s="99">
        <v>-0.23478260869565212</v>
      </c>
      <c r="F6" s="86" t="s">
        <v>203</v>
      </c>
      <c r="G6" s="87">
        <v>2</v>
      </c>
      <c r="H6" s="86" t="s">
        <v>145</v>
      </c>
      <c r="I6" s="88">
        <v>0.33333333333333331</v>
      </c>
      <c r="J6" s="86" t="s">
        <v>128</v>
      </c>
      <c r="K6" s="88">
        <v>0.30508474576271188</v>
      </c>
      <c r="L6" s="86" t="s">
        <v>174</v>
      </c>
      <c r="M6" s="89">
        <v>0.28865979381443296</v>
      </c>
      <c r="N6" s="86" t="s">
        <v>128</v>
      </c>
      <c r="O6" s="89">
        <v>0.1653061224489796</v>
      </c>
      <c r="P6" s="86" t="s">
        <v>172</v>
      </c>
      <c r="Q6" s="90">
        <v>8422.8571428571431</v>
      </c>
      <c r="R6" s="86" t="s">
        <v>178</v>
      </c>
      <c r="S6" s="90">
        <v>-7250</v>
      </c>
      <c r="T6" s="86" t="s">
        <v>127</v>
      </c>
      <c r="U6" s="88">
        <v>3.4482758620689655E-2</v>
      </c>
      <c r="V6" s="86" t="s">
        <v>173</v>
      </c>
      <c r="W6" s="88">
        <v>8.6956521739130432E-2</v>
      </c>
      <c r="X6" s="86" t="s">
        <v>145</v>
      </c>
      <c r="Y6" s="89">
        <v>0.25936883629191321</v>
      </c>
      <c r="Z6" s="86" t="s">
        <v>187</v>
      </c>
      <c r="AA6" s="89">
        <v>0.22807017543859648</v>
      </c>
      <c r="AB6" s="86" t="s">
        <v>186</v>
      </c>
      <c r="AC6" s="89">
        <v>0.6</v>
      </c>
      <c r="AD6" s="86" t="s">
        <v>173</v>
      </c>
      <c r="AE6" s="89">
        <v>0.41538461538461541</v>
      </c>
      <c r="AF6" s="86" t="s">
        <v>203</v>
      </c>
      <c r="AG6" s="89">
        <v>0.5</v>
      </c>
      <c r="AH6" s="86" t="s">
        <v>128</v>
      </c>
      <c r="AI6" s="94">
        <v>94000</v>
      </c>
      <c r="AJ6" s="86" t="s">
        <v>172</v>
      </c>
      <c r="AK6" s="91">
        <v>1</v>
      </c>
    </row>
    <row r="7" spans="1:37" x14ac:dyDescent="0.4">
      <c r="A7" s="83">
        <v>5</v>
      </c>
      <c r="B7" s="84" t="s">
        <v>203</v>
      </c>
      <c r="C7" s="85">
        <v>-12.5</v>
      </c>
      <c r="D7" s="86" t="s">
        <v>128</v>
      </c>
      <c r="E7" s="99">
        <v>-0.9610169491525431</v>
      </c>
      <c r="F7" s="86" t="s">
        <v>173</v>
      </c>
      <c r="G7" s="87">
        <v>2.0434782608695654</v>
      </c>
      <c r="H7" s="86" t="s">
        <v>173</v>
      </c>
      <c r="I7" s="88">
        <v>0.30434782608695654</v>
      </c>
      <c r="J7" s="86" t="s">
        <v>174</v>
      </c>
      <c r="K7" s="88">
        <v>0.33333333333333331</v>
      </c>
      <c r="L7" s="86" t="s">
        <v>128</v>
      </c>
      <c r="M7" s="89">
        <v>0.28367346938775512</v>
      </c>
      <c r="N7" s="86" t="s">
        <v>172</v>
      </c>
      <c r="O7" s="89">
        <v>0.16666666666666666</v>
      </c>
      <c r="P7" s="86" t="s">
        <v>145</v>
      </c>
      <c r="Q7" s="90">
        <v>8388.9256198347102</v>
      </c>
      <c r="R7" s="86" t="s">
        <v>128</v>
      </c>
      <c r="S7" s="90">
        <v>-7424.691358024691</v>
      </c>
      <c r="T7" s="86" t="s">
        <v>173</v>
      </c>
      <c r="U7" s="88">
        <v>8.6956521739130432E-2</v>
      </c>
      <c r="V7" s="86" t="s">
        <v>128</v>
      </c>
      <c r="W7" s="88">
        <v>8.4745762711864403E-2</v>
      </c>
      <c r="X7" s="86" t="s">
        <v>129</v>
      </c>
      <c r="Y7" s="89">
        <v>0.24528301886792453</v>
      </c>
      <c r="Z7" s="86" t="s">
        <v>174</v>
      </c>
      <c r="AA7" s="89">
        <v>0.22164948453608246</v>
      </c>
      <c r="AB7" s="86" t="s">
        <v>145</v>
      </c>
      <c r="AC7" s="89">
        <v>0.59695817490494296</v>
      </c>
      <c r="AD7" s="86" t="s">
        <v>178</v>
      </c>
      <c r="AE7" s="89">
        <v>0.39393939393939392</v>
      </c>
      <c r="AF7" s="86" t="s">
        <v>145</v>
      </c>
      <c r="AG7" s="89">
        <v>0.41487603305785126</v>
      </c>
      <c r="AH7" s="86" t="s">
        <v>172</v>
      </c>
      <c r="AI7" s="94">
        <v>91700</v>
      </c>
      <c r="AJ7" s="86" t="s">
        <v>174</v>
      </c>
      <c r="AK7" s="91">
        <v>1</v>
      </c>
    </row>
    <row r="8" spans="1:37" x14ac:dyDescent="0.4">
      <c r="A8" s="83">
        <v>6</v>
      </c>
      <c r="B8" s="84" t="s">
        <v>128</v>
      </c>
      <c r="C8" s="85">
        <v>-56.700000000000045</v>
      </c>
      <c r="D8" s="86" t="s">
        <v>172</v>
      </c>
      <c r="E8" s="99">
        <v>-3.3000000000000003</v>
      </c>
      <c r="F8" s="86" t="s">
        <v>128</v>
      </c>
      <c r="G8" s="87">
        <v>2.0508474576271185</v>
      </c>
      <c r="H8" s="86" t="s">
        <v>128</v>
      </c>
      <c r="I8" s="88">
        <v>0.25423728813559321</v>
      </c>
      <c r="J8" s="86" t="s">
        <v>145</v>
      </c>
      <c r="K8" s="88">
        <v>0.33333333333333331</v>
      </c>
      <c r="L8" s="86" t="s">
        <v>186</v>
      </c>
      <c r="M8" s="89">
        <v>0.26315789473684209</v>
      </c>
      <c r="N8" s="86" t="s">
        <v>145</v>
      </c>
      <c r="O8" s="89">
        <v>0.17209072978303747</v>
      </c>
      <c r="P8" s="86" t="s">
        <v>186</v>
      </c>
      <c r="Q8" s="90">
        <v>7860</v>
      </c>
      <c r="R8" s="86" t="s">
        <v>127</v>
      </c>
      <c r="S8" s="90">
        <v>-7785.9375</v>
      </c>
      <c r="T8" s="86" t="s">
        <v>174</v>
      </c>
      <c r="U8" s="88">
        <v>9.5238095238095233E-2</v>
      </c>
      <c r="V8" s="86" t="s">
        <v>174</v>
      </c>
      <c r="W8" s="88">
        <v>4.7619047619047616E-2</v>
      </c>
      <c r="X8" s="86" t="s">
        <v>172</v>
      </c>
      <c r="Y8" s="89">
        <v>0.24305555555555555</v>
      </c>
      <c r="Z8" s="86" t="s">
        <v>145</v>
      </c>
      <c r="AA8" s="89">
        <v>0.21400394477317555</v>
      </c>
      <c r="AB8" s="86" t="s">
        <v>173</v>
      </c>
      <c r="AC8" s="89">
        <v>0.58139534883720934</v>
      </c>
      <c r="AD8" s="86" t="s">
        <v>145</v>
      </c>
      <c r="AE8" s="89">
        <v>0.38709677419354838</v>
      </c>
      <c r="AF8" s="86" t="s">
        <v>173</v>
      </c>
      <c r="AG8" s="89">
        <v>0.41269841269841268</v>
      </c>
      <c r="AH8" s="86" t="s">
        <v>178</v>
      </c>
      <c r="AI8" s="94">
        <v>65000</v>
      </c>
      <c r="AJ8" s="86" t="s">
        <v>178</v>
      </c>
      <c r="AK8" s="91">
        <v>1</v>
      </c>
    </row>
    <row r="9" spans="1:37" x14ac:dyDescent="0.4">
      <c r="A9" s="83">
        <v>7</v>
      </c>
      <c r="B9" s="84" t="s">
        <v>172</v>
      </c>
      <c r="C9" s="85">
        <v>-108.9</v>
      </c>
      <c r="D9" s="86" t="s">
        <v>174</v>
      </c>
      <c r="E9" s="99">
        <v>-9.7047619047619005</v>
      </c>
      <c r="F9" s="86" t="s">
        <v>174</v>
      </c>
      <c r="G9" s="87">
        <v>2.0952380952380953</v>
      </c>
      <c r="H9" s="86" t="s">
        <v>172</v>
      </c>
      <c r="I9" s="88">
        <v>0.24242424242424243</v>
      </c>
      <c r="J9" s="86" t="s">
        <v>173</v>
      </c>
      <c r="K9" s="88">
        <v>0.34782608695652173</v>
      </c>
      <c r="L9" s="86" t="s">
        <v>178</v>
      </c>
      <c r="M9" s="89">
        <v>0.25663716814159293</v>
      </c>
      <c r="N9" s="86" t="s">
        <v>178</v>
      </c>
      <c r="O9" s="89">
        <v>0.17699115044247787</v>
      </c>
      <c r="P9" s="86" t="s">
        <v>129</v>
      </c>
      <c r="Q9" s="90">
        <v>7680.4878048780483</v>
      </c>
      <c r="R9" s="86" t="s">
        <v>174</v>
      </c>
      <c r="S9" s="90">
        <v>-7951.2195121951218</v>
      </c>
      <c r="T9" s="86" t="s">
        <v>145</v>
      </c>
      <c r="U9" s="88">
        <v>0.1016260162601626</v>
      </c>
      <c r="V9" s="86" t="s">
        <v>129</v>
      </c>
      <c r="W9" s="88">
        <v>0</v>
      </c>
      <c r="X9" s="86" t="s">
        <v>173</v>
      </c>
      <c r="Y9" s="89">
        <v>0.2275132275132275</v>
      </c>
      <c r="Z9" s="86" t="s">
        <v>186</v>
      </c>
      <c r="AA9" s="89">
        <v>0.21052631578947367</v>
      </c>
      <c r="AB9" s="86" t="s">
        <v>172</v>
      </c>
      <c r="AC9" s="89">
        <v>0.55714285714285716</v>
      </c>
      <c r="AD9" s="86" t="s">
        <v>187</v>
      </c>
      <c r="AE9" s="89">
        <v>0.38461538461538464</v>
      </c>
      <c r="AF9" s="86" t="s">
        <v>127</v>
      </c>
      <c r="AG9" s="89">
        <v>0.40425531914893614</v>
      </c>
      <c r="AH9" s="86" t="s">
        <v>174</v>
      </c>
      <c r="AI9" s="94">
        <v>58900</v>
      </c>
      <c r="AJ9" s="86" t="s">
        <v>127</v>
      </c>
      <c r="AK9" s="91">
        <v>0</v>
      </c>
    </row>
    <row r="10" spans="1:37" x14ac:dyDescent="0.4">
      <c r="A10" s="83">
        <v>8</v>
      </c>
      <c r="B10" s="84" t="s">
        <v>178</v>
      </c>
      <c r="C10" s="85">
        <v>-146.19999999999999</v>
      </c>
      <c r="D10" s="86" t="s">
        <v>178</v>
      </c>
      <c r="E10" s="99">
        <v>-9.7466666666666661</v>
      </c>
      <c r="F10" s="86" t="s">
        <v>172</v>
      </c>
      <c r="G10" s="87">
        <v>2.1212121212121211</v>
      </c>
      <c r="H10" s="86" t="s">
        <v>174</v>
      </c>
      <c r="I10" s="88">
        <v>0.23809523809523808</v>
      </c>
      <c r="J10" s="86" t="s">
        <v>172</v>
      </c>
      <c r="K10" s="88">
        <v>0.36363636363636365</v>
      </c>
      <c r="L10" s="86" t="s">
        <v>172</v>
      </c>
      <c r="M10" s="89">
        <v>0.24305555555555555</v>
      </c>
      <c r="N10" s="86" t="s">
        <v>203</v>
      </c>
      <c r="O10" s="89">
        <v>0.18181818181818182</v>
      </c>
      <c r="P10" s="86" t="s">
        <v>173</v>
      </c>
      <c r="Q10" s="90">
        <v>6749.2063492063489</v>
      </c>
      <c r="R10" s="86" t="s">
        <v>145</v>
      </c>
      <c r="S10" s="90">
        <v>-8060.1719197707735</v>
      </c>
      <c r="T10" s="86" t="s">
        <v>128</v>
      </c>
      <c r="U10" s="88">
        <v>0.11864406779661017</v>
      </c>
      <c r="V10" s="86" t="s">
        <v>178</v>
      </c>
      <c r="W10" s="88">
        <v>0</v>
      </c>
      <c r="X10" s="86" t="s">
        <v>174</v>
      </c>
      <c r="Y10" s="89">
        <v>0.21134020618556701</v>
      </c>
      <c r="Z10" s="86" t="s">
        <v>203</v>
      </c>
      <c r="AA10" s="89">
        <v>0.18181818181818182</v>
      </c>
      <c r="AB10" s="86" t="s">
        <v>178</v>
      </c>
      <c r="AC10" s="89">
        <v>0.55000000000000004</v>
      </c>
      <c r="AD10" s="86" t="s">
        <v>174</v>
      </c>
      <c r="AE10" s="89">
        <v>0.34883720930232559</v>
      </c>
      <c r="AF10" s="86" t="s">
        <v>128</v>
      </c>
      <c r="AG10" s="89">
        <v>0.40287769784172661</v>
      </c>
      <c r="AH10" s="86" t="s">
        <v>186</v>
      </c>
      <c r="AI10" s="94">
        <v>53500</v>
      </c>
      <c r="AJ10" s="86" t="s">
        <v>173</v>
      </c>
      <c r="AK10" s="91">
        <v>0</v>
      </c>
    </row>
    <row r="11" spans="1:37" x14ac:dyDescent="0.4">
      <c r="A11" s="83">
        <v>9</v>
      </c>
      <c r="B11" s="84" t="s">
        <v>174</v>
      </c>
      <c r="C11" s="85">
        <v>-203.79999999999993</v>
      </c>
      <c r="D11" s="86" t="s">
        <v>203</v>
      </c>
      <c r="E11" s="99">
        <v>-12.5</v>
      </c>
      <c r="F11" s="86" t="s">
        <v>178</v>
      </c>
      <c r="G11" s="87">
        <v>2.1333333333333333</v>
      </c>
      <c r="H11" s="86" t="s">
        <v>187</v>
      </c>
      <c r="I11" s="88">
        <v>0.14285714285714285</v>
      </c>
      <c r="J11" s="86" t="s">
        <v>178</v>
      </c>
      <c r="K11" s="88">
        <v>0.46666666666666667</v>
      </c>
      <c r="L11" s="86" t="s">
        <v>187</v>
      </c>
      <c r="M11" s="89">
        <v>0.21052631578947367</v>
      </c>
      <c r="N11" s="86" t="s">
        <v>174</v>
      </c>
      <c r="O11" s="89">
        <v>0.21134020618556701</v>
      </c>
      <c r="P11" s="86" t="s">
        <v>187</v>
      </c>
      <c r="Q11" s="90">
        <v>6500</v>
      </c>
      <c r="R11" s="86" t="s">
        <v>187</v>
      </c>
      <c r="S11" s="90">
        <v>-8762.5</v>
      </c>
      <c r="T11" s="86" t="s">
        <v>187</v>
      </c>
      <c r="U11" s="88">
        <v>0.14285714285714285</v>
      </c>
      <c r="V11" s="86" t="s">
        <v>186</v>
      </c>
      <c r="W11" s="88">
        <v>0</v>
      </c>
      <c r="X11" s="86" t="s">
        <v>203</v>
      </c>
      <c r="Y11" s="89">
        <v>0.18181818181818182</v>
      </c>
      <c r="Z11" s="86" t="s">
        <v>128</v>
      </c>
      <c r="AA11" s="89">
        <v>0.17959183673469387</v>
      </c>
      <c r="AB11" s="86" t="s">
        <v>174</v>
      </c>
      <c r="AC11" s="89">
        <v>0.53658536585365857</v>
      </c>
      <c r="AD11" s="86" t="s">
        <v>172</v>
      </c>
      <c r="AE11" s="89">
        <v>0.31372549019607843</v>
      </c>
      <c r="AF11" s="86" t="s">
        <v>178</v>
      </c>
      <c r="AG11" s="89">
        <v>0.37931034482758619</v>
      </c>
      <c r="AH11" s="86" t="s">
        <v>129</v>
      </c>
      <c r="AI11" s="94">
        <v>52200</v>
      </c>
      <c r="AJ11" s="86" t="s">
        <v>186</v>
      </c>
      <c r="AK11" s="91">
        <v>0</v>
      </c>
    </row>
    <row r="12" spans="1:37" x14ac:dyDescent="0.4">
      <c r="A12" s="83">
        <v>10</v>
      </c>
      <c r="B12" s="84" t="s">
        <v>187</v>
      </c>
      <c r="C12" s="85">
        <v>-218.2</v>
      </c>
      <c r="D12" s="86" t="s">
        <v>187</v>
      </c>
      <c r="E12" s="99">
        <v>-31.171428571428571</v>
      </c>
      <c r="F12" s="86" t="s">
        <v>129</v>
      </c>
      <c r="G12" s="87">
        <v>2.5384615384615383</v>
      </c>
      <c r="H12" s="86" t="s">
        <v>129</v>
      </c>
      <c r="I12" s="88">
        <v>0.11538461538461539</v>
      </c>
      <c r="J12" s="86" t="s">
        <v>129</v>
      </c>
      <c r="K12" s="88">
        <v>0.65384615384615385</v>
      </c>
      <c r="L12" s="86" t="s">
        <v>129</v>
      </c>
      <c r="M12" s="89">
        <v>0.19339622641509435</v>
      </c>
      <c r="N12" s="86" t="s">
        <v>129</v>
      </c>
      <c r="O12" s="89">
        <v>0.22641509433962265</v>
      </c>
      <c r="P12" s="86" t="s">
        <v>174</v>
      </c>
      <c r="Q12" s="90">
        <v>6416.0714285714284</v>
      </c>
      <c r="R12" s="86" t="s">
        <v>173</v>
      </c>
      <c r="S12" s="90">
        <v>-8785.1851851851843</v>
      </c>
      <c r="T12" s="86" t="s">
        <v>178</v>
      </c>
      <c r="U12" s="88">
        <v>0.2</v>
      </c>
      <c r="V12" s="86" t="s">
        <v>187</v>
      </c>
      <c r="W12" s="88">
        <v>0</v>
      </c>
      <c r="X12" s="86" t="s">
        <v>178</v>
      </c>
      <c r="Y12" s="89">
        <v>0.17699115044247787</v>
      </c>
      <c r="Z12" s="86" t="s">
        <v>172</v>
      </c>
      <c r="AA12" s="89">
        <v>0.17708333333333334</v>
      </c>
      <c r="AB12" s="86" t="s">
        <v>129</v>
      </c>
      <c r="AC12" s="89">
        <v>0.5</v>
      </c>
      <c r="AD12" s="86" t="s">
        <v>128</v>
      </c>
      <c r="AE12" s="89">
        <v>0.27272727272727271</v>
      </c>
      <c r="AF12" s="86" t="s">
        <v>172</v>
      </c>
      <c r="AG12" s="89">
        <v>0.35714285714285715</v>
      </c>
      <c r="AH12" s="86" t="s">
        <v>187</v>
      </c>
      <c r="AI12" s="94">
        <v>43600</v>
      </c>
      <c r="AJ12" s="86" t="s">
        <v>187</v>
      </c>
      <c r="AK12" s="91">
        <v>0</v>
      </c>
    </row>
    <row r="13" spans="1:37" x14ac:dyDescent="0.4">
      <c r="A13" s="83">
        <v>11</v>
      </c>
      <c r="B13" s="84" t="s">
        <v>129</v>
      </c>
      <c r="C13" s="85">
        <v>-818.49999999999989</v>
      </c>
      <c r="D13" s="86" t="s">
        <v>129</v>
      </c>
      <c r="E13" s="99">
        <v>-31.480769230769226</v>
      </c>
      <c r="F13" s="86" t="s">
        <v>187</v>
      </c>
      <c r="G13" s="87">
        <v>2.5714285714285716</v>
      </c>
      <c r="H13" s="86" t="s">
        <v>203</v>
      </c>
      <c r="I13" s="88">
        <v>0</v>
      </c>
      <c r="J13" s="86" t="s">
        <v>187</v>
      </c>
      <c r="K13" s="88">
        <v>0.7142857142857143</v>
      </c>
      <c r="L13" s="86" t="s">
        <v>203</v>
      </c>
      <c r="M13" s="89">
        <v>0.18181818181818182</v>
      </c>
      <c r="N13" s="86" t="s">
        <v>187</v>
      </c>
      <c r="O13" s="89">
        <v>0.2807017543859649</v>
      </c>
      <c r="P13" s="86" t="s">
        <v>178</v>
      </c>
      <c r="Q13" s="90">
        <v>6362.0689655172409</v>
      </c>
      <c r="R13" s="86" t="s">
        <v>129</v>
      </c>
      <c r="S13" s="90">
        <v>-10462.5</v>
      </c>
      <c r="T13" s="86" t="s">
        <v>129</v>
      </c>
      <c r="U13" s="88">
        <v>0.26923076923076922</v>
      </c>
      <c r="V13" s="86" t="s">
        <v>203</v>
      </c>
      <c r="W13" s="88">
        <v>0</v>
      </c>
      <c r="X13" s="86" t="s">
        <v>187</v>
      </c>
      <c r="Y13" s="89">
        <v>0.12280701754385964</v>
      </c>
      <c r="Z13" s="86" t="s">
        <v>129</v>
      </c>
      <c r="AA13" s="89">
        <v>0.12264150943396226</v>
      </c>
      <c r="AB13" s="86" t="s">
        <v>203</v>
      </c>
      <c r="AC13" s="89">
        <v>0.5</v>
      </c>
      <c r="AD13" s="86" t="s">
        <v>129</v>
      </c>
      <c r="AE13" s="89">
        <v>0.15384615384615385</v>
      </c>
      <c r="AF13" s="86" t="s">
        <v>186</v>
      </c>
      <c r="AG13" s="89">
        <v>0.2</v>
      </c>
      <c r="AH13" s="86" t="s">
        <v>203</v>
      </c>
      <c r="AI13" s="94">
        <v>22500</v>
      </c>
      <c r="AJ13" s="86" t="s">
        <v>203</v>
      </c>
      <c r="AK13" s="91">
        <v>0</v>
      </c>
    </row>
  </sheetData>
  <sortState ref="AJ3:AK42">
    <sortCondition descending="1" ref="AK1"/>
  </sortState>
  <mergeCells count="36">
    <mergeCell ref="N1:O1"/>
    <mergeCell ref="AH1:AI1"/>
    <mergeCell ref="B1:C1"/>
    <mergeCell ref="D1:E1"/>
    <mergeCell ref="F1:G1"/>
    <mergeCell ref="H1:I1"/>
    <mergeCell ref="L1:M1"/>
    <mergeCell ref="J1:K1"/>
    <mergeCell ref="AJ1:AK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F2:AG2"/>
    <mergeCell ref="AH2:AI2"/>
    <mergeCell ref="AJ2:AK2"/>
    <mergeCell ref="X2:Y2"/>
    <mergeCell ref="Z2:AA2"/>
    <mergeCell ref="AB2:AC2"/>
    <mergeCell ref="AD2:AE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B3FEB-A841-4B63-9736-8B0BE11128CB}">
  <sheetPr codeName="Sheet4"/>
  <dimension ref="A1:Q248"/>
  <sheetViews>
    <sheetView showGridLines="0" zoomScaleNormal="100" workbookViewId="0">
      <selection activeCell="B1" sqref="B1:C1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145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246</v>
      </c>
      <c r="C2" s="149"/>
      <c r="E2" s="62" t="s">
        <v>67</v>
      </c>
      <c r="F2" s="59" t="s">
        <v>23</v>
      </c>
      <c r="G2" s="46">
        <v>434</v>
      </c>
      <c r="H2" s="134">
        <f>IF(B$17=0,0,G2/B$17)</f>
        <v>0.71735537190082643</v>
      </c>
      <c r="I2" s="95">
        <v>5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-20.325203252032519</v>
      </c>
      <c r="P2" s="120">
        <v>246</v>
      </c>
      <c r="Q2" s="104">
        <v>-5000</v>
      </c>
    </row>
    <row r="3" spans="1:17" x14ac:dyDescent="0.4">
      <c r="A3" s="55" t="s">
        <v>8</v>
      </c>
      <c r="B3" s="150">
        <v>2028</v>
      </c>
      <c r="C3" s="151"/>
      <c r="E3" s="63" t="s">
        <v>73</v>
      </c>
      <c r="F3" s="60" t="s">
        <v>28</v>
      </c>
      <c r="G3" s="47">
        <v>327</v>
      </c>
      <c r="H3" s="135">
        <f>IF(B$17=0,0,G3/B$17)</f>
        <v>0.54049586776859504</v>
      </c>
      <c r="I3" s="96">
        <v>5</v>
      </c>
      <c r="K3" s="38">
        <v>1</v>
      </c>
      <c r="L3" s="101">
        <v>-5.0999999999999996</v>
      </c>
      <c r="N3" s="117" t="s">
        <v>133</v>
      </c>
      <c r="O3" s="124">
        <f t="shared" si="0"/>
        <v>-12.345679012345679</v>
      </c>
      <c r="P3" s="121">
        <v>243</v>
      </c>
      <c r="Q3" s="105">
        <v>-3000</v>
      </c>
    </row>
    <row r="4" spans="1:17" x14ac:dyDescent="0.4">
      <c r="A4" s="55" t="s">
        <v>6</v>
      </c>
      <c r="B4" s="152">
        <v>0</v>
      </c>
      <c r="C4" s="153"/>
      <c r="E4" s="63" t="s">
        <v>65</v>
      </c>
      <c r="F4" s="60" t="s">
        <v>21</v>
      </c>
      <c r="G4" s="47">
        <v>300</v>
      </c>
      <c r="H4" s="135">
        <f>IF(B$17=0,0,G4/B$17)</f>
        <v>0.49586776859504134</v>
      </c>
      <c r="I4" s="96">
        <v>6</v>
      </c>
      <c r="K4" s="38">
        <v>2</v>
      </c>
      <c r="L4" s="101">
        <v>40.4</v>
      </c>
      <c r="N4" s="117" t="s">
        <v>134</v>
      </c>
      <c r="O4" s="124">
        <f t="shared" si="0"/>
        <v>17.777777777777779</v>
      </c>
      <c r="P4" s="121">
        <v>225</v>
      </c>
      <c r="Q4" s="105">
        <v>4000</v>
      </c>
    </row>
    <row r="5" spans="1:17" x14ac:dyDescent="0.4">
      <c r="A5" s="55" t="s">
        <v>7</v>
      </c>
      <c r="B5" s="154">
        <f>IF(B$2=0,0,B$4/B$2)</f>
        <v>0</v>
      </c>
      <c r="C5" s="155"/>
      <c r="E5" s="63" t="s">
        <v>182</v>
      </c>
      <c r="F5" s="60" t="s">
        <v>183</v>
      </c>
      <c r="G5" s="47">
        <v>229</v>
      </c>
      <c r="H5" s="135">
        <f>IF(B$17=0,0,G5/B$17)</f>
        <v>0.37851239669421488</v>
      </c>
      <c r="I5" s="96">
        <v>6</v>
      </c>
      <c r="K5" s="38">
        <v>3</v>
      </c>
      <c r="L5" s="101">
        <v>0</v>
      </c>
      <c r="N5" s="117" t="s">
        <v>135</v>
      </c>
      <c r="O5" s="124">
        <f t="shared" si="0"/>
        <v>14.705882352941176</v>
      </c>
      <c r="P5" s="121">
        <v>204</v>
      </c>
      <c r="Q5" s="105">
        <v>3000</v>
      </c>
    </row>
    <row r="6" spans="1:17" x14ac:dyDescent="0.4">
      <c r="A6" s="55" t="s">
        <v>1</v>
      </c>
      <c r="B6" s="144">
        <f>IF(B$2=0,0,(B$7*1+B$8*2+B$9*3)/B$2)</f>
        <v>2</v>
      </c>
      <c r="C6" s="145"/>
      <c r="E6" s="63" t="s">
        <v>69</v>
      </c>
      <c r="F6" s="60" t="s">
        <v>12</v>
      </c>
      <c r="G6" s="47">
        <v>171</v>
      </c>
      <c r="H6" s="135">
        <f>IF(B$17=0,0,G6/B$17)</f>
        <v>0.28264462809917357</v>
      </c>
      <c r="I6" s="96">
        <v>5</v>
      </c>
      <c r="K6" s="38">
        <v>4</v>
      </c>
      <c r="L6" s="101">
        <v>2.2000000000000002</v>
      </c>
      <c r="N6" s="117" t="s">
        <v>136</v>
      </c>
      <c r="O6" s="124">
        <f t="shared" si="0"/>
        <v>-26.455026455026456</v>
      </c>
      <c r="P6" s="121">
        <v>189</v>
      </c>
      <c r="Q6" s="105">
        <v>-5000</v>
      </c>
    </row>
    <row r="7" spans="1:17" x14ac:dyDescent="0.4">
      <c r="A7" s="55" t="s">
        <v>2</v>
      </c>
      <c r="B7" s="47">
        <v>82</v>
      </c>
      <c r="C7" s="39">
        <f>IF(B$2=0,0,B7/B$2)</f>
        <v>0.33333333333333331</v>
      </c>
      <c r="E7" s="63" t="s">
        <v>68</v>
      </c>
      <c r="F7" s="60" t="s">
        <v>24</v>
      </c>
      <c r="G7" s="47">
        <v>168</v>
      </c>
      <c r="H7" s="135">
        <f>IF(B$17=0,0,G7/B$17)</f>
        <v>0.27768595041322314</v>
      </c>
      <c r="I7" s="96">
        <v>6</v>
      </c>
      <c r="K7" s="38">
        <v>5</v>
      </c>
      <c r="L7" s="101">
        <v>-37</v>
      </c>
      <c r="N7" s="118" t="s">
        <v>137</v>
      </c>
      <c r="O7" s="125">
        <f t="shared" si="0"/>
        <v>33.898305084745765</v>
      </c>
      <c r="P7" s="122">
        <v>177</v>
      </c>
      <c r="Q7" s="106">
        <v>6000</v>
      </c>
    </row>
    <row r="8" spans="1:17" x14ac:dyDescent="0.4">
      <c r="A8" s="55" t="s">
        <v>3</v>
      </c>
      <c r="B8" s="47">
        <v>82</v>
      </c>
      <c r="C8" s="39">
        <f>IF(B$2=0,0,B8/B$2)</f>
        <v>0.33333333333333331</v>
      </c>
      <c r="E8" s="63" t="s">
        <v>70</v>
      </c>
      <c r="F8" s="60" t="s">
        <v>25</v>
      </c>
      <c r="G8" s="47">
        <v>108</v>
      </c>
      <c r="H8" s="135">
        <f>IF(B$17=0,0,G8/B$17)</f>
        <v>0.17851239669421487</v>
      </c>
      <c r="I8" s="96">
        <v>6</v>
      </c>
      <c r="K8" s="38">
        <v>6</v>
      </c>
      <c r="L8" s="101">
        <v>0</v>
      </c>
      <c r="N8" s="43"/>
      <c r="O8" s="129"/>
      <c r="P8" s="113"/>
      <c r="Q8" s="111"/>
    </row>
    <row r="9" spans="1:17" x14ac:dyDescent="0.4">
      <c r="A9" s="56" t="s">
        <v>4</v>
      </c>
      <c r="B9" s="48">
        <v>82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86</v>
      </c>
      <c r="H9" s="135">
        <f>IF(B$17=0,0,G9/B$17)</f>
        <v>0.14214876033057852</v>
      </c>
      <c r="I9" s="96">
        <v>5</v>
      </c>
      <c r="K9" s="38">
        <v>7</v>
      </c>
      <c r="L9" s="101">
        <v>73.3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25</v>
      </c>
      <c r="C10" s="40">
        <f>IF(B$2=0,0,B10/B$2)</f>
        <v>0.1016260162601626</v>
      </c>
      <c r="E10" s="63" t="s">
        <v>66</v>
      </c>
      <c r="F10" s="60" t="s">
        <v>22</v>
      </c>
      <c r="G10" s="47">
        <v>73</v>
      </c>
      <c r="H10" s="135">
        <f>IF(B$17=0,0,G10/B$17)</f>
        <v>0.12066115702479339</v>
      </c>
      <c r="I10" s="96">
        <v>6</v>
      </c>
      <c r="K10" s="38">
        <v>8</v>
      </c>
      <c r="L10" s="101">
        <v>19.699999999999996</v>
      </c>
      <c r="N10" s="116" t="s">
        <v>165</v>
      </c>
      <c r="O10" s="126">
        <f>IF(P10=0,0,Q10/P10)</f>
        <v>-3.7036585365853658</v>
      </c>
      <c r="P10" s="120">
        <v>82</v>
      </c>
      <c r="Q10" s="108">
        <v>-303.7</v>
      </c>
    </row>
    <row r="11" spans="1:17" x14ac:dyDescent="0.4">
      <c r="A11" s="56" t="s">
        <v>140</v>
      </c>
      <c r="B11" s="48">
        <v>25</v>
      </c>
      <c r="C11" s="40">
        <f>IF(B$2=0,0,B11/B$2)</f>
        <v>0.1016260162601626</v>
      </c>
      <c r="E11" s="63" t="s">
        <v>71</v>
      </c>
      <c r="F11" s="60" t="s">
        <v>26</v>
      </c>
      <c r="G11" s="47">
        <v>66</v>
      </c>
      <c r="H11" s="135">
        <f>IF(B$17=0,0,G11/B$17)</f>
        <v>0.10909090909090909</v>
      </c>
      <c r="I11" s="96">
        <v>5</v>
      </c>
      <c r="K11" s="38">
        <v>9</v>
      </c>
      <c r="L11" s="101">
        <v>-3.5527136788005009E-15</v>
      </c>
      <c r="N11" s="117" t="s">
        <v>166</v>
      </c>
      <c r="O11" s="127">
        <f>IF(P11=0,0,Q11/P11)</f>
        <v>-5.1926829268292689</v>
      </c>
      <c r="P11" s="121">
        <v>82</v>
      </c>
      <c r="Q11" s="109">
        <v>-425.80000000000007</v>
      </c>
    </row>
    <row r="12" spans="1:17" x14ac:dyDescent="0.4">
      <c r="A12" s="57" t="s">
        <v>160</v>
      </c>
      <c r="B12" s="49">
        <v>24</v>
      </c>
      <c r="C12" s="42">
        <f>IF(B$2=0,0,B12/B$2)</f>
        <v>9.7560975609756101E-2</v>
      </c>
      <c r="E12" s="63" t="s">
        <v>87</v>
      </c>
      <c r="F12" s="60" t="s">
        <v>42</v>
      </c>
      <c r="G12" s="47">
        <v>39</v>
      </c>
      <c r="H12" s="135">
        <f>IF(B$17=0,0,G12/B$17)</f>
        <v>6.4462809917355368E-2</v>
      </c>
      <c r="I12" s="96">
        <v>5</v>
      </c>
      <c r="K12" s="38">
        <v>10</v>
      </c>
      <c r="L12" s="101">
        <v>40.099999999999994</v>
      </c>
      <c r="N12" s="118" t="s">
        <v>167</v>
      </c>
      <c r="O12" s="128">
        <f>IF(P12=0,0,Q12/P12)</f>
        <v>8.8963414634146361</v>
      </c>
      <c r="P12" s="122">
        <v>82</v>
      </c>
      <c r="Q12" s="110">
        <v>729.50000000000011</v>
      </c>
    </row>
    <row r="13" spans="1:17" x14ac:dyDescent="0.4">
      <c r="A13" s="58" t="s">
        <v>122</v>
      </c>
      <c r="B13" s="50">
        <v>526</v>
      </c>
      <c r="C13" s="44">
        <f>IF(B$3=0,0,B13/B$3)</f>
        <v>0.25936883629191321</v>
      </c>
      <c r="E13" s="63" t="s">
        <v>72</v>
      </c>
      <c r="F13" s="60" t="s">
        <v>27</v>
      </c>
      <c r="G13" s="47">
        <v>34</v>
      </c>
      <c r="H13" s="135">
        <f>IF(B$17=0,0,G13/B$17)</f>
        <v>5.6198347107438019E-2</v>
      </c>
      <c r="I13" s="96">
        <v>5</v>
      </c>
      <c r="K13" s="38">
        <v>11</v>
      </c>
      <c r="L13" s="101">
        <v>-11.100000000000009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434</v>
      </c>
      <c r="C14" s="39">
        <f>IF(B$3=0,0,B14/B$3)</f>
        <v>0.21400394477317555</v>
      </c>
      <c r="E14" s="63" t="s">
        <v>84</v>
      </c>
      <c r="F14" s="60" t="s">
        <v>39</v>
      </c>
      <c r="G14" s="47">
        <v>25</v>
      </c>
      <c r="H14" s="135">
        <f>IF(B$17=0,0,G14/B$17)</f>
        <v>4.1322314049586778E-2</v>
      </c>
      <c r="I14" s="96">
        <v>3</v>
      </c>
      <c r="K14" s="38">
        <v>12</v>
      </c>
      <c r="L14" s="101">
        <v>-8.8817841970012523E-15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314</v>
      </c>
      <c r="C15" s="37">
        <f>IF(B$13=0,0,B15/B$13)</f>
        <v>0.59695817490494296</v>
      </c>
      <c r="E15" s="63" t="s">
        <v>82</v>
      </c>
      <c r="F15" s="60" t="s">
        <v>37</v>
      </c>
      <c r="G15" s="47">
        <v>16</v>
      </c>
      <c r="H15" s="135">
        <f>IF(B$17=0,0,G15/B$17)</f>
        <v>2.6446280991735537E-2</v>
      </c>
      <c r="I15" s="96">
        <v>4</v>
      </c>
      <c r="K15" s="38">
        <v>13</v>
      </c>
      <c r="L15" s="101">
        <v>-42.100000000000009</v>
      </c>
      <c r="N15" s="116" t="s">
        <v>129</v>
      </c>
      <c r="O15" s="126">
        <f>IF(P15=0,0,Q15/P15)</f>
        <v>47.221153846153861</v>
      </c>
      <c r="P15" s="120">
        <v>52</v>
      </c>
      <c r="Q15" s="108">
        <v>2455.5000000000009</v>
      </c>
    </row>
    <row r="16" spans="1:17" x14ac:dyDescent="0.4">
      <c r="A16" s="54" t="s">
        <v>125</v>
      </c>
      <c r="B16" s="46">
        <v>168</v>
      </c>
      <c r="C16" s="37">
        <f>IF(B$14=0,0,B16/B$14)</f>
        <v>0.38709677419354838</v>
      </c>
      <c r="E16" s="63" t="s">
        <v>92</v>
      </c>
      <c r="F16" s="60" t="s">
        <v>47</v>
      </c>
      <c r="G16" s="47">
        <v>12</v>
      </c>
      <c r="H16" s="135">
        <f>IF(B$17=0,0,G16/B$17)</f>
        <v>1.9834710743801654E-2</v>
      </c>
      <c r="I16" s="96">
        <v>3</v>
      </c>
      <c r="K16" s="38">
        <v>14</v>
      </c>
      <c r="L16" s="101">
        <v>18.79999999999999</v>
      </c>
      <c r="N16" s="117" t="s">
        <v>187</v>
      </c>
      <c r="O16" s="127">
        <f>IF(P16=0,0,Q16/P16)</f>
        <v>46.75714285714286</v>
      </c>
      <c r="P16" s="121">
        <v>14</v>
      </c>
      <c r="Q16" s="109">
        <v>654.6</v>
      </c>
    </row>
    <row r="17" spans="1:17" x14ac:dyDescent="0.4">
      <c r="A17" s="54" t="s">
        <v>10</v>
      </c>
      <c r="B17" s="46">
        <f>B19+B18</f>
        <v>605</v>
      </c>
      <c r="C17" s="37">
        <f>IF(B$3=0,0,B17/B$3)</f>
        <v>0.2983234714003945</v>
      </c>
      <c r="E17" s="63" t="s">
        <v>79</v>
      </c>
      <c r="F17" s="60" t="s">
        <v>34</v>
      </c>
      <c r="G17" s="47">
        <v>10</v>
      </c>
      <c r="H17" s="135">
        <f>IF(B$17=0,0,G17/B$17)</f>
        <v>1.6528925619834711E-2</v>
      </c>
      <c r="I17" s="96">
        <v>4</v>
      </c>
      <c r="K17" s="38">
        <v>15</v>
      </c>
      <c r="L17" s="101">
        <v>-1.0658141036401503E-14</v>
      </c>
      <c r="N17" s="117" t="s">
        <v>203</v>
      </c>
      <c r="O17" s="127">
        <f>IF(P17=0,0,Q17/P17)</f>
        <v>18.75</v>
      </c>
      <c r="P17" s="121">
        <v>2</v>
      </c>
      <c r="Q17" s="109">
        <v>37.5</v>
      </c>
    </row>
    <row r="18" spans="1:17" x14ac:dyDescent="0.4">
      <c r="A18" s="55" t="s">
        <v>12</v>
      </c>
      <c r="B18" s="47">
        <v>251</v>
      </c>
      <c r="C18" s="39">
        <f>IF(B$17=0,0,B18/B$17)</f>
        <v>0.41487603305785126</v>
      </c>
      <c r="E18" s="63" t="s">
        <v>181</v>
      </c>
      <c r="F18" s="60" t="s">
        <v>184</v>
      </c>
      <c r="G18" s="47">
        <v>7</v>
      </c>
      <c r="H18" s="135">
        <f>IF(B$17=0,0,G18/B$17)</f>
        <v>1.1570247933884297E-2</v>
      </c>
      <c r="I18" s="96">
        <v>3</v>
      </c>
      <c r="K18" s="38">
        <v>16</v>
      </c>
      <c r="L18" s="101">
        <v>90.899999999999991</v>
      </c>
      <c r="N18" s="117" t="s">
        <v>178</v>
      </c>
      <c r="O18" s="127">
        <f>IF(P18=0,0,Q18/P18)</f>
        <v>14.619999999999997</v>
      </c>
      <c r="P18" s="121">
        <v>30</v>
      </c>
      <c r="Q18" s="109">
        <v>438.59999999999991</v>
      </c>
    </row>
    <row r="19" spans="1:17" x14ac:dyDescent="0.4">
      <c r="A19" s="55" t="s">
        <v>11</v>
      </c>
      <c r="B19" s="47">
        <v>354</v>
      </c>
      <c r="C19" s="39">
        <f>IF(B$17=0,0,B19/B$17)</f>
        <v>0.58512396694214874</v>
      </c>
      <c r="E19" s="63" t="s">
        <v>76</v>
      </c>
      <c r="F19" s="60" t="s">
        <v>31</v>
      </c>
      <c r="G19" s="47">
        <v>6</v>
      </c>
      <c r="H19" s="135">
        <f>IF(B$17=0,0,G19/B$17)</f>
        <v>9.9173553719008271E-3</v>
      </c>
      <c r="I19" s="96">
        <v>4</v>
      </c>
      <c r="K19" s="38">
        <v>17</v>
      </c>
      <c r="L19" s="101">
        <v>8.2999999999999972</v>
      </c>
      <c r="N19" s="117" t="s">
        <v>174</v>
      </c>
      <c r="O19" s="127">
        <f>IF(P19=0,0,Q19/P19)</f>
        <v>14.557142857142864</v>
      </c>
      <c r="P19" s="121">
        <v>42</v>
      </c>
      <c r="Q19" s="109">
        <v>611.40000000000032</v>
      </c>
    </row>
    <row r="20" spans="1:17" x14ac:dyDescent="0.4">
      <c r="A20" s="55" t="s">
        <v>13</v>
      </c>
      <c r="B20" s="47">
        <v>349</v>
      </c>
      <c r="C20" s="39">
        <f>IF(B$3=0,0,B20/B$3)</f>
        <v>0.17209072978303747</v>
      </c>
      <c r="E20" s="63" t="s">
        <v>80</v>
      </c>
      <c r="F20" s="60" t="s">
        <v>35</v>
      </c>
      <c r="G20" s="47">
        <v>6</v>
      </c>
      <c r="H20" s="135">
        <f>IF(B$17=0,0,G20/B$17)</f>
        <v>9.9173553719008271E-3</v>
      </c>
      <c r="I20" s="96">
        <v>4</v>
      </c>
      <c r="K20" s="38">
        <v>18</v>
      </c>
      <c r="L20" s="101">
        <v>-3.5527136788005009E-15</v>
      </c>
      <c r="N20" s="117" t="s">
        <v>172</v>
      </c>
      <c r="O20" s="127">
        <f>IF(P20=0,0,Q20/P20)</f>
        <v>4.950000000000002</v>
      </c>
      <c r="P20" s="121">
        <v>66</v>
      </c>
      <c r="Q20" s="109">
        <v>326.7000000000001</v>
      </c>
    </row>
    <row r="21" spans="1:17" x14ac:dyDescent="0.4">
      <c r="A21" s="55" t="s">
        <v>194</v>
      </c>
      <c r="B21" s="47">
        <v>7</v>
      </c>
      <c r="C21" s="137">
        <v>1</v>
      </c>
      <c r="E21" s="63" t="s">
        <v>74</v>
      </c>
      <c r="F21" s="60" t="s">
        <v>29</v>
      </c>
      <c r="G21" s="47">
        <v>4</v>
      </c>
      <c r="H21" s="135">
        <f>IF(B$17=0,0,G21/B$17)</f>
        <v>6.6115702479338841E-3</v>
      </c>
      <c r="I21" s="96">
        <v>4</v>
      </c>
      <c r="K21" s="38">
        <v>19</v>
      </c>
      <c r="L21" s="101">
        <v>30.999999999999996</v>
      </c>
      <c r="N21" s="117" t="s">
        <v>128</v>
      </c>
      <c r="O21" s="127">
        <f>IF(P21=0,0,Q21/P21)</f>
        <v>1.441525423728812</v>
      </c>
      <c r="P21" s="121">
        <v>118</v>
      </c>
      <c r="Q21" s="109">
        <v>170.09999999999982</v>
      </c>
    </row>
    <row r="22" spans="1:17" x14ac:dyDescent="0.4">
      <c r="A22" s="55" t="s">
        <v>195</v>
      </c>
      <c r="B22" s="47">
        <v>31</v>
      </c>
      <c r="C22" s="137">
        <v>2</v>
      </c>
      <c r="E22" s="63" t="s">
        <v>93</v>
      </c>
      <c r="F22" s="60" t="s">
        <v>48</v>
      </c>
      <c r="G22" s="47">
        <v>3</v>
      </c>
      <c r="H22" s="135">
        <f>IF(B$17=0,0,G22/B$17)</f>
        <v>4.9586776859504135E-3</v>
      </c>
      <c r="I22" s="96">
        <v>4</v>
      </c>
      <c r="K22" s="38">
        <v>20</v>
      </c>
      <c r="L22" s="101">
        <v>0.79999999999999716</v>
      </c>
      <c r="N22" s="117" t="s">
        <v>173</v>
      </c>
      <c r="O22" s="127">
        <f>IF(P22=0,0,Q22/P22)</f>
        <v>0.35217391304347634</v>
      </c>
      <c r="P22" s="121">
        <v>46</v>
      </c>
      <c r="Q22" s="109">
        <v>16.19999999999991</v>
      </c>
    </row>
    <row r="23" spans="1:17" x14ac:dyDescent="0.4">
      <c r="A23" s="55" t="s">
        <v>5</v>
      </c>
      <c r="B23" s="51">
        <f>IF(B$17=0,0,C23/B$17)</f>
        <v>8388.9256198347102</v>
      </c>
      <c r="C23" s="41">
        <v>5075300</v>
      </c>
      <c r="E23" s="63" t="s">
        <v>75</v>
      </c>
      <c r="F23" s="60" t="s">
        <v>30</v>
      </c>
      <c r="G23" s="47">
        <v>2</v>
      </c>
      <c r="H23" s="135">
        <f>IF(B$17=0,0,G23/B$17)</f>
        <v>3.3057851239669421E-3</v>
      </c>
      <c r="I23" s="96">
        <v>2</v>
      </c>
      <c r="K23" s="38">
        <v>21</v>
      </c>
      <c r="L23" s="101">
        <v>-2.886579864025407E-15</v>
      </c>
      <c r="N23" s="117" t="s">
        <v>186</v>
      </c>
      <c r="O23" s="127">
        <f>IF(P23=0,0,Q23/P23)</f>
        <v>-30.5</v>
      </c>
      <c r="P23" s="121">
        <v>6</v>
      </c>
      <c r="Q23" s="109">
        <v>-183</v>
      </c>
    </row>
    <row r="24" spans="1:17" x14ac:dyDescent="0.4">
      <c r="A24" s="57" t="s">
        <v>14</v>
      </c>
      <c r="B24" s="52">
        <f>IF(B$20=0,0,C24/B$20)</f>
        <v>-8060.1719197707735</v>
      </c>
      <c r="C24" s="45">
        <v>-2813000</v>
      </c>
      <c r="E24" s="63" t="s">
        <v>78</v>
      </c>
      <c r="F24" s="60" t="s">
        <v>33</v>
      </c>
      <c r="G24" s="47">
        <v>2</v>
      </c>
      <c r="H24" s="135">
        <f>IF(B$17=0,0,G24/B$17)</f>
        <v>3.3057851239669421E-3</v>
      </c>
      <c r="I24" s="96">
        <v>3</v>
      </c>
      <c r="K24" s="38">
        <v>22</v>
      </c>
      <c r="L24" s="101">
        <v>23.699999999999996</v>
      </c>
      <c r="N24" s="117" t="s">
        <v>127</v>
      </c>
      <c r="O24" s="127">
        <f>IF(P24=0,0,Q24/P24)</f>
        <v>-39.031034482758599</v>
      </c>
      <c r="P24" s="121">
        <v>116</v>
      </c>
      <c r="Q24" s="109">
        <v>-4527.5999999999976</v>
      </c>
    </row>
    <row r="25" spans="1:17" x14ac:dyDescent="0.4">
      <c r="A25" s="92" t="s">
        <v>142</v>
      </c>
      <c r="B25" s="142">
        <v>7</v>
      </c>
      <c r="C25" s="143"/>
      <c r="E25" s="63" t="s">
        <v>89</v>
      </c>
      <c r="F25" s="60" t="s">
        <v>44</v>
      </c>
      <c r="G25" s="47">
        <v>2</v>
      </c>
      <c r="H25" s="135">
        <f>IF(B$17=0,0,G25/B$17)</f>
        <v>3.3057851239669421E-3</v>
      </c>
      <c r="I25" s="96">
        <v>3</v>
      </c>
      <c r="K25" s="38">
        <v>23</v>
      </c>
      <c r="L25" s="101">
        <v>26.299999999999997</v>
      </c>
    </row>
    <row r="26" spans="1:17" x14ac:dyDescent="0.4">
      <c r="A26" s="58" t="s">
        <v>152</v>
      </c>
      <c r="B26" s="140">
        <v>116000</v>
      </c>
      <c r="C26" s="141"/>
      <c r="E26" s="63" t="s">
        <v>85</v>
      </c>
      <c r="F26" s="60" t="s">
        <v>40</v>
      </c>
      <c r="G26" s="47">
        <v>1</v>
      </c>
      <c r="H26" s="135">
        <f>IF(B$17=0,0,G26/B$17)</f>
        <v>1.652892561983471E-3</v>
      </c>
      <c r="I26" s="96">
        <v>2</v>
      </c>
      <c r="K26" s="38">
        <v>24</v>
      </c>
      <c r="L26" s="101">
        <v>-3.5527136788005009E-15</v>
      </c>
    </row>
    <row r="27" spans="1:17" x14ac:dyDescent="0.4">
      <c r="A27" s="57" t="s">
        <v>143</v>
      </c>
      <c r="B27" s="65">
        <v>8</v>
      </c>
      <c r="C27" s="42">
        <f>IF(B$3=0,0,B27/B$3)</f>
        <v>3.9447731755424065E-3</v>
      </c>
      <c r="E27" s="63" t="s">
        <v>86</v>
      </c>
      <c r="F27" s="60" t="s">
        <v>41</v>
      </c>
      <c r="G27" s="47">
        <v>1</v>
      </c>
      <c r="H27" s="135">
        <f>IF(B$17=0,0,G27/B$17)</f>
        <v>1.652892561983471E-3</v>
      </c>
      <c r="I27" s="96">
        <v>2</v>
      </c>
      <c r="K27" s="38">
        <v>25</v>
      </c>
      <c r="L27" s="101">
        <v>-31.300000000000004</v>
      </c>
    </row>
    <row r="28" spans="1:17" x14ac:dyDescent="0.4">
      <c r="E28" s="63" t="s">
        <v>88</v>
      </c>
      <c r="F28" s="60" t="s">
        <v>43</v>
      </c>
      <c r="G28" s="47">
        <v>1</v>
      </c>
      <c r="H28" s="135">
        <f>IF(B$17=0,0,G28/B$17)</f>
        <v>1.652892561983471E-3</v>
      </c>
      <c r="I28" s="96">
        <v>2</v>
      </c>
      <c r="K28" s="38">
        <v>26</v>
      </c>
      <c r="L28" s="101">
        <v>1.8999999999999986</v>
      </c>
    </row>
    <row r="29" spans="1:17" x14ac:dyDescent="0.4">
      <c r="E29" s="63" t="s">
        <v>91</v>
      </c>
      <c r="F29" s="60" t="s">
        <v>46</v>
      </c>
      <c r="G29" s="47">
        <v>1</v>
      </c>
      <c r="H29" s="135">
        <f>IF(B$17=0,0,G29/B$17)</f>
        <v>1.652892561983471E-3</v>
      </c>
      <c r="I29" s="96">
        <v>2</v>
      </c>
      <c r="K29" s="38">
        <v>27</v>
      </c>
      <c r="L29" s="101">
        <v>-1.3322676295501878E-15</v>
      </c>
    </row>
    <row r="30" spans="1:17" x14ac:dyDescent="0.4">
      <c r="E30" s="63" t="s">
        <v>94</v>
      </c>
      <c r="F30" s="60" t="s">
        <v>49</v>
      </c>
      <c r="G30" s="47">
        <v>1</v>
      </c>
      <c r="H30" s="135">
        <f>IF(B$17=0,0,G30/B$17)</f>
        <v>1.652892561983471E-3</v>
      </c>
      <c r="I30" s="96">
        <v>2</v>
      </c>
      <c r="K30" s="38">
        <v>28</v>
      </c>
      <c r="L30" s="101">
        <v>-58.3</v>
      </c>
    </row>
    <row r="31" spans="1:17" x14ac:dyDescent="0.4">
      <c r="E31" s="63" t="s">
        <v>96</v>
      </c>
      <c r="F31" s="60" t="s">
        <v>51</v>
      </c>
      <c r="G31" s="47">
        <v>1</v>
      </c>
      <c r="H31" s="135">
        <f>IF(B$17=0,0,G31/B$17)</f>
        <v>1.652892561983471E-3</v>
      </c>
      <c r="I31" s="96">
        <v>2</v>
      </c>
      <c r="K31" s="38">
        <v>29</v>
      </c>
      <c r="L31" s="101">
        <v>-9.5</v>
      </c>
    </row>
    <row r="32" spans="1:17" x14ac:dyDescent="0.4">
      <c r="E32" s="63" t="s">
        <v>77</v>
      </c>
      <c r="F32" s="60" t="s">
        <v>32</v>
      </c>
      <c r="G32" s="47">
        <v>0</v>
      </c>
      <c r="H32" s="135">
        <f>IF(B$17=0,0,G32/B$17)</f>
        <v>0</v>
      </c>
      <c r="I32" s="96">
        <v>1</v>
      </c>
      <c r="K32" s="38">
        <v>30</v>
      </c>
      <c r="L32" s="101">
        <v>0</v>
      </c>
    </row>
    <row r="33" spans="5:12" x14ac:dyDescent="0.4">
      <c r="E33" s="63" t="s">
        <v>81</v>
      </c>
      <c r="F33" s="60" t="s">
        <v>36</v>
      </c>
      <c r="G33" s="47">
        <v>0</v>
      </c>
      <c r="H33" s="135">
        <f>IF(B$17=0,0,G33/B$17)</f>
        <v>0</v>
      </c>
      <c r="I33" s="96">
        <v>1</v>
      </c>
      <c r="K33" s="38">
        <v>31</v>
      </c>
      <c r="L33" s="101">
        <v>29.1</v>
      </c>
    </row>
    <row r="34" spans="5:12" x14ac:dyDescent="0.4">
      <c r="E34" s="63" t="s">
        <v>83</v>
      </c>
      <c r="F34" s="60" t="s">
        <v>38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4.3000000000000007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8.8817841970012523E-16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-7.2999999999999989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-37.199999999999996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-31.699999999999992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-33.099999999999994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6">
        <f>IF(B$17=0,0,G51/B$17)</f>
        <v>0</v>
      </c>
      <c r="I51" s="97">
        <v>1</v>
      </c>
      <c r="K51" s="38">
        <v>49</v>
      </c>
      <c r="L51" s="101">
        <v>38.399999999999991</v>
      </c>
    </row>
    <row r="52" spans="5:12" x14ac:dyDescent="0.4">
      <c r="K52" s="38">
        <v>50</v>
      </c>
      <c r="L52" s="101">
        <v>4.0999999999999943</v>
      </c>
    </row>
    <row r="53" spans="5:12" x14ac:dyDescent="0.4">
      <c r="K53" s="38">
        <v>51</v>
      </c>
      <c r="L53" s="101">
        <v>-5.3290705182007514E-15</v>
      </c>
    </row>
    <row r="54" spans="5:12" x14ac:dyDescent="0.4">
      <c r="K54" s="38">
        <v>52</v>
      </c>
      <c r="L54" s="101">
        <v>27.799999999999997</v>
      </c>
    </row>
    <row r="55" spans="5:12" x14ac:dyDescent="0.4">
      <c r="K55" s="38">
        <v>53</v>
      </c>
      <c r="L55" s="101">
        <v>25.099999999999998</v>
      </c>
    </row>
    <row r="56" spans="5:12" x14ac:dyDescent="0.4">
      <c r="K56" s="38">
        <v>54</v>
      </c>
      <c r="L56" s="101">
        <v>-3.5527136788005009E-15</v>
      </c>
    </row>
    <row r="57" spans="5:12" x14ac:dyDescent="0.4">
      <c r="K57" s="38">
        <v>55</v>
      </c>
      <c r="L57" s="101">
        <v>47.2</v>
      </c>
    </row>
    <row r="58" spans="5:12" x14ac:dyDescent="0.4">
      <c r="K58" s="38">
        <v>56</v>
      </c>
      <c r="L58" s="101">
        <v>-3.5</v>
      </c>
    </row>
    <row r="59" spans="5:12" x14ac:dyDescent="0.4">
      <c r="K59" s="38">
        <v>57</v>
      </c>
      <c r="L59" s="101">
        <v>0</v>
      </c>
    </row>
    <row r="60" spans="5:12" x14ac:dyDescent="0.4">
      <c r="K60" s="38">
        <v>58</v>
      </c>
      <c r="L60" s="101">
        <v>-28.5</v>
      </c>
    </row>
    <row r="61" spans="5:12" x14ac:dyDescent="0.4">
      <c r="K61" s="38">
        <v>59</v>
      </c>
      <c r="L61" s="101">
        <v>-31.9</v>
      </c>
    </row>
    <row r="62" spans="5:12" x14ac:dyDescent="0.4">
      <c r="K62" s="38">
        <v>60</v>
      </c>
      <c r="L62" s="101">
        <v>0</v>
      </c>
    </row>
    <row r="63" spans="5:12" x14ac:dyDescent="0.4">
      <c r="K63" s="38">
        <v>61</v>
      </c>
      <c r="L63" s="101">
        <v>28.9</v>
      </c>
    </row>
    <row r="64" spans="5:12" x14ac:dyDescent="0.4">
      <c r="K64" s="38">
        <v>62</v>
      </c>
      <c r="L64" s="101">
        <v>3.5</v>
      </c>
    </row>
    <row r="65" spans="11:12" x14ac:dyDescent="0.4">
      <c r="K65" s="38">
        <v>63</v>
      </c>
      <c r="L65" s="101">
        <v>0</v>
      </c>
    </row>
    <row r="66" spans="11:12" x14ac:dyDescent="0.4">
      <c r="K66" s="38">
        <v>64</v>
      </c>
      <c r="L66" s="101">
        <v>-15.3</v>
      </c>
    </row>
    <row r="67" spans="11:12" x14ac:dyDescent="0.4">
      <c r="K67" s="38">
        <v>65</v>
      </c>
      <c r="L67" s="101">
        <v>41</v>
      </c>
    </row>
    <row r="68" spans="11:12" x14ac:dyDescent="0.4">
      <c r="K68" s="38">
        <v>66</v>
      </c>
      <c r="L68" s="101">
        <v>0</v>
      </c>
    </row>
    <row r="69" spans="11:12" x14ac:dyDescent="0.4">
      <c r="K69" s="38">
        <v>67</v>
      </c>
      <c r="L69" s="101">
        <v>-15.8</v>
      </c>
    </row>
    <row r="70" spans="11:12" x14ac:dyDescent="0.4">
      <c r="K70" s="38">
        <v>68</v>
      </c>
      <c r="L70" s="101">
        <v>57.8</v>
      </c>
    </row>
    <row r="71" spans="11:12" x14ac:dyDescent="0.4">
      <c r="K71" s="38">
        <v>69</v>
      </c>
      <c r="L71" s="101">
        <v>0</v>
      </c>
    </row>
    <row r="72" spans="11:12" x14ac:dyDescent="0.4">
      <c r="K72" s="38">
        <v>70</v>
      </c>
      <c r="L72" s="101">
        <v>54.6</v>
      </c>
    </row>
    <row r="73" spans="11:12" x14ac:dyDescent="0.4">
      <c r="K73" s="38">
        <v>71</v>
      </c>
      <c r="L73" s="101">
        <v>14.600000000000001</v>
      </c>
    </row>
    <row r="74" spans="11:12" x14ac:dyDescent="0.4">
      <c r="K74" s="38">
        <v>72</v>
      </c>
      <c r="L74" s="101">
        <v>1.7763568394002505E-15</v>
      </c>
    </row>
    <row r="75" spans="11:12" x14ac:dyDescent="0.4">
      <c r="K75" s="38">
        <v>73</v>
      </c>
      <c r="L75" s="101">
        <v>-43.7</v>
      </c>
    </row>
    <row r="76" spans="11:12" x14ac:dyDescent="0.4">
      <c r="K76" s="38">
        <v>74</v>
      </c>
      <c r="L76" s="101">
        <v>6.2999999999999972</v>
      </c>
    </row>
    <row r="77" spans="11:12" x14ac:dyDescent="0.4">
      <c r="K77" s="38">
        <v>75</v>
      </c>
      <c r="L77" s="101">
        <v>-2.6645352591003757E-15</v>
      </c>
    </row>
    <row r="78" spans="11:12" x14ac:dyDescent="0.4">
      <c r="K78" s="38">
        <v>76</v>
      </c>
      <c r="L78" s="101">
        <v>-32.5</v>
      </c>
    </row>
    <row r="79" spans="11:12" x14ac:dyDescent="0.4">
      <c r="K79" s="38">
        <v>77</v>
      </c>
      <c r="L79" s="101">
        <v>-37.1</v>
      </c>
    </row>
    <row r="80" spans="11:12" x14ac:dyDescent="0.4">
      <c r="K80" s="38">
        <v>78</v>
      </c>
      <c r="L80" s="101">
        <v>0</v>
      </c>
    </row>
    <row r="81" spans="11:12" x14ac:dyDescent="0.4">
      <c r="K81" s="38">
        <v>79</v>
      </c>
      <c r="L81" s="101">
        <v>8</v>
      </c>
    </row>
    <row r="82" spans="11:12" x14ac:dyDescent="0.4">
      <c r="K82" s="38">
        <v>80</v>
      </c>
      <c r="L82" s="101">
        <v>-29.299999999999997</v>
      </c>
    </row>
    <row r="83" spans="11:12" x14ac:dyDescent="0.4">
      <c r="K83" s="38">
        <v>81</v>
      </c>
      <c r="L83" s="101">
        <v>3.5527136788005009E-15</v>
      </c>
    </row>
    <row r="84" spans="11:12" x14ac:dyDescent="0.4">
      <c r="K84" s="38">
        <v>82</v>
      </c>
      <c r="L84" s="101">
        <v>-6.9999999999999964</v>
      </c>
    </row>
    <row r="85" spans="11:12" x14ac:dyDescent="0.4">
      <c r="K85" s="38">
        <v>83</v>
      </c>
      <c r="L85" s="101">
        <v>-38.5</v>
      </c>
    </row>
    <row r="86" spans="11:12" x14ac:dyDescent="0.4">
      <c r="K86" s="38">
        <v>84</v>
      </c>
      <c r="L86" s="101">
        <v>0</v>
      </c>
    </row>
    <row r="87" spans="11:12" x14ac:dyDescent="0.4">
      <c r="K87" s="38">
        <v>85</v>
      </c>
      <c r="L87" s="101">
        <v>52.9</v>
      </c>
    </row>
    <row r="88" spans="11:12" x14ac:dyDescent="0.4">
      <c r="K88" s="38">
        <v>86</v>
      </c>
      <c r="L88" s="101">
        <v>-3.1000000000000014</v>
      </c>
    </row>
    <row r="89" spans="11:12" x14ac:dyDescent="0.4">
      <c r="K89" s="38">
        <v>87</v>
      </c>
      <c r="L89" s="101">
        <v>-1.3322676295501878E-15</v>
      </c>
    </row>
    <row r="90" spans="11:12" x14ac:dyDescent="0.4">
      <c r="K90" s="38">
        <v>88</v>
      </c>
      <c r="L90" s="101">
        <v>22.1</v>
      </c>
    </row>
    <row r="91" spans="11:12" x14ac:dyDescent="0.4">
      <c r="K91" s="38">
        <v>89</v>
      </c>
      <c r="L91" s="101">
        <v>24</v>
      </c>
    </row>
    <row r="92" spans="11:12" x14ac:dyDescent="0.4">
      <c r="K92" s="38">
        <v>90</v>
      </c>
      <c r="L92" s="101">
        <v>0</v>
      </c>
    </row>
    <row r="93" spans="11:12" x14ac:dyDescent="0.4">
      <c r="K93" s="38">
        <v>91</v>
      </c>
      <c r="L93" s="101">
        <v>22.1</v>
      </c>
    </row>
    <row r="94" spans="11:12" x14ac:dyDescent="0.4">
      <c r="K94" s="38">
        <v>92</v>
      </c>
      <c r="L94" s="101">
        <v>24</v>
      </c>
    </row>
    <row r="95" spans="11:12" x14ac:dyDescent="0.4">
      <c r="K95" s="38">
        <v>93</v>
      </c>
      <c r="L95" s="101">
        <v>0</v>
      </c>
    </row>
    <row r="96" spans="11:12" x14ac:dyDescent="0.4">
      <c r="K96" s="38">
        <v>94</v>
      </c>
      <c r="L96" s="101">
        <v>25.7</v>
      </c>
    </row>
    <row r="97" spans="11:12" x14ac:dyDescent="0.4">
      <c r="K97" s="38">
        <v>95</v>
      </c>
      <c r="L97" s="101">
        <v>1.8000000000000007</v>
      </c>
    </row>
    <row r="98" spans="11:12" x14ac:dyDescent="0.4">
      <c r="K98" s="38">
        <v>96</v>
      </c>
      <c r="L98" s="101">
        <v>6.6613381477509392E-16</v>
      </c>
    </row>
    <row r="99" spans="11:12" x14ac:dyDescent="0.4">
      <c r="K99" s="38">
        <v>97</v>
      </c>
      <c r="L99" s="101">
        <v>39.6</v>
      </c>
    </row>
    <row r="100" spans="11:12" x14ac:dyDescent="0.4">
      <c r="K100" s="38">
        <v>98</v>
      </c>
      <c r="L100" s="101">
        <v>-64.199999999999989</v>
      </c>
    </row>
    <row r="101" spans="11:12" x14ac:dyDescent="0.4">
      <c r="K101" s="38">
        <v>99</v>
      </c>
      <c r="L101" s="101">
        <v>1.4210854715202004E-14</v>
      </c>
    </row>
    <row r="102" spans="11:12" x14ac:dyDescent="0.4">
      <c r="K102" s="38">
        <v>100</v>
      </c>
      <c r="L102" s="101">
        <v>-74.499999999999986</v>
      </c>
    </row>
    <row r="103" spans="11:12" x14ac:dyDescent="0.4">
      <c r="K103" s="38">
        <v>101</v>
      </c>
      <c r="L103" s="101">
        <v>2.2000000000000171</v>
      </c>
    </row>
    <row r="104" spans="11:12" x14ac:dyDescent="0.4">
      <c r="K104" s="38">
        <v>102</v>
      </c>
      <c r="L104" s="101">
        <v>1.6875389974302379E-14</v>
      </c>
    </row>
    <row r="105" spans="11:12" x14ac:dyDescent="0.4">
      <c r="K105" s="38">
        <v>103</v>
      </c>
      <c r="L105" s="101">
        <v>-31.599999999999984</v>
      </c>
    </row>
    <row r="106" spans="11:12" x14ac:dyDescent="0.4">
      <c r="K106" s="38">
        <v>104</v>
      </c>
      <c r="L106" s="101">
        <v>-35.799999999999983</v>
      </c>
    </row>
    <row r="107" spans="11:12" x14ac:dyDescent="0.4">
      <c r="K107" s="38">
        <v>105</v>
      </c>
      <c r="L107" s="101">
        <v>1.4210854715202004E-14</v>
      </c>
    </row>
    <row r="108" spans="11:12" x14ac:dyDescent="0.4">
      <c r="K108" s="38">
        <v>106</v>
      </c>
      <c r="L108" s="101">
        <v>35.300000000000011</v>
      </c>
    </row>
    <row r="109" spans="11:12" x14ac:dyDescent="0.4">
      <c r="K109" s="38">
        <v>107</v>
      </c>
      <c r="L109" s="101">
        <v>34.000000000000014</v>
      </c>
    </row>
    <row r="110" spans="11:12" x14ac:dyDescent="0.4">
      <c r="K110" s="38">
        <v>108</v>
      </c>
      <c r="L110" s="101">
        <v>1.4210854715202004E-14</v>
      </c>
    </row>
    <row r="111" spans="11:12" x14ac:dyDescent="0.4">
      <c r="K111" s="38">
        <v>109</v>
      </c>
      <c r="L111" s="101">
        <v>6.1000000000000139</v>
      </c>
    </row>
    <row r="112" spans="11:12" x14ac:dyDescent="0.4">
      <c r="K112" s="38">
        <v>110</v>
      </c>
      <c r="L112" s="101">
        <v>57.000000000000014</v>
      </c>
    </row>
    <row r="113" spans="11:12" x14ac:dyDescent="0.4">
      <c r="K113" s="38">
        <v>111</v>
      </c>
      <c r="L113" s="101">
        <v>1.4210854715202004E-14</v>
      </c>
    </row>
    <row r="114" spans="11:12" x14ac:dyDescent="0.4">
      <c r="K114" s="38">
        <v>112</v>
      </c>
      <c r="L114" s="101">
        <v>-5.0999999999999854</v>
      </c>
    </row>
    <row r="115" spans="11:12" x14ac:dyDescent="0.4">
      <c r="K115" s="38">
        <v>113</v>
      </c>
      <c r="L115" s="101">
        <v>31.600000000000016</v>
      </c>
    </row>
    <row r="116" spans="11:12" x14ac:dyDescent="0.4">
      <c r="K116" s="38">
        <v>114</v>
      </c>
      <c r="L116" s="101">
        <v>1.4210854715202004E-14</v>
      </c>
    </row>
    <row r="117" spans="11:12" x14ac:dyDescent="0.4">
      <c r="K117" s="38">
        <v>115</v>
      </c>
      <c r="L117" s="101">
        <v>5.2000000000000144</v>
      </c>
    </row>
    <row r="118" spans="11:12" x14ac:dyDescent="0.4">
      <c r="K118" s="38">
        <v>116</v>
      </c>
      <c r="L118" s="101">
        <v>41.500000000000014</v>
      </c>
    </row>
    <row r="119" spans="11:12" x14ac:dyDescent="0.4">
      <c r="K119" s="38">
        <v>117</v>
      </c>
      <c r="L119" s="101">
        <v>1.4210854715202004E-14</v>
      </c>
    </row>
    <row r="120" spans="11:12" x14ac:dyDescent="0.4">
      <c r="K120" s="38">
        <v>118</v>
      </c>
      <c r="L120" s="101">
        <v>-7.8999999999999861</v>
      </c>
    </row>
    <row r="121" spans="11:12" x14ac:dyDescent="0.4">
      <c r="K121" s="38">
        <v>119</v>
      </c>
      <c r="L121" s="101">
        <v>55.100000000000016</v>
      </c>
    </row>
    <row r="122" spans="11:12" x14ac:dyDescent="0.4">
      <c r="K122" s="38">
        <v>120</v>
      </c>
      <c r="L122" s="101">
        <v>1.4210854715202004E-14</v>
      </c>
    </row>
    <row r="123" spans="11:12" x14ac:dyDescent="0.4">
      <c r="K123" s="38">
        <v>121</v>
      </c>
      <c r="L123" s="101">
        <v>-0.99999999999998579</v>
      </c>
    </row>
    <row r="124" spans="11:12" x14ac:dyDescent="0.4">
      <c r="K124" s="38">
        <v>122</v>
      </c>
      <c r="L124" s="101">
        <v>-30.799999999999986</v>
      </c>
    </row>
    <row r="125" spans="11:12" x14ac:dyDescent="0.4">
      <c r="K125" s="38">
        <v>123</v>
      </c>
      <c r="L125" s="101">
        <v>1.4210854715202004E-14</v>
      </c>
    </row>
    <row r="126" spans="11:12" x14ac:dyDescent="0.4">
      <c r="K126" s="38">
        <v>124</v>
      </c>
      <c r="L126" s="101">
        <v>0.50000000000001421</v>
      </c>
    </row>
    <row r="127" spans="11:12" x14ac:dyDescent="0.4">
      <c r="K127" s="38">
        <v>125</v>
      </c>
      <c r="L127" s="101">
        <v>29.100000000000016</v>
      </c>
    </row>
    <row r="128" spans="11:12" x14ac:dyDescent="0.4">
      <c r="K128" s="38">
        <v>126</v>
      </c>
      <c r="L128" s="101">
        <v>1.4210854715202004E-14</v>
      </c>
    </row>
    <row r="129" spans="11:12" x14ac:dyDescent="0.4">
      <c r="K129" s="38">
        <v>127</v>
      </c>
      <c r="L129" s="101">
        <v>-45.299999999999983</v>
      </c>
    </row>
    <row r="130" spans="11:12" x14ac:dyDescent="0.4">
      <c r="K130" s="38">
        <v>128</v>
      </c>
      <c r="L130" s="101">
        <v>-59.299999999999983</v>
      </c>
    </row>
    <row r="131" spans="11:12" x14ac:dyDescent="0.4">
      <c r="K131" s="38">
        <v>129</v>
      </c>
      <c r="L131" s="101">
        <v>1.4210854715202004E-14</v>
      </c>
    </row>
    <row r="132" spans="11:12" x14ac:dyDescent="0.4">
      <c r="K132" s="38">
        <v>130</v>
      </c>
      <c r="L132" s="101">
        <v>-8.8999999999999861</v>
      </c>
    </row>
    <row r="133" spans="11:12" x14ac:dyDescent="0.4">
      <c r="K133" s="38">
        <v>131</v>
      </c>
      <c r="L133" s="101">
        <v>-47.499999999999986</v>
      </c>
    </row>
    <row r="134" spans="11:12" x14ac:dyDescent="0.4">
      <c r="K134" s="38">
        <v>132</v>
      </c>
      <c r="L134" s="101">
        <v>1.4210854715202004E-14</v>
      </c>
    </row>
    <row r="135" spans="11:12" x14ac:dyDescent="0.4">
      <c r="K135" s="38">
        <v>133</v>
      </c>
      <c r="L135" s="101">
        <v>-3.4999999999999858</v>
      </c>
    </row>
    <row r="136" spans="11:12" x14ac:dyDescent="0.4">
      <c r="K136" s="38">
        <v>134</v>
      </c>
      <c r="L136" s="101">
        <v>27.000000000000014</v>
      </c>
    </row>
    <row r="137" spans="11:12" x14ac:dyDescent="0.4">
      <c r="K137" s="38">
        <v>135</v>
      </c>
      <c r="L137" s="101">
        <v>1.4210854715202004E-14</v>
      </c>
    </row>
    <row r="138" spans="11:12" x14ac:dyDescent="0.4">
      <c r="K138" s="38">
        <v>136</v>
      </c>
      <c r="L138" s="101">
        <v>-55.199999999999989</v>
      </c>
    </row>
    <row r="139" spans="11:12" x14ac:dyDescent="0.4">
      <c r="K139" s="38">
        <v>137</v>
      </c>
      <c r="L139" s="101">
        <v>-80.699999999999989</v>
      </c>
    </row>
    <row r="140" spans="11:12" x14ac:dyDescent="0.4">
      <c r="K140" s="38">
        <v>138</v>
      </c>
      <c r="L140" s="101">
        <v>1.4210854715202004E-14</v>
      </c>
    </row>
    <row r="141" spans="11:12" x14ac:dyDescent="0.4">
      <c r="K141" s="38">
        <v>139</v>
      </c>
      <c r="L141" s="101">
        <v>8.0000000000000142</v>
      </c>
    </row>
    <row r="142" spans="11:12" x14ac:dyDescent="0.4">
      <c r="K142" s="38">
        <v>140</v>
      </c>
      <c r="L142" s="101">
        <v>-63.199999999999989</v>
      </c>
    </row>
    <row r="143" spans="11:12" x14ac:dyDescent="0.4">
      <c r="K143" s="38">
        <v>141</v>
      </c>
      <c r="L143" s="101">
        <v>1.4210854715202004E-14</v>
      </c>
    </row>
    <row r="144" spans="11:12" x14ac:dyDescent="0.4">
      <c r="K144" s="38">
        <v>142</v>
      </c>
      <c r="L144" s="101">
        <v>54.500000000000014</v>
      </c>
    </row>
    <row r="145" spans="11:12" x14ac:dyDescent="0.4">
      <c r="K145" s="38">
        <v>143</v>
      </c>
      <c r="L145" s="101">
        <v>8.5000000000000142</v>
      </c>
    </row>
    <row r="146" spans="11:12" x14ac:dyDescent="0.4">
      <c r="K146" s="38">
        <v>144</v>
      </c>
      <c r="L146" s="101">
        <v>1.4210854715202004E-14</v>
      </c>
    </row>
    <row r="147" spans="11:12" x14ac:dyDescent="0.4">
      <c r="K147" s="38">
        <v>145</v>
      </c>
      <c r="L147" s="101">
        <v>-10.599999999999985</v>
      </c>
    </row>
    <row r="148" spans="11:12" x14ac:dyDescent="0.4">
      <c r="K148" s="38">
        <v>146</v>
      </c>
      <c r="L148" s="101">
        <v>-61.79999999999999</v>
      </c>
    </row>
    <row r="149" spans="11:12" x14ac:dyDescent="0.4">
      <c r="K149" s="38">
        <v>147</v>
      </c>
      <c r="L149" s="101">
        <v>7.1054273576010019E-15</v>
      </c>
    </row>
    <row r="150" spans="11:12" x14ac:dyDescent="0.4">
      <c r="K150" s="38">
        <v>148</v>
      </c>
      <c r="L150" s="101">
        <v>4.6000000000000068</v>
      </c>
    </row>
    <row r="151" spans="11:12" x14ac:dyDescent="0.4">
      <c r="K151" s="38">
        <v>149</v>
      </c>
      <c r="L151" s="101">
        <v>-25.29999999999999</v>
      </c>
    </row>
    <row r="152" spans="11:12" x14ac:dyDescent="0.4">
      <c r="K152" s="38">
        <v>150</v>
      </c>
      <c r="L152" s="101">
        <v>1.0658141036401503E-14</v>
      </c>
    </row>
    <row r="153" spans="11:12" x14ac:dyDescent="0.4">
      <c r="K153" s="38">
        <v>151</v>
      </c>
      <c r="L153" s="101">
        <v>-2.4999999999999893</v>
      </c>
    </row>
    <row r="154" spans="11:12" x14ac:dyDescent="0.4">
      <c r="K154" s="38">
        <v>152</v>
      </c>
      <c r="L154" s="101">
        <v>-49.999999999999986</v>
      </c>
    </row>
    <row r="155" spans="11:12" x14ac:dyDescent="0.4">
      <c r="K155" s="38">
        <v>153</v>
      </c>
      <c r="L155" s="101">
        <v>1.4210854715202004E-14</v>
      </c>
    </row>
    <row r="156" spans="11:12" x14ac:dyDescent="0.4">
      <c r="K156" s="38">
        <v>154</v>
      </c>
      <c r="L156" s="101">
        <v>31.900000000000013</v>
      </c>
    </row>
    <row r="157" spans="11:12" x14ac:dyDescent="0.4">
      <c r="K157" s="38">
        <v>155</v>
      </c>
      <c r="L157" s="101">
        <v>28.100000000000012</v>
      </c>
    </row>
    <row r="158" spans="11:12" x14ac:dyDescent="0.4">
      <c r="K158" s="38">
        <v>156</v>
      </c>
      <c r="L158" s="101">
        <v>1.0658141036401503E-14</v>
      </c>
    </row>
    <row r="159" spans="11:12" x14ac:dyDescent="0.4">
      <c r="K159" s="38">
        <v>157</v>
      </c>
      <c r="L159" s="101">
        <v>-55.999999999999986</v>
      </c>
    </row>
    <row r="160" spans="11:12" x14ac:dyDescent="0.4">
      <c r="K160" s="38">
        <v>158</v>
      </c>
      <c r="L160" s="101">
        <v>13.000000000000014</v>
      </c>
    </row>
    <row r="161" spans="11:12" x14ac:dyDescent="0.4">
      <c r="K161" s="38">
        <v>159</v>
      </c>
      <c r="L161" s="101">
        <v>1.4210854715202004E-14</v>
      </c>
    </row>
    <row r="162" spans="11:12" x14ac:dyDescent="0.4">
      <c r="K162" s="38">
        <v>160</v>
      </c>
      <c r="L162" s="101">
        <v>12.400000000000015</v>
      </c>
    </row>
    <row r="163" spans="11:12" x14ac:dyDescent="0.4">
      <c r="K163" s="38">
        <v>161</v>
      </c>
      <c r="L163" s="101">
        <v>49.100000000000016</v>
      </c>
    </row>
    <row r="164" spans="11:12" x14ac:dyDescent="0.4">
      <c r="K164" s="38">
        <v>162</v>
      </c>
      <c r="L164" s="101">
        <v>1.4210854715202004E-14</v>
      </c>
    </row>
    <row r="165" spans="11:12" x14ac:dyDescent="0.4">
      <c r="K165" s="38">
        <v>163</v>
      </c>
      <c r="L165" s="101">
        <v>-60.299999999999983</v>
      </c>
    </row>
    <row r="166" spans="11:12" x14ac:dyDescent="0.4">
      <c r="K166" s="38">
        <v>164</v>
      </c>
      <c r="L166" s="101">
        <v>9.3000000000000114</v>
      </c>
    </row>
    <row r="167" spans="11:12" x14ac:dyDescent="0.4">
      <c r="K167" s="38">
        <v>165</v>
      </c>
      <c r="L167" s="101">
        <v>1.0658141036401503E-14</v>
      </c>
    </row>
    <row r="168" spans="11:12" x14ac:dyDescent="0.4">
      <c r="K168" s="38">
        <v>166</v>
      </c>
      <c r="L168" s="101">
        <v>48.500000000000014</v>
      </c>
    </row>
    <row r="169" spans="11:12" x14ac:dyDescent="0.4">
      <c r="K169" s="38">
        <v>167</v>
      </c>
      <c r="L169" s="101">
        <v>68.000000000000014</v>
      </c>
    </row>
    <row r="170" spans="11:12" x14ac:dyDescent="0.4">
      <c r="K170" s="38">
        <v>168</v>
      </c>
      <c r="L170" s="101">
        <v>1.4210854715202004E-14</v>
      </c>
    </row>
    <row r="171" spans="11:12" x14ac:dyDescent="0.4">
      <c r="K171" s="38">
        <v>169</v>
      </c>
      <c r="L171" s="101">
        <v>-1.4999999999999858</v>
      </c>
    </row>
    <row r="172" spans="11:12" x14ac:dyDescent="0.4">
      <c r="K172" s="38">
        <v>170</v>
      </c>
      <c r="L172" s="101">
        <v>-32.599999999999987</v>
      </c>
    </row>
    <row r="173" spans="11:12" x14ac:dyDescent="0.4">
      <c r="K173" s="38">
        <v>171</v>
      </c>
      <c r="L173" s="101">
        <v>1.4210854715202004E-14</v>
      </c>
    </row>
    <row r="174" spans="11:12" x14ac:dyDescent="0.4">
      <c r="K174" s="38">
        <v>172</v>
      </c>
      <c r="L174" s="101">
        <v>47.400000000000013</v>
      </c>
    </row>
    <row r="175" spans="11:12" x14ac:dyDescent="0.4">
      <c r="K175" s="38">
        <v>173</v>
      </c>
      <c r="L175" s="101">
        <v>52.300000000000011</v>
      </c>
    </row>
    <row r="176" spans="11:12" x14ac:dyDescent="0.4">
      <c r="K176" s="38">
        <v>174</v>
      </c>
      <c r="L176" s="101">
        <v>1.4210854715202004E-14</v>
      </c>
    </row>
    <row r="177" spans="11:12" x14ac:dyDescent="0.4">
      <c r="K177" s="38">
        <v>175</v>
      </c>
      <c r="L177" s="101">
        <v>73.600000000000009</v>
      </c>
    </row>
    <row r="178" spans="11:12" x14ac:dyDescent="0.4">
      <c r="K178" s="38">
        <v>176</v>
      </c>
      <c r="L178" s="101">
        <v>7.3000000000000114</v>
      </c>
    </row>
    <row r="179" spans="11:12" x14ac:dyDescent="0.4">
      <c r="K179" s="38">
        <v>177</v>
      </c>
      <c r="L179" s="101">
        <v>1.1546319456101628E-14</v>
      </c>
    </row>
    <row r="180" spans="11:12" x14ac:dyDescent="0.4">
      <c r="K180" s="38">
        <v>178</v>
      </c>
      <c r="L180" s="101">
        <v>-33.599999999999987</v>
      </c>
    </row>
    <row r="181" spans="11:12" x14ac:dyDescent="0.4">
      <c r="K181" s="38">
        <v>179</v>
      </c>
      <c r="L181" s="101">
        <v>-32.499999999999986</v>
      </c>
    </row>
    <row r="182" spans="11:12" x14ac:dyDescent="0.4">
      <c r="K182" s="38">
        <v>180</v>
      </c>
      <c r="L182" s="101">
        <v>1.4210854715202004E-14</v>
      </c>
    </row>
    <row r="183" spans="11:12" x14ac:dyDescent="0.4">
      <c r="K183" s="38">
        <v>181</v>
      </c>
      <c r="L183" s="101">
        <v>5.4000000000000146</v>
      </c>
    </row>
    <row r="184" spans="11:12" x14ac:dyDescent="0.4">
      <c r="K184" s="38">
        <v>182</v>
      </c>
      <c r="L184" s="101">
        <v>-26.899999999999984</v>
      </c>
    </row>
    <row r="185" spans="11:12" x14ac:dyDescent="0.4">
      <c r="K185" s="38">
        <v>183</v>
      </c>
      <c r="L185" s="101">
        <v>1.4210854715202004E-14</v>
      </c>
    </row>
    <row r="186" spans="11:12" x14ac:dyDescent="0.4">
      <c r="K186" s="38">
        <v>184</v>
      </c>
      <c r="L186" s="101">
        <v>15.100000000000014</v>
      </c>
    </row>
    <row r="187" spans="11:12" x14ac:dyDescent="0.4">
      <c r="K187" s="38">
        <v>185</v>
      </c>
      <c r="L187" s="101">
        <v>-35.199999999999982</v>
      </c>
    </row>
    <row r="188" spans="11:12" x14ac:dyDescent="0.4">
      <c r="K188" s="38">
        <v>186</v>
      </c>
      <c r="L188" s="101">
        <v>2.1316282072803006E-14</v>
      </c>
    </row>
    <row r="189" spans="11:12" x14ac:dyDescent="0.4">
      <c r="K189" s="38">
        <v>187</v>
      </c>
      <c r="L189" s="101">
        <v>-28.199999999999978</v>
      </c>
    </row>
    <row r="190" spans="11:12" x14ac:dyDescent="0.4">
      <c r="K190" s="38">
        <v>188</v>
      </c>
      <c r="L190" s="101">
        <v>-33.499999999999979</v>
      </c>
    </row>
    <row r="191" spans="11:12" x14ac:dyDescent="0.4">
      <c r="K191" s="38">
        <v>189</v>
      </c>
      <c r="L191" s="101">
        <v>2.1316282072803006E-14</v>
      </c>
    </row>
    <row r="192" spans="11:12" x14ac:dyDescent="0.4">
      <c r="K192" s="38">
        <v>190</v>
      </c>
      <c r="L192" s="101">
        <v>-60.899999999999977</v>
      </c>
    </row>
    <row r="193" spans="11:12" x14ac:dyDescent="0.4">
      <c r="K193" s="38">
        <v>191</v>
      </c>
      <c r="L193" s="101">
        <v>-57.399999999999977</v>
      </c>
    </row>
    <row r="194" spans="11:12" x14ac:dyDescent="0.4">
      <c r="K194" s="38">
        <v>192</v>
      </c>
      <c r="L194" s="101">
        <v>2.1316282072803006E-14</v>
      </c>
    </row>
    <row r="195" spans="11:12" x14ac:dyDescent="0.4">
      <c r="K195" s="38">
        <v>193</v>
      </c>
      <c r="L195" s="101">
        <v>-57.699999999999982</v>
      </c>
    </row>
    <row r="196" spans="11:12" x14ac:dyDescent="0.4">
      <c r="K196" s="38">
        <v>194</v>
      </c>
      <c r="L196" s="101">
        <v>-13.799999999999983</v>
      </c>
    </row>
    <row r="197" spans="11:12" x14ac:dyDescent="0.4">
      <c r="K197" s="38">
        <v>195</v>
      </c>
      <c r="L197" s="101">
        <v>1.7763568394002505E-14</v>
      </c>
    </row>
    <row r="198" spans="11:12" x14ac:dyDescent="0.4">
      <c r="K198" s="38">
        <v>196</v>
      </c>
      <c r="L198" s="101">
        <v>-55.499999999999986</v>
      </c>
    </row>
    <row r="199" spans="11:12" x14ac:dyDescent="0.4">
      <c r="K199" s="38">
        <v>197</v>
      </c>
      <c r="L199" s="101">
        <v>1.5000000000000142</v>
      </c>
    </row>
    <row r="200" spans="11:12" x14ac:dyDescent="0.4">
      <c r="K200" s="38">
        <v>198</v>
      </c>
      <c r="L200" s="101">
        <v>1.4210854715202004E-14</v>
      </c>
    </row>
    <row r="201" spans="11:12" x14ac:dyDescent="0.4">
      <c r="K201" s="38">
        <v>199</v>
      </c>
      <c r="L201" s="101">
        <v>46.900000000000013</v>
      </c>
    </row>
    <row r="202" spans="11:12" x14ac:dyDescent="0.4">
      <c r="K202" s="38">
        <v>200</v>
      </c>
      <c r="L202" s="101">
        <v>12.500000000000014</v>
      </c>
    </row>
    <row r="203" spans="11:12" x14ac:dyDescent="0.4">
      <c r="K203" s="38">
        <v>201</v>
      </c>
      <c r="L203" s="101">
        <v>1.4210854715202004E-14</v>
      </c>
    </row>
    <row r="204" spans="11:12" x14ac:dyDescent="0.4">
      <c r="K204" s="38">
        <v>202</v>
      </c>
      <c r="L204" s="101">
        <v>-59.899999999999984</v>
      </c>
    </row>
    <row r="205" spans="11:12" x14ac:dyDescent="0.4">
      <c r="K205" s="38">
        <v>203</v>
      </c>
      <c r="L205" s="101">
        <v>4.4000000000000128</v>
      </c>
    </row>
    <row r="206" spans="11:12" x14ac:dyDescent="0.4">
      <c r="K206" s="38">
        <v>204</v>
      </c>
      <c r="L206" s="101">
        <v>1.2434497875801753E-14</v>
      </c>
    </row>
    <row r="207" spans="11:12" x14ac:dyDescent="0.4">
      <c r="K207" s="38">
        <v>205</v>
      </c>
      <c r="L207" s="101">
        <v>54.500000000000014</v>
      </c>
    </row>
    <row r="208" spans="11:12" x14ac:dyDescent="0.4">
      <c r="K208" s="38">
        <v>206</v>
      </c>
      <c r="L208" s="101">
        <v>-8.9999999999999858</v>
      </c>
    </row>
    <row r="209" spans="11:12" x14ac:dyDescent="0.4">
      <c r="K209" s="38">
        <v>207</v>
      </c>
      <c r="L209" s="101">
        <v>1.4210854715202004E-14</v>
      </c>
    </row>
    <row r="210" spans="11:12" x14ac:dyDescent="0.4">
      <c r="K210" s="38">
        <v>208</v>
      </c>
      <c r="L210" s="101">
        <v>-55.399999999999984</v>
      </c>
    </row>
    <row r="211" spans="11:12" x14ac:dyDescent="0.4">
      <c r="K211" s="38">
        <v>209</v>
      </c>
      <c r="L211" s="101">
        <v>-51.899999999999984</v>
      </c>
    </row>
    <row r="212" spans="11:12" x14ac:dyDescent="0.4">
      <c r="K212" s="38">
        <v>210</v>
      </c>
      <c r="L212" s="101">
        <v>1.4210854715202004E-14</v>
      </c>
    </row>
    <row r="213" spans="11:12" x14ac:dyDescent="0.4">
      <c r="K213" s="38">
        <v>211</v>
      </c>
      <c r="L213" s="101">
        <v>4.1000000000000139</v>
      </c>
    </row>
    <row r="214" spans="11:12" x14ac:dyDescent="0.4">
      <c r="K214" s="38">
        <v>212</v>
      </c>
      <c r="L214" s="101">
        <v>35.200000000000017</v>
      </c>
    </row>
    <row r="215" spans="11:12" x14ac:dyDescent="0.4">
      <c r="K215" s="38">
        <v>213</v>
      </c>
      <c r="L215" s="101">
        <v>1.4210854715202004E-14</v>
      </c>
    </row>
    <row r="216" spans="11:12" x14ac:dyDescent="0.4">
      <c r="K216" s="38">
        <v>214</v>
      </c>
      <c r="L216" s="101">
        <v>-5.199999999999986</v>
      </c>
    </row>
    <row r="217" spans="11:12" x14ac:dyDescent="0.4">
      <c r="K217" s="38">
        <v>215</v>
      </c>
      <c r="L217" s="101">
        <v>-32.29999999999999</v>
      </c>
    </row>
    <row r="218" spans="11:12" x14ac:dyDescent="0.4">
      <c r="K218" s="38">
        <v>216</v>
      </c>
      <c r="L218" s="101">
        <v>7.1054273576010019E-15</v>
      </c>
    </row>
    <row r="219" spans="11:12" x14ac:dyDescent="0.4">
      <c r="K219" s="38">
        <v>217</v>
      </c>
      <c r="L219" s="101">
        <v>30.600000000000009</v>
      </c>
    </row>
    <row r="220" spans="11:12" x14ac:dyDescent="0.4">
      <c r="K220" s="38">
        <v>218</v>
      </c>
      <c r="L220" s="101">
        <v>-10.099999999999994</v>
      </c>
    </row>
    <row r="221" spans="11:12" x14ac:dyDescent="0.4">
      <c r="K221" s="38">
        <v>219</v>
      </c>
      <c r="L221" s="101">
        <v>5.3290705182007514E-15</v>
      </c>
    </row>
    <row r="222" spans="11:12" x14ac:dyDescent="0.4">
      <c r="K222" s="38">
        <v>220</v>
      </c>
      <c r="L222" s="101">
        <v>-28.599999999999994</v>
      </c>
    </row>
    <row r="223" spans="11:12" x14ac:dyDescent="0.4">
      <c r="K223" s="38">
        <v>221</v>
      </c>
      <c r="L223" s="101">
        <v>1.3000000000000043</v>
      </c>
    </row>
    <row r="224" spans="11:12" x14ac:dyDescent="0.4">
      <c r="K224" s="38">
        <v>222</v>
      </c>
      <c r="L224" s="101">
        <v>4.2188474935755949E-15</v>
      </c>
    </row>
    <row r="225" spans="11:12" x14ac:dyDescent="0.4">
      <c r="K225" s="38">
        <v>223</v>
      </c>
      <c r="L225" s="101">
        <v>-26.299999999999997</v>
      </c>
    </row>
    <row r="226" spans="11:12" x14ac:dyDescent="0.4">
      <c r="K226" s="38">
        <v>224</v>
      </c>
      <c r="L226" s="101">
        <v>4.1000000000000014</v>
      </c>
    </row>
    <row r="227" spans="11:12" x14ac:dyDescent="0.4">
      <c r="K227" s="38">
        <v>225</v>
      </c>
      <c r="L227" s="101">
        <v>1.7763568394002505E-15</v>
      </c>
    </row>
    <row r="228" spans="11:12" x14ac:dyDescent="0.4">
      <c r="K228" s="38">
        <v>226</v>
      </c>
      <c r="L228" s="101">
        <v>-39.5</v>
      </c>
    </row>
    <row r="229" spans="11:12" x14ac:dyDescent="0.4">
      <c r="K229" s="38">
        <v>227</v>
      </c>
      <c r="L229" s="101">
        <v>-33.700000000000003</v>
      </c>
    </row>
    <row r="230" spans="11:12" x14ac:dyDescent="0.4">
      <c r="K230" s="38">
        <v>228</v>
      </c>
      <c r="L230" s="101">
        <v>0</v>
      </c>
    </row>
    <row r="231" spans="11:12" x14ac:dyDescent="0.4">
      <c r="K231" s="38">
        <v>229</v>
      </c>
      <c r="L231" s="101">
        <v>4.0999999999999996</v>
      </c>
    </row>
    <row r="232" spans="11:12" x14ac:dyDescent="0.4">
      <c r="K232" s="38">
        <v>230</v>
      </c>
      <c r="L232" s="101">
        <v>-56</v>
      </c>
    </row>
    <row r="233" spans="11:12" x14ac:dyDescent="0.4">
      <c r="K233" s="38">
        <v>231</v>
      </c>
      <c r="L233" s="101">
        <v>0</v>
      </c>
    </row>
    <row r="234" spans="11:12" x14ac:dyDescent="0.4">
      <c r="K234" s="38">
        <v>232</v>
      </c>
      <c r="L234" s="101">
        <v>-21</v>
      </c>
    </row>
    <row r="235" spans="11:12" x14ac:dyDescent="0.4">
      <c r="K235" s="38">
        <v>233</v>
      </c>
      <c r="L235" s="101">
        <v>58</v>
      </c>
    </row>
    <row r="236" spans="11:12" x14ac:dyDescent="0.4">
      <c r="K236" s="38">
        <v>234</v>
      </c>
      <c r="L236" s="101">
        <v>0</v>
      </c>
    </row>
    <row r="237" spans="11:12" x14ac:dyDescent="0.4">
      <c r="K237" s="38">
        <v>235</v>
      </c>
      <c r="L237" s="101">
        <v>-34</v>
      </c>
    </row>
    <row r="238" spans="11:12" x14ac:dyDescent="0.4">
      <c r="K238" s="38">
        <v>236</v>
      </c>
      <c r="L238" s="101">
        <v>-101</v>
      </c>
    </row>
    <row r="239" spans="11:12" x14ac:dyDescent="0.4">
      <c r="K239" s="38">
        <v>237</v>
      </c>
      <c r="L239" s="101">
        <v>0</v>
      </c>
    </row>
    <row r="240" spans="11:12" x14ac:dyDescent="0.4">
      <c r="K240" s="38">
        <v>238</v>
      </c>
      <c r="L240" s="101">
        <v>-13</v>
      </c>
    </row>
    <row r="241" spans="11:12" x14ac:dyDescent="0.4">
      <c r="K241" s="38">
        <v>239</v>
      </c>
      <c r="L241" s="101">
        <v>-92.9</v>
      </c>
    </row>
    <row r="242" spans="11:12" x14ac:dyDescent="0.4">
      <c r="K242" s="38">
        <v>240</v>
      </c>
      <c r="L242" s="101">
        <v>0</v>
      </c>
    </row>
    <row r="243" spans="11:12" x14ac:dyDescent="0.4">
      <c r="K243" s="38">
        <v>241</v>
      </c>
      <c r="L243" s="101">
        <v>-3.1</v>
      </c>
    </row>
    <row r="244" spans="11:12" x14ac:dyDescent="0.4">
      <c r="K244" s="38">
        <v>242</v>
      </c>
      <c r="L244" s="101">
        <v>30.299999999999997</v>
      </c>
    </row>
    <row r="245" spans="11:12" x14ac:dyDescent="0.4">
      <c r="K245" s="38">
        <v>243</v>
      </c>
      <c r="L245" s="101">
        <v>-3.5527136788005009E-15</v>
      </c>
    </row>
    <row r="246" spans="11:12" x14ac:dyDescent="0.4">
      <c r="K246" s="38">
        <v>244</v>
      </c>
      <c r="L246" s="101">
        <v>5.3999999999999968</v>
      </c>
    </row>
    <row r="247" spans="11:12" x14ac:dyDescent="0.4">
      <c r="K247" s="38">
        <v>245</v>
      </c>
      <c r="L247" s="101">
        <v>-29.4</v>
      </c>
    </row>
    <row r="248" spans="11:12" x14ac:dyDescent="0.4">
      <c r="K248" s="38">
        <v>246</v>
      </c>
      <c r="L248" s="101">
        <v>0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DA580-208F-45B9-97C4-65E940E2A60C}">
  <sheetPr codeName="Sheet7"/>
  <dimension ref="A1:Q60"/>
  <sheetViews>
    <sheetView showGridLines="0" zoomScaleNormal="100" workbookViewId="0">
      <selection activeCell="B1" sqref="B1:C1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127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58</v>
      </c>
      <c r="C2" s="149"/>
      <c r="E2" s="62" t="s">
        <v>67</v>
      </c>
      <c r="F2" s="59" t="s">
        <v>23</v>
      </c>
      <c r="G2" s="46">
        <v>148</v>
      </c>
      <c r="H2" s="134">
        <f>IF(B$17=0,0,G2/B$17)</f>
        <v>0.78723404255319152</v>
      </c>
      <c r="I2" s="95">
        <v>4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3891.3793103448274</v>
      </c>
      <c r="P2" s="120">
        <v>58</v>
      </c>
      <c r="Q2" s="104">
        <v>225700</v>
      </c>
    </row>
    <row r="3" spans="1:17" x14ac:dyDescent="0.4">
      <c r="A3" s="55" t="s">
        <v>8</v>
      </c>
      <c r="B3" s="150">
        <v>455</v>
      </c>
      <c r="C3" s="151"/>
      <c r="E3" s="63" t="s">
        <v>73</v>
      </c>
      <c r="F3" s="60" t="s">
        <v>28</v>
      </c>
      <c r="G3" s="47">
        <v>104</v>
      </c>
      <c r="H3" s="135">
        <f>IF(B$17=0,0,G3/B$17)</f>
        <v>0.55319148936170215</v>
      </c>
      <c r="I3" s="96">
        <v>4</v>
      </c>
      <c r="K3" s="38">
        <v>1</v>
      </c>
      <c r="L3" s="101">
        <v>-5.0999999999999996</v>
      </c>
      <c r="N3" s="117" t="s">
        <v>133</v>
      </c>
      <c r="O3" s="124">
        <f t="shared" si="0"/>
        <v>3787.719298245614</v>
      </c>
      <c r="P3" s="121">
        <v>57</v>
      </c>
      <c r="Q3" s="105">
        <v>215900</v>
      </c>
    </row>
    <row r="4" spans="1:17" x14ac:dyDescent="0.4">
      <c r="A4" s="55" t="s">
        <v>6</v>
      </c>
      <c r="B4" s="152">
        <v>1509.2000000000003</v>
      </c>
      <c r="C4" s="153"/>
      <c r="E4" s="63" t="s">
        <v>65</v>
      </c>
      <c r="F4" s="60" t="s">
        <v>21</v>
      </c>
      <c r="G4" s="47">
        <v>93</v>
      </c>
      <c r="H4" s="135">
        <f>IF(B$17=0,0,G4/B$17)</f>
        <v>0.49468085106382981</v>
      </c>
      <c r="I4" s="96">
        <v>7</v>
      </c>
      <c r="K4" s="38">
        <v>2</v>
      </c>
      <c r="L4" s="101">
        <v>-2.8999999999999995</v>
      </c>
      <c r="N4" s="117" t="s">
        <v>134</v>
      </c>
      <c r="O4" s="124">
        <f t="shared" si="0"/>
        <v>2915.0943396226417</v>
      </c>
      <c r="P4" s="121">
        <v>53</v>
      </c>
      <c r="Q4" s="105">
        <v>154500</v>
      </c>
    </row>
    <row r="5" spans="1:17" x14ac:dyDescent="0.4">
      <c r="A5" s="55" t="s">
        <v>7</v>
      </c>
      <c r="B5" s="154">
        <f>IF(B$2=0,0,B$4/B$2)</f>
        <v>26.020689655172418</v>
      </c>
      <c r="C5" s="155"/>
      <c r="E5" s="63" t="s">
        <v>182</v>
      </c>
      <c r="F5" s="60" t="s">
        <v>183</v>
      </c>
      <c r="G5" s="47">
        <v>80</v>
      </c>
      <c r="H5" s="135">
        <f>IF(B$17=0,0,G5/B$17)</f>
        <v>0.42553191489361702</v>
      </c>
      <c r="I5" s="96">
        <v>2</v>
      </c>
      <c r="K5" s="38">
        <v>3</v>
      </c>
      <c r="L5" s="101">
        <v>70.399999999999991</v>
      </c>
      <c r="N5" s="117" t="s">
        <v>135</v>
      </c>
      <c r="O5" s="124">
        <f t="shared" si="0"/>
        <v>5838.2978723404258</v>
      </c>
      <c r="P5" s="121">
        <v>47</v>
      </c>
      <c r="Q5" s="105">
        <v>274400</v>
      </c>
    </row>
    <row r="6" spans="1:17" x14ac:dyDescent="0.4">
      <c r="A6" s="55" t="s">
        <v>1</v>
      </c>
      <c r="B6" s="144">
        <f>IF(B$2=0,0,(B$7*1+B$8*2+B$9*3)/B$2)</f>
        <v>1.5172413793103448</v>
      </c>
      <c r="C6" s="145"/>
      <c r="E6" s="63" t="s">
        <v>68</v>
      </c>
      <c r="F6" s="60" t="s">
        <v>24</v>
      </c>
      <c r="G6" s="47">
        <v>60</v>
      </c>
      <c r="H6" s="135">
        <f>IF(B$17=0,0,G6/B$17)</f>
        <v>0.31914893617021278</v>
      </c>
      <c r="I6" s="96">
        <v>5</v>
      </c>
      <c r="K6" s="38">
        <v>4</v>
      </c>
      <c r="L6" s="101">
        <v>110.5</v>
      </c>
      <c r="N6" s="117" t="s">
        <v>136</v>
      </c>
      <c r="O6" s="124">
        <f t="shared" si="0"/>
        <v>1483.3333333333333</v>
      </c>
      <c r="P6" s="121">
        <v>42</v>
      </c>
      <c r="Q6" s="105">
        <v>62300</v>
      </c>
    </row>
    <row r="7" spans="1:17" x14ac:dyDescent="0.4">
      <c r="A7" s="55" t="s">
        <v>2</v>
      </c>
      <c r="B7" s="47">
        <v>36</v>
      </c>
      <c r="C7" s="39">
        <f>IF(B$2=0,0,B7/B$2)</f>
        <v>0.62068965517241381</v>
      </c>
      <c r="E7" s="63" t="s">
        <v>69</v>
      </c>
      <c r="F7" s="60" t="s">
        <v>12</v>
      </c>
      <c r="G7" s="47">
        <v>43</v>
      </c>
      <c r="H7" s="135">
        <f>IF(B$17=0,0,G7/B$17)</f>
        <v>0.22872340425531915</v>
      </c>
      <c r="I7" s="96">
        <v>8</v>
      </c>
      <c r="K7" s="38">
        <v>5</v>
      </c>
      <c r="L7" s="101">
        <v>201.4</v>
      </c>
      <c r="N7" s="118" t="s">
        <v>137</v>
      </c>
      <c r="O7" s="125">
        <f t="shared" si="0"/>
        <v>292.30769230769232</v>
      </c>
      <c r="P7" s="122">
        <v>39</v>
      </c>
      <c r="Q7" s="106">
        <v>11400</v>
      </c>
    </row>
    <row r="8" spans="1:17" x14ac:dyDescent="0.4">
      <c r="A8" s="55" t="s">
        <v>3</v>
      </c>
      <c r="B8" s="47">
        <v>14</v>
      </c>
      <c r="C8" s="39">
        <f>IF(B$2=0,0,B8/B$2)</f>
        <v>0.2413793103448276</v>
      </c>
      <c r="E8" s="63" t="s">
        <v>90</v>
      </c>
      <c r="F8" s="60" t="s">
        <v>45</v>
      </c>
      <c r="G8" s="47">
        <v>34</v>
      </c>
      <c r="H8" s="135">
        <f>IF(B$17=0,0,G8/B$17)</f>
        <v>0.18085106382978725</v>
      </c>
      <c r="I8" s="96">
        <v>3</v>
      </c>
      <c r="K8" s="38">
        <v>6</v>
      </c>
      <c r="L8" s="101">
        <v>232.4</v>
      </c>
      <c r="N8" s="43"/>
      <c r="O8" s="129"/>
      <c r="P8" s="113"/>
      <c r="Q8" s="111"/>
    </row>
    <row r="9" spans="1:17" x14ac:dyDescent="0.4">
      <c r="A9" s="56" t="s">
        <v>4</v>
      </c>
      <c r="B9" s="48">
        <v>8</v>
      </c>
      <c r="C9" s="40">
        <f t="shared" ref="C9" si="1">IF(B$2=0,0,B9/B$2)</f>
        <v>0.13793103448275862</v>
      </c>
      <c r="E9" s="63" t="s">
        <v>70</v>
      </c>
      <c r="F9" s="60" t="s">
        <v>25</v>
      </c>
      <c r="G9" s="47">
        <v>32</v>
      </c>
      <c r="H9" s="135">
        <f>IF(B$17=0,0,G9/B$17)</f>
        <v>0.1702127659574468</v>
      </c>
      <c r="I9" s="96">
        <v>8</v>
      </c>
      <c r="K9" s="38">
        <v>7</v>
      </c>
      <c r="L9" s="101">
        <v>256.10000000000002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3.4482758620689655E-2</v>
      </c>
      <c r="E10" s="63" t="s">
        <v>66</v>
      </c>
      <c r="F10" s="60" t="s">
        <v>22</v>
      </c>
      <c r="G10" s="47">
        <v>27</v>
      </c>
      <c r="H10" s="135">
        <f>IF(B$17=0,0,G10/B$17)</f>
        <v>0.14361702127659576</v>
      </c>
      <c r="I10" s="96">
        <v>4</v>
      </c>
      <c r="K10" s="38">
        <v>8</v>
      </c>
      <c r="L10" s="101">
        <v>285.20000000000005</v>
      </c>
      <c r="N10" s="116" t="s">
        <v>165</v>
      </c>
      <c r="O10" s="126">
        <f>IF(P10=0,0,Q10/P10)</f>
        <v>22.222222222222221</v>
      </c>
      <c r="P10" s="120">
        <v>18</v>
      </c>
      <c r="Q10" s="108">
        <v>400</v>
      </c>
    </row>
    <row r="11" spans="1:17" x14ac:dyDescent="0.4">
      <c r="A11" s="56" t="s">
        <v>140</v>
      </c>
      <c r="B11" s="48">
        <v>14</v>
      </c>
      <c r="C11" s="40">
        <f>IF(B$2=0,0,B11/B$2)</f>
        <v>0.2413793103448276</v>
      </c>
      <c r="E11" s="63" t="s">
        <v>87</v>
      </c>
      <c r="F11" s="60" t="s">
        <v>42</v>
      </c>
      <c r="G11" s="47">
        <v>17</v>
      </c>
      <c r="H11" s="135">
        <f>IF(B$17=0,0,G11/B$17)</f>
        <v>9.0425531914893623E-2</v>
      </c>
      <c r="I11" s="96">
        <v>2</v>
      </c>
      <c r="K11" s="38">
        <v>9</v>
      </c>
      <c r="L11" s="101">
        <v>277.90000000000003</v>
      </c>
      <c r="N11" s="117" t="s">
        <v>166</v>
      </c>
      <c r="O11" s="127">
        <f>IF(P11=0,0,Q11/P11)</f>
        <v>19.033333333333331</v>
      </c>
      <c r="P11" s="121">
        <v>18</v>
      </c>
      <c r="Q11" s="109">
        <v>342.59999999999997</v>
      </c>
    </row>
    <row r="12" spans="1:17" x14ac:dyDescent="0.4">
      <c r="A12" s="57" t="s">
        <v>160</v>
      </c>
      <c r="B12" s="49">
        <v>12</v>
      </c>
      <c r="C12" s="42">
        <f>IF(B$2=0,0,B12/B$2)</f>
        <v>0.20689655172413793</v>
      </c>
      <c r="E12" s="63" t="s">
        <v>71</v>
      </c>
      <c r="F12" s="60" t="s">
        <v>26</v>
      </c>
      <c r="G12" s="47">
        <v>16</v>
      </c>
      <c r="H12" s="135">
        <f>IF(B$17=0,0,G12/B$17)</f>
        <v>8.5106382978723402E-2</v>
      </c>
      <c r="I12" s="96">
        <v>6</v>
      </c>
      <c r="K12" s="38">
        <v>10</v>
      </c>
      <c r="L12" s="101">
        <v>246.20000000000005</v>
      </c>
      <c r="N12" s="118" t="s">
        <v>167</v>
      </c>
      <c r="O12" s="128">
        <f>IF(P12=0,0,Q12/P12)</f>
        <v>34.845454545454551</v>
      </c>
      <c r="P12" s="122">
        <v>22</v>
      </c>
      <c r="Q12" s="110">
        <v>766.60000000000014</v>
      </c>
    </row>
    <row r="13" spans="1:17" x14ac:dyDescent="0.4">
      <c r="A13" s="58" t="s">
        <v>122</v>
      </c>
      <c r="B13" s="50">
        <v>151</v>
      </c>
      <c r="C13" s="44">
        <f>IF(B$3=0,0,B13/B$3)</f>
        <v>0.33186813186813185</v>
      </c>
      <c r="E13" s="63" t="s">
        <v>72</v>
      </c>
      <c r="F13" s="60" t="s">
        <v>27</v>
      </c>
      <c r="G13" s="47">
        <v>10</v>
      </c>
      <c r="H13" s="135">
        <f>IF(B$17=0,0,G13/B$17)</f>
        <v>5.3191489361702128E-2</v>
      </c>
      <c r="I13" s="96">
        <v>6</v>
      </c>
      <c r="K13" s="38">
        <v>11</v>
      </c>
      <c r="L13" s="101">
        <v>333.30000000000007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109</v>
      </c>
      <c r="C14" s="39">
        <f>IF(B$3=0,0,B14/B$3)</f>
        <v>0.23956043956043957</v>
      </c>
      <c r="E14" s="63" t="s">
        <v>84</v>
      </c>
      <c r="F14" s="60" t="s">
        <v>39</v>
      </c>
      <c r="G14" s="47">
        <v>10</v>
      </c>
      <c r="H14" s="135">
        <f>IF(B$17=0,0,G14/B$17)</f>
        <v>5.3191489361702128E-2</v>
      </c>
      <c r="I14" s="96">
        <v>2</v>
      </c>
      <c r="K14" s="38">
        <v>12</v>
      </c>
      <c r="L14" s="101">
        <v>371.70000000000005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97</v>
      </c>
      <c r="C15" s="37">
        <f>IF(B$13=0,0,B15/B$13)</f>
        <v>0.64238410596026485</v>
      </c>
      <c r="E15" s="63" t="s">
        <v>82</v>
      </c>
      <c r="F15" s="60" t="s">
        <v>37</v>
      </c>
      <c r="G15" s="47">
        <v>5</v>
      </c>
      <c r="H15" s="135">
        <f>IF(B$17=0,0,G15/B$17)</f>
        <v>2.6595744680851064E-2</v>
      </c>
      <c r="I15" s="96">
        <v>3</v>
      </c>
      <c r="K15" s="38">
        <v>13</v>
      </c>
      <c r="L15" s="101">
        <v>418.90000000000003</v>
      </c>
      <c r="N15" s="116" t="s">
        <v>186</v>
      </c>
      <c r="O15" s="126">
        <f>IF(P15=0,0,Q15/P15)</f>
        <v>69.2</v>
      </c>
      <c r="P15" s="120">
        <v>1</v>
      </c>
      <c r="Q15" s="108">
        <v>69.2</v>
      </c>
    </row>
    <row r="16" spans="1:17" x14ac:dyDescent="0.4">
      <c r="A16" s="54" t="s">
        <v>125</v>
      </c>
      <c r="B16" s="46">
        <v>61</v>
      </c>
      <c r="C16" s="37">
        <f>IF(B$14=0,0,B16/B$14)</f>
        <v>0.55963302752293576</v>
      </c>
      <c r="E16" s="63" t="s">
        <v>79</v>
      </c>
      <c r="F16" s="60" t="s">
        <v>34</v>
      </c>
      <c r="G16" s="47">
        <v>3</v>
      </c>
      <c r="H16" s="135">
        <f>IF(B$17=0,0,G16/B$17)</f>
        <v>1.5957446808510637E-2</v>
      </c>
      <c r="I16" s="96">
        <v>5</v>
      </c>
      <c r="K16" s="38">
        <v>14</v>
      </c>
      <c r="L16" s="101">
        <v>473.50000000000006</v>
      </c>
      <c r="N16" s="117" t="s">
        <v>129</v>
      </c>
      <c r="O16" s="127">
        <f>IF(P16=0,0,Q16/P16)</f>
        <v>62.058823529411768</v>
      </c>
      <c r="P16" s="121">
        <v>17</v>
      </c>
      <c r="Q16" s="109">
        <v>1055</v>
      </c>
    </row>
    <row r="17" spans="1:17" x14ac:dyDescent="0.4">
      <c r="A17" s="54" t="s">
        <v>10</v>
      </c>
      <c r="B17" s="46">
        <f>B19+B18</f>
        <v>188</v>
      </c>
      <c r="C17" s="37">
        <f>IF(B$3=0,0,B17/B$3)</f>
        <v>0.41318681318681316</v>
      </c>
      <c r="E17" s="63" t="s">
        <v>92</v>
      </c>
      <c r="F17" s="60" t="s">
        <v>47</v>
      </c>
      <c r="G17" s="47">
        <v>3</v>
      </c>
      <c r="H17" s="135">
        <f>IF(B$17=0,0,G17/B$17)</f>
        <v>1.5957446808510637E-2</v>
      </c>
      <c r="I17" s="96">
        <v>5</v>
      </c>
      <c r="K17" s="38">
        <v>15</v>
      </c>
      <c r="L17" s="101">
        <v>481.50000000000006</v>
      </c>
      <c r="N17" s="117" t="s">
        <v>187</v>
      </c>
      <c r="O17" s="127">
        <f>IF(P17=0,0,Q17/P17)</f>
        <v>56.8</v>
      </c>
      <c r="P17" s="121">
        <v>4</v>
      </c>
      <c r="Q17" s="109">
        <v>227.2</v>
      </c>
    </row>
    <row r="18" spans="1:17" x14ac:dyDescent="0.4">
      <c r="A18" s="55" t="s">
        <v>12</v>
      </c>
      <c r="B18" s="47">
        <v>76</v>
      </c>
      <c r="C18" s="39">
        <f>IF(B$17=0,0,B18/B$17)</f>
        <v>0.40425531914893614</v>
      </c>
      <c r="E18" s="63" t="s">
        <v>74</v>
      </c>
      <c r="F18" s="60" t="s">
        <v>29</v>
      </c>
      <c r="G18" s="47">
        <v>2</v>
      </c>
      <c r="H18" s="135">
        <f>IF(B$17=0,0,G18/B$17)</f>
        <v>1.0638297872340425E-2</v>
      </c>
      <c r="I18" s="96">
        <v>2</v>
      </c>
      <c r="K18" s="38">
        <v>16</v>
      </c>
      <c r="L18" s="101">
        <v>425.50000000000006</v>
      </c>
      <c r="N18" s="117" t="s">
        <v>178</v>
      </c>
      <c r="O18" s="127">
        <f>IF(P18=0,0,Q18/P18)</f>
        <v>48.9375</v>
      </c>
      <c r="P18" s="121">
        <v>8</v>
      </c>
      <c r="Q18" s="109">
        <v>391.5</v>
      </c>
    </row>
    <row r="19" spans="1:17" x14ac:dyDescent="0.4">
      <c r="A19" s="55" t="s">
        <v>11</v>
      </c>
      <c r="B19" s="47">
        <v>112</v>
      </c>
      <c r="C19" s="39">
        <f>IF(B$17=0,0,B19/B$17)</f>
        <v>0.5957446808510638</v>
      </c>
      <c r="E19" s="63" t="s">
        <v>181</v>
      </c>
      <c r="F19" s="60" t="s">
        <v>184</v>
      </c>
      <c r="G19" s="47">
        <v>2</v>
      </c>
      <c r="H19" s="135">
        <f>IF(B$17=0,0,G19/B$17)</f>
        <v>1.0638297872340425E-2</v>
      </c>
      <c r="I19" s="96">
        <v>4</v>
      </c>
      <c r="K19" s="38">
        <v>17</v>
      </c>
      <c r="L19" s="101">
        <v>427.40000000000003</v>
      </c>
      <c r="N19" s="117" t="s">
        <v>174</v>
      </c>
      <c r="O19" s="127">
        <f>IF(P19=0,0,Q19/P19)</f>
        <v>47.655555555555551</v>
      </c>
      <c r="P19" s="121">
        <v>9</v>
      </c>
      <c r="Q19" s="109">
        <v>428.9</v>
      </c>
    </row>
    <row r="20" spans="1:17" x14ac:dyDescent="0.4">
      <c r="A20" s="55" t="s">
        <v>13</v>
      </c>
      <c r="B20" s="47">
        <v>64</v>
      </c>
      <c r="C20" s="39">
        <f>IF(B$3=0,0,B20/B$3)</f>
        <v>0.14065934065934066</v>
      </c>
      <c r="E20" s="63" t="s">
        <v>76</v>
      </c>
      <c r="F20" s="60" t="s">
        <v>31</v>
      </c>
      <c r="G20" s="47">
        <v>1</v>
      </c>
      <c r="H20" s="135">
        <f>IF(B$17=0,0,G20/B$17)</f>
        <v>5.3191489361702126E-3</v>
      </c>
      <c r="I20" s="96">
        <v>5</v>
      </c>
      <c r="K20" s="38">
        <v>18</v>
      </c>
      <c r="L20" s="101">
        <v>429.3</v>
      </c>
      <c r="N20" s="117" t="s">
        <v>173</v>
      </c>
      <c r="O20" s="127">
        <f>IF(P20=0,0,Q20/P20)</f>
        <v>46.736363636363642</v>
      </c>
      <c r="P20" s="121">
        <v>11</v>
      </c>
      <c r="Q20" s="109">
        <v>514.1</v>
      </c>
    </row>
    <row r="21" spans="1:17" x14ac:dyDescent="0.4">
      <c r="A21" s="55" t="s">
        <v>194</v>
      </c>
      <c r="B21" s="47">
        <v>7</v>
      </c>
      <c r="C21" s="137">
        <v>1</v>
      </c>
      <c r="E21" s="63" t="s">
        <v>78</v>
      </c>
      <c r="F21" s="60" t="s">
        <v>33</v>
      </c>
      <c r="G21" s="47">
        <v>1</v>
      </c>
      <c r="H21" s="135">
        <f>IF(B$17=0,0,G21/B$17)</f>
        <v>5.3191489361702126E-3</v>
      </c>
      <c r="I21" s="96">
        <v>2</v>
      </c>
      <c r="K21" s="38">
        <v>19</v>
      </c>
      <c r="L21" s="101">
        <v>405.40000000000003</v>
      </c>
      <c r="N21" s="117" t="s">
        <v>172</v>
      </c>
      <c r="O21" s="127">
        <f>IF(P21=0,0,Q21/P21)</f>
        <v>29.414285714285711</v>
      </c>
      <c r="P21" s="121">
        <v>21</v>
      </c>
      <c r="Q21" s="109">
        <v>617.69999999999993</v>
      </c>
    </row>
    <row r="22" spans="1:17" x14ac:dyDescent="0.4">
      <c r="A22" s="55" t="s">
        <v>195</v>
      </c>
      <c r="B22" s="47">
        <v>27</v>
      </c>
      <c r="C22" s="137">
        <v>2</v>
      </c>
      <c r="E22" s="63" t="s">
        <v>80</v>
      </c>
      <c r="F22" s="60" t="s">
        <v>35</v>
      </c>
      <c r="G22" s="47">
        <v>1</v>
      </c>
      <c r="H22" s="135">
        <f>IF(B$17=0,0,G22/B$17)</f>
        <v>5.3191489361702126E-3</v>
      </c>
      <c r="I22" s="96">
        <v>5</v>
      </c>
      <c r="K22" s="38">
        <v>20</v>
      </c>
      <c r="L22" s="101">
        <v>469.6</v>
      </c>
      <c r="N22" s="117" t="s">
        <v>128</v>
      </c>
      <c r="O22" s="127">
        <f>IF(P22=0,0,Q22/P22)</f>
        <v>27.200000000000006</v>
      </c>
      <c r="P22" s="121">
        <v>45</v>
      </c>
      <c r="Q22" s="109">
        <v>1224.0000000000002</v>
      </c>
    </row>
    <row r="23" spans="1:17" x14ac:dyDescent="0.4">
      <c r="A23" s="55" t="s">
        <v>5</v>
      </c>
      <c r="B23" s="51">
        <f>IF(B$17=0,0,C23/B$17)</f>
        <v>9556.9148936170204</v>
      </c>
      <c r="C23" s="41">
        <v>1796700</v>
      </c>
      <c r="E23" s="63" t="s">
        <v>88</v>
      </c>
      <c r="F23" s="60" t="s">
        <v>43</v>
      </c>
      <c r="G23" s="47">
        <v>1</v>
      </c>
      <c r="H23" s="135">
        <f>IF(B$17=0,0,G23/B$17)</f>
        <v>5.3191489361702126E-3</v>
      </c>
      <c r="I23" s="96">
        <v>1</v>
      </c>
      <c r="K23" s="38">
        <v>21</v>
      </c>
      <c r="L23" s="101">
        <v>468.3</v>
      </c>
    </row>
    <row r="24" spans="1:17" x14ac:dyDescent="0.4">
      <c r="A24" s="57" t="s">
        <v>14</v>
      </c>
      <c r="B24" s="52">
        <f>IF(B$20=0,0,C24/B$20)</f>
        <v>-7785.9375</v>
      </c>
      <c r="C24" s="45">
        <v>-498300</v>
      </c>
      <c r="E24" s="63" t="s">
        <v>91</v>
      </c>
      <c r="F24" s="60" t="s">
        <v>46</v>
      </c>
      <c r="G24" s="47">
        <v>1</v>
      </c>
      <c r="H24" s="135">
        <f>IF(B$17=0,0,G24/B$17)</f>
        <v>5.3191489361702126E-3</v>
      </c>
      <c r="I24" s="96">
        <v>1</v>
      </c>
      <c r="K24" s="38">
        <v>22</v>
      </c>
      <c r="L24" s="101">
        <v>519.20000000000005</v>
      </c>
    </row>
    <row r="25" spans="1:17" x14ac:dyDescent="0.4">
      <c r="A25" s="92" t="s">
        <v>142</v>
      </c>
      <c r="B25" s="142">
        <v>7</v>
      </c>
      <c r="C25" s="143"/>
      <c r="E25" s="63" t="s">
        <v>93</v>
      </c>
      <c r="F25" s="60" t="s">
        <v>48</v>
      </c>
      <c r="G25" s="47">
        <v>1</v>
      </c>
      <c r="H25" s="135">
        <f>IF(B$17=0,0,G25/B$17)</f>
        <v>5.3191489361702126E-3</v>
      </c>
      <c r="I25" s="96">
        <v>3</v>
      </c>
      <c r="K25" s="38">
        <v>23</v>
      </c>
      <c r="L25" s="101">
        <v>555.90000000000009</v>
      </c>
    </row>
    <row r="26" spans="1:17" x14ac:dyDescent="0.4">
      <c r="A26" s="58" t="s">
        <v>152</v>
      </c>
      <c r="B26" s="140">
        <v>116000</v>
      </c>
      <c r="C26" s="141"/>
      <c r="E26" s="63" t="s">
        <v>94</v>
      </c>
      <c r="F26" s="60" t="s">
        <v>49</v>
      </c>
      <c r="G26" s="47">
        <v>1</v>
      </c>
      <c r="H26" s="135">
        <f>IF(B$17=0,0,G26/B$17)</f>
        <v>5.3191489361702126E-3</v>
      </c>
      <c r="I26" s="96">
        <v>1</v>
      </c>
      <c r="K26" s="38">
        <v>24</v>
      </c>
      <c r="L26" s="101">
        <v>592.20000000000005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96</v>
      </c>
      <c r="F27" s="60" t="s">
        <v>51</v>
      </c>
      <c r="G27" s="47">
        <v>1</v>
      </c>
      <c r="H27" s="135">
        <f>IF(B$17=0,0,G27/B$17)</f>
        <v>5.3191489361702126E-3</v>
      </c>
      <c r="I27" s="96">
        <v>1</v>
      </c>
      <c r="K27" s="38">
        <v>25</v>
      </c>
      <c r="L27" s="101">
        <v>655.20000000000005</v>
      </c>
    </row>
    <row r="28" spans="1:17" x14ac:dyDescent="0.4">
      <c r="E28" s="63" t="s">
        <v>75</v>
      </c>
      <c r="F28" s="60" t="s">
        <v>30</v>
      </c>
      <c r="G28" s="47">
        <v>0</v>
      </c>
      <c r="H28" s="135">
        <f>IF(B$17=0,0,G28/B$17)</f>
        <v>0</v>
      </c>
      <c r="I28" s="96">
        <v>3</v>
      </c>
      <c r="K28" s="38">
        <v>26</v>
      </c>
      <c r="L28" s="101">
        <v>625.40000000000009</v>
      </c>
    </row>
    <row r="29" spans="1:17" x14ac:dyDescent="0.4">
      <c r="E29" s="63" t="s">
        <v>77</v>
      </c>
      <c r="F29" s="60" t="s">
        <v>32</v>
      </c>
      <c r="G29" s="47">
        <v>0</v>
      </c>
      <c r="H29" s="135">
        <f>IF(B$17=0,0,G29/B$17)</f>
        <v>0</v>
      </c>
      <c r="I29" s="96">
        <v>1</v>
      </c>
      <c r="K29" s="38">
        <v>27</v>
      </c>
      <c r="L29" s="101">
        <v>596.30000000000007</v>
      </c>
    </row>
    <row r="30" spans="1:17" x14ac:dyDescent="0.4">
      <c r="E30" s="63" t="s">
        <v>81</v>
      </c>
      <c r="F30" s="60" t="s">
        <v>36</v>
      </c>
      <c r="G30" s="47">
        <v>0</v>
      </c>
      <c r="H30" s="135">
        <f>IF(B$17=0,0,G30/B$17)</f>
        <v>0</v>
      </c>
      <c r="I30" s="96">
        <v>1</v>
      </c>
      <c r="K30" s="38">
        <v>28</v>
      </c>
      <c r="L30" s="101">
        <v>655.6</v>
      </c>
    </row>
    <row r="31" spans="1:17" x14ac:dyDescent="0.4">
      <c r="E31" s="63" t="s">
        <v>83</v>
      </c>
      <c r="F31" s="60" t="s">
        <v>38</v>
      </c>
      <c r="G31" s="47">
        <v>0</v>
      </c>
      <c r="H31" s="135">
        <f>IF(B$17=0,0,G31/B$17)</f>
        <v>0</v>
      </c>
      <c r="I31" s="96">
        <v>1</v>
      </c>
      <c r="K31" s="38">
        <v>29</v>
      </c>
      <c r="L31" s="101">
        <v>703.1</v>
      </c>
    </row>
    <row r="32" spans="1:17" x14ac:dyDescent="0.4">
      <c r="E32" s="63" t="s">
        <v>85</v>
      </c>
      <c r="F32" s="60" t="s">
        <v>40</v>
      </c>
      <c r="G32" s="47">
        <v>0</v>
      </c>
      <c r="H32" s="135">
        <f>IF(B$17=0,0,G32/B$17)</f>
        <v>0</v>
      </c>
      <c r="I32" s="96">
        <v>3</v>
      </c>
      <c r="K32" s="38">
        <v>30</v>
      </c>
      <c r="L32" s="101">
        <v>733.6</v>
      </c>
    </row>
    <row r="33" spans="5:12" x14ac:dyDescent="0.4">
      <c r="E33" s="63" t="s">
        <v>86</v>
      </c>
      <c r="F33" s="60" t="s">
        <v>41</v>
      </c>
      <c r="G33" s="47">
        <v>0</v>
      </c>
      <c r="H33" s="135">
        <f>IF(B$17=0,0,G33/B$17)</f>
        <v>0</v>
      </c>
      <c r="I33" s="96">
        <v>3</v>
      </c>
      <c r="K33" s="38">
        <v>31</v>
      </c>
      <c r="L33" s="101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5">
        <f>IF(B$17=0,0,G34/B$17)</f>
        <v>0</v>
      </c>
      <c r="I34" s="96">
        <v>4</v>
      </c>
      <c r="K34" s="38">
        <v>32</v>
      </c>
      <c r="L34" s="101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6">
        <f>IF(B$17=0,0,G51/B$17)</f>
        <v>0</v>
      </c>
      <c r="I51" s="97">
        <v>1</v>
      </c>
      <c r="K51" s="38">
        <v>49</v>
      </c>
      <c r="L51" s="101">
        <v>1289.8999999999999</v>
      </c>
    </row>
    <row r="52" spans="5:12" x14ac:dyDescent="0.4">
      <c r="K52" s="38">
        <v>50</v>
      </c>
      <c r="L52" s="101">
        <v>1288.5999999999999</v>
      </c>
    </row>
    <row r="53" spans="5:12" x14ac:dyDescent="0.4">
      <c r="K53" s="38">
        <v>51</v>
      </c>
      <c r="L53" s="101">
        <v>1284.5</v>
      </c>
    </row>
    <row r="54" spans="5:12" x14ac:dyDescent="0.4">
      <c r="K54" s="38">
        <v>52</v>
      </c>
      <c r="L54" s="101">
        <v>1318.2</v>
      </c>
    </row>
    <row r="55" spans="5:12" x14ac:dyDescent="0.4">
      <c r="K55" s="38">
        <v>53</v>
      </c>
      <c r="L55" s="101">
        <v>1374.2</v>
      </c>
    </row>
    <row r="56" spans="5:12" x14ac:dyDescent="0.4">
      <c r="K56" s="38">
        <v>54</v>
      </c>
      <c r="L56" s="101">
        <v>1316.2</v>
      </c>
    </row>
    <row r="57" spans="5:12" x14ac:dyDescent="0.4">
      <c r="K57" s="38">
        <v>55</v>
      </c>
      <c r="L57" s="101">
        <v>1417.2</v>
      </c>
    </row>
    <row r="58" spans="5:12" x14ac:dyDescent="0.4">
      <c r="K58" s="38">
        <v>56</v>
      </c>
      <c r="L58" s="101">
        <v>1510.1000000000001</v>
      </c>
    </row>
    <row r="59" spans="5:12" x14ac:dyDescent="0.4">
      <c r="K59" s="38">
        <v>57</v>
      </c>
      <c r="L59" s="101">
        <v>1479.8000000000002</v>
      </c>
    </row>
    <row r="60" spans="5:12" x14ac:dyDescent="0.4">
      <c r="K60" s="38">
        <v>58</v>
      </c>
      <c r="L60" s="101">
        <v>1509.2000000000003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C2065-984D-4899-B026-26D6C35743E3}">
  <sheetPr codeName="Sheet9"/>
  <dimension ref="A1:Q61"/>
  <sheetViews>
    <sheetView showGridLines="0" zoomScaleNormal="100" workbookViewId="0">
      <selection activeCell="B1" sqref="B1:C1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128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59</v>
      </c>
      <c r="C2" s="149"/>
      <c r="E2" s="62" t="s">
        <v>67</v>
      </c>
      <c r="F2" s="59" t="s">
        <v>23</v>
      </c>
      <c r="G2" s="46">
        <v>90</v>
      </c>
      <c r="H2" s="134">
        <f>IF(B$17=0,0,G2/B$17)</f>
        <v>0.64748201438848918</v>
      </c>
      <c r="I2" s="95">
        <v>7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1181.3559322033898</v>
      </c>
      <c r="P2" s="120">
        <v>59</v>
      </c>
      <c r="Q2" s="104">
        <v>69700</v>
      </c>
    </row>
    <row r="3" spans="1:17" x14ac:dyDescent="0.4">
      <c r="A3" s="55" t="s">
        <v>8</v>
      </c>
      <c r="B3" s="150">
        <v>490</v>
      </c>
      <c r="C3" s="151"/>
      <c r="E3" s="63" t="s">
        <v>65</v>
      </c>
      <c r="F3" s="60" t="s">
        <v>21</v>
      </c>
      <c r="G3" s="47">
        <v>80</v>
      </c>
      <c r="H3" s="135">
        <f>IF(B$17=0,0,G3/B$17)</f>
        <v>0.57553956834532372</v>
      </c>
      <c r="I3" s="96">
        <v>3</v>
      </c>
      <c r="K3" s="38">
        <v>1</v>
      </c>
      <c r="L3" s="101">
        <v>45.5</v>
      </c>
      <c r="N3" s="117" t="s">
        <v>133</v>
      </c>
      <c r="O3" s="124">
        <f t="shared" si="0"/>
        <v>-1472.4137931034484</v>
      </c>
      <c r="P3" s="121">
        <v>58</v>
      </c>
      <c r="Q3" s="105">
        <v>-85400</v>
      </c>
    </row>
    <row r="4" spans="1:17" x14ac:dyDescent="0.4">
      <c r="A4" s="55" t="s">
        <v>6</v>
      </c>
      <c r="B4" s="152">
        <v>-56.700000000000045</v>
      </c>
      <c r="C4" s="153"/>
      <c r="E4" s="63" t="s">
        <v>73</v>
      </c>
      <c r="F4" s="60" t="s">
        <v>28</v>
      </c>
      <c r="G4" s="47">
        <v>63</v>
      </c>
      <c r="H4" s="135">
        <f>IF(B$17=0,0,G4/B$17)</f>
        <v>0.45323741007194246</v>
      </c>
      <c r="I4" s="96">
        <v>9</v>
      </c>
      <c r="K4" s="38">
        <v>2</v>
      </c>
      <c r="L4" s="101">
        <v>6.2999999999999972</v>
      </c>
      <c r="N4" s="117" t="s">
        <v>134</v>
      </c>
      <c r="O4" s="124">
        <f t="shared" si="0"/>
        <v>-1558.9285714285713</v>
      </c>
      <c r="P4" s="121">
        <v>56</v>
      </c>
      <c r="Q4" s="105">
        <v>-87300</v>
      </c>
    </row>
    <row r="5" spans="1:17" x14ac:dyDescent="0.4">
      <c r="A5" s="55" t="s">
        <v>7</v>
      </c>
      <c r="B5" s="154">
        <f>IF(B$2=0,0,B$4/B$2)</f>
        <v>-0.9610169491525431</v>
      </c>
      <c r="C5" s="155"/>
      <c r="E5" s="63" t="s">
        <v>182</v>
      </c>
      <c r="F5" s="60" t="s">
        <v>183</v>
      </c>
      <c r="G5" s="47">
        <v>57</v>
      </c>
      <c r="H5" s="135">
        <f>IF(B$17=0,0,G5/B$17)</f>
        <v>0.41007194244604317</v>
      </c>
      <c r="I5" s="96">
        <v>3</v>
      </c>
      <c r="K5" s="38">
        <v>3</v>
      </c>
      <c r="L5" s="101">
        <v>-47.300000000000004</v>
      </c>
      <c r="N5" s="117" t="s">
        <v>135</v>
      </c>
      <c r="O5" s="124">
        <f t="shared" si="0"/>
        <v>-108</v>
      </c>
      <c r="P5" s="121">
        <v>50</v>
      </c>
      <c r="Q5" s="105">
        <v>-5400</v>
      </c>
    </row>
    <row r="6" spans="1:17" x14ac:dyDescent="0.4">
      <c r="A6" s="55" t="s">
        <v>1</v>
      </c>
      <c r="B6" s="144">
        <f>IF(B$2=0,0,(B$7*1+B$8*2+B$9*3)/B$2)</f>
        <v>2.0508474576271185</v>
      </c>
      <c r="C6" s="145"/>
      <c r="E6" s="63" t="s">
        <v>68</v>
      </c>
      <c r="F6" s="60" t="s">
        <v>24</v>
      </c>
      <c r="G6" s="47">
        <v>50</v>
      </c>
      <c r="H6" s="135">
        <f>IF(B$17=0,0,G6/B$17)</f>
        <v>0.35971223021582732</v>
      </c>
      <c r="I6" s="96">
        <v>4</v>
      </c>
      <c r="K6" s="38">
        <v>4</v>
      </c>
      <c r="L6" s="101">
        <v>13.599999999999994</v>
      </c>
      <c r="N6" s="117" t="s">
        <v>136</v>
      </c>
      <c r="O6" s="124">
        <f t="shared" si="0"/>
        <v>1415.2173913043478</v>
      </c>
      <c r="P6" s="121">
        <v>46</v>
      </c>
      <c r="Q6" s="105">
        <v>65100</v>
      </c>
    </row>
    <row r="7" spans="1:17" x14ac:dyDescent="0.4">
      <c r="A7" s="55" t="s">
        <v>2</v>
      </c>
      <c r="B7" s="47">
        <v>15</v>
      </c>
      <c r="C7" s="39">
        <f>IF(B$2=0,0,B7/B$2)</f>
        <v>0.25423728813559321</v>
      </c>
      <c r="E7" s="63" t="s">
        <v>69</v>
      </c>
      <c r="F7" s="60" t="s">
        <v>12</v>
      </c>
      <c r="G7" s="47">
        <v>48</v>
      </c>
      <c r="H7" s="135">
        <f>IF(B$17=0,0,G7/B$17)</f>
        <v>0.34532374100719426</v>
      </c>
      <c r="I7" s="96">
        <v>4</v>
      </c>
      <c r="K7" s="38">
        <v>5</v>
      </c>
      <c r="L7" s="101">
        <v>-16.600000000000005</v>
      </c>
      <c r="N7" s="118" t="s">
        <v>137</v>
      </c>
      <c r="O7" s="125">
        <f t="shared" si="0"/>
        <v>1083.7209302325582</v>
      </c>
      <c r="P7" s="122">
        <v>43</v>
      </c>
      <c r="Q7" s="106">
        <v>46600</v>
      </c>
    </row>
    <row r="8" spans="1:17" x14ac:dyDescent="0.4">
      <c r="A8" s="55" t="s">
        <v>3</v>
      </c>
      <c r="B8" s="47">
        <v>26</v>
      </c>
      <c r="C8" s="39">
        <f>IF(B$2=0,0,B8/B$2)</f>
        <v>0.44067796610169491</v>
      </c>
      <c r="E8" s="63" t="s">
        <v>70</v>
      </c>
      <c r="F8" s="60" t="s">
        <v>25</v>
      </c>
      <c r="G8" s="47">
        <v>31</v>
      </c>
      <c r="H8" s="135">
        <f>IF(B$17=0,0,G8/B$17)</f>
        <v>0.22302158273381295</v>
      </c>
      <c r="I8" s="96">
        <v>3</v>
      </c>
      <c r="K8" s="38">
        <v>6</v>
      </c>
      <c r="L8" s="101">
        <v>-14.000000000000005</v>
      </c>
      <c r="N8" s="43"/>
      <c r="O8" s="129"/>
      <c r="P8" s="113"/>
      <c r="Q8" s="111"/>
    </row>
    <row r="9" spans="1:17" x14ac:dyDescent="0.4">
      <c r="A9" s="56" t="s">
        <v>4</v>
      </c>
      <c r="B9" s="48">
        <v>18</v>
      </c>
      <c r="C9" s="40">
        <f t="shared" ref="C9" si="1">IF(B$2=0,0,B9/B$2)</f>
        <v>0.30508474576271188</v>
      </c>
      <c r="E9" s="63" t="s">
        <v>66</v>
      </c>
      <c r="F9" s="60" t="s">
        <v>22</v>
      </c>
      <c r="G9" s="47">
        <v>20</v>
      </c>
      <c r="H9" s="135">
        <f>IF(B$17=0,0,G9/B$17)</f>
        <v>0.14388489208633093</v>
      </c>
      <c r="I9" s="96">
        <v>3</v>
      </c>
      <c r="K9" s="38">
        <v>7</v>
      </c>
      <c r="L9" s="101">
        <v>-45.300000000000004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0.11864406779661017</v>
      </c>
      <c r="E10" s="63" t="s">
        <v>71</v>
      </c>
      <c r="F10" s="60" t="s">
        <v>26</v>
      </c>
      <c r="G10" s="47">
        <v>20</v>
      </c>
      <c r="H10" s="135">
        <f>IF(B$17=0,0,G10/B$17)</f>
        <v>0.14388489208633093</v>
      </c>
      <c r="I10" s="96">
        <v>2</v>
      </c>
      <c r="K10" s="38">
        <v>8</v>
      </c>
      <c r="L10" s="101">
        <v>-49.6</v>
      </c>
      <c r="N10" s="116" t="s">
        <v>165</v>
      </c>
      <c r="O10" s="126">
        <f>IF(P10=0,0,Q10/P10)</f>
        <v>-2.6275862068965532</v>
      </c>
      <c r="P10" s="120">
        <v>29</v>
      </c>
      <c r="Q10" s="108">
        <v>-76.200000000000045</v>
      </c>
    </row>
    <row r="11" spans="1:17" x14ac:dyDescent="0.4">
      <c r="A11" s="56" t="s">
        <v>140</v>
      </c>
      <c r="B11" s="48">
        <v>5</v>
      </c>
      <c r="C11" s="40">
        <f>IF(B$2=0,0,B11/B$2)</f>
        <v>8.4745762711864403E-2</v>
      </c>
      <c r="E11" s="63" t="s">
        <v>90</v>
      </c>
      <c r="F11" s="60" t="s">
        <v>45</v>
      </c>
      <c r="G11" s="47">
        <v>15</v>
      </c>
      <c r="H11" s="135">
        <f>IF(B$17=0,0,G11/B$17)</f>
        <v>0.1079136690647482</v>
      </c>
      <c r="I11" s="96">
        <v>8</v>
      </c>
      <c r="K11" s="38">
        <v>9</v>
      </c>
      <c r="L11" s="101">
        <v>-79.5</v>
      </c>
      <c r="N11" s="117" t="s">
        <v>166</v>
      </c>
      <c r="O11" s="127">
        <f>IF(P11=0,0,Q11/P11)</f>
        <v>-9.170588235294117</v>
      </c>
      <c r="P11" s="121">
        <v>17</v>
      </c>
      <c r="Q11" s="109">
        <v>-155.89999999999998</v>
      </c>
    </row>
    <row r="12" spans="1:17" x14ac:dyDescent="0.4">
      <c r="A12" s="57" t="s">
        <v>160</v>
      </c>
      <c r="B12" s="49">
        <v>4</v>
      </c>
      <c r="C12" s="42">
        <f>IF(B$2=0,0,B12/B$2)</f>
        <v>6.7796610169491525E-2</v>
      </c>
      <c r="E12" s="63" t="s">
        <v>87</v>
      </c>
      <c r="F12" s="60" t="s">
        <v>42</v>
      </c>
      <c r="G12" s="47">
        <v>9</v>
      </c>
      <c r="H12" s="135">
        <f>IF(B$17=0,0,G12/B$17)</f>
        <v>6.4748201438848921E-2</v>
      </c>
      <c r="I12" s="96">
        <v>4</v>
      </c>
      <c r="K12" s="38">
        <v>10</v>
      </c>
      <c r="L12" s="101">
        <v>-80.900000000000006</v>
      </c>
      <c r="N12" s="118" t="s">
        <v>167</v>
      </c>
      <c r="O12" s="128">
        <f>IF(P12=0,0,Q12/P12)</f>
        <v>13.492307692307692</v>
      </c>
      <c r="P12" s="122">
        <v>13</v>
      </c>
      <c r="Q12" s="110">
        <v>175.4</v>
      </c>
    </row>
    <row r="13" spans="1:17" x14ac:dyDescent="0.4">
      <c r="A13" s="58" t="s">
        <v>122</v>
      </c>
      <c r="B13" s="50">
        <v>135</v>
      </c>
      <c r="C13" s="44">
        <f>IF(B$3=0,0,B13/B$3)</f>
        <v>0.27551020408163263</v>
      </c>
      <c r="E13" s="63" t="s">
        <v>82</v>
      </c>
      <c r="F13" s="60" t="s">
        <v>37</v>
      </c>
      <c r="G13" s="47">
        <v>6</v>
      </c>
      <c r="H13" s="135">
        <f>IF(B$17=0,0,G13/B$17)</f>
        <v>4.3165467625899283E-2</v>
      </c>
      <c r="I13" s="96">
        <v>2</v>
      </c>
      <c r="K13" s="38">
        <v>11</v>
      </c>
      <c r="L13" s="101">
        <v>-53.100000000000009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88</v>
      </c>
      <c r="C14" s="39">
        <f>IF(B$3=0,0,B14/B$3)</f>
        <v>0.17959183673469387</v>
      </c>
      <c r="E14" s="63" t="s">
        <v>72</v>
      </c>
      <c r="F14" s="60" t="s">
        <v>27</v>
      </c>
      <c r="G14" s="47">
        <v>5</v>
      </c>
      <c r="H14" s="135">
        <f>IF(B$17=0,0,G14/B$17)</f>
        <v>3.5971223021582732E-2</v>
      </c>
      <c r="I14" s="96">
        <v>7</v>
      </c>
      <c r="K14" s="38">
        <v>12</v>
      </c>
      <c r="L14" s="101">
        <v>-56.500000000000007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85</v>
      </c>
      <c r="C15" s="37">
        <f>IF(B$13=0,0,B15/B$13)</f>
        <v>0.62962962962962965</v>
      </c>
      <c r="E15" s="63" t="s">
        <v>92</v>
      </c>
      <c r="F15" s="60" t="s">
        <v>47</v>
      </c>
      <c r="G15" s="47">
        <v>5</v>
      </c>
      <c r="H15" s="135">
        <f>IF(B$17=0,0,G15/B$17)</f>
        <v>3.5971223021582732E-2</v>
      </c>
      <c r="I15" s="96">
        <v>2</v>
      </c>
      <c r="K15" s="38">
        <v>13</v>
      </c>
      <c r="L15" s="101">
        <v>-81.900000000000006</v>
      </c>
      <c r="N15" s="116" t="s">
        <v>187</v>
      </c>
      <c r="O15" s="126">
        <f>IF(P15=0,0,Q15/P15)</f>
        <v>64.425000000000011</v>
      </c>
      <c r="P15" s="120">
        <v>4</v>
      </c>
      <c r="Q15" s="108">
        <v>257.70000000000005</v>
      </c>
    </row>
    <row r="16" spans="1:17" x14ac:dyDescent="0.4">
      <c r="A16" s="54" t="s">
        <v>125</v>
      </c>
      <c r="B16" s="46">
        <v>24</v>
      </c>
      <c r="C16" s="37">
        <f>IF(B$14=0,0,B16/B$14)</f>
        <v>0.27272727272727271</v>
      </c>
      <c r="E16" s="63" t="s">
        <v>84</v>
      </c>
      <c r="F16" s="60" t="s">
        <v>39</v>
      </c>
      <c r="G16" s="47">
        <v>4</v>
      </c>
      <c r="H16" s="135">
        <f>IF(B$17=0,0,G16/B$17)</f>
        <v>2.8776978417266189E-2</v>
      </c>
      <c r="I16" s="96">
        <v>7</v>
      </c>
      <c r="K16" s="38">
        <v>14</v>
      </c>
      <c r="L16" s="101">
        <v>-25.600000000000009</v>
      </c>
      <c r="N16" s="117" t="s">
        <v>129</v>
      </c>
      <c r="O16" s="127">
        <f>IF(P16=0,0,Q16/P16)</f>
        <v>23.638888888888886</v>
      </c>
      <c r="P16" s="121">
        <v>18</v>
      </c>
      <c r="Q16" s="109">
        <v>425.49999999999994</v>
      </c>
    </row>
    <row r="17" spans="1:17" x14ac:dyDescent="0.4">
      <c r="A17" s="54" t="s">
        <v>10</v>
      </c>
      <c r="B17" s="46">
        <f>B19+B18</f>
        <v>139</v>
      </c>
      <c r="C17" s="37">
        <f>IF(B$3=0,0,B17/B$3)</f>
        <v>0.28367346938775512</v>
      </c>
      <c r="E17" s="63" t="s">
        <v>181</v>
      </c>
      <c r="F17" s="60" t="s">
        <v>184</v>
      </c>
      <c r="G17" s="47">
        <v>3</v>
      </c>
      <c r="H17" s="135">
        <f>IF(B$17=0,0,G17/B$17)</f>
        <v>2.1582733812949641E-2</v>
      </c>
      <c r="I17" s="96">
        <v>2</v>
      </c>
      <c r="K17" s="38">
        <v>15</v>
      </c>
      <c r="L17" s="101">
        <v>47.999999999999986</v>
      </c>
      <c r="N17" s="117" t="s">
        <v>172</v>
      </c>
      <c r="O17" s="127">
        <f>IF(P17=0,0,Q17/P17)</f>
        <v>21.681250000000009</v>
      </c>
      <c r="P17" s="121">
        <v>16</v>
      </c>
      <c r="Q17" s="109">
        <v>346.90000000000015</v>
      </c>
    </row>
    <row r="18" spans="1:17" x14ac:dyDescent="0.4">
      <c r="A18" s="55" t="s">
        <v>12</v>
      </c>
      <c r="B18" s="47">
        <v>56</v>
      </c>
      <c r="C18" s="39">
        <f>IF(B$17=0,0,B18/B$17)</f>
        <v>0.40287769784172661</v>
      </c>
      <c r="E18" s="63" t="s">
        <v>75</v>
      </c>
      <c r="F18" s="60" t="s">
        <v>30</v>
      </c>
      <c r="G18" s="47">
        <v>2</v>
      </c>
      <c r="H18" s="135">
        <f>IF(B$17=0,0,G18/B$17)</f>
        <v>1.4388489208633094E-2</v>
      </c>
      <c r="I18" s="96">
        <v>1</v>
      </c>
      <c r="K18" s="38">
        <v>16</v>
      </c>
      <c r="L18" s="101">
        <v>41.699999999999989</v>
      </c>
      <c r="N18" s="117" t="s">
        <v>174</v>
      </c>
      <c r="O18" s="127">
        <f>IF(P18=0,0,Q18/P18)</f>
        <v>1.9333333333333325</v>
      </c>
      <c r="P18" s="121">
        <v>12</v>
      </c>
      <c r="Q18" s="109">
        <v>23.199999999999989</v>
      </c>
    </row>
    <row r="19" spans="1:17" x14ac:dyDescent="0.4">
      <c r="A19" s="55" t="s">
        <v>11</v>
      </c>
      <c r="B19" s="47">
        <v>83</v>
      </c>
      <c r="C19" s="39">
        <f>IF(B$17=0,0,B19/B$17)</f>
        <v>0.59712230215827333</v>
      </c>
      <c r="E19" s="63" t="s">
        <v>76</v>
      </c>
      <c r="F19" s="60" t="s">
        <v>31</v>
      </c>
      <c r="G19" s="47">
        <v>2</v>
      </c>
      <c r="H19" s="135">
        <f>IF(B$17=0,0,G19/B$17)</f>
        <v>1.4388489208633094E-2</v>
      </c>
      <c r="I19" s="96">
        <v>3</v>
      </c>
      <c r="K19" s="38">
        <v>17</v>
      </c>
      <c r="L19" s="101">
        <v>94.6</v>
      </c>
      <c r="N19" s="117" t="s">
        <v>173</v>
      </c>
      <c r="O19" s="127">
        <f>IF(P19=0,0,Q19/P19)</f>
        <v>0.62307692307692375</v>
      </c>
      <c r="P19" s="121">
        <v>13</v>
      </c>
      <c r="Q19" s="109">
        <v>8.1000000000000085</v>
      </c>
    </row>
    <row r="20" spans="1:17" x14ac:dyDescent="0.4">
      <c r="A20" s="55" t="s">
        <v>13</v>
      </c>
      <c r="B20" s="47">
        <v>81</v>
      </c>
      <c r="C20" s="39">
        <f>IF(B$3=0,0,B20/B$3)</f>
        <v>0.1653061224489796</v>
      </c>
      <c r="E20" s="63" t="s">
        <v>80</v>
      </c>
      <c r="F20" s="60" t="s">
        <v>35</v>
      </c>
      <c r="G20" s="47">
        <v>2</v>
      </c>
      <c r="H20" s="135">
        <f>IF(B$17=0,0,G20/B$17)</f>
        <v>1.4388489208633094E-2</v>
      </c>
      <c r="I20" s="96">
        <v>3</v>
      </c>
      <c r="K20" s="38">
        <v>18</v>
      </c>
      <c r="L20" s="101">
        <v>116.69999999999999</v>
      </c>
      <c r="N20" s="117" t="s">
        <v>178</v>
      </c>
      <c r="O20" s="127">
        <f>IF(P20=0,0,Q20/P20)</f>
        <v>-0.75</v>
      </c>
      <c r="P20" s="121">
        <v>10</v>
      </c>
      <c r="Q20" s="109">
        <v>-7.5</v>
      </c>
    </row>
    <row r="21" spans="1:17" x14ac:dyDescent="0.4">
      <c r="A21" s="55" t="s">
        <v>194</v>
      </c>
      <c r="B21" s="47">
        <v>5</v>
      </c>
      <c r="C21" s="137">
        <v>0</v>
      </c>
      <c r="E21" s="63" t="s">
        <v>74</v>
      </c>
      <c r="F21" s="60" t="s">
        <v>29</v>
      </c>
      <c r="G21" s="47">
        <v>1</v>
      </c>
      <c r="H21" s="135">
        <f>IF(B$17=0,0,G21/B$17)</f>
        <v>7.1942446043165471E-3</v>
      </c>
      <c r="I21" s="96">
        <v>3</v>
      </c>
      <c r="K21" s="38">
        <v>19</v>
      </c>
      <c r="L21" s="101">
        <v>138.79999999999998</v>
      </c>
      <c r="N21" s="117" t="s">
        <v>127</v>
      </c>
      <c r="O21" s="127">
        <f>IF(P21=0,0,Q21/P21)</f>
        <v>-27.200000000000006</v>
      </c>
      <c r="P21" s="121">
        <v>45</v>
      </c>
      <c r="Q21" s="109">
        <v>-1224.0000000000002</v>
      </c>
    </row>
    <row r="22" spans="1:17" x14ac:dyDescent="0.4">
      <c r="A22" s="55" t="s">
        <v>195</v>
      </c>
      <c r="B22" s="47">
        <v>24</v>
      </c>
      <c r="C22" s="137">
        <v>18</v>
      </c>
      <c r="E22" s="63" t="s">
        <v>78</v>
      </c>
      <c r="F22" s="60" t="s">
        <v>33</v>
      </c>
      <c r="G22" s="47">
        <v>1</v>
      </c>
      <c r="H22" s="135">
        <f>IF(B$17=0,0,G22/B$17)</f>
        <v>7.1942446043165471E-3</v>
      </c>
      <c r="I22" s="96">
        <v>1</v>
      </c>
      <c r="K22" s="38">
        <v>20</v>
      </c>
      <c r="L22" s="101">
        <v>164.49999999999997</v>
      </c>
    </row>
    <row r="23" spans="1:17" x14ac:dyDescent="0.4">
      <c r="A23" s="55" t="s">
        <v>5</v>
      </c>
      <c r="B23" s="51">
        <f>IF(B$17=0,0,C23/B$17)</f>
        <v>9092.0863309352517</v>
      </c>
      <c r="C23" s="41">
        <v>1263800</v>
      </c>
      <c r="E23" s="63" t="s">
        <v>79</v>
      </c>
      <c r="F23" s="60" t="s">
        <v>34</v>
      </c>
      <c r="G23" s="47">
        <v>1</v>
      </c>
      <c r="H23" s="135">
        <f>IF(B$17=0,0,G23/B$17)</f>
        <v>7.1942446043165471E-3</v>
      </c>
      <c r="I23" s="96">
        <v>6</v>
      </c>
      <c r="K23" s="38">
        <v>21</v>
      </c>
      <c r="L23" s="101">
        <v>204.09999999999997</v>
      </c>
    </row>
    <row r="24" spans="1:17" x14ac:dyDescent="0.4">
      <c r="A24" s="57" t="s">
        <v>14</v>
      </c>
      <c r="B24" s="52">
        <f>IF(B$20=0,0,C24/B$20)</f>
        <v>-7424.691358024691</v>
      </c>
      <c r="C24" s="45">
        <v>-601400</v>
      </c>
      <c r="E24" s="63" t="s">
        <v>85</v>
      </c>
      <c r="F24" s="60" t="s">
        <v>40</v>
      </c>
      <c r="G24" s="47">
        <v>1</v>
      </c>
      <c r="H24" s="135">
        <f>IF(B$17=0,0,G24/B$17)</f>
        <v>7.1942446043165471E-3</v>
      </c>
      <c r="I24" s="96">
        <v>1</v>
      </c>
      <c r="K24" s="38">
        <v>22</v>
      </c>
      <c r="L24" s="101">
        <v>239.39999999999998</v>
      </c>
    </row>
    <row r="25" spans="1:17" x14ac:dyDescent="0.4">
      <c r="A25" s="92" t="s">
        <v>142</v>
      </c>
      <c r="B25" s="142">
        <v>5</v>
      </c>
      <c r="C25" s="143"/>
      <c r="E25" s="63" t="s">
        <v>89</v>
      </c>
      <c r="F25" s="60" t="s">
        <v>44</v>
      </c>
      <c r="G25" s="47">
        <v>1</v>
      </c>
      <c r="H25" s="135">
        <f>IF(B$17=0,0,G25/B$17)</f>
        <v>7.1942446043165471E-3</v>
      </c>
      <c r="I25" s="96">
        <v>2</v>
      </c>
      <c r="K25" s="38">
        <v>23</v>
      </c>
      <c r="L25" s="101">
        <v>245.49999999999997</v>
      </c>
    </row>
    <row r="26" spans="1:17" x14ac:dyDescent="0.4">
      <c r="A26" s="58" t="s">
        <v>152</v>
      </c>
      <c r="B26" s="140">
        <v>94000</v>
      </c>
      <c r="C26" s="141"/>
      <c r="E26" s="63" t="s">
        <v>93</v>
      </c>
      <c r="F26" s="60" t="s">
        <v>48</v>
      </c>
      <c r="G26" s="47">
        <v>1</v>
      </c>
      <c r="H26" s="135">
        <f>IF(B$17=0,0,G26/B$17)</f>
        <v>7.1942446043165471E-3</v>
      </c>
      <c r="I26" s="96">
        <v>2</v>
      </c>
      <c r="K26" s="38">
        <v>24</v>
      </c>
      <c r="L26" s="101">
        <v>240.39999999999998</v>
      </c>
    </row>
    <row r="27" spans="1:17" x14ac:dyDescent="0.4">
      <c r="A27" s="57" t="s">
        <v>143</v>
      </c>
      <c r="B27" s="65">
        <v>4</v>
      </c>
      <c r="C27" s="42">
        <f>IF(B$3=0,0,B27/B$3)</f>
        <v>8.1632653061224497E-3</v>
      </c>
      <c r="E27" s="63" t="s">
        <v>77</v>
      </c>
      <c r="F27" s="60" t="s">
        <v>32</v>
      </c>
      <c r="G27" s="47">
        <v>0</v>
      </c>
      <c r="H27" s="135">
        <f>IF(B$17=0,0,G27/B$17)</f>
        <v>0</v>
      </c>
      <c r="I27" s="96">
        <v>1</v>
      </c>
      <c r="K27" s="38">
        <v>25</v>
      </c>
      <c r="L27" s="101">
        <v>245.59999999999997</v>
      </c>
    </row>
    <row r="28" spans="1:17" x14ac:dyDescent="0.4">
      <c r="E28" s="63" t="s">
        <v>81</v>
      </c>
      <c r="F28" s="60" t="s">
        <v>36</v>
      </c>
      <c r="G28" s="47">
        <v>0</v>
      </c>
      <c r="H28" s="135">
        <f>IF(B$17=0,0,G28/B$17)</f>
        <v>0</v>
      </c>
      <c r="I28" s="96">
        <v>1</v>
      </c>
      <c r="K28" s="38">
        <v>26</v>
      </c>
      <c r="L28" s="101">
        <v>237.69999999999996</v>
      </c>
    </row>
    <row r="29" spans="1:17" x14ac:dyDescent="0.4">
      <c r="E29" s="63" t="s">
        <v>83</v>
      </c>
      <c r="F29" s="60" t="s">
        <v>38</v>
      </c>
      <c r="G29" s="47">
        <v>0</v>
      </c>
      <c r="H29" s="135">
        <f>IF(B$17=0,0,G29/B$17)</f>
        <v>0</v>
      </c>
      <c r="I29" s="96">
        <v>1</v>
      </c>
      <c r="K29" s="38">
        <v>27</v>
      </c>
      <c r="L29" s="101">
        <v>236.69999999999996</v>
      </c>
    </row>
    <row r="30" spans="1:17" x14ac:dyDescent="0.4">
      <c r="E30" s="63" t="s">
        <v>86</v>
      </c>
      <c r="F30" s="60" t="s">
        <v>41</v>
      </c>
      <c r="G30" s="47">
        <v>0</v>
      </c>
      <c r="H30" s="135">
        <f>IF(B$17=0,0,G30/B$17)</f>
        <v>0</v>
      </c>
      <c r="I30" s="96">
        <v>3</v>
      </c>
      <c r="K30" s="38">
        <v>28</v>
      </c>
      <c r="L30" s="101">
        <v>191.39999999999998</v>
      </c>
    </row>
    <row r="31" spans="1:17" x14ac:dyDescent="0.4">
      <c r="E31" s="63" t="s">
        <v>88</v>
      </c>
      <c r="F31" s="60" t="s">
        <v>43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182.49999999999997</v>
      </c>
    </row>
    <row r="32" spans="1:17" x14ac:dyDescent="0.4">
      <c r="E32" s="63" t="s">
        <v>91</v>
      </c>
      <c r="F32" s="60" t="s">
        <v>46</v>
      </c>
      <c r="G32" s="47">
        <v>0</v>
      </c>
      <c r="H32" s="135">
        <f>IF(B$17=0,0,G32/B$17)</f>
        <v>0</v>
      </c>
      <c r="I32" s="96">
        <v>3</v>
      </c>
      <c r="K32" s="38">
        <v>30</v>
      </c>
      <c r="L32" s="101">
        <v>178.99999999999997</v>
      </c>
    </row>
    <row r="33" spans="5:12" x14ac:dyDescent="0.4">
      <c r="E33" s="63" t="s">
        <v>94</v>
      </c>
      <c r="F33" s="60" t="s">
        <v>49</v>
      </c>
      <c r="G33" s="47">
        <v>0</v>
      </c>
      <c r="H33" s="135">
        <f>IF(B$17=0,0,G33/B$17)</f>
        <v>0</v>
      </c>
      <c r="I33" s="96">
        <v>3</v>
      </c>
      <c r="K33" s="38">
        <v>31</v>
      </c>
      <c r="L33" s="101">
        <v>186.99999999999997</v>
      </c>
    </row>
    <row r="34" spans="5:12" x14ac:dyDescent="0.4">
      <c r="E34" s="63" t="s">
        <v>95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241.49999999999997</v>
      </c>
    </row>
    <row r="35" spans="5:12" x14ac:dyDescent="0.4">
      <c r="E35" s="63" t="s">
        <v>96</v>
      </c>
      <c r="F35" s="60" t="s">
        <v>51</v>
      </c>
      <c r="G35" s="47">
        <v>0</v>
      </c>
      <c r="H35" s="135">
        <f>IF(B$17=0,0,G35/B$17)</f>
        <v>0</v>
      </c>
      <c r="I35" s="96">
        <v>3</v>
      </c>
      <c r="K35" s="38">
        <v>33</v>
      </c>
      <c r="L35" s="101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6">
        <f>IF(B$17=0,0,G51/B$17)</f>
        <v>0</v>
      </c>
      <c r="I51" s="97">
        <v>1</v>
      </c>
      <c r="K51" s="38">
        <v>49</v>
      </c>
      <c r="L51" s="101">
        <v>-4.8000000000000398</v>
      </c>
    </row>
    <row r="52" spans="5:12" x14ac:dyDescent="0.4">
      <c r="K52" s="38">
        <v>50</v>
      </c>
      <c r="L52" s="101">
        <v>-0.70000000000004015</v>
      </c>
    </row>
    <row r="53" spans="5:12" x14ac:dyDescent="0.4">
      <c r="K53" s="38">
        <v>51</v>
      </c>
      <c r="L53" s="101">
        <v>-29.30000000000004</v>
      </c>
    </row>
    <row r="54" spans="5:12" x14ac:dyDescent="0.4">
      <c r="K54" s="38">
        <v>52</v>
      </c>
      <c r="L54" s="101">
        <v>-55.600000000000037</v>
      </c>
    </row>
    <row r="55" spans="5:12" x14ac:dyDescent="0.4">
      <c r="K55" s="38">
        <v>53</v>
      </c>
      <c r="L55" s="101">
        <v>-95.100000000000037</v>
      </c>
    </row>
    <row r="56" spans="5:12" x14ac:dyDescent="0.4">
      <c r="K56" s="38">
        <v>54</v>
      </c>
      <c r="L56" s="101">
        <v>-91.000000000000043</v>
      </c>
    </row>
    <row r="57" spans="5:12" x14ac:dyDescent="0.4">
      <c r="K57" s="38">
        <v>55</v>
      </c>
      <c r="L57" s="101">
        <v>-12.000000000000043</v>
      </c>
    </row>
    <row r="58" spans="5:12" x14ac:dyDescent="0.4">
      <c r="K58" s="38">
        <v>56</v>
      </c>
      <c r="L58" s="101">
        <v>-46.000000000000043</v>
      </c>
    </row>
    <row r="59" spans="5:12" x14ac:dyDescent="0.4">
      <c r="K59" s="38">
        <v>57</v>
      </c>
      <c r="L59" s="101">
        <v>-59.000000000000043</v>
      </c>
    </row>
    <row r="60" spans="5:12" x14ac:dyDescent="0.4">
      <c r="K60" s="38">
        <v>58</v>
      </c>
      <c r="L60" s="101">
        <v>-62.100000000000044</v>
      </c>
    </row>
    <row r="61" spans="5:12" x14ac:dyDescent="0.4">
      <c r="K61" s="38">
        <v>59</v>
      </c>
      <c r="L61" s="101">
        <v>-56.700000000000045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C491F-43CF-4FF1-881F-50160529B648}">
  <sheetPr codeName="Sheet11"/>
  <dimension ref="A1:Q51"/>
  <sheetViews>
    <sheetView showGridLines="0" zoomScaleNormal="100" workbookViewId="0">
      <selection activeCell="B1" sqref="B1:C1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129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26</v>
      </c>
      <c r="C2" s="149"/>
      <c r="E2" s="62" t="s">
        <v>67</v>
      </c>
      <c r="F2" s="59" t="s">
        <v>23</v>
      </c>
      <c r="G2" s="46">
        <v>36</v>
      </c>
      <c r="H2" s="134">
        <f>IF(B$17=0,0,G2/B$17)</f>
        <v>0.87804878048780488</v>
      </c>
      <c r="I2" s="95">
        <v>2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-3515.3846153846152</v>
      </c>
      <c r="P2" s="120">
        <v>26</v>
      </c>
      <c r="Q2" s="104">
        <v>-91400</v>
      </c>
    </row>
    <row r="3" spans="1:17" x14ac:dyDescent="0.4">
      <c r="A3" s="55" t="s">
        <v>8</v>
      </c>
      <c r="B3" s="150">
        <v>212</v>
      </c>
      <c r="C3" s="151"/>
      <c r="E3" s="63" t="s">
        <v>65</v>
      </c>
      <c r="F3" s="60" t="s">
        <v>21</v>
      </c>
      <c r="G3" s="47">
        <v>25</v>
      </c>
      <c r="H3" s="135">
        <f>IF(B$17=0,0,G3/B$17)</f>
        <v>0.6097560975609756</v>
      </c>
      <c r="I3" s="96">
        <v>1</v>
      </c>
      <c r="K3" s="38">
        <v>1</v>
      </c>
      <c r="L3" s="101">
        <v>-40.4</v>
      </c>
      <c r="N3" s="117" t="s">
        <v>133</v>
      </c>
      <c r="O3" s="124">
        <f t="shared" si="0"/>
        <v>-4453.8461538461543</v>
      </c>
      <c r="P3" s="121">
        <v>26</v>
      </c>
      <c r="Q3" s="105">
        <v>-115800</v>
      </c>
    </row>
    <row r="4" spans="1:17" x14ac:dyDescent="0.4">
      <c r="A4" s="55" t="s">
        <v>6</v>
      </c>
      <c r="B4" s="152">
        <v>-818.49999999999989</v>
      </c>
      <c r="C4" s="153"/>
      <c r="E4" s="63" t="s">
        <v>69</v>
      </c>
      <c r="F4" s="60" t="s">
        <v>12</v>
      </c>
      <c r="G4" s="47">
        <v>17</v>
      </c>
      <c r="H4" s="135">
        <f>IF(B$17=0,0,G4/B$17)</f>
        <v>0.41463414634146339</v>
      </c>
      <c r="I4" s="96">
        <v>2</v>
      </c>
      <c r="K4" s="38">
        <v>2</v>
      </c>
      <c r="L4" s="101">
        <v>-3.3999999999999986</v>
      </c>
      <c r="N4" s="117" t="s">
        <v>134</v>
      </c>
      <c r="O4" s="124">
        <f t="shared" si="0"/>
        <v>-3691.304347826087</v>
      </c>
      <c r="P4" s="121">
        <v>23</v>
      </c>
      <c r="Q4" s="105">
        <v>-84900</v>
      </c>
    </row>
    <row r="5" spans="1:17" x14ac:dyDescent="0.4">
      <c r="A5" s="55" t="s">
        <v>7</v>
      </c>
      <c r="B5" s="154">
        <f>IF(B$2=0,0,B$4/B$2)</f>
        <v>-31.480769230769226</v>
      </c>
      <c r="C5" s="155"/>
      <c r="E5" s="63" t="s">
        <v>68</v>
      </c>
      <c r="F5" s="60" t="s">
        <v>24</v>
      </c>
      <c r="G5" s="47">
        <v>15</v>
      </c>
      <c r="H5" s="135">
        <f>IF(B$17=0,0,G5/B$17)</f>
        <v>0.36585365853658536</v>
      </c>
      <c r="I5" s="96">
        <v>3</v>
      </c>
      <c r="K5" s="38">
        <v>3</v>
      </c>
      <c r="L5" s="101">
        <v>-23.099999999999998</v>
      </c>
      <c r="N5" s="117" t="s">
        <v>135</v>
      </c>
      <c r="O5" s="124">
        <f t="shared" si="0"/>
        <v>-7305</v>
      </c>
      <c r="P5" s="121">
        <v>20</v>
      </c>
      <c r="Q5" s="105">
        <v>-146100</v>
      </c>
    </row>
    <row r="6" spans="1:17" x14ac:dyDescent="0.4">
      <c r="A6" s="55" t="s">
        <v>1</v>
      </c>
      <c r="B6" s="144">
        <f>IF(B$2=0,0,(B$7*1+B$8*2+B$9*3)/B$2)</f>
        <v>2.5384615384615383</v>
      </c>
      <c r="C6" s="145"/>
      <c r="E6" s="63" t="s">
        <v>182</v>
      </c>
      <c r="F6" s="60" t="s">
        <v>183</v>
      </c>
      <c r="G6" s="47">
        <v>14</v>
      </c>
      <c r="H6" s="135">
        <f>IF(B$17=0,0,G6/B$17)</f>
        <v>0.34146341463414637</v>
      </c>
      <c r="I6" s="96">
        <v>8</v>
      </c>
      <c r="K6" s="38">
        <v>4</v>
      </c>
      <c r="L6" s="101">
        <v>-31.4</v>
      </c>
      <c r="N6" s="117" t="s">
        <v>136</v>
      </c>
      <c r="O6" s="124">
        <f t="shared" si="0"/>
        <v>-2405.5555555555557</v>
      </c>
      <c r="P6" s="121">
        <v>18</v>
      </c>
      <c r="Q6" s="105">
        <v>-43300</v>
      </c>
    </row>
    <row r="7" spans="1:17" x14ac:dyDescent="0.4">
      <c r="A7" s="55" t="s">
        <v>2</v>
      </c>
      <c r="B7" s="47">
        <v>3</v>
      </c>
      <c r="C7" s="39">
        <f>IF(B$2=0,0,B7/B$2)</f>
        <v>0.11538461538461539</v>
      </c>
      <c r="E7" s="63" t="s">
        <v>73</v>
      </c>
      <c r="F7" s="60" t="s">
        <v>28</v>
      </c>
      <c r="G7" s="47">
        <v>12</v>
      </c>
      <c r="H7" s="135">
        <f>IF(B$17=0,0,G7/B$17)</f>
        <v>0.29268292682926828</v>
      </c>
      <c r="I7" s="96">
        <v>10</v>
      </c>
      <c r="K7" s="38">
        <v>5</v>
      </c>
      <c r="L7" s="101">
        <v>-32.199999999999996</v>
      </c>
      <c r="N7" s="118" t="s">
        <v>137</v>
      </c>
      <c r="O7" s="125">
        <f t="shared" si="0"/>
        <v>-2116.6666666666665</v>
      </c>
      <c r="P7" s="122">
        <v>18</v>
      </c>
      <c r="Q7" s="106">
        <v>-38100</v>
      </c>
    </row>
    <row r="8" spans="1:17" x14ac:dyDescent="0.4">
      <c r="A8" s="55" t="s">
        <v>3</v>
      </c>
      <c r="B8" s="47">
        <v>6</v>
      </c>
      <c r="C8" s="39">
        <f>IF(B$2=0,0,B8/B$2)</f>
        <v>0.23076923076923078</v>
      </c>
      <c r="E8" s="63" t="s">
        <v>71</v>
      </c>
      <c r="F8" s="60" t="s">
        <v>26</v>
      </c>
      <c r="G8" s="47">
        <v>9</v>
      </c>
      <c r="H8" s="135">
        <f>IF(B$17=0,0,G8/B$17)</f>
        <v>0.21951219512195122</v>
      </c>
      <c r="I8" s="96">
        <v>1</v>
      </c>
      <c r="K8" s="38">
        <v>6</v>
      </c>
      <c r="L8" s="101">
        <v>-58.5</v>
      </c>
      <c r="N8" s="43"/>
      <c r="O8" s="129"/>
      <c r="P8" s="113"/>
      <c r="Q8" s="111"/>
    </row>
    <row r="9" spans="1:17" x14ac:dyDescent="0.4">
      <c r="A9" s="56" t="s">
        <v>4</v>
      </c>
      <c r="B9" s="48">
        <v>17</v>
      </c>
      <c r="C9" s="40">
        <f t="shared" ref="C9" si="1">IF(B$2=0,0,B9/B$2)</f>
        <v>0.65384615384615385</v>
      </c>
      <c r="E9" s="63" t="s">
        <v>70</v>
      </c>
      <c r="F9" s="60" t="s">
        <v>25</v>
      </c>
      <c r="G9" s="47">
        <v>8</v>
      </c>
      <c r="H9" s="135">
        <f>IF(B$17=0,0,G9/B$17)</f>
        <v>0.1951219512195122</v>
      </c>
      <c r="I9" s="96">
        <v>5</v>
      </c>
      <c r="K9" s="38">
        <v>7</v>
      </c>
      <c r="L9" s="101">
        <v>-116.8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0.26923076923076922</v>
      </c>
      <c r="E10" s="63" t="s">
        <v>72</v>
      </c>
      <c r="F10" s="60" t="s">
        <v>27</v>
      </c>
      <c r="G10" s="47">
        <v>5</v>
      </c>
      <c r="H10" s="135">
        <f>IF(B$17=0,0,G10/B$17)</f>
        <v>0.12195121951219512</v>
      </c>
      <c r="I10" s="96">
        <v>2</v>
      </c>
      <c r="K10" s="38">
        <v>8</v>
      </c>
      <c r="L10" s="101">
        <v>-79.599999999999994</v>
      </c>
      <c r="N10" s="116" t="s">
        <v>165</v>
      </c>
      <c r="O10" s="126">
        <f>IF(P10=0,0,Q10/P10)</f>
        <v>-29.977777777777774</v>
      </c>
      <c r="P10" s="120">
        <v>9</v>
      </c>
      <c r="Q10" s="108">
        <v>-269.79999999999995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90</v>
      </c>
      <c r="F11" s="60" t="s">
        <v>45</v>
      </c>
      <c r="G11" s="47">
        <v>5</v>
      </c>
      <c r="H11" s="135">
        <f>IF(B$17=0,0,G11/B$17)</f>
        <v>0.12195121951219512</v>
      </c>
      <c r="I11" s="96">
        <v>7</v>
      </c>
      <c r="K11" s="38">
        <v>9</v>
      </c>
      <c r="L11" s="101">
        <v>-127.6</v>
      </c>
      <c r="N11" s="117" t="s">
        <v>166</v>
      </c>
      <c r="O11" s="127">
        <f>IF(P11=0,0,Q11/P11)</f>
        <v>-31.090000000000003</v>
      </c>
      <c r="P11" s="121">
        <v>10</v>
      </c>
      <c r="Q11" s="109">
        <v>-310.90000000000003</v>
      </c>
    </row>
    <row r="12" spans="1:17" x14ac:dyDescent="0.4">
      <c r="A12" s="57" t="s">
        <v>160</v>
      </c>
      <c r="B12" s="49">
        <v>1</v>
      </c>
      <c r="C12" s="42">
        <f>IF(B$2=0,0,B12/B$2)</f>
        <v>3.8461538461538464E-2</v>
      </c>
      <c r="E12" s="63" t="s">
        <v>66</v>
      </c>
      <c r="F12" s="60" t="s">
        <v>22</v>
      </c>
      <c r="G12" s="47">
        <v>4</v>
      </c>
      <c r="H12" s="135">
        <f>IF(B$17=0,0,G12/B$17)</f>
        <v>9.7560975609756101E-2</v>
      </c>
      <c r="I12" s="96">
        <v>7</v>
      </c>
      <c r="K12" s="38">
        <v>10</v>
      </c>
      <c r="L12" s="101">
        <v>-231.39999999999998</v>
      </c>
      <c r="N12" s="118" t="s">
        <v>167</v>
      </c>
      <c r="O12" s="128">
        <f>IF(P12=0,0,Q12/P12)</f>
        <v>-33.971428571428568</v>
      </c>
      <c r="P12" s="122">
        <v>7</v>
      </c>
      <c r="Q12" s="110">
        <v>-237.79999999999998</v>
      </c>
    </row>
    <row r="13" spans="1:17" x14ac:dyDescent="0.4">
      <c r="A13" s="58" t="s">
        <v>122</v>
      </c>
      <c r="B13" s="50">
        <v>52</v>
      </c>
      <c r="C13" s="44">
        <f>IF(B$3=0,0,B13/B$3)</f>
        <v>0.24528301886792453</v>
      </c>
      <c r="E13" s="63" t="s">
        <v>87</v>
      </c>
      <c r="F13" s="60" t="s">
        <v>42</v>
      </c>
      <c r="G13" s="47">
        <v>2</v>
      </c>
      <c r="H13" s="135">
        <f>IF(B$17=0,0,G13/B$17)</f>
        <v>4.878048780487805E-2</v>
      </c>
      <c r="I13" s="96">
        <v>6</v>
      </c>
      <c r="K13" s="38">
        <v>11</v>
      </c>
      <c r="L13" s="101">
        <v>-305.89999999999998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26</v>
      </c>
      <c r="C14" s="39">
        <f>IF(B$3=0,0,B14/B$3)</f>
        <v>0.12264150943396226</v>
      </c>
      <c r="E14" s="63" t="s">
        <v>79</v>
      </c>
      <c r="F14" s="60" t="s">
        <v>34</v>
      </c>
      <c r="G14" s="47">
        <v>1</v>
      </c>
      <c r="H14" s="135">
        <f>IF(B$17=0,0,G14/B$17)</f>
        <v>2.4390243902439025E-2</v>
      </c>
      <c r="I14" s="96">
        <v>3</v>
      </c>
      <c r="K14" s="38">
        <v>12</v>
      </c>
      <c r="L14" s="101">
        <v>-337.5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26</v>
      </c>
      <c r="C15" s="37">
        <f>IF(B$13=0,0,B15/B$13)</f>
        <v>0.5</v>
      </c>
      <c r="E15" s="63" t="s">
        <v>84</v>
      </c>
      <c r="F15" s="60" t="s">
        <v>39</v>
      </c>
      <c r="G15" s="47">
        <v>1</v>
      </c>
      <c r="H15" s="135">
        <f>IF(B$17=0,0,G15/B$17)</f>
        <v>2.4390243902439025E-2</v>
      </c>
      <c r="I15" s="96">
        <v>8</v>
      </c>
      <c r="K15" s="38">
        <v>13</v>
      </c>
      <c r="L15" s="101">
        <v>-369.1</v>
      </c>
      <c r="N15" s="116" t="s">
        <v>178</v>
      </c>
      <c r="O15" s="126">
        <f>IF(P15=0,0,Q15/P15)</f>
        <v>29.700000000000003</v>
      </c>
      <c r="P15" s="120">
        <v>1</v>
      </c>
      <c r="Q15" s="108">
        <v>29.700000000000003</v>
      </c>
    </row>
    <row r="16" spans="1:17" x14ac:dyDescent="0.4">
      <c r="A16" s="54" t="s">
        <v>125</v>
      </c>
      <c r="B16" s="46">
        <v>4</v>
      </c>
      <c r="C16" s="37">
        <f>IF(B$14=0,0,B16/B$14)</f>
        <v>0.15384615384615385</v>
      </c>
      <c r="E16" s="63" t="s">
        <v>89</v>
      </c>
      <c r="F16" s="60" t="s">
        <v>44</v>
      </c>
      <c r="G16" s="47">
        <v>1</v>
      </c>
      <c r="H16" s="135">
        <f>IF(B$17=0,0,G16/B$17)</f>
        <v>2.4390243902439025E-2</v>
      </c>
      <c r="I16" s="96">
        <v>1</v>
      </c>
      <c r="K16" s="38">
        <v>14</v>
      </c>
      <c r="L16" s="101">
        <v>-394.6</v>
      </c>
      <c r="N16" s="117" t="s">
        <v>174</v>
      </c>
      <c r="O16" s="127">
        <f>IF(P16=0,0,Q16/P16)</f>
        <v>-19.3</v>
      </c>
      <c r="P16" s="121">
        <v>4</v>
      </c>
      <c r="Q16" s="109">
        <v>-77.2</v>
      </c>
    </row>
    <row r="17" spans="1:17" x14ac:dyDescent="0.4">
      <c r="A17" s="54" t="s">
        <v>10</v>
      </c>
      <c r="B17" s="46">
        <f>B19+B18</f>
        <v>41</v>
      </c>
      <c r="C17" s="37">
        <f>IF(B$3=0,0,B17/B$3)</f>
        <v>0.19339622641509435</v>
      </c>
      <c r="E17" s="63" t="s">
        <v>74</v>
      </c>
      <c r="F17" s="60" t="s">
        <v>29</v>
      </c>
      <c r="G17" s="47">
        <v>0</v>
      </c>
      <c r="H17" s="135">
        <f>IF(B$17=0,0,G17/B$17)</f>
        <v>0</v>
      </c>
      <c r="I17" s="96">
        <v>5</v>
      </c>
      <c r="K17" s="38">
        <v>15</v>
      </c>
      <c r="L17" s="101">
        <v>-424.5</v>
      </c>
      <c r="N17" s="117" t="s">
        <v>128</v>
      </c>
      <c r="O17" s="127">
        <f>IF(P17=0,0,Q17/P17)</f>
        <v>-23.638888888888886</v>
      </c>
      <c r="P17" s="121">
        <v>18</v>
      </c>
      <c r="Q17" s="109">
        <v>-425.49999999999994</v>
      </c>
    </row>
    <row r="18" spans="1:17" x14ac:dyDescent="0.4">
      <c r="A18" s="55" t="s">
        <v>12</v>
      </c>
      <c r="B18" s="47">
        <v>21</v>
      </c>
      <c r="C18" s="39">
        <f>IF(B$17=0,0,B18/B$17)</f>
        <v>0.51219512195121952</v>
      </c>
      <c r="E18" s="63" t="s">
        <v>75</v>
      </c>
      <c r="F18" s="60" t="s">
        <v>30</v>
      </c>
      <c r="G18" s="47">
        <v>0</v>
      </c>
      <c r="H18" s="135">
        <f>IF(B$17=0,0,G18/B$17)</f>
        <v>0</v>
      </c>
      <c r="I18" s="96">
        <v>3</v>
      </c>
      <c r="K18" s="38">
        <v>16</v>
      </c>
      <c r="L18" s="101">
        <v>-472</v>
      </c>
      <c r="N18" s="117" t="s">
        <v>127</v>
      </c>
      <c r="O18" s="127">
        <f>IF(P18=0,0,Q18/P18)</f>
        <v>-62.058823529411775</v>
      </c>
      <c r="P18" s="121">
        <v>17</v>
      </c>
      <c r="Q18" s="109">
        <v>-1055.0000000000002</v>
      </c>
    </row>
    <row r="19" spans="1:17" x14ac:dyDescent="0.4">
      <c r="A19" s="55" t="s">
        <v>11</v>
      </c>
      <c r="B19" s="47">
        <v>20</v>
      </c>
      <c r="C19" s="39">
        <f>IF(B$17=0,0,B19/B$17)</f>
        <v>0.48780487804878048</v>
      </c>
      <c r="E19" s="63" t="s">
        <v>76</v>
      </c>
      <c r="F19" s="60" t="s">
        <v>31</v>
      </c>
      <c r="G19" s="47">
        <v>0</v>
      </c>
      <c r="H19" s="135">
        <f>IF(B$17=0,0,G19/B$17)</f>
        <v>0</v>
      </c>
      <c r="I19" s="96">
        <v>6</v>
      </c>
      <c r="K19" s="38">
        <v>17</v>
      </c>
      <c r="L19" s="101">
        <v>-538.29999999999995</v>
      </c>
      <c r="N19" s="117" t="s">
        <v>173</v>
      </c>
      <c r="O19" s="127">
        <f>IF(P19=0,0,Q19/P19)</f>
        <v>-70.183333333333323</v>
      </c>
      <c r="P19" s="121">
        <v>6</v>
      </c>
      <c r="Q19" s="109">
        <v>-421.09999999999997</v>
      </c>
    </row>
    <row r="20" spans="1:17" x14ac:dyDescent="0.4">
      <c r="A20" s="55" t="s">
        <v>13</v>
      </c>
      <c r="B20" s="47">
        <v>48</v>
      </c>
      <c r="C20" s="39">
        <f>IF(B$3=0,0,B20/B$3)</f>
        <v>0.22641509433962265</v>
      </c>
      <c r="E20" s="63" t="s">
        <v>77</v>
      </c>
      <c r="F20" s="60" t="s">
        <v>32</v>
      </c>
      <c r="G20" s="47">
        <v>0</v>
      </c>
      <c r="H20" s="135">
        <f>IF(B$17=0,0,G20/B$17)</f>
        <v>0</v>
      </c>
      <c r="I20" s="96">
        <v>1</v>
      </c>
      <c r="K20" s="38">
        <v>18</v>
      </c>
      <c r="L20" s="101">
        <v>-537.19999999999993</v>
      </c>
      <c r="N20" s="117" t="s">
        <v>187</v>
      </c>
      <c r="O20" s="127">
        <f>IF(P20=0,0,Q20/P20)</f>
        <v>-72.3</v>
      </c>
      <c r="P20" s="121">
        <v>1</v>
      </c>
      <c r="Q20" s="109">
        <v>-72.3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78</v>
      </c>
      <c r="F21" s="60" t="s">
        <v>33</v>
      </c>
      <c r="G21" s="47">
        <v>0</v>
      </c>
      <c r="H21" s="135">
        <f>IF(B$17=0,0,G21/B$17)</f>
        <v>0</v>
      </c>
      <c r="I21" s="96">
        <v>4</v>
      </c>
      <c r="K21" s="38">
        <v>19</v>
      </c>
      <c r="L21" s="101">
        <v>-569.49999999999989</v>
      </c>
      <c r="N21" s="117" t="s">
        <v>172</v>
      </c>
      <c r="O21" s="127">
        <f>IF(P21=0,0,Q21/P21)</f>
        <v>-86.820000000000007</v>
      </c>
      <c r="P21" s="121">
        <v>5</v>
      </c>
      <c r="Q21" s="109">
        <v>-434.1</v>
      </c>
    </row>
    <row r="22" spans="1:17" x14ac:dyDescent="0.4">
      <c r="A22" s="55" t="s">
        <v>195</v>
      </c>
      <c r="B22" s="47">
        <v>19</v>
      </c>
      <c r="C22" s="137">
        <v>0</v>
      </c>
      <c r="E22" s="63" t="s">
        <v>80</v>
      </c>
      <c r="F22" s="60" t="s">
        <v>35</v>
      </c>
      <c r="G22" s="47">
        <v>0</v>
      </c>
      <c r="H22" s="135">
        <f>IF(B$17=0,0,G22/B$17)</f>
        <v>0</v>
      </c>
      <c r="I22" s="96">
        <v>6</v>
      </c>
      <c r="K22" s="38">
        <v>20</v>
      </c>
      <c r="L22" s="101">
        <v>-632.99999999999989</v>
      </c>
    </row>
    <row r="23" spans="1:17" x14ac:dyDescent="0.4">
      <c r="A23" s="55" t="s">
        <v>5</v>
      </c>
      <c r="B23" s="51">
        <f>IF(B$17=0,0,C23/B$17)</f>
        <v>7680.4878048780483</v>
      </c>
      <c r="C23" s="41">
        <v>314900</v>
      </c>
      <c r="E23" s="63" t="s">
        <v>81</v>
      </c>
      <c r="F23" s="60" t="s">
        <v>36</v>
      </c>
      <c r="G23" s="47">
        <v>0</v>
      </c>
      <c r="H23" s="135">
        <f>IF(B$17=0,0,G23/B$17)</f>
        <v>0</v>
      </c>
      <c r="I23" s="96">
        <v>1</v>
      </c>
      <c r="K23" s="38">
        <v>21</v>
      </c>
      <c r="L23" s="101">
        <v>-629.49999999999989</v>
      </c>
    </row>
    <row r="24" spans="1:17" x14ac:dyDescent="0.4">
      <c r="A24" s="57" t="s">
        <v>14</v>
      </c>
      <c r="B24" s="52">
        <f>IF(B$20=0,0,C24/B$20)</f>
        <v>-10462.5</v>
      </c>
      <c r="C24" s="45">
        <v>-502200</v>
      </c>
      <c r="E24" s="63" t="s">
        <v>82</v>
      </c>
      <c r="F24" s="60" t="s">
        <v>37</v>
      </c>
      <c r="G24" s="47">
        <v>0</v>
      </c>
      <c r="H24" s="135">
        <f>IF(B$17=0,0,G24/B$17)</f>
        <v>0</v>
      </c>
      <c r="I24" s="96">
        <v>6</v>
      </c>
      <c r="K24" s="38">
        <v>22</v>
      </c>
      <c r="L24" s="101">
        <v>-670.19999999999993</v>
      </c>
    </row>
    <row r="25" spans="1:17" x14ac:dyDescent="0.4">
      <c r="A25" s="92" t="s">
        <v>142</v>
      </c>
      <c r="B25" s="142">
        <v>7</v>
      </c>
      <c r="C25" s="143"/>
      <c r="E25" s="63" t="s">
        <v>83</v>
      </c>
      <c r="F25" s="60" t="s">
        <v>38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-737.19999999999993</v>
      </c>
    </row>
    <row r="26" spans="1:17" x14ac:dyDescent="0.4">
      <c r="A26" s="58" t="s">
        <v>152</v>
      </c>
      <c r="B26" s="140">
        <v>52200</v>
      </c>
      <c r="C26" s="141"/>
      <c r="E26" s="63" t="s">
        <v>85</v>
      </c>
      <c r="F26" s="60" t="s">
        <v>40</v>
      </c>
      <c r="G26" s="47">
        <v>0</v>
      </c>
      <c r="H26" s="135">
        <f>IF(B$17=0,0,G26/B$17)</f>
        <v>0</v>
      </c>
      <c r="I26" s="96">
        <v>3</v>
      </c>
      <c r="K26" s="38">
        <v>24</v>
      </c>
      <c r="L26" s="101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4.7169811320754715E-3</v>
      </c>
      <c r="E27" s="63" t="s">
        <v>86</v>
      </c>
      <c r="F27" s="60" t="s">
        <v>41</v>
      </c>
      <c r="G27" s="47">
        <v>0</v>
      </c>
      <c r="H27" s="135">
        <f>IF(B$17=0,0,G27/B$17)</f>
        <v>0</v>
      </c>
      <c r="I27" s="96">
        <v>3</v>
      </c>
      <c r="K27" s="38">
        <v>25</v>
      </c>
      <c r="L27" s="101">
        <v>-783.69999999999993</v>
      </c>
    </row>
    <row r="28" spans="1:17" x14ac:dyDescent="0.4">
      <c r="E28" s="63" t="s">
        <v>88</v>
      </c>
      <c r="F28" s="60" t="s">
        <v>43</v>
      </c>
      <c r="G28" s="47">
        <v>0</v>
      </c>
      <c r="H28" s="135">
        <f>IF(B$17=0,0,G28/B$17)</f>
        <v>0</v>
      </c>
      <c r="I28" s="96">
        <v>3</v>
      </c>
      <c r="K28" s="38">
        <v>26</v>
      </c>
      <c r="L28" s="101">
        <v>-818.49999999999989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E1391-FE01-43A7-B9B0-DED4F0D97ADB}">
  <sheetPr codeName="Sheet13"/>
  <dimension ref="A1:Q51"/>
  <sheetViews>
    <sheetView showGridLines="0" zoomScaleNormal="100" workbookViewId="0">
      <selection activeCell="B1" sqref="B1:C1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172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33</v>
      </c>
      <c r="C2" s="149"/>
      <c r="E2" s="62" t="s">
        <v>67</v>
      </c>
      <c r="F2" s="59" t="s">
        <v>23</v>
      </c>
      <c r="G2" s="46">
        <v>49</v>
      </c>
      <c r="H2" s="134">
        <f>IF(B$17=0,0,G2/B$17)</f>
        <v>0.7</v>
      </c>
      <c r="I2" s="95">
        <v>6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-178.78787878787878</v>
      </c>
      <c r="P2" s="120">
        <v>33</v>
      </c>
      <c r="Q2" s="104">
        <v>-5900</v>
      </c>
    </row>
    <row r="3" spans="1:17" x14ac:dyDescent="0.4">
      <c r="A3" s="55" t="s">
        <v>8</v>
      </c>
      <c r="B3" s="150">
        <v>288</v>
      </c>
      <c r="C3" s="151"/>
      <c r="E3" s="63" t="s">
        <v>65</v>
      </c>
      <c r="F3" s="60" t="s">
        <v>21</v>
      </c>
      <c r="G3" s="47">
        <v>36</v>
      </c>
      <c r="H3" s="135">
        <f>IF(B$17=0,0,G3/B$17)</f>
        <v>0.51428571428571423</v>
      </c>
      <c r="I3" s="96">
        <v>4</v>
      </c>
      <c r="K3" s="38">
        <v>1</v>
      </c>
      <c r="L3" s="101">
        <v>-51.2</v>
      </c>
      <c r="N3" s="117" t="s">
        <v>133</v>
      </c>
      <c r="O3" s="124">
        <f t="shared" si="0"/>
        <v>527.27272727272725</v>
      </c>
      <c r="P3" s="121">
        <v>33</v>
      </c>
      <c r="Q3" s="105">
        <v>17400</v>
      </c>
    </row>
    <row r="4" spans="1:17" x14ac:dyDescent="0.4">
      <c r="A4" s="55" t="s">
        <v>6</v>
      </c>
      <c r="B4" s="152">
        <v>-108.9</v>
      </c>
      <c r="C4" s="153"/>
      <c r="E4" s="63" t="s">
        <v>73</v>
      </c>
      <c r="F4" s="60" t="s">
        <v>28</v>
      </c>
      <c r="G4" s="47">
        <v>36</v>
      </c>
      <c r="H4" s="135">
        <f>IF(B$17=0,0,G4/B$17)</f>
        <v>0.51428571428571423</v>
      </c>
      <c r="I4" s="96">
        <v>6</v>
      </c>
      <c r="K4" s="38">
        <v>2</v>
      </c>
      <c r="L4" s="101">
        <v>-93.300000000000011</v>
      </c>
      <c r="N4" s="117" t="s">
        <v>134</v>
      </c>
      <c r="O4" s="124">
        <f t="shared" si="0"/>
        <v>1096.7741935483871</v>
      </c>
      <c r="P4" s="121">
        <v>31</v>
      </c>
      <c r="Q4" s="105">
        <v>34000</v>
      </c>
    </row>
    <row r="5" spans="1:17" x14ac:dyDescent="0.4">
      <c r="A5" s="55" t="s">
        <v>7</v>
      </c>
      <c r="B5" s="154">
        <f>IF(B$2=0,0,B$4/B$2)</f>
        <v>-3.3000000000000003</v>
      </c>
      <c r="C5" s="155"/>
      <c r="E5" s="63" t="s">
        <v>182</v>
      </c>
      <c r="F5" s="60" t="s">
        <v>183</v>
      </c>
      <c r="G5" s="47">
        <v>22</v>
      </c>
      <c r="H5" s="135">
        <f>IF(B$17=0,0,G5/B$17)</f>
        <v>0.31428571428571428</v>
      </c>
      <c r="I5" s="96">
        <v>9</v>
      </c>
      <c r="K5" s="38">
        <v>3</v>
      </c>
      <c r="L5" s="101">
        <v>-60.100000000000009</v>
      </c>
      <c r="N5" s="117" t="s">
        <v>135</v>
      </c>
      <c r="O5" s="124">
        <f t="shared" si="0"/>
        <v>-2127.5862068965516</v>
      </c>
      <c r="P5" s="121">
        <v>29</v>
      </c>
      <c r="Q5" s="105">
        <v>-61700</v>
      </c>
    </row>
    <row r="6" spans="1:17" x14ac:dyDescent="0.4">
      <c r="A6" s="55" t="s">
        <v>1</v>
      </c>
      <c r="B6" s="144">
        <f>IF(B$2=0,0,(B$7*1+B$8*2+B$9*3)/B$2)</f>
        <v>2.1212121212121211</v>
      </c>
      <c r="C6" s="145"/>
      <c r="E6" s="63" t="s">
        <v>69</v>
      </c>
      <c r="F6" s="60" t="s">
        <v>12</v>
      </c>
      <c r="G6" s="47">
        <v>17</v>
      </c>
      <c r="H6" s="135">
        <f>IF(B$17=0,0,G6/B$17)</f>
        <v>0.24285714285714285</v>
      </c>
      <c r="I6" s="96">
        <v>7</v>
      </c>
      <c r="K6" s="38">
        <v>4</v>
      </c>
      <c r="L6" s="101">
        <v>-11.300000000000011</v>
      </c>
      <c r="N6" s="117" t="s">
        <v>136</v>
      </c>
      <c r="O6" s="124">
        <f t="shared" si="0"/>
        <v>-611.11111111111109</v>
      </c>
      <c r="P6" s="121">
        <v>27</v>
      </c>
      <c r="Q6" s="105">
        <v>-16500</v>
      </c>
    </row>
    <row r="7" spans="1:17" x14ac:dyDescent="0.4">
      <c r="A7" s="55" t="s">
        <v>2</v>
      </c>
      <c r="B7" s="47">
        <v>8</v>
      </c>
      <c r="C7" s="39">
        <f>IF(B$2=0,0,B7/B$2)</f>
        <v>0.24242424242424243</v>
      </c>
      <c r="E7" s="63" t="s">
        <v>70</v>
      </c>
      <c r="F7" s="60" t="s">
        <v>25</v>
      </c>
      <c r="G7" s="47">
        <v>16</v>
      </c>
      <c r="H7" s="135">
        <f>IF(B$17=0,0,G7/B$17)</f>
        <v>0.22857142857142856</v>
      </c>
      <c r="I7" s="96">
        <v>2</v>
      </c>
      <c r="K7" s="38">
        <v>5</v>
      </c>
      <c r="L7" s="101">
        <v>-36.100000000000009</v>
      </c>
      <c r="N7" s="118" t="s">
        <v>137</v>
      </c>
      <c r="O7" s="125">
        <f t="shared" si="0"/>
        <v>472</v>
      </c>
      <c r="P7" s="122">
        <v>25</v>
      </c>
      <c r="Q7" s="106">
        <v>11800</v>
      </c>
    </row>
    <row r="8" spans="1:17" x14ac:dyDescent="0.4">
      <c r="A8" s="55" t="s">
        <v>3</v>
      </c>
      <c r="B8" s="47">
        <v>13</v>
      </c>
      <c r="C8" s="39">
        <f>IF(B$2=0,0,B8/B$2)</f>
        <v>0.39393939393939392</v>
      </c>
      <c r="E8" s="63" t="s">
        <v>68</v>
      </c>
      <c r="F8" s="60" t="s">
        <v>24</v>
      </c>
      <c r="G8" s="47">
        <v>15</v>
      </c>
      <c r="H8" s="135">
        <f>IF(B$17=0,0,G8/B$17)</f>
        <v>0.21428571428571427</v>
      </c>
      <c r="I8" s="96">
        <v>7</v>
      </c>
      <c r="K8" s="38">
        <v>6</v>
      </c>
      <c r="L8" s="101">
        <v>9.0999999999999943</v>
      </c>
      <c r="N8" s="43"/>
      <c r="O8" s="129"/>
      <c r="P8" s="113"/>
      <c r="Q8" s="111"/>
    </row>
    <row r="9" spans="1:17" x14ac:dyDescent="0.4">
      <c r="A9" s="56" t="s">
        <v>4</v>
      </c>
      <c r="B9" s="48">
        <v>12</v>
      </c>
      <c r="C9" s="40">
        <f t="shared" ref="C9" si="1">IF(B$2=0,0,B9/B$2)</f>
        <v>0.36363636363636365</v>
      </c>
      <c r="E9" s="63" t="s">
        <v>66</v>
      </c>
      <c r="F9" s="60" t="s">
        <v>22</v>
      </c>
      <c r="G9" s="47">
        <v>12</v>
      </c>
      <c r="H9" s="135">
        <f>IF(B$17=0,0,G9/B$17)</f>
        <v>0.17142857142857143</v>
      </c>
      <c r="I9" s="96">
        <v>2</v>
      </c>
      <c r="K9" s="38">
        <v>7</v>
      </c>
      <c r="L9" s="101">
        <v>-51.300000000000004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3.0303030303030304E-2</v>
      </c>
      <c r="E10" s="63" t="s">
        <v>90</v>
      </c>
      <c r="F10" s="60" t="s">
        <v>45</v>
      </c>
      <c r="G10" s="47">
        <v>11</v>
      </c>
      <c r="H10" s="135">
        <f>IF(B$17=0,0,G10/B$17)</f>
        <v>0.15714285714285714</v>
      </c>
      <c r="I10" s="96">
        <v>4</v>
      </c>
      <c r="K10" s="38">
        <v>8</v>
      </c>
      <c r="L10" s="101">
        <v>-1.7000000000000028</v>
      </c>
      <c r="N10" s="116" t="s">
        <v>165</v>
      </c>
      <c r="O10" s="126">
        <f>IF(P10=0,0,Q10/P10)</f>
        <v>1.2285714285714278</v>
      </c>
      <c r="P10" s="120">
        <v>7</v>
      </c>
      <c r="Q10" s="108">
        <v>8.5999999999999943</v>
      </c>
    </row>
    <row r="11" spans="1:17" x14ac:dyDescent="0.4">
      <c r="A11" s="56" t="s">
        <v>140</v>
      </c>
      <c r="B11" s="48">
        <v>3</v>
      </c>
      <c r="C11" s="40">
        <f>IF(B$2=0,0,B11/B$2)</f>
        <v>9.0909090909090912E-2</v>
      </c>
      <c r="E11" s="63" t="s">
        <v>71</v>
      </c>
      <c r="F11" s="60" t="s">
        <v>26</v>
      </c>
      <c r="G11" s="47">
        <v>8</v>
      </c>
      <c r="H11" s="135">
        <f>IF(B$17=0,0,G11/B$17)</f>
        <v>0.11428571428571428</v>
      </c>
      <c r="I11" s="96">
        <v>4</v>
      </c>
      <c r="K11" s="38">
        <v>9</v>
      </c>
      <c r="L11" s="101">
        <v>-5.8000000000000025</v>
      </c>
      <c r="N11" s="117" t="s">
        <v>166</v>
      </c>
      <c r="O11" s="127">
        <f>IF(P11=0,0,Q11/P11)</f>
        <v>-8.9833333333333325</v>
      </c>
      <c r="P11" s="121">
        <v>12</v>
      </c>
      <c r="Q11" s="109">
        <v>-107.79999999999998</v>
      </c>
    </row>
    <row r="12" spans="1:17" x14ac:dyDescent="0.4">
      <c r="A12" s="57" t="s">
        <v>160</v>
      </c>
      <c r="B12" s="49">
        <v>3</v>
      </c>
      <c r="C12" s="42">
        <f>IF(B$2=0,0,B12/B$2)</f>
        <v>9.0909090909090912E-2</v>
      </c>
      <c r="E12" s="63" t="s">
        <v>72</v>
      </c>
      <c r="F12" s="60" t="s">
        <v>27</v>
      </c>
      <c r="G12" s="47">
        <v>6</v>
      </c>
      <c r="H12" s="135">
        <f>IF(B$17=0,0,G12/B$17)</f>
        <v>8.5714285714285715E-2</v>
      </c>
      <c r="I12" s="96">
        <v>3</v>
      </c>
      <c r="K12" s="38">
        <v>10</v>
      </c>
      <c r="L12" s="101">
        <v>-56.500000000000007</v>
      </c>
      <c r="N12" s="118" t="s">
        <v>167</v>
      </c>
      <c r="O12" s="128">
        <f>IF(P12=0,0,Q12/P12)</f>
        <v>-0.69285714285714317</v>
      </c>
      <c r="P12" s="122">
        <v>14</v>
      </c>
      <c r="Q12" s="110">
        <v>-9.7000000000000046</v>
      </c>
    </row>
    <row r="13" spans="1:17" x14ac:dyDescent="0.4">
      <c r="A13" s="58" t="s">
        <v>122</v>
      </c>
      <c r="B13" s="50">
        <v>70</v>
      </c>
      <c r="C13" s="44">
        <f>IF(B$3=0,0,B13/B$3)</f>
        <v>0.24305555555555555</v>
      </c>
      <c r="E13" s="63" t="s">
        <v>87</v>
      </c>
      <c r="F13" s="60" t="s">
        <v>42</v>
      </c>
      <c r="G13" s="47">
        <v>5</v>
      </c>
      <c r="H13" s="135">
        <f>IF(B$17=0,0,G13/B$17)</f>
        <v>7.1428571428571425E-2</v>
      </c>
      <c r="I13" s="96">
        <v>3</v>
      </c>
      <c r="K13" s="38">
        <v>11</v>
      </c>
      <c r="L13" s="101">
        <v>-27.600000000000009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51</v>
      </c>
      <c r="C14" s="39">
        <f>IF(B$3=0,0,B14/B$3)</f>
        <v>0.17708333333333334</v>
      </c>
      <c r="E14" s="63" t="s">
        <v>84</v>
      </c>
      <c r="F14" s="60" t="s">
        <v>39</v>
      </c>
      <c r="G14" s="47">
        <v>4</v>
      </c>
      <c r="H14" s="135">
        <f>IF(B$17=0,0,G14/B$17)</f>
        <v>5.7142857142857141E-2</v>
      </c>
      <c r="I14" s="96">
        <v>1</v>
      </c>
      <c r="K14" s="38">
        <v>12</v>
      </c>
      <c r="L14" s="101">
        <v>-42.900000000000006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39</v>
      </c>
      <c r="C15" s="37">
        <f>IF(B$13=0,0,B15/B$13)</f>
        <v>0.55714285714285716</v>
      </c>
      <c r="E15" s="63" t="s">
        <v>79</v>
      </c>
      <c r="F15" s="60" t="s">
        <v>34</v>
      </c>
      <c r="G15" s="47">
        <v>3</v>
      </c>
      <c r="H15" s="135">
        <f>IF(B$17=0,0,G15/B$17)</f>
        <v>4.2857142857142858E-2</v>
      </c>
      <c r="I15" s="96">
        <v>1</v>
      </c>
      <c r="K15" s="38">
        <v>13</v>
      </c>
      <c r="L15" s="101">
        <v>-58.7</v>
      </c>
      <c r="N15" s="116" t="s">
        <v>129</v>
      </c>
      <c r="O15" s="126">
        <f>IF(P15=0,0,Q15/P15)</f>
        <v>86.820000000000007</v>
      </c>
      <c r="P15" s="120">
        <v>5</v>
      </c>
      <c r="Q15" s="108">
        <v>434.1</v>
      </c>
    </row>
    <row r="16" spans="1:17" x14ac:dyDescent="0.4">
      <c r="A16" s="54" t="s">
        <v>125</v>
      </c>
      <c r="B16" s="46">
        <v>16</v>
      </c>
      <c r="C16" s="37">
        <f>IF(B$14=0,0,B16/B$14)</f>
        <v>0.31372549019607843</v>
      </c>
      <c r="E16" s="63" t="s">
        <v>76</v>
      </c>
      <c r="F16" s="60" t="s">
        <v>31</v>
      </c>
      <c r="G16" s="47">
        <v>2</v>
      </c>
      <c r="H16" s="135">
        <f>IF(B$17=0,0,G16/B$17)</f>
        <v>2.8571428571428571E-2</v>
      </c>
      <c r="I16" s="96">
        <v>2</v>
      </c>
      <c r="K16" s="38">
        <v>14</v>
      </c>
      <c r="L16" s="101">
        <v>-29.400000000000002</v>
      </c>
      <c r="N16" s="117" t="s">
        <v>187</v>
      </c>
      <c r="O16" s="127">
        <f>IF(P16=0,0,Q16/P16)</f>
        <v>25.400000000000002</v>
      </c>
      <c r="P16" s="121">
        <v>2</v>
      </c>
      <c r="Q16" s="109">
        <v>50.800000000000004</v>
      </c>
    </row>
    <row r="17" spans="1:17" x14ac:dyDescent="0.4">
      <c r="A17" s="54" t="s">
        <v>10</v>
      </c>
      <c r="B17" s="46">
        <f>B19+B18</f>
        <v>70</v>
      </c>
      <c r="C17" s="37">
        <f>IF(B$3=0,0,B17/B$3)</f>
        <v>0.24305555555555555</v>
      </c>
      <c r="E17" s="63" t="s">
        <v>181</v>
      </c>
      <c r="F17" s="60" t="s">
        <v>184</v>
      </c>
      <c r="G17" s="47">
        <v>2</v>
      </c>
      <c r="H17" s="135">
        <f>IF(B$17=0,0,G17/B$17)</f>
        <v>2.8571428571428571E-2</v>
      </c>
      <c r="I17" s="96">
        <v>1</v>
      </c>
      <c r="K17" s="38">
        <v>15</v>
      </c>
      <c r="L17" s="101">
        <v>-26.3</v>
      </c>
      <c r="N17" s="117" t="s">
        <v>174</v>
      </c>
      <c r="O17" s="127">
        <f>IF(P17=0,0,Q17/P17)</f>
        <v>15.190000000000001</v>
      </c>
      <c r="P17" s="121">
        <v>10</v>
      </c>
      <c r="Q17" s="109">
        <v>151.9</v>
      </c>
    </row>
    <row r="18" spans="1:17" x14ac:dyDescent="0.4">
      <c r="A18" s="55" t="s">
        <v>12</v>
      </c>
      <c r="B18" s="47">
        <v>25</v>
      </c>
      <c r="C18" s="39">
        <f>IF(B$17=0,0,B18/B$17)</f>
        <v>0.35714285714285715</v>
      </c>
      <c r="E18" s="63" t="s">
        <v>82</v>
      </c>
      <c r="F18" s="60" t="s">
        <v>37</v>
      </c>
      <c r="G18" s="47">
        <v>1</v>
      </c>
      <c r="H18" s="135">
        <f>IF(B$17=0,0,G18/B$17)</f>
        <v>1.4285714285714285E-2</v>
      </c>
      <c r="I18" s="96">
        <v>5</v>
      </c>
      <c r="K18" s="38">
        <v>16</v>
      </c>
      <c r="L18" s="101">
        <v>-50.3</v>
      </c>
      <c r="N18" s="117" t="s">
        <v>173</v>
      </c>
      <c r="O18" s="127">
        <f>IF(P18=0,0,Q18/P18)</f>
        <v>5.2555555555555546</v>
      </c>
      <c r="P18" s="121">
        <v>9</v>
      </c>
      <c r="Q18" s="109">
        <v>47.29999999999999</v>
      </c>
    </row>
    <row r="19" spans="1:17" x14ac:dyDescent="0.4">
      <c r="A19" s="55" t="s">
        <v>11</v>
      </c>
      <c r="B19" s="47">
        <v>45</v>
      </c>
      <c r="C19" s="39">
        <f>IF(B$17=0,0,B19/B$17)</f>
        <v>0.6428571428571429</v>
      </c>
      <c r="E19" s="63" t="s">
        <v>93</v>
      </c>
      <c r="F19" s="60" t="s">
        <v>48</v>
      </c>
      <c r="G19" s="47">
        <v>1</v>
      </c>
      <c r="H19" s="135">
        <f>IF(B$17=0,0,G19/B$17)</f>
        <v>1.4285714285714285E-2</v>
      </c>
      <c r="I19" s="96">
        <v>1</v>
      </c>
      <c r="K19" s="38">
        <v>17</v>
      </c>
      <c r="L19" s="101">
        <v>-74.3</v>
      </c>
      <c r="N19" s="117" t="s">
        <v>178</v>
      </c>
      <c r="O19" s="127">
        <f>IF(P19=0,0,Q19/P19)</f>
        <v>-12.149999999999999</v>
      </c>
      <c r="P19" s="121">
        <v>2</v>
      </c>
      <c r="Q19" s="109">
        <v>-24.299999999999997</v>
      </c>
    </row>
    <row r="20" spans="1:17" x14ac:dyDescent="0.4">
      <c r="A20" s="55" t="s">
        <v>13</v>
      </c>
      <c r="B20" s="47">
        <v>48</v>
      </c>
      <c r="C20" s="39">
        <f>IF(B$3=0,0,B20/B$3)</f>
        <v>0.16666666666666666</v>
      </c>
      <c r="E20" s="63" t="s">
        <v>74</v>
      </c>
      <c r="F20" s="60" t="s">
        <v>29</v>
      </c>
      <c r="G20" s="47">
        <v>0</v>
      </c>
      <c r="H20" s="135">
        <f>IF(B$17=0,0,G20/B$17)</f>
        <v>0</v>
      </c>
      <c r="I20" s="96">
        <v>5</v>
      </c>
      <c r="K20" s="38">
        <v>18</v>
      </c>
      <c r="L20" s="101">
        <v>-76.099999999999994</v>
      </c>
      <c r="N20" s="117" t="s">
        <v>128</v>
      </c>
      <c r="O20" s="127">
        <f>IF(P20=0,0,Q20/P20)</f>
        <v>-21.681250000000009</v>
      </c>
      <c r="P20" s="121">
        <v>16</v>
      </c>
      <c r="Q20" s="109">
        <v>-346.90000000000015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75</v>
      </c>
      <c r="F21" s="60" t="s">
        <v>30</v>
      </c>
      <c r="G21" s="47">
        <v>0</v>
      </c>
      <c r="H21" s="135">
        <f>IF(B$17=0,0,G21/B$17)</f>
        <v>0</v>
      </c>
      <c r="I21" s="96">
        <v>3</v>
      </c>
      <c r="K21" s="38">
        <v>19</v>
      </c>
      <c r="L21" s="101">
        <v>0.60000000000000853</v>
      </c>
      <c r="N21" s="117" t="s">
        <v>203</v>
      </c>
      <c r="O21" s="127">
        <f>IF(P21=0,0,Q21/P21)</f>
        <v>-21.9</v>
      </c>
      <c r="P21" s="121">
        <v>1</v>
      </c>
      <c r="Q21" s="109">
        <v>-21.9</v>
      </c>
    </row>
    <row r="22" spans="1:17" x14ac:dyDescent="0.4">
      <c r="A22" s="55" t="s">
        <v>195</v>
      </c>
      <c r="B22" s="47">
        <v>20</v>
      </c>
      <c r="C22" s="137">
        <v>3</v>
      </c>
      <c r="E22" s="63" t="s">
        <v>77</v>
      </c>
      <c r="F22" s="60" t="s">
        <v>32</v>
      </c>
      <c r="G22" s="47">
        <v>0</v>
      </c>
      <c r="H22" s="135">
        <f>IF(B$17=0,0,G22/B$17)</f>
        <v>0</v>
      </c>
      <c r="I22" s="96">
        <v>1</v>
      </c>
      <c r="K22" s="38">
        <v>20</v>
      </c>
      <c r="L22" s="101">
        <v>-3.5999999999999917</v>
      </c>
      <c r="N22" s="117" t="s">
        <v>127</v>
      </c>
      <c r="O22" s="127">
        <f>IF(P22=0,0,Q22/P22)</f>
        <v>-29.414285714285718</v>
      </c>
      <c r="P22" s="121">
        <v>21</v>
      </c>
      <c r="Q22" s="109">
        <v>-617.70000000000005</v>
      </c>
    </row>
    <row r="23" spans="1:17" x14ac:dyDescent="0.4">
      <c r="A23" s="55" t="s">
        <v>5</v>
      </c>
      <c r="B23" s="51">
        <f>IF(B$17=0,0,C23/B$17)</f>
        <v>8422.8571428571431</v>
      </c>
      <c r="C23" s="41">
        <v>589600</v>
      </c>
      <c r="E23" s="63" t="s">
        <v>78</v>
      </c>
      <c r="F23" s="60" t="s">
        <v>33</v>
      </c>
      <c r="G23" s="47">
        <v>0</v>
      </c>
      <c r="H23" s="135">
        <f>IF(B$17=0,0,G23/B$17)</f>
        <v>0</v>
      </c>
      <c r="I23" s="96">
        <v>4</v>
      </c>
      <c r="K23" s="38">
        <v>21</v>
      </c>
      <c r="L23" s="101">
        <v>-3.0999999999999917</v>
      </c>
    </row>
    <row r="24" spans="1:17" x14ac:dyDescent="0.4">
      <c r="A24" s="57" t="s">
        <v>14</v>
      </c>
      <c r="B24" s="52">
        <f>IF(B$20=0,0,C24/B$20)</f>
        <v>-7206.25</v>
      </c>
      <c r="C24" s="45">
        <v>-345900</v>
      </c>
      <c r="E24" s="63" t="s">
        <v>80</v>
      </c>
      <c r="F24" s="60" t="s">
        <v>35</v>
      </c>
      <c r="G24" s="47">
        <v>0</v>
      </c>
      <c r="H24" s="135">
        <f>IF(B$17=0,0,G24/B$17)</f>
        <v>0</v>
      </c>
      <c r="I24" s="96">
        <v>6</v>
      </c>
      <c r="K24" s="38">
        <v>22</v>
      </c>
      <c r="L24" s="101">
        <v>-17.099999999999991</v>
      </c>
    </row>
    <row r="25" spans="1:17" x14ac:dyDescent="0.4">
      <c r="A25" s="92" t="s">
        <v>142</v>
      </c>
      <c r="B25" s="142">
        <v>4</v>
      </c>
      <c r="C25" s="143"/>
      <c r="E25" s="63" t="s">
        <v>81</v>
      </c>
      <c r="F25" s="60" t="s">
        <v>36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-55.699999999999989</v>
      </c>
    </row>
    <row r="26" spans="1:17" x14ac:dyDescent="0.4">
      <c r="A26" s="58" t="s">
        <v>152</v>
      </c>
      <c r="B26" s="140">
        <v>91700</v>
      </c>
      <c r="C26" s="141"/>
      <c r="E26" s="63" t="s">
        <v>83</v>
      </c>
      <c r="F26" s="60" t="s">
        <v>38</v>
      </c>
      <c r="G26" s="47">
        <v>0</v>
      </c>
      <c r="H26" s="135">
        <f>IF(B$17=0,0,G26/B$17)</f>
        <v>0</v>
      </c>
      <c r="I26" s="96">
        <v>1</v>
      </c>
      <c r="K26" s="38">
        <v>24</v>
      </c>
      <c r="L26" s="101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3.472222222222222E-3</v>
      </c>
      <c r="E27" s="63" t="s">
        <v>85</v>
      </c>
      <c r="F27" s="60" t="s">
        <v>40</v>
      </c>
      <c r="G27" s="47">
        <v>0</v>
      </c>
      <c r="H27" s="135">
        <f>IF(B$17=0,0,G27/B$17)</f>
        <v>0</v>
      </c>
      <c r="I27" s="96">
        <v>3</v>
      </c>
      <c r="K27" s="38">
        <v>25</v>
      </c>
      <c r="L27" s="101">
        <v>-39.999999999999986</v>
      </c>
    </row>
    <row r="28" spans="1:17" x14ac:dyDescent="0.4">
      <c r="E28" s="63" t="s">
        <v>86</v>
      </c>
      <c r="F28" s="60" t="s">
        <v>41</v>
      </c>
      <c r="G28" s="47">
        <v>0</v>
      </c>
      <c r="H28" s="135">
        <f>IF(B$17=0,0,G28/B$17)</f>
        <v>0</v>
      </c>
      <c r="I28" s="96">
        <v>3</v>
      </c>
      <c r="K28" s="38">
        <v>26</v>
      </c>
      <c r="L28" s="101">
        <v>-71.099999999999994</v>
      </c>
    </row>
    <row r="29" spans="1:17" x14ac:dyDescent="0.4">
      <c r="E29" s="63" t="s">
        <v>88</v>
      </c>
      <c r="F29" s="60" t="s">
        <v>43</v>
      </c>
      <c r="G29" s="47">
        <v>0</v>
      </c>
      <c r="H29" s="135">
        <f>IF(B$17=0,0,G29/B$17)</f>
        <v>0</v>
      </c>
      <c r="I29" s="96">
        <v>3</v>
      </c>
      <c r="K29" s="38">
        <v>27</v>
      </c>
      <c r="L29" s="101">
        <v>-66.199999999999989</v>
      </c>
    </row>
    <row r="30" spans="1:17" x14ac:dyDescent="0.4">
      <c r="E30" s="63" t="s">
        <v>89</v>
      </c>
      <c r="F30" s="60" t="s">
        <v>44</v>
      </c>
      <c r="G30" s="47">
        <v>0</v>
      </c>
      <c r="H30" s="135">
        <f>IF(B$17=0,0,G30/B$17)</f>
        <v>0</v>
      </c>
      <c r="I30" s="96">
        <v>4</v>
      </c>
      <c r="K30" s="38">
        <v>28</v>
      </c>
      <c r="L30" s="101">
        <v>-116.49999999999999</v>
      </c>
    </row>
    <row r="31" spans="1:17" x14ac:dyDescent="0.4">
      <c r="E31" s="63" t="s">
        <v>91</v>
      </c>
      <c r="F31" s="60" t="s">
        <v>46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-121.79999999999998</v>
      </c>
    </row>
    <row r="32" spans="1:17" x14ac:dyDescent="0.4">
      <c r="E32" s="63" t="s">
        <v>92</v>
      </c>
      <c r="F32" s="60" t="s">
        <v>47</v>
      </c>
      <c r="G32" s="47">
        <v>0</v>
      </c>
      <c r="H32" s="135">
        <f>IF(B$17=0,0,G32/B$17)</f>
        <v>0</v>
      </c>
      <c r="I32" s="96">
        <v>7</v>
      </c>
      <c r="K32" s="38">
        <v>30</v>
      </c>
      <c r="L32" s="101">
        <v>-156.19999999999999</v>
      </c>
    </row>
    <row r="33" spans="5:12" x14ac:dyDescent="0.4">
      <c r="E33" s="63" t="s">
        <v>94</v>
      </c>
      <c r="F33" s="60" t="s">
        <v>49</v>
      </c>
      <c r="G33" s="47">
        <v>0</v>
      </c>
      <c r="H33" s="135">
        <f>IF(B$17=0,0,G33/B$17)</f>
        <v>0</v>
      </c>
      <c r="I33" s="96">
        <v>3</v>
      </c>
      <c r="K33" s="38">
        <v>31</v>
      </c>
      <c r="L33" s="101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5">
        <f>IF(B$17=0,0,G35/B$17)</f>
        <v>0</v>
      </c>
      <c r="I35" s="96">
        <v>3</v>
      </c>
      <c r="K35" s="38">
        <v>33</v>
      </c>
      <c r="L35" s="101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>IF(B$17=0,0,G36/B$17)</f>
        <v>0</v>
      </c>
      <c r="I36" s="96">
        <v>1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>IF(B$17=0,0,G37/B$17)</f>
        <v>0</v>
      </c>
      <c r="I37" s="96">
        <v>1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>IF(B$17=0,0,G38/B$17)</f>
        <v>0</v>
      </c>
      <c r="I38" s="96">
        <v>1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>IF(B$17=0,0,G39/B$17)</f>
        <v>0</v>
      </c>
      <c r="I39" s="96">
        <v>1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>IF(B$17=0,0,G40/B$17)</f>
        <v>0</v>
      </c>
      <c r="I40" s="96">
        <v>1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>IF(B$17=0,0,G41/B$17)</f>
        <v>0</v>
      </c>
      <c r="I41" s="96">
        <v>1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>IF(B$17=0,0,G42/B$17)</f>
        <v>0</v>
      </c>
      <c r="I42" s="96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>IF(B$17=0,0,G43/B$17)</f>
        <v>0</v>
      </c>
      <c r="I43" s="96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>IF(B$17=0,0,G44/B$17)</f>
        <v>0</v>
      </c>
      <c r="I44" s="96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>IF(B$17=0,0,G45/B$17)</f>
        <v>0</v>
      </c>
      <c r="I45" s="96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>IF(B$17=0,0,G46/B$17)</f>
        <v>0</v>
      </c>
      <c r="I46" s="96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>IF(B$17=0,0,G47/B$17)</f>
        <v>0</v>
      </c>
      <c r="I47" s="96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6">
        <f>IF(B$17=0,0,G51/B$17)</f>
        <v>0</v>
      </c>
      <c r="I51" s="97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C30A1-0853-417D-8797-D1EE98CB4B6F}">
  <sheetPr codeName="Sheet15"/>
  <dimension ref="A1:Q51"/>
  <sheetViews>
    <sheetView showGridLines="0" zoomScaleNormal="100" workbookViewId="0">
      <selection activeCell="B1" sqref="B1:C1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173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23</v>
      </c>
      <c r="C2" s="149"/>
      <c r="E2" s="62" t="s">
        <v>73</v>
      </c>
      <c r="F2" s="59" t="s">
        <v>28</v>
      </c>
      <c r="G2" s="46">
        <v>48</v>
      </c>
      <c r="H2" s="134">
        <f>IF(B$17=0,0,G2/B$17)</f>
        <v>0.76190476190476186</v>
      </c>
      <c r="I2" s="95">
        <v>1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-347.82608695652175</v>
      </c>
      <c r="P2" s="120">
        <v>23</v>
      </c>
      <c r="Q2" s="104">
        <v>-8000</v>
      </c>
    </row>
    <row r="3" spans="1:17" x14ac:dyDescent="0.4">
      <c r="A3" s="55" t="s">
        <v>8</v>
      </c>
      <c r="B3" s="150">
        <v>189</v>
      </c>
      <c r="C3" s="151"/>
      <c r="E3" s="63" t="s">
        <v>67</v>
      </c>
      <c r="F3" s="60" t="s">
        <v>23</v>
      </c>
      <c r="G3" s="47">
        <v>38</v>
      </c>
      <c r="H3" s="135">
        <f>IF(B$17=0,0,G3/B$17)</f>
        <v>0.60317460317460314</v>
      </c>
      <c r="I3" s="96">
        <v>8</v>
      </c>
      <c r="K3" s="38">
        <v>1</v>
      </c>
      <c r="L3" s="101">
        <v>11.1</v>
      </c>
      <c r="N3" s="117" t="s">
        <v>133</v>
      </c>
      <c r="O3" s="124">
        <f t="shared" si="0"/>
        <v>1504.3478260869565</v>
      </c>
      <c r="P3" s="121">
        <v>23</v>
      </c>
      <c r="Q3" s="105">
        <v>34600</v>
      </c>
    </row>
    <row r="4" spans="1:17" x14ac:dyDescent="0.4">
      <c r="A4" s="55" t="s">
        <v>6</v>
      </c>
      <c r="B4" s="152">
        <v>-5.3999999999999986</v>
      </c>
      <c r="C4" s="153"/>
      <c r="E4" s="63" t="s">
        <v>182</v>
      </c>
      <c r="F4" s="60" t="s">
        <v>183</v>
      </c>
      <c r="G4" s="47">
        <v>25</v>
      </c>
      <c r="H4" s="135">
        <f>IF(B$17=0,0,G4/B$17)</f>
        <v>0.3968253968253968</v>
      </c>
      <c r="I4" s="96">
        <v>5</v>
      </c>
      <c r="K4" s="38">
        <v>2</v>
      </c>
      <c r="L4" s="101">
        <v>-7.7000000000000011</v>
      </c>
      <c r="N4" s="117" t="s">
        <v>134</v>
      </c>
      <c r="O4" s="124">
        <f t="shared" si="0"/>
        <v>147.36842105263159</v>
      </c>
      <c r="P4" s="121">
        <v>19</v>
      </c>
      <c r="Q4" s="105">
        <v>2800</v>
      </c>
    </row>
    <row r="5" spans="1:17" x14ac:dyDescent="0.4">
      <c r="A5" s="55" t="s">
        <v>7</v>
      </c>
      <c r="B5" s="154">
        <f>IF(B$2=0,0,B$4/B$2)</f>
        <v>-0.23478260869565212</v>
      </c>
      <c r="C5" s="155"/>
      <c r="E5" s="63" t="s">
        <v>65</v>
      </c>
      <c r="F5" s="60" t="s">
        <v>21</v>
      </c>
      <c r="G5" s="47">
        <v>24</v>
      </c>
      <c r="H5" s="135">
        <f>IF(B$17=0,0,G5/B$17)</f>
        <v>0.38095238095238093</v>
      </c>
      <c r="I5" s="96">
        <v>9</v>
      </c>
      <c r="K5" s="38">
        <v>3</v>
      </c>
      <c r="L5" s="101">
        <v>1.7999999999999989</v>
      </c>
      <c r="N5" s="117" t="s">
        <v>135</v>
      </c>
      <c r="O5" s="124">
        <f t="shared" si="0"/>
        <v>1447.0588235294117</v>
      </c>
      <c r="P5" s="121">
        <v>17</v>
      </c>
      <c r="Q5" s="105">
        <v>24600</v>
      </c>
    </row>
    <row r="6" spans="1:17" x14ac:dyDescent="0.4">
      <c r="A6" s="55" t="s">
        <v>1</v>
      </c>
      <c r="B6" s="144">
        <f>IF(B$2=0,0,(B$7*1+B$8*2+B$9*3)/B$2)</f>
        <v>2.0434782608695654</v>
      </c>
      <c r="C6" s="145"/>
      <c r="E6" s="63" t="s">
        <v>69</v>
      </c>
      <c r="F6" s="60" t="s">
        <v>12</v>
      </c>
      <c r="G6" s="47">
        <v>16</v>
      </c>
      <c r="H6" s="135">
        <f>IF(B$17=0,0,G6/B$17)</f>
        <v>0.25396825396825395</v>
      </c>
      <c r="I6" s="96">
        <v>6</v>
      </c>
      <c r="K6" s="38">
        <v>4</v>
      </c>
      <c r="L6" s="101">
        <v>34.9</v>
      </c>
      <c r="N6" s="117" t="s">
        <v>136</v>
      </c>
      <c r="O6" s="124">
        <f t="shared" si="0"/>
        <v>-4852.9411764705883</v>
      </c>
      <c r="P6" s="121">
        <v>17</v>
      </c>
      <c r="Q6" s="105">
        <v>-82500</v>
      </c>
    </row>
    <row r="7" spans="1:17" x14ac:dyDescent="0.4">
      <c r="A7" s="55" t="s">
        <v>2</v>
      </c>
      <c r="B7" s="47">
        <v>7</v>
      </c>
      <c r="C7" s="39">
        <f>IF(B$2=0,0,B7/B$2)</f>
        <v>0.30434782608695654</v>
      </c>
      <c r="E7" s="63" t="s">
        <v>68</v>
      </c>
      <c r="F7" s="60" t="s">
        <v>24</v>
      </c>
      <c r="G7" s="47">
        <v>13</v>
      </c>
      <c r="H7" s="135">
        <f>IF(B$17=0,0,G7/B$17)</f>
        <v>0.20634920634920634</v>
      </c>
      <c r="I7" s="96">
        <v>8</v>
      </c>
      <c r="K7" s="38">
        <v>5</v>
      </c>
      <c r="L7" s="101">
        <v>29.4</v>
      </c>
      <c r="N7" s="118" t="s">
        <v>137</v>
      </c>
      <c r="O7" s="125">
        <f t="shared" si="0"/>
        <v>-733.33333333333337</v>
      </c>
      <c r="P7" s="122">
        <v>15</v>
      </c>
      <c r="Q7" s="106">
        <v>-11000</v>
      </c>
    </row>
    <row r="8" spans="1:17" x14ac:dyDescent="0.4">
      <c r="A8" s="55" t="s">
        <v>3</v>
      </c>
      <c r="B8" s="47">
        <v>8</v>
      </c>
      <c r="C8" s="39">
        <f>IF(B$2=0,0,B8/B$2)</f>
        <v>0.34782608695652173</v>
      </c>
      <c r="E8" s="63" t="s">
        <v>70</v>
      </c>
      <c r="F8" s="60" t="s">
        <v>25</v>
      </c>
      <c r="G8" s="47">
        <v>7</v>
      </c>
      <c r="H8" s="135">
        <f>IF(B$17=0,0,G8/B$17)</f>
        <v>0.1111111111111111</v>
      </c>
      <c r="I8" s="96">
        <v>9</v>
      </c>
      <c r="K8" s="38">
        <v>6</v>
      </c>
      <c r="L8" s="101">
        <v>4.2999999999999972</v>
      </c>
      <c r="N8" s="43"/>
      <c r="O8" s="129"/>
      <c r="P8" s="113"/>
      <c r="Q8" s="111"/>
    </row>
    <row r="9" spans="1:17" x14ac:dyDescent="0.4">
      <c r="A9" s="56" t="s">
        <v>4</v>
      </c>
      <c r="B9" s="48">
        <v>8</v>
      </c>
      <c r="C9" s="40">
        <f t="shared" ref="C9" si="1">IF(B$2=0,0,B9/B$2)</f>
        <v>0.34782608695652173</v>
      </c>
      <c r="E9" s="63" t="s">
        <v>71</v>
      </c>
      <c r="F9" s="60" t="s">
        <v>26</v>
      </c>
      <c r="G9" s="47">
        <v>5</v>
      </c>
      <c r="H9" s="135">
        <f>IF(B$17=0,0,G9/B$17)</f>
        <v>7.9365079365079361E-2</v>
      </c>
      <c r="I9" s="96">
        <v>7</v>
      </c>
      <c r="K9" s="38">
        <v>7</v>
      </c>
      <c r="L9" s="101">
        <v>7.7999999999999972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8.6956521739130432E-2</v>
      </c>
      <c r="E10" s="63" t="s">
        <v>90</v>
      </c>
      <c r="F10" s="60" t="s">
        <v>45</v>
      </c>
      <c r="G10" s="47">
        <v>5</v>
      </c>
      <c r="H10" s="135">
        <f>IF(B$17=0,0,G10/B$17)</f>
        <v>7.9365079365079361E-2</v>
      </c>
      <c r="I10" s="96">
        <v>10</v>
      </c>
      <c r="K10" s="38">
        <v>8</v>
      </c>
      <c r="L10" s="101">
        <v>-29.5</v>
      </c>
      <c r="N10" s="116" t="s">
        <v>165</v>
      </c>
      <c r="O10" s="126">
        <f>IF(P10=0,0,Q10/P10)</f>
        <v>-18.025000000000002</v>
      </c>
      <c r="P10" s="120">
        <v>8</v>
      </c>
      <c r="Q10" s="108">
        <v>-144.20000000000002</v>
      </c>
    </row>
    <row r="11" spans="1:17" x14ac:dyDescent="0.4">
      <c r="A11" s="56" t="s">
        <v>140</v>
      </c>
      <c r="B11" s="48">
        <v>2</v>
      </c>
      <c r="C11" s="40">
        <f>IF(B$2=0,0,B11/B$2)</f>
        <v>8.6956521739130432E-2</v>
      </c>
      <c r="E11" s="63" t="s">
        <v>66</v>
      </c>
      <c r="F11" s="60" t="s">
        <v>22</v>
      </c>
      <c r="G11" s="47">
        <v>4</v>
      </c>
      <c r="H11" s="135">
        <f>IF(B$17=0,0,G11/B$17)</f>
        <v>6.3492063492063489E-2</v>
      </c>
      <c r="I11" s="96">
        <v>8</v>
      </c>
      <c r="K11" s="38">
        <v>9</v>
      </c>
      <c r="L11" s="101">
        <v>-56.5</v>
      </c>
      <c r="N11" s="117" t="s">
        <v>166</v>
      </c>
      <c r="O11" s="127">
        <f>IF(P11=0,0,Q11/P11)</f>
        <v>20.7</v>
      </c>
      <c r="P11" s="121">
        <v>6</v>
      </c>
      <c r="Q11" s="109">
        <v>124.19999999999999</v>
      </c>
    </row>
    <row r="12" spans="1:17" x14ac:dyDescent="0.4">
      <c r="A12" s="57" t="s">
        <v>160</v>
      </c>
      <c r="B12" s="49">
        <v>1</v>
      </c>
      <c r="C12" s="42">
        <f>IF(B$2=0,0,B12/B$2)</f>
        <v>4.3478260869565216E-2</v>
      </c>
      <c r="E12" s="63" t="s">
        <v>82</v>
      </c>
      <c r="F12" s="60" t="s">
        <v>37</v>
      </c>
      <c r="G12" s="47">
        <v>3</v>
      </c>
      <c r="H12" s="135">
        <f>IF(B$17=0,0,G12/B$17)</f>
        <v>4.7619047619047616E-2</v>
      </c>
      <c r="I12" s="96">
        <v>1</v>
      </c>
      <c r="K12" s="38">
        <v>10</v>
      </c>
      <c r="L12" s="101">
        <v>24.200000000000003</v>
      </c>
      <c r="N12" s="118" t="s">
        <v>167</v>
      </c>
      <c r="O12" s="128">
        <f>IF(P12=0,0,Q12/P12)</f>
        <v>1.6222222222222227</v>
      </c>
      <c r="P12" s="122">
        <v>9</v>
      </c>
      <c r="Q12" s="110">
        <v>14.600000000000005</v>
      </c>
    </row>
    <row r="13" spans="1:17" x14ac:dyDescent="0.4">
      <c r="A13" s="58" t="s">
        <v>122</v>
      </c>
      <c r="B13" s="50">
        <v>43</v>
      </c>
      <c r="C13" s="44">
        <f>IF(B$3=0,0,B13/B$3)</f>
        <v>0.2275132275132275</v>
      </c>
      <c r="E13" s="63" t="s">
        <v>87</v>
      </c>
      <c r="F13" s="60" t="s">
        <v>42</v>
      </c>
      <c r="G13" s="47">
        <v>3</v>
      </c>
      <c r="H13" s="135">
        <f>IF(B$17=0,0,G13/B$17)</f>
        <v>4.7619047619047616E-2</v>
      </c>
      <c r="I13" s="96">
        <v>7</v>
      </c>
      <c r="K13" s="38">
        <v>11</v>
      </c>
      <c r="L13" s="101">
        <v>74.2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65</v>
      </c>
      <c r="C14" s="39">
        <f>IF(B$3=0,0,B14/B$3)</f>
        <v>0.3439153439153439</v>
      </c>
      <c r="E14" s="63" t="s">
        <v>72</v>
      </c>
      <c r="F14" s="60" t="s">
        <v>27</v>
      </c>
      <c r="G14" s="47">
        <v>2</v>
      </c>
      <c r="H14" s="135">
        <f>IF(B$17=0,0,G14/B$17)</f>
        <v>3.1746031746031744E-2</v>
      </c>
      <c r="I14" s="96">
        <v>9</v>
      </c>
      <c r="K14" s="38">
        <v>12</v>
      </c>
      <c r="L14" s="101">
        <v>46.1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25</v>
      </c>
      <c r="C15" s="37">
        <f>IF(B$13=0,0,B15/B$13)</f>
        <v>0.58139534883720934</v>
      </c>
      <c r="E15" s="63" t="s">
        <v>79</v>
      </c>
      <c r="F15" s="60" t="s">
        <v>34</v>
      </c>
      <c r="G15" s="47">
        <v>2</v>
      </c>
      <c r="H15" s="135">
        <f>IF(B$17=0,0,G15/B$17)</f>
        <v>3.1746031746031744E-2</v>
      </c>
      <c r="I15" s="96">
        <v>2</v>
      </c>
      <c r="K15" s="38">
        <v>13</v>
      </c>
      <c r="L15" s="101">
        <v>-3</v>
      </c>
      <c r="N15" s="116" t="s">
        <v>129</v>
      </c>
      <c r="O15" s="126">
        <f>IF(P15=0,0,Q15/P15)</f>
        <v>70.183333333333323</v>
      </c>
      <c r="P15" s="120">
        <v>6</v>
      </c>
      <c r="Q15" s="108">
        <v>421.09999999999997</v>
      </c>
    </row>
    <row r="16" spans="1:17" x14ac:dyDescent="0.4">
      <c r="A16" s="54" t="s">
        <v>125</v>
      </c>
      <c r="B16" s="46">
        <v>27</v>
      </c>
      <c r="C16" s="37">
        <f>IF(B$14=0,0,B16/B$14)</f>
        <v>0.41538461538461541</v>
      </c>
      <c r="E16" s="63" t="s">
        <v>80</v>
      </c>
      <c r="F16" s="60" t="s">
        <v>35</v>
      </c>
      <c r="G16" s="47">
        <v>2</v>
      </c>
      <c r="H16" s="135">
        <f>IF(B$17=0,0,G16/B$17)</f>
        <v>3.1746031746031744E-2</v>
      </c>
      <c r="I16" s="96">
        <v>1</v>
      </c>
      <c r="K16" s="38">
        <v>14</v>
      </c>
      <c r="L16" s="101">
        <v>-12.3</v>
      </c>
      <c r="N16" s="117" t="s">
        <v>203</v>
      </c>
      <c r="O16" s="127">
        <f>IF(P16=0,0,Q16/P16)</f>
        <v>59.4</v>
      </c>
      <c r="P16" s="121">
        <v>1</v>
      </c>
      <c r="Q16" s="109">
        <v>59.4</v>
      </c>
    </row>
    <row r="17" spans="1:17" x14ac:dyDescent="0.4">
      <c r="A17" s="54" t="s">
        <v>10</v>
      </c>
      <c r="B17" s="46">
        <f>B19+B18</f>
        <v>63</v>
      </c>
      <c r="C17" s="37">
        <f>IF(B$3=0,0,B17/B$3)</f>
        <v>0.33333333333333331</v>
      </c>
      <c r="E17" s="63" t="s">
        <v>84</v>
      </c>
      <c r="F17" s="60" t="s">
        <v>39</v>
      </c>
      <c r="G17" s="47">
        <v>2</v>
      </c>
      <c r="H17" s="135">
        <f>IF(B$17=0,0,G17/B$17)</f>
        <v>3.1746031746031744E-2</v>
      </c>
      <c r="I17" s="96">
        <v>6</v>
      </c>
      <c r="K17" s="38">
        <v>15</v>
      </c>
      <c r="L17" s="101">
        <v>-80.3</v>
      </c>
      <c r="N17" s="117" t="s">
        <v>178</v>
      </c>
      <c r="O17" s="127">
        <f>IF(P17=0,0,Q17/P17)</f>
        <v>34.799999999999997</v>
      </c>
      <c r="P17" s="121">
        <v>2</v>
      </c>
      <c r="Q17" s="109">
        <v>69.599999999999994</v>
      </c>
    </row>
    <row r="18" spans="1:17" x14ac:dyDescent="0.4">
      <c r="A18" s="55" t="s">
        <v>12</v>
      </c>
      <c r="B18" s="47">
        <v>26</v>
      </c>
      <c r="C18" s="39">
        <f>IF(B$17=0,0,B18/B$17)</f>
        <v>0.41269841269841268</v>
      </c>
      <c r="E18" s="63" t="s">
        <v>92</v>
      </c>
      <c r="F18" s="60" t="s">
        <v>47</v>
      </c>
      <c r="G18" s="47">
        <v>1</v>
      </c>
      <c r="H18" s="135">
        <f>IF(B$17=0,0,G18/B$17)</f>
        <v>1.5873015873015872E-2</v>
      </c>
      <c r="I18" s="96">
        <v>6</v>
      </c>
      <c r="K18" s="38">
        <v>16</v>
      </c>
      <c r="L18" s="101">
        <v>-87.6</v>
      </c>
      <c r="N18" s="117" t="s">
        <v>174</v>
      </c>
      <c r="O18" s="127">
        <f>IF(P18=0,0,Q18/P18)</f>
        <v>0.80000000000000249</v>
      </c>
      <c r="P18" s="121">
        <v>4</v>
      </c>
      <c r="Q18" s="109">
        <v>3.2000000000000099</v>
      </c>
    </row>
    <row r="19" spans="1:17" x14ac:dyDescent="0.4">
      <c r="A19" s="55" t="s">
        <v>11</v>
      </c>
      <c r="B19" s="47">
        <v>37</v>
      </c>
      <c r="C19" s="39">
        <f>IF(B$17=0,0,B19/B$17)</f>
        <v>0.58730158730158732</v>
      </c>
      <c r="E19" s="63" t="s">
        <v>74</v>
      </c>
      <c r="F19" s="60" t="s">
        <v>29</v>
      </c>
      <c r="G19" s="47">
        <v>0</v>
      </c>
      <c r="H19" s="135">
        <f>IF(B$17=0,0,G19/B$17)</f>
        <v>0</v>
      </c>
      <c r="I19" s="96">
        <v>5</v>
      </c>
      <c r="K19" s="38">
        <v>17</v>
      </c>
      <c r="L19" s="101">
        <v>-55.099999999999994</v>
      </c>
      <c r="N19" s="117" t="s">
        <v>128</v>
      </c>
      <c r="O19" s="127">
        <f>IF(P19=0,0,Q19/P19)</f>
        <v>-0.6230769230769263</v>
      </c>
      <c r="P19" s="121">
        <v>13</v>
      </c>
      <c r="Q19" s="109">
        <v>-8.1000000000000423</v>
      </c>
    </row>
    <row r="20" spans="1:17" x14ac:dyDescent="0.4">
      <c r="A20" s="55" t="s">
        <v>13</v>
      </c>
      <c r="B20" s="47">
        <v>27</v>
      </c>
      <c r="C20" s="39">
        <f>IF(B$3=0,0,B20/B$3)</f>
        <v>0.14285714285714285</v>
      </c>
      <c r="E20" s="63" t="s">
        <v>75</v>
      </c>
      <c r="F20" s="60" t="s">
        <v>30</v>
      </c>
      <c r="G20" s="47">
        <v>0</v>
      </c>
      <c r="H20" s="135">
        <f>IF(B$17=0,0,G20/B$17)</f>
        <v>0</v>
      </c>
      <c r="I20" s="96">
        <v>3</v>
      </c>
      <c r="K20" s="38">
        <v>18</v>
      </c>
      <c r="L20" s="101">
        <v>-28.199999999999996</v>
      </c>
      <c r="N20" s="117" t="s">
        <v>172</v>
      </c>
      <c r="O20" s="127">
        <f>IF(P20=0,0,Q20/P20)</f>
        <v>-5.2555555555555573</v>
      </c>
      <c r="P20" s="121">
        <v>9</v>
      </c>
      <c r="Q20" s="109">
        <v>-47.300000000000018</v>
      </c>
    </row>
    <row r="21" spans="1:17" x14ac:dyDescent="0.4">
      <c r="A21" s="55" t="s">
        <v>194</v>
      </c>
      <c r="B21" s="47">
        <v>10</v>
      </c>
      <c r="C21" s="137">
        <v>0</v>
      </c>
      <c r="E21" s="63" t="s">
        <v>76</v>
      </c>
      <c r="F21" s="60" t="s">
        <v>31</v>
      </c>
      <c r="G21" s="47">
        <v>0</v>
      </c>
      <c r="H21" s="135">
        <f>IF(B$17=0,0,G21/B$17)</f>
        <v>0</v>
      </c>
      <c r="I21" s="96">
        <v>6</v>
      </c>
      <c r="K21" s="38">
        <v>19</v>
      </c>
      <c r="L21" s="101">
        <v>29.200000000000003</v>
      </c>
      <c r="N21" s="117" t="s">
        <v>127</v>
      </c>
      <c r="O21" s="127">
        <f>IF(P21=0,0,Q21/P21)</f>
        <v>-46.736363636363642</v>
      </c>
      <c r="P21" s="121">
        <v>11</v>
      </c>
      <c r="Q21" s="109">
        <v>-514.1</v>
      </c>
    </row>
    <row r="22" spans="1:17" x14ac:dyDescent="0.4">
      <c r="A22" s="55" t="s">
        <v>195</v>
      </c>
      <c r="B22" s="47">
        <v>23</v>
      </c>
      <c r="C22" s="137">
        <v>1</v>
      </c>
      <c r="E22" s="63" t="s">
        <v>77</v>
      </c>
      <c r="F22" s="60" t="s">
        <v>32</v>
      </c>
      <c r="G22" s="47">
        <v>0</v>
      </c>
      <c r="H22" s="135">
        <f>IF(B$17=0,0,G22/B$17)</f>
        <v>0</v>
      </c>
      <c r="I22" s="96">
        <v>1</v>
      </c>
      <c r="K22" s="38">
        <v>20</v>
      </c>
      <c r="L22" s="101">
        <v>43</v>
      </c>
    </row>
    <row r="23" spans="1:17" x14ac:dyDescent="0.4">
      <c r="A23" s="55" t="s">
        <v>5</v>
      </c>
      <c r="B23" s="51">
        <f>IF(B$17=0,0,C23/B$17)</f>
        <v>6749.2063492063489</v>
      </c>
      <c r="C23" s="41">
        <v>425200</v>
      </c>
      <c r="E23" s="63" t="s">
        <v>78</v>
      </c>
      <c r="F23" s="60" t="s">
        <v>33</v>
      </c>
      <c r="G23" s="47">
        <v>0</v>
      </c>
      <c r="H23" s="135">
        <f>IF(B$17=0,0,G23/B$17)</f>
        <v>0</v>
      </c>
      <c r="I23" s="96">
        <v>4</v>
      </c>
      <c r="K23" s="38">
        <v>21</v>
      </c>
      <c r="L23" s="101">
        <v>89.9</v>
      </c>
    </row>
    <row r="24" spans="1:17" x14ac:dyDescent="0.4">
      <c r="A24" s="57" t="s">
        <v>14</v>
      </c>
      <c r="B24" s="52">
        <f>IF(B$20=0,0,C24/B$20)</f>
        <v>-8785.1851851851843</v>
      </c>
      <c r="C24" s="45">
        <v>-237200</v>
      </c>
      <c r="E24" s="63" t="s">
        <v>81</v>
      </c>
      <c r="F24" s="60" t="s">
        <v>36</v>
      </c>
      <c r="G24" s="47">
        <v>0</v>
      </c>
      <c r="H24" s="135">
        <f>IF(B$17=0,0,G24/B$17)</f>
        <v>0</v>
      </c>
      <c r="I24" s="96">
        <v>1</v>
      </c>
      <c r="K24" s="38">
        <v>22</v>
      </c>
      <c r="L24" s="101">
        <v>54.7</v>
      </c>
    </row>
    <row r="25" spans="1:17" x14ac:dyDescent="0.4">
      <c r="A25" s="92" t="s">
        <v>142</v>
      </c>
      <c r="B25" s="142">
        <v>6</v>
      </c>
      <c r="C25" s="143"/>
      <c r="E25" s="63" t="s">
        <v>83</v>
      </c>
      <c r="F25" s="60" t="s">
        <v>38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-5.3999999999999986</v>
      </c>
    </row>
    <row r="26" spans="1:17" x14ac:dyDescent="0.4">
      <c r="A26" s="58" t="s">
        <v>152</v>
      </c>
      <c r="B26" s="140">
        <v>95700</v>
      </c>
      <c r="C26" s="141"/>
      <c r="E26" s="63" t="s">
        <v>85</v>
      </c>
      <c r="F26" s="60" t="s">
        <v>40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86</v>
      </c>
      <c r="F27" s="60" t="s">
        <v>41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88</v>
      </c>
      <c r="F28" s="60" t="s">
        <v>43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5">
        <f>IF(B$17=0,0,G29/B$17)</f>
        <v>0</v>
      </c>
      <c r="I29" s="96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33298-1162-4CEC-9AB0-8218F57B364F}">
  <sheetPr codeName="Sheet17"/>
  <dimension ref="A1:Q51"/>
  <sheetViews>
    <sheetView showGridLines="0" zoomScaleNormal="100" workbookViewId="0">
      <selection activeCell="B1" sqref="B1:C1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174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21</v>
      </c>
      <c r="C2" s="149"/>
      <c r="E2" s="62" t="s">
        <v>67</v>
      </c>
      <c r="F2" s="59" t="s">
        <v>23</v>
      </c>
      <c r="G2" s="46">
        <v>45</v>
      </c>
      <c r="H2" s="134">
        <f>IF(B$17=0,0,G2/B$17)</f>
        <v>0.8035714285714286</v>
      </c>
      <c r="I2" s="95">
        <v>3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-4204.7619047619046</v>
      </c>
      <c r="P2" s="120">
        <v>21</v>
      </c>
      <c r="Q2" s="104">
        <v>-88300</v>
      </c>
    </row>
    <row r="3" spans="1:17" x14ac:dyDescent="0.4">
      <c r="A3" s="55" t="s">
        <v>8</v>
      </c>
      <c r="B3" s="150">
        <v>194</v>
      </c>
      <c r="C3" s="151"/>
      <c r="E3" s="63" t="s">
        <v>73</v>
      </c>
      <c r="F3" s="60" t="s">
        <v>28</v>
      </c>
      <c r="G3" s="47">
        <v>28</v>
      </c>
      <c r="H3" s="135">
        <f>IF(B$17=0,0,G3/B$17)</f>
        <v>0.5</v>
      </c>
      <c r="I3" s="96">
        <v>7</v>
      </c>
      <c r="K3" s="38">
        <v>1</v>
      </c>
      <c r="L3" s="101">
        <v>-82.6</v>
      </c>
      <c r="N3" s="117" t="s">
        <v>133</v>
      </c>
      <c r="O3" s="124">
        <f t="shared" si="0"/>
        <v>-642.85714285714289</v>
      </c>
      <c r="P3" s="121">
        <v>21</v>
      </c>
      <c r="Q3" s="105">
        <v>-13500</v>
      </c>
    </row>
    <row r="4" spans="1:17" x14ac:dyDescent="0.4">
      <c r="A4" s="55" t="s">
        <v>6</v>
      </c>
      <c r="B4" s="152">
        <v>-203.79999999999993</v>
      </c>
      <c r="C4" s="153"/>
      <c r="E4" s="63" t="s">
        <v>65</v>
      </c>
      <c r="F4" s="60" t="s">
        <v>21</v>
      </c>
      <c r="G4" s="47">
        <v>22</v>
      </c>
      <c r="H4" s="135">
        <f>IF(B$17=0,0,G4/B$17)</f>
        <v>0.39285714285714285</v>
      </c>
      <c r="I4" s="96">
        <v>8</v>
      </c>
      <c r="K4" s="38">
        <v>2</v>
      </c>
      <c r="L4" s="101">
        <v>-122.3</v>
      </c>
      <c r="N4" s="117" t="s">
        <v>134</v>
      </c>
      <c r="O4" s="124">
        <f t="shared" si="0"/>
        <v>-889.47368421052636</v>
      </c>
      <c r="P4" s="121">
        <v>19</v>
      </c>
      <c r="Q4" s="105">
        <v>-16900</v>
      </c>
    </row>
    <row r="5" spans="1:17" x14ac:dyDescent="0.4">
      <c r="A5" s="55" t="s">
        <v>7</v>
      </c>
      <c r="B5" s="154">
        <f>IF(B$2=0,0,B$4/B$2)</f>
        <v>-9.7047619047619005</v>
      </c>
      <c r="C5" s="155"/>
      <c r="E5" s="63" t="s">
        <v>69</v>
      </c>
      <c r="F5" s="60" t="s">
        <v>12</v>
      </c>
      <c r="G5" s="47">
        <v>21</v>
      </c>
      <c r="H5" s="135">
        <f>IF(B$17=0,0,G5/B$17)</f>
        <v>0.375</v>
      </c>
      <c r="I5" s="96">
        <v>3</v>
      </c>
      <c r="K5" s="38">
        <v>3</v>
      </c>
      <c r="L5" s="101">
        <v>-149</v>
      </c>
      <c r="N5" s="117" t="s">
        <v>135</v>
      </c>
      <c r="O5" s="124">
        <f t="shared" si="0"/>
        <v>-3194.4444444444443</v>
      </c>
      <c r="P5" s="121">
        <v>18</v>
      </c>
      <c r="Q5" s="105">
        <v>-57500</v>
      </c>
    </row>
    <row r="6" spans="1:17" x14ac:dyDescent="0.4">
      <c r="A6" s="55" t="s">
        <v>1</v>
      </c>
      <c r="B6" s="144">
        <f>IF(B$2=0,0,(B$7*1+B$8*2+B$9*3)/B$2)</f>
        <v>2.0952380952380953</v>
      </c>
      <c r="C6" s="145"/>
      <c r="E6" s="63" t="s">
        <v>182</v>
      </c>
      <c r="F6" s="60" t="s">
        <v>183</v>
      </c>
      <c r="G6" s="47">
        <v>14</v>
      </c>
      <c r="H6" s="135">
        <f>IF(B$17=0,0,G6/B$17)</f>
        <v>0.25</v>
      </c>
      <c r="I6" s="96">
        <v>10</v>
      </c>
      <c r="K6" s="38">
        <v>4</v>
      </c>
      <c r="L6" s="101">
        <v>-150.6</v>
      </c>
      <c r="N6" s="117" t="s">
        <v>136</v>
      </c>
      <c r="O6" s="124">
        <f t="shared" si="0"/>
        <v>1164.7058823529412</v>
      </c>
      <c r="P6" s="121">
        <v>17</v>
      </c>
      <c r="Q6" s="105">
        <v>19800</v>
      </c>
    </row>
    <row r="7" spans="1:17" x14ac:dyDescent="0.4">
      <c r="A7" s="55" t="s">
        <v>2</v>
      </c>
      <c r="B7" s="47">
        <v>5</v>
      </c>
      <c r="C7" s="39">
        <f>IF(B$2=0,0,B7/B$2)</f>
        <v>0.23809523809523808</v>
      </c>
      <c r="E7" s="63" t="s">
        <v>68</v>
      </c>
      <c r="F7" s="60" t="s">
        <v>24</v>
      </c>
      <c r="G7" s="47">
        <v>7</v>
      </c>
      <c r="H7" s="135">
        <f>IF(B$17=0,0,G7/B$17)</f>
        <v>0.125</v>
      </c>
      <c r="I7" s="96">
        <v>10</v>
      </c>
      <c r="K7" s="38">
        <v>5</v>
      </c>
      <c r="L7" s="101">
        <v>-184.89999999999998</v>
      </c>
      <c r="N7" s="118" t="s">
        <v>137</v>
      </c>
      <c r="O7" s="125">
        <f t="shared" si="0"/>
        <v>-462.5</v>
      </c>
      <c r="P7" s="122">
        <v>16</v>
      </c>
      <c r="Q7" s="106">
        <v>-7400</v>
      </c>
    </row>
    <row r="8" spans="1:17" x14ac:dyDescent="0.4">
      <c r="A8" s="55" t="s">
        <v>3</v>
      </c>
      <c r="B8" s="47">
        <v>9</v>
      </c>
      <c r="C8" s="39">
        <f>IF(B$2=0,0,B8/B$2)</f>
        <v>0.42857142857142855</v>
      </c>
      <c r="E8" s="63" t="s">
        <v>71</v>
      </c>
      <c r="F8" s="60" t="s">
        <v>26</v>
      </c>
      <c r="G8" s="47">
        <v>7</v>
      </c>
      <c r="H8" s="135">
        <f>IF(B$17=0,0,G8/B$17)</f>
        <v>0.125</v>
      </c>
      <c r="I8" s="96">
        <v>3</v>
      </c>
      <c r="K8" s="38">
        <v>6</v>
      </c>
      <c r="L8" s="101">
        <v>-187.59999999999997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7</v>
      </c>
      <c r="H9" s="135">
        <f>IF(B$17=0,0,G9/B$17)</f>
        <v>0.125</v>
      </c>
      <c r="I9" s="96">
        <v>6</v>
      </c>
      <c r="K9" s="38">
        <v>7</v>
      </c>
      <c r="L9" s="101">
        <v>-216.09999999999997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9.5238095238095233E-2</v>
      </c>
      <c r="E10" s="63" t="s">
        <v>70</v>
      </c>
      <c r="F10" s="60" t="s">
        <v>25</v>
      </c>
      <c r="G10" s="47">
        <v>5</v>
      </c>
      <c r="H10" s="135">
        <f>IF(B$17=0,0,G10/B$17)</f>
        <v>8.9285714285714288E-2</v>
      </c>
      <c r="I10" s="96">
        <v>10</v>
      </c>
      <c r="K10" s="38">
        <v>8</v>
      </c>
      <c r="L10" s="101">
        <v>-219.59999999999997</v>
      </c>
      <c r="N10" s="116" t="s">
        <v>165</v>
      </c>
      <c r="O10" s="126">
        <f>IF(P10=0,0,Q10/P10)</f>
        <v>-13.520000000000001</v>
      </c>
      <c r="P10" s="120">
        <v>5</v>
      </c>
      <c r="Q10" s="108">
        <v>-67.600000000000009</v>
      </c>
    </row>
    <row r="11" spans="1:17" x14ac:dyDescent="0.4">
      <c r="A11" s="56" t="s">
        <v>140</v>
      </c>
      <c r="B11" s="48">
        <v>1</v>
      </c>
      <c r="C11" s="40">
        <f>IF(B$2=0,0,B11/B$2)</f>
        <v>4.7619047619047616E-2</v>
      </c>
      <c r="E11" s="63" t="s">
        <v>72</v>
      </c>
      <c r="F11" s="60" t="s">
        <v>27</v>
      </c>
      <c r="G11" s="47">
        <v>4</v>
      </c>
      <c r="H11" s="135">
        <f>IF(B$17=0,0,G11/B$17)</f>
        <v>7.1428571428571425E-2</v>
      </c>
      <c r="I11" s="96">
        <v>4</v>
      </c>
      <c r="K11" s="38">
        <v>9</v>
      </c>
      <c r="L11" s="101">
        <v>-260.59999999999997</v>
      </c>
      <c r="N11" s="117" t="s">
        <v>166</v>
      </c>
      <c r="O11" s="127">
        <f>IF(P11=0,0,Q11/P11)</f>
        <v>-5.8083333333333327</v>
      </c>
      <c r="P11" s="121">
        <v>12</v>
      </c>
      <c r="Q11" s="109">
        <v>-69.699999999999989</v>
      </c>
    </row>
    <row r="12" spans="1:17" x14ac:dyDescent="0.4">
      <c r="A12" s="57" t="s">
        <v>160</v>
      </c>
      <c r="B12" s="49">
        <v>1</v>
      </c>
      <c r="C12" s="42">
        <f>IF(B$2=0,0,B12/B$2)</f>
        <v>4.7619047619047616E-2</v>
      </c>
      <c r="E12" s="63" t="s">
        <v>84</v>
      </c>
      <c r="F12" s="60" t="s">
        <v>39</v>
      </c>
      <c r="G12" s="47">
        <v>2</v>
      </c>
      <c r="H12" s="135">
        <f>IF(B$17=0,0,G12/B$17)</f>
        <v>3.5714285714285712E-2</v>
      </c>
      <c r="I12" s="96">
        <v>4</v>
      </c>
      <c r="K12" s="38">
        <v>10</v>
      </c>
      <c r="L12" s="101">
        <v>-318.39999999999998</v>
      </c>
      <c r="N12" s="118" t="s">
        <v>167</v>
      </c>
      <c r="O12" s="128">
        <f>IF(P12=0,0,Q12/P12)</f>
        <v>-16.625</v>
      </c>
      <c r="P12" s="122">
        <v>4</v>
      </c>
      <c r="Q12" s="110">
        <v>-66.5</v>
      </c>
    </row>
    <row r="13" spans="1:17" x14ac:dyDescent="0.4">
      <c r="A13" s="58" t="s">
        <v>122</v>
      </c>
      <c r="B13" s="50">
        <v>41</v>
      </c>
      <c r="C13" s="44">
        <f>IF(B$3=0,0,B13/B$3)</f>
        <v>0.21134020618556701</v>
      </c>
      <c r="E13" s="63" t="s">
        <v>87</v>
      </c>
      <c r="F13" s="60" t="s">
        <v>42</v>
      </c>
      <c r="G13" s="47">
        <v>2</v>
      </c>
      <c r="H13" s="135">
        <f>IF(B$17=0,0,G13/B$17)</f>
        <v>3.5714285714285712E-2</v>
      </c>
      <c r="I13" s="96">
        <v>8</v>
      </c>
      <c r="K13" s="38">
        <v>11</v>
      </c>
      <c r="L13" s="101">
        <v>-325.39999999999998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43</v>
      </c>
      <c r="C14" s="39">
        <f>IF(B$3=0,0,B14/B$3)</f>
        <v>0.22164948453608246</v>
      </c>
      <c r="E14" s="63" t="s">
        <v>66</v>
      </c>
      <c r="F14" s="60" t="s">
        <v>22</v>
      </c>
      <c r="G14" s="47">
        <v>1</v>
      </c>
      <c r="H14" s="135">
        <f>IF(B$17=0,0,G14/B$17)</f>
        <v>1.7857142857142856E-2</v>
      </c>
      <c r="I14" s="96">
        <v>9</v>
      </c>
      <c r="K14" s="38">
        <v>12</v>
      </c>
      <c r="L14" s="101">
        <v>-289.59999999999997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22</v>
      </c>
      <c r="C15" s="37">
        <f>IF(B$13=0,0,B15/B$13)</f>
        <v>0.53658536585365857</v>
      </c>
      <c r="E15" s="63" t="s">
        <v>74</v>
      </c>
      <c r="F15" s="60" t="s">
        <v>29</v>
      </c>
      <c r="G15" s="47">
        <v>1</v>
      </c>
      <c r="H15" s="135">
        <f>IF(B$17=0,0,G15/B$17)</f>
        <v>1.7857142857142856E-2</v>
      </c>
      <c r="I15" s="96">
        <v>1</v>
      </c>
      <c r="K15" s="38">
        <v>13</v>
      </c>
      <c r="L15" s="101">
        <v>-302.59999999999997</v>
      </c>
      <c r="N15" s="116" t="s">
        <v>129</v>
      </c>
      <c r="O15" s="126">
        <f>IF(P15=0,0,Q15/P15)</f>
        <v>19.3</v>
      </c>
      <c r="P15" s="120">
        <v>4</v>
      </c>
      <c r="Q15" s="108">
        <v>77.2</v>
      </c>
    </row>
    <row r="16" spans="1:17" x14ac:dyDescent="0.4">
      <c r="A16" s="54" t="s">
        <v>125</v>
      </c>
      <c r="B16" s="46">
        <v>15</v>
      </c>
      <c r="C16" s="37">
        <f>IF(B$14=0,0,B16/B$14)</f>
        <v>0.34883720930232559</v>
      </c>
      <c r="E16" s="63" t="s">
        <v>80</v>
      </c>
      <c r="F16" s="60" t="s">
        <v>35</v>
      </c>
      <c r="G16" s="47">
        <v>1</v>
      </c>
      <c r="H16" s="135">
        <f>IF(B$17=0,0,G16/B$17)</f>
        <v>1.7857142857142856E-2</v>
      </c>
      <c r="I16" s="96">
        <v>2</v>
      </c>
      <c r="K16" s="38">
        <v>14</v>
      </c>
      <c r="L16" s="101">
        <v>-269.99999999999994</v>
      </c>
      <c r="N16" s="117" t="s">
        <v>173</v>
      </c>
      <c r="O16" s="127">
        <f>IF(P16=0,0,Q16/P16)</f>
        <v>-0.8000000000000016</v>
      </c>
      <c r="P16" s="121">
        <v>4</v>
      </c>
      <c r="Q16" s="109">
        <v>-3.2000000000000064</v>
      </c>
    </row>
    <row r="17" spans="1:17" x14ac:dyDescent="0.4">
      <c r="A17" s="54" t="s">
        <v>10</v>
      </c>
      <c r="B17" s="46">
        <f>B19+B18</f>
        <v>56</v>
      </c>
      <c r="C17" s="37">
        <f>IF(B$3=0,0,B17/B$3)</f>
        <v>0.28865979381443296</v>
      </c>
      <c r="E17" s="63" t="s">
        <v>92</v>
      </c>
      <c r="F17" s="60" t="s">
        <v>47</v>
      </c>
      <c r="G17" s="47">
        <v>1</v>
      </c>
      <c r="H17" s="135">
        <f>IF(B$17=0,0,G17/B$17)</f>
        <v>1.7857142857142856E-2</v>
      </c>
      <c r="I17" s="96">
        <v>4</v>
      </c>
      <c r="K17" s="38">
        <v>15</v>
      </c>
      <c r="L17" s="101">
        <v>-264.59999999999997</v>
      </c>
      <c r="N17" s="117" t="s">
        <v>128</v>
      </c>
      <c r="O17" s="127">
        <f>IF(P17=0,0,Q17/P17)</f>
        <v>-1.9333333333333311</v>
      </c>
      <c r="P17" s="121">
        <v>12</v>
      </c>
      <c r="Q17" s="109">
        <v>-23.199999999999974</v>
      </c>
    </row>
    <row r="18" spans="1:17" x14ac:dyDescent="0.4">
      <c r="A18" s="55" t="s">
        <v>12</v>
      </c>
      <c r="B18" s="47">
        <v>28</v>
      </c>
      <c r="C18" s="39">
        <f>IF(B$17=0,0,B18/B$17)</f>
        <v>0.5</v>
      </c>
      <c r="E18" s="63" t="s">
        <v>75</v>
      </c>
      <c r="F18" s="60" t="s">
        <v>30</v>
      </c>
      <c r="G18" s="47">
        <v>0</v>
      </c>
      <c r="H18" s="135">
        <f>IF(B$17=0,0,G18/B$17)</f>
        <v>0</v>
      </c>
      <c r="I18" s="96">
        <v>3</v>
      </c>
      <c r="K18" s="38">
        <v>16</v>
      </c>
      <c r="L18" s="101">
        <v>-292.79999999999995</v>
      </c>
      <c r="N18" s="117" t="s">
        <v>172</v>
      </c>
      <c r="O18" s="127">
        <f>IF(P18=0,0,Q18/P18)</f>
        <v>-15.189999999999998</v>
      </c>
      <c r="P18" s="121">
        <v>10</v>
      </c>
      <c r="Q18" s="109">
        <v>-151.89999999999998</v>
      </c>
    </row>
    <row r="19" spans="1:17" x14ac:dyDescent="0.4">
      <c r="A19" s="55" t="s">
        <v>11</v>
      </c>
      <c r="B19" s="47">
        <v>28</v>
      </c>
      <c r="C19" s="39">
        <f>IF(B$17=0,0,B19/B$17)</f>
        <v>0.5</v>
      </c>
      <c r="E19" s="63" t="s">
        <v>76</v>
      </c>
      <c r="F19" s="60" t="s">
        <v>31</v>
      </c>
      <c r="G19" s="47">
        <v>0</v>
      </c>
      <c r="H19" s="135">
        <f>IF(B$17=0,0,G19/B$17)</f>
        <v>0</v>
      </c>
      <c r="I19" s="96">
        <v>6</v>
      </c>
      <c r="K19" s="38">
        <v>17</v>
      </c>
      <c r="L19" s="101">
        <v>-248.89999999999995</v>
      </c>
      <c r="N19" s="117" t="s">
        <v>178</v>
      </c>
      <c r="O19" s="127">
        <f>IF(P19=0,0,Q19/P19)</f>
        <v>-17.950000000000003</v>
      </c>
      <c r="P19" s="121">
        <v>2</v>
      </c>
      <c r="Q19" s="109">
        <v>-35.900000000000006</v>
      </c>
    </row>
    <row r="20" spans="1:17" x14ac:dyDescent="0.4">
      <c r="A20" s="55" t="s">
        <v>13</v>
      </c>
      <c r="B20" s="47">
        <v>41</v>
      </c>
      <c r="C20" s="39">
        <f>IF(B$3=0,0,B20/B$3)</f>
        <v>0.21134020618556701</v>
      </c>
      <c r="E20" s="63" t="s">
        <v>77</v>
      </c>
      <c r="F20" s="60" t="s">
        <v>32</v>
      </c>
      <c r="G20" s="47">
        <v>0</v>
      </c>
      <c r="H20" s="135">
        <f>IF(B$17=0,0,G20/B$17)</f>
        <v>0</v>
      </c>
      <c r="I20" s="96">
        <v>1</v>
      </c>
      <c r="K20" s="38">
        <v>18</v>
      </c>
      <c r="L20" s="101">
        <v>-218.99999999999994</v>
      </c>
      <c r="N20" s="117" t="s">
        <v>186</v>
      </c>
      <c r="O20" s="127">
        <f>IF(P20=0,0,Q20/P20)</f>
        <v>-45.5</v>
      </c>
      <c r="P20" s="121">
        <v>1</v>
      </c>
      <c r="Q20" s="109">
        <v>-45.5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78</v>
      </c>
      <c r="F21" s="60" t="s">
        <v>33</v>
      </c>
      <c r="G21" s="47">
        <v>0</v>
      </c>
      <c r="H21" s="135">
        <f>IF(B$17=0,0,G21/B$17)</f>
        <v>0</v>
      </c>
      <c r="I21" s="96">
        <v>4</v>
      </c>
      <c r="K21" s="38">
        <v>19</v>
      </c>
      <c r="L21" s="101">
        <v>-188.59999999999994</v>
      </c>
      <c r="N21" s="117" t="s">
        <v>127</v>
      </c>
      <c r="O21" s="127">
        <f>IF(P21=0,0,Q21/P21)</f>
        <v>-47.655555555555544</v>
      </c>
      <c r="P21" s="121">
        <v>9</v>
      </c>
      <c r="Q21" s="109">
        <v>-428.89999999999992</v>
      </c>
    </row>
    <row r="22" spans="1:17" x14ac:dyDescent="0.4">
      <c r="A22" s="55" t="s">
        <v>195</v>
      </c>
      <c r="B22" s="47">
        <v>14</v>
      </c>
      <c r="C22" s="137">
        <v>6</v>
      </c>
      <c r="E22" s="63" t="s">
        <v>79</v>
      </c>
      <c r="F22" s="60" t="s">
        <v>34</v>
      </c>
      <c r="G22" s="47">
        <v>0</v>
      </c>
      <c r="H22" s="135">
        <f>IF(B$17=0,0,G22/B$17)</f>
        <v>0</v>
      </c>
      <c r="I22" s="96">
        <v>7</v>
      </c>
      <c r="K22" s="38">
        <v>20</v>
      </c>
      <c r="L22" s="101">
        <v>-182.79999999999993</v>
      </c>
    </row>
    <row r="23" spans="1:17" x14ac:dyDescent="0.4">
      <c r="A23" s="55" t="s">
        <v>5</v>
      </c>
      <c r="B23" s="51">
        <f>IF(B$17=0,0,C23/B$17)</f>
        <v>6416.0714285714284</v>
      </c>
      <c r="C23" s="41">
        <v>359300</v>
      </c>
      <c r="E23" s="63" t="s">
        <v>81</v>
      </c>
      <c r="F23" s="60" t="s">
        <v>36</v>
      </c>
      <c r="G23" s="47">
        <v>0</v>
      </c>
      <c r="H23" s="135">
        <f>IF(B$17=0,0,G23/B$17)</f>
        <v>0</v>
      </c>
      <c r="I23" s="96">
        <v>1</v>
      </c>
      <c r="K23" s="38">
        <v>21</v>
      </c>
      <c r="L23" s="101">
        <v>-203.79999999999993</v>
      </c>
    </row>
    <row r="24" spans="1:17" x14ac:dyDescent="0.4">
      <c r="A24" s="57" t="s">
        <v>14</v>
      </c>
      <c r="B24" s="52">
        <f>IF(B$20=0,0,C24/B$20)</f>
        <v>-7951.2195121951218</v>
      </c>
      <c r="C24" s="45">
        <v>-326000</v>
      </c>
      <c r="E24" s="63" t="s">
        <v>82</v>
      </c>
      <c r="F24" s="60" t="s">
        <v>37</v>
      </c>
      <c r="G24" s="47">
        <v>0</v>
      </c>
      <c r="H24" s="135">
        <f>IF(B$17=0,0,G24/B$17)</f>
        <v>0</v>
      </c>
      <c r="I24" s="96">
        <v>6</v>
      </c>
    </row>
    <row r="25" spans="1:17" x14ac:dyDescent="0.4">
      <c r="A25" s="92" t="s">
        <v>142</v>
      </c>
      <c r="B25" s="142">
        <v>6</v>
      </c>
      <c r="C25" s="143"/>
      <c r="E25" s="63" t="s">
        <v>83</v>
      </c>
      <c r="F25" s="60" t="s">
        <v>38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152</v>
      </c>
      <c r="B26" s="140">
        <v>58900</v>
      </c>
      <c r="C26" s="141"/>
      <c r="E26" s="63" t="s">
        <v>85</v>
      </c>
      <c r="F26" s="60" t="s">
        <v>40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1</v>
      </c>
      <c r="C27" s="42">
        <f>IF(B$3=0,0,B27/B$3)</f>
        <v>5.1546391752577319E-3</v>
      </c>
      <c r="E27" s="63" t="s">
        <v>86</v>
      </c>
      <c r="F27" s="60" t="s">
        <v>41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88</v>
      </c>
      <c r="F28" s="60" t="s">
        <v>43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5">
        <f>IF(B$17=0,0,G29/B$17)</f>
        <v>0</v>
      </c>
      <c r="I29" s="96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B7C80-3C83-4446-8EEF-BBBE0E61D151}">
  <sheetPr codeName="Sheet19"/>
  <dimension ref="A1:Q51"/>
  <sheetViews>
    <sheetView showGridLines="0" zoomScaleNormal="100" workbookViewId="0">
      <selection activeCell="B1" sqref="B1:C1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178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15</v>
      </c>
      <c r="C2" s="149"/>
      <c r="E2" s="62" t="s">
        <v>73</v>
      </c>
      <c r="F2" s="59" t="s">
        <v>28</v>
      </c>
      <c r="G2" s="46">
        <v>22</v>
      </c>
      <c r="H2" s="134">
        <f>IF(B$17=0,0,G2/B$17)</f>
        <v>0.75862068965517238</v>
      </c>
      <c r="I2" s="95">
        <v>2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-4773.333333333333</v>
      </c>
      <c r="P2" s="120">
        <v>15</v>
      </c>
      <c r="Q2" s="104">
        <v>-71600</v>
      </c>
    </row>
    <row r="3" spans="1:17" x14ac:dyDescent="0.4">
      <c r="A3" s="55" t="s">
        <v>8</v>
      </c>
      <c r="B3" s="150">
        <v>113</v>
      </c>
      <c r="C3" s="151"/>
      <c r="E3" s="63" t="s">
        <v>67</v>
      </c>
      <c r="F3" s="60" t="s">
        <v>23</v>
      </c>
      <c r="G3" s="47">
        <v>12</v>
      </c>
      <c r="H3" s="135">
        <f>IF(B$17=0,0,G3/B$17)</f>
        <v>0.41379310344827586</v>
      </c>
      <c r="I3" s="96">
        <v>10</v>
      </c>
      <c r="K3" s="38">
        <v>1</v>
      </c>
      <c r="L3" s="101">
        <v>-1.9</v>
      </c>
      <c r="N3" s="117" t="s">
        <v>133</v>
      </c>
      <c r="O3" s="124">
        <f t="shared" si="0"/>
        <v>-3307.1428571428573</v>
      </c>
      <c r="P3" s="121">
        <v>14</v>
      </c>
      <c r="Q3" s="105">
        <v>-46300</v>
      </c>
    </row>
    <row r="4" spans="1:17" x14ac:dyDescent="0.4">
      <c r="A4" s="55" t="s">
        <v>6</v>
      </c>
      <c r="B4" s="152">
        <v>-146.19999999999999</v>
      </c>
      <c r="C4" s="153"/>
      <c r="E4" s="63" t="s">
        <v>65</v>
      </c>
      <c r="F4" s="60" t="s">
        <v>21</v>
      </c>
      <c r="G4" s="47">
        <v>11</v>
      </c>
      <c r="H4" s="135">
        <f>IF(B$17=0,0,G4/B$17)</f>
        <v>0.37931034482758619</v>
      </c>
      <c r="I4" s="96">
        <v>10</v>
      </c>
      <c r="K4" s="38">
        <v>2</v>
      </c>
      <c r="L4" s="101">
        <v>30</v>
      </c>
      <c r="N4" s="117" t="s">
        <v>134</v>
      </c>
      <c r="O4" s="124">
        <f t="shared" si="0"/>
        <v>1069.2307692307693</v>
      </c>
      <c r="P4" s="121">
        <v>13</v>
      </c>
      <c r="Q4" s="105">
        <v>13900</v>
      </c>
    </row>
    <row r="5" spans="1:17" x14ac:dyDescent="0.4">
      <c r="A5" s="55" t="s">
        <v>7</v>
      </c>
      <c r="B5" s="154">
        <f>IF(B$2=0,0,B$4/B$2)</f>
        <v>-9.7466666666666661</v>
      </c>
      <c r="C5" s="155"/>
      <c r="E5" s="63" t="s">
        <v>182</v>
      </c>
      <c r="F5" s="60" t="s">
        <v>183</v>
      </c>
      <c r="G5" s="47">
        <v>10</v>
      </c>
      <c r="H5" s="135">
        <f>IF(B$17=0,0,G5/B$17)</f>
        <v>0.34482758620689657</v>
      </c>
      <c r="I5" s="96">
        <v>7</v>
      </c>
      <c r="K5" s="38">
        <v>3</v>
      </c>
      <c r="L5" s="101">
        <v>-10</v>
      </c>
      <c r="N5" s="117" t="s">
        <v>135</v>
      </c>
      <c r="O5" s="124">
        <f t="shared" si="0"/>
        <v>-76.92307692307692</v>
      </c>
      <c r="P5" s="121">
        <v>13</v>
      </c>
      <c r="Q5" s="105">
        <v>-1000</v>
      </c>
    </row>
    <row r="6" spans="1:17" x14ac:dyDescent="0.4">
      <c r="A6" s="55" t="s">
        <v>1</v>
      </c>
      <c r="B6" s="144">
        <f>IF(B$2=0,0,(B$7*1+B$8*2+B$9*3)/B$2)</f>
        <v>2.1333333333333333</v>
      </c>
      <c r="C6" s="145"/>
      <c r="E6" s="63" t="s">
        <v>69</v>
      </c>
      <c r="F6" s="60" t="s">
        <v>12</v>
      </c>
      <c r="G6" s="47">
        <v>5</v>
      </c>
      <c r="H6" s="135">
        <f>IF(B$17=0,0,G6/B$17)</f>
        <v>0.17241379310344829</v>
      </c>
      <c r="I6" s="96">
        <v>10</v>
      </c>
      <c r="K6" s="38">
        <v>4</v>
      </c>
      <c r="L6" s="101">
        <v>40</v>
      </c>
      <c r="N6" s="117" t="s">
        <v>136</v>
      </c>
      <c r="O6" s="124">
        <f t="shared" si="0"/>
        <v>-375</v>
      </c>
      <c r="P6" s="121">
        <v>12</v>
      </c>
      <c r="Q6" s="105">
        <v>-4500</v>
      </c>
    </row>
    <row r="7" spans="1:17" x14ac:dyDescent="0.4">
      <c r="A7" s="55" t="s">
        <v>2</v>
      </c>
      <c r="B7" s="47">
        <v>5</v>
      </c>
      <c r="C7" s="39">
        <f>IF(B$2=0,0,B7/B$2)</f>
        <v>0.33333333333333331</v>
      </c>
      <c r="E7" s="63" t="s">
        <v>70</v>
      </c>
      <c r="F7" s="60" t="s">
        <v>25</v>
      </c>
      <c r="G7" s="47">
        <v>5</v>
      </c>
      <c r="H7" s="135">
        <f>IF(B$17=0,0,G7/B$17)</f>
        <v>0.17241379310344829</v>
      </c>
      <c r="I7" s="96">
        <v>7</v>
      </c>
      <c r="K7" s="38">
        <v>5</v>
      </c>
      <c r="L7" s="101">
        <v>35.4</v>
      </c>
      <c r="N7" s="118" t="s">
        <v>137</v>
      </c>
      <c r="O7" s="125">
        <f t="shared" si="0"/>
        <v>3227.2727272727275</v>
      </c>
      <c r="P7" s="122">
        <v>11</v>
      </c>
      <c r="Q7" s="106">
        <v>35500</v>
      </c>
    </row>
    <row r="8" spans="1:17" x14ac:dyDescent="0.4">
      <c r="A8" s="55" t="s">
        <v>3</v>
      </c>
      <c r="B8" s="47">
        <v>3</v>
      </c>
      <c r="C8" s="39">
        <f>IF(B$2=0,0,B8/B$2)</f>
        <v>0.2</v>
      </c>
      <c r="E8" s="63" t="s">
        <v>66</v>
      </c>
      <c r="F8" s="60" t="s">
        <v>22</v>
      </c>
      <c r="G8" s="47">
        <v>4</v>
      </c>
      <c r="H8" s="135">
        <f>IF(B$17=0,0,G8/B$17)</f>
        <v>0.13793103448275862</v>
      </c>
      <c r="I8" s="96">
        <v>5</v>
      </c>
      <c r="K8" s="38">
        <v>6</v>
      </c>
      <c r="L8" s="101">
        <v>3.8999999999999986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1">IF(B$2=0,0,B9/B$2)</f>
        <v>0.46666666666666667</v>
      </c>
      <c r="E9" s="63" t="s">
        <v>68</v>
      </c>
      <c r="F9" s="60" t="s">
        <v>24</v>
      </c>
      <c r="G9" s="47">
        <v>4</v>
      </c>
      <c r="H9" s="135">
        <f>IF(B$17=0,0,G9/B$17)</f>
        <v>0.13793103448275862</v>
      </c>
      <c r="I9" s="96">
        <v>9</v>
      </c>
      <c r="K9" s="38">
        <v>7</v>
      </c>
      <c r="L9" s="101">
        <v>-30.1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0.2</v>
      </c>
      <c r="E10" s="63" t="s">
        <v>90</v>
      </c>
      <c r="F10" s="60" t="s">
        <v>45</v>
      </c>
      <c r="G10" s="47">
        <v>3</v>
      </c>
      <c r="H10" s="135">
        <f>IF(B$17=0,0,G10/B$17)</f>
        <v>0.10344827586206896</v>
      </c>
      <c r="I10" s="96">
        <v>9</v>
      </c>
      <c r="K10" s="38">
        <v>8</v>
      </c>
      <c r="L10" s="101">
        <v>-87.1</v>
      </c>
      <c r="N10" s="116" t="s">
        <v>165</v>
      </c>
      <c r="O10" s="126">
        <f>IF(P10=0,0,Q10/P10)</f>
        <v>-8.2666666666666675</v>
      </c>
      <c r="P10" s="120">
        <v>3</v>
      </c>
      <c r="Q10" s="108">
        <v>-24.800000000000004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92</v>
      </c>
      <c r="F11" s="60" t="s">
        <v>47</v>
      </c>
      <c r="G11" s="47">
        <v>2</v>
      </c>
      <c r="H11" s="135">
        <f>IF(B$17=0,0,G11/B$17)</f>
        <v>6.8965517241379309E-2</v>
      </c>
      <c r="I11" s="96">
        <v>1</v>
      </c>
      <c r="K11" s="38">
        <v>9</v>
      </c>
      <c r="L11" s="101">
        <v>-128.6</v>
      </c>
      <c r="N11" s="117" t="s">
        <v>166</v>
      </c>
      <c r="O11" s="127">
        <f>IF(P11=0,0,Q11/P11)</f>
        <v>-32.799999999999997</v>
      </c>
      <c r="P11" s="121">
        <v>4</v>
      </c>
      <c r="Q11" s="109">
        <v>-131.19999999999999</v>
      </c>
    </row>
    <row r="12" spans="1:17" x14ac:dyDescent="0.4">
      <c r="A12" s="57" t="s">
        <v>160</v>
      </c>
      <c r="B12" s="49">
        <v>2</v>
      </c>
      <c r="C12" s="42">
        <f>IF(B$2=0,0,B12/B$2)</f>
        <v>0.13333333333333333</v>
      </c>
      <c r="E12" s="63" t="s">
        <v>72</v>
      </c>
      <c r="F12" s="60" t="s">
        <v>27</v>
      </c>
      <c r="G12" s="47">
        <v>1</v>
      </c>
      <c r="H12" s="135">
        <f>IF(B$17=0,0,G12/B$17)</f>
        <v>3.4482758620689655E-2</v>
      </c>
      <c r="I12" s="96">
        <v>8</v>
      </c>
      <c r="K12" s="38">
        <v>10</v>
      </c>
      <c r="L12" s="101">
        <v>-183.7</v>
      </c>
      <c r="N12" s="118" t="s">
        <v>167</v>
      </c>
      <c r="O12" s="128">
        <f>IF(P12=0,0,Q12/P12)</f>
        <v>1.225000000000001</v>
      </c>
      <c r="P12" s="122">
        <v>8</v>
      </c>
      <c r="Q12" s="110">
        <v>9.8000000000000078</v>
      </c>
    </row>
    <row r="13" spans="1:17" x14ac:dyDescent="0.4">
      <c r="A13" s="58" t="s">
        <v>122</v>
      </c>
      <c r="B13" s="50">
        <v>20</v>
      </c>
      <c r="C13" s="44">
        <f>IF(B$3=0,0,B13/B$3)</f>
        <v>0.17699115044247787</v>
      </c>
      <c r="E13" s="63" t="s">
        <v>76</v>
      </c>
      <c r="F13" s="60" t="s">
        <v>31</v>
      </c>
      <c r="G13" s="47">
        <v>1</v>
      </c>
      <c r="H13" s="135">
        <f>IF(B$17=0,0,G13/B$17)</f>
        <v>3.4482758620689655E-2</v>
      </c>
      <c r="I13" s="96">
        <v>1</v>
      </c>
      <c r="K13" s="38">
        <v>11</v>
      </c>
      <c r="L13" s="101">
        <v>-152.89999999999998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33</v>
      </c>
      <c r="C14" s="39">
        <f>IF(B$3=0,0,B14/B$3)</f>
        <v>0.29203539823008851</v>
      </c>
      <c r="E14" s="63" t="s">
        <v>84</v>
      </c>
      <c r="F14" s="60" t="s">
        <v>39</v>
      </c>
      <c r="G14" s="47">
        <v>1</v>
      </c>
      <c r="H14" s="135">
        <f>IF(B$17=0,0,G14/B$17)</f>
        <v>3.4482758620689655E-2</v>
      </c>
      <c r="I14" s="96">
        <v>5</v>
      </c>
      <c r="K14" s="38">
        <v>12</v>
      </c>
      <c r="L14" s="101">
        <v>-208.09999999999997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11</v>
      </c>
      <c r="C15" s="37">
        <f>IF(B$13=0,0,B15/B$13)</f>
        <v>0.55000000000000004</v>
      </c>
      <c r="E15" s="63" t="s">
        <v>86</v>
      </c>
      <c r="F15" s="60" t="s">
        <v>41</v>
      </c>
      <c r="G15" s="47">
        <v>1</v>
      </c>
      <c r="H15" s="135">
        <f>IF(B$17=0,0,G15/B$17)</f>
        <v>3.4482758620689655E-2</v>
      </c>
      <c r="I15" s="96">
        <v>1</v>
      </c>
      <c r="K15" s="38">
        <v>13</v>
      </c>
      <c r="L15" s="101">
        <v>-209.59999999999997</v>
      </c>
      <c r="N15" s="116" t="s">
        <v>187</v>
      </c>
      <c r="O15" s="126">
        <f>IF(P15=0,0,Q15/P15)</f>
        <v>60.800000000000004</v>
      </c>
      <c r="P15" s="120">
        <v>2</v>
      </c>
      <c r="Q15" s="108">
        <v>121.60000000000001</v>
      </c>
    </row>
    <row r="16" spans="1:17" x14ac:dyDescent="0.4">
      <c r="A16" s="54" t="s">
        <v>125</v>
      </c>
      <c r="B16" s="46">
        <v>13</v>
      </c>
      <c r="C16" s="37">
        <f>IF(B$14=0,0,B16/B$14)</f>
        <v>0.39393939393939392</v>
      </c>
      <c r="E16" s="63" t="s">
        <v>71</v>
      </c>
      <c r="F16" s="60" t="s">
        <v>26</v>
      </c>
      <c r="G16" s="47">
        <v>0</v>
      </c>
      <c r="H16" s="135">
        <f>IF(B$17=0,0,G16/B$17)</f>
        <v>0</v>
      </c>
      <c r="I16" s="96">
        <v>8</v>
      </c>
      <c r="K16" s="38">
        <v>14</v>
      </c>
      <c r="L16" s="101">
        <v>-178.49999999999997</v>
      </c>
      <c r="N16" s="117" t="s">
        <v>174</v>
      </c>
      <c r="O16" s="127">
        <f>IF(P16=0,0,Q16/P16)</f>
        <v>17.95</v>
      </c>
      <c r="P16" s="121">
        <v>2</v>
      </c>
      <c r="Q16" s="109">
        <v>35.9</v>
      </c>
    </row>
    <row r="17" spans="1:17" x14ac:dyDescent="0.4">
      <c r="A17" s="54" t="s">
        <v>10</v>
      </c>
      <c r="B17" s="46">
        <f>B19+B18</f>
        <v>29</v>
      </c>
      <c r="C17" s="37">
        <f>IF(B$3=0,0,B17/B$3)</f>
        <v>0.25663716814159293</v>
      </c>
      <c r="E17" s="63" t="s">
        <v>74</v>
      </c>
      <c r="F17" s="60" t="s">
        <v>29</v>
      </c>
      <c r="G17" s="47">
        <v>0</v>
      </c>
      <c r="H17" s="135">
        <f>IF(B$17=0,0,G17/B$17)</f>
        <v>0</v>
      </c>
      <c r="I17" s="96">
        <v>5</v>
      </c>
      <c r="K17" s="38">
        <v>15</v>
      </c>
      <c r="L17" s="101">
        <v>-146.19999999999999</v>
      </c>
      <c r="N17" s="117" t="s">
        <v>172</v>
      </c>
      <c r="O17" s="127">
        <f>IF(P17=0,0,Q17/P17)</f>
        <v>12.149999999999999</v>
      </c>
      <c r="P17" s="121">
        <v>2</v>
      </c>
      <c r="Q17" s="109">
        <v>24.299999999999997</v>
      </c>
    </row>
    <row r="18" spans="1:17" x14ac:dyDescent="0.4">
      <c r="A18" s="55" t="s">
        <v>12</v>
      </c>
      <c r="B18" s="47">
        <v>11</v>
      </c>
      <c r="C18" s="39">
        <f>IF(B$17=0,0,B18/B$17)</f>
        <v>0.37931034482758619</v>
      </c>
      <c r="E18" s="63" t="s">
        <v>75</v>
      </c>
      <c r="F18" s="60" t="s">
        <v>30</v>
      </c>
      <c r="G18" s="47">
        <v>0</v>
      </c>
      <c r="H18" s="135">
        <f>IF(B$17=0,0,G18/B$17)</f>
        <v>0</v>
      </c>
      <c r="I18" s="96">
        <v>3</v>
      </c>
      <c r="N18" s="117" t="s">
        <v>128</v>
      </c>
      <c r="O18" s="127">
        <f>IF(P18=0,0,Q18/P18)</f>
        <v>0.75000000000000022</v>
      </c>
      <c r="P18" s="121">
        <v>10</v>
      </c>
      <c r="Q18" s="109">
        <v>7.5000000000000018</v>
      </c>
    </row>
    <row r="19" spans="1:17" x14ac:dyDescent="0.4">
      <c r="A19" s="55" t="s">
        <v>11</v>
      </c>
      <c r="B19" s="47">
        <v>18</v>
      </c>
      <c r="C19" s="39">
        <f>IF(B$17=0,0,B19/B$17)</f>
        <v>0.62068965517241381</v>
      </c>
      <c r="E19" s="63" t="s">
        <v>77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N19" s="117" t="s">
        <v>129</v>
      </c>
      <c r="O19" s="127">
        <f>IF(P19=0,0,Q19/P19)</f>
        <v>-29.700000000000003</v>
      </c>
      <c r="P19" s="121">
        <v>1</v>
      </c>
      <c r="Q19" s="109">
        <v>-29.700000000000003</v>
      </c>
    </row>
    <row r="20" spans="1:17" x14ac:dyDescent="0.4">
      <c r="A20" s="55" t="s">
        <v>13</v>
      </c>
      <c r="B20" s="47">
        <v>20</v>
      </c>
      <c r="C20" s="39">
        <f>IF(B$3=0,0,B20/B$3)</f>
        <v>0.17699115044247787</v>
      </c>
      <c r="E20" s="63" t="s">
        <v>78</v>
      </c>
      <c r="F20" s="60" t="s">
        <v>33</v>
      </c>
      <c r="G20" s="47">
        <v>0</v>
      </c>
      <c r="H20" s="135">
        <f>IF(B$17=0,0,G20/B$17)</f>
        <v>0</v>
      </c>
      <c r="I20" s="96">
        <v>4</v>
      </c>
      <c r="N20" s="117" t="s">
        <v>173</v>
      </c>
      <c r="O20" s="127">
        <f>IF(P20=0,0,Q20/P20)</f>
        <v>-34.800000000000004</v>
      </c>
      <c r="P20" s="121">
        <v>2</v>
      </c>
      <c r="Q20" s="109">
        <v>-69.600000000000009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79</v>
      </c>
      <c r="F21" s="60" t="s">
        <v>34</v>
      </c>
      <c r="G21" s="47">
        <v>0</v>
      </c>
      <c r="H21" s="135">
        <f>IF(B$17=0,0,G21/B$17)</f>
        <v>0</v>
      </c>
      <c r="I21" s="96">
        <v>7</v>
      </c>
      <c r="N21" s="117" t="s">
        <v>186</v>
      </c>
      <c r="O21" s="127">
        <f>IF(P21=0,0,Q21/P21)</f>
        <v>-45.699999999999996</v>
      </c>
      <c r="P21" s="121">
        <v>3</v>
      </c>
      <c r="Q21" s="109">
        <v>-137.1</v>
      </c>
    </row>
    <row r="22" spans="1:17" x14ac:dyDescent="0.4">
      <c r="A22" s="55" t="s">
        <v>195</v>
      </c>
      <c r="B22" s="47">
        <v>16</v>
      </c>
      <c r="C22" s="137">
        <v>6</v>
      </c>
      <c r="E22" s="63" t="s">
        <v>80</v>
      </c>
      <c r="F22" s="60" t="s">
        <v>35</v>
      </c>
      <c r="G22" s="47">
        <v>0</v>
      </c>
      <c r="H22" s="135">
        <f>IF(B$17=0,0,G22/B$17)</f>
        <v>0</v>
      </c>
      <c r="I22" s="96">
        <v>6</v>
      </c>
      <c r="N22" s="117" t="s">
        <v>127</v>
      </c>
      <c r="O22" s="127">
        <f>IF(P22=0,0,Q22/P22)</f>
        <v>-48.937500000000007</v>
      </c>
      <c r="P22" s="121">
        <v>8</v>
      </c>
      <c r="Q22" s="109">
        <v>-391.50000000000006</v>
      </c>
    </row>
    <row r="23" spans="1:17" x14ac:dyDescent="0.4">
      <c r="A23" s="55" t="s">
        <v>5</v>
      </c>
      <c r="B23" s="51">
        <f>IF(B$17=0,0,C23/B$17)</f>
        <v>6362.0689655172409</v>
      </c>
      <c r="C23" s="41">
        <v>184500</v>
      </c>
      <c r="E23" s="63" t="s">
        <v>81</v>
      </c>
      <c r="F23" s="60" t="s">
        <v>36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-7250</v>
      </c>
      <c r="C24" s="45">
        <v>-145000</v>
      </c>
      <c r="E24" s="63" t="s">
        <v>82</v>
      </c>
      <c r="F24" s="60" t="s">
        <v>37</v>
      </c>
      <c r="G24" s="47">
        <v>0</v>
      </c>
      <c r="H24" s="135">
        <f>IF(B$17=0,0,G24/B$17)</f>
        <v>0</v>
      </c>
      <c r="I24" s="96">
        <v>6</v>
      </c>
    </row>
    <row r="25" spans="1:17" x14ac:dyDescent="0.4">
      <c r="A25" s="92" t="s">
        <v>142</v>
      </c>
      <c r="B25" s="142">
        <v>5</v>
      </c>
      <c r="C25" s="143"/>
      <c r="E25" s="63" t="s">
        <v>83</v>
      </c>
      <c r="F25" s="60" t="s">
        <v>38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152</v>
      </c>
      <c r="B26" s="140">
        <v>65000</v>
      </c>
      <c r="C26" s="141"/>
      <c r="E26" s="63" t="s">
        <v>85</v>
      </c>
      <c r="F26" s="60" t="s">
        <v>40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1</v>
      </c>
      <c r="C27" s="42">
        <f>IF(B$3=0,0,B27/B$3)</f>
        <v>8.8495575221238937E-3</v>
      </c>
      <c r="E27" s="63" t="s">
        <v>87</v>
      </c>
      <c r="F27" s="60" t="s">
        <v>42</v>
      </c>
      <c r="G27" s="47">
        <v>0</v>
      </c>
      <c r="H27" s="135">
        <f>IF(B$17=0,0,G27/B$17)</f>
        <v>0</v>
      </c>
      <c r="I27" s="96">
        <v>9</v>
      </c>
    </row>
    <row r="28" spans="1:17" x14ac:dyDescent="0.4">
      <c r="E28" s="63" t="s">
        <v>88</v>
      </c>
      <c r="F28" s="60" t="s">
        <v>43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5">
        <f>IF(B$17=0,0,G29/B$17)</f>
        <v>0</v>
      </c>
      <c r="I29" s="96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5372-F48B-4F44-84E7-AD9C1D072399}">
  <sheetPr codeName="Sheet21"/>
  <dimension ref="A1:Q51"/>
  <sheetViews>
    <sheetView showGridLines="0" zoomScaleNormal="100" workbookViewId="0">
      <selection activeCell="B1" sqref="B1:C1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186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3</v>
      </c>
      <c r="C2" s="149"/>
      <c r="E2" s="62" t="s">
        <v>65</v>
      </c>
      <c r="F2" s="59" t="s">
        <v>21</v>
      </c>
      <c r="G2" s="46">
        <v>3</v>
      </c>
      <c r="H2" s="134">
        <f>IF(B$17=0,0,G2/B$17)</f>
        <v>0.6</v>
      </c>
      <c r="I2" s="95">
        <v>2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3000</v>
      </c>
      <c r="P2" s="120">
        <v>3</v>
      </c>
      <c r="Q2" s="104">
        <v>9000</v>
      </c>
    </row>
    <row r="3" spans="1:17" x14ac:dyDescent="0.4">
      <c r="A3" s="55" t="s">
        <v>8</v>
      </c>
      <c r="B3" s="150">
        <v>19</v>
      </c>
      <c r="C3" s="151"/>
      <c r="E3" s="63" t="s">
        <v>67</v>
      </c>
      <c r="F3" s="60" t="s">
        <v>23</v>
      </c>
      <c r="G3" s="47">
        <v>3</v>
      </c>
      <c r="H3" s="135">
        <f>IF(B$17=0,0,G3/B$17)</f>
        <v>0.6</v>
      </c>
      <c r="I3" s="96">
        <v>9</v>
      </c>
      <c r="K3" s="38">
        <v>1</v>
      </c>
      <c r="L3" s="101">
        <v>-14.6</v>
      </c>
      <c r="N3" s="117" t="s">
        <v>133</v>
      </c>
      <c r="O3" s="124">
        <f t="shared" si="0"/>
        <v>2233.3333333333335</v>
      </c>
      <c r="P3" s="121">
        <v>3</v>
      </c>
      <c r="Q3" s="105">
        <v>6700</v>
      </c>
    </row>
    <row r="4" spans="1:17" x14ac:dyDescent="0.4">
      <c r="A4" s="55" t="s">
        <v>6</v>
      </c>
      <c r="B4" s="152">
        <v>61</v>
      </c>
      <c r="C4" s="153"/>
      <c r="E4" s="63" t="s">
        <v>73</v>
      </c>
      <c r="F4" s="60" t="s">
        <v>28</v>
      </c>
      <c r="G4" s="47">
        <v>3</v>
      </c>
      <c r="H4" s="135">
        <f>IF(B$17=0,0,G4/B$17)</f>
        <v>0.6</v>
      </c>
      <c r="I4" s="96">
        <v>3</v>
      </c>
      <c r="K4" s="38">
        <v>2</v>
      </c>
      <c r="L4" s="101">
        <v>22.5</v>
      </c>
      <c r="N4" s="117" t="s">
        <v>134</v>
      </c>
      <c r="O4" s="124">
        <f t="shared" si="0"/>
        <v>-1000</v>
      </c>
      <c r="P4" s="121">
        <v>3</v>
      </c>
      <c r="Q4" s="105">
        <v>-3000</v>
      </c>
    </row>
    <row r="5" spans="1:17" x14ac:dyDescent="0.4">
      <c r="A5" s="55" t="s">
        <v>7</v>
      </c>
      <c r="B5" s="154">
        <f>IF(B$2=0,0,B$4/B$2)</f>
        <v>20.333333333333332</v>
      </c>
      <c r="C5" s="155"/>
      <c r="E5" s="63" t="s">
        <v>68</v>
      </c>
      <c r="F5" s="60" t="s">
        <v>24</v>
      </c>
      <c r="G5" s="47">
        <v>2</v>
      </c>
      <c r="H5" s="135">
        <f>IF(B$17=0,0,G5/B$17)</f>
        <v>0.4</v>
      </c>
      <c r="I5" s="96">
        <v>2</v>
      </c>
      <c r="K5" s="38">
        <v>3</v>
      </c>
      <c r="L5" s="101">
        <v>61</v>
      </c>
      <c r="N5" s="117" t="s">
        <v>135</v>
      </c>
      <c r="O5" s="124">
        <f t="shared" si="0"/>
        <v>6233.333333333333</v>
      </c>
      <c r="P5" s="121">
        <v>3</v>
      </c>
      <c r="Q5" s="105">
        <v>18700</v>
      </c>
    </row>
    <row r="6" spans="1:17" x14ac:dyDescent="0.4">
      <c r="A6" s="55" t="s">
        <v>1</v>
      </c>
      <c r="B6" s="144">
        <f>IF(B$2=0,0,(B$7*1+B$8*2+B$9*3)/B$2)</f>
        <v>1.3333333333333333</v>
      </c>
      <c r="C6" s="145"/>
      <c r="E6" s="63" t="s">
        <v>90</v>
      </c>
      <c r="F6" s="60" t="s">
        <v>45</v>
      </c>
      <c r="G6" s="47">
        <v>2</v>
      </c>
      <c r="H6" s="135">
        <f>IF(B$17=0,0,G6/B$17)</f>
        <v>0.4</v>
      </c>
      <c r="I6" s="96">
        <v>2</v>
      </c>
      <c r="N6" s="117" t="s">
        <v>136</v>
      </c>
      <c r="O6" s="124">
        <f t="shared" si="0"/>
        <v>100</v>
      </c>
      <c r="P6" s="121">
        <v>3</v>
      </c>
      <c r="Q6" s="105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182</v>
      </c>
      <c r="F7" s="60" t="s">
        <v>183</v>
      </c>
      <c r="G7" s="47">
        <v>2</v>
      </c>
      <c r="H7" s="135">
        <f>IF(B$17=0,0,G7/B$17)</f>
        <v>0.4</v>
      </c>
      <c r="I7" s="96">
        <v>4</v>
      </c>
      <c r="N7" s="118" t="s">
        <v>137</v>
      </c>
      <c r="O7" s="125">
        <f t="shared" si="0"/>
        <v>-3566.6666666666665</v>
      </c>
      <c r="P7" s="122">
        <v>3</v>
      </c>
      <c r="Q7" s="106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5">
        <f>IF(B$17=0,0,G8/B$17)</f>
        <v>0.2</v>
      </c>
      <c r="I8" s="96">
        <v>9</v>
      </c>
      <c r="N8" s="43"/>
      <c r="O8" s="129"/>
      <c r="P8" s="113"/>
      <c r="Q8" s="111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5">
        <f>IF(B$17=0,0,G9/B$17)</f>
        <v>0.2</v>
      </c>
      <c r="I9" s="96">
        <v>4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5">
        <f>IF(B$17=0,0,G10/B$17)</f>
        <v>0.2</v>
      </c>
      <c r="I10" s="96">
        <v>1</v>
      </c>
      <c r="N10" s="116" t="s">
        <v>165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5">
        <f>IF(B$17=0,0,G11/B$17)</f>
        <v>0.2</v>
      </c>
      <c r="I11" s="96">
        <v>1</v>
      </c>
      <c r="N11" s="117" t="s">
        <v>166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5">
        <f>IF(B$17=0,0,G12/B$17)</f>
        <v>0</v>
      </c>
      <c r="I12" s="96">
        <v>10</v>
      </c>
      <c r="N12" s="118" t="s">
        <v>167</v>
      </c>
      <c r="O12" s="128">
        <f>IF(P12=0,0,Q12/P12)</f>
        <v>20.333333333333332</v>
      </c>
      <c r="P12" s="122">
        <v>3</v>
      </c>
      <c r="Q12" s="110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5">
        <f>IF(B$17=0,0,G13/B$17)</f>
        <v>0</v>
      </c>
      <c r="I13" s="96">
        <v>8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5">
        <f>IF(B$17=0,0,G14/B$17)</f>
        <v>0</v>
      </c>
      <c r="I14" s="96">
        <v>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5">
        <f>IF(B$17=0,0,G15/B$17)</f>
        <v>0</v>
      </c>
      <c r="I15" s="96">
        <v>3</v>
      </c>
      <c r="N15" s="116" t="s">
        <v>187</v>
      </c>
      <c r="O15" s="126">
        <f>IF(P15=0,0,Q15/P15)</f>
        <v>69.599999999999994</v>
      </c>
      <c r="P15" s="120">
        <v>1</v>
      </c>
      <c r="Q15" s="108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5">
        <f>IF(B$17=0,0,G16/B$17)</f>
        <v>0</v>
      </c>
      <c r="I16" s="96">
        <v>6</v>
      </c>
      <c r="N16" s="117" t="s">
        <v>178</v>
      </c>
      <c r="O16" s="127">
        <f>IF(P16=0,0,Q16/P16)</f>
        <v>45.699999999999996</v>
      </c>
      <c r="P16" s="121">
        <v>3</v>
      </c>
      <c r="Q16" s="109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5">
        <f>IF(B$17=0,0,G17/B$17)</f>
        <v>0</v>
      </c>
      <c r="I17" s="96">
        <v>1</v>
      </c>
      <c r="N17" s="117" t="s">
        <v>174</v>
      </c>
      <c r="O17" s="127">
        <f>IF(P17=0,0,Q17/P17)</f>
        <v>45.5</v>
      </c>
      <c r="P17" s="121">
        <v>1</v>
      </c>
      <c r="Q17" s="109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5">
        <f>IF(B$17=0,0,G18/B$17)</f>
        <v>0</v>
      </c>
      <c r="I18" s="96">
        <v>4</v>
      </c>
      <c r="N18" s="117" t="s">
        <v>127</v>
      </c>
      <c r="O18" s="127">
        <f>IF(P18=0,0,Q18/P18)</f>
        <v>-69.2</v>
      </c>
      <c r="P18" s="121">
        <v>1</v>
      </c>
      <c r="Q18" s="109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5">
        <f>IF(B$17=0,0,G19/B$17)</f>
        <v>0</v>
      </c>
      <c r="I19" s="96">
        <v>7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5">
        <f>IF(B$17=0,0,G20/B$17)</f>
        <v>0</v>
      </c>
      <c r="I20" s="96">
        <v>6</v>
      </c>
    </row>
    <row r="21" spans="1:17" x14ac:dyDescent="0.4">
      <c r="A21" s="55" t="s">
        <v>194</v>
      </c>
      <c r="B21" s="47">
        <v>2</v>
      </c>
      <c r="C21" s="137">
        <v>0</v>
      </c>
      <c r="E21" s="63" t="s">
        <v>81</v>
      </c>
      <c r="F21" s="60" t="s">
        <v>36</v>
      </c>
      <c r="G21" s="47">
        <v>0</v>
      </c>
      <c r="H21" s="135">
        <f>IF(B$17=0,0,G21/B$17)</f>
        <v>0</v>
      </c>
      <c r="I21" s="96">
        <v>1</v>
      </c>
    </row>
    <row r="22" spans="1:17" x14ac:dyDescent="0.4">
      <c r="A22" s="55" t="s">
        <v>195</v>
      </c>
      <c r="B22" s="47">
        <v>12</v>
      </c>
      <c r="C22" s="137">
        <v>12</v>
      </c>
      <c r="E22" s="63" t="s">
        <v>82</v>
      </c>
      <c r="F22" s="60" t="s">
        <v>37</v>
      </c>
      <c r="G22" s="47">
        <v>0</v>
      </c>
      <c r="H22" s="135">
        <f>IF(B$17=0,0,G22/B$17)</f>
        <v>0</v>
      </c>
      <c r="I22" s="96">
        <v>6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5">
        <f>IF(B$17=0,0,G24/B$17)</f>
        <v>0</v>
      </c>
      <c r="I24" s="96">
        <v>9</v>
      </c>
    </row>
    <row r="25" spans="1:17" x14ac:dyDescent="0.4">
      <c r="A25" s="92" t="s">
        <v>142</v>
      </c>
      <c r="B25" s="142">
        <v>3</v>
      </c>
      <c r="C25" s="143"/>
      <c r="E25" s="63" t="s">
        <v>85</v>
      </c>
      <c r="F25" s="60" t="s">
        <v>40</v>
      </c>
      <c r="G25" s="47">
        <v>0</v>
      </c>
      <c r="H25" s="135">
        <f>IF(B$17=0,0,G25/B$17)</f>
        <v>0</v>
      </c>
      <c r="I25" s="96">
        <v>3</v>
      </c>
    </row>
    <row r="26" spans="1:17" x14ac:dyDescent="0.4">
      <c r="A26" s="58" t="s">
        <v>152</v>
      </c>
      <c r="B26" s="140">
        <v>53500</v>
      </c>
      <c r="C26" s="141"/>
      <c r="E26" s="63" t="s">
        <v>86</v>
      </c>
      <c r="F26" s="60" t="s">
        <v>41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5">
        <f>IF(B$17=0,0,G28/B$17)</f>
        <v>0</v>
      </c>
      <c r="I28" s="96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59C88-03CD-4EFD-BDAE-33E3A1F776EE}">
  <sheetPr codeName="Sheet25"/>
  <dimension ref="A1:Q51"/>
  <sheetViews>
    <sheetView showGridLines="0" zoomScaleNormal="100" workbookViewId="0">
      <selection activeCell="B1" sqref="B1:C1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203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1</v>
      </c>
      <c r="C2" s="149"/>
      <c r="E2" s="62" t="s">
        <v>67</v>
      </c>
      <c r="F2" s="59" t="s">
        <v>23</v>
      </c>
      <c r="G2" s="46">
        <v>3</v>
      </c>
      <c r="H2" s="134">
        <f>IF(B$17=0,0,G2/B$17)</f>
        <v>1.5</v>
      </c>
      <c r="I2" s="95">
        <v>1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-18000</v>
      </c>
      <c r="P2" s="120">
        <v>1</v>
      </c>
      <c r="Q2" s="104">
        <v>-18000</v>
      </c>
    </row>
    <row r="3" spans="1:17" x14ac:dyDescent="0.4">
      <c r="A3" s="55" t="s">
        <v>8</v>
      </c>
      <c r="B3" s="150">
        <v>11</v>
      </c>
      <c r="C3" s="151"/>
      <c r="E3" s="63" t="s">
        <v>68</v>
      </c>
      <c r="F3" s="60" t="s">
        <v>24</v>
      </c>
      <c r="G3" s="47">
        <v>2</v>
      </c>
      <c r="H3" s="135">
        <f>IF(B$17=0,0,G3/B$17)</f>
        <v>1</v>
      </c>
      <c r="I3" s="96">
        <v>1</v>
      </c>
      <c r="K3" s="38">
        <v>1</v>
      </c>
      <c r="L3" s="101">
        <v>-12.5</v>
      </c>
      <c r="N3" s="117" t="s">
        <v>133</v>
      </c>
      <c r="O3" s="124">
        <f t="shared" si="0"/>
        <v>12000</v>
      </c>
      <c r="P3" s="121">
        <v>1</v>
      </c>
      <c r="Q3" s="105">
        <v>12000</v>
      </c>
    </row>
    <row r="4" spans="1:17" x14ac:dyDescent="0.4">
      <c r="A4" s="55" t="s">
        <v>6</v>
      </c>
      <c r="B4" s="152">
        <v>-12.5</v>
      </c>
      <c r="C4" s="153"/>
      <c r="E4" s="63" t="s">
        <v>65</v>
      </c>
      <c r="F4" s="60" t="s">
        <v>21</v>
      </c>
      <c r="G4" s="47">
        <v>1</v>
      </c>
      <c r="H4" s="135">
        <f>IF(B$17=0,0,G4/B$17)</f>
        <v>0.5</v>
      </c>
      <c r="I4" s="96">
        <v>5</v>
      </c>
      <c r="N4" s="117" t="s">
        <v>134</v>
      </c>
      <c r="O4" s="124">
        <f t="shared" si="0"/>
        <v>-10000</v>
      </c>
      <c r="P4" s="121">
        <v>1</v>
      </c>
      <c r="Q4" s="105">
        <v>-10000</v>
      </c>
    </row>
    <row r="5" spans="1:17" x14ac:dyDescent="0.4">
      <c r="A5" s="55" t="s">
        <v>7</v>
      </c>
      <c r="B5" s="154">
        <f>IF(B$2=0,0,B$4/B$2)</f>
        <v>-12.5</v>
      </c>
      <c r="C5" s="155"/>
      <c r="E5" s="63" t="s">
        <v>66</v>
      </c>
      <c r="F5" s="60" t="s">
        <v>22</v>
      </c>
      <c r="G5" s="47">
        <v>1</v>
      </c>
      <c r="H5" s="135">
        <f>IF(B$17=0,0,G5/B$17)</f>
        <v>0.5</v>
      </c>
      <c r="I5" s="96">
        <v>1</v>
      </c>
      <c r="N5" s="117" t="s">
        <v>135</v>
      </c>
      <c r="O5" s="124">
        <f t="shared" si="0"/>
        <v>-1000</v>
      </c>
      <c r="P5" s="121">
        <v>1</v>
      </c>
      <c r="Q5" s="105">
        <v>-1000</v>
      </c>
    </row>
    <row r="6" spans="1:17" x14ac:dyDescent="0.4">
      <c r="A6" s="55" t="s">
        <v>1</v>
      </c>
      <c r="B6" s="144">
        <f>IF(B$2=0,0,(B$7*1+B$8*2+B$9*3)/B$2)</f>
        <v>2</v>
      </c>
      <c r="C6" s="145"/>
      <c r="E6" s="63" t="s">
        <v>69</v>
      </c>
      <c r="F6" s="60" t="s">
        <v>12</v>
      </c>
      <c r="G6" s="47">
        <v>1</v>
      </c>
      <c r="H6" s="135">
        <f>IF(B$17=0,0,G6/B$17)</f>
        <v>0.5</v>
      </c>
      <c r="I6" s="96">
        <v>1</v>
      </c>
      <c r="N6" s="117" t="s">
        <v>136</v>
      </c>
      <c r="O6" s="124">
        <f t="shared" si="0"/>
        <v>12000</v>
      </c>
      <c r="P6" s="121">
        <v>1</v>
      </c>
      <c r="Q6" s="105">
        <v>12000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1</v>
      </c>
      <c r="H7" s="135">
        <f>IF(B$17=0,0,G7/B$17)</f>
        <v>0.5</v>
      </c>
      <c r="I7" s="96">
        <v>1</v>
      </c>
      <c r="N7" s="118" t="s">
        <v>137</v>
      </c>
      <c r="O7" s="125">
        <f t="shared" si="0"/>
        <v>-7500</v>
      </c>
      <c r="P7" s="122">
        <v>1</v>
      </c>
      <c r="Q7" s="106">
        <v>-7500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73</v>
      </c>
      <c r="F8" s="60" t="s">
        <v>28</v>
      </c>
      <c r="G8" s="47">
        <v>1</v>
      </c>
      <c r="H8" s="135">
        <f>IF(B$17=0,0,G8/B$17)</f>
        <v>0.5</v>
      </c>
      <c r="I8" s="96">
        <v>7</v>
      </c>
      <c r="N8" s="43"/>
      <c r="O8" s="129"/>
      <c r="P8" s="113"/>
      <c r="Q8" s="111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90</v>
      </c>
      <c r="F9" s="60" t="s">
        <v>45</v>
      </c>
      <c r="G9" s="47">
        <v>1</v>
      </c>
      <c r="H9" s="135">
        <f>IF(B$17=0,0,G9/B$17)</f>
        <v>0.5</v>
      </c>
      <c r="I9" s="96">
        <v>1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182</v>
      </c>
      <c r="F10" s="60" t="s">
        <v>183</v>
      </c>
      <c r="G10" s="47">
        <v>1</v>
      </c>
      <c r="H10" s="135">
        <f>IF(B$17=0,0,G10/B$17)</f>
        <v>0.5</v>
      </c>
      <c r="I10" s="96">
        <v>1</v>
      </c>
      <c r="N10" s="116" t="s">
        <v>165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71</v>
      </c>
      <c r="F11" s="60" t="s">
        <v>26</v>
      </c>
      <c r="G11" s="47">
        <v>0</v>
      </c>
      <c r="H11" s="135">
        <f>IF(B$17=0,0,G11/B$17)</f>
        <v>0</v>
      </c>
      <c r="I11" s="96">
        <v>8</v>
      </c>
      <c r="N11" s="117" t="s">
        <v>166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72</v>
      </c>
      <c r="F12" s="60" t="s">
        <v>27</v>
      </c>
      <c r="G12" s="47">
        <v>0</v>
      </c>
      <c r="H12" s="135">
        <f>IF(B$17=0,0,G12/B$17)</f>
        <v>0</v>
      </c>
      <c r="I12" s="96">
        <v>10</v>
      </c>
      <c r="N12" s="118" t="s">
        <v>167</v>
      </c>
      <c r="O12" s="128">
        <f>IF(P12=0,0,Q12/P12)</f>
        <v>-12.5</v>
      </c>
      <c r="P12" s="122">
        <v>1</v>
      </c>
      <c r="Q12" s="110">
        <v>-12.5</v>
      </c>
    </row>
    <row r="13" spans="1:17" x14ac:dyDescent="0.4">
      <c r="A13" s="58" t="s">
        <v>122</v>
      </c>
      <c r="B13" s="50">
        <v>2</v>
      </c>
      <c r="C13" s="44">
        <f>IF(B$3=0,0,B13/B$3)</f>
        <v>0.18181818181818182</v>
      </c>
      <c r="E13" s="63" t="s">
        <v>74</v>
      </c>
      <c r="F13" s="60" t="s">
        <v>29</v>
      </c>
      <c r="G13" s="47">
        <v>0</v>
      </c>
      <c r="H13" s="135">
        <f>IF(B$17=0,0,G13/B$17)</f>
        <v>0</v>
      </c>
      <c r="I13" s="96">
        <v>5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2</v>
      </c>
      <c r="C14" s="39">
        <f>IF(B$3=0,0,B14/B$3)</f>
        <v>0.18181818181818182</v>
      </c>
      <c r="E14" s="63" t="s">
        <v>75</v>
      </c>
      <c r="F14" s="60" t="s">
        <v>30</v>
      </c>
      <c r="G14" s="47">
        <v>0</v>
      </c>
      <c r="H14" s="135">
        <f>IF(B$17=0,0,G14/B$17)</f>
        <v>0</v>
      </c>
      <c r="I14" s="96">
        <v>3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0.5</v>
      </c>
      <c r="E15" s="63" t="s">
        <v>76</v>
      </c>
      <c r="F15" s="60" t="s">
        <v>31</v>
      </c>
      <c r="G15" s="47">
        <v>0</v>
      </c>
      <c r="H15" s="135">
        <f>IF(B$17=0,0,G15/B$17)</f>
        <v>0</v>
      </c>
      <c r="I15" s="96">
        <v>6</v>
      </c>
      <c r="N15" s="116" t="s">
        <v>172</v>
      </c>
      <c r="O15" s="126">
        <f>IF(P15=0,0,Q15/P15)</f>
        <v>21.9</v>
      </c>
      <c r="P15" s="120">
        <v>1</v>
      </c>
      <c r="Q15" s="108">
        <v>21.9</v>
      </c>
    </row>
    <row r="16" spans="1:17" x14ac:dyDescent="0.4">
      <c r="A16" s="54" t="s">
        <v>125</v>
      </c>
      <c r="B16" s="46">
        <v>1</v>
      </c>
      <c r="C16" s="37">
        <f>IF(B$14=0,0,B16/B$14)</f>
        <v>0.5</v>
      </c>
      <c r="E16" s="63" t="s">
        <v>77</v>
      </c>
      <c r="F16" s="60" t="s">
        <v>32</v>
      </c>
      <c r="G16" s="47">
        <v>0</v>
      </c>
      <c r="H16" s="135">
        <f>IF(B$17=0,0,G16/B$17)</f>
        <v>0</v>
      </c>
      <c r="I16" s="96">
        <v>1</v>
      </c>
      <c r="N16" s="117" t="s">
        <v>173</v>
      </c>
      <c r="O16" s="127">
        <f>IF(P16=0,0,Q16/P16)</f>
        <v>-59.4</v>
      </c>
      <c r="P16" s="121">
        <v>1</v>
      </c>
      <c r="Q16" s="109">
        <v>-59.4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0.18181818181818182</v>
      </c>
      <c r="E17" s="63" t="s">
        <v>78</v>
      </c>
      <c r="F17" s="60" t="s">
        <v>33</v>
      </c>
      <c r="G17" s="47">
        <v>0</v>
      </c>
      <c r="H17" s="135">
        <f>IF(B$17=0,0,G17/B$17)</f>
        <v>0</v>
      </c>
      <c r="I17" s="96">
        <v>4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79</v>
      </c>
      <c r="F18" s="60" t="s">
        <v>34</v>
      </c>
      <c r="G18" s="47">
        <v>0</v>
      </c>
      <c r="H18" s="135">
        <f>IF(B$17=0,0,G18/B$17)</f>
        <v>0</v>
      </c>
      <c r="I18" s="96">
        <v>7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80</v>
      </c>
      <c r="F19" s="60" t="s">
        <v>35</v>
      </c>
      <c r="G19" s="47">
        <v>0</v>
      </c>
      <c r="H19" s="135">
        <f>IF(B$17=0,0,G19/B$17)</f>
        <v>0</v>
      </c>
      <c r="I19" s="96">
        <v>6</v>
      </c>
    </row>
    <row r="20" spans="1:9" x14ac:dyDescent="0.4">
      <c r="A20" s="55" t="s">
        <v>13</v>
      </c>
      <c r="B20" s="47">
        <v>2</v>
      </c>
      <c r="C20" s="39">
        <f>IF(B$3=0,0,B20/B$3)</f>
        <v>0.18181818181818182</v>
      </c>
      <c r="E20" s="63" t="s">
        <v>81</v>
      </c>
      <c r="F20" s="60" t="s">
        <v>36</v>
      </c>
      <c r="G20" s="47">
        <v>0</v>
      </c>
      <c r="H20" s="135">
        <f>IF(B$17=0,0,G20/B$17)</f>
        <v>0</v>
      </c>
      <c r="I20" s="96">
        <v>1</v>
      </c>
    </row>
    <row r="21" spans="1:9" x14ac:dyDescent="0.4">
      <c r="A21" s="55" t="s">
        <v>194</v>
      </c>
      <c r="B21" s="47">
        <v>1</v>
      </c>
      <c r="C21" s="137">
        <v>0</v>
      </c>
      <c r="E21" s="63" t="s">
        <v>82</v>
      </c>
      <c r="F21" s="60" t="s">
        <v>37</v>
      </c>
      <c r="G21" s="47">
        <v>0</v>
      </c>
      <c r="H21" s="135">
        <f>IF(B$17=0,0,G21/B$17)</f>
        <v>0</v>
      </c>
      <c r="I21" s="96">
        <v>6</v>
      </c>
    </row>
    <row r="22" spans="1:9" x14ac:dyDescent="0.4">
      <c r="A22" s="55" t="s">
        <v>195</v>
      </c>
      <c r="B22" s="47">
        <v>5</v>
      </c>
      <c r="C22" s="137">
        <v>5</v>
      </c>
      <c r="E22" s="63" t="s">
        <v>83</v>
      </c>
      <c r="F22" s="60" t="s">
        <v>38</v>
      </c>
      <c r="G22" s="47">
        <v>0</v>
      </c>
      <c r="H22" s="135">
        <f>IF(B$17=0,0,G22/B$17)</f>
        <v>0</v>
      </c>
      <c r="I22" s="96">
        <v>1</v>
      </c>
    </row>
    <row r="23" spans="1:9" x14ac:dyDescent="0.4">
      <c r="A23" s="55" t="s">
        <v>5</v>
      </c>
      <c r="B23" s="51">
        <f>IF(B$17=0,0,C23/B$17)</f>
        <v>12000</v>
      </c>
      <c r="C23" s="41">
        <v>24000</v>
      </c>
      <c r="E23" s="63" t="s">
        <v>84</v>
      </c>
      <c r="F23" s="60" t="s">
        <v>39</v>
      </c>
      <c r="G23" s="47">
        <v>0</v>
      </c>
      <c r="H23" s="135">
        <f>IF(B$17=0,0,G23/B$17)</f>
        <v>0</v>
      </c>
      <c r="I23" s="96">
        <v>9</v>
      </c>
    </row>
    <row r="24" spans="1:9" x14ac:dyDescent="0.4">
      <c r="A24" s="57" t="s">
        <v>14</v>
      </c>
      <c r="B24" s="52">
        <f>IF(B$20=0,0,C24/B$20)</f>
        <v>-3250</v>
      </c>
      <c r="C24" s="45">
        <v>-6500</v>
      </c>
      <c r="E24" s="63" t="s">
        <v>85</v>
      </c>
      <c r="F24" s="60" t="s">
        <v>40</v>
      </c>
      <c r="G24" s="47">
        <v>0</v>
      </c>
      <c r="H24" s="135">
        <f>IF(B$17=0,0,G24/B$17)</f>
        <v>0</v>
      </c>
      <c r="I24" s="96">
        <v>3</v>
      </c>
    </row>
    <row r="25" spans="1:9" x14ac:dyDescent="0.4">
      <c r="A25" s="92" t="s">
        <v>142</v>
      </c>
      <c r="B25" s="142">
        <v>3</v>
      </c>
      <c r="C25" s="143"/>
      <c r="E25" s="63" t="s">
        <v>86</v>
      </c>
      <c r="F25" s="60" t="s">
        <v>41</v>
      </c>
      <c r="G25" s="47">
        <v>0</v>
      </c>
      <c r="H25" s="135">
        <f>IF(B$17=0,0,G25/B$17)</f>
        <v>0</v>
      </c>
      <c r="I25" s="96">
        <v>3</v>
      </c>
    </row>
    <row r="26" spans="1:9" x14ac:dyDescent="0.4">
      <c r="A26" s="58" t="s">
        <v>152</v>
      </c>
      <c r="B26" s="140">
        <v>22500</v>
      </c>
      <c r="C26" s="141"/>
      <c r="E26" s="63" t="s">
        <v>87</v>
      </c>
      <c r="F26" s="60" t="s">
        <v>42</v>
      </c>
      <c r="G26" s="47">
        <v>0</v>
      </c>
      <c r="H26" s="135">
        <f>IF(B$17=0,0,G26/B$17)</f>
        <v>0</v>
      </c>
      <c r="I26" s="96">
        <v>9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5">
        <f>IF(B$17=0,0,G27/B$17)</f>
        <v>0</v>
      </c>
      <c r="I27" s="96">
        <v>3</v>
      </c>
    </row>
    <row r="28" spans="1:9" x14ac:dyDescent="0.4">
      <c r="E28" s="63" t="s">
        <v>89</v>
      </c>
      <c r="F28" s="60" t="s">
        <v>44</v>
      </c>
      <c r="G28" s="47">
        <v>0</v>
      </c>
      <c r="H28" s="135">
        <f>IF(B$17=0,0,G28/B$17)</f>
        <v>0</v>
      </c>
      <c r="I28" s="96">
        <v>4</v>
      </c>
    </row>
    <row r="29" spans="1:9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9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7</v>
      </c>
    </row>
    <row r="31" spans="1:9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9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E77FE-3B5E-4C49-80C7-F7D2F317428C}">
  <sheetPr codeName="Sheet23"/>
  <dimension ref="A1:Q51"/>
  <sheetViews>
    <sheetView showGridLines="0" zoomScaleNormal="100" workbookViewId="0">
      <selection activeCell="B1" sqref="B1:C1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187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7</v>
      </c>
      <c r="C2" s="149"/>
      <c r="E2" s="62" t="s">
        <v>67</v>
      </c>
      <c r="F2" s="59" t="s">
        <v>23</v>
      </c>
      <c r="G2" s="46">
        <v>10</v>
      </c>
      <c r="H2" s="134">
        <f>IF(B$17=0,0,G2/B$17)</f>
        <v>0.83333333333333337</v>
      </c>
      <c r="I2" s="95" t="e">
        <v>#N/A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-3742.8571428571427</v>
      </c>
      <c r="P2" s="120">
        <v>7</v>
      </c>
      <c r="Q2" s="104">
        <v>-26200</v>
      </c>
    </row>
    <row r="3" spans="1:17" x14ac:dyDescent="0.4">
      <c r="A3" s="55" t="s">
        <v>8</v>
      </c>
      <c r="B3" s="150">
        <v>57</v>
      </c>
      <c r="C3" s="151"/>
      <c r="E3" s="63" t="s">
        <v>73</v>
      </c>
      <c r="F3" s="60" t="s">
        <v>28</v>
      </c>
      <c r="G3" s="47">
        <v>10</v>
      </c>
      <c r="H3" s="135">
        <f>IF(B$17=0,0,G3/B$17)</f>
        <v>0.83333333333333337</v>
      </c>
      <c r="I3" s="96" t="e">
        <v>#N/A</v>
      </c>
      <c r="K3" s="38">
        <v>1</v>
      </c>
      <c r="L3" s="101">
        <v>-43.7</v>
      </c>
      <c r="N3" s="117" t="s">
        <v>133</v>
      </c>
      <c r="O3" s="124">
        <f t="shared" si="0"/>
        <v>-4085.7142857142858</v>
      </c>
      <c r="P3" s="121">
        <v>7</v>
      </c>
      <c r="Q3" s="105">
        <v>-28600</v>
      </c>
    </row>
    <row r="4" spans="1:17" x14ac:dyDescent="0.4">
      <c r="A4" s="55" t="s">
        <v>6</v>
      </c>
      <c r="B4" s="152">
        <v>-218.2</v>
      </c>
      <c r="C4" s="153"/>
      <c r="E4" s="63" t="s">
        <v>65</v>
      </c>
      <c r="F4" s="60" t="s">
        <v>21</v>
      </c>
      <c r="G4" s="47">
        <v>5</v>
      </c>
      <c r="H4" s="135">
        <f>IF(B$17=0,0,G4/B$17)</f>
        <v>0.41666666666666669</v>
      </c>
      <c r="I4" s="96" t="e">
        <v>#N/A</v>
      </c>
      <c r="K4" s="38">
        <v>2</v>
      </c>
      <c r="L4" s="101">
        <v>-76.2</v>
      </c>
      <c r="N4" s="117" t="s">
        <v>134</v>
      </c>
      <c r="O4" s="124">
        <f t="shared" si="0"/>
        <v>128.57142857142858</v>
      </c>
      <c r="P4" s="121">
        <v>7</v>
      </c>
      <c r="Q4" s="105">
        <v>900</v>
      </c>
    </row>
    <row r="5" spans="1:17" x14ac:dyDescent="0.4">
      <c r="A5" s="55" t="s">
        <v>7</v>
      </c>
      <c r="B5" s="154">
        <f>IF(B$2=0,0,B$4/B$2)</f>
        <v>-31.171428571428571</v>
      </c>
      <c r="C5" s="155"/>
      <c r="E5" s="63" t="s">
        <v>182</v>
      </c>
      <c r="F5" s="60" t="s">
        <v>183</v>
      </c>
      <c r="G5" s="47">
        <v>4</v>
      </c>
      <c r="H5" s="135">
        <f>IF(B$17=0,0,G5/B$17)</f>
        <v>0.33333333333333331</v>
      </c>
      <c r="I5" s="96" t="e">
        <v>#N/A</v>
      </c>
      <c r="K5" s="38">
        <v>3</v>
      </c>
      <c r="L5" s="101">
        <v>-78.400000000000006</v>
      </c>
      <c r="N5" s="117" t="s">
        <v>135</v>
      </c>
      <c r="O5" s="124">
        <f t="shared" si="0"/>
        <v>-7000</v>
      </c>
      <c r="P5" s="121">
        <v>6</v>
      </c>
      <c r="Q5" s="105">
        <v>-42000</v>
      </c>
    </row>
    <row r="6" spans="1:17" x14ac:dyDescent="0.4">
      <c r="A6" s="55" t="s">
        <v>1</v>
      </c>
      <c r="B6" s="144">
        <f>IF(B$2=0,0,(B$7*1+B$8*2+B$9*3)/B$2)</f>
        <v>2.5714285714285716</v>
      </c>
      <c r="C6" s="145"/>
      <c r="E6" s="63" t="s">
        <v>90</v>
      </c>
      <c r="F6" s="60" t="s">
        <v>45</v>
      </c>
      <c r="G6" s="47">
        <v>3</v>
      </c>
      <c r="H6" s="135">
        <f>IF(B$17=0,0,G6/B$17)</f>
        <v>0.25</v>
      </c>
      <c r="I6" s="96" t="e">
        <v>#N/A</v>
      </c>
      <c r="K6" s="38">
        <v>4</v>
      </c>
      <c r="L6" s="101">
        <v>-49.800000000000004</v>
      </c>
      <c r="N6" s="117" t="s">
        <v>136</v>
      </c>
      <c r="O6" s="124">
        <f t="shared" si="0"/>
        <v>-2950</v>
      </c>
      <c r="P6" s="121">
        <v>6</v>
      </c>
      <c r="Q6" s="105">
        <v>-17700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69</v>
      </c>
      <c r="F7" s="60" t="s">
        <v>12</v>
      </c>
      <c r="G7" s="47">
        <v>2</v>
      </c>
      <c r="H7" s="135">
        <f>IF(B$17=0,0,G7/B$17)</f>
        <v>0.16666666666666666</v>
      </c>
      <c r="I7" s="96" t="e">
        <v>#N/A</v>
      </c>
      <c r="K7" s="38">
        <v>5</v>
      </c>
      <c r="L7" s="101">
        <v>-121</v>
      </c>
      <c r="N7" s="118" t="s">
        <v>137</v>
      </c>
      <c r="O7" s="125">
        <f t="shared" si="0"/>
        <v>-4100</v>
      </c>
      <c r="P7" s="122">
        <v>6</v>
      </c>
      <c r="Q7" s="106">
        <v>-24600</v>
      </c>
    </row>
    <row r="8" spans="1:17" x14ac:dyDescent="0.4">
      <c r="A8" s="55" t="s">
        <v>3</v>
      </c>
      <c r="B8" s="47">
        <v>1</v>
      </c>
      <c r="C8" s="39">
        <f>IF(B$2=0,0,B8/B$2)</f>
        <v>0.14285714285714285</v>
      </c>
      <c r="E8" s="63" t="s">
        <v>70</v>
      </c>
      <c r="F8" s="60" t="s">
        <v>25</v>
      </c>
      <c r="G8" s="47">
        <v>2</v>
      </c>
      <c r="H8" s="135">
        <f>IF(B$17=0,0,G8/B$17)</f>
        <v>0.16666666666666666</v>
      </c>
      <c r="I8" s="96" t="e">
        <v>#N/A</v>
      </c>
      <c r="K8" s="38">
        <v>6</v>
      </c>
      <c r="L8" s="101">
        <v>-167</v>
      </c>
      <c r="N8" s="43"/>
      <c r="O8" s="129"/>
      <c r="P8" s="113"/>
      <c r="Q8" s="111"/>
    </row>
    <row r="9" spans="1:17" x14ac:dyDescent="0.4">
      <c r="A9" s="56" t="s">
        <v>4</v>
      </c>
      <c r="B9" s="48">
        <v>5</v>
      </c>
      <c r="C9" s="40">
        <f t="shared" ref="C9" si="1">IF(B$2=0,0,B9/B$2)</f>
        <v>0.7142857142857143</v>
      </c>
      <c r="E9" s="63" t="s">
        <v>71</v>
      </c>
      <c r="F9" s="60" t="s">
        <v>26</v>
      </c>
      <c r="G9" s="47">
        <v>1</v>
      </c>
      <c r="H9" s="135">
        <f>IF(B$17=0,0,G9/B$17)</f>
        <v>8.3333333333333329E-2</v>
      </c>
      <c r="I9" s="96" t="e">
        <v>#N/A</v>
      </c>
      <c r="K9" s="38">
        <v>7</v>
      </c>
      <c r="L9" s="101">
        <v>-218.2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0.14285714285714285</v>
      </c>
      <c r="E10" s="63" t="s">
        <v>82</v>
      </c>
      <c r="F10" s="60" t="s">
        <v>37</v>
      </c>
      <c r="G10" s="47">
        <v>1</v>
      </c>
      <c r="H10" s="135">
        <f>IF(B$17=0,0,G10/B$17)</f>
        <v>8.3333333333333329E-2</v>
      </c>
      <c r="I10" s="96" t="e">
        <v>#N/A</v>
      </c>
      <c r="N10" s="116" t="s">
        <v>165</v>
      </c>
      <c r="O10" s="126">
        <f>IF(P10=0,0,Q10/P10)</f>
        <v>-43.233333333333327</v>
      </c>
      <c r="P10" s="120">
        <v>3</v>
      </c>
      <c r="Q10" s="108">
        <v>-129.69999999999999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1</v>
      </c>
      <c r="H11" s="135">
        <f>IF(B$17=0,0,G11/B$17)</f>
        <v>8.3333333333333329E-2</v>
      </c>
      <c r="I11" s="96" t="e">
        <v>#N/A</v>
      </c>
      <c r="N11" s="117" t="s">
        <v>166</v>
      </c>
      <c r="O11" s="127">
        <f>IF(P11=0,0,Q11/P11)</f>
        <v>-39.033333333333339</v>
      </c>
      <c r="P11" s="121">
        <v>3</v>
      </c>
      <c r="Q11" s="109">
        <v>-117.10000000000001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5">
        <f>IF(B$17=0,0,G12/B$17)</f>
        <v>0</v>
      </c>
      <c r="I12" s="96">
        <v>10</v>
      </c>
      <c r="N12" s="118" t="s">
        <v>167</v>
      </c>
      <c r="O12" s="128">
        <f>IF(P12=0,0,Q12/P12)</f>
        <v>28.6</v>
      </c>
      <c r="P12" s="122">
        <v>1</v>
      </c>
      <c r="Q12" s="110">
        <v>28.6</v>
      </c>
    </row>
    <row r="13" spans="1:17" x14ac:dyDescent="0.4">
      <c r="A13" s="58" t="s">
        <v>122</v>
      </c>
      <c r="B13" s="50">
        <v>7</v>
      </c>
      <c r="C13" s="44">
        <f>IF(B$3=0,0,B13/B$3)</f>
        <v>0.12280701754385964</v>
      </c>
      <c r="E13" s="63" t="s">
        <v>68</v>
      </c>
      <c r="F13" s="60" t="s">
        <v>24</v>
      </c>
      <c r="G13" s="47">
        <v>0</v>
      </c>
      <c r="H13" s="135">
        <f>IF(B$17=0,0,G13/B$17)</f>
        <v>0</v>
      </c>
      <c r="I13" s="96" t="e">
        <v>#N/A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13</v>
      </c>
      <c r="C14" s="39">
        <f>IF(B$3=0,0,B14/B$3)</f>
        <v>0.22807017543859648</v>
      </c>
      <c r="E14" s="63" t="s">
        <v>72</v>
      </c>
      <c r="F14" s="60" t="s">
        <v>27</v>
      </c>
      <c r="G14" s="47">
        <v>0</v>
      </c>
      <c r="H14" s="135">
        <f>IF(B$17=0,0,G14/B$17)</f>
        <v>0</v>
      </c>
      <c r="I14" s="96">
        <v>10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74</v>
      </c>
      <c r="F15" s="60" t="s">
        <v>29</v>
      </c>
      <c r="G15" s="47">
        <v>0</v>
      </c>
      <c r="H15" s="135">
        <f>IF(B$17=0,0,G15/B$17)</f>
        <v>0</v>
      </c>
      <c r="I15" s="96">
        <v>5</v>
      </c>
      <c r="N15" s="116" t="s">
        <v>129</v>
      </c>
      <c r="O15" s="126">
        <f>IF(P15=0,0,Q15/P15)</f>
        <v>72.3</v>
      </c>
      <c r="P15" s="120">
        <v>1</v>
      </c>
      <c r="Q15" s="108">
        <v>72.3</v>
      </c>
    </row>
    <row r="16" spans="1:17" x14ac:dyDescent="0.4">
      <c r="A16" s="54" t="s">
        <v>125</v>
      </c>
      <c r="B16" s="46">
        <v>5</v>
      </c>
      <c r="C16" s="37">
        <f>IF(B$14=0,0,B16/B$14)</f>
        <v>0.38461538461538464</v>
      </c>
      <c r="E16" s="63" t="s">
        <v>75</v>
      </c>
      <c r="F16" s="60" t="s">
        <v>30</v>
      </c>
      <c r="G16" s="47">
        <v>0</v>
      </c>
      <c r="H16" s="135">
        <f>IF(B$17=0,0,G16/B$17)</f>
        <v>0</v>
      </c>
      <c r="I16" s="96">
        <v>3</v>
      </c>
      <c r="N16" s="117" t="s">
        <v>172</v>
      </c>
      <c r="O16" s="127">
        <f>IF(P16=0,0,Q16/P16)</f>
        <v>-25.400000000000002</v>
      </c>
      <c r="P16" s="121">
        <v>2</v>
      </c>
      <c r="Q16" s="109">
        <v>-50.800000000000004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0.21052631578947367</v>
      </c>
      <c r="E17" s="63" t="s">
        <v>76</v>
      </c>
      <c r="F17" s="60" t="s">
        <v>31</v>
      </c>
      <c r="G17" s="47">
        <v>0</v>
      </c>
      <c r="H17" s="135">
        <f>IF(B$17=0,0,G17/B$17)</f>
        <v>0</v>
      </c>
      <c r="I17" s="96">
        <v>6</v>
      </c>
      <c r="N17" s="117" t="s">
        <v>127</v>
      </c>
      <c r="O17" s="127">
        <f>IF(P17=0,0,Q17/P17)</f>
        <v>-56.8</v>
      </c>
      <c r="P17" s="121">
        <v>4</v>
      </c>
      <c r="Q17" s="109">
        <v>-227.2</v>
      </c>
    </row>
    <row r="18" spans="1:17" x14ac:dyDescent="0.4">
      <c r="A18" s="55" t="s">
        <v>12</v>
      </c>
      <c r="B18" s="47">
        <v>6</v>
      </c>
      <c r="C18" s="39">
        <f>IF(B$17=0,0,B18/B$17)</f>
        <v>0.5</v>
      </c>
      <c r="E18" s="63" t="s">
        <v>77</v>
      </c>
      <c r="F18" s="60" t="s">
        <v>32</v>
      </c>
      <c r="G18" s="47">
        <v>0</v>
      </c>
      <c r="H18" s="135">
        <f>IF(B$17=0,0,G18/B$17)</f>
        <v>0</v>
      </c>
      <c r="I18" s="96">
        <v>1</v>
      </c>
      <c r="N18" s="117" t="s">
        <v>178</v>
      </c>
      <c r="O18" s="127">
        <f>IF(P18=0,0,Q18/P18)</f>
        <v>-60.800000000000004</v>
      </c>
      <c r="P18" s="121">
        <v>2</v>
      </c>
      <c r="Q18" s="109">
        <v>-121.60000000000001</v>
      </c>
    </row>
    <row r="19" spans="1:17" x14ac:dyDescent="0.4">
      <c r="A19" s="55" t="s">
        <v>11</v>
      </c>
      <c r="B19" s="47">
        <v>6</v>
      </c>
      <c r="C19" s="39">
        <f>IF(B$17=0,0,B19/B$17)</f>
        <v>0.5</v>
      </c>
      <c r="E19" s="63" t="s">
        <v>78</v>
      </c>
      <c r="F19" s="60" t="s">
        <v>33</v>
      </c>
      <c r="G19" s="47">
        <v>0</v>
      </c>
      <c r="H19" s="135">
        <f>IF(B$17=0,0,G19/B$17)</f>
        <v>0</v>
      </c>
      <c r="I19" s="96">
        <v>4</v>
      </c>
      <c r="N19" s="117" t="s">
        <v>128</v>
      </c>
      <c r="O19" s="127">
        <f>IF(P19=0,0,Q19/P19)</f>
        <v>-64.424999999999997</v>
      </c>
      <c r="P19" s="121">
        <v>4</v>
      </c>
      <c r="Q19" s="109">
        <v>-257.7</v>
      </c>
    </row>
    <row r="20" spans="1:17" x14ac:dyDescent="0.4">
      <c r="A20" s="55" t="s">
        <v>13</v>
      </c>
      <c r="B20" s="47">
        <v>16</v>
      </c>
      <c r="C20" s="39">
        <f>IF(B$3=0,0,B20/B$3)</f>
        <v>0.2807017543859649</v>
      </c>
      <c r="E20" s="63" t="s">
        <v>79</v>
      </c>
      <c r="F20" s="60" t="s">
        <v>34</v>
      </c>
      <c r="G20" s="47">
        <v>0</v>
      </c>
      <c r="H20" s="135">
        <f>IF(B$17=0,0,G20/B$17)</f>
        <v>0</v>
      </c>
      <c r="I20" s="96">
        <v>7</v>
      </c>
      <c r="N20" s="117" t="s">
        <v>186</v>
      </c>
      <c r="O20" s="127">
        <f>IF(P20=0,0,Q20/P20)</f>
        <v>-69.599999999999994</v>
      </c>
      <c r="P20" s="121">
        <v>1</v>
      </c>
      <c r="Q20" s="109">
        <v>-69.599999999999994</v>
      </c>
    </row>
    <row r="21" spans="1:17" x14ac:dyDescent="0.4">
      <c r="A21" s="55" t="s">
        <v>194</v>
      </c>
      <c r="B21" s="47">
        <v>2</v>
      </c>
      <c r="C21" s="137">
        <v>0</v>
      </c>
      <c r="E21" s="63" t="s">
        <v>80</v>
      </c>
      <c r="F21" s="60" t="s">
        <v>35</v>
      </c>
      <c r="G21" s="47">
        <v>0</v>
      </c>
      <c r="H21" s="135">
        <f>IF(B$17=0,0,G21/B$17)</f>
        <v>0</v>
      </c>
      <c r="I21" s="96">
        <v>6</v>
      </c>
    </row>
    <row r="22" spans="1:17" x14ac:dyDescent="0.4">
      <c r="A22" s="55" t="s">
        <v>195</v>
      </c>
      <c r="B22" s="47">
        <v>10</v>
      </c>
      <c r="C22" s="137">
        <v>4</v>
      </c>
      <c r="E22" s="63" t="s">
        <v>81</v>
      </c>
      <c r="F22" s="60" t="s">
        <v>36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6500</v>
      </c>
      <c r="C23" s="41">
        <v>78000</v>
      </c>
      <c r="E23" s="63" t="s">
        <v>83</v>
      </c>
      <c r="F23" s="60" t="s">
        <v>38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-8762.5</v>
      </c>
      <c r="C24" s="45">
        <v>-140200</v>
      </c>
      <c r="E24" s="63" t="s">
        <v>85</v>
      </c>
      <c r="F24" s="60" t="s">
        <v>40</v>
      </c>
      <c r="G24" s="47">
        <v>0</v>
      </c>
      <c r="H24" s="135">
        <f>IF(B$17=0,0,G24/B$17)</f>
        <v>0</v>
      </c>
      <c r="I24" s="96">
        <v>3</v>
      </c>
    </row>
    <row r="25" spans="1:17" x14ac:dyDescent="0.4">
      <c r="A25" s="92" t="s">
        <v>142</v>
      </c>
      <c r="B25" s="142">
        <v>5</v>
      </c>
      <c r="C25" s="143"/>
      <c r="E25" s="63" t="s">
        <v>86</v>
      </c>
      <c r="F25" s="60" t="s">
        <v>41</v>
      </c>
      <c r="G25" s="47">
        <v>0</v>
      </c>
      <c r="H25" s="135">
        <f>IF(B$17=0,0,G25/B$17)</f>
        <v>0</v>
      </c>
      <c r="I25" s="96">
        <v>3</v>
      </c>
    </row>
    <row r="26" spans="1:17" x14ac:dyDescent="0.4">
      <c r="A26" s="58" t="s">
        <v>152</v>
      </c>
      <c r="B26" s="140">
        <v>43600</v>
      </c>
      <c r="C26" s="141"/>
      <c r="E26" s="63" t="s">
        <v>87</v>
      </c>
      <c r="F26" s="60" t="s">
        <v>42</v>
      </c>
      <c r="G26" s="47">
        <v>0</v>
      </c>
      <c r="H26" s="135">
        <f>IF(B$17=0,0,G26/B$17)</f>
        <v>0</v>
      </c>
      <c r="I26" s="96">
        <v>9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5">
        <f>IF(B$17=0,0,G28/B$17)</f>
        <v>0</v>
      </c>
      <c r="I28" s="96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7ABF7-75CE-4076-BD76-78A3719EEF07}">
  <sheetPr codeName="Sheet26"/>
  <dimension ref="A1:Q4"/>
  <sheetViews>
    <sheetView workbookViewId="0">
      <selection activeCell="B1" sqref="B1:C1"/>
    </sheetView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203</v>
      </c>
      <c r="B1" s="70" t="s">
        <v>203</v>
      </c>
      <c r="C1" s="70" t="s">
        <v>203</v>
      </c>
      <c r="D1" s="71" t="s">
        <v>203</v>
      </c>
      <c r="E1" s="70" t="s">
        <v>203</v>
      </c>
      <c r="F1" s="70" t="s">
        <v>203</v>
      </c>
      <c r="G1" s="70" t="s">
        <v>203</v>
      </c>
      <c r="H1" s="70" t="s">
        <v>203</v>
      </c>
      <c r="I1" s="70" t="s">
        <v>203</v>
      </c>
      <c r="J1" s="70" t="s">
        <v>203</v>
      </c>
      <c r="K1" s="70" t="s">
        <v>203</v>
      </c>
      <c r="L1" s="70" t="s">
        <v>203</v>
      </c>
      <c r="M1" s="70" t="s">
        <v>203</v>
      </c>
      <c r="N1" s="70" t="s">
        <v>203</v>
      </c>
      <c r="O1" s="70" t="s">
        <v>203</v>
      </c>
      <c r="P1" s="70" t="s">
        <v>203</v>
      </c>
      <c r="Q1" s="70" t="s">
        <v>203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3EE2-74F0-4E2C-862C-A977CDD2B601}">
  <sheetPr codeName="Sheet24"/>
  <dimension ref="A1:Q10"/>
  <sheetViews>
    <sheetView workbookViewId="0">
      <selection activeCell="B1" sqref="B1:C1"/>
    </sheetView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187</v>
      </c>
      <c r="B1" s="70" t="s">
        <v>187</v>
      </c>
      <c r="C1" s="70" t="s">
        <v>187</v>
      </c>
      <c r="D1" s="71" t="s">
        <v>187</v>
      </c>
      <c r="E1" s="70" t="s">
        <v>187</v>
      </c>
      <c r="F1" s="70" t="s">
        <v>187</v>
      </c>
      <c r="G1" s="70" t="s">
        <v>187</v>
      </c>
      <c r="H1" s="70" t="s">
        <v>187</v>
      </c>
      <c r="I1" s="70" t="s">
        <v>187</v>
      </c>
      <c r="J1" s="70" t="s">
        <v>187</v>
      </c>
      <c r="K1" s="70" t="s">
        <v>187</v>
      </c>
      <c r="L1" s="70" t="s">
        <v>187</v>
      </c>
      <c r="M1" s="70" t="s">
        <v>187</v>
      </c>
      <c r="N1" s="70" t="s">
        <v>187</v>
      </c>
      <c r="O1" s="70" t="s">
        <v>187</v>
      </c>
      <c r="P1" s="70" t="s">
        <v>187</v>
      </c>
      <c r="Q1" s="70" t="s">
        <v>187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FB2D5-BAB6-44AE-BB17-68691C44C51B}">
  <sheetPr codeName="Sheet22"/>
  <dimension ref="A1:Q6"/>
  <sheetViews>
    <sheetView workbookViewId="0">
      <selection activeCell="B1" sqref="B1:C1"/>
    </sheetView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9CBA4-D1BD-4156-9335-7B842154D54E}">
  <sheetPr codeName="Sheet20"/>
  <dimension ref="A1:Q18"/>
  <sheetViews>
    <sheetView workbookViewId="0">
      <selection activeCell="B1" sqref="B1:C1"/>
    </sheetView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EF3E9-263F-4B28-8A6F-349BECD2FA8D}">
  <sheetPr codeName="Sheet18"/>
  <dimension ref="A1:Q24"/>
  <sheetViews>
    <sheetView workbookViewId="0">
      <selection activeCell="B1" sqref="B1:C1"/>
    </sheetView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174</v>
      </c>
      <c r="B1" s="70" t="s">
        <v>174</v>
      </c>
      <c r="C1" s="70" t="s">
        <v>174</v>
      </c>
      <c r="D1" s="71" t="s">
        <v>174</v>
      </c>
      <c r="E1" s="70" t="s">
        <v>174</v>
      </c>
      <c r="F1" s="70" t="s">
        <v>174</v>
      </c>
      <c r="G1" s="70" t="s">
        <v>174</v>
      </c>
      <c r="H1" s="70" t="s">
        <v>174</v>
      </c>
      <c r="I1" s="70" t="s">
        <v>174</v>
      </c>
      <c r="J1" s="70" t="s">
        <v>174</v>
      </c>
      <c r="K1" s="70" t="s">
        <v>174</v>
      </c>
      <c r="L1" s="70" t="s">
        <v>174</v>
      </c>
      <c r="M1" s="70" t="s">
        <v>174</v>
      </c>
      <c r="N1" s="70" t="s">
        <v>174</v>
      </c>
      <c r="O1" s="70" t="s">
        <v>174</v>
      </c>
      <c r="P1" s="70" t="s">
        <v>174</v>
      </c>
      <c r="Q1" s="70" t="s">
        <v>174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6F0CB-A7E5-4FB4-95B6-5B158A453AE2}">
  <sheetPr codeName="Sheet16"/>
  <dimension ref="A1:Q26"/>
  <sheetViews>
    <sheetView workbookViewId="0">
      <selection activeCell="B1" sqref="B1:C1"/>
    </sheetView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C9A4F-E660-4C75-BB10-2889AB597C4F}">
  <sheetPr codeName="Sheet14"/>
  <dimension ref="A1:Q36"/>
  <sheetViews>
    <sheetView workbookViewId="0">
      <selection activeCell="B1" sqref="B1:C1"/>
    </sheetView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F14B1-8957-4688-A28F-7AB2555DF778}">
  <sheetPr codeName="Sheet12"/>
  <dimension ref="A1:Q29"/>
  <sheetViews>
    <sheetView workbookViewId="0">
      <selection activeCell="B1" sqref="B1:C1"/>
    </sheetView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A9EB9-893E-4905-9666-37008BDCA6D9}">
  <sheetPr codeName="Sheet10"/>
  <dimension ref="A1:Q62"/>
  <sheetViews>
    <sheetView workbookViewId="0">
      <selection activeCell="B1" sqref="B1:C1"/>
    </sheetView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B6FFD-C1FA-4BCA-ADDF-8F13917CD8E7}">
  <sheetPr codeName="Sheet8"/>
  <dimension ref="A1:Q61"/>
  <sheetViews>
    <sheetView workbookViewId="0">
      <selection activeCell="B1" sqref="B1:C1"/>
    </sheetView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1D2CA-6280-42D6-9F12-D7EB67E1646D}">
  <sheetPr codeName="Sheet6"/>
  <dimension ref="A1:Q85"/>
  <sheetViews>
    <sheetView workbookViewId="0">
      <selection activeCell="B1" sqref="B1:C1"/>
    </sheetView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ほたに</vt:lpstr>
      <vt:lpstr>いっしー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2019-04-21T01:31:57Z</dcterms:modified>
</cp:coreProperties>
</file>