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2599CD0-8F3F-4C27-8616-F8502596FF7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13" r:id="rId6"/>
    <sheet name="だいち" sheetId="5215" r:id="rId7"/>
    <sheet name="りくと" sheetId="5217" r:id="rId8"/>
    <sheet name="ただ" sheetId="5219" r:id="rId9"/>
    <sheet name="れんたろう" sheetId="5221" r:id="rId10"/>
    <sheet name="たかの" sheetId="5223" r:id="rId11"/>
    <sheet name="ぱぱ" sheetId="5225" r:id="rId12"/>
    <sheet name="まっつん" sheetId="5227" r:id="rId13"/>
    <sheet name="あさひ" sheetId="5229" r:id="rId14"/>
    <sheet name="いっしー" sheetId="5231" r:id="rId15"/>
    <sheet name="ほたに" sheetId="5233" r:id="rId16"/>
    <sheet name="かわたつ" sheetId="5235" r:id="rId17"/>
    <sheet name="やがさき" sheetId="5237" r:id="rId18"/>
    <sheet name="やがさき2" sheetId="5238" state="hidden" r:id="rId19"/>
    <sheet name="かわたつ2" sheetId="5236" state="hidden" r:id="rId20"/>
    <sheet name="ほたに2" sheetId="5234" state="hidden" r:id="rId21"/>
    <sheet name="いっしー2" sheetId="5232" state="hidden" r:id="rId22"/>
    <sheet name="あさひ2" sheetId="5230" state="hidden" r:id="rId23"/>
    <sheet name="まっつん2" sheetId="5228" state="hidden" r:id="rId24"/>
    <sheet name="ぱぱ2" sheetId="5226" state="hidden" r:id="rId25"/>
    <sheet name="たかの2" sheetId="5224" state="hidden" r:id="rId26"/>
    <sheet name="れんたろう2" sheetId="5222" state="hidden" r:id="rId27"/>
    <sheet name="ただ2" sheetId="5220" state="hidden" r:id="rId28"/>
    <sheet name="りくと2" sheetId="5218" state="hidden" r:id="rId29"/>
    <sheet name="だいち2" sheetId="5216" state="hidden" r:id="rId30"/>
    <sheet name="全体2" sheetId="521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19" l="1"/>
  <c r="O16" i="5223"/>
  <c r="O15" i="5213"/>
  <c r="O16" i="5237"/>
  <c r="O15" i="5237"/>
  <c r="C27" i="5237"/>
  <c r="B24" i="5237"/>
  <c r="C20" i="5237"/>
  <c r="B17" i="5237"/>
  <c r="H8" i="5237" s="1"/>
  <c r="C16" i="5237"/>
  <c r="C15" i="5237"/>
  <c r="C14" i="5237"/>
  <c r="C13" i="5237"/>
  <c r="O12" i="5237"/>
  <c r="C12" i="5237"/>
  <c r="O11" i="5237"/>
  <c r="C11" i="5237"/>
  <c r="O10" i="5237"/>
  <c r="C10" i="5237"/>
  <c r="C9" i="5237"/>
  <c r="C8" i="5237"/>
  <c r="O7" i="5237"/>
  <c r="C7" i="5237"/>
  <c r="O6" i="5237"/>
  <c r="B6" i="5237"/>
  <c r="O5" i="5237"/>
  <c r="B5" i="5237"/>
  <c r="O4" i="5237"/>
  <c r="O3" i="5237"/>
  <c r="O2" i="5237"/>
  <c r="O15" i="5235"/>
  <c r="O16" i="5235"/>
  <c r="H35" i="5235"/>
  <c r="H28" i="5235"/>
  <c r="C27" i="5235"/>
  <c r="B24" i="5235"/>
  <c r="B23" i="5235"/>
  <c r="C20" i="5235"/>
  <c r="C18" i="5235"/>
  <c r="B17" i="5235"/>
  <c r="H50" i="5235" s="1"/>
  <c r="H18" i="5235"/>
  <c r="C16" i="5235"/>
  <c r="C15" i="5235"/>
  <c r="H16" i="5235"/>
  <c r="C14" i="5235"/>
  <c r="C13" i="5235"/>
  <c r="O12" i="5235"/>
  <c r="C12" i="5235"/>
  <c r="O11" i="5235"/>
  <c r="H13" i="5235"/>
  <c r="C11" i="5235"/>
  <c r="O10" i="5235"/>
  <c r="C10" i="5235"/>
  <c r="C9" i="5235"/>
  <c r="C8" i="5235"/>
  <c r="O7" i="5235"/>
  <c r="C7" i="5235"/>
  <c r="O6" i="5235"/>
  <c r="B6" i="5235"/>
  <c r="O5" i="5235"/>
  <c r="H4" i="5235"/>
  <c r="B5" i="5235"/>
  <c r="O4" i="5235"/>
  <c r="H2" i="5235"/>
  <c r="O3" i="5235"/>
  <c r="O2" i="5235"/>
  <c r="H3" i="5235"/>
  <c r="O23" i="5221"/>
  <c r="O17" i="5215"/>
  <c r="O25" i="5213"/>
  <c r="H17" i="5237" l="1"/>
  <c r="H12" i="5237"/>
  <c r="H29" i="5237"/>
  <c r="B23" i="5237"/>
  <c r="H45" i="5237"/>
  <c r="H3" i="5237"/>
  <c r="C17" i="5237"/>
  <c r="H33" i="5237"/>
  <c r="H49" i="5237"/>
  <c r="H10" i="5237"/>
  <c r="H14" i="5237"/>
  <c r="C18" i="5237"/>
  <c r="H27" i="5237"/>
  <c r="H37" i="5237"/>
  <c r="H2" i="5237"/>
  <c r="H5" i="5237"/>
  <c r="H6" i="5237"/>
  <c r="H41" i="5237"/>
  <c r="H20" i="5237"/>
  <c r="H22" i="5237"/>
  <c r="H25" i="5237"/>
  <c r="H28" i="5237"/>
  <c r="H30" i="5237"/>
  <c r="H34" i="5237"/>
  <c r="H38" i="5237"/>
  <c r="H42" i="5237"/>
  <c r="H46" i="5237"/>
  <c r="H50" i="5237"/>
  <c r="H11" i="5237"/>
  <c r="H16" i="5237"/>
  <c r="H18" i="5237"/>
  <c r="C19" i="5237"/>
  <c r="H23" i="5237"/>
  <c r="H31" i="5237"/>
  <c r="H35" i="5237"/>
  <c r="H39" i="5237"/>
  <c r="H43" i="5237"/>
  <c r="H47" i="5237"/>
  <c r="H51" i="5237"/>
  <c r="H9" i="5237"/>
  <c r="H4" i="5237"/>
  <c r="H13" i="5237"/>
  <c r="H15" i="5237"/>
  <c r="H19" i="5237"/>
  <c r="H21" i="5237"/>
  <c r="H24" i="5237"/>
  <c r="H26" i="5237"/>
  <c r="H7" i="5237"/>
  <c r="H32" i="5237"/>
  <c r="H36" i="5237"/>
  <c r="H40" i="5237"/>
  <c r="H44" i="5237"/>
  <c r="H48" i="5237"/>
  <c r="H43" i="5235"/>
  <c r="H10" i="5235"/>
  <c r="H12" i="5235"/>
  <c r="H29" i="5235"/>
  <c r="H37" i="5235"/>
  <c r="H44" i="5235"/>
  <c r="H15" i="5235"/>
  <c r="H17" i="5235"/>
  <c r="H32" i="5235"/>
  <c r="H48" i="5235"/>
  <c r="H6" i="5235"/>
  <c r="H9" i="5235"/>
  <c r="C17" i="5235"/>
  <c r="H25" i="5235"/>
  <c r="H39" i="5235"/>
  <c r="H8" i="5235"/>
  <c r="H5" i="5235"/>
  <c r="H11" i="5235"/>
  <c r="H14" i="5235"/>
  <c r="H19" i="5235"/>
  <c r="H22" i="5235"/>
  <c r="H33" i="5235"/>
  <c r="H40" i="5235"/>
  <c r="H49" i="5235"/>
  <c r="H45" i="5235"/>
  <c r="H51" i="5235"/>
  <c r="C19" i="5235"/>
  <c r="H23" i="5235"/>
  <c r="H26" i="5235"/>
  <c r="H31" i="5235"/>
  <c r="H36" i="5235"/>
  <c r="H41" i="5235"/>
  <c r="H47" i="5235"/>
  <c r="H7" i="5235"/>
  <c r="H20" i="5235"/>
  <c r="H21" i="5235"/>
  <c r="H24" i="5235"/>
  <c r="H27" i="5235"/>
  <c r="H30" i="5235"/>
  <c r="H34" i="5235"/>
  <c r="H38" i="5235"/>
  <c r="H42" i="5235"/>
  <c r="H46" i="5235"/>
  <c r="O18" i="5223" l="1"/>
  <c r="O18" i="5231"/>
  <c r="O20" i="5233" l="1"/>
  <c r="O17" i="5233"/>
  <c r="O15" i="5227"/>
  <c r="O20" i="5217"/>
  <c r="O18" i="5215" l="1"/>
  <c r="O19" i="5233"/>
  <c r="O21" i="5225"/>
  <c r="O16" i="5233"/>
  <c r="O15" i="5233" l="1"/>
  <c r="O18" i="5233"/>
  <c r="C27" i="5233"/>
  <c r="B24" i="5233"/>
  <c r="C20" i="5233"/>
  <c r="B17" i="5233"/>
  <c r="H50" i="5233" s="1"/>
  <c r="C16" i="5233"/>
  <c r="C15" i="5233"/>
  <c r="C14" i="5233"/>
  <c r="C13" i="5233"/>
  <c r="O12" i="5233"/>
  <c r="C12" i="5233"/>
  <c r="O11" i="5233"/>
  <c r="C11" i="5233"/>
  <c r="O10" i="5233"/>
  <c r="C10" i="5233"/>
  <c r="C9" i="5233"/>
  <c r="C8" i="5233"/>
  <c r="O7" i="5233"/>
  <c r="C7" i="5233"/>
  <c r="O6" i="5233"/>
  <c r="B6" i="5233"/>
  <c r="O5" i="5233"/>
  <c r="B5" i="5233"/>
  <c r="O4" i="5233"/>
  <c r="O3" i="5233"/>
  <c r="O2" i="5233"/>
  <c r="O22" i="5221"/>
  <c r="O19" i="5223"/>
  <c r="O21" i="5213"/>
  <c r="H10" i="5233" l="1"/>
  <c r="H6" i="5233"/>
  <c r="H16" i="5233"/>
  <c r="H18" i="5233"/>
  <c r="H43" i="5233"/>
  <c r="H11" i="5233"/>
  <c r="H5" i="5233"/>
  <c r="H20" i="5233"/>
  <c r="H44" i="5233"/>
  <c r="H2" i="5233"/>
  <c r="H4" i="5233"/>
  <c r="H14" i="5233"/>
  <c r="H15" i="5233"/>
  <c r="C18" i="5233"/>
  <c r="H9" i="5233"/>
  <c r="B23" i="5233"/>
  <c r="H32" i="5233"/>
  <c r="H12" i="5233"/>
  <c r="H33" i="5233"/>
  <c r="H13" i="5233"/>
  <c r="H3" i="5233"/>
  <c r="H8" i="5233"/>
  <c r="H17" i="5233"/>
  <c r="H19" i="5233"/>
  <c r="C17" i="5233"/>
  <c r="H24" i="5233"/>
  <c r="H37" i="5233"/>
  <c r="H48" i="5233"/>
  <c r="H22" i="5233"/>
  <c r="H29" i="5233"/>
  <c r="H39" i="5233"/>
  <c r="H49" i="5233"/>
  <c r="H35" i="5233"/>
  <c r="H40" i="5233"/>
  <c r="H45" i="5233"/>
  <c r="H51" i="5233"/>
  <c r="C19" i="5233"/>
  <c r="H25" i="5233"/>
  <c r="H27" i="5233"/>
  <c r="H31" i="5233"/>
  <c r="H36" i="5233"/>
  <c r="H41" i="5233"/>
  <c r="H47" i="5233"/>
  <c r="H7" i="5233"/>
  <c r="H21" i="5233"/>
  <c r="H23" i="5233"/>
  <c r="H26" i="5233"/>
  <c r="H28" i="5233"/>
  <c r="H30" i="5233"/>
  <c r="H34" i="5233"/>
  <c r="H38" i="5233"/>
  <c r="H42" i="5233"/>
  <c r="H46" i="5233"/>
  <c r="O17" i="5223" l="1"/>
  <c r="O16" i="5219"/>
  <c r="O20" i="5227"/>
  <c r="O21" i="5227"/>
  <c r="O23" i="5215" l="1"/>
  <c r="O16" i="5231"/>
  <c r="O20" i="5231" l="1"/>
  <c r="O15" i="5231"/>
  <c r="O15" i="5221"/>
  <c r="O22" i="5219"/>
  <c r="O17" i="5229" l="1"/>
  <c r="O22" i="5225"/>
  <c r="O15" i="5229"/>
  <c r="O21" i="5231"/>
  <c r="O15" i="5217"/>
  <c r="O17" i="5227"/>
  <c r="O17" i="5213"/>
  <c r="O19" i="5231"/>
  <c r="O17" i="5231"/>
  <c r="C27" i="5231"/>
  <c r="B24" i="5231"/>
  <c r="C20" i="5231"/>
  <c r="B17" i="5231"/>
  <c r="H50" i="5231" s="1"/>
  <c r="C16" i="5231"/>
  <c r="C15" i="5231"/>
  <c r="C14" i="5231"/>
  <c r="C13" i="5231"/>
  <c r="O12" i="5231"/>
  <c r="C12" i="5231"/>
  <c r="O11" i="5231"/>
  <c r="C11" i="5231"/>
  <c r="O10" i="5231"/>
  <c r="C10" i="5231"/>
  <c r="C9" i="5231"/>
  <c r="C8" i="5231"/>
  <c r="O7" i="5231"/>
  <c r="C7" i="5231"/>
  <c r="O6" i="5231"/>
  <c r="B6" i="5231"/>
  <c r="O5" i="5231"/>
  <c r="B5" i="5231"/>
  <c r="O4" i="5231"/>
  <c r="O3" i="5231"/>
  <c r="O2" i="5231"/>
  <c r="O16" i="5229"/>
  <c r="O18" i="5229"/>
  <c r="C27" i="5229"/>
  <c r="B24" i="5229"/>
  <c r="C20" i="5229"/>
  <c r="B17" i="5229"/>
  <c r="H50" i="5229" s="1"/>
  <c r="C16" i="5229"/>
  <c r="C15" i="5229"/>
  <c r="C14" i="5229"/>
  <c r="C13" i="5229"/>
  <c r="O12" i="5229"/>
  <c r="C12" i="5229"/>
  <c r="O11" i="5229"/>
  <c r="C11" i="5229"/>
  <c r="O10" i="5229"/>
  <c r="C10" i="5229"/>
  <c r="C9" i="5229"/>
  <c r="C8" i="5229"/>
  <c r="O7" i="5229"/>
  <c r="C7" i="5229"/>
  <c r="O6" i="5229"/>
  <c r="B6" i="5229"/>
  <c r="O5" i="5229"/>
  <c r="B5" i="5229"/>
  <c r="O4" i="5229"/>
  <c r="O3" i="5229"/>
  <c r="O2" i="5229"/>
  <c r="O22" i="5227"/>
  <c r="O23" i="5227"/>
  <c r="O15" i="5215"/>
  <c r="O19" i="5215"/>
  <c r="O26" i="5213"/>
  <c r="H2" i="5231" l="1"/>
  <c r="H4" i="5231"/>
  <c r="H3" i="5231"/>
  <c r="H10" i="5231"/>
  <c r="H35" i="5229"/>
  <c r="H19" i="5229"/>
  <c r="H44" i="5229"/>
  <c r="H8" i="5229"/>
  <c r="C18" i="5229"/>
  <c r="H45" i="5229"/>
  <c r="H15" i="5229"/>
  <c r="H17" i="5229"/>
  <c r="H11" i="5229"/>
  <c r="H12" i="5229"/>
  <c r="H5" i="5229"/>
  <c r="H33" i="5229"/>
  <c r="H49" i="5229"/>
  <c r="H24" i="5229"/>
  <c r="H6" i="5229"/>
  <c r="H39" i="5229"/>
  <c r="H2" i="5229"/>
  <c r="H3" i="5229"/>
  <c r="H10" i="5229"/>
  <c r="H14" i="5229"/>
  <c r="H20" i="5229"/>
  <c r="H29" i="5229"/>
  <c r="H40" i="5229"/>
  <c r="H51" i="5229"/>
  <c r="H13" i="5229"/>
  <c r="H4" i="5229"/>
  <c r="C19" i="5229"/>
  <c r="H25" i="5229"/>
  <c r="H27" i="5229"/>
  <c r="H31" i="5229"/>
  <c r="H36" i="5229"/>
  <c r="H41" i="5229"/>
  <c r="H47" i="5229"/>
  <c r="H7" i="5229"/>
  <c r="H9" i="5229"/>
  <c r="H16" i="5229"/>
  <c r="H18" i="5229"/>
  <c r="C17" i="5229"/>
  <c r="H22" i="5229"/>
  <c r="B23" i="5229"/>
  <c r="H32" i="5229"/>
  <c r="H37" i="5229"/>
  <c r="H43" i="5229"/>
  <c r="H48" i="5229"/>
  <c r="H17" i="5231"/>
  <c r="H29" i="5231"/>
  <c r="H37" i="5231"/>
  <c r="H44" i="5231"/>
  <c r="H16" i="5231"/>
  <c r="H20" i="5231"/>
  <c r="C17" i="5231"/>
  <c r="H26" i="5231"/>
  <c r="H32" i="5231"/>
  <c r="H39" i="5231"/>
  <c r="H45" i="5231"/>
  <c r="H9" i="5231"/>
  <c r="H14" i="5231"/>
  <c r="H12" i="5231"/>
  <c r="H33" i="5231"/>
  <c r="H40" i="5231"/>
  <c r="H48" i="5231"/>
  <c r="H13" i="5231"/>
  <c r="H5" i="5231"/>
  <c r="H18" i="5231"/>
  <c r="H11" i="5231"/>
  <c r="H7" i="5231"/>
  <c r="H15" i="5231"/>
  <c r="H19" i="5231"/>
  <c r="H21" i="5231"/>
  <c r="C18" i="5231"/>
  <c r="B23" i="5231"/>
  <c r="H8" i="5231"/>
  <c r="H35" i="5231"/>
  <c r="H43" i="5231"/>
  <c r="H49" i="5231"/>
  <c r="H51" i="5231"/>
  <c r="C19" i="5231"/>
  <c r="H24" i="5231"/>
  <c r="H27" i="5231"/>
  <c r="H31" i="5231"/>
  <c r="H36" i="5231"/>
  <c r="H41" i="5231"/>
  <c r="H47" i="5231"/>
  <c r="H6" i="5231"/>
  <c r="H22" i="5231"/>
  <c r="H23" i="5231"/>
  <c r="H25" i="5231"/>
  <c r="H28" i="5231"/>
  <c r="H30" i="5231"/>
  <c r="H34" i="5231"/>
  <c r="H38" i="5231"/>
  <c r="H42" i="5231"/>
  <c r="H46" i="5231"/>
  <c r="H21" i="5229"/>
  <c r="H23" i="5229"/>
  <c r="H26" i="5229"/>
  <c r="H28" i="5229"/>
  <c r="H30" i="5229"/>
  <c r="H34" i="5229"/>
  <c r="H38" i="5229"/>
  <c r="H42" i="5229"/>
  <c r="H46" i="5229"/>
  <c r="O16" i="5227" l="1"/>
  <c r="O20" i="5225"/>
  <c r="O16" i="5225"/>
  <c r="O19" i="5217"/>
  <c r="O20" i="5223" l="1"/>
  <c r="O17" i="5221"/>
  <c r="O17" i="5225"/>
  <c r="O18" i="5225"/>
  <c r="O15" i="5223" l="1"/>
  <c r="O16" i="5221"/>
  <c r="O21" i="5219"/>
  <c r="O18" i="5219"/>
  <c r="O19" i="5227"/>
  <c r="O18" i="5227"/>
  <c r="C27" i="5227"/>
  <c r="B24" i="5227"/>
  <c r="C20" i="5227"/>
  <c r="B17" i="5227"/>
  <c r="H50" i="5227" s="1"/>
  <c r="C16" i="5227"/>
  <c r="C15" i="5227"/>
  <c r="C14" i="5227"/>
  <c r="C13" i="5227"/>
  <c r="O12" i="5227"/>
  <c r="C12" i="5227"/>
  <c r="O11" i="5227"/>
  <c r="C11" i="5227"/>
  <c r="O10" i="5227"/>
  <c r="C10" i="5227"/>
  <c r="C9" i="5227"/>
  <c r="C8" i="5227"/>
  <c r="O7" i="5227"/>
  <c r="C7" i="5227"/>
  <c r="O6" i="5227"/>
  <c r="B6" i="5227"/>
  <c r="O5" i="5227"/>
  <c r="B5" i="5227"/>
  <c r="O4" i="5227"/>
  <c r="O3" i="5227"/>
  <c r="O2" i="5227"/>
  <c r="O18" i="5221"/>
  <c r="O21" i="5217"/>
  <c r="O19" i="5213"/>
  <c r="H3" i="5227" l="1"/>
  <c r="H20" i="5227"/>
  <c r="H12" i="5227"/>
  <c r="C18" i="5227"/>
  <c r="H32" i="5227"/>
  <c r="H6" i="5227"/>
  <c r="H23" i="5227"/>
  <c r="H4" i="5227"/>
  <c r="H21" i="5227"/>
  <c r="H43" i="5227"/>
  <c r="H2" i="5227"/>
  <c r="H17" i="5227"/>
  <c r="H35" i="5227"/>
  <c r="H47" i="5227"/>
  <c r="H9" i="5227"/>
  <c r="H24" i="5227"/>
  <c r="H39" i="5227"/>
  <c r="H48" i="5227"/>
  <c r="H15" i="5227"/>
  <c r="H19" i="5227"/>
  <c r="C17" i="5227"/>
  <c r="H10" i="5227"/>
  <c r="H7" i="5227"/>
  <c r="H14" i="5227"/>
  <c r="H18" i="5227"/>
  <c r="H22" i="5227"/>
  <c r="H11" i="5227"/>
  <c r="H31" i="5227"/>
  <c r="H40" i="5227"/>
  <c r="H51" i="5227"/>
  <c r="C19" i="5227"/>
  <c r="H27" i="5227"/>
  <c r="H8" i="5227"/>
  <c r="H36" i="5227"/>
  <c r="H44" i="5227"/>
  <c r="H5" i="5227"/>
  <c r="B23" i="5227"/>
  <c r="H28" i="5227"/>
  <c r="H30" i="5227"/>
  <c r="H33" i="5227"/>
  <c r="H37" i="5227"/>
  <c r="H41" i="5227"/>
  <c r="H45" i="5227"/>
  <c r="H49" i="5227"/>
  <c r="H25" i="5227"/>
  <c r="H26" i="5227"/>
  <c r="H16" i="5227"/>
  <c r="H29" i="5227"/>
  <c r="H13" i="5227"/>
  <c r="H34" i="5227"/>
  <c r="H38" i="5227"/>
  <c r="H42" i="5227"/>
  <c r="H46" i="5227"/>
  <c r="O19" i="5219" l="1"/>
  <c r="O19" i="5225"/>
  <c r="O15" i="5225"/>
  <c r="C27" i="5225"/>
  <c r="B24" i="5225"/>
  <c r="C20" i="5225"/>
  <c r="B17" i="5225"/>
  <c r="H6" i="5225" s="1"/>
  <c r="C16" i="5225"/>
  <c r="C15" i="5225"/>
  <c r="C14" i="5225"/>
  <c r="C13" i="5225"/>
  <c r="O12" i="5225"/>
  <c r="C12" i="5225"/>
  <c r="O11" i="5225"/>
  <c r="C11" i="5225"/>
  <c r="O10" i="5225"/>
  <c r="C10" i="5225"/>
  <c r="C9" i="5225"/>
  <c r="C8" i="5225"/>
  <c r="O7" i="5225"/>
  <c r="C7" i="5225"/>
  <c r="O6" i="5225"/>
  <c r="B6" i="5225"/>
  <c r="O5" i="5225"/>
  <c r="B5" i="5225"/>
  <c r="O4" i="5225"/>
  <c r="O3" i="5225"/>
  <c r="O2" i="5225"/>
  <c r="O20" i="5215"/>
  <c r="O18" i="5213"/>
  <c r="O21" i="5223"/>
  <c r="O18" i="5217"/>
  <c r="O17" i="5217"/>
  <c r="O20" i="5221"/>
  <c r="O22" i="5223"/>
  <c r="O23" i="5223"/>
  <c r="C27" i="5223"/>
  <c r="B24" i="5223"/>
  <c r="C20" i="5223"/>
  <c r="B17" i="5223"/>
  <c r="H4" i="5223" s="1"/>
  <c r="C16" i="5223"/>
  <c r="C15" i="5223"/>
  <c r="C14" i="5223"/>
  <c r="C13" i="5223"/>
  <c r="O12" i="5223"/>
  <c r="C12" i="5223"/>
  <c r="O11" i="5223"/>
  <c r="C11" i="5223"/>
  <c r="O10" i="5223"/>
  <c r="C10" i="5223"/>
  <c r="C9" i="5223"/>
  <c r="C8" i="5223"/>
  <c r="O7" i="5223"/>
  <c r="C7" i="5223"/>
  <c r="O6" i="5223"/>
  <c r="B6" i="5223"/>
  <c r="O5" i="5223"/>
  <c r="B5" i="5223"/>
  <c r="O4" i="5223"/>
  <c r="O3" i="5223"/>
  <c r="O2" i="5223"/>
  <c r="O21" i="5221"/>
  <c r="O19" i="5221"/>
  <c r="C27" i="5221"/>
  <c r="B24" i="5221"/>
  <c r="C20" i="5221"/>
  <c r="B17" i="5221"/>
  <c r="H51" i="5221" s="1"/>
  <c r="C16" i="5221"/>
  <c r="C15" i="5221"/>
  <c r="C14" i="5221"/>
  <c r="C13" i="5221"/>
  <c r="O12" i="5221"/>
  <c r="C12" i="5221"/>
  <c r="O11" i="5221"/>
  <c r="C11" i="5221"/>
  <c r="O10" i="5221"/>
  <c r="C10" i="5221"/>
  <c r="C9" i="5221"/>
  <c r="C8" i="5221"/>
  <c r="O7" i="5221"/>
  <c r="C7" i="5221"/>
  <c r="O6" i="5221"/>
  <c r="B6" i="5221"/>
  <c r="O5" i="5221"/>
  <c r="B5" i="5221"/>
  <c r="O4" i="5221"/>
  <c r="O3" i="5221"/>
  <c r="O2" i="5221"/>
  <c r="O21" i="5215"/>
  <c r="O24" i="5215"/>
  <c r="O22" i="5213"/>
  <c r="O23" i="5213"/>
  <c r="C18" i="5225" l="1"/>
  <c r="H11" i="5225"/>
  <c r="H20" i="5225"/>
  <c r="H5" i="5225"/>
  <c r="H7" i="5225"/>
  <c r="H8" i="5225"/>
  <c r="H3" i="5225"/>
  <c r="H4" i="5225"/>
  <c r="H2" i="5225"/>
  <c r="H12" i="5225"/>
  <c r="B23" i="5225"/>
  <c r="H11" i="5221"/>
  <c r="H3" i="5221"/>
  <c r="H2" i="5221"/>
  <c r="H4" i="5221"/>
  <c r="H6" i="5223"/>
  <c r="H9" i="5223"/>
  <c r="H31" i="5225"/>
  <c r="H38" i="5225"/>
  <c r="H46" i="5225"/>
  <c r="H14" i="5225"/>
  <c r="H22" i="5225"/>
  <c r="H15" i="5225"/>
  <c r="C19" i="5225"/>
  <c r="H32" i="5225"/>
  <c r="H40" i="5225"/>
  <c r="H48" i="5225"/>
  <c r="H29" i="5225"/>
  <c r="H34" i="5225"/>
  <c r="H42" i="5225"/>
  <c r="H50" i="5225"/>
  <c r="H10" i="5225"/>
  <c r="H21" i="5225"/>
  <c r="H23" i="5225"/>
  <c r="C17" i="5225"/>
  <c r="H17" i="5225"/>
  <c r="H36" i="5225"/>
  <c r="H44" i="5225"/>
  <c r="H19" i="5225"/>
  <c r="H24" i="5225"/>
  <c r="H26" i="5225"/>
  <c r="H28" i="5225"/>
  <c r="H30" i="5225"/>
  <c r="H18" i="5225"/>
  <c r="H35" i="5225"/>
  <c r="H39" i="5225"/>
  <c r="H43" i="5225"/>
  <c r="H47" i="5225"/>
  <c r="H51" i="5225"/>
  <c r="H16" i="5225"/>
  <c r="H25" i="5225"/>
  <c r="H27" i="5225"/>
  <c r="H13" i="5225"/>
  <c r="H9" i="5225"/>
  <c r="H33" i="5225"/>
  <c r="H37" i="5225"/>
  <c r="H41" i="5225"/>
  <c r="H45" i="5225"/>
  <c r="H49" i="5225"/>
  <c r="C18" i="5223"/>
  <c r="H7" i="5223"/>
  <c r="H12" i="5223"/>
  <c r="H3" i="5223"/>
  <c r="H5" i="5223"/>
  <c r="H2" i="5223"/>
  <c r="H22" i="5223"/>
  <c r="H30" i="5223"/>
  <c r="H10" i="5223"/>
  <c r="B23" i="5223"/>
  <c r="H16" i="5221"/>
  <c r="H32" i="5221"/>
  <c r="H38" i="5221"/>
  <c r="H45" i="5221"/>
  <c r="H8" i="5221"/>
  <c r="H17" i="5221"/>
  <c r="H27" i="5221"/>
  <c r="H12" i="5221"/>
  <c r="H33" i="5221"/>
  <c r="H49" i="5221"/>
  <c r="C17" i="5221"/>
  <c r="H40" i="5221"/>
  <c r="H10" i="5221"/>
  <c r="H7" i="5221"/>
  <c r="H13" i="5221"/>
  <c r="H25" i="5221"/>
  <c r="H19" i="5221"/>
  <c r="H15" i="5221"/>
  <c r="H34" i="5221"/>
  <c r="H41" i="5221"/>
  <c r="H50" i="5221"/>
  <c r="H6" i="5221"/>
  <c r="H23" i="5221"/>
  <c r="H26" i="5221"/>
  <c r="H14" i="5221"/>
  <c r="C18" i="5221"/>
  <c r="B23" i="5221"/>
  <c r="H9" i="5221"/>
  <c r="H36" i="5221"/>
  <c r="H44" i="5221"/>
  <c r="H37" i="5223"/>
  <c r="H45" i="5223"/>
  <c r="H21" i="5223"/>
  <c r="H23" i="5223"/>
  <c r="H16" i="5223"/>
  <c r="C19" i="5223"/>
  <c r="H31" i="5223"/>
  <c r="H39" i="5223"/>
  <c r="H47" i="5223"/>
  <c r="H20" i="5223"/>
  <c r="H33" i="5223"/>
  <c r="H41" i="5223"/>
  <c r="H49" i="5223"/>
  <c r="H8" i="5223"/>
  <c r="H19" i="5223"/>
  <c r="H24" i="5223"/>
  <c r="C17" i="5223"/>
  <c r="H13" i="5223"/>
  <c r="H35" i="5223"/>
  <c r="H43" i="5223"/>
  <c r="H51" i="5223"/>
  <c r="H25" i="5223"/>
  <c r="H26" i="5223"/>
  <c r="H28" i="5223"/>
  <c r="H29" i="5223"/>
  <c r="H18" i="5223"/>
  <c r="H34" i="5223"/>
  <c r="H38" i="5223"/>
  <c r="H42" i="5223"/>
  <c r="H46" i="5223"/>
  <c r="H50" i="5223"/>
  <c r="H17" i="5223"/>
  <c r="H15" i="5223"/>
  <c r="H27" i="5223"/>
  <c r="H14" i="5223"/>
  <c r="H11" i="5223"/>
  <c r="H32" i="5223"/>
  <c r="H36" i="5223"/>
  <c r="H40" i="5223"/>
  <c r="H44" i="5223"/>
  <c r="H48" i="5223"/>
  <c r="H46" i="5221"/>
  <c r="H22" i="5221"/>
  <c r="C19" i="5221"/>
  <c r="H20" i="5221"/>
  <c r="H24" i="5221"/>
  <c r="H21" i="5221"/>
  <c r="H37" i="5221"/>
  <c r="H42" i="5221"/>
  <c r="H48" i="5221"/>
  <c r="H5" i="5221"/>
  <c r="H28" i="5221"/>
  <c r="H29" i="5221"/>
  <c r="H30" i="5221"/>
  <c r="H31" i="5221"/>
  <c r="H18" i="5221"/>
  <c r="H35" i="5221"/>
  <c r="H39" i="5221"/>
  <c r="H43" i="5221"/>
  <c r="H47" i="5221"/>
  <c r="O17" i="5219" l="1"/>
  <c r="O20" i="5219"/>
  <c r="C27" i="5219"/>
  <c r="B24" i="5219"/>
  <c r="C20" i="5219"/>
  <c r="B17" i="5219"/>
  <c r="H50" i="5219" s="1"/>
  <c r="C16" i="5219"/>
  <c r="C15" i="5219"/>
  <c r="C14" i="5219"/>
  <c r="C13" i="5219"/>
  <c r="O12" i="5219"/>
  <c r="C12" i="5219"/>
  <c r="O11" i="5219"/>
  <c r="C11" i="5219"/>
  <c r="O10" i="5219"/>
  <c r="C10" i="5219"/>
  <c r="C9" i="5219"/>
  <c r="C8" i="5219"/>
  <c r="O7" i="5219"/>
  <c r="C7" i="5219"/>
  <c r="O6" i="5219"/>
  <c r="B6" i="5219"/>
  <c r="O5" i="5219"/>
  <c r="B5" i="5219"/>
  <c r="O4" i="5219"/>
  <c r="O3" i="5219"/>
  <c r="O2" i="5219"/>
  <c r="O22" i="5217"/>
  <c r="O16" i="5217"/>
  <c r="C27" i="5217"/>
  <c r="B24" i="5217"/>
  <c r="C20" i="5217"/>
  <c r="B17" i="5217"/>
  <c r="H51" i="5217" s="1"/>
  <c r="C16" i="5217"/>
  <c r="C15" i="5217"/>
  <c r="C14" i="5217"/>
  <c r="C13" i="5217"/>
  <c r="O12" i="5217"/>
  <c r="C12" i="5217"/>
  <c r="O11" i="5217"/>
  <c r="C11" i="5217"/>
  <c r="O10" i="5217"/>
  <c r="C10" i="5217"/>
  <c r="C9" i="5217"/>
  <c r="C8" i="5217"/>
  <c r="O7" i="5217"/>
  <c r="C7" i="5217"/>
  <c r="O6" i="5217"/>
  <c r="B6" i="5217"/>
  <c r="O5" i="5217"/>
  <c r="B5" i="5217"/>
  <c r="O4" i="5217"/>
  <c r="O3" i="5217"/>
  <c r="O2" i="5217"/>
  <c r="O24" i="5213"/>
  <c r="O16" i="5215"/>
  <c r="O22" i="5215"/>
  <c r="C27" i="5215"/>
  <c r="B24" i="5215"/>
  <c r="C20" i="5215"/>
  <c r="B17" i="5215"/>
  <c r="H51" i="5215" s="1"/>
  <c r="C16" i="5215"/>
  <c r="C15" i="5215"/>
  <c r="C14" i="5215"/>
  <c r="C13" i="5215"/>
  <c r="O12" i="5215"/>
  <c r="C12" i="5215"/>
  <c r="O11" i="5215"/>
  <c r="C11" i="5215"/>
  <c r="O10" i="5215"/>
  <c r="C10" i="5215"/>
  <c r="C9" i="5215"/>
  <c r="C8" i="5215"/>
  <c r="O7" i="5215"/>
  <c r="C7" i="5215"/>
  <c r="O6" i="5215"/>
  <c r="B6" i="5215"/>
  <c r="O5" i="5215"/>
  <c r="B5" i="5215"/>
  <c r="O4" i="5215"/>
  <c r="O3" i="5215"/>
  <c r="O2" i="5215"/>
  <c r="O16" i="5213"/>
  <c r="O20" i="5213"/>
  <c r="C27" i="5213"/>
  <c r="B24" i="5213"/>
  <c r="C20" i="5213"/>
  <c r="B17" i="5213"/>
  <c r="H19" i="5213" s="1"/>
  <c r="C16" i="5213"/>
  <c r="C15" i="5213"/>
  <c r="C14" i="5213"/>
  <c r="C13" i="5213"/>
  <c r="O12" i="5213"/>
  <c r="C12" i="5213"/>
  <c r="O11" i="5213"/>
  <c r="C11" i="5213"/>
  <c r="O10" i="5213"/>
  <c r="C10" i="5213"/>
  <c r="C9" i="5213"/>
  <c r="C8" i="5213"/>
  <c r="O7" i="5213"/>
  <c r="C7" i="5213"/>
  <c r="O6" i="5213"/>
  <c r="B6" i="5213"/>
  <c r="O5" i="5213"/>
  <c r="B5" i="5213"/>
  <c r="O4" i="5213"/>
  <c r="O3" i="5213"/>
  <c r="O2" i="5213"/>
  <c r="H12" i="5215" l="1"/>
  <c r="H2" i="5215"/>
  <c r="H4" i="5215"/>
  <c r="H17" i="5215"/>
  <c r="H2" i="5219"/>
  <c r="H7" i="5219"/>
  <c r="H3" i="5219"/>
  <c r="H9" i="5219"/>
  <c r="H19" i="5219"/>
  <c r="H31" i="5219"/>
  <c r="H37" i="5219"/>
  <c r="H48" i="5219"/>
  <c r="H8" i="5219"/>
  <c r="H25" i="5219"/>
  <c r="H17" i="5219"/>
  <c r="H23" i="5219"/>
  <c r="H39" i="5219"/>
  <c r="H49" i="5219"/>
  <c r="C17" i="5219"/>
  <c r="H13" i="5219"/>
  <c r="H10" i="5219"/>
  <c r="H16" i="5219"/>
  <c r="H18" i="5219"/>
  <c r="H15" i="5219"/>
  <c r="H33" i="5219"/>
  <c r="H43" i="5219"/>
  <c r="H12" i="5219"/>
  <c r="H4" i="5219"/>
  <c r="H6" i="5219"/>
  <c r="H24" i="5219"/>
  <c r="H26" i="5219"/>
  <c r="H14" i="5219"/>
  <c r="C18" i="5219"/>
  <c r="B23" i="5219"/>
  <c r="H11" i="5219"/>
  <c r="H35" i="5219"/>
  <c r="H44" i="5219"/>
  <c r="H44" i="5215"/>
  <c r="H29" i="5215"/>
  <c r="H30" i="5215"/>
  <c r="H14" i="5215"/>
  <c r="H9" i="5215"/>
  <c r="H45" i="5215"/>
  <c r="H10" i="5215"/>
  <c r="H7" i="5215"/>
  <c r="H20" i="5215"/>
  <c r="H18" i="5215"/>
  <c r="B23" i="5215"/>
  <c r="H35" i="5215"/>
  <c r="H6" i="5215"/>
  <c r="H11" i="5215"/>
  <c r="H3" i="5215"/>
  <c r="C18" i="5215"/>
  <c r="H36" i="5215"/>
  <c r="H40" i="5219"/>
  <c r="H45" i="5219"/>
  <c r="H51" i="5219"/>
  <c r="C19" i="5219"/>
  <c r="H29" i="5219"/>
  <c r="H20" i="5219"/>
  <c r="H32" i="5219"/>
  <c r="H36" i="5219"/>
  <c r="H41" i="5219"/>
  <c r="H47" i="5219"/>
  <c r="H5" i="5219"/>
  <c r="H27" i="5219"/>
  <c r="H28" i="5219"/>
  <c r="H30" i="5219"/>
  <c r="H21" i="5219"/>
  <c r="H22" i="5219"/>
  <c r="H34" i="5219"/>
  <c r="H38" i="5219"/>
  <c r="H42" i="5219"/>
  <c r="H46" i="5219"/>
  <c r="H2" i="5217"/>
  <c r="H10" i="5217"/>
  <c r="H6" i="5217"/>
  <c r="H3" i="5217"/>
  <c r="H20" i="5217"/>
  <c r="H29" i="5217"/>
  <c r="H19" i="5217"/>
  <c r="C18" i="5217"/>
  <c r="B23" i="5217"/>
  <c r="H11" i="5217"/>
  <c r="H36" i="5217"/>
  <c r="H44" i="5217"/>
  <c r="H45" i="5217"/>
  <c r="C17" i="5217"/>
  <c r="H13" i="5217"/>
  <c r="H27" i="5217"/>
  <c r="H40" i="5217"/>
  <c r="H49" i="5217"/>
  <c r="H4" i="5217"/>
  <c r="H15" i="5217"/>
  <c r="H34" i="5217"/>
  <c r="H38" i="5217"/>
  <c r="H8" i="5217"/>
  <c r="H22" i="5217"/>
  <c r="H23" i="5217"/>
  <c r="H9" i="5217"/>
  <c r="H7" i="5217"/>
  <c r="H12" i="5217"/>
  <c r="H21" i="5217"/>
  <c r="H17" i="5217"/>
  <c r="H14" i="5217"/>
  <c r="H35" i="5217"/>
  <c r="H41" i="5217"/>
  <c r="H50" i="5217"/>
  <c r="H46" i="5217"/>
  <c r="H18" i="5217"/>
  <c r="C19" i="5217"/>
  <c r="H24" i="5217"/>
  <c r="H33" i="5217"/>
  <c r="H26" i="5217"/>
  <c r="H37" i="5217"/>
  <c r="H42" i="5217"/>
  <c r="H48" i="5217"/>
  <c r="H5" i="5217"/>
  <c r="H30" i="5217"/>
  <c r="H31" i="5217"/>
  <c r="H32" i="5217"/>
  <c r="H25" i="5217"/>
  <c r="H16" i="5217"/>
  <c r="H28" i="5217"/>
  <c r="H39" i="5217"/>
  <c r="H43" i="5217"/>
  <c r="H47" i="5217"/>
  <c r="H15" i="5215"/>
  <c r="H25" i="5215"/>
  <c r="H38" i="5215"/>
  <c r="H49" i="5215"/>
  <c r="H8" i="5215"/>
  <c r="H21" i="5215"/>
  <c r="H22" i="5215"/>
  <c r="C17" i="5215"/>
  <c r="H13" i="5215"/>
  <c r="H27" i="5215"/>
  <c r="H40" i="5215"/>
  <c r="H50" i="5215"/>
  <c r="H41" i="5215"/>
  <c r="H46" i="5215"/>
  <c r="H16" i="5215"/>
  <c r="C19" i="5215"/>
  <c r="H33" i="5215"/>
  <c r="H24" i="5215"/>
  <c r="H26" i="5215"/>
  <c r="H37" i="5215"/>
  <c r="H42" i="5215"/>
  <c r="H48" i="5215"/>
  <c r="H5" i="5215"/>
  <c r="H31" i="5215"/>
  <c r="H32" i="5215"/>
  <c r="H23" i="5215"/>
  <c r="H34" i="5215"/>
  <c r="H19" i="5215"/>
  <c r="H28" i="5215"/>
  <c r="H39" i="5215"/>
  <c r="H43" i="5215"/>
  <c r="H47" i="5215"/>
  <c r="C17" i="5213"/>
  <c r="H10" i="5213"/>
  <c r="H2" i="5213"/>
  <c r="H4" i="5213"/>
  <c r="H3" i="5213"/>
  <c r="H11" i="5213"/>
  <c r="H6" i="5213"/>
  <c r="H12" i="5213"/>
  <c r="H22" i="5213"/>
  <c r="H18" i="5213"/>
  <c r="H15" i="5213"/>
  <c r="H26" i="5213"/>
  <c r="H13" i="5213"/>
  <c r="H9" i="5213"/>
  <c r="H28" i="5213"/>
  <c r="H37" i="5213"/>
  <c r="H41" i="5213"/>
  <c r="H45" i="5213"/>
  <c r="H49" i="5213"/>
  <c r="H5" i="5213"/>
  <c r="H7" i="5213"/>
  <c r="H21" i="5213"/>
  <c r="H31" i="5213"/>
  <c r="H16" i="5213"/>
  <c r="C18" i="5213"/>
  <c r="B23" i="5213"/>
  <c r="H23" i="5213"/>
  <c r="H32" i="5213"/>
  <c r="H35" i="5213"/>
  <c r="H38" i="5213"/>
  <c r="H42" i="5213"/>
  <c r="H46" i="5213"/>
  <c r="H50" i="5213"/>
  <c r="H33" i="5213"/>
  <c r="H34" i="5213"/>
  <c r="H27" i="5213"/>
  <c r="H29" i="5213"/>
  <c r="H17" i="5213"/>
  <c r="H30" i="5213"/>
  <c r="H39" i="5213"/>
  <c r="H43" i="5213"/>
  <c r="H47" i="5213"/>
  <c r="H51" i="5213"/>
  <c r="H8" i="5213"/>
  <c r="H20" i="5213"/>
  <c r="H25" i="5213"/>
  <c r="C19" i="5213"/>
  <c r="H14" i="5213"/>
  <c r="H24" i="5213"/>
  <c r="H36" i="5213"/>
  <c r="H40" i="5213"/>
  <c r="H44" i="5213"/>
  <c r="H48" i="5213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<sst xmlns="http://schemas.openxmlformats.org/spreadsheetml/2006/main" count="3195" uniqueCount="232">
  <si>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</si>
  <si>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</si>
  <si>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</si>
  <si>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</si>
  <si>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</si>
  <si>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</si>
  <si>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</si>
  <si>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</si>
  <si>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</si>
  <si>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</si>
  <si>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</si>
  <si>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</si>
  <si>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</si>
  <si>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</si>
  <si>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</si>
  <si>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</si>
  <si>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</si>
  <si>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</si>
  <si>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</si>
  <si>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</si>
  <si>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</si>
  <si>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</si>
  <si>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</si>
  <si>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</si>
  <si>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</si>
  <si>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</si>
  <si>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</si>
  <si>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</si>
  <si>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</si>
  <si>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</si>
  <si>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</si>
  <si>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</si>
  <si>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</si>
  <si>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</si>
  <si>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</si>
  <si>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</si>
  <si>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</si>
  <si>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</si>
  <si>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</si>
  <si>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</si>
  <si>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</si>
  <si>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</si>
  <si>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</si>
  <si>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</si>
  <si>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</si>
  <si>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</si>
  <si>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</si>
  <si>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</si>
  <si>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</si>
  <si>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</si>
  <si>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</si>
  <si>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</si>
  <si>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</si>
  <si>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</si>
  <si>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</si>
  <si>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</si>
  <si>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</si>
  <si>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</si>
  <si>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</si>
  <si>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</si>
  <si>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</si>
  <si>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</si>
  <si>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</si>
  <si>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</si>
  <si>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</si>
  <si>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</si>
  <si>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</si>
  <si>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</si>
  <si>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</si>
  <si>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</si>
  <si>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</si>
  <si>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</si>
  <si>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</si>
  <si>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</si>
  <si>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</si>
  <si>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</si>
  <si>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</si>
  <si>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</si>
  <si>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</si>
  <si>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</si>
  <si>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</si>
  <si>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</si>
  <si>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</si>
  <si>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</si>
  <si>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</si>
  <si>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</si>
  <si>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</si>
  <si>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</si>
  <si>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</si>
  <si>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</si>
  <si>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</si>
  <si>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</si>
  <si>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</si>
  <si>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</si>
  <si>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</si>
  <si>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</si>
  <si>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</si>
  <si>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</si>
  <si>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</si>
  <si>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</si>
  <si>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</si>
  <si>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</si>
  <si>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</si>
  <si>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</si>
  <si>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</si>
  <si>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</si>
  <si>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</si>
  <si>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</si>
  <si>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</si>
  <si>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</si>
  <si>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</si>
  <si>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</si>
  <si>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</si>
  <si>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</si>
  <si>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</si>
  <si>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</si>
  <si>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</si>
  <si>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</si>
  <si>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</si>
  <si>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</si>
  <si>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</si>
  <si>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</si>
  <si>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</si>
  <si>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</si>
  <si>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</si>
  <si>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</si>
  <si>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</si>
  <si>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</si>
  <si>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</si>
  <si>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</si>
  <si>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</si>
  <si>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</si>
  <si>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</si>
  <si>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</si>
  <si>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</si>
  <si>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</si>
  <si>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</si>
  <si>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</si>
  <si>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</si>
  <si>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</si>
  <si>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</si>
  <si>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</si>
  <si>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</si>
  <si>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</si>
  <si>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</si>
  <si>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</si>
  <si>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</si>
  <si>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</si>
  <si>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</si>
  <si>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</si>
  <si>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</si>
  <si>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</si>
  <si>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</si>
  <si>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</si>
  <si>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</si>
  <si>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</si>
  <si>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</si>
  <si>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</si>
  <si>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</si>
  <si>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</si>
  <si>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</si>
  <si>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</si>
  <si>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</si>
  <si>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</si>
  <si>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</si>
  <si>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</si>
  <si>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</si>
  <si>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</si>
  <si>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</si>
  <si>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</si>
  <si>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</si>
  <si>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</si>
  <si>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</si>
  <si>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</si>
  <si>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</si>
  <si>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</si>
  <si>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</si>
  <si>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</si>
  <si>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</si>
  <si>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</si>
  <si>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</si>
  <si>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</si>
  <si>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</si>
  <si>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</si>
  <si>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</si>
  <si>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</si>
  <si>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</si>
  <si>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</si>
  <si>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</si>
  <si>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</si>
  <si>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</si>
  <si>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</si>
  <si>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</si>
  <si>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</si>
  <si>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</si>
  <si>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</si>
  <si>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</si>
  <si>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</si>
  <si>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</si>
  <si>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</si>
  <si>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</si>
  <si>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</si>
  <si>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</si>
  <si>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</si>
  <si>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</si>
  <si>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</si>
  <si>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</si>
  <si>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</si>
  <si>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</si>
  <si>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</si>
  <si>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</si>
  <si>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</si>
  <si>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</si>
  <si>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</si>
  <si>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</si>
  <si>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</si>
  <si>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</si>
  <si>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</si>
  <si>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</si>
  <si>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</si>
  <si>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</si>
  <si>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</si>
  <si>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</si>
  <si>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</si>
  <si>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</si>
  <si>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</si>
  <si>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</si>
  <si>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</si>
  <si>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</si>
  <si>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</si>
  <si>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2019-05-20.xlsm</t>
  </si>
  <si>
    <t>Sheet9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</si>
</sst>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全体!$K$2:$K$497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Ref>
              <c:f>全体!$L$2:$L$497</c:f>
              <c:numCache>
                <c:formatCode>\+0.0;\-0.0;\±0</c:formatCode>
                <c:ptCount val="49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9-483C-9092-54232B084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-16.161616161616163</c:v>
                </c:pt>
                <c:pt idx="1">
                  <c:v>-8.2815734989648035</c:v>
                </c:pt>
                <c:pt idx="2">
                  <c:v>13.071895424836601</c:v>
                </c:pt>
                <c:pt idx="3">
                  <c:v>7.2463768115942031</c:v>
                </c:pt>
                <c:pt idx="4">
                  <c:v>-8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F-43A9-8838-744615CE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だいち!$L$2:$L$114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1-46E4-8294-A30AB162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1934.8214285714287</c:v>
                </c:pt>
                <c:pt idx="1">
                  <c:v>1551.3761467889908</c:v>
                </c:pt>
                <c:pt idx="2">
                  <c:v>1751.9230769230769</c:v>
                </c:pt>
                <c:pt idx="3">
                  <c:v>2275.5319148936169</c:v>
                </c:pt>
                <c:pt idx="4">
                  <c:v>-3.6144578313253013</c:v>
                </c:pt>
                <c:pt idx="5">
                  <c:v>259.45945945945948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BB-422C-AFA2-E20C67ECB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りくと!$L$2:$L$114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A-4B78-BEA6-02E63A858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288.39285714285717</c:v>
                </c:pt>
                <c:pt idx="1">
                  <c:v>-2439.8148148148148</c:v>
                </c:pt>
                <c:pt idx="2">
                  <c:v>16.19047619047619</c:v>
                </c:pt>
                <c:pt idx="3">
                  <c:v>368.08510638297872</c:v>
                </c:pt>
                <c:pt idx="4">
                  <c:v>360.71428571428572</c:v>
                </c:pt>
                <c:pt idx="5">
                  <c:v>474.35897435897436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2-4779-82F3-AEC6B4497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ただ!$L$2:$L$59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2-43B2-AC12-B94A364F8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-2421.0526315789475</c:v>
                </c:pt>
                <c:pt idx="1">
                  <c:v>-1432.7272727272727</c:v>
                </c:pt>
                <c:pt idx="2">
                  <c:v>-941.17647058823525</c:v>
                </c:pt>
                <c:pt idx="3">
                  <c:v>-4993.181818181818</c:v>
                </c:pt>
                <c:pt idx="4">
                  <c:v>-492.30769230769232</c:v>
                </c:pt>
                <c:pt idx="5">
                  <c:v>-1886.1111111111111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5-4EBF-A0F4-18E5C9CBD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3-4D7D-A1B6-72F0AEBB9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-560</c:v>
                </c:pt>
                <c:pt idx="1">
                  <c:v>1257.8125</c:v>
                </c:pt>
                <c:pt idx="2">
                  <c:v>1016.3934426229508</c:v>
                </c:pt>
                <c:pt idx="3">
                  <c:v>1978.4313725490197</c:v>
                </c:pt>
                <c:pt idx="4">
                  <c:v>-1327.6595744680851</c:v>
                </c:pt>
                <c:pt idx="5">
                  <c:v>1279.0697674418604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5-4F77-9E20-1BF635921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2-4FA9-A68E-83F2ED54F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7-4EF8-BBCE-0F5F006B4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1-4EC5-98B5-6F24B13F7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9-42B1-851B-1EA08294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まっつん!$L$2:$L$35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FF-4D71-AD59-0808CFC72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145.45454545454547</c:v>
                </c:pt>
                <c:pt idx="1">
                  <c:v>-216.12903225806451</c:v>
                </c:pt>
                <c:pt idx="2">
                  <c:v>-2179.3103448275861</c:v>
                </c:pt>
                <c:pt idx="3">
                  <c:v>1564.2857142857142</c:v>
                </c:pt>
                <c:pt idx="4">
                  <c:v>-1428</c:v>
                </c:pt>
                <c:pt idx="5">
                  <c:v>-580.95238095238096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BF-493F-A3BC-31853B38C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E-4CC2-80F8-F802C9E09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F-4601-BFB2-6F704238D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7-427B-BBEE-FBE1BEF8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4-49F1-9B37-E7BA9B39A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ほたに!$L$2:$L$8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D-41C2-9422-FB5C6795A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-4333.333333333333</c:v>
                </c:pt>
                <c:pt idx="1">
                  <c:v>2466.6666666666665</c:v>
                </c:pt>
                <c:pt idx="2">
                  <c:v>-4433.333333333333</c:v>
                </c:pt>
                <c:pt idx="3">
                  <c:v>-1633.3333333333333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9-4349-81CD-F6741C7B3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1-4C49-9D18-A257A6716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A-4EB8-AF2A-801312A22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C-4C5F-8CD0-EBC8FCB7B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5-47B4-AA26-8CF9AAD98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290705182007514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76579902666818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83128464690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269221499156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09.96784565916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60.6628242074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2829597493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930103639431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875219683655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35591274397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691318327974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953112-CB49-4258-8691-4CA598193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E2ABE2-B4E4-408D-82A1-790C80C80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0CD174-D1D2-4374-A826-EA32754BA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E87A0E-3876-49DF-A486-EDCF2770D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B6DD2E-2345-4282-BFEA-3AE3571CA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EC252F-ADE9-4677-81D0-E0A28C84A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521603-20A2-4BB1-BF64-A165CB1DB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FCC94D-F753-4B9C-AA5E-BC55E80A20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948DA6-1C1F-46D0-862B-A844F5D73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71C463-03D6-424B-A8D5-C8D8B1527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36B62D-7ED3-48E6-A8FD-04C1F190D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027400-774A-4EB4-92A1-D2C118C9B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817CEC-2FC7-44C5-BD31-504D14049B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91335E-9BEE-4F4A-9DB1-EBB5D3F34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8D284F-5CC2-43D9-AF25-7581C93ED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226DF9-6C3A-407E-9D52-9BA02ED38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3C9D96-4B35-4DAA-93BF-B4E78535C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FCE86C-E099-4988-85C6-8151768C2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DF2060-B842-4E6F-A265-3E5B24310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F17D09-172C-4144-9407-1F4FB3A41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D6095A-754F-47E0-9D43-96AA2A967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AD1F4C-97A7-4652-9739-80F073372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C67267-3625-4609-946A-5502C90C7F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DA1AED-13B6-492E-A90F-32C0C0CCF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FFF3C9-AFBC-433C-B72D-15788F597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461030-FECB-4510-A726-C6A922B30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231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43605.863379629627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230</v>
      </c>
      <c r="B43" s="31">
        <v>43605.853206018517</v>
      </c>
      <c r="C43" s="30" t="s">
        <v>130</v>
      </c>
      <c r="D43" s="30" t="s">
        <v>131</v>
      </c>
      <c r="E43" s="30" t="s">
        <v>169</v>
      </c>
      <c r="F43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495</v>
      </c>
    </row>
    <row r="2" spans="1:2" x14ac:dyDescent="0.4">
      <c r="A2" t="s">
        <v>127</v>
      </c>
      <c r="B2">
        <v>112</v>
      </c>
    </row>
    <row r="3" spans="1:2" x14ac:dyDescent="0.4">
      <c r="A3" t="s">
        <v>128</v>
      </c>
      <c r="B3">
        <v>112</v>
      </c>
    </row>
    <row r="4" spans="1:2" x14ac:dyDescent="0.4">
      <c r="A4" t="s">
        <v>129</v>
      </c>
      <c r="B4">
        <v>57</v>
      </c>
    </row>
    <row r="5" spans="1:2" x14ac:dyDescent="0.4">
      <c r="A5" t="s">
        <v>171</v>
      </c>
      <c r="B5">
        <v>65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33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6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0.46017685381903362</v>
      </c>
      <c r="G2" s="155"/>
      <c r="H2" s="154">
        <v>0.18250873045426805</v>
      </c>
      <c r="I2" s="155"/>
      <c r="J2" s="154">
        <v>0.55063425047321157</v>
      </c>
      <c r="K2" s="155"/>
      <c r="L2" s="154">
        <v>0.2125288455492759</v>
      </c>
      <c r="M2" s="155"/>
      <c r="N2" s="154">
        <v>0.45575932226100813</v>
      </c>
      <c r="O2" s="155"/>
      <c r="P2" s="154">
        <v>0.59606792384419571</v>
      </c>
      <c r="Q2" s="155"/>
      <c r="R2" s="154">
        <v>-6.3066846722795902E-2</v>
      </c>
      <c r="S2" s="155"/>
      <c r="T2" s="154">
        <v>0.17089070470230922</v>
      </c>
      <c r="U2" s="155"/>
      <c r="V2" s="154">
        <v>0.71738299635356007</v>
      </c>
      <c r="W2" s="155"/>
      <c r="X2" s="154">
        <v>0.8884792658333075</v>
      </c>
      <c r="Y2" s="155"/>
      <c r="Z2" s="154">
        <v>-0.20248861471705601</v>
      </c>
      <c r="AA2" s="155"/>
      <c r="AB2" s="154">
        <v>-0.35516709984619865</v>
      </c>
      <c r="AC2" s="155"/>
      <c r="AD2" s="154">
        <v>1.1721755319609502E-2</v>
      </c>
      <c r="AE2" s="155"/>
      <c r="AF2" s="154">
        <v>-0.50073105681278574</v>
      </c>
      <c r="AG2" s="155"/>
      <c r="AH2" s="154">
        <v>0.68221669293665954</v>
      </c>
      <c r="AI2" s="155"/>
    </row>
    <row r="3" spans="1:35" x14ac:dyDescent="0.4">
      <c r="A3" s="74">
        <v>1</v>
      </c>
      <c r="B3" s="75" t="s">
        <v>127</v>
      </c>
      <c r="C3" s="76">
        <v>1405.8000000000009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0.17857142857142858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131.6</v>
      </c>
      <c r="D4" s="85" t="s">
        <v>224</v>
      </c>
      <c r="E4" s="97">
        <v>13.3</v>
      </c>
      <c r="F4" s="85" t="s">
        <v>127</v>
      </c>
      <c r="G4" s="86">
        <v>1.7321428571428572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9700.6535947712418</v>
      </c>
      <c r="R4" s="85" t="s">
        <v>202</v>
      </c>
      <c r="S4" s="89">
        <v>-6563.636363636364</v>
      </c>
      <c r="T4" s="85" t="s">
        <v>202</v>
      </c>
      <c r="U4" s="87">
        <v>0</v>
      </c>
      <c r="V4" s="85" t="s">
        <v>171</v>
      </c>
      <c r="W4" s="87">
        <v>0.12307692307692308</v>
      </c>
      <c r="X4" s="85" t="s">
        <v>127</v>
      </c>
      <c r="Y4" s="88">
        <v>0.32671081677704195</v>
      </c>
      <c r="Z4" s="85" t="s">
        <v>173</v>
      </c>
      <c r="AA4" s="88">
        <v>0.24853801169590642</v>
      </c>
      <c r="AB4" s="85" t="s">
        <v>177</v>
      </c>
      <c r="AC4" s="88">
        <v>0.7068965517241379</v>
      </c>
      <c r="AD4" s="85" t="s">
        <v>185</v>
      </c>
      <c r="AE4" s="88">
        <v>0.5</v>
      </c>
      <c r="AF4" s="85" t="s">
        <v>202</v>
      </c>
      <c r="AG4" s="88">
        <v>0.5625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12.551785714285723</v>
      </c>
      <c r="F5" s="85" t="s">
        <v>177</v>
      </c>
      <c r="G5" s="86">
        <v>2</v>
      </c>
      <c r="H5" s="85" t="s">
        <v>186</v>
      </c>
      <c r="I5" s="87">
        <v>0.41666666666666669</v>
      </c>
      <c r="J5" s="85" t="s">
        <v>202</v>
      </c>
      <c r="K5" s="87">
        <v>0.16666666666666666</v>
      </c>
      <c r="L5" s="85" t="s">
        <v>127</v>
      </c>
      <c r="M5" s="88">
        <v>0.35209713024282563</v>
      </c>
      <c r="N5" s="85" t="s">
        <v>172</v>
      </c>
      <c r="O5" s="88">
        <v>0.13291139240506328</v>
      </c>
      <c r="P5" s="85" t="s">
        <v>128</v>
      </c>
      <c r="Q5" s="89">
        <v>9246.8503937007881</v>
      </c>
      <c r="R5" s="85" t="s">
        <v>128</v>
      </c>
      <c r="S5" s="89">
        <v>-7586.1635220125791</v>
      </c>
      <c r="T5" s="85" t="s">
        <v>224</v>
      </c>
      <c r="U5" s="87">
        <v>0</v>
      </c>
      <c r="V5" s="85" t="s">
        <v>129</v>
      </c>
      <c r="W5" s="87">
        <v>0.12280701754385964</v>
      </c>
      <c r="X5" s="85" t="s">
        <v>128</v>
      </c>
      <c r="Y5" s="88">
        <v>0.29557713052858686</v>
      </c>
      <c r="Z5" s="85" t="s">
        <v>202</v>
      </c>
      <c r="AA5" s="88">
        <v>0.24590163934426229</v>
      </c>
      <c r="AB5" s="85" t="s">
        <v>202</v>
      </c>
      <c r="AC5" s="88">
        <v>0.66666666666666663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2.0246153846153847</v>
      </c>
      <c r="F6" s="85" t="s">
        <v>145</v>
      </c>
      <c r="G6" s="86">
        <v>2</v>
      </c>
      <c r="H6" s="85" t="s">
        <v>177</v>
      </c>
      <c r="I6" s="87">
        <v>0.36363636363636365</v>
      </c>
      <c r="J6" s="85" t="s">
        <v>127</v>
      </c>
      <c r="K6" s="87">
        <v>0.23214285714285715</v>
      </c>
      <c r="L6" s="85" t="s">
        <v>173</v>
      </c>
      <c r="M6" s="88">
        <v>0.30116959064327486</v>
      </c>
      <c r="N6" s="85" t="s">
        <v>127</v>
      </c>
      <c r="O6" s="88">
        <v>0.15342163355408389</v>
      </c>
      <c r="P6" s="85" t="s">
        <v>127</v>
      </c>
      <c r="Q6" s="89">
        <v>9076.1755485893409</v>
      </c>
      <c r="R6" s="85" t="s">
        <v>171</v>
      </c>
      <c r="S6" s="89">
        <v>-7643.8202247191011</v>
      </c>
      <c r="T6" s="85" t="s">
        <v>225</v>
      </c>
      <c r="U6" s="87">
        <v>0</v>
      </c>
      <c r="V6" s="85" t="s">
        <v>172</v>
      </c>
      <c r="W6" s="87">
        <v>0.1111111111111111</v>
      </c>
      <c r="X6" s="85" t="s">
        <v>171</v>
      </c>
      <c r="Y6" s="88">
        <v>0.27978339350180503</v>
      </c>
      <c r="Z6" s="85" t="s">
        <v>177</v>
      </c>
      <c r="AA6" s="88">
        <v>0.22262773722627738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1.0296296296296295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0.31481481481481483</v>
      </c>
      <c r="L7" s="85" t="s">
        <v>145</v>
      </c>
      <c r="M7" s="88">
        <v>0.2998312846469029</v>
      </c>
      <c r="N7" s="85" t="s">
        <v>171</v>
      </c>
      <c r="O7" s="88">
        <v>0.16064981949458484</v>
      </c>
      <c r="P7" s="85" t="s">
        <v>129</v>
      </c>
      <c r="Q7" s="89">
        <v>9033.9622641509432</v>
      </c>
      <c r="R7" s="85" t="s">
        <v>173</v>
      </c>
      <c r="S7" s="89">
        <v>-7690.7692307692305</v>
      </c>
      <c r="T7" s="85" t="s">
        <v>171</v>
      </c>
      <c r="U7" s="87">
        <v>4.6153846153846156E-2</v>
      </c>
      <c r="V7" s="85" t="s">
        <v>145</v>
      </c>
      <c r="W7" s="87">
        <v>0.1111111111111111</v>
      </c>
      <c r="X7" s="85" t="s">
        <v>145</v>
      </c>
      <c r="Y7" s="88">
        <v>0.2742829597493372</v>
      </c>
      <c r="Z7" s="85" t="s">
        <v>127</v>
      </c>
      <c r="AA7" s="88">
        <v>0.22075055187637968</v>
      </c>
      <c r="AB7" s="85" t="s">
        <v>173</v>
      </c>
      <c r="AC7" s="88">
        <v>0.6</v>
      </c>
      <c r="AD7" s="85" t="s">
        <v>177</v>
      </c>
      <c r="AE7" s="88">
        <v>0.39344262295081966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5.3290705182007514E-15</v>
      </c>
      <c r="D8" s="85" t="s">
        <v>145</v>
      </c>
      <c r="E8" s="97">
        <v>1.0765799026668185E-17</v>
      </c>
      <c r="F8" s="85" t="s">
        <v>224</v>
      </c>
      <c r="G8" s="86">
        <v>2</v>
      </c>
      <c r="H8" s="85" t="s">
        <v>171</v>
      </c>
      <c r="I8" s="87">
        <v>0.29230769230769232</v>
      </c>
      <c r="J8" s="85" t="s">
        <v>173</v>
      </c>
      <c r="K8" s="87">
        <v>0.33333333333333331</v>
      </c>
      <c r="L8" s="85" t="s">
        <v>177</v>
      </c>
      <c r="M8" s="88">
        <v>0.28832116788321166</v>
      </c>
      <c r="N8" s="85" t="s">
        <v>145</v>
      </c>
      <c r="O8" s="88">
        <v>0.16726922149915643</v>
      </c>
      <c r="P8" s="85" t="s">
        <v>225</v>
      </c>
      <c r="Q8" s="89">
        <v>8666.6666666666661</v>
      </c>
      <c r="R8" s="85" t="s">
        <v>186</v>
      </c>
      <c r="S8" s="89">
        <v>-7700</v>
      </c>
      <c r="T8" s="85" t="s">
        <v>172</v>
      </c>
      <c r="U8" s="87">
        <v>5.5555555555555552E-2</v>
      </c>
      <c r="V8" s="85" t="s">
        <v>128</v>
      </c>
      <c r="W8" s="87">
        <v>8.9285714285714288E-2</v>
      </c>
      <c r="X8" s="85" t="s">
        <v>185</v>
      </c>
      <c r="Y8" s="88">
        <v>0.26315789473684209</v>
      </c>
      <c r="Z8" s="85" t="s">
        <v>185</v>
      </c>
      <c r="AA8" s="88">
        <v>0.21052631578947367</v>
      </c>
      <c r="AB8" s="85" t="s">
        <v>185</v>
      </c>
      <c r="AC8" s="88">
        <v>0.6</v>
      </c>
      <c r="AD8" s="85" t="s">
        <v>145</v>
      </c>
      <c r="AE8" s="88">
        <v>0.39035591274397247</v>
      </c>
      <c r="AF8" s="85" t="s">
        <v>129</v>
      </c>
      <c r="AG8" s="88">
        <v>0.48113207547169812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202</v>
      </c>
      <c r="C9" s="84">
        <v>-16.300000000000004</v>
      </c>
      <c r="D9" s="85" t="s">
        <v>202</v>
      </c>
      <c r="E9" s="97">
        <v>-2.7166666666666672</v>
      </c>
      <c r="F9" s="85" t="s">
        <v>172</v>
      </c>
      <c r="G9" s="86">
        <v>2.0370370370370372</v>
      </c>
      <c r="H9" s="85" t="s">
        <v>173</v>
      </c>
      <c r="I9" s="87">
        <v>0.28205128205128205</v>
      </c>
      <c r="J9" s="85" t="s">
        <v>145</v>
      </c>
      <c r="K9" s="87">
        <v>0.33333333333333331</v>
      </c>
      <c r="L9" s="85" t="s">
        <v>171</v>
      </c>
      <c r="M9" s="88">
        <v>0.27617328519855594</v>
      </c>
      <c r="N9" s="85" t="s">
        <v>128</v>
      </c>
      <c r="O9" s="88">
        <v>0.17152103559870549</v>
      </c>
      <c r="P9" s="85" t="s">
        <v>145</v>
      </c>
      <c r="Q9" s="89">
        <v>8509.9678456591646</v>
      </c>
      <c r="R9" s="85" t="s">
        <v>177</v>
      </c>
      <c r="S9" s="89">
        <v>-7831.9148936170213</v>
      </c>
      <c r="T9" s="85" t="s">
        <v>173</v>
      </c>
      <c r="U9" s="87">
        <v>0.10256410256410256</v>
      </c>
      <c r="V9" s="85" t="s">
        <v>177</v>
      </c>
      <c r="W9" s="87">
        <v>6.0606060606060608E-2</v>
      </c>
      <c r="X9" s="85" t="s">
        <v>129</v>
      </c>
      <c r="Y9" s="88">
        <v>0.2569593147751606</v>
      </c>
      <c r="Z9" s="85" t="s">
        <v>145</v>
      </c>
      <c r="AA9" s="88">
        <v>0.20993010363943118</v>
      </c>
      <c r="AB9" s="85" t="s">
        <v>128</v>
      </c>
      <c r="AC9" s="88">
        <v>0.59124087591240881</v>
      </c>
      <c r="AD9" s="85" t="s">
        <v>171</v>
      </c>
      <c r="AE9" s="88">
        <v>0.38834951456310679</v>
      </c>
      <c r="AF9" s="85" t="s">
        <v>145</v>
      </c>
      <c r="AG9" s="88">
        <v>0.43569131832797425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-2.7464285714285723</v>
      </c>
      <c r="F10" s="85" t="s">
        <v>171</v>
      </c>
      <c r="G10" s="86">
        <v>2.046153846153846</v>
      </c>
      <c r="H10" s="85" t="s">
        <v>172</v>
      </c>
      <c r="I10" s="87">
        <v>0.27777777777777779</v>
      </c>
      <c r="J10" s="85" t="s">
        <v>171</v>
      </c>
      <c r="K10" s="87">
        <v>0.33846153846153848</v>
      </c>
      <c r="L10" s="85" t="s">
        <v>128</v>
      </c>
      <c r="M10" s="88">
        <v>0.27400215749730311</v>
      </c>
      <c r="N10" s="85" t="s">
        <v>177</v>
      </c>
      <c r="O10" s="88">
        <v>0.17153284671532848</v>
      </c>
      <c r="P10" s="85" t="s">
        <v>202</v>
      </c>
      <c r="Q10" s="89">
        <v>8043.75</v>
      </c>
      <c r="R10" s="85" t="s">
        <v>145</v>
      </c>
      <c r="S10" s="89">
        <v>-8160.662824207493</v>
      </c>
      <c r="T10" s="85" t="s">
        <v>127</v>
      </c>
      <c r="U10" s="87">
        <v>0.10714285714285714</v>
      </c>
      <c r="V10" s="85" t="s">
        <v>173</v>
      </c>
      <c r="W10" s="87">
        <v>5.128205128205128E-2</v>
      </c>
      <c r="X10" s="85" t="s">
        <v>202</v>
      </c>
      <c r="Y10" s="88">
        <v>0.24590163934426229</v>
      </c>
      <c r="Z10" s="85" t="s">
        <v>186</v>
      </c>
      <c r="AA10" s="88">
        <v>0.19230769230769232</v>
      </c>
      <c r="AB10" s="85" t="s">
        <v>172</v>
      </c>
      <c r="AC10" s="88">
        <v>0.59047619047619049</v>
      </c>
      <c r="AD10" s="85" t="s">
        <v>173</v>
      </c>
      <c r="AE10" s="88">
        <v>0.3411764705882353</v>
      </c>
      <c r="AF10" s="85" t="s">
        <v>171</v>
      </c>
      <c r="AG10" s="88">
        <v>0.42483660130718953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177</v>
      </c>
      <c r="C11" s="84">
        <v>-107.4</v>
      </c>
      <c r="D11" s="85" t="s">
        <v>177</v>
      </c>
      <c r="E11" s="97">
        <v>-3.2545454545454549</v>
      </c>
      <c r="F11" s="85" t="s">
        <v>173</v>
      </c>
      <c r="G11" s="86">
        <v>2.0512820512820511</v>
      </c>
      <c r="H11" s="85" t="s">
        <v>128</v>
      </c>
      <c r="I11" s="87">
        <v>0.26785714285714285</v>
      </c>
      <c r="J11" s="85" t="s">
        <v>128</v>
      </c>
      <c r="K11" s="87">
        <v>0.3482142857142857</v>
      </c>
      <c r="L11" s="85" t="s">
        <v>186</v>
      </c>
      <c r="M11" s="88">
        <v>0.26923076923076922</v>
      </c>
      <c r="N11" s="85" t="s">
        <v>202</v>
      </c>
      <c r="O11" s="88">
        <v>0.18032786885245902</v>
      </c>
      <c r="P11" s="85" t="s">
        <v>185</v>
      </c>
      <c r="Q11" s="89">
        <v>7860</v>
      </c>
      <c r="R11" s="85" t="s">
        <v>127</v>
      </c>
      <c r="S11" s="89">
        <v>-8412.9496402877703</v>
      </c>
      <c r="T11" s="85" t="s">
        <v>145</v>
      </c>
      <c r="U11" s="87">
        <v>0.1111111111111111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171</v>
      </c>
      <c r="AA11" s="88">
        <v>0.18592057761732853</v>
      </c>
      <c r="AB11" s="85" t="s">
        <v>145</v>
      </c>
      <c r="AC11" s="88">
        <v>0.58875219683655533</v>
      </c>
      <c r="AD11" s="85" t="s">
        <v>202</v>
      </c>
      <c r="AE11" s="88">
        <v>0.33333333333333331</v>
      </c>
      <c r="AF11" s="85" t="s">
        <v>128</v>
      </c>
      <c r="AG11" s="88">
        <v>0.42125984251968501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-5.7410256410256411</v>
      </c>
      <c r="F12" s="85" t="s">
        <v>128</v>
      </c>
      <c r="G12" s="86">
        <v>2.0803571428571428</v>
      </c>
      <c r="H12" s="85" t="s">
        <v>129</v>
      </c>
      <c r="I12" s="87">
        <v>0.24561403508771928</v>
      </c>
      <c r="J12" s="85" t="s">
        <v>177</v>
      </c>
      <c r="K12" s="87">
        <v>0.36363636363636365</v>
      </c>
      <c r="L12" s="85" t="s">
        <v>185</v>
      </c>
      <c r="M12" s="88">
        <v>0.26315789473684209</v>
      </c>
      <c r="N12" s="85" t="s">
        <v>173</v>
      </c>
      <c r="O12" s="88">
        <v>0.19005847953216373</v>
      </c>
      <c r="P12" s="85" t="s">
        <v>177</v>
      </c>
      <c r="Q12" s="89">
        <v>7783.5443037974683</v>
      </c>
      <c r="R12" s="85" t="s">
        <v>129</v>
      </c>
      <c r="S12" s="89">
        <v>-9095.6043956043959</v>
      </c>
      <c r="T12" s="85" t="s">
        <v>128</v>
      </c>
      <c r="U12" s="87">
        <v>0.125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0.18122977346278318</v>
      </c>
      <c r="AB12" s="85" t="s">
        <v>127</v>
      </c>
      <c r="AC12" s="88">
        <v>0.58445945945945943</v>
      </c>
      <c r="AD12" s="85" t="s">
        <v>128</v>
      </c>
      <c r="AE12" s="88">
        <v>0.29761904761904762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0.16666666666666666</v>
      </c>
      <c r="J13" s="85" t="s">
        <v>129</v>
      </c>
      <c r="K13" s="87">
        <v>0.49122807017543857</v>
      </c>
      <c r="L13" s="85" t="s">
        <v>202</v>
      </c>
      <c r="M13" s="88">
        <v>0.26229508196721313</v>
      </c>
      <c r="N13" s="85" t="s">
        <v>129</v>
      </c>
      <c r="O13" s="88">
        <v>0.19486081370449679</v>
      </c>
      <c r="P13" s="85" t="s">
        <v>186</v>
      </c>
      <c r="Q13" s="89">
        <v>7700</v>
      </c>
      <c r="R13" s="85" t="s">
        <v>172</v>
      </c>
      <c r="S13" s="89">
        <v>-9374.6031746031749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0.15631691648822268</v>
      </c>
      <c r="AB13" s="85" t="s">
        <v>171</v>
      </c>
      <c r="AC13" s="88">
        <v>0.58064516129032262</v>
      </c>
      <c r="AD13" s="85" t="s">
        <v>129</v>
      </c>
      <c r="AE13" s="88">
        <v>0.24657534246575341</v>
      </c>
      <c r="AF13" s="85" t="s">
        <v>127</v>
      </c>
      <c r="AG13" s="88">
        <v>0.41692789968652039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-307.60000000000008</v>
      </c>
      <c r="D14" s="85" t="s">
        <v>129</v>
      </c>
      <c r="E14" s="97">
        <v>-15.061403508771926</v>
      </c>
      <c r="F14" s="85" t="s">
        <v>129</v>
      </c>
      <c r="G14" s="86">
        <v>2.2456140350877192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0.22698072805139186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0.18181818181818182</v>
      </c>
      <c r="V14" s="85" t="s">
        <v>224</v>
      </c>
      <c r="W14" s="87">
        <v>0</v>
      </c>
      <c r="X14" s="85" t="s">
        <v>172</v>
      </c>
      <c r="Y14" s="88">
        <v>0.22151898734177214</v>
      </c>
      <c r="Z14" s="85" t="s">
        <v>225</v>
      </c>
      <c r="AA14" s="88">
        <v>0.125</v>
      </c>
      <c r="AB14" s="85" t="s">
        <v>129</v>
      </c>
      <c r="AC14" s="88">
        <v>0.51666666666666672</v>
      </c>
      <c r="AD14" s="85" t="s">
        <v>224</v>
      </c>
      <c r="AE14" s="88">
        <v>0</v>
      </c>
      <c r="AF14" s="85" t="s">
        <v>177</v>
      </c>
      <c r="AG14" s="88">
        <v>0.4050632911392405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-858.49999999999977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0.19298245614035087</v>
      </c>
      <c r="V15" s="85" t="s">
        <v>225</v>
      </c>
      <c r="W15" s="87">
        <v>0</v>
      </c>
      <c r="X15" s="85" t="s">
        <v>177</v>
      </c>
      <c r="Y15" s="88">
        <v>0.21167883211678831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33343-C293-42D5-97A8-92E546E929F0}">
  <sheetPr codeName="Sheet4"/>
  <dimension ref="A1:Q49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495</v>
      </c>
      <c r="C2" s="147"/>
      <c r="E2" s="62" t="s">
        <v>67</v>
      </c>
      <c r="F2" s="59" t="s">
        <v>23</v>
      </c>
      <c r="G2" s="46">
        <v>911</v>
      </c>
      <c r="H2" s="132">
        <f>IF(B$17=0,0,G2/B$17)</f>
        <v>0.73231511254019288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-16.161616161616163</v>
      </c>
      <c r="P2" s="118">
        <v>495</v>
      </c>
      <c r="Q2" s="102">
        <v>-8000</v>
      </c>
    </row>
    <row r="3" spans="1:17" x14ac:dyDescent="0.4">
      <c r="A3" s="55" t="s">
        <v>8</v>
      </c>
      <c r="B3" s="148">
        <v>4149</v>
      </c>
      <c r="C3" s="149"/>
      <c r="E3" s="63" t="s">
        <v>65</v>
      </c>
      <c r="F3" s="60" t="s">
        <v>21</v>
      </c>
      <c r="G3" s="47">
        <v>644</v>
      </c>
      <c r="H3" s="133">
        <f>IF(B$17=0,0,G3/B$17)</f>
        <v>0.51768488745980712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-8.2815734989648035</v>
      </c>
      <c r="P3" s="119">
        <v>483</v>
      </c>
      <c r="Q3" s="103">
        <v>-4000</v>
      </c>
    </row>
    <row r="4" spans="1:17" x14ac:dyDescent="0.4">
      <c r="A4" s="55" t="s">
        <v>6</v>
      </c>
      <c r="B4" s="150">
        <v>5.3290705182007514E-15</v>
      </c>
      <c r="C4" s="151"/>
      <c r="E4" s="63" t="s">
        <v>73</v>
      </c>
      <c r="F4" s="60" t="s">
        <v>28</v>
      </c>
      <c r="G4" s="47">
        <v>642</v>
      </c>
      <c r="H4" s="133">
        <f>IF(B$17=0,0,G4/B$17)</f>
        <v>0.51607717041800638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13.071895424836601</v>
      </c>
      <c r="P4" s="119">
        <v>459</v>
      </c>
      <c r="Q4" s="103">
        <v>6000</v>
      </c>
    </row>
    <row r="5" spans="1:17" x14ac:dyDescent="0.4">
      <c r="A5" s="55" t="s">
        <v>7</v>
      </c>
      <c r="B5" s="152">
        <f>IF(B$2=0,0,B$4/B$2)</f>
        <v>1.0765799026668185E-17</v>
      </c>
      <c r="C5" s="153"/>
      <c r="E5" s="63" t="s">
        <v>181</v>
      </c>
      <c r="F5" s="60" t="s">
        <v>182</v>
      </c>
      <c r="G5" s="47">
        <v>502</v>
      </c>
      <c r="H5" s="133">
        <f>IF(B$17=0,0,G5/B$17)</f>
        <v>0.40353697749196143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7.2463768115942031</v>
      </c>
      <c r="P5" s="119">
        <v>414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387</v>
      </c>
      <c r="H6" s="133">
        <f>IF(B$17=0,0,G6/B$17)</f>
        <v>0.31109324758842444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-8</v>
      </c>
      <c r="P6" s="119">
        <v>375</v>
      </c>
      <c r="Q6" s="103">
        <v>-3000</v>
      </c>
    </row>
    <row r="7" spans="1:17" x14ac:dyDescent="0.4">
      <c r="A7" s="55" t="s">
        <v>2</v>
      </c>
      <c r="B7" s="47">
        <v>165</v>
      </c>
      <c r="C7" s="39">
        <f>IF(B$2=0,0,B7/B$2)</f>
        <v>0.33333333333333331</v>
      </c>
      <c r="E7" s="63" t="s">
        <v>68</v>
      </c>
      <c r="F7" s="60" t="s">
        <v>24</v>
      </c>
      <c r="G7" s="47">
        <v>383</v>
      </c>
      <c r="H7" s="133">
        <f>IF(B$17=0,0,G7/B$17)</f>
        <v>0.30787781350482313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17.543859649122808</v>
      </c>
      <c r="P7" s="120">
        <v>342</v>
      </c>
      <c r="Q7" s="104">
        <v>6000</v>
      </c>
    </row>
    <row r="8" spans="1:17" x14ac:dyDescent="0.4">
      <c r="A8" s="55" t="s">
        <v>3</v>
      </c>
      <c r="B8" s="47">
        <v>165</v>
      </c>
      <c r="C8" s="39">
        <f>IF(B$2=0,0,B8/B$2)</f>
        <v>0.33333333333333331</v>
      </c>
      <c r="E8" s="63" t="s">
        <v>70</v>
      </c>
      <c r="F8" s="60" t="s">
        <v>25</v>
      </c>
      <c r="G8" s="47">
        <v>230</v>
      </c>
      <c r="H8" s="133">
        <f>IF(B$17=0,0,G8/B$17)</f>
        <v>0.18488745980707397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165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156</v>
      </c>
      <c r="H9" s="133">
        <f>IF(B$17=0,0,G9/B$17)</f>
        <v>0.12540192926045016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55</v>
      </c>
      <c r="C10" s="40">
        <f>IF(B$2=0,0,B10/B$2)</f>
        <v>0.1111111111111111</v>
      </c>
      <c r="E10" s="63" t="s">
        <v>66</v>
      </c>
      <c r="F10" s="60" t="s">
        <v>22</v>
      </c>
      <c r="G10" s="47">
        <v>152</v>
      </c>
      <c r="H10" s="133">
        <f>IF(B$17=0,0,G10/B$17)</f>
        <v>0.12218649517684887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-1.3872727272727274</v>
      </c>
      <c r="P10" s="118">
        <v>165</v>
      </c>
      <c r="Q10" s="106">
        <v>-228.90000000000003</v>
      </c>
    </row>
    <row r="11" spans="1:17" x14ac:dyDescent="0.4">
      <c r="A11" s="56" t="s">
        <v>140</v>
      </c>
      <c r="B11" s="48">
        <v>55</v>
      </c>
      <c r="C11" s="40">
        <f>IF(B$2=0,0,B11/B$2)</f>
        <v>0.1111111111111111</v>
      </c>
      <c r="E11" s="63" t="s">
        <v>71</v>
      </c>
      <c r="F11" s="60" t="s">
        <v>26</v>
      </c>
      <c r="G11" s="47">
        <v>130</v>
      </c>
      <c r="H11" s="133">
        <f>IF(B$17=0,0,G11/B$17)</f>
        <v>0.1045016077170418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-1.4490909090909101</v>
      </c>
      <c r="P11" s="119">
        <v>165</v>
      </c>
      <c r="Q11" s="107">
        <v>-239.10000000000016</v>
      </c>
    </row>
    <row r="12" spans="1:17" x14ac:dyDescent="0.4">
      <c r="A12" s="57" t="s">
        <v>160</v>
      </c>
      <c r="B12" s="49">
        <v>42</v>
      </c>
      <c r="C12" s="42">
        <f>IF(B$2=0,0,B12/B$2)</f>
        <v>8.4848484848484854E-2</v>
      </c>
      <c r="E12" s="63" t="s">
        <v>72</v>
      </c>
      <c r="F12" s="60" t="s">
        <v>27</v>
      </c>
      <c r="G12" s="47">
        <v>83</v>
      </c>
      <c r="H12" s="133">
        <f>IF(B$17=0,0,G12/B$17)</f>
        <v>6.6720257234726688E-2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2.8363636363636364</v>
      </c>
      <c r="P12" s="120">
        <v>165</v>
      </c>
      <c r="Q12" s="108">
        <v>468</v>
      </c>
    </row>
    <row r="13" spans="1:17" x14ac:dyDescent="0.4">
      <c r="A13" s="58" t="s">
        <v>122</v>
      </c>
      <c r="B13" s="50">
        <v>1138</v>
      </c>
      <c r="C13" s="44">
        <f>IF(B$3=0,0,B13/B$3)</f>
        <v>0.2742829597493372</v>
      </c>
      <c r="E13" s="63" t="s">
        <v>87</v>
      </c>
      <c r="F13" s="60" t="s">
        <v>42</v>
      </c>
      <c r="G13" s="47">
        <v>73</v>
      </c>
      <c r="H13" s="133">
        <f>IF(B$17=0,0,G13/B$17)</f>
        <v>5.8681672025723476E-2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871</v>
      </c>
      <c r="C14" s="39">
        <f>IF(B$3=0,0,B14/B$3)</f>
        <v>0.20993010363943118</v>
      </c>
      <c r="E14" s="63" t="s">
        <v>84</v>
      </c>
      <c r="F14" s="60" t="s">
        <v>39</v>
      </c>
      <c r="G14" s="47">
        <v>57</v>
      </c>
      <c r="H14" s="133">
        <f>IF(B$17=0,0,G14/B$17)</f>
        <v>4.5819935691318328E-2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670</v>
      </c>
      <c r="C15" s="37">
        <f>IF(B$13=0,0,B15/B$13)</f>
        <v>0.58875219683655533</v>
      </c>
      <c r="E15" s="63" t="s">
        <v>82</v>
      </c>
      <c r="F15" s="60" t="s">
        <v>37</v>
      </c>
      <c r="G15" s="47">
        <v>36</v>
      </c>
      <c r="H15" s="133">
        <f>IF(B$17=0,0,G15/B$17)</f>
        <v>2.8938906752411574E-2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340</v>
      </c>
      <c r="C16" s="37">
        <f>IF(B$14=0,0,B16/B$14)</f>
        <v>0.39035591274397247</v>
      </c>
      <c r="E16" s="63" t="s">
        <v>79</v>
      </c>
      <c r="F16" s="60" t="s">
        <v>34</v>
      </c>
      <c r="G16" s="47">
        <v>28</v>
      </c>
      <c r="H16" s="133">
        <f>IF(B$17=0,0,G16/B$17)</f>
        <v>2.2508038585209004E-2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22.592105263157908</v>
      </c>
      <c r="P16" s="119">
        <v>114</v>
      </c>
      <c r="Q16" s="107">
        <v>2575.5000000000014</v>
      </c>
    </row>
    <row r="17" spans="1:17" x14ac:dyDescent="0.4">
      <c r="A17" s="54" t="s">
        <v>10</v>
      </c>
      <c r="B17" s="46">
        <f>B19+B18</f>
        <v>1244</v>
      </c>
      <c r="C17" s="37">
        <f>IF(B$3=0,0,B17/B$3)</f>
        <v>0.2998312846469029</v>
      </c>
      <c r="E17" s="63" t="s">
        <v>92</v>
      </c>
      <c r="F17" s="60" t="s">
        <v>47</v>
      </c>
      <c r="G17" s="47">
        <v>21</v>
      </c>
      <c r="H17" s="133">
        <f>IF(B$17=0,0,G17/B$17)</f>
        <v>1.6881028938906754E-2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542</v>
      </c>
      <c r="C18" s="39">
        <f>IF(B$17=0,0,B18/B$17)</f>
        <v>0.43569131832797425</v>
      </c>
      <c r="E18" s="63" t="s">
        <v>80</v>
      </c>
      <c r="F18" s="60" t="s">
        <v>35</v>
      </c>
      <c r="G18" s="47">
        <v>19</v>
      </c>
      <c r="H18" s="133">
        <f>IF(B$17=0,0,G18/B$17)</f>
        <v>1.5273311897106109E-2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8.6115384615384585</v>
      </c>
      <c r="P18" s="119">
        <v>78</v>
      </c>
      <c r="Q18" s="107">
        <v>671.69999999999982</v>
      </c>
    </row>
    <row r="19" spans="1:17" x14ac:dyDescent="0.4">
      <c r="A19" s="55" t="s">
        <v>11</v>
      </c>
      <c r="B19" s="47">
        <v>702</v>
      </c>
      <c r="C19" s="39">
        <f>IF(B$17=0,0,B19/B$17)</f>
        <v>0.56430868167202575</v>
      </c>
      <c r="E19" s="63" t="s">
        <v>180</v>
      </c>
      <c r="F19" s="60" t="s">
        <v>183</v>
      </c>
      <c r="G19" s="47">
        <v>17</v>
      </c>
      <c r="H19" s="133">
        <f>IF(B$17=0,0,G19/B$17)</f>
        <v>1.3665594855305467E-2</v>
      </c>
      <c r="I19" s="94">
        <v>3</v>
      </c>
      <c r="K19" s="38">
        <v>17</v>
      </c>
      <c r="L19" s="99">
        <v>8.2999999999999972</v>
      </c>
      <c r="N19" s="115" t="s">
        <v>177</v>
      </c>
      <c r="O19" s="125">
        <f>IF(P19=0,0,Q19/P19)</f>
        <v>4.8818181818181801</v>
      </c>
      <c r="P19" s="119">
        <v>66</v>
      </c>
      <c r="Q19" s="107">
        <v>322.19999999999987</v>
      </c>
    </row>
    <row r="20" spans="1:17" x14ac:dyDescent="0.4">
      <c r="A20" s="55" t="s">
        <v>13</v>
      </c>
      <c r="B20" s="47">
        <v>694</v>
      </c>
      <c r="C20" s="39">
        <f>IF(B$3=0,0,B20/B$3)</f>
        <v>0.16726922149915643</v>
      </c>
      <c r="E20" s="63" t="s">
        <v>76</v>
      </c>
      <c r="F20" s="60" t="s">
        <v>31</v>
      </c>
      <c r="G20" s="47">
        <v>9</v>
      </c>
      <c r="H20" s="133">
        <f>IF(B$17=0,0,G20/B$17)</f>
        <v>7.2347266881028936E-3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4.1196428571428578</v>
      </c>
      <c r="P20" s="119">
        <v>224</v>
      </c>
      <c r="Q20" s="107">
        <v>922.80000000000007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6.4308681672025723E-3</v>
      </c>
      <c r="I21" s="94">
        <v>5</v>
      </c>
      <c r="K21" s="38">
        <v>19</v>
      </c>
      <c r="L21" s="99">
        <v>30.999999999999996</v>
      </c>
      <c r="N21" s="115" t="s">
        <v>202</v>
      </c>
      <c r="O21" s="125">
        <f>IF(P21=0,0,Q21/P21)</f>
        <v>4.0749999999999984</v>
      </c>
      <c r="P21" s="119">
        <v>12</v>
      </c>
      <c r="Q21" s="107">
        <v>48.899999999999977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4</v>
      </c>
      <c r="H22" s="133">
        <f>IF(B$17=0,0,G22/B$17)</f>
        <v>3.2154340836012861E-3</v>
      </c>
      <c r="I22" s="94">
        <v>4</v>
      </c>
      <c r="K22" s="38">
        <v>20</v>
      </c>
      <c r="L22" s="99">
        <v>0.79999999999999716</v>
      </c>
      <c r="N22" s="115" t="s">
        <v>172</v>
      </c>
      <c r="O22" s="125">
        <f>IF(P22=0,0,Q22/P22)</f>
        <v>-1.5444444444444463</v>
      </c>
      <c r="P22" s="119">
        <v>108</v>
      </c>
      <c r="Q22" s="107">
        <v>-166.80000000000021</v>
      </c>
    </row>
    <row r="23" spans="1:17" x14ac:dyDescent="0.4">
      <c r="A23" s="55" t="s">
        <v>5</v>
      </c>
      <c r="B23" s="51">
        <f>IF(B$17=0,0,C23/B$17)</f>
        <v>8509.9678456591646</v>
      </c>
      <c r="C23" s="41">
        <v>10586400</v>
      </c>
      <c r="E23" s="63" t="s">
        <v>88</v>
      </c>
      <c r="F23" s="60" t="s">
        <v>43</v>
      </c>
      <c r="G23" s="47">
        <v>4</v>
      </c>
      <c r="H23" s="133">
        <f>IF(B$17=0,0,G23/B$17)</f>
        <v>3.2154340836012861E-3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-3.0369230769230748</v>
      </c>
      <c r="P23" s="119">
        <v>130</v>
      </c>
      <c r="Q23" s="107">
        <v>-394.79999999999973</v>
      </c>
    </row>
    <row r="24" spans="1:17" x14ac:dyDescent="0.4">
      <c r="A24" s="57" t="s">
        <v>14</v>
      </c>
      <c r="B24" s="52">
        <f>IF(B$20=0,0,C24/B$20)</f>
        <v>-8160.662824207493</v>
      </c>
      <c r="C24" s="45">
        <v>-5663500</v>
      </c>
      <c r="E24" s="63" t="s">
        <v>93</v>
      </c>
      <c r="F24" s="60" t="s">
        <v>48</v>
      </c>
      <c r="G24" s="47">
        <v>4</v>
      </c>
      <c r="H24" s="133">
        <f>IF(B$17=0,0,G24/B$17)</f>
        <v>3.2154340836012861E-3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-18.827678571428553</v>
      </c>
      <c r="P24" s="119">
        <v>224</v>
      </c>
      <c r="Q24" s="107">
        <v>-4217.399999999996</v>
      </c>
    </row>
    <row r="25" spans="1:17" x14ac:dyDescent="0.4">
      <c r="A25" s="90" t="s">
        <v>142</v>
      </c>
      <c r="B25" s="140">
        <v>8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2.4115755627009648E-3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3</v>
      </c>
      <c r="H26" s="133">
        <f>IF(B$17=0,0,G26/B$17)</f>
        <v>2.4115755627009648E-3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3.1332851289467343E-3</v>
      </c>
      <c r="E27" s="63" t="s">
        <v>86</v>
      </c>
      <c r="F27" s="60" t="s">
        <v>41</v>
      </c>
      <c r="G27" s="47">
        <v>3</v>
      </c>
      <c r="H27" s="133">
        <f>IF(B$17=0,0,G27/B$17)</f>
        <v>2.4115755627009648E-3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94</v>
      </c>
      <c r="F28" s="60" t="s">
        <v>49</v>
      </c>
      <c r="G28" s="47">
        <v>3</v>
      </c>
      <c r="H28" s="133">
        <f>IF(B$17=0,0,G28/B$17)</f>
        <v>2.4115755627009648E-3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1.6077170418006431E-3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1.6077170418006431E-3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8.0385852090032153E-4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8.0385852090032153E-4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D39-E5B2-48AA-BEC3-E50250711C08}">
  <sheetPr codeName="Sheet7"/>
  <dimension ref="A1:Q11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112</v>
      </c>
      <c r="C2" s="147"/>
      <c r="E2" s="62" t="s">
        <v>67</v>
      </c>
      <c r="F2" s="59" t="s">
        <v>23</v>
      </c>
      <c r="G2" s="46">
        <v>230</v>
      </c>
      <c r="H2" s="132">
        <f>IF(B$17=0,0,G2/B$17)</f>
        <v>0.72100313479623823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1934.8214285714287</v>
      </c>
      <c r="P2" s="118">
        <v>112</v>
      </c>
      <c r="Q2" s="102">
        <v>216700</v>
      </c>
    </row>
    <row r="3" spans="1:17" x14ac:dyDescent="0.4">
      <c r="A3" s="55" t="s">
        <v>8</v>
      </c>
      <c r="B3" s="148">
        <v>906</v>
      </c>
      <c r="C3" s="149"/>
      <c r="E3" s="63" t="s">
        <v>73</v>
      </c>
      <c r="F3" s="60" t="s">
        <v>28</v>
      </c>
      <c r="G3" s="47">
        <v>176</v>
      </c>
      <c r="H3" s="133">
        <f>IF(B$17=0,0,G3/B$17)</f>
        <v>0.55172413793103448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1551.3761467889908</v>
      </c>
      <c r="P3" s="119">
        <v>109</v>
      </c>
      <c r="Q3" s="103">
        <v>169100</v>
      </c>
    </row>
    <row r="4" spans="1:17" x14ac:dyDescent="0.4">
      <c r="A4" s="55" t="s">
        <v>6</v>
      </c>
      <c r="B4" s="150">
        <v>1405.8000000000009</v>
      </c>
      <c r="C4" s="151"/>
      <c r="E4" s="63" t="s">
        <v>65</v>
      </c>
      <c r="F4" s="60" t="s">
        <v>21</v>
      </c>
      <c r="G4" s="47">
        <v>161</v>
      </c>
      <c r="H4" s="133">
        <f>IF(B$17=0,0,G4/B$17)</f>
        <v>0.50470219435736674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1751.9230769230769</v>
      </c>
      <c r="P4" s="119">
        <v>104</v>
      </c>
      <c r="Q4" s="103">
        <v>182200</v>
      </c>
    </row>
    <row r="5" spans="1:17" x14ac:dyDescent="0.4">
      <c r="A5" s="55" t="s">
        <v>7</v>
      </c>
      <c r="B5" s="152">
        <f>IF(B$2=0,0,B$4/B$2)</f>
        <v>12.551785714285723</v>
      </c>
      <c r="C5" s="153"/>
      <c r="E5" s="63" t="s">
        <v>181</v>
      </c>
      <c r="F5" s="60" t="s">
        <v>182</v>
      </c>
      <c r="G5" s="47">
        <v>135</v>
      </c>
      <c r="H5" s="133">
        <f>IF(B$17=0,0,G5/B$17)</f>
        <v>0.42319749216300939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2275.5319148936169</v>
      </c>
      <c r="P5" s="119">
        <v>94</v>
      </c>
      <c r="Q5" s="103">
        <v>213900</v>
      </c>
    </row>
    <row r="6" spans="1:17" x14ac:dyDescent="0.4">
      <c r="A6" s="55" t="s">
        <v>1</v>
      </c>
      <c r="B6" s="142">
        <f>IF(B$2=0,0,(B$7*1+B$8*2+B$9*3)/B$2)</f>
        <v>1.7321428571428572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0.30407523510971785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-3.6144578313253013</v>
      </c>
      <c r="P6" s="119">
        <v>83</v>
      </c>
      <c r="Q6" s="103">
        <v>-300</v>
      </c>
    </row>
    <row r="7" spans="1:17" x14ac:dyDescent="0.4">
      <c r="A7" s="55" t="s">
        <v>2</v>
      </c>
      <c r="B7" s="47">
        <v>56</v>
      </c>
      <c r="C7" s="39">
        <f>IF(B$2=0,0,B7/B$2)</f>
        <v>0.5</v>
      </c>
      <c r="E7" s="63" t="s">
        <v>69</v>
      </c>
      <c r="F7" s="60" t="s">
        <v>12</v>
      </c>
      <c r="G7" s="47">
        <v>84</v>
      </c>
      <c r="H7" s="133">
        <f>IF(B$17=0,0,G7/B$17)</f>
        <v>0.26332288401253917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259.45945945945948</v>
      </c>
      <c r="P7" s="120">
        <v>74</v>
      </c>
      <c r="Q7" s="104">
        <v>19200</v>
      </c>
    </row>
    <row r="8" spans="1:17" x14ac:dyDescent="0.4">
      <c r="A8" s="55" t="s">
        <v>3</v>
      </c>
      <c r="B8" s="47">
        <v>30</v>
      </c>
      <c r="C8" s="39">
        <f>IF(B$2=0,0,B8/B$2)</f>
        <v>0.26785714285714285</v>
      </c>
      <c r="E8" s="63" t="s">
        <v>70</v>
      </c>
      <c r="F8" s="60" t="s">
        <v>25</v>
      </c>
      <c r="G8" s="47">
        <v>59</v>
      </c>
      <c r="H8" s="133">
        <f>IF(B$17=0,0,G8/B$17)</f>
        <v>0.18495297805642633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0.23214285714285715</v>
      </c>
      <c r="E9" s="63" t="s">
        <v>90</v>
      </c>
      <c r="F9" s="60" t="s">
        <v>45</v>
      </c>
      <c r="G9" s="47">
        <v>50</v>
      </c>
      <c r="H9" s="133">
        <f>IF(B$17=0,0,G9/B$17)</f>
        <v>0.15673981191222572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0.10714285714285714</v>
      </c>
      <c r="E10" s="63" t="s">
        <v>66</v>
      </c>
      <c r="F10" s="60" t="s">
        <v>22</v>
      </c>
      <c r="G10" s="47">
        <v>49</v>
      </c>
      <c r="H10" s="133">
        <f>IF(B$17=0,0,G10/B$17)</f>
        <v>0.15360501567398119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0.17857142857142858</v>
      </c>
      <c r="E11" s="63" t="s">
        <v>71</v>
      </c>
      <c r="F11" s="60" t="s">
        <v>26</v>
      </c>
      <c r="G11" s="47">
        <v>33</v>
      </c>
      <c r="H11" s="133">
        <f>IF(B$17=0,0,G11/B$17)</f>
        <v>0.10344827586206896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7.5882352941176467</v>
      </c>
      <c r="P11" s="119">
        <v>34</v>
      </c>
      <c r="Q11" s="107">
        <v>258</v>
      </c>
    </row>
    <row r="12" spans="1:17" x14ac:dyDescent="0.4">
      <c r="A12" s="57" t="s">
        <v>160</v>
      </c>
      <c r="B12" s="49">
        <v>17</v>
      </c>
      <c r="C12" s="42">
        <f>IF(B$2=0,0,B12/B$2)</f>
        <v>0.15178571428571427</v>
      </c>
      <c r="E12" s="63" t="s">
        <v>72</v>
      </c>
      <c r="F12" s="60" t="s">
        <v>27</v>
      </c>
      <c r="G12" s="47">
        <v>22</v>
      </c>
      <c r="H12" s="133">
        <f>IF(B$17=0,0,G12/B$17)</f>
        <v>6.8965517241379309E-2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296</v>
      </c>
      <c r="C13" s="44">
        <f>IF(B$3=0,0,B13/B$3)</f>
        <v>0.32671081677704195</v>
      </c>
      <c r="E13" s="63" t="s">
        <v>87</v>
      </c>
      <c r="F13" s="60" t="s">
        <v>42</v>
      </c>
      <c r="G13" s="47">
        <v>22</v>
      </c>
      <c r="H13" s="133">
        <f>IF(B$17=0,0,G13/B$17)</f>
        <v>6.8965517241379309E-2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200</v>
      </c>
      <c r="C14" s="39">
        <f>IF(B$3=0,0,B14/B$3)</f>
        <v>0.22075055187637968</v>
      </c>
      <c r="E14" s="63" t="s">
        <v>84</v>
      </c>
      <c r="F14" s="60" t="s">
        <v>39</v>
      </c>
      <c r="G14" s="47">
        <v>17</v>
      </c>
      <c r="H14" s="133">
        <f>IF(B$17=0,0,G14/B$17)</f>
        <v>5.329153605015674E-2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0.58445945945945943</v>
      </c>
      <c r="E15" s="63" t="s">
        <v>82</v>
      </c>
      <c r="F15" s="60" t="s">
        <v>37</v>
      </c>
      <c r="G15" s="47">
        <v>11</v>
      </c>
      <c r="H15" s="133">
        <f>IF(B$17=0,0,G15/B$17)</f>
        <v>3.4482758620689655E-2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102</v>
      </c>
      <c r="C16" s="37">
        <f>IF(B$14=0,0,B16/B$14)</f>
        <v>0.51</v>
      </c>
      <c r="E16" s="63" t="s">
        <v>180</v>
      </c>
      <c r="F16" s="60" t="s">
        <v>183</v>
      </c>
      <c r="G16" s="47">
        <v>10</v>
      </c>
      <c r="H16" s="133">
        <f>IF(B$17=0,0,G16/B$17)</f>
        <v>3.1347962382445138E-2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35.458823529411767</v>
      </c>
      <c r="P16" s="119">
        <v>34</v>
      </c>
      <c r="Q16" s="107">
        <v>1205.6000000000001</v>
      </c>
    </row>
    <row r="17" spans="1:17" x14ac:dyDescent="0.4">
      <c r="A17" s="54" t="s">
        <v>10</v>
      </c>
      <c r="B17" s="46">
        <f>B19+B18</f>
        <v>319</v>
      </c>
      <c r="C17" s="37">
        <f>IF(B$3=0,0,B17/B$3)</f>
        <v>0.35209713024282563</v>
      </c>
      <c r="E17" s="63" t="s">
        <v>79</v>
      </c>
      <c r="F17" s="60" t="s">
        <v>34</v>
      </c>
      <c r="G17" s="47">
        <v>6</v>
      </c>
      <c r="H17" s="133">
        <f>IF(B$17=0,0,G17/B$17)</f>
        <v>1.8808777429467086E-2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0.41692789968652039</v>
      </c>
      <c r="E18" s="63" t="s">
        <v>80</v>
      </c>
      <c r="F18" s="60" t="s">
        <v>35</v>
      </c>
      <c r="G18" s="47">
        <v>4</v>
      </c>
      <c r="H18" s="133">
        <f>IF(B$17=0,0,G18/B$17)</f>
        <v>1.2539184952978056E-2</v>
      </c>
      <c r="I18" s="94">
        <v>7</v>
      </c>
      <c r="K18" s="38">
        <v>16</v>
      </c>
      <c r="L18" s="99">
        <v>425.50000000000006</v>
      </c>
      <c r="N18" s="115" t="s">
        <v>202</v>
      </c>
      <c r="O18" s="125">
        <f>IF(P18=0,0,Q18/P18)</f>
        <v>23.1</v>
      </c>
      <c r="P18" s="119">
        <v>1</v>
      </c>
      <c r="Q18" s="107">
        <v>23.1</v>
      </c>
    </row>
    <row r="19" spans="1:17" x14ac:dyDescent="0.4">
      <c r="A19" s="55" t="s">
        <v>11</v>
      </c>
      <c r="B19" s="47">
        <v>186</v>
      </c>
      <c r="C19" s="39">
        <f>IF(B$17=0,0,B19/B$17)</f>
        <v>0.58307210031347967</v>
      </c>
      <c r="E19" s="63" t="s">
        <v>92</v>
      </c>
      <c r="F19" s="60" t="s">
        <v>47</v>
      </c>
      <c r="G19" s="47">
        <v>4</v>
      </c>
      <c r="H19" s="133">
        <f>IF(B$17=0,0,G19/B$17)</f>
        <v>1.2539184952978056E-2</v>
      </c>
      <c r="I19" s="94">
        <v>5</v>
      </c>
      <c r="K19" s="38">
        <v>17</v>
      </c>
      <c r="L19" s="99">
        <v>427.40000000000003</v>
      </c>
      <c r="N19" s="115" t="s">
        <v>177</v>
      </c>
      <c r="O19" s="125">
        <f>IF(P19=0,0,Q19/P19)</f>
        <v>22.984615384615385</v>
      </c>
      <c r="P19" s="119">
        <v>13</v>
      </c>
      <c r="Q19" s="107">
        <v>298.8</v>
      </c>
    </row>
    <row r="20" spans="1:17" x14ac:dyDescent="0.4">
      <c r="A20" s="55" t="s">
        <v>13</v>
      </c>
      <c r="B20" s="47">
        <v>139</v>
      </c>
      <c r="C20" s="39">
        <f>IF(B$3=0,0,B20/B$3)</f>
        <v>0.15342163355408389</v>
      </c>
      <c r="E20" s="63" t="s">
        <v>74</v>
      </c>
      <c r="F20" s="60" t="s">
        <v>29</v>
      </c>
      <c r="G20" s="47">
        <v>2</v>
      </c>
      <c r="H20" s="133">
        <f>IF(B$17=0,0,G20/B$17)</f>
        <v>6.269592476489028E-3</v>
      </c>
      <c r="I20" s="94">
        <v>6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3.134796238244514E-3</v>
      </c>
      <c r="I21" s="94">
        <v>7</v>
      </c>
      <c r="K21" s="38">
        <v>19</v>
      </c>
      <c r="L21" s="99">
        <v>405.40000000000003</v>
      </c>
      <c r="N21" s="115" t="s">
        <v>172</v>
      </c>
      <c r="O21" s="125">
        <f>IF(P21=0,0,Q21/P21)</f>
        <v>21.879310344827591</v>
      </c>
      <c r="P21" s="119">
        <v>29</v>
      </c>
      <c r="Q21" s="107">
        <v>634.50000000000011</v>
      </c>
    </row>
    <row r="22" spans="1:17" x14ac:dyDescent="0.4">
      <c r="A22" s="55" t="s">
        <v>194</v>
      </c>
      <c r="B22" s="47">
        <v>39</v>
      </c>
      <c r="C22" s="135">
        <v>3</v>
      </c>
      <c r="E22" s="63" t="s">
        <v>78</v>
      </c>
      <c r="F22" s="60" t="s">
        <v>33</v>
      </c>
      <c r="G22" s="47">
        <v>1</v>
      </c>
      <c r="H22" s="133">
        <f>IF(B$17=0,0,G22/B$17)</f>
        <v>3.134796238244514E-3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16.614102564102566</v>
      </c>
      <c r="P22" s="119">
        <v>78</v>
      </c>
      <c r="Q22" s="107">
        <v>1295.9000000000001</v>
      </c>
    </row>
    <row r="23" spans="1:17" x14ac:dyDescent="0.4">
      <c r="A23" s="55" t="s">
        <v>5</v>
      </c>
      <c r="B23" s="51">
        <f>IF(B$17=0,0,C23/B$17)</f>
        <v>9076.1755485893409</v>
      </c>
      <c r="C23" s="41">
        <v>2895300</v>
      </c>
      <c r="E23" s="63" t="s">
        <v>86</v>
      </c>
      <c r="F23" s="60" t="s">
        <v>41</v>
      </c>
      <c r="G23" s="47">
        <v>1</v>
      </c>
      <c r="H23" s="133">
        <f>IF(B$17=0,0,G23/B$17)</f>
        <v>3.134796238244514E-3</v>
      </c>
      <c r="I23" s="94">
        <v>2</v>
      </c>
      <c r="K23" s="38">
        <v>21</v>
      </c>
      <c r="L23" s="99">
        <v>468.3</v>
      </c>
      <c r="N23" s="115" t="s">
        <v>186</v>
      </c>
      <c r="O23" s="125">
        <f>IF(P23=0,0,Q23/P23)</f>
        <v>15.424999999999994</v>
      </c>
      <c r="P23" s="119">
        <v>8</v>
      </c>
      <c r="Q23" s="107">
        <v>123.39999999999995</v>
      </c>
    </row>
    <row r="24" spans="1:17" x14ac:dyDescent="0.4">
      <c r="A24" s="57" t="s">
        <v>14</v>
      </c>
      <c r="B24" s="52">
        <f>IF(B$20=0,0,C24/B$20)</f>
        <v>-8412.9496402877703</v>
      </c>
      <c r="C24" s="45">
        <v>-1169400</v>
      </c>
      <c r="E24" s="63" t="s">
        <v>88</v>
      </c>
      <c r="F24" s="60" t="s">
        <v>43</v>
      </c>
      <c r="G24" s="47">
        <v>1</v>
      </c>
      <c r="H24" s="133">
        <f>IF(B$17=0,0,G24/B$17)</f>
        <v>3.134796238244514E-3</v>
      </c>
      <c r="I24" s="94">
        <v>5</v>
      </c>
      <c r="K24" s="38">
        <v>22</v>
      </c>
      <c r="L24" s="99">
        <v>519.20000000000005</v>
      </c>
      <c r="N24" s="115" t="s">
        <v>171</v>
      </c>
      <c r="O24" s="125">
        <f>IF(P24=0,0,Q24/P24)</f>
        <v>2.1076923076923046</v>
      </c>
      <c r="P24" s="119">
        <v>39</v>
      </c>
      <c r="Q24" s="107">
        <v>82.199999999999875</v>
      </c>
    </row>
    <row r="25" spans="1:17" x14ac:dyDescent="0.4">
      <c r="A25" s="90" t="s">
        <v>142</v>
      </c>
      <c r="B25" s="140">
        <v>7</v>
      </c>
      <c r="C25" s="141"/>
      <c r="E25" s="63" t="s">
        <v>91</v>
      </c>
      <c r="F25" s="60" t="s">
        <v>46</v>
      </c>
      <c r="G25" s="47">
        <v>1</v>
      </c>
      <c r="H25" s="133">
        <f>IF(B$17=0,0,G25/B$17)</f>
        <v>3.134796238244514E-3</v>
      </c>
      <c r="I25" s="94">
        <v>1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3.134796238244514E-3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1.1037527593818985E-3</v>
      </c>
      <c r="E27" s="63" t="s">
        <v>94</v>
      </c>
      <c r="F27" s="60" t="s">
        <v>49</v>
      </c>
      <c r="G27" s="47">
        <v>1</v>
      </c>
      <c r="H27" s="133">
        <f>IF(B$17=0,0,G27/B$17)</f>
        <v>3.134796238244514E-3</v>
      </c>
      <c r="I27" s="94">
        <v>3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3.134796238244514E-3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7B4F-A8F7-4049-B79C-168855E4BC75}">
  <sheetPr codeName="Sheet9"/>
  <dimension ref="A1:Q11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112</v>
      </c>
      <c r="C2" s="147"/>
      <c r="E2" s="62" t="s">
        <v>67</v>
      </c>
      <c r="F2" s="59" t="s">
        <v>23</v>
      </c>
      <c r="G2" s="46">
        <v>192</v>
      </c>
      <c r="H2" s="132">
        <f>IF(B$17=0,0,G2/B$17)</f>
        <v>0.75590551181102361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288.39285714285717</v>
      </c>
      <c r="P2" s="118">
        <v>112</v>
      </c>
      <c r="Q2" s="102">
        <v>32300</v>
      </c>
    </row>
    <row r="3" spans="1:17" x14ac:dyDescent="0.4">
      <c r="A3" s="55" t="s">
        <v>8</v>
      </c>
      <c r="B3" s="148">
        <v>927</v>
      </c>
      <c r="C3" s="149"/>
      <c r="E3" s="63" t="s">
        <v>65</v>
      </c>
      <c r="F3" s="60" t="s">
        <v>21</v>
      </c>
      <c r="G3" s="47">
        <v>154</v>
      </c>
      <c r="H3" s="133">
        <f>IF(B$17=0,0,G3/B$17)</f>
        <v>0.60629921259842523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-2439.8148148148148</v>
      </c>
      <c r="P3" s="119">
        <v>108</v>
      </c>
      <c r="Q3" s="103">
        <v>-263500</v>
      </c>
    </row>
    <row r="4" spans="1:17" x14ac:dyDescent="0.4">
      <c r="A4" s="55" t="s">
        <v>6</v>
      </c>
      <c r="B4" s="150">
        <v>-307.60000000000008</v>
      </c>
      <c r="C4" s="151"/>
      <c r="E4" s="63" t="s">
        <v>73</v>
      </c>
      <c r="F4" s="60" t="s">
        <v>28</v>
      </c>
      <c r="G4" s="47">
        <v>118</v>
      </c>
      <c r="H4" s="133">
        <f>IF(B$17=0,0,G4/B$17)</f>
        <v>0.46456692913385828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16.19047619047619</v>
      </c>
      <c r="P4" s="119">
        <v>105</v>
      </c>
      <c r="Q4" s="103">
        <v>1700</v>
      </c>
    </row>
    <row r="5" spans="1:17" x14ac:dyDescent="0.4">
      <c r="A5" s="55" t="s">
        <v>7</v>
      </c>
      <c r="B5" s="152">
        <f>IF(B$2=0,0,B$4/B$2)</f>
        <v>-2.7464285714285723</v>
      </c>
      <c r="C5" s="153"/>
      <c r="E5" s="63" t="s">
        <v>181</v>
      </c>
      <c r="F5" s="60" t="s">
        <v>182</v>
      </c>
      <c r="G5" s="47">
        <v>111</v>
      </c>
      <c r="H5" s="133">
        <f>IF(B$17=0,0,G5/B$17)</f>
        <v>0.43700787401574803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368.08510638297872</v>
      </c>
      <c r="P5" s="119">
        <v>94</v>
      </c>
      <c r="Q5" s="103">
        <v>34600</v>
      </c>
    </row>
    <row r="6" spans="1:17" x14ac:dyDescent="0.4">
      <c r="A6" s="55" t="s">
        <v>1</v>
      </c>
      <c r="B6" s="142">
        <f>IF(B$2=0,0,(B$7*1+B$8*2+B$9*3)/B$2)</f>
        <v>2.0803571428571428</v>
      </c>
      <c r="C6" s="143"/>
      <c r="E6" s="63" t="s">
        <v>68</v>
      </c>
      <c r="F6" s="60" t="s">
        <v>24</v>
      </c>
      <c r="G6" s="47">
        <v>93</v>
      </c>
      <c r="H6" s="133">
        <f>IF(B$17=0,0,G6/B$17)</f>
        <v>0.36614173228346458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360.71428571428572</v>
      </c>
      <c r="P6" s="119">
        <v>84</v>
      </c>
      <c r="Q6" s="103">
        <v>30300</v>
      </c>
    </row>
    <row r="7" spans="1:17" x14ac:dyDescent="0.4">
      <c r="A7" s="55" t="s">
        <v>2</v>
      </c>
      <c r="B7" s="47">
        <v>30</v>
      </c>
      <c r="C7" s="39">
        <f>IF(B$2=0,0,B7/B$2)</f>
        <v>0.26785714285714285</v>
      </c>
      <c r="E7" s="63" t="s">
        <v>69</v>
      </c>
      <c r="F7" s="60" t="s">
        <v>12</v>
      </c>
      <c r="G7" s="47">
        <v>85</v>
      </c>
      <c r="H7" s="133">
        <f>IF(B$17=0,0,G7/B$17)</f>
        <v>0.3346456692913386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474.35897435897436</v>
      </c>
      <c r="P7" s="120">
        <v>78</v>
      </c>
      <c r="Q7" s="104">
        <v>37000</v>
      </c>
    </row>
    <row r="8" spans="1:17" x14ac:dyDescent="0.4">
      <c r="A8" s="55" t="s">
        <v>3</v>
      </c>
      <c r="B8" s="47">
        <v>43</v>
      </c>
      <c r="C8" s="39">
        <f>IF(B$2=0,0,B8/B$2)</f>
        <v>0.38392857142857145</v>
      </c>
      <c r="E8" s="63" t="s">
        <v>70</v>
      </c>
      <c r="F8" s="60" t="s">
        <v>25</v>
      </c>
      <c r="G8" s="47">
        <v>56</v>
      </c>
      <c r="H8" s="133">
        <f>IF(B$17=0,0,G8/B$17)</f>
        <v>0.22047244094488189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0.3482142857142857</v>
      </c>
      <c r="E9" s="63" t="s">
        <v>66</v>
      </c>
      <c r="F9" s="60" t="s">
        <v>22</v>
      </c>
      <c r="G9" s="47">
        <v>40</v>
      </c>
      <c r="H9" s="133">
        <f>IF(B$17=0,0,G9/B$17)</f>
        <v>0.15748031496062992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0.125</v>
      </c>
      <c r="E10" s="63" t="s">
        <v>71</v>
      </c>
      <c r="F10" s="60" t="s">
        <v>26</v>
      </c>
      <c r="G10" s="47">
        <v>31</v>
      </c>
      <c r="H10" s="133">
        <f>IF(B$17=0,0,G10/B$17)</f>
        <v>0.12204724409448819</v>
      </c>
      <c r="I10" s="94">
        <v>5</v>
      </c>
      <c r="K10" s="38">
        <v>8</v>
      </c>
      <c r="L10" s="99">
        <v>-49.6</v>
      </c>
      <c r="N10" s="114" t="s">
        <v>164</v>
      </c>
      <c r="O10" s="124">
        <f>IF(P10=0,0,Q10/P10)</f>
        <v>-6.8931034482758635</v>
      </c>
      <c r="P10" s="118">
        <v>58</v>
      </c>
      <c r="Q10" s="106">
        <v>-399.80000000000007</v>
      </c>
    </row>
    <row r="11" spans="1:17" x14ac:dyDescent="0.4">
      <c r="A11" s="56" t="s">
        <v>140</v>
      </c>
      <c r="B11" s="48">
        <v>10</v>
      </c>
      <c r="C11" s="40">
        <f>IF(B$2=0,0,B11/B$2)</f>
        <v>8.9285714285714288E-2</v>
      </c>
      <c r="E11" s="63" t="s">
        <v>90</v>
      </c>
      <c r="F11" s="60" t="s">
        <v>45</v>
      </c>
      <c r="G11" s="47">
        <v>25</v>
      </c>
      <c r="H11" s="133">
        <f>IF(B$17=0,0,G11/B$17)</f>
        <v>9.8425196850393706E-2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7.1428571428571425E-2</v>
      </c>
      <c r="E12" s="63" t="s">
        <v>72</v>
      </c>
      <c r="F12" s="60" t="s">
        <v>27</v>
      </c>
      <c r="G12" s="47">
        <v>14</v>
      </c>
      <c r="H12" s="133">
        <f>IF(B$17=0,0,G12/B$17)</f>
        <v>5.5118110236220472E-2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274</v>
      </c>
      <c r="C13" s="44">
        <f>IF(B$3=0,0,B13/B$3)</f>
        <v>0.29557713052858686</v>
      </c>
      <c r="E13" s="63" t="s">
        <v>87</v>
      </c>
      <c r="F13" s="60" t="s">
        <v>42</v>
      </c>
      <c r="G13" s="47">
        <v>14</v>
      </c>
      <c r="H13" s="133">
        <f>IF(B$17=0,0,G13/B$17)</f>
        <v>5.5118110236220472E-2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0.18122977346278318</v>
      </c>
      <c r="E14" s="63" t="s">
        <v>84</v>
      </c>
      <c r="F14" s="60" t="s">
        <v>39</v>
      </c>
      <c r="G14" s="47">
        <v>10</v>
      </c>
      <c r="H14" s="133">
        <f>IF(B$17=0,0,G14/B$17)</f>
        <v>3.937007874015748E-2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0.59124087591240881</v>
      </c>
      <c r="E15" s="63" t="s">
        <v>82</v>
      </c>
      <c r="F15" s="60" t="s">
        <v>37</v>
      </c>
      <c r="G15" s="47">
        <v>8</v>
      </c>
      <c r="H15" s="133">
        <f>IF(B$17=0,0,G15/B$17)</f>
        <v>3.1496062992125984E-2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50</v>
      </c>
      <c r="C16" s="37">
        <f>IF(B$14=0,0,B16/B$14)</f>
        <v>0.29761904761904762</v>
      </c>
      <c r="E16" s="63" t="s">
        <v>92</v>
      </c>
      <c r="F16" s="60" t="s">
        <v>47</v>
      </c>
      <c r="G16" s="47">
        <v>6</v>
      </c>
      <c r="H16" s="133">
        <f>IF(B$17=0,0,G16/B$17)</f>
        <v>2.3622047244094488E-2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12.41176470588235</v>
      </c>
      <c r="P16" s="119">
        <v>34</v>
      </c>
      <c r="Q16" s="107">
        <v>421.99999999999989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0.27400215749730311</v>
      </c>
      <c r="E17" s="63" t="s">
        <v>80</v>
      </c>
      <c r="F17" s="60" t="s">
        <v>35</v>
      </c>
      <c r="G17" s="47">
        <v>5</v>
      </c>
      <c r="H17" s="133">
        <f>IF(B$17=0,0,G17/B$17)</f>
        <v>1.968503937007874E-2</v>
      </c>
      <c r="I17" s="94">
        <v>2</v>
      </c>
      <c r="K17" s="38">
        <v>15</v>
      </c>
      <c r="L17" s="99">
        <v>47.999999999999986</v>
      </c>
      <c r="N17" s="115" t="s">
        <v>172</v>
      </c>
      <c r="O17" s="125">
        <f>IF(P17=0,0,Q17/P17)</f>
        <v>1.070000000000001</v>
      </c>
      <c r="P17" s="119">
        <v>30</v>
      </c>
      <c r="Q17" s="107">
        <v>32.10000000000003</v>
      </c>
    </row>
    <row r="18" spans="1:17" x14ac:dyDescent="0.4">
      <c r="A18" s="55" t="s">
        <v>12</v>
      </c>
      <c r="B18" s="47">
        <v>107</v>
      </c>
      <c r="C18" s="39">
        <f>IF(B$17=0,0,B18/B$17)</f>
        <v>0.42125984251968501</v>
      </c>
      <c r="E18" s="63" t="s">
        <v>180</v>
      </c>
      <c r="F18" s="60" t="s">
        <v>183</v>
      </c>
      <c r="G18" s="47">
        <v>4</v>
      </c>
      <c r="H18" s="133">
        <f>IF(B$17=0,0,G18/B$17)</f>
        <v>1.5748031496062992E-2</v>
      </c>
      <c r="I18" s="94">
        <v>2</v>
      </c>
      <c r="K18" s="38">
        <v>16</v>
      </c>
      <c r="L18" s="99">
        <v>41.699999999999989</v>
      </c>
      <c r="N18" s="115" t="s">
        <v>171</v>
      </c>
      <c r="O18" s="125">
        <f>IF(P18=0,0,Q18/P18)</f>
        <v>0.79393939393939983</v>
      </c>
      <c r="P18" s="119">
        <v>33</v>
      </c>
      <c r="Q18" s="107">
        <v>26.200000000000195</v>
      </c>
    </row>
    <row r="19" spans="1:17" x14ac:dyDescent="0.4">
      <c r="A19" s="55" t="s">
        <v>11</v>
      </c>
      <c r="B19" s="47">
        <v>147</v>
      </c>
      <c r="C19" s="39">
        <f>IF(B$17=0,0,B19/B$17)</f>
        <v>0.57874015748031493</v>
      </c>
      <c r="E19" s="63" t="s">
        <v>79</v>
      </c>
      <c r="F19" s="60" t="s">
        <v>34</v>
      </c>
      <c r="G19" s="47">
        <v>3</v>
      </c>
      <c r="H19" s="133">
        <f>IF(B$17=0,0,G19/B$17)</f>
        <v>1.1811023622047244E-2</v>
      </c>
      <c r="I19" s="94">
        <v>9</v>
      </c>
      <c r="K19" s="38">
        <v>17</v>
      </c>
      <c r="L19" s="99">
        <v>94.6</v>
      </c>
      <c r="N19" s="115" t="s">
        <v>173</v>
      </c>
      <c r="O19" s="125">
        <f>IF(P19=0,0,Q19/P19)</f>
        <v>-3.6750000000000007</v>
      </c>
      <c r="P19" s="119">
        <v>20</v>
      </c>
      <c r="Q19" s="107">
        <v>-73.500000000000014</v>
      </c>
    </row>
    <row r="20" spans="1:17" x14ac:dyDescent="0.4">
      <c r="A20" s="55" t="s">
        <v>13</v>
      </c>
      <c r="B20" s="47">
        <v>159</v>
      </c>
      <c r="C20" s="39">
        <f>IF(B$3=0,0,B20/B$3)</f>
        <v>0.17152103559870549</v>
      </c>
      <c r="E20" s="63" t="s">
        <v>74</v>
      </c>
      <c r="F20" s="60" t="s">
        <v>29</v>
      </c>
      <c r="G20" s="47">
        <v>2</v>
      </c>
      <c r="H20" s="133">
        <f>IF(B$17=0,0,G20/B$17)</f>
        <v>7.874015748031496E-3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7.874015748031496E-3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-7.4380952380952392</v>
      </c>
      <c r="P21" s="119">
        <v>21</v>
      </c>
      <c r="Q21" s="107">
        <v>-156.20000000000002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76</v>
      </c>
      <c r="F22" s="60" t="s">
        <v>31</v>
      </c>
      <c r="G22" s="47">
        <v>2</v>
      </c>
      <c r="H22" s="133">
        <f>IF(B$17=0,0,G22/B$17)</f>
        <v>7.874015748031496E-3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9246.8503937007881</v>
      </c>
      <c r="C23" s="41">
        <v>2348700</v>
      </c>
      <c r="E23" s="63" t="s">
        <v>78</v>
      </c>
      <c r="F23" s="60" t="s">
        <v>33</v>
      </c>
      <c r="G23" s="47">
        <v>1</v>
      </c>
      <c r="H23" s="133">
        <f>IF(B$17=0,0,G23/B$17)</f>
        <v>3.937007874015748E-3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-7586.1635220125791</v>
      </c>
      <c r="C24" s="45">
        <v>-1206200</v>
      </c>
      <c r="E24" s="63" t="s">
        <v>85</v>
      </c>
      <c r="F24" s="60" t="s">
        <v>40</v>
      </c>
      <c r="G24" s="47">
        <v>1</v>
      </c>
      <c r="H24" s="133">
        <f>IF(B$17=0,0,G24/B$17)</f>
        <v>3.937007874015748E-3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3.937007874015748E-3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3.937007874015748E-3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5.3937432578209281E-3</v>
      </c>
      <c r="E27" s="63" t="s">
        <v>94</v>
      </c>
      <c r="F27" s="60" t="s">
        <v>49</v>
      </c>
      <c r="G27" s="47">
        <v>1</v>
      </c>
      <c r="H27" s="133">
        <f>IF(B$17=0,0,G27/B$17)</f>
        <v>3.937007874015748E-3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3.937007874015748E-3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CF17C-0C78-4943-9C33-E4604D2D939F}">
  <sheetPr codeName="Sheet11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</v>
      </c>
      <c r="C2" s="147"/>
      <c r="E2" s="62" t="s">
        <v>67</v>
      </c>
      <c r="F2" s="59" t="s">
        <v>23</v>
      </c>
      <c r="G2" s="46">
        <v>99</v>
      </c>
      <c r="H2" s="132">
        <f>IF(B$17=0,0,G2/B$17)</f>
        <v>0.93396226415094341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-2421.0526315789475</v>
      </c>
      <c r="P2" s="118">
        <v>57</v>
      </c>
      <c r="Q2" s="102">
        <v>-138000</v>
      </c>
    </row>
    <row r="3" spans="1:17" x14ac:dyDescent="0.4">
      <c r="A3" s="55" t="s">
        <v>8</v>
      </c>
      <c r="B3" s="148">
        <v>467</v>
      </c>
      <c r="C3" s="149"/>
      <c r="E3" s="63" t="s">
        <v>65</v>
      </c>
      <c r="F3" s="60" t="s">
        <v>21</v>
      </c>
      <c r="G3" s="47">
        <v>60</v>
      </c>
      <c r="H3" s="133">
        <f>IF(B$17=0,0,G3/B$17)</f>
        <v>0.56603773584905659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-1432.7272727272727</v>
      </c>
      <c r="P3" s="119">
        <v>55</v>
      </c>
      <c r="Q3" s="103">
        <v>-78800</v>
      </c>
    </row>
    <row r="4" spans="1:17" x14ac:dyDescent="0.4">
      <c r="A4" s="55" t="s">
        <v>6</v>
      </c>
      <c r="B4" s="150">
        <v>-858.49999999999977</v>
      </c>
      <c r="C4" s="151"/>
      <c r="E4" s="63" t="s">
        <v>69</v>
      </c>
      <c r="F4" s="60" t="s">
        <v>12</v>
      </c>
      <c r="G4" s="47">
        <v>45</v>
      </c>
      <c r="H4" s="133">
        <f>IF(B$17=0,0,G4/B$17)</f>
        <v>0.42452830188679247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-941.17647058823525</v>
      </c>
      <c r="P4" s="119">
        <v>51</v>
      </c>
      <c r="Q4" s="103">
        <v>-48000</v>
      </c>
    </row>
    <row r="5" spans="1:17" x14ac:dyDescent="0.4">
      <c r="A5" s="55" t="s">
        <v>7</v>
      </c>
      <c r="B5" s="152">
        <f>IF(B$2=0,0,B$4/B$2)</f>
        <v>-15.061403508771926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0.39622641509433965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-4993.181818181818</v>
      </c>
      <c r="P5" s="119">
        <v>44</v>
      </c>
      <c r="Q5" s="103">
        <v>-219700</v>
      </c>
    </row>
    <row r="6" spans="1:17" x14ac:dyDescent="0.4">
      <c r="A6" s="55" t="s">
        <v>1</v>
      </c>
      <c r="B6" s="142">
        <f>IF(B$2=0,0,(B$7*1+B$8*2+B$9*3)/B$2)</f>
        <v>2.2456140350877192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0.3867924528301887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-492.30769230769232</v>
      </c>
      <c r="P6" s="119">
        <v>39</v>
      </c>
      <c r="Q6" s="103">
        <v>-19200</v>
      </c>
    </row>
    <row r="7" spans="1:17" x14ac:dyDescent="0.4">
      <c r="A7" s="55" t="s">
        <v>2</v>
      </c>
      <c r="B7" s="47">
        <v>14</v>
      </c>
      <c r="C7" s="39">
        <f>IF(B$2=0,0,B7/B$2)</f>
        <v>0.24561403508771928</v>
      </c>
      <c r="E7" s="63" t="s">
        <v>73</v>
      </c>
      <c r="F7" s="60" t="s">
        <v>28</v>
      </c>
      <c r="G7" s="47">
        <v>35</v>
      </c>
      <c r="H7" s="133">
        <f>IF(B$17=0,0,G7/B$17)</f>
        <v>0.330188679245283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-1886.1111111111111</v>
      </c>
      <c r="P7" s="120">
        <v>36</v>
      </c>
      <c r="Q7" s="104">
        <v>-67900</v>
      </c>
    </row>
    <row r="8" spans="1:17" x14ac:dyDescent="0.4">
      <c r="A8" s="55" t="s">
        <v>3</v>
      </c>
      <c r="B8" s="47">
        <v>15</v>
      </c>
      <c r="C8" s="39">
        <f>IF(B$2=0,0,B8/B$2)</f>
        <v>0.26315789473684209</v>
      </c>
      <c r="E8" s="63" t="s">
        <v>70</v>
      </c>
      <c r="F8" s="60" t="s">
        <v>25</v>
      </c>
      <c r="G8" s="47">
        <v>25</v>
      </c>
      <c r="H8" s="133">
        <f>IF(B$17=0,0,G8/B$17)</f>
        <v>0.23584905660377359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0.49122807017543857</v>
      </c>
      <c r="E9" s="63" t="s">
        <v>71</v>
      </c>
      <c r="F9" s="60" t="s">
        <v>26</v>
      </c>
      <c r="G9" s="47">
        <v>16</v>
      </c>
      <c r="H9" s="133">
        <f>IF(B$17=0,0,G9/B$17)</f>
        <v>0.15094339622641509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0.19298245614035087</v>
      </c>
      <c r="E10" s="63" t="s">
        <v>72</v>
      </c>
      <c r="F10" s="60" t="s">
        <v>27</v>
      </c>
      <c r="G10" s="47">
        <v>12</v>
      </c>
      <c r="H10" s="133">
        <f>IF(B$17=0,0,G10/B$17)</f>
        <v>0.11320754716981132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0.12280701754385964</v>
      </c>
      <c r="E11" s="63" t="s">
        <v>90</v>
      </c>
      <c r="F11" s="60" t="s">
        <v>45</v>
      </c>
      <c r="G11" s="47">
        <v>10</v>
      </c>
      <c r="H11" s="133">
        <f>IF(B$17=0,0,G11/B$17)</f>
        <v>9.4339622641509441E-2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-9.565217391304353</v>
      </c>
      <c r="P11" s="119">
        <v>23</v>
      </c>
      <c r="Q11" s="107">
        <v>-220.00000000000011</v>
      </c>
    </row>
    <row r="12" spans="1:17" x14ac:dyDescent="0.4">
      <c r="A12" s="57" t="s">
        <v>160</v>
      </c>
      <c r="B12" s="49">
        <v>5</v>
      </c>
      <c r="C12" s="42">
        <f>IF(B$2=0,0,B12/B$2)</f>
        <v>8.771929824561403E-2</v>
      </c>
      <c r="E12" s="63" t="s">
        <v>87</v>
      </c>
      <c r="F12" s="60" t="s">
        <v>42</v>
      </c>
      <c r="G12" s="47">
        <v>9</v>
      </c>
      <c r="H12" s="133">
        <f>IF(B$17=0,0,G12/B$17)</f>
        <v>8.4905660377358486E-2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-21.65</v>
      </c>
      <c r="P12" s="120">
        <v>16</v>
      </c>
      <c r="Q12" s="108">
        <v>-346.4</v>
      </c>
    </row>
    <row r="13" spans="1:17" x14ac:dyDescent="0.4">
      <c r="A13" s="58" t="s">
        <v>122</v>
      </c>
      <c r="B13" s="50">
        <v>120</v>
      </c>
      <c r="C13" s="44">
        <f>IF(B$3=0,0,B13/B$3)</f>
        <v>0.2569593147751606</v>
      </c>
      <c r="E13" s="63" t="s">
        <v>66</v>
      </c>
      <c r="F13" s="60" t="s">
        <v>22</v>
      </c>
      <c r="G13" s="47">
        <v>7</v>
      </c>
      <c r="H13" s="133">
        <f>IF(B$17=0,0,G13/B$17)</f>
        <v>6.6037735849056603E-2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0.15631691648822268</v>
      </c>
      <c r="E14" s="63" t="s">
        <v>79</v>
      </c>
      <c r="F14" s="60" t="s">
        <v>34</v>
      </c>
      <c r="G14" s="47">
        <v>4</v>
      </c>
      <c r="H14" s="133">
        <f>IF(B$17=0,0,G14/B$17)</f>
        <v>3.7735849056603772E-2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0.51666666666666672</v>
      </c>
      <c r="E15" s="63" t="s">
        <v>84</v>
      </c>
      <c r="F15" s="60" t="s">
        <v>39</v>
      </c>
      <c r="G15" s="47">
        <v>4</v>
      </c>
      <c r="H15" s="133">
        <f>IF(B$17=0,0,G15/B$17)</f>
        <v>3.7735849056603772E-2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18</v>
      </c>
      <c r="C16" s="37">
        <f>IF(B$14=0,0,B16/B$14)</f>
        <v>0.24657534246575341</v>
      </c>
      <c r="E16" s="63" t="s">
        <v>75</v>
      </c>
      <c r="F16" s="60" t="s">
        <v>30</v>
      </c>
      <c r="G16" s="47">
        <v>1</v>
      </c>
      <c r="H16" s="133">
        <f>IF(B$17=0,0,G16/B$17)</f>
        <v>9.433962264150943E-3</v>
      </c>
      <c r="I16" s="94">
        <v>2</v>
      </c>
      <c r="K16" s="38">
        <v>14</v>
      </c>
      <c r="L16" s="99">
        <v>-394.6</v>
      </c>
      <c r="N16" s="115" t="s">
        <v>177</v>
      </c>
      <c r="O16" s="125">
        <f>IF(P16=0,0,Q16/P16)</f>
        <v>21.775000000000002</v>
      </c>
      <c r="P16" s="119">
        <v>8</v>
      </c>
      <c r="Q16" s="107">
        <v>174.20000000000002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0.22698072805139186</v>
      </c>
      <c r="E17" s="63" t="s">
        <v>78</v>
      </c>
      <c r="F17" s="60" t="s">
        <v>33</v>
      </c>
      <c r="G17" s="47">
        <v>1</v>
      </c>
      <c r="H17" s="133">
        <f>IF(B$17=0,0,G17/B$17)</f>
        <v>9.433962264150943E-3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51</v>
      </c>
      <c r="C18" s="39">
        <f>IF(B$17=0,0,B18/B$17)</f>
        <v>0.48113207547169812</v>
      </c>
      <c r="E18" s="63" t="s">
        <v>80</v>
      </c>
      <c r="F18" s="60" t="s">
        <v>35</v>
      </c>
      <c r="G18" s="47">
        <v>1</v>
      </c>
      <c r="H18" s="133">
        <f>IF(B$17=0,0,G18/B$17)</f>
        <v>9.433962264150943E-3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-21.731250000000003</v>
      </c>
      <c r="P18" s="119">
        <v>16</v>
      </c>
      <c r="Q18" s="107">
        <v>-347.70000000000005</v>
      </c>
    </row>
    <row r="19" spans="1:17" x14ac:dyDescent="0.4">
      <c r="A19" s="55" t="s">
        <v>11</v>
      </c>
      <c r="B19" s="47">
        <v>55</v>
      </c>
      <c r="C19" s="39">
        <f>IF(B$17=0,0,B19/B$17)</f>
        <v>0.51886792452830188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91</v>
      </c>
      <c r="C20" s="39">
        <f>IF(B$3=0,0,B20/B$3)</f>
        <v>0.19486081370449679</v>
      </c>
      <c r="E20" s="63" t="s">
        <v>88</v>
      </c>
      <c r="F20" s="60" t="s">
        <v>43</v>
      </c>
      <c r="G20" s="47">
        <v>1</v>
      </c>
      <c r="H20" s="133">
        <f>IF(B$17=0,0,G20/B$17)</f>
        <v>9.433962264150943E-3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-35.458823529411774</v>
      </c>
      <c r="P20" s="119">
        <v>34</v>
      </c>
      <c r="Q20" s="107">
        <v>-1205.6000000000004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89</v>
      </c>
      <c r="F21" s="60" t="s">
        <v>44</v>
      </c>
      <c r="G21" s="47">
        <v>1</v>
      </c>
      <c r="H21" s="133">
        <f>IF(B$17=0,0,G21/B$17)</f>
        <v>9.433962264150943E-3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92</v>
      </c>
      <c r="F22" s="60" t="s">
        <v>47</v>
      </c>
      <c r="G22" s="47">
        <v>1</v>
      </c>
      <c r="H22" s="133">
        <f>IF(B$17=0,0,G22/B$17)</f>
        <v>9.433962264150943E-3</v>
      </c>
      <c r="I22" s="94">
        <v>8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9033.9622641509432</v>
      </c>
      <c r="C23" s="41">
        <v>957600</v>
      </c>
      <c r="E23" s="63" t="s">
        <v>94</v>
      </c>
      <c r="F23" s="60" t="s">
        <v>49</v>
      </c>
      <c r="G23" s="47">
        <v>1</v>
      </c>
      <c r="H23" s="133">
        <f>IF(B$17=0,0,G23/B$17)</f>
        <v>9.433962264150943E-3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-9095.6043956043959</v>
      </c>
      <c r="C24" s="45">
        <v>-827700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2.1413276231263384E-3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2C65B-7958-4FA7-B2D6-22842B02EB71}">
  <sheetPr codeName="Sheet13"/>
  <dimension ref="A1:Q6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65</v>
      </c>
      <c r="C2" s="147"/>
      <c r="E2" s="62" t="s">
        <v>67</v>
      </c>
      <c r="F2" s="59" t="s">
        <v>23</v>
      </c>
      <c r="G2" s="46">
        <v>122</v>
      </c>
      <c r="H2" s="132">
        <f>IF(B$17=0,0,G2/B$17)</f>
        <v>0.79738562091503273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-560</v>
      </c>
      <c r="P2" s="118">
        <v>65</v>
      </c>
      <c r="Q2" s="102">
        <v>-36400</v>
      </c>
    </row>
    <row r="3" spans="1:17" x14ac:dyDescent="0.4">
      <c r="A3" s="55" t="s">
        <v>8</v>
      </c>
      <c r="B3" s="148">
        <v>554</v>
      </c>
      <c r="C3" s="149"/>
      <c r="E3" s="63" t="s">
        <v>65</v>
      </c>
      <c r="F3" s="60" t="s">
        <v>21</v>
      </c>
      <c r="G3" s="47">
        <v>86</v>
      </c>
      <c r="H3" s="133">
        <f>IF(B$17=0,0,G3/B$17)</f>
        <v>0.56209150326797386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1257.8125</v>
      </c>
      <c r="P3" s="119">
        <v>64</v>
      </c>
      <c r="Q3" s="103">
        <v>80500</v>
      </c>
    </row>
    <row r="4" spans="1:17" x14ac:dyDescent="0.4">
      <c r="A4" s="55" t="s">
        <v>6</v>
      </c>
      <c r="B4" s="150">
        <v>131.6</v>
      </c>
      <c r="C4" s="151"/>
      <c r="E4" s="63" t="s">
        <v>73</v>
      </c>
      <c r="F4" s="60" t="s">
        <v>28</v>
      </c>
      <c r="G4" s="47">
        <v>77</v>
      </c>
      <c r="H4" s="133">
        <f>IF(B$17=0,0,G4/B$17)</f>
        <v>0.50326797385620914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1016.3934426229508</v>
      </c>
      <c r="P4" s="119">
        <v>61</v>
      </c>
      <c r="Q4" s="103">
        <v>62000</v>
      </c>
    </row>
    <row r="5" spans="1:17" x14ac:dyDescent="0.4">
      <c r="A5" s="55" t="s">
        <v>7</v>
      </c>
      <c r="B5" s="152">
        <f>IF(B$2=0,0,B$4/B$2)</f>
        <v>2.0246153846153847</v>
      </c>
      <c r="C5" s="153"/>
      <c r="E5" s="63" t="s">
        <v>181</v>
      </c>
      <c r="F5" s="60" t="s">
        <v>182</v>
      </c>
      <c r="G5" s="47">
        <v>59</v>
      </c>
      <c r="H5" s="133">
        <f>IF(B$17=0,0,G5/B$17)</f>
        <v>0.38562091503267976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1978.4313725490197</v>
      </c>
      <c r="P5" s="119">
        <v>51</v>
      </c>
      <c r="Q5" s="103">
        <v>100900</v>
      </c>
    </row>
    <row r="6" spans="1:17" x14ac:dyDescent="0.4">
      <c r="A6" s="55" t="s">
        <v>1</v>
      </c>
      <c r="B6" s="142">
        <f>IF(B$2=0,0,(B$7*1+B$8*2+B$9*3)/B$2)</f>
        <v>2.046153846153846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0.33986928104575165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-1327.6595744680851</v>
      </c>
      <c r="P6" s="119">
        <v>47</v>
      </c>
      <c r="Q6" s="103">
        <v>-62400</v>
      </c>
    </row>
    <row r="7" spans="1:17" x14ac:dyDescent="0.4">
      <c r="A7" s="55" t="s">
        <v>2</v>
      </c>
      <c r="B7" s="47">
        <v>19</v>
      </c>
      <c r="C7" s="39">
        <f>IF(B$2=0,0,B7/B$2)</f>
        <v>0.29230769230769232</v>
      </c>
      <c r="E7" s="63" t="s">
        <v>69</v>
      </c>
      <c r="F7" s="60" t="s">
        <v>12</v>
      </c>
      <c r="G7" s="47">
        <v>46</v>
      </c>
      <c r="H7" s="133">
        <f>IF(B$17=0,0,G7/B$17)</f>
        <v>0.30065359477124182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1279.0697674418604</v>
      </c>
      <c r="P7" s="120">
        <v>43</v>
      </c>
      <c r="Q7" s="104">
        <v>55000</v>
      </c>
    </row>
    <row r="8" spans="1:17" x14ac:dyDescent="0.4">
      <c r="A8" s="55" t="s">
        <v>3</v>
      </c>
      <c r="B8" s="47">
        <v>24</v>
      </c>
      <c r="C8" s="39">
        <f>IF(B$2=0,0,B8/B$2)</f>
        <v>0.36923076923076925</v>
      </c>
      <c r="E8" s="63" t="s">
        <v>70</v>
      </c>
      <c r="F8" s="60" t="s">
        <v>25</v>
      </c>
      <c r="G8" s="47">
        <v>34</v>
      </c>
      <c r="H8" s="133">
        <f>IF(B$17=0,0,G8/B$17)</f>
        <v>0.22222222222222221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22</v>
      </c>
      <c r="C9" s="40">
        <f t="shared" ref="C9" si="1">IF(B$2=0,0,B9/B$2)</f>
        <v>0.33846153846153848</v>
      </c>
      <c r="E9" s="63" t="s">
        <v>90</v>
      </c>
      <c r="F9" s="60" t="s">
        <v>45</v>
      </c>
      <c r="G9" s="47">
        <v>23</v>
      </c>
      <c r="H9" s="133">
        <f>IF(B$17=0,0,G9/B$17)</f>
        <v>0.15032679738562091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4.6153846153846156E-2</v>
      </c>
      <c r="E10" s="63" t="s">
        <v>66</v>
      </c>
      <c r="F10" s="60" t="s">
        <v>22</v>
      </c>
      <c r="G10" s="47">
        <v>21</v>
      </c>
      <c r="H10" s="133">
        <f>IF(B$17=0,0,G10/B$17)</f>
        <v>0.13725490196078433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11.206666666666667</v>
      </c>
      <c r="P10" s="118">
        <v>15</v>
      </c>
      <c r="Q10" s="106">
        <v>168.1</v>
      </c>
    </row>
    <row r="11" spans="1:17" x14ac:dyDescent="0.4">
      <c r="A11" s="56" t="s">
        <v>140</v>
      </c>
      <c r="B11" s="48">
        <v>8</v>
      </c>
      <c r="C11" s="40">
        <f>IF(B$2=0,0,B11/B$2)</f>
        <v>0.12307692307692308</v>
      </c>
      <c r="E11" s="63" t="s">
        <v>71</v>
      </c>
      <c r="F11" s="60" t="s">
        <v>26</v>
      </c>
      <c r="G11" s="47">
        <v>19</v>
      </c>
      <c r="H11" s="133">
        <f>IF(B$17=0,0,G11/B$17)</f>
        <v>0.12418300653594772</v>
      </c>
      <c r="I11" s="94">
        <v>4</v>
      </c>
      <c r="K11" s="38">
        <v>9</v>
      </c>
      <c r="L11" s="99">
        <v>-5.8000000000000025</v>
      </c>
      <c r="N11" s="115" t="s">
        <v>165</v>
      </c>
      <c r="O11" s="125">
        <f>IF(P11=0,0,Q11/P11)</f>
        <v>-3.4269230769230754</v>
      </c>
      <c r="P11" s="119">
        <v>26</v>
      </c>
      <c r="Q11" s="107">
        <v>-89.099999999999966</v>
      </c>
    </row>
    <row r="12" spans="1:17" x14ac:dyDescent="0.4">
      <c r="A12" s="57" t="s">
        <v>160</v>
      </c>
      <c r="B12" s="49">
        <v>5</v>
      </c>
      <c r="C12" s="42">
        <f>IF(B$2=0,0,B12/B$2)</f>
        <v>7.6923076923076927E-2</v>
      </c>
      <c r="E12" s="63" t="s">
        <v>87</v>
      </c>
      <c r="F12" s="60" t="s">
        <v>42</v>
      </c>
      <c r="G12" s="47">
        <v>12</v>
      </c>
      <c r="H12" s="133">
        <f>IF(B$17=0,0,G12/B$17)</f>
        <v>7.8431372549019607E-2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2.1916666666666664</v>
      </c>
      <c r="P12" s="120">
        <v>24</v>
      </c>
      <c r="Q12" s="108">
        <v>52.599999999999994</v>
      </c>
    </row>
    <row r="13" spans="1:17" x14ac:dyDescent="0.4">
      <c r="A13" s="58" t="s">
        <v>122</v>
      </c>
      <c r="B13" s="50">
        <v>155</v>
      </c>
      <c r="C13" s="44">
        <f>IF(B$3=0,0,B13/B$3)</f>
        <v>0.27978339350180503</v>
      </c>
      <c r="E13" s="63" t="s">
        <v>72</v>
      </c>
      <c r="F13" s="60" t="s">
        <v>27</v>
      </c>
      <c r="G13" s="47">
        <v>11</v>
      </c>
      <c r="H13" s="133">
        <f>IF(B$17=0,0,G13/B$17)</f>
        <v>7.1895424836601302E-2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103</v>
      </c>
      <c r="C14" s="39">
        <f>IF(B$3=0,0,B14/B$3)</f>
        <v>0.18592057761732853</v>
      </c>
      <c r="E14" s="63" t="s">
        <v>79</v>
      </c>
      <c r="F14" s="60" t="s">
        <v>34</v>
      </c>
      <c r="G14" s="47">
        <v>7</v>
      </c>
      <c r="H14" s="133">
        <f>IF(B$17=0,0,G14/B$17)</f>
        <v>4.5751633986928102E-2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90</v>
      </c>
      <c r="C15" s="37">
        <f>IF(B$13=0,0,B15/B$13)</f>
        <v>0.58064516129032262</v>
      </c>
      <c r="E15" s="63" t="s">
        <v>84</v>
      </c>
      <c r="F15" s="60" t="s">
        <v>39</v>
      </c>
      <c r="G15" s="47">
        <v>7</v>
      </c>
      <c r="H15" s="133">
        <f>IF(B$17=0,0,G15/B$17)</f>
        <v>4.5751633986928102E-2</v>
      </c>
      <c r="I15" s="94">
        <v>6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40</v>
      </c>
      <c r="C16" s="37">
        <f>IF(B$14=0,0,B16/B$14)</f>
        <v>0.38834951456310679</v>
      </c>
      <c r="E16" s="63" t="s">
        <v>82</v>
      </c>
      <c r="F16" s="60" t="s">
        <v>37</v>
      </c>
      <c r="G16" s="47">
        <v>6</v>
      </c>
      <c r="H16" s="133">
        <f>IF(B$17=0,0,G16/B$17)</f>
        <v>3.9215686274509803E-2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21.731249999999999</v>
      </c>
      <c r="P16" s="119">
        <v>16</v>
      </c>
      <c r="Q16" s="107">
        <v>347.7</v>
      </c>
    </row>
    <row r="17" spans="1:17" x14ac:dyDescent="0.4">
      <c r="A17" s="54" t="s">
        <v>10</v>
      </c>
      <c r="B17" s="46">
        <f>B19+B18</f>
        <v>153</v>
      </c>
      <c r="C17" s="37">
        <f>IF(B$3=0,0,B17/B$3)</f>
        <v>0.27617328519855594</v>
      </c>
      <c r="E17" s="63" t="s">
        <v>76</v>
      </c>
      <c r="F17" s="60" t="s">
        <v>31</v>
      </c>
      <c r="G17" s="47">
        <v>3</v>
      </c>
      <c r="H17" s="133">
        <f>IF(B$17=0,0,G17/B$17)</f>
        <v>1.9607843137254902E-2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65</v>
      </c>
      <c r="C18" s="39">
        <f>IF(B$17=0,0,B18/B$17)</f>
        <v>0.42483660130718953</v>
      </c>
      <c r="E18" s="63" t="s">
        <v>92</v>
      </c>
      <c r="F18" s="60" t="s">
        <v>47</v>
      </c>
      <c r="G18" s="47">
        <v>3</v>
      </c>
      <c r="H18" s="133">
        <f>IF(B$17=0,0,G18/B$17)</f>
        <v>1.9607843137254902E-2</v>
      </c>
      <c r="I18" s="94">
        <v>3</v>
      </c>
      <c r="K18" s="38">
        <v>16</v>
      </c>
      <c r="L18" s="99">
        <v>-50.3</v>
      </c>
      <c r="N18" s="115" t="s">
        <v>177</v>
      </c>
      <c r="O18" s="125">
        <f>IF(P18=0,0,Q18/P18)</f>
        <v>3.1857142857142864</v>
      </c>
      <c r="P18" s="119">
        <v>7</v>
      </c>
      <c r="Q18" s="107">
        <v>22.300000000000004</v>
      </c>
    </row>
    <row r="19" spans="1:17" x14ac:dyDescent="0.4">
      <c r="A19" s="55" t="s">
        <v>11</v>
      </c>
      <c r="B19" s="47">
        <v>88</v>
      </c>
      <c r="C19" s="39">
        <f>IF(B$17=0,0,B19/B$17)</f>
        <v>0.57516339869281041</v>
      </c>
      <c r="E19" s="63" t="s">
        <v>80</v>
      </c>
      <c r="F19" s="60" t="s">
        <v>35</v>
      </c>
      <c r="G19" s="47">
        <v>2</v>
      </c>
      <c r="H19" s="133">
        <f>IF(B$17=0,0,G19/B$17)</f>
        <v>1.3071895424836602E-2</v>
      </c>
      <c r="I19" s="94">
        <v>5</v>
      </c>
      <c r="K19" s="38">
        <v>17</v>
      </c>
      <c r="L19" s="99">
        <v>-74.3</v>
      </c>
      <c r="N19" s="115" t="s">
        <v>172</v>
      </c>
      <c r="O19" s="125">
        <f>IF(P19=0,0,Q19/P19)</f>
        <v>2.5357142857142851</v>
      </c>
      <c r="P19" s="119">
        <v>14</v>
      </c>
      <c r="Q19" s="107">
        <v>35.499999999999993</v>
      </c>
    </row>
    <row r="20" spans="1:17" x14ac:dyDescent="0.4">
      <c r="A20" s="55" t="s">
        <v>13</v>
      </c>
      <c r="B20" s="47">
        <v>89</v>
      </c>
      <c r="C20" s="39">
        <f>IF(B$3=0,0,B20/B$3)</f>
        <v>0.16064981949458484</v>
      </c>
      <c r="E20" s="63" t="s">
        <v>85</v>
      </c>
      <c r="F20" s="60" t="s">
        <v>40</v>
      </c>
      <c r="G20" s="47">
        <v>2</v>
      </c>
      <c r="H20" s="133">
        <f>IF(B$17=0,0,G20/B$17)</f>
        <v>1.3071895424836602E-2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-0.79393939393939983</v>
      </c>
      <c r="P20" s="119">
        <v>33</v>
      </c>
      <c r="Q20" s="107">
        <v>-26.200000000000195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1.3071895424836602E-2</v>
      </c>
      <c r="I21" s="94">
        <v>1</v>
      </c>
      <c r="K21" s="38">
        <v>19</v>
      </c>
      <c r="L21" s="99">
        <v>0.60000000000000853</v>
      </c>
      <c r="N21" s="115" t="s">
        <v>127</v>
      </c>
      <c r="O21" s="125">
        <f>IF(P21=0,0,Q21/P21)</f>
        <v>-2.1076923076923024</v>
      </c>
      <c r="P21" s="119">
        <v>39</v>
      </c>
      <c r="Q21" s="107">
        <v>-82.19999999999979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180</v>
      </c>
      <c r="F22" s="60" t="s">
        <v>183</v>
      </c>
      <c r="G22" s="47">
        <v>2</v>
      </c>
      <c r="H22" s="133">
        <f>IF(B$17=0,0,G22/B$17)</f>
        <v>1.3071895424836602E-2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9700.6535947712418</v>
      </c>
      <c r="C23" s="41">
        <v>1484200</v>
      </c>
      <c r="E23" s="63" t="s">
        <v>74</v>
      </c>
      <c r="F23" s="60" t="s">
        <v>29</v>
      </c>
      <c r="G23" s="47">
        <v>1</v>
      </c>
      <c r="H23" s="133">
        <f>IF(B$17=0,0,G23/B$17)</f>
        <v>6.5359477124183009E-3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-7643.8202247191011</v>
      </c>
      <c r="C24" s="45">
        <v>-680300</v>
      </c>
      <c r="E24" s="63" t="s">
        <v>88</v>
      </c>
      <c r="F24" s="60" t="s">
        <v>43</v>
      </c>
      <c r="G24" s="47">
        <v>1</v>
      </c>
      <c r="H24" s="133">
        <f>IF(B$17=0,0,G24/B$17)</f>
        <v>6.5359477124183009E-3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75</v>
      </c>
      <c r="F25" s="60" t="s">
        <v>30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1.8050541516245488E-3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-39.999999999999986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06C9F-8004-49F2-B057-27CF0DC00E37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67</v>
      </c>
      <c r="F2" s="59" t="s">
        <v>23</v>
      </c>
      <c r="G2" s="46">
        <v>118</v>
      </c>
      <c r="H2" s="132">
        <f>IF(B$17=0,0,G2/B$17)</f>
        <v>0.67045454545454541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73</v>
      </c>
      <c r="F3" s="60" t="s">
        <v>28</v>
      </c>
      <c r="G3" s="47">
        <v>102</v>
      </c>
      <c r="H3" s="133">
        <f>IF(B$17=0,0,G3/B$17)</f>
        <v>0.57954545454545459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181</v>
      </c>
      <c r="F4" s="60" t="s">
        <v>182</v>
      </c>
      <c r="G4" s="47">
        <v>73</v>
      </c>
      <c r="H4" s="133">
        <f>IF(B$17=0,0,G4/B$17)</f>
        <v>0.41477272727272729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65</v>
      </c>
      <c r="F5" s="60" t="s">
        <v>21</v>
      </c>
      <c r="G5" s="47">
        <v>62</v>
      </c>
      <c r="H5" s="133">
        <f>IF(B$17=0,0,G5/B$17)</f>
        <v>0.35227272727272729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68</v>
      </c>
      <c r="F7" s="60" t="s">
        <v>24</v>
      </c>
      <c r="G7" s="47">
        <v>31</v>
      </c>
      <c r="H7" s="133">
        <f>IF(B$17=0,0,G7/B$17)</f>
        <v>0.17613636363636365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70</v>
      </c>
      <c r="F8" s="60" t="s">
        <v>25</v>
      </c>
      <c r="G8" s="47">
        <v>25</v>
      </c>
      <c r="H8" s="133">
        <f>IF(B$17=0,0,G8/B$17)</f>
        <v>0.14204545454545456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66</v>
      </c>
      <c r="F9" s="60" t="s">
        <v>22</v>
      </c>
      <c r="G9" s="47">
        <v>19</v>
      </c>
      <c r="H9" s="133">
        <f>IF(B$17=0,0,G9/B$17)</f>
        <v>0.10795454545454546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72</v>
      </c>
      <c r="F10" s="60" t="s">
        <v>27</v>
      </c>
      <c r="G10" s="47">
        <v>13</v>
      </c>
      <c r="H10" s="133">
        <f>IF(B$17=0,0,G10/B$17)</f>
        <v>7.3863636363636367E-2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90</v>
      </c>
      <c r="F11" s="60" t="s">
        <v>45</v>
      </c>
      <c r="G11" s="47">
        <v>12</v>
      </c>
      <c r="H11" s="133">
        <f>IF(B$17=0,0,G11/B$17)</f>
        <v>6.8181818181818177E-2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71</v>
      </c>
      <c r="F12" s="60" t="s">
        <v>26</v>
      </c>
      <c r="G12" s="47">
        <v>10</v>
      </c>
      <c r="H12" s="133">
        <f>IF(B$17=0,0,G12/B$17)</f>
        <v>5.6818181818181816E-2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84</v>
      </c>
      <c r="F13" s="60" t="s">
        <v>39</v>
      </c>
      <c r="G13" s="47">
        <v>9</v>
      </c>
      <c r="H13" s="133">
        <f>IF(B$17=0,0,G13/B$17)</f>
        <v>5.113636363636364E-2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87</v>
      </c>
      <c r="F14" s="60" t="s">
        <v>42</v>
      </c>
      <c r="G14" s="47">
        <v>8</v>
      </c>
      <c r="H14" s="133">
        <f>IF(B$17=0,0,G14/B$17)</f>
        <v>4.5454545454545456E-2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82</v>
      </c>
      <c r="F15" s="60" t="s">
        <v>37</v>
      </c>
      <c r="G15" s="47">
        <v>5</v>
      </c>
      <c r="H15" s="133">
        <f>IF(B$17=0,0,G15/B$17)</f>
        <v>2.8409090909090908E-2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92</v>
      </c>
      <c r="F18" s="60" t="s">
        <v>47</v>
      </c>
      <c r="G18" s="47">
        <v>2</v>
      </c>
      <c r="H18" s="133">
        <f>IF(B$17=0,0,G18/B$17)</f>
        <v>1.1363636363636364E-2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76</v>
      </c>
      <c r="F19" s="60" t="s">
        <v>31</v>
      </c>
      <c r="G19" s="47">
        <v>1</v>
      </c>
      <c r="H19" s="133">
        <f>IF(B$17=0,0,G19/B$17)</f>
        <v>5.681818181818182E-3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88</v>
      </c>
      <c r="F20" s="60" t="s">
        <v>43</v>
      </c>
      <c r="G20" s="47">
        <v>1</v>
      </c>
      <c r="H20" s="133">
        <f>IF(B$17=0,0,G20/B$17)</f>
        <v>5.681818181818182E-3</v>
      </c>
      <c r="I20" s="94">
        <v>3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E067E-2E29-49F9-911A-FC3CC48430B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6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6</v>
      </c>
      <c r="K15" s="38">
        <v>13</v>
      </c>
      <c r="L15" s="99">
        <v>-302.59999999999997</v>
      </c>
      <c r="N15" s="114" t="s">
        <v>129</v>
      </c>
      <c r="O15" s="124">
        <f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9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8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3C3F-D421-4B78-AAA9-FDB417D798F5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33</v>
      </c>
      <c r="C2" s="147"/>
      <c r="E2" s="62" t="s">
        <v>73</v>
      </c>
      <c r="F2" s="59" t="s">
        <v>28</v>
      </c>
      <c r="G2" s="46">
        <v>49</v>
      </c>
      <c r="H2" s="132">
        <f>IF(B$17=0,0,G2/B$17)</f>
        <v>0.620253164556962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145.45454545454547</v>
      </c>
      <c r="P2" s="118">
        <v>33</v>
      </c>
      <c r="Q2" s="102">
        <v>4800</v>
      </c>
    </row>
    <row r="3" spans="1:17" x14ac:dyDescent="0.4">
      <c r="A3" s="55" t="s">
        <v>8</v>
      </c>
      <c r="B3" s="148">
        <v>274</v>
      </c>
      <c r="C3" s="149"/>
      <c r="E3" s="63" t="s">
        <v>65</v>
      </c>
      <c r="F3" s="60" t="s">
        <v>21</v>
      </c>
      <c r="G3" s="47">
        <v>42</v>
      </c>
      <c r="H3" s="133">
        <f>IF(B$17=0,0,G3/B$17)</f>
        <v>0.53164556962025311</v>
      </c>
      <c r="I3" s="94">
        <v>8</v>
      </c>
      <c r="K3" s="38">
        <v>1</v>
      </c>
      <c r="L3" s="99">
        <v>-1.9</v>
      </c>
      <c r="N3" s="115" t="s">
        <v>133</v>
      </c>
      <c r="O3" s="122">
        <f t="shared" si="0"/>
        <v>-216.12903225806451</v>
      </c>
      <c r="P3" s="119">
        <v>31</v>
      </c>
      <c r="Q3" s="103">
        <v>-6700</v>
      </c>
    </row>
    <row r="4" spans="1:17" x14ac:dyDescent="0.4">
      <c r="A4" s="55" t="s">
        <v>6</v>
      </c>
      <c r="B4" s="150">
        <v>-107.4</v>
      </c>
      <c r="C4" s="151"/>
      <c r="E4" s="63" t="s">
        <v>67</v>
      </c>
      <c r="F4" s="60" t="s">
        <v>23</v>
      </c>
      <c r="G4" s="47">
        <v>41</v>
      </c>
      <c r="H4" s="133">
        <f>IF(B$17=0,0,G4/B$17)</f>
        <v>0.51898734177215189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-2179.3103448275861</v>
      </c>
      <c r="P4" s="119">
        <v>29</v>
      </c>
      <c r="Q4" s="103">
        <v>-63200</v>
      </c>
    </row>
    <row r="5" spans="1:17" x14ac:dyDescent="0.4">
      <c r="A5" s="55" t="s">
        <v>7</v>
      </c>
      <c r="B5" s="152">
        <f>IF(B$2=0,0,B$4/B$2)</f>
        <v>-3.2545454545454549</v>
      </c>
      <c r="C5" s="153"/>
      <c r="E5" s="63" t="s">
        <v>181</v>
      </c>
      <c r="F5" s="60" t="s">
        <v>182</v>
      </c>
      <c r="G5" s="47">
        <v>26</v>
      </c>
      <c r="H5" s="133">
        <f>IF(B$17=0,0,G5/B$17)</f>
        <v>0.32911392405063289</v>
      </c>
      <c r="I5" s="94">
        <v>12</v>
      </c>
      <c r="K5" s="38">
        <v>3</v>
      </c>
      <c r="L5" s="99">
        <v>-10</v>
      </c>
      <c r="N5" s="115" t="s">
        <v>135</v>
      </c>
      <c r="O5" s="122">
        <f t="shared" si="0"/>
        <v>1564.2857142857142</v>
      </c>
      <c r="P5" s="119">
        <v>28</v>
      </c>
      <c r="Q5" s="103">
        <v>43800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0.29113924050632911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-1428</v>
      </c>
      <c r="P6" s="119">
        <v>25</v>
      </c>
      <c r="Q6" s="103">
        <v>-35700</v>
      </c>
    </row>
    <row r="7" spans="1:17" x14ac:dyDescent="0.4">
      <c r="A7" s="55" t="s">
        <v>2</v>
      </c>
      <c r="B7" s="47">
        <v>12</v>
      </c>
      <c r="C7" s="39">
        <f>IF(B$2=0,0,B7/B$2)</f>
        <v>0.36363636363636365</v>
      </c>
      <c r="E7" s="63" t="s">
        <v>69</v>
      </c>
      <c r="F7" s="60" t="s">
        <v>12</v>
      </c>
      <c r="G7" s="47">
        <v>19</v>
      </c>
      <c r="H7" s="133">
        <f>IF(B$17=0,0,G7/B$17)</f>
        <v>0.24050632911392406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-580.95238095238096</v>
      </c>
      <c r="P7" s="120">
        <v>21</v>
      </c>
      <c r="Q7" s="104">
        <v>-12200</v>
      </c>
    </row>
    <row r="8" spans="1:17" x14ac:dyDescent="0.4">
      <c r="A8" s="55" t="s">
        <v>3</v>
      </c>
      <c r="B8" s="47">
        <v>9</v>
      </c>
      <c r="C8" s="39">
        <f>IF(B$2=0,0,B8/B$2)</f>
        <v>0.27272727272727271</v>
      </c>
      <c r="E8" s="63" t="s">
        <v>90</v>
      </c>
      <c r="F8" s="60" t="s">
        <v>45</v>
      </c>
      <c r="G8" s="47">
        <v>12</v>
      </c>
      <c r="H8" s="133">
        <f>IF(B$17=0,0,G8/B$17)</f>
        <v>0.15189873417721519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70</v>
      </c>
      <c r="F9" s="60" t="s">
        <v>25</v>
      </c>
      <c r="G9" s="47">
        <v>10</v>
      </c>
      <c r="H9" s="133">
        <f>IF(B$17=0,0,G9/B$17)</f>
        <v>0.12658227848101267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0.18181818181818182</v>
      </c>
      <c r="E10" s="63" t="s">
        <v>66</v>
      </c>
      <c r="F10" s="60" t="s">
        <v>22</v>
      </c>
      <c r="G10" s="47">
        <v>6</v>
      </c>
      <c r="H10" s="133">
        <f>IF(B$17=0,0,G10/B$17)</f>
        <v>7.5949367088607597E-2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7.6428571428571406</v>
      </c>
      <c r="P10" s="118">
        <v>7</v>
      </c>
      <c r="Q10" s="106">
        <v>53.499999999999986</v>
      </c>
    </row>
    <row r="11" spans="1:17" x14ac:dyDescent="0.4">
      <c r="A11" s="56" t="s">
        <v>140</v>
      </c>
      <c r="B11" s="48">
        <v>2</v>
      </c>
      <c r="C11" s="40">
        <f>IF(B$2=0,0,B11/B$2)</f>
        <v>6.0606060606060608E-2</v>
      </c>
      <c r="E11" s="63" t="s">
        <v>84</v>
      </c>
      <c r="F11" s="60" t="s">
        <v>39</v>
      </c>
      <c r="G11" s="47">
        <v>5</v>
      </c>
      <c r="H11" s="133">
        <f>IF(B$17=0,0,G11/B$17)</f>
        <v>6.3291139240506333E-2</v>
      </c>
      <c r="I11" s="94">
        <v>2</v>
      </c>
      <c r="K11" s="38">
        <v>9</v>
      </c>
      <c r="L11" s="99">
        <v>-128.6</v>
      </c>
      <c r="N11" s="115" t="s">
        <v>165</v>
      </c>
      <c r="O11" s="125">
        <f>IF(P11=0,0,Q11/P11)</f>
        <v>-8.6846153846153857</v>
      </c>
      <c r="P11" s="119">
        <v>13</v>
      </c>
      <c r="Q11" s="107">
        <v>-112.9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71</v>
      </c>
      <c r="F12" s="60" t="s">
        <v>26</v>
      </c>
      <c r="G12" s="47">
        <v>4</v>
      </c>
      <c r="H12" s="133">
        <f>IF(B$17=0,0,G12/B$17)</f>
        <v>5.0632911392405063E-2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-3.6923076923076916</v>
      </c>
      <c r="P12" s="120">
        <v>13</v>
      </c>
      <c r="Q12" s="108">
        <v>-47.999999999999993</v>
      </c>
    </row>
    <row r="13" spans="1:17" x14ac:dyDescent="0.4">
      <c r="A13" s="58" t="s">
        <v>122</v>
      </c>
      <c r="B13" s="50">
        <v>58</v>
      </c>
      <c r="C13" s="44">
        <f>IF(B$3=0,0,B13/B$3)</f>
        <v>0.21167883211678831</v>
      </c>
      <c r="E13" s="63" t="s">
        <v>92</v>
      </c>
      <c r="F13" s="60" t="s">
        <v>47</v>
      </c>
      <c r="G13" s="47">
        <v>4</v>
      </c>
      <c r="H13" s="133">
        <f>IF(B$17=0,0,G13/B$17)</f>
        <v>5.0632911392405063E-2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61</v>
      </c>
      <c r="C14" s="39">
        <f>IF(B$3=0,0,B14/B$3)</f>
        <v>0.22262773722627738</v>
      </c>
      <c r="E14" s="63" t="s">
        <v>72</v>
      </c>
      <c r="F14" s="60" t="s">
        <v>27</v>
      </c>
      <c r="G14" s="47">
        <v>3</v>
      </c>
      <c r="H14" s="133">
        <f>IF(B$17=0,0,G14/B$17)</f>
        <v>3.7974683544303799E-2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0.7068965517241379</v>
      </c>
      <c r="E15" s="63" t="s">
        <v>82</v>
      </c>
      <c r="F15" s="60" t="s">
        <v>37</v>
      </c>
      <c r="G15" s="47">
        <v>3</v>
      </c>
      <c r="H15" s="133">
        <f>IF(B$17=0,0,G15/B$17)</f>
        <v>3.7974683544303799E-2</v>
      </c>
      <c r="I15" s="94">
        <v>3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24</v>
      </c>
      <c r="C16" s="37">
        <f>IF(B$14=0,0,B16/B$14)</f>
        <v>0.39344262295081966</v>
      </c>
      <c r="E16" s="63" t="s">
        <v>86</v>
      </c>
      <c r="F16" s="60" t="s">
        <v>41</v>
      </c>
      <c r="G16" s="47">
        <v>2</v>
      </c>
      <c r="H16" s="133">
        <f>IF(B$17=0,0,G16/B$17)</f>
        <v>2.5316455696202531E-2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79</v>
      </c>
      <c r="C17" s="37">
        <f>IF(B$3=0,0,B17/B$3)</f>
        <v>0.28832116788321166</v>
      </c>
      <c r="E17" s="63" t="s">
        <v>87</v>
      </c>
      <c r="F17" s="60" t="s">
        <v>42</v>
      </c>
      <c r="G17" s="47">
        <v>2</v>
      </c>
      <c r="H17" s="133">
        <f>IF(B$17=0,0,G17/B$17)</f>
        <v>2.5316455696202531E-2</v>
      </c>
      <c r="I17" s="94">
        <v>10</v>
      </c>
      <c r="K17" s="38">
        <v>15</v>
      </c>
      <c r="L17" s="99">
        <v>-146.19999999999999</v>
      </c>
      <c r="N17" s="115" t="s">
        <v>186</v>
      </c>
      <c r="O17" s="125">
        <f>IF(P17=0,0,Q17/P17)</f>
        <v>15.833333333333337</v>
      </c>
      <c r="P17" s="119">
        <v>3</v>
      </c>
      <c r="Q17" s="107">
        <v>47.500000000000014</v>
      </c>
    </row>
    <row r="18" spans="1:17" x14ac:dyDescent="0.4">
      <c r="A18" s="55" t="s">
        <v>12</v>
      </c>
      <c r="B18" s="47">
        <v>32</v>
      </c>
      <c r="C18" s="39">
        <f>IF(B$17=0,0,B18/B$17)</f>
        <v>0.4050632911392405</v>
      </c>
      <c r="E18" s="63" t="s">
        <v>75</v>
      </c>
      <c r="F18" s="60" t="s">
        <v>30</v>
      </c>
      <c r="G18" s="47">
        <v>1</v>
      </c>
      <c r="H18" s="133">
        <f>IF(B$17=0,0,G18/B$17)</f>
        <v>1.2658227848101266E-2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7.4380952380952392</v>
      </c>
      <c r="P18" s="119">
        <v>21</v>
      </c>
      <c r="Q18" s="107">
        <v>156.20000000000002</v>
      </c>
    </row>
    <row r="19" spans="1:17" x14ac:dyDescent="0.4">
      <c r="A19" s="55" t="s">
        <v>11</v>
      </c>
      <c r="B19" s="47">
        <v>47</v>
      </c>
      <c r="C19" s="39">
        <f>IF(B$17=0,0,B19/B$17)</f>
        <v>0.59493670886075944</v>
      </c>
      <c r="E19" s="63" t="s">
        <v>76</v>
      </c>
      <c r="F19" s="60" t="s">
        <v>31</v>
      </c>
      <c r="G19" s="47">
        <v>1</v>
      </c>
      <c r="H19" s="133">
        <f>IF(B$17=0,0,G19/B$17)</f>
        <v>1.2658227848101266E-2</v>
      </c>
      <c r="I19" s="94">
        <v>3</v>
      </c>
      <c r="K19" s="38">
        <v>17</v>
      </c>
      <c r="L19" s="99">
        <v>-161.19999999999999</v>
      </c>
      <c r="N19" s="115" t="s">
        <v>171</v>
      </c>
      <c r="O19" s="125">
        <f>IF(P19=0,0,Q19/P19)</f>
        <v>-3.1857142857142802</v>
      </c>
      <c r="P19" s="119">
        <v>7</v>
      </c>
      <c r="Q19" s="107">
        <v>-22.299999999999962</v>
      </c>
    </row>
    <row r="20" spans="1:17" x14ac:dyDescent="0.4">
      <c r="A20" s="55" t="s">
        <v>13</v>
      </c>
      <c r="B20" s="47">
        <v>47</v>
      </c>
      <c r="C20" s="39">
        <f>IF(B$3=0,0,B20/B$3)</f>
        <v>0.17153284671532848</v>
      </c>
      <c r="E20" s="63" t="s">
        <v>77</v>
      </c>
      <c r="F20" s="60" t="s">
        <v>32</v>
      </c>
      <c r="G20" s="47">
        <v>1</v>
      </c>
      <c r="H20" s="133">
        <f>IF(B$17=0,0,G20/B$17)</f>
        <v>1.2658227848101266E-2</v>
      </c>
      <c r="I20" s="94">
        <v>1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1</v>
      </c>
      <c r="H21" s="133">
        <f>IF(B$17=0,0,G21/B$17)</f>
        <v>1.2658227848101266E-2</v>
      </c>
      <c r="I21" s="94">
        <v>8</v>
      </c>
      <c r="K21" s="38">
        <v>19</v>
      </c>
      <c r="L21" s="99">
        <v>-235.6</v>
      </c>
      <c r="N21" s="115" t="s">
        <v>129</v>
      </c>
      <c r="O21" s="125">
        <f>IF(P21=0,0,Q21/P21)</f>
        <v>-21.775000000000006</v>
      </c>
      <c r="P21" s="119">
        <v>8</v>
      </c>
      <c r="Q21" s="107">
        <v>-174.20000000000005</v>
      </c>
    </row>
    <row r="22" spans="1:17" x14ac:dyDescent="0.4">
      <c r="A22" s="55" t="s">
        <v>194</v>
      </c>
      <c r="B22" s="47">
        <v>21</v>
      </c>
      <c r="C22" s="135">
        <v>6</v>
      </c>
      <c r="E22" s="63" t="s">
        <v>80</v>
      </c>
      <c r="F22" s="60" t="s">
        <v>35</v>
      </c>
      <c r="G22" s="47">
        <v>1</v>
      </c>
      <c r="H22" s="133">
        <f>IF(B$17=0,0,G22/B$17)</f>
        <v>1.2658227848101266E-2</v>
      </c>
      <c r="I22" s="94">
        <v>6</v>
      </c>
      <c r="K22" s="38">
        <v>20</v>
      </c>
      <c r="L22" s="99">
        <v>-200.8</v>
      </c>
      <c r="N22" s="115" t="s">
        <v>127</v>
      </c>
      <c r="O22" s="125">
        <f>IF(P22=0,0,Q22/P22)</f>
        <v>-22.984615384615385</v>
      </c>
      <c r="P22" s="119">
        <v>13</v>
      </c>
      <c r="Q22" s="107">
        <v>-298.8</v>
      </c>
    </row>
    <row r="23" spans="1:17" x14ac:dyDescent="0.4">
      <c r="A23" s="55" t="s">
        <v>5</v>
      </c>
      <c r="B23" s="51">
        <f>IF(B$17=0,0,C23/B$17)</f>
        <v>7783.5443037974683</v>
      </c>
      <c r="C23" s="41">
        <v>614900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-7831.9148936170213</v>
      </c>
      <c r="C24" s="45">
        <v>-368100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7.2992700729927005E-3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-151.5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-115.1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-27.099999999999994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-99.6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-54.199999999999996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-92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7D83-8733-4B60-8B12-1469AE49D46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6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3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ED9D-152C-41D4-BDC4-976542B77D1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67</v>
      </c>
      <c r="F2" s="59" t="s">
        <v>23</v>
      </c>
      <c r="G2" s="46">
        <v>22</v>
      </c>
      <c r="H2" s="132">
        <f>IF(B$17=0,0,G2/B$17)</f>
        <v>0.7857142857142857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73</v>
      </c>
      <c r="F3" s="60" t="s">
        <v>28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69</v>
      </c>
      <c r="F5" s="60" t="s">
        <v>12</v>
      </c>
      <c r="G5" s="47">
        <v>9</v>
      </c>
      <c r="H5" s="133">
        <f>IF(B$17=0,0,G5/B$17)</f>
        <v>0.32142857142857145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181</v>
      </c>
      <c r="F6" s="60" t="s">
        <v>182</v>
      </c>
      <c r="G6" s="47">
        <v>8</v>
      </c>
      <c r="H6" s="133">
        <f>IF(B$17=0,0,G6/B$17)</f>
        <v>0.2857142857142857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90</v>
      </c>
      <c r="F8" s="60" t="s">
        <v>45</v>
      </c>
      <c r="G8" s="47">
        <v>5</v>
      </c>
      <c r="H8" s="133">
        <f>IF(B$17=0,0,G8/B$17)</f>
        <v>0.17857142857142858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4</v>
      </c>
      <c r="H9" s="133">
        <f>IF(B$17=0,0,G9/B$17)</f>
        <v>0.14285714285714285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4</v>
      </c>
      <c r="H10" s="133">
        <f>IF(B$17=0,0,G10/B$17)</f>
        <v>0.14285714285714285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80</v>
      </c>
      <c r="F12" s="60" t="s">
        <v>35</v>
      </c>
      <c r="G12" s="47">
        <v>2</v>
      </c>
      <c r="H12" s="133">
        <f>IF(B$17=0,0,G12/B$17)</f>
        <v>7.1428571428571425E-2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66</v>
      </c>
      <c r="F13" s="60" t="s">
        <v>22</v>
      </c>
      <c r="G13" s="47">
        <v>1</v>
      </c>
      <c r="H13" s="133">
        <f>IF(B$17=0,0,G13/B$17)</f>
        <v>3.5714285714285712E-2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72</v>
      </c>
      <c r="F14" s="60" t="s">
        <v>27</v>
      </c>
      <c r="G14" s="47">
        <v>1</v>
      </c>
      <c r="H14" s="133">
        <f>IF(B$17=0,0,G14/B$17)</f>
        <v>3.5714285714285712E-2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74</v>
      </c>
      <c r="F15" s="60" t="s">
        <v>29</v>
      </c>
      <c r="G15" s="47">
        <v>1</v>
      </c>
      <c r="H15" s="133">
        <f>IF(B$17=0,0,G15/B$17)</f>
        <v>3.5714285714285712E-2</v>
      </c>
      <c r="I15" s="94">
        <v>1</v>
      </c>
      <c r="N15" s="114" t="s">
        <v>129</v>
      </c>
      <c r="O15" s="124">
        <f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76</v>
      </c>
      <c r="F16" s="60" t="s">
        <v>31</v>
      </c>
      <c r="G16" s="47">
        <v>1</v>
      </c>
      <c r="H16" s="133">
        <f>IF(B$17=0,0,G16/B$17)</f>
        <v>3.5714285714285712E-2</v>
      </c>
      <c r="I16" s="94">
        <v>1</v>
      </c>
      <c r="N16" s="115" t="s">
        <v>127</v>
      </c>
      <c r="O16" s="125">
        <f>IF(P16=0,0,Q16/P16)</f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82</v>
      </c>
      <c r="F17" s="60" t="s">
        <v>37</v>
      </c>
      <c r="G17" s="47">
        <v>1</v>
      </c>
      <c r="H17" s="133">
        <f>IF(B$17=0,0,G17/B$17)</f>
        <v>3.5714285714285712E-2</v>
      </c>
      <c r="I17" s="94">
        <v>4</v>
      </c>
      <c r="N17" s="115" t="s">
        <v>177</v>
      </c>
      <c r="O17" s="125">
        <f>IF(P17=0,0,Q17/P17)</f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3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23B6A-978D-4199-8C65-602D53CD7E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</v>
      </c>
      <c r="C2" s="147"/>
      <c r="E2" s="62" t="s">
        <v>65</v>
      </c>
      <c r="F2" s="59" t="s">
        <v>21</v>
      </c>
      <c r="G2" s="46">
        <v>10</v>
      </c>
      <c r="H2" s="132">
        <f>IF(B$17=0,0,G2/B$17)</f>
        <v>0.625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-4333.333333333333</v>
      </c>
      <c r="P2" s="118">
        <v>6</v>
      </c>
      <c r="Q2" s="102">
        <v>-26000</v>
      </c>
    </row>
    <row r="3" spans="1:17" x14ac:dyDescent="0.4">
      <c r="A3" s="55" t="s">
        <v>8</v>
      </c>
      <c r="B3" s="148">
        <v>61</v>
      </c>
      <c r="C3" s="149"/>
      <c r="E3" s="63" t="s">
        <v>73</v>
      </c>
      <c r="F3" s="60" t="s">
        <v>28</v>
      </c>
      <c r="G3" s="47">
        <v>9</v>
      </c>
      <c r="H3" s="133">
        <f>IF(B$17=0,0,G3/B$17)</f>
        <v>0.5625</v>
      </c>
      <c r="I3" s="94">
        <v>5</v>
      </c>
      <c r="K3" s="38">
        <v>1</v>
      </c>
      <c r="L3" s="99">
        <v>-12.5</v>
      </c>
      <c r="N3" s="115" t="s">
        <v>133</v>
      </c>
      <c r="O3" s="122">
        <f t="shared" si="0"/>
        <v>2466.6666666666665</v>
      </c>
      <c r="P3" s="119">
        <v>6</v>
      </c>
      <c r="Q3" s="103">
        <v>14800</v>
      </c>
    </row>
    <row r="4" spans="1:17" x14ac:dyDescent="0.4">
      <c r="A4" s="55" t="s">
        <v>6</v>
      </c>
      <c r="B4" s="150">
        <v>-16.300000000000004</v>
      </c>
      <c r="C4" s="151"/>
      <c r="E4" s="63" t="s">
        <v>67</v>
      </c>
      <c r="F4" s="60" t="s">
        <v>23</v>
      </c>
      <c r="G4" s="47">
        <v>8</v>
      </c>
      <c r="H4" s="133">
        <f>IF(B$17=0,0,G4/B$17)</f>
        <v>0.5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-4433.333333333333</v>
      </c>
      <c r="P4" s="119">
        <v>6</v>
      </c>
      <c r="Q4" s="103">
        <v>-26600</v>
      </c>
    </row>
    <row r="5" spans="1:17" x14ac:dyDescent="0.4">
      <c r="A5" s="55" t="s">
        <v>7</v>
      </c>
      <c r="B5" s="152">
        <f>IF(B$2=0,0,B$4/B$2)</f>
        <v>-2.7166666666666672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0.5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-1633.3333333333333</v>
      </c>
      <c r="P5" s="119">
        <v>6</v>
      </c>
      <c r="Q5" s="103">
        <v>-9800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7</v>
      </c>
      <c r="H6" s="133">
        <f>IF(B$17=0,0,G6/B$17)</f>
        <v>0.4375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0.16666666666666666</v>
      </c>
      <c r="E7" s="63" t="s">
        <v>181</v>
      </c>
      <c r="F7" s="60" t="s">
        <v>182</v>
      </c>
      <c r="G7" s="47">
        <v>6</v>
      </c>
      <c r="H7" s="133">
        <f>IF(B$17=0,0,G7/B$17)</f>
        <v>0.375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4</v>
      </c>
      <c r="C8" s="39">
        <f>IF(B$2=0,0,B8/B$2)</f>
        <v>0.66666666666666663</v>
      </c>
      <c r="E8" s="63" t="s">
        <v>70</v>
      </c>
      <c r="F8" s="60" t="s">
        <v>25</v>
      </c>
      <c r="G8" s="47">
        <v>5</v>
      </c>
      <c r="H8" s="133">
        <f>IF(B$17=0,0,G8/B$17)</f>
        <v>0.3125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0.16666666666666666</v>
      </c>
      <c r="E9" s="63" t="s">
        <v>90</v>
      </c>
      <c r="F9" s="60" t="s">
        <v>45</v>
      </c>
      <c r="G9" s="47">
        <v>4</v>
      </c>
      <c r="H9" s="133">
        <f>IF(B$17=0,0,G9/B$17)</f>
        <v>0.25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0.125</v>
      </c>
      <c r="I10" s="94">
        <v>2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9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6.25E-2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15</v>
      </c>
      <c r="C13" s="44">
        <f>IF(B$3=0,0,B13/B$3)</f>
        <v>0.24590163934426229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0.24590163934426229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5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0.26229508196721313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8</v>
      </c>
      <c r="N17" s="115" t="s">
        <v>128</v>
      </c>
      <c r="O17" s="125">
        <f>IF(P17=0,0,Q17/P17)</f>
        <v>5.5000000000000018</v>
      </c>
      <c r="P17" s="119">
        <v>2</v>
      </c>
      <c r="Q17" s="107">
        <v>11.000000000000004</v>
      </c>
    </row>
    <row r="18" spans="1:17" x14ac:dyDescent="0.4">
      <c r="A18" s="55" t="s">
        <v>12</v>
      </c>
      <c r="B18" s="47">
        <v>9</v>
      </c>
      <c r="C18" s="39">
        <f>IF(B$17=0,0,B18/B$17)</f>
        <v>0.5625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3</v>
      </c>
      <c r="N18" s="115" t="s">
        <v>172</v>
      </c>
      <c r="O18" s="125">
        <f>IF(P18=0,0,Q18/P18)</f>
        <v>-16.450000000000006</v>
      </c>
      <c r="P18" s="119">
        <v>4</v>
      </c>
      <c r="Q18" s="107">
        <v>-65.800000000000026</v>
      </c>
    </row>
    <row r="19" spans="1:17" x14ac:dyDescent="0.4">
      <c r="A19" s="55" t="s">
        <v>11</v>
      </c>
      <c r="B19" s="47">
        <v>7</v>
      </c>
      <c r="C19" s="39">
        <f>IF(B$17=0,0,B19/B$17)</f>
        <v>0.4375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127</v>
      </c>
      <c r="O19" s="125">
        <f>IF(P19=0,0,Q19/P19)</f>
        <v>-23.1</v>
      </c>
      <c r="P19" s="119">
        <v>1</v>
      </c>
      <c r="Q19" s="107">
        <v>-23.1</v>
      </c>
    </row>
    <row r="20" spans="1:17" x14ac:dyDescent="0.4">
      <c r="A20" s="55" t="s">
        <v>13</v>
      </c>
      <c r="B20" s="47">
        <v>11</v>
      </c>
      <c r="C20" s="39">
        <f>IF(B$3=0,0,B20/B$3)</f>
        <v>0.18032786885245902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9</v>
      </c>
      <c r="C22" s="135">
        <v>9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8043.75</v>
      </c>
      <c r="C23" s="41">
        <v>128700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-6563.636363636364</v>
      </c>
      <c r="C24" s="45">
        <v>-72200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5A6E8-CF00-4031-AA45-8D83CEAB333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3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E117-8D04-421B-916E-7F86F996114F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8032-FFB7-4EDC-8F81-97D5A8860C11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19A79-5C71-48C2-BE48-FD8676A20E1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78790-DB51-44B6-BE6F-14CFC57DF9B2}">
  <sheetPr codeName="Sheet26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8F32-B52E-42D4-9D6C-E499406161E2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0BB39-DF0E-44C0-94CE-BAF714BD5BD9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23AB-AE2B-4227-ADB7-E9C9DCC60111}">
  <sheetPr codeName="Sheet20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C0688-533D-4676-9264-DBE959DAFCA8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37686-28E1-4A73-B033-1836E0D3A152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EC83-20DC-42F2-98A9-DF0F089CF27A}">
  <sheetPr codeName="Sheet14"/>
  <dimension ref="A1:Q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E57E2-5701-4DCF-B138-775635CBC091}">
  <sheetPr codeName="Sheet12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4F641-B618-48AC-B716-7AA06A93FC96}">
  <sheetPr codeName="Sheet10"/>
  <dimension ref="A1:Q1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9742-A945-409F-B9C1-41A7F53E125D}">
  <sheetPr codeName="Sheet8"/>
  <dimension ref="A1:Q1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9675A-7A0C-419B-9645-B16EFE599C33}">
  <sheetPr codeName="Sheet6"/>
  <dimension ref="A1:Q1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2019-05-20T11:45:36Z</dcterms:modified>
</cp:coreProperties>
</file>