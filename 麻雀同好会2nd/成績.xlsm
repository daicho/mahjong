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842CEAD-478F-4A9A-9F80-6B21707DA9D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87" r:id="rId6"/>
    <sheet name="だいち" sheetId="5189" r:id="rId7"/>
    <sheet name="りくと" sheetId="5191" r:id="rId8"/>
    <sheet name="ただ" sheetId="5193" r:id="rId9"/>
    <sheet name="れんたろう" sheetId="5195" r:id="rId10"/>
    <sheet name="たかの" sheetId="5197" r:id="rId11"/>
    <sheet name="ぱぱ" sheetId="5199" r:id="rId12"/>
    <sheet name="まっつん" sheetId="5201" r:id="rId13"/>
    <sheet name="あさひ" sheetId="5203" r:id="rId14"/>
    <sheet name="いっしー" sheetId="5205" r:id="rId15"/>
    <sheet name="ほたに" sheetId="5207" r:id="rId16"/>
    <sheet name="かわたつ" sheetId="5209" r:id="rId17"/>
    <sheet name="やがさき" sheetId="5211" r:id="rId18"/>
    <sheet name="やがさき2" sheetId="5212" state="hidden" r:id="rId19"/>
    <sheet name="かわたつ2" sheetId="5210" state="hidden" r:id="rId20"/>
    <sheet name="ほたに2" sheetId="5208" state="hidden" r:id="rId21"/>
    <sheet name="いっしー2" sheetId="5206" state="hidden" r:id="rId22"/>
    <sheet name="あさひ2" sheetId="5204" state="hidden" r:id="rId23"/>
    <sheet name="まっつん2" sheetId="5202" state="hidden" r:id="rId24"/>
    <sheet name="ぱぱ2" sheetId="5200" state="hidden" r:id="rId25"/>
    <sheet name="たかの2" sheetId="5198" state="hidden" r:id="rId26"/>
    <sheet name="れんたろう2" sheetId="5196" state="hidden" r:id="rId27"/>
    <sheet name="ただ2" sheetId="5194" state="hidden" r:id="rId28"/>
    <sheet name="りくと2" sheetId="5192" state="hidden" r:id="rId29"/>
    <sheet name="だいち2" sheetId="5190" state="hidden" r:id="rId30"/>
    <sheet name="全体2" sheetId="518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93" l="1"/>
  <c r="O16" i="5197"/>
  <c r="O15" i="5187"/>
  <c r="O16" i="5211"/>
  <c r="O15" i="5211"/>
  <c r="C27" i="5211"/>
  <c r="B24" i="5211"/>
  <c r="C20" i="5211"/>
  <c r="B17" i="5211"/>
  <c r="H46" i="5211" s="1"/>
  <c r="C16" i="5211"/>
  <c r="C15" i="5211"/>
  <c r="C14" i="5211"/>
  <c r="C13" i="5211"/>
  <c r="O12" i="5211"/>
  <c r="C12" i="5211"/>
  <c r="O11" i="5211"/>
  <c r="C11" i="5211"/>
  <c r="O10" i="5211"/>
  <c r="C10" i="5211"/>
  <c r="C9" i="5211"/>
  <c r="C8" i="5211"/>
  <c r="O7" i="5211"/>
  <c r="C7" i="5211"/>
  <c r="O6" i="5211"/>
  <c r="B6" i="5211"/>
  <c r="O5" i="5211"/>
  <c r="B5" i="5211"/>
  <c r="O4" i="5211"/>
  <c r="O3" i="5211"/>
  <c r="O2" i="5211"/>
  <c r="O15" i="5209"/>
  <c r="O16" i="5209"/>
  <c r="C27" i="5209"/>
  <c r="B24" i="5209"/>
  <c r="C20" i="5209"/>
  <c r="B17" i="5209"/>
  <c r="H46" i="5209" s="1"/>
  <c r="C16" i="5209"/>
  <c r="C15" i="5209"/>
  <c r="C14" i="5209"/>
  <c r="C13" i="5209"/>
  <c r="O12" i="5209"/>
  <c r="C12" i="5209"/>
  <c r="O11" i="5209"/>
  <c r="C11" i="5209"/>
  <c r="O10" i="5209"/>
  <c r="C10" i="5209"/>
  <c r="C9" i="5209"/>
  <c r="C8" i="5209"/>
  <c r="O7" i="5209"/>
  <c r="C7" i="5209"/>
  <c r="O6" i="5209"/>
  <c r="B6" i="5209"/>
  <c r="O5" i="5209"/>
  <c r="B5" i="5209"/>
  <c r="O4" i="5209"/>
  <c r="O3" i="5209"/>
  <c r="O2" i="5209"/>
  <c r="O23" i="5195"/>
  <c r="O17" i="5189"/>
  <c r="O25" i="5187"/>
  <c r="H25" i="5211" l="1"/>
  <c r="H16" i="5211"/>
  <c r="H12" i="5211"/>
  <c r="H4" i="5211"/>
  <c r="H32" i="5211"/>
  <c r="H31" i="5211"/>
  <c r="C17" i="5211"/>
  <c r="H9" i="5211"/>
  <c r="H19" i="5211"/>
  <c r="H39" i="5211"/>
  <c r="H40" i="5211"/>
  <c r="H6" i="5211"/>
  <c r="H10" i="5211"/>
  <c r="H47" i="5211"/>
  <c r="H3" i="5211"/>
  <c r="H24" i="5211"/>
  <c r="H48" i="5211"/>
  <c r="H20" i="5211"/>
  <c r="H33" i="5211"/>
  <c r="H49" i="5211"/>
  <c r="H13" i="5211"/>
  <c r="H21" i="5211"/>
  <c r="H34" i="5211"/>
  <c r="H42" i="5211"/>
  <c r="H50" i="5211"/>
  <c r="H17" i="5211"/>
  <c r="H22" i="5211"/>
  <c r="H27" i="5211"/>
  <c r="H35" i="5211"/>
  <c r="H43" i="5211"/>
  <c r="H51" i="5211"/>
  <c r="H5" i="5211"/>
  <c r="H11" i="5211"/>
  <c r="H14" i="5211"/>
  <c r="C18" i="5211"/>
  <c r="B23" i="5211"/>
  <c r="H28" i="5211"/>
  <c r="H36" i="5211"/>
  <c r="H44" i="5211"/>
  <c r="H26" i="5211"/>
  <c r="H41" i="5211"/>
  <c r="H7" i="5211"/>
  <c r="H2" i="5211"/>
  <c r="H8" i="5211"/>
  <c r="H18" i="5211"/>
  <c r="H23" i="5211"/>
  <c r="H29" i="5211"/>
  <c r="H37" i="5211"/>
  <c r="H45" i="5211"/>
  <c r="H15" i="5211"/>
  <c r="C19" i="5211"/>
  <c r="H30" i="5211"/>
  <c r="H38" i="5211"/>
  <c r="H16" i="5209"/>
  <c r="H4" i="5209"/>
  <c r="H25" i="5209"/>
  <c r="H31" i="5209"/>
  <c r="H12" i="5209"/>
  <c r="H32" i="5209"/>
  <c r="H39" i="5209"/>
  <c r="H47" i="5209"/>
  <c r="C17" i="5209"/>
  <c r="H9" i="5209"/>
  <c r="H19" i="5209"/>
  <c r="H40" i="5209"/>
  <c r="H6" i="5209"/>
  <c r="H10" i="5209"/>
  <c r="H3" i="5209"/>
  <c r="H24" i="5209"/>
  <c r="H48" i="5209"/>
  <c r="H26" i="5209"/>
  <c r="H41" i="5209"/>
  <c r="H13" i="5209"/>
  <c r="H21" i="5209"/>
  <c r="H34" i="5209"/>
  <c r="H42" i="5209"/>
  <c r="H50" i="5209"/>
  <c r="H17" i="5209"/>
  <c r="H22" i="5209"/>
  <c r="H27" i="5209"/>
  <c r="H35" i="5209"/>
  <c r="H43" i="5209"/>
  <c r="H51" i="5209"/>
  <c r="H5" i="5209"/>
  <c r="H11" i="5209"/>
  <c r="H14" i="5209"/>
  <c r="C18" i="5209"/>
  <c r="B23" i="5209"/>
  <c r="H28" i="5209"/>
  <c r="H36" i="5209"/>
  <c r="H44" i="5209"/>
  <c r="H20" i="5209"/>
  <c r="H33" i="5209"/>
  <c r="H49" i="5209"/>
  <c r="H7" i="5209"/>
  <c r="H2" i="5209"/>
  <c r="H8" i="5209"/>
  <c r="H18" i="5209"/>
  <c r="H23" i="5209"/>
  <c r="H29" i="5209"/>
  <c r="H37" i="5209"/>
  <c r="H45" i="5209"/>
  <c r="H15" i="5209"/>
  <c r="C19" i="5209"/>
  <c r="H30" i="5209"/>
  <c r="H38" i="5209"/>
  <c r="O18" i="5197" l="1"/>
  <c r="O18" i="5205"/>
  <c r="O20" i="5207" l="1"/>
  <c r="O19" i="5207"/>
  <c r="O15" i="5201"/>
  <c r="O15" i="5191"/>
  <c r="O18" i="5189" l="1"/>
  <c r="O18" i="5207"/>
  <c r="O21" i="5199"/>
  <c r="O16" i="5207"/>
  <c r="O15" i="5207" l="1"/>
  <c r="O17" i="5207"/>
  <c r="H28" i="5207"/>
  <c r="H27" i="5207"/>
  <c r="C27" i="5207"/>
  <c r="B24" i="5207"/>
  <c r="H22" i="5207"/>
  <c r="C20" i="5207"/>
  <c r="B17" i="5207"/>
  <c r="H50" i="5207" s="1"/>
  <c r="H16" i="5207"/>
  <c r="C16" i="5207"/>
  <c r="C15" i="5207"/>
  <c r="C14" i="5207"/>
  <c r="C13" i="5207"/>
  <c r="O12" i="5207"/>
  <c r="C12" i="5207"/>
  <c r="O11" i="5207"/>
  <c r="H11" i="5207"/>
  <c r="C11" i="5207"/>
  <c r="O10" i="5207"/>
  <c r="C10" i="5207"/>
  <c r="C9" i="5207"/>
  <c r="C8" i="5207"/>
  <c r="O7" i="5207"/>
  <c r="C7" i="5207"/>
  <c r="O6" i="5207"/>
  <c r="B6" i="5207"/>
  <c r="O5" i="5207"/>
  <c r="H5" i="5207"/>
  <c r="B5" i="5207"/>
  <c r="O4" i="5207"/>
  <c r="O3" i="5207"/>
  <c r="O2" i="5207"/>
  <c r="H2" i="5207"/>
  <c r="O22" i="5195"/>
  <c r="O19" i="5197"/>
  <c r="O20" i="5187"/>
  <c r="H39" i="5207" l="1"/>
  <c r="H37" i="5207"/>
  <c r="H19" i="5207"/>
  <c r="H8" i="5207"/>
  <c r="H40" i="5207"/>
  <c r="H29" i="5207"/>
  <c r="H12" i="5207"/>
  <c r="C17" i="5207"/>
  <c r="H45" i="5207"/>
  <c r="H9" i="5207"/>
  <c r="B23" i="5207"/>
  <c r="H6" i="5207"/>
  <c r="H47" i="5207"/>
  <c r="H43" i="5207"/>
  <c r="H3" i="5207"/>
  <c r="H23" i="5207"/>
  <c r="H31" i="5207"/>
  <c r="H10" i="5207"/>
  <c r="H17" i="5207"/>
  <c r="H32" i="5207"/>
  <c r="H4" i="5207"/>
  <c r="C18" i="5207"/>
  <c r="H24" i="5207"/>
  <c r="H35" i="5207"/>
  <c r="H48" i="5207"/>
  <c r="H14" i="5207"/>
  <c r="H18" i="5207"/>
  <c r="H25" i="5207"/>
  <c r="H36" i="5207"/>
  <c r="H51" i="5207"/>
  <c r="H44" i="5207"/>
  <c r="H15" i="5207"/>
  <c r="C19" i="5207"/>
  <c r="H30" i="5207"/>
  <c r="H38" i="5207"/>
  <c r="H46" i="5207"/>
  <c r="H20" i="5207"/>
  <c r="H26" i="5207"/>
  <c r="H33" i="5207"/>
  <c r="H41" i="5207"/>
  <c r="H49" i="5207"/>
  <c r="H7" i="5207"/>
  <c r="H13" i="5207"/>
  <c r="H21" i="5207"/>
  <c r="H34" i="5207"/>
  <c r="H42" i="5207"/>
  <c r="O17" i="5197" l="1"/>
  <c r="O16" i="5193"/>
  <c r="O19" i="5201"/>
  <c r="O20" i="5201"/>
  <c r="O23" i="5189" l="1"/>
  <c r="O16" i="5205"/>
  <c r="O20" i="5205" l="1"/>
  <c r="O15" i="5205"/>
  <c r="O16" i="5195"/>
  <c r="O22" i="5193"/>
  <c r="O17" i="5203" l="1"/>
  <c r="O22" i="5199"/>
  <c r="O15" i="5203"/>
  <c r="O21" i="5205"/>
  <c r="O16" i="5191"/>
  <c r="O17" i="5201"/>
  <c r="O17" i="5187"/>
  <c r="O19" i="5205"/>
  <c r="O17" i="5205"/>
  <c r="C27" i="5205"/>
  <c r="B24" i="5205"/>
  <c r="C20" i="5205"/>
  <c r="B17" i="5205"/>
  <c r="H46" i="5205" s="1"/>
  <c r="C16" i="5205"/>
  <c r="C15" i="5205"/>
  <c r="C14" i="5205"/>
  <c r="C13" i="5205"/>
  <c r="O12" i="5205"/>
  <c r="C12" i="5205"/>
  <c r="O11" i="5205"/>
  <c r="C11" i="5205"/>
  <c r="O10" i="5205"/>
  <c r="C10" i="5205"/>
  <c r="C9" i="5205"/>
  <c r="C8" i="5205"/>
  <c r="O7" i="5205"/>
  <c r="C7" i="5205"/>
  <c r="O6" i="5205"/>
  <c r="B6" i="5205"/>
  <c r="O5" i="5205"/>
  <c r="B5" i="5205"/>
  <c r="O4" i="5205"/>
  <c r="O3" i="5205"/>
  <c r="O2" i="5205"/>
  <c r="O16" i="5203"/>
  <c r="O18" i="5203"/>
  <c r="C27" i="5203"/>
  <c r="B24" i="5203"/>
  <c r="C20" i="5203"/>
  <c r="B17" i="5203"/>
  <c r="H51" i="5203" s="1"/>
  <c r="C16" i="5203"/>
  <c r="C15" i="5203"/>
  <c r="C14" i="5203"/>
  <c r="C13" i="5203"/>
  <c r="O12" i="5203"/>
  <c r="C12" i="5203"/>
  <c r="O11" i="5203"/>
  <c r="C11" i="5203"/>
  <c r="O10" i="5203"/>
  <c r="C10" i="5203"/>
  <c r="C9" i="5203"/>
  <c r="C8" i="5203"/>
  <c r="O7" i="5203"/>
  <c r="C7" i="5203"/>
  <c r="O6" i="5203"/>
  <c r="B6" i="5203"/>
  <c r="O5" i="5203"/>
  <c r="B5" i="5203"/>
  <c r="O4" i="5203"/>
  <c r="O3" i="5203"/>
  <c r="O2" i="5203"/>
  <c r="O21" i="5201"/>
  <c r="O23" i="5201"/>
  <c r="O15" i="5189"/>
  <c r="O19" i="5189"/>
  <c r="O26" i="5187"/>
  <c r="H13" i="5205" l="1"/>
  <c r="H20" i="5205"/>
  <c r="H18" i="5205"/>
  <c r="H26" i="5205"/>
  <c r="H27" i="5205"/>
  <c r="H21" i="5205"/>
  <c r="H8" i="5203"/>
  <c r="H5" i="5203"/>
  <c r="B23" i="5203"/>
  <c r="H28" i="5203"/>
  <c r="H12" i="5203"/>
  <c r="H9" i="5203"/>
  <c r="H2" i="5203"/>
  <c r="H15" i="5203"/>
  <c r="H46" i="5203"/>
  <c r="H16" i="5203"/>
  <c r="H18" i="5203"/>
  <c r="H6" i="5203"/>
  <c r="H29" i="5203"/>
  <c r="H3" i="5203"/>
  <c r="C19" i="5203"/>
  <c r="H30" i="5203"/>
  <c r="H14" i="5203"/>
  <c r="H19" i="5203"/>
  <c r="H36" i="5203"/>
  <c r="H11" i="5203"/>
  <c r="H37" i="5203"/>
  <c r="H44" i="5203"/>
  <c r="H23" i="5203"/>
  <c r="H38" i="5203"/>
  <c r="H4" i="5203"/>
  <c r="H10" i="5203"/>
  <c r="C17" i="5203"/>
  <c r="H7" i="5203"/>
  <c r="C18" i="5203"/>
  <c r="H45" i="5203"/>
  <c r="H2" i="5205"/>
  <c r="H32" i="5205"/>
  <c r="C19" i="5205"/>
  <c r="H33" i="5205"/>
  <c r="H17" i="5205"/>
  <c r="H39" i="5205"/>
  <c r="H3" i="5205"/>
  <c r="H40" i="5205"/>
  <c r="H5" i="5205"/>
  <c r="H41" i="5205"/>
  <c r="H47" i="5205"/>
  <c r="H48" i="5205"/>
  <c r="H14" i="5205"/>
  <c r="C17" i="5205"/>
  <c r="H31" i="5205"/>
  <c r="H49" i="5205"/>
  <c r="H23" i="5205"/>
  <c r="H34" i="5205"/>
  <c r="H50" i="5205"/>
  <c r="H9" i="5205"/>
  <c r="H51" i="5205"/>
  <c r="H24" i="5205"/>
  <c r="H8" i="5205"/>
  <c r="H44" i="5205"/>
  <c r="H6" i="5205"/>
  <c r="H7" i="5205"/>
  <c r="H15" i="5205"/>
  <c r="H19" i="5205"/>
  <c r="C18" i="5205"/>
  <c r="B23" i="5205"/>
  <c r="H29" i="5205"/>
  <c r="H37" i="5205"/>
  <c r="H45" i="5205"/>
  <c r="H28" i="5205"/>
  <c r="H42" i="5205"/>
  <c r="H16" i="5205"/>
  <c r="H11" i="5205"/>
  <c r="H35" i="5205"/>
  <c r="H43" i="5205"/>
  <c r="H12" i="5205"/>
  <c r="H36" i="5205"/>
  <c r="H4" i="5205"/>
  <c r="H10" i="5205"/>
  <c r="H22" i="5205"/>
  <c r="H25" i="5205"/>
  <c r="H30" i="5205"/>
  <c r="H38" i="5205"/>
  <c r="H24" i="5203"/>
  <c r="H31" i="5203"/>
  <c r="H39" i="5203"/>
  <c r="H47" i="5203"/>
  <c r="H25" i="5203"/>
  <c r="H32" i="5203"/>
  <c r="H40" i="5203"/>
  <c r="H48" i="5203"/>
  <c r="H20" i="5203"/>
  <c r="H26" i="5203"/>
  <c r="H33" i="5203"/>
  <c r="H41" i="5203"/>
  <c r="H49" i="5203"/>
  <c r="H13" i="5203"/>
  <c r="H21" i="5203"/>
  <c r="H34" i="5203"/>
  <c r="H42" i="5203"/>
  <c r="H50" i="5203"/>
  <c r="H17" i="5203"/>
  <c r="H22" i="5203"/>
  <c r="H27" i="5203"/>
  <c r="H35" i="5203"/>
  <c r="H43" i="5203"/>
  <c r="O16" i="5201" l="1"/>
  <c r="O20" i="5199"/>
  <c r="O16" i="5199"/>
  <c r="O21" i="5191"/>
  <c r="O20" i="5197" l="1"/>
  <c r="O18" i="5195"/>
  <c r="O17" i="5199"/>
  <c r="O18" i="5199"/>
  <c r="O15" i="5197" l="1"/>
  <c r="O17" i="5195"/>
  <c r="O21" i="5193"/>
  <c r="O18" i="5193"/>
  <c r="O22" i="5201"/>
  <c r="O18" i="5201"/>
  <c r="C27" i="5201"/>
  <c r="B24" i="5201"/>
  <c r="C20" i="5201"/>
  <c r="B17" i="5201"/>
  <c r="H47" i="5201" s="1"/>
  <c r="C16" i="5201"/>
  <c r="C15" i="5201"/>
  <c r="C14" i="5201"/>
  <c r="C13" i="5201"/>
  <c r="O12" i="5201"/>
  <c r="C12" i="5201"/>
  <c r="O11" i="5201"/>
  <c r="C11" i="5201"/>
  <c r="O10" i="5201"/>
  <c r="C10" i="5201"/>
  <c r="C9" i="5201"/>
  <c r="C8" i="5201"/>
  <c r="O7" i="5201"/>
  <c r="C7" i="5201"/>
  <c r="O6" i="5201"/>
  <c r="B6" i="5201"/>
  <c r="O5" i="5201"/>
  <c r="B5" i="5201"/>
  <c r="O4" i="5201"/>
  <c r="O3" i="5201"/>
  <c r="O2" i="5201"/>
  <c r="O15" i="5195"/>
  <c r="O19" i="5191"/>
  <c r="O18" i="5187"/>
  <c r="H19" i="5201" l="1"/>
  <c r="C17" i="5201"/>
  <c r="H10" i="5201"/>
  <c r="H28" i="5201"/>
  <c r="H4" i="5201"/>
  <c r="H15" i="5201"/>
  <c r="H40" i="5201"/>
  <c r="H41" i="5201"/>
  <c r="H16" i="5201"/>
  <c r="H48" i="5201"/>
  <c r="H32" i="5201"/>
  <c r="H33" i="5201"/>
  <c r="H14" i="5201"/>
  <c r="H7" i="5201"/>
  <c r="H22" i="5201"/>
  <c r="H49" i="5201"/>
  <c r="H2" i="5201"/>
  <c r="H26" i="5201"/>
  <c r="H34" i="5201"/>
  <c r="H50" i="5201"/>
  <c r="H17" i="5201"/>
  <c r="H12" i="5201"/>
  <c r="H35" i="5201"/>
  <c r="H43" i="5201"/>
  <c r="H51" i="5201"/>
  <c r="H20" i="5201"/>
  <c r="H27" i="5201"/>
  <c r="H9" i="5201"/>
  <c r="H36" i="5201"/>
  <c r="H44" i="5201"/>
  <c r="H5" i="5201"/>
  <c r="H6" i="5201"/>
  <c r="H23" i="5201"/>
  <c r="H18" i="5201"/>
  <c r="C18" i="5201"/>
  <c r="B23" i="5201"/>
  <c r="H30" i="5201"/>
  <c r="H37" i="5201"/>
  <c r="H45" i="5201"/>
  <c r="H29" i="5201"/>
  <c r="H42" i="5201"/>
  <c r="H8" i="5201"/>
  <c r="H3" i="5201"/>
  <c r="H11" i="5201"/>
  <c r="H25" i="5201"/>
  <c r="H21" i="5201"/>
  <c r="H13" i="5201"/>
  <c r="H38" i="5201"/>
  <c r="H46" i="5201"/>
  <c r="H24" i="5201"/>
  <c r="C19" i="5201"/>
  <c r="H31" i="5201"/>
  <c r="H39" i="5201"/>
  <c r="O19" i="5193" l="1"/>
  <c r="O19" i="5199"/>
  <c r="O15" i="5199"/>
  <c r="C27" i="5199"/>
  <c r="B24" i="5199"/>
  <c r="C20" i="5199"/>
  <c r="B17" i="5199"/>
  <c r="H49" i="5199" s="1"/>
  <c r="C16" i="5199"/>
  <c r="C15" i="5199"/>
  <c r="C14" i="5199"/>
  <c r="C13" i="5199"/>
  <c r="O12" i="5199"/>
  <c r="C12" i="5199"/>
  <c r="O11" i="5199"/>
  <c r="C11" i="5199"/>
  <c r="O10" i="5199"/>
  <c r="C10" i="5199"/>
  <c r="C9" i="5199"/>
  <c r="C8" i="5199"/>
  <c r="O7" i="5199"/>
  <c r="C7" i="5199"/>
  <c r="O6" i="5199"/>
  <c r="B6" i="5199"/>
  <c r="O5" i="5199"/>
  <c r="B5" i="5199"/>
  <c r="O4" i="5199"/>
  <c r="O3" i="5199"/>
  <c r="O2" i="5199"/>
  <c r="O20" i="5189"/>
  <c r="O19" i="5187"/>
  <c r="O21" i="5197"/>
  <c r="O20" i="5191"/>
  <c r="O18" i="5191"/>
  <c r="O20" i="5195"/>
  <c r="O22" i="5197"/>
  <c r="O23" i="5197"/>
  <c r="C27" i="5197"/>
  <c r="B24" i="5197"/>
  <c r="C20" i="5197"/>
  <c r="B17" i="5197"/>
  <c r="H50" i="5197" s="1"/>
  <c r="C16" i="5197"/>
  <c r="C15" i="5197"/>
  <c r="C14" i="5197"/>
  <c r="C13" i="5197"/>
  <c r="O12" i="5197"/>
  <c r="C12" i="5197"/>
  <c r="O11" i="5197"/>
  <c r="C11" i="5197"/>
  <c r="O10" i="5197"/>
  <c r="C10" i="5197"/>
  <c r="C9" i="5197"/>
  <c r="C8" i="5197"/>
  <c r="O7" i="5197"/>
  <c r="C7" i="5197"/>
  <c r="O6" i="5197"/>
  <c r="B6" i="5197"/>
  <c r="O5" i="5197"/>
  <c r="B5" i="5197"/>
  <c r="O4" i="5197"/>
  <c r="O3" i="5197"/>
  <c r="O2" i="5197"/>
  <c r="O21" i="5195"/>
  <c r="O19" i="5195"/>
  <c r="C27" i="5195"/>
  <c r="B24" i="5195"/>
  <c r="C20" i="5195"/>
  <c r="B17" i="5195"/>
  <c r="H5" i="5195" s="1"/>
  <c r="C16" i="5195"/>
  <c r="C15" i="5195"/>
  <c r="C14" i="5195"/>
  <c r="C13" i="5195"/>
  <c r="O12" i="5195"/>
  <c r="C12" i="5195"/>
  <c r="O11" i="5195"/>
  <c r="C11" i="5195"/>
  <c r="O10" i="5195"/>
  <c r="C10" i="5195"/>
  <c r="C9" i="5195"/>
  <c r="C8" i="5195"/>
  <c r="O7" i="5195"/>
  <c r="C7" i="5195"/>
  <c r="O6" i="5195"/>
  <c r="B6" i="5195"/>
  <c r="O5" i="5195"/>
  <c r="B5" i="5195"/>
  <c r="O4" i="5195"/>
  <c r="O3" i="5195"/>
  <c r="O2" i="5195"/>
  <c r="O21" i="5189"/>
  <c r="O24" i="5189"/>
  <c r="O22" i="5187"/>
  <c r="O23" i="5187"/>
  <c r="H24" i="5199" l="1"/>
  <c r="H6" i="5199"/>
  <c r="H36" i="5199"/>
  <c r="H15" i="5199"/>
  <c r="H51" i="5199"/>
  <c r="H9" i="5199"/>
  <c r="H10" i="5199"/>
  <c r="H3" i="5199"/>
  <c r="H4" i="5199"/>
  <c r="C19" i="5199"/>
  <c r="H47" i="5197"/>
  <c r="B23" i="5197"/>
  <c r="H32" i="5197"/>
  <c r="H7" i="5197"/>
  <c r="H35" i="5197"/>
  <c r="H22" i="5197"/>
  <c r="H12" i="5197"/>
  <c r="H5" i="5197"/>
  <c r="H16" i="5197"/>
  <c r="H46" i="5197"/>
  <c r="H23" i="5195"/>
  <c r="H14" i="5195"/>
  <c r="H12" i="5199"/>
  <c r="H19" i="5199"/>
  <c r="H37" i="5199"/>
  <c r="H16" i="5199"/>
  <c r="H27" i="5199"/>
  <c r="H39" i="5199"/>
  <c r="H21" i="5199"/>
  <c r="H28" i="5199"/>
  <c r="H42" i="5199"/>
  <c r="H7" i="5199"/>
  <c r="H13" i="5199"/>
  <c r="C17" i="5199"/>
  <c r="H22" i="5199"/>
  <c r="H29" i="5199"/>
  <c r="H43" i="5199"/>
  <c r="H17" i="5199"/>
  <c r="B23" i="5199"/>
  <c r="H31" i="5199"/>
  <c r="H45" i="5199"/>
  <c r="H5" i="5199"/>
  <c r="H11" i="5199"/>
  <c r="H14" i="5199"/>
  <c r="C18" i="5199"/>
  <c r="H23" i="5199"/>
  <c r="H34" i="5199"/>
  <c r="H47" i="5199"/>
  <c r="H2" i="5199"/>
  <c r="H8" i="5199"/>
  <c r="H18" i="5199"/>
  <c r="H35" i="5199"/>
  <c r="H50" i="5199"/>
  <c r="H44" i="5199"/>
  <c r="H30" i="5199"/>
  <c r="H38" i="5199"/>
  <c r="H46" i="5199"/>
  <c r="H25" i="5199"/>
  <c r="H32" i="5199"/>
  <c r="H40" i="5199"/>
  <c r="H48" i="5199"/>
  <c r="H20" i="5199"/>
  <c r="H26" i="5199"/>
  <c r="H33" i="5199"/>
  <c r="H41" i="5199"/>
  <c r="H37" i="5197"/>
  <c r="H28" i="5197"/>
  <c r="H17" i="5197"/>
  <c r="C18" i="5197"/>
  <c r="H14" i="5197"/>
  <c r="H38" i="5197"/>
  <c r="H36" i="5197"/>
  <c r="H9" i="5197"/>
  <c r="H43" i="5197"/>
  <c r="H2" i="5197"/>
  <c r="H25" i="5197"/>
  <c r="C19" i="5197"/>
  <c r="H44" i="5197"/>
  <c r="H10" i="5197"/>
  <c r="H48" i="5197"/>
  <c r="H6" i="5197"/>
  <c r="H23" i="5197"/>
  <c r="H21" i="5197"/>
  <c r="H11" i="5197"/>
  <c r="H24" i="5197"/>
  <c r="H15" i="5197"/>
  <c r="H31" i="5197"/>
  <c r="H45" i="5197"/>
  <c r="H2" i="5195"/>
  <c r="H30" i="5195"/>
  <c r="H3" i="5197"/>
  <c r="H30" i="5197"/>
  <c r="H51" i="5197"/>
  <c r="H13" i="5197"/>
  <c r="H39" i="5197"/>
  <c r="H8" i="5197"/>
  <c r="H19" i="5197"/>
  <c r="C17" i="5197"/>
  <c r="H27" i="5197"/>
  <c r="H18" i="5197"/>
  <c r="H40" i="5197"/>
  <c r="H4" i="5197"/>
  <c r="H20" i="5197"/>
  <c r="H33" i="5197"/>
  <c r="H41" i="5197"/>
  <c r="H49" i="5197"/>
  <c r="H26" i="5197"/>
  <c r="H29" i="5197"/>
  <c r="H34" i="5197"/>
  <c r="H42" i="5197"/>
  <c r="C18" i="5195"/>
  <c r="H11" i="5195"/>
  <c r="H6" i="5195"/>
  <c r="H32" i="5195"/>
  <c r="H39" i="5195"/>
  <c r="C17" i="5195"/>
  <c r="H18" i="5195"/>
  <c r="H3" i="5195"/>
  <c r="H4" i="5195"/>
  <c r="H28" i="5195"/>
  <c r="H38" i="5195"/>
  <c r="H26" i="5195"/>
  <c r="B23" i="5195"/>
  <c r="H46" i="5195"/>
  <c r="H27" i="5195"/>
  <c r="C19" i="5195"/>
  <c r="H21" i="5195"/>
  <c r="H40" i="5195"/>
  <c r="H48" i="5195"/>
  <c r="H47" i="5195"/>
  <c r="H10" i="5195"/>
  <c r="H7" i="5195"/>
  <c r="H13" i="5195"/>
  <c r="H25" i="5195"/>
  <c r="H16" i="5195"/>
  <c r="H12" i="5195"/>
  <c r="H33" i="5195"/>
  <c r="H41" i="5195"/>
  <c r="H49" i="5195"/>
  <c r="H24" i="5195"/>
  <c r="H34" i="5195"/>
  <c r="H42" i="5195"/>
  <c r="H50" i="5195"/>
  <c r="H31" i="5195"/>
  <c r="H43" i="5195"/>
  <c r="H8" i="5195"/>
  <c r="H17" i="5195"/>
  <c r="H15" i="5195"/>
  <c r="H36" i="5195"/>
  <c r="H44" i="5195"/>
  <c r="H22" i="5195"/>
  <c r="H29" i="5195"/>
  <c r="H35" i="5195"/>
  <c r="H51" i="5195"/>
  <c r="H19" i="5195"/>
  <c r="H20" i="5195"/>
  <c r="H9" i="5195"/>
  <c r="H37" i="5195"/>
  <c r="H45" i="5195"/>
  <c r="O17" i="5193" l="1"/>
  <c r="O20" i="5193"/>
  <c r="C27" i="5193"/>
  <c r="B24" i="5193"/>
  <c r="C20" i="5193"/>
  <c r="B17" i="5193"/>
  <c r="H49" i="5193" s="1"/>
  <c r="C16" i="5193"/>
  <c r="C15" i="5193"/>
  <c r="C14" i="5193"/>
  <c r="C13" i="5193"/>
  <c r="O12" i="5193"/>
  <c r="C12" i="5193"/>
  <c r="O11" i="5193"/>
  <c r="C11" i="5193"/>
  <c r="O10" i="5193"/>
  <c r="C10" i="5193"/>
  <c r="C9" i="5193"/>
  <c r="C8" i="5193"/>
  <c r="O7" i="5193"/>
  <c r="C7" i="5193"/>
  <c r="O6" i="5193"/>
  <c r="B6" i="5193"/>
  <c r="O5" i="5193"/>
  <c r="B5" i="5193"/>
  <c r="O4" i="5193"/>
  <c r="O3" i="5193"/>
  <c r="O2" i="5193"/>
  <c r="O22" i="5191"/>
  <c r="O17" i="5191"/>
  <c r="C27" i="5191"/>
  <c r="B24" i="5191"/>
  <c r="C20" i="5191"/>
  <c r="B17" i="5191"/>
  <c r="H50" i="5191" s="1"/>
  <c r="C16" i="5191"/>
  <c r="C15" i="5191"/>
  <c r="C14" i="5191"/>
  <c r="C13" i="5191"/>
  <c r="O12" i="5191"/>
  <c r="C12" i="5191"/>
  <c r="O11" i="5191"/>
  <c r="C11" i="5191"/>
  <c r="O10" i="5191"/>
  <c r="C10" i="5191"/>
  <c r="C9" i="5191"/>
  <c r="C8" i="5191"/>
  <c r="O7" i="5191"/>
  <c r="C7" i="5191"/>
  <c r="O6" i="5191"/>
  <c r="B6" i="5191"/>
  <c r="O5" i="5191"/>
  <c r="B5" i="5191"/>
  <c r="O4" i="5191"/>
  <c r="O3" i="5191"/>
  <c r="O2" i="5191"/>
  <c r="O24" i="5187"/>
  <c r="O16" i="5189"/>
  <c r="O22" i="5189"/>
  <c r="C27" i="5189"/>
  <c r="B24" i="5189"/>
  <c r="C20" i="5189"/>
  <c r="B17" i="5189"/>
  <c r="H5" i="5189" s="1"/>
  <c r="C16" i="5189"/>
  <c r="C15" i="5189"/>
  <c r="C14" i="5189"/>
  <c r="C13" i="5189"/>
  <c r="O12" i="5189"/>
  <c r="C12" i="5189"/>
  <c r="O11" i="5189"/>
  <c r="C11" i="5189"/>
  <c r="O10" i="5189"/>
  <c r="C10" i="5189"/>
  <c r="C9" i="5189"/>
  <c r="C8" i="5189"/>
  <c r="O7" i="5189"/>
  <c r="C7" i="5189"/>
  <c r="O6" i="5189"/>
  <c r="B6" i="5189"/>
  <c r="O5" i="5189"/>
  <c r="B5" i="5189"/>
  <c r="O4" i="5189"/>
  <c r="O3" i="5189"/>
  <c r="O2" i="5189"/>
  <c r="O16" i="5187"/>
  <c r="O21" i="5187"/>
  <c r="C27" i="5187"/>
  <c r="B24" i="5187"/>
  <c r="C20" i="5187"/>
  <c r="B17" i="5187"/>
  <c r="H49" i="5187" s="1"/>
  <c r="C16" i="5187"/>
  <c r="C15" i="5187"/>
  <c r="C14" i="5187"/>
  <c r="C13" i="5187"/>
  <c r="O12" i="5187"/>
  <c r="C12" i="5187"/>
  <c r="O11" i="5187"/>
  <c r="C11" i="5187"/>
  <c r="O10" i="5187"/>
  <c r="C10" i="5187"/>
  <c r="C9" i="5187"/>
  <c r="C8" i="5187"/>
  <c r="O7" i="5187"/>
  <c r="C7" i="5187"/>
  <c r="O6" i="5187"/>
  <c r="B6" i="5187"/>
  <c r="O5" i="5187"/>
  <c r="B5" i="5187"/>
  <c r="O4" i="5187"/>
  <c r="O3" i="5187"/>
  <c r="O2" i="5187"/>
  <c r="H16" i="5187" l="1"/>
  <c r="C17" i="5193"/>
  <c r="H2" i="5193"/>
  <c r="H34" i="5193"/>
  <c r="H43" i="5193"/>
  <c r="H29" i="5193"/>
  <c r="H44" i="5193"/>
  <c r="H6" i="5193"/>
  <c r="H24" i="5193"/>
  <c r="H26" i="5193"/>
  <c r="C18" i="5193"/>
  <c r="B23" i="5193"/>
  <c r="H31" i="5193"/>
  <c r="H37" i="5193"/>
  <c r="H45" i="5193"/>
  <c r="H42" i="5193"/>
  <c r="H8" i="5193"/>
  <c r="H25" i="5193"/>
  <c r="H35" i="5193"/>
  <c r="H11" i="5193"/>
  <c r="H5" i="5193"/>
  <c r="H3" i="5193"/>
  <c r="H9" i="5193"/>
  <c r="H27" i="5193"/>
  <c r="H30" i="5193"/>
  <c r="H22" i="5193"/>
  <c r="H38" i="5193"/>
  <c r="H46" i="5193"/>
  <c r="H28" i="5193"/>
  <c r="H50" i="5193"/>
  <c r="H51" i="5193"/>
  <c r="H18" i="5193"/>
  <c r="H36" i="5193"/>
  <c r="H17" i="5193"/>
  <c r="C19" i="5193"/>
  <c r="H32" i="5193"/>
  <c r="H39" i="5193"/>
  <c r="H47" i="5193"/>
  <c r="H7" i="5193"/>
  <c r="H21" i="5193"/>
  <c r="H15" i="5193"/>
  <c r="H13" i="5193"/>
  <c r="H4" i="5193"/>
  <c r="H10" i="5193"/>
  <c r="H16" i="5193"/>
  <c r="H19" i="5193"/>
  <c r="H12" i="5193"/>
  <c r="H23" i="5193"/>
  <c r="H40" i="5193"/>
  <c r="H48" i="5193"/>
  <c r="H14" i="5193"/>
  <c r="H20" i="5193"/>
  <c r="H33" i="5193"/>
  <c r="H41" i="5193"/>
  <c r="H35" i="5187"/>
  <c r="H23" i="5187"/>
  <c r="H4" i="5187"/>
  <c r="C17" i="5191"/>
  <c r="H10" i="5191"/>
  <c r="H40" i="5191"/>
  <c r="H12" i="5191"/>
  <c r="H23" i="5191"/>
  <c r="H24" i="5191"/>
  <c r="H14" i="5191"/>
  <c r="H18" i="5191"/>
  <c r="H43" i="5191"/>
  <c r="H9" i="5191"/>
  <c r="H32" i="5191"/>
  <c r="H6" i="5191"/>
  <c r="H39" i="5191"/>
  <c r="C18" i="5191"/>
  <c r="H47" i="5191"/>
  <c r="H3" i="5191"/>
  <c r="H35" i="5191"/>
  <c r="H17" i="5191"/>
  <c r="H4" i="5191"/>
  <c r="H25" i="5191"/>
  <c r="H11" i="5191"/>
  <c r="H19" i="5191"/>
  <c r="H27" i="5191"/>
  <c r="H5" i="5191"/>
  <c r="H8" i="5191"/>
  <c r="H29" i="5191"/>
  <c r="H48" i="5191"/>
  <c r="H2" i="5191"/>
  <c r="H16" i="5191"/>
  <c r="H22" i="5191"/>
  <c r="H31" i="5191"/>
  <c r="H51" i="5191"/>
  <c r="B23" i="5191"/>
  <c r="H28" i="5191"/>
  <c r="H36" i="5191"/>
  <c r="H44" i="5191"/>
  <c r="H37" i="5191"/>
  <c r="H45" i="5191"/>
  <c r="H15" i="5191"/>
  <c r="C19" i="5191"/>
  <c r="H30" i="5191"/>
  <c r="H38" i="5191"/>
  <c r="H46" i="5191"/>
  <c r="H20" i="5191"/>
  <c r="H26" i="5191"/>
  <c r="H33" i="5191"/>
  <c r="H41" i="5191"/>
  <c r="H49" i="5191"/>
  <c r="H7" i="5191"/>
  <c r="H13" i="5191"/>
  <c r="H21" i="5191"/>
  <c r="H34" i="5191"/>
  <c r="H42" i="5191"/>
  <c r="C17" i="5187"/>
  <c r="H2" i="5187"/>
  <c r="H34" i="5187"/>
  <c r="H7" i="5189"/>
  <c r="H23" i="5189"/>
  <c r="H3" i="5189"/>
  <c r="C18" i="5189"/>
  <c r="H39" i="5189"/>
  <c r="H31" i="5189"/>
  <c r="H46" i="5189"/>
  <c r="C17" i="5189"/>
  <c r="H30" i="5189"/>
  <c r="H19" i="5189"/>
  <c r="H40" i="5189"/>
  <c r="H20" i="5189"/>
  <c r="H25" i="5189"/>
  <c r="H6" i="5189"/>
  <c r="H22" i="5189"/>
  <c r="H48" i="5189"/>
  <c r="H10" i="5189"/>
  <c r="H38" i="5189"/>
  <c r="H2" i="5189"/>
  <c r="H13" i="5189"/>
  <c r="H41" i="5189"/>
  <c r="C19" i="5189"/>
  <c r="H11" i="5189"/>
  <c r="H15" i="5189"/>
  <c r="H47" i="5189"/>
  <c r="H4" i="5189"/>
  <c r="H26" i="5189"/>
  <c r="H12" i="5189"/>
  <c r="H29" i="5189"/>
  <c r="H17" i="5189"/>
  <c r="B23" i="5189"/>
  <c r="H27" i="5189"/>
  <c r="H49" i="5189"/>
  <c r="H24" i="5189"/>
  <c r="H35" i="5189"/>
  <c r="H42" i="5189"/>
  <c r="H50" i="5189"/>
  <c r="H32" i="5189"/>
  <c r="H51" i="5189"/>
  <c r="H43" i="5189"/>
  <c r="H8" i="5189"/>
  <c r="H21" i="5189"/>
  <c r="H14" i="5189"/>
  <c r="H36" i="5189"/>
  <c r="H44" i="5189"/>
  <c r="H16" i="5189"/>
  <c r="H34" i="5189"/>
  <c r="H28" i="5189"/>
  <c r="H18" i="5189"/>
  <c r="H33" i="5189"/>
  <c r="H9" i="5189"/>
  <c r="H37" i="5189"/>
  <c r="H45" i="5189"/>
  <c r="H50" i="5187"/>
  <c r="H42" i="5187"/>
  <c r="H30" i="5187"/>
  <c r="H51" i="5187"/>
  <c r="H8" i="5187"/>
  <c r="H14" i="5187"/>
  <c r="H19" i="5187"/>
  <c r="H26" i="5187"/>
  <c r="H37" i="5187"/>
  <c r="H45" i="5187"/>
  <c r="H7" i="5187"/>
  <c r="H31" i="5187"/>
  <c r="B23" i="5187"/>
  <c r="H38" i="5187"/>
  <c r="H3" i="5187"/>
  <c r="H11" i="5187"/>
  <c r="H33" i="5187"/>
  <c r="H28" i="5187"/>
  <c r="H17" i="5187"/>
  <c r="H39" i="5187"/>
  <c r="H47" i="5187"/>
  <c r="H43" i="5187"/>
  <c r="H20" i="5187"/>
  <c r="H44" i="5187"/>
  <c r="H10" i="5187"/>
  <c r="H5" i="5187"/>
  <c r="H21" i="5187"/>
  <c r="C18" i="5187"/>
  <c r="H32" i="5187"/>
  <c r="H25" i="5187"/>
  <c r="C19" i="5187"/>
  <c r="H24" i="5187"/>
  <c r="H40" i="5187"/>
  <c r="H48" i="5187"/>
  <c r="H29" i="5187"/>
  <c r="H36" i="5187"/>
  <c r="H18" i="5187"/>
  <c r="H46" i="5187"/>
  <c r="H9" i="5187"/>
  <c r="H6" i="5187"/>
  <c r="H12" i="5187"/>
  <c r="H22" i="5187"/>
  <c r="H15" i="5187"/>
  <c r="H13" i="5187"/>
  <c r="H27" i="5187"/>
  <c r="H41" i="518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<sst xmlns="http://schemas.openxmlformats.org/spreadsheetml/2006/main" count="3193" uniqueCount="231">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</sst>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全体!$K$2:$K$491</c:f>
              <c:numCache>
                <c:formatCode>General</c:formatCode>
                <c:ptCount val="4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</c:numCache>
            </c:numRef>
          </c:xVal>
          <c:yVal>
            <c:numRef>
              <c:f>全体!$L$2:$L$491</c:f>
              <c:numCache>
                <c:formatCode>\+0.0;\-0.0;\±0</c:formatCode>
                <c:ptCount val="49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-50.599999999999973</c:v>
                </c:pt>
                <c:pt idx="440">
                  <c:v>-66.299999999999969</c:v>
                </c:pt>
                <c:pt idx="441">
                  <c:v>2.8421709430404007E-14</c:v>
                </c:pt>
                <c:pt idx="442">
                  <c:v>-57.39999999999997</c:v>
                </c:pt>
                <c:pt idx="443">
                  <c:v>-11.39999999999997</c:v>
                </c:pt>
                <c:pt idx="444">
                  <c:v>3.0198066269804258E-14</c:v>
                </c:pt>
                <c:pt idx="445">
                  <c:v>34.300000000000026</c:v>
                </c:pt>
                <c:pt idx="446">
                  <c:v>32.200000000000024</c:v>
                </c:pt>
                <c:pt idx="447">
                  <c:v>2.1316282072803006E-14</c:v>
                </c:pt>
                <c:pt idx="448">
                  <c:v>-56.199999999999982</c:v>
                </c:pt>
                <c:pt idx="449">
                  <c:v>-14.59999999999998</c:v>
                </c:pt>
                <c:pt idx="450">
                  <c:v>1.9539925233402755E-14</c:v>
                </c:pt>
                <c:pt idx="451">
                  <c:v>69.600000000000009</c:v>
                </c:pt>
                <c:pt idx="452">
                  <c:v>59.20000000000001</c:v>
                </c:pt>
                <c:pt idx="453">
                  <c:v>7.1054273576010019E-15</c:v>
                </c:pt>
                <c:pt idx="454">
                  <c:v>-18.699999999999992</c:v>
                </c:pt>
                <c:pt idx="455">
                  <c:v>56.500000000000014</c:v>
                </c:pt>
                <c:pt idx="456">
                  <c:v>1.4210854715202004E-14</c:v>
                </c:pt>
                <c:pt idx="457">
                  <c:v>37.400000000000013</c:v>
                </c:pt>
                <c:pt idx="458">
                  <c:v>6.8000000000000114</c:v>
                </c:pt>
                <c:pt idx="459">
                  <c:v>1.1546319456101628E-14</c:v>
                </c:pt>
                <c:pt idx="460">
                  <c:v>-6.0999999999999881</c:v>
                </c:pt>
                <c:pt idx="461">
                  <c:v>38.70000000000001</c:v>
                </c:pt>
                <c:pt idx="462">
                  <c:v>7.1054273576010019E-15</c:v>
                </c:pt>
                <c:pt idx="463">
                  <c:v>62.500000000000007</c:v>
                </c:pt>
                <c:pt idx="464">
                  <c:v>2.5000000000000071</c:v>
                </c:pt>
                <c:pt idx="465">
                  <c:v>7.1054273576010019E-15</c:v>
                </c:pt>
                <c:pt idx="466">
                  <c:v>-37.699999999999996</c:v>
                </c:pt>
                <c:pt idx="467">
                  <c:v>-47.599999999999994</c:v>
                </c:pt>
                <c:pt idx="468">
                  <c:v>7.1054273576010019E-15</c:v>
                </c:pt>
                <c:pt idx="469">
                  <c:v>20.500000000000007</c:v>
                </c:pt>
                <c:pt idx="470">
                  <c:v>-45.4</c:v>
                </c:pt>
                <c:pt idx="471">
                  <c:v>0</c:v>
                </c:pt>
                <c:pt idx="472">
                  <c:v>51.8</c:v>
                </c:pt>
                <c:pt idx="473">
                  <c:v>59.199999999999996</c:v>
                </c:pt>
                <c:pt idx="474">
                  <c:v>-7.1054273576010019E-15</c:v>
                </c:pt>
                <c:pt idx="475">
                  <c:v>-56.900000000000006</c:v>
                </c:pt>
                <c:pt idx="476">
                  <c:v>-67.7</c:v>
                </c:pt>
                <c:pt idx="477">
                  <c:v>0</c:v>
                </c:pt>
                <c:pt idx="478">
                  <c:v>36.299999999999997</c:v>
                </c:pt>
                <c:pt idx="479">
                  <c:v>-1.5</c:v>
                </c:pt>
                <c:pt idx="480">
                  <c:v>0</c:v>
                </c:pt>
                <c:pt idx="481">
                  <c:v>-30.5</c:v>
                </c:pt>
                <c:pt idx="482">
                  <c:v>9.6000000000000014</c:v>
                </c:pt>
                <c:pt idx="483">
                  <c:v>1.7763568394002505E-15</c:v>
                </c:pt>
                <c:pt idx="484">
                  <c:v>44.6</c:v>
                </c:pt>
                <c:pt idx="485">
                  <c:v>51.800000000000004</c:v>
                </c:pt>
                <c:pt idx="486">
                  <c:v>7.1054273576010019E-15</c:v>
                </c:pt>
                <c:pt idx="487">
                  <c:v>-56.099999999999994</c:v>
                </c:pt>
                <c:pt idx="488">
                  <c:v>15.400000000000006</c:v>
                </c:pt>
                <c:pt idx="489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0-4EC4-B9E8-BE5E7272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-16.460905349794238</c:v>
                </c:pt>
                <c:pt idx="1">
                  <c:v>-8.3333333333333339</c:v>
                </c:pt>
                <c:pt idx="2">
                  <c:v>13.157894736842104</c:v>
                </c:pt>
                <c:pt idx="3">
                  <c:v>7.3529411764705879</c:v>
                </c:pt>
                <c:pt idx="4">
                  <c:v>-8.064516129032258</c:v>
                </c:pt>
                <c:pt idx="5">
                  <c:v>17.857142857142858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6-4FE0-967F-1764DD5F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だいち!$L$2:$L$114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E-4BE1-A1C5-D6BDB314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2284.6846846846847</c:v>
                </c:pt>
                <c:pt idx="1">
                  <c:v>1551.3761467889908</c:v>
                </c:pt>
                <c:pt idx="2">
                  <c:v>1751.9230769230769</c:v>
                </c:pt>
                <c:pt idx="3">
                  <c:v>1938.7096774193549</c:v>
                </c:pt>
                <c:pt idx="4">
                  <c:v>-3.6144578313253013</c:v>
                </c:pt>
                <c:pt idx="5">
                  <c:v>263.01369863013701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8-4B9A-98B3-71A44117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りくと!$L$2:$L$112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-388.20000000000005</c:v>
                </c:pt>
                <c:pt idx="103">
                  <c:v>-313.00000000000006</c:v>
                </c:pt>
                <c:pt idx="104">
                  <c:v>-343.60000000000008</c:v>
                </c:pt>
                <c:pt idx="105">
                  <c:v>-298.80000000000007</c:v>
                </c:pt>
                <c:pt idx="106">
                  <c:v>-236.30000000000007</c:v>
                </c:pt>
                <c:pt idx="107">
                  <c:v>-274.00000000000006</c:v>
                </c:pt>
                <c:pt idx="108">
                  <c:v>-253.50000000000006</c:v>
                </c:pt>
                <c:pt idx="109">
                  <c:v>-246.10000000000005</c:v>
                </c:pt>
                <c:pt idx="110">
                  <c:v>-256.90000000000003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9-4646-A8BE-D280E859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540.36697247706422</c:v>
                </c:pt>
                <c:pt idx="1">
                  <c:v>-2221.4953271028039</c:v>
                </c:pt>
                <c:pt idx="2">
                  <c:v>-137.5</c:v>
                </c:pt>
                <c:pt idx="3">
                  <c:v>631.52173913043475</c:v>
                </c:pt>
                <c:pt idx="4">
                  <c:v>412.04819277108436</c:v>
                </c:pt>
                <c:pt idx="5">
                  <c:v>477.63157894736844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214-ACEC-F7D41F857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ただ!$L$2:$L$59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1E8-9289-878F2CF9C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-3316.0714285714284</c:v>
                </c:pt>
                <c:pt idx="1">
                  <c:v>-1432.7272727272727</c:v>
                </c:pt>
                <c:pt idx="2">
                  <c:v>-941.17647058823525</c:v>
                </c:pt>
                <c:pt idx="3">
                  <c:v>-4762.7906976744189</c:v>
                </c:pt>
                <c:pt idx="4">
                  <c:v>-492.30769230769232</c:v>
                </c:pt>
                <c:pt idx="5">
                  <c:v>-1886.1111111111111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D1F-9333-1D98A6FD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れんたろう!$L$2:$L$66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93.299999999999983</c:v>
                </c:pt>
                <c:pt idx="57">
                  <c:v>104.69999999999999</c:v>
                </c:pt>
                <c:pt idx="58">
                  <c:v>72.499999999999986</c:v>
                </c:pt>
                <c:pt idx="59">
                  <c:v>87.09999999999998</c:v>
                </c:pt>
                <c:pt idx="60">
                  <c:v>48.399999999999977</c:v>
                </c:pt>
                <c:pt idx="61">
                  <c:v>45.899999999999977</c:v>
                </c:pt>
                <c:pt idx="62">
                  <c:v>93.499999999999972</c:v>
                </c:pt>
                <c:pt idx="63">
                  <c:v>133.59999999999997</c:v>
                </c:pt>
                <c:pt idx="64">
                  <c:v>205.09999999999997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B-45CC-B881-03626F8DB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267.1875</c:v>
                </c:pt>
                <c:pt idx="1">
                  <c:v>1257.8125</c:v>
                </c:pt>
                <c:pt idx="2">
                  <c:v>1016.3934426229508</c:v>
                </c:pt>
                <c:pt idx="3">
                  <c:v>1978.4313725490197</c:v>
                </c:pt>
                <c:pt idx="4">
                  <c:v>-1327.6595744680851</c:v>
                </c:pt>
                <c:pt idx="5">
                  <c:v>1240.4761904761904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C-4E99-9A9B-5404117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0-4B6C-BB3A-F0E3B0AC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9-4553-9EB7-1B72304A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D3-8D18-E5F149A2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69B-90E8-8AA99BA0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-202.1</c:v>
                </c:pt>
                <c:pt idx="27">
                  <c:v>-167.8</c:v>
                </c:pt>
                <c:pt idx="28">
                  <c:v>-224</c:v>
                </c:pt>
                <c:pt idx="29">
                  <c:v>-178.6</c:v>
                </c:pt>
                <c:pt idx="30">
                  <c:v>-216.39999999999998</c:v>
                </c:pt>
                <c:pt idx="31">
                  <c:v>-231.79999999999998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CFE-8768-5466D3A8F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-2106.4516129032259</c:v>
                </c:pt>
                <c:pt idx="1">
                  <c:v>-1516.6666666666667</c:v>
                </c:pt>
                <c:pt idx="2">
                  <c:v>-2042.8571428571429</c:v>
                </c:pt>
                <c:pt idx="3">
                  <c:v>1729.6296296296296</c:v>
                </c:pt>
                <c:pt idx="4">
                  <c:v>-1487.5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343-A35B-44BD73878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E-4690-A072-C6E1B5F3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B-433F-9C8A-474A8674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2-422E-B153-22D9440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6-4024-8DA5-E8F18A4F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D-41DD-8B33-7B931E2AB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0-4B8B-BA65-2AF52CFB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428C-B70C-D95C79AA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A-4EAB-849E-7343D2D2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3-4E3A-B7AF-4F8D39FE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A09-9719-DEA5230BF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290705182007514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いっしー2!$C$3:$C$15</c:f>
              <c:numCache>
                <c:formatCode>\+0.0;\-0.0;\±0</c:formatCode>
                <c:ptCount val="13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  <c:pt idx="8">
                  <c:v>-21.3125</c:v>
                </c:pt>
                <c:pt idx="9">
                  <c:v>-25.344444444444445</c:v>
                </c:pt>
                <c:pt idx="10">
                  <c:v>-19.75</c:v>
                </c:pt>
                <c:pt idx="11">
                  <c:v>-14.654545454545454</c:v>
                </c:pt>
                <c:pt idx="12">
                  <c:v>-9.7166666666666668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89789472024693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いっしー2!$D$3:$D$15</c:f>
              <c:numCache>
                <c:formatCode>0.00\ "位"</c:formatCode>
                <c:ptCount val="13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2.375</c:v>
                </c:pt>
                <c:pt idx="9">
                  <c:v>2.4444444444444446</c:v>
                </c:pt>
                <c:pt idx="10">
                  <c:v>2.2999999999999998</c:v>
                </c:pt>
                <c:pt idx="11">
                  <c:v>2.1818181818181817</c:v>
                </c:pt>
                <c:pt idx="12">
                  <c:v>2.0833333333333335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いっしー2!$F$3:$F$15</c:f>
              <c:numCache>
                <c:formatCode>0.0%</c:formatCode>
                <c:ptCount val="13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0.25</c:v>
                </c:pt>
                <c:pt idx="9">
                  <c:v>0.23076923076923078</c:v>
                </c:pt>
                <c:pt idx="10">
                  <c:v>0.23529411764705882</c:v>
                </c:pt>
                <c:pt idx="11">
                  <c:v>0.25531914893617019</c:v>
                </c:pt>
                <c:pt idx="12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0760233918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いっしー2!$H$3:$H$15</c:f>
              <c:numCache>
                <c:formatCode>0.0%</c:formatCode>
                <c:ptCount val="13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  <c:pt idx="8">
                  <c:v>0.25</c:v>
                </c:pt>
                <c:pt idx="9">
                  <c:v>0.26923076923076922</c:v>
                </c:pt>
                <c:pt idx="10">
                  <c:v>0.27058823529411763</c:v>
                </c:pt>
                <c:pt idx="11">
                  <c:v>0.25531914893617019</c:v>
                </c:pt>
                <c:pt idx="12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53996101364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いっしー2!$I$3:$I$15</c:f>
              <c:numCache>
                <c:formatCode>0</c:formatCode>
                <c:ptCount val="13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  <c:pt idx="8">
                  <c:v>7364.7058823529414</c:v>
                </c:pt>
                <c:pt idx="9">
                  <c:v>7072.2222222222226</c:v>
                </c:pt>
                <c:pt idx="10">
                  <c:v>7365</c:v>
                </c:pt>
                <c:pt idx="11">
                  <c:v>7358.333333333333</c:v>
                </c:pt>
                <c:pt idx="12">
                  <c:v>7700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89.6747967479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いっしー2!$J$3:$J$15</c:f>
              <c:numCache>
                <c:formatCode>0</c:formatCode>
                <c:ptCount val="13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  <c:pt idx="8">
                  <c:v>-8323.5294117647063</c:v>
                </c:pt>
                <c:pt idx="9">
                  <c:v>-8233.3333333333339</c:v>
                </c:pt>
                <c:pt idx="10">
                  <c:v>-7686.95652173913</c:v>
                </c:pt>
                <c:pt idx="11">
                  <c:v>-7700</c:v>
                </c:pt>
                <c:pt idx="12">
                  <c:v>-7700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24.19825072886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042944785276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042944785276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  <c:pt idx="8">
                  <c:v>0.17647058823529413</c:v>
                </c:pt>
                <c:pt idx="9">
                  <c:v>0.20512820512820512</c:v>
                </c:pt>
                <c:pt idx="10">
                  <c:v>0.21176470588235294</c:v>
                </c:pt>
                <c:pt idx="11">
                  <c:v>0.21276595744680851</c:v>
                </c:pt>
                <c:pt idx="12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61013645224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いっしー2!$N$3:$N$15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  <c:pt idx="8">
                  <c:v>0.22058823529411764</c:v>
                </c:pt>
                <c:pt idx="9">
                  <c:v>0.20512820512820512</c:v>
                </c:pt>
                <c:pt idx="10">
                  <c:v>0.2</c:v>
                </c:pt>
                <c:pt idx="11">
                  <c:v>0.21276595744680851</c:v>
                </c:pt>
                <c:pt idx="12">
                  <c:v>0.19230769230769232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28265107212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いっしー2!$O$3:$O$15</c:f>
              <c:numCache>
                <c:formatCode>0.0%</c:formatCode>
                <c:ptCount val="1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0.66666666666666663</c:v>
                </c:pt>
                <c:pt idx="9">
                  <c:v>0.5625</c:v>
                </c:pt>
                <c:pt idx="10">
                  <c:v>0.55555555555555558</c:v>
                </c:pt>
                <c:pt idx="11">
                  <c:v>0.6</c:v>
                </c:pt>
                <c:pt idx="12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40017746228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いっしー2!$P$3:$P$15</c:f>
              <c:numCache>
                <c:formatCode>0.0%</c:formatCode>
                <c:ptCount val="13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0.46666666666666667</c:v>
                </c:pt>
                <c:pt idx="9">
                  <c:v>0.4375</c:v>
                </c:pt>
                <c:pt idx="10">
                  <c:v>0.47058823529411764</c:v>
                </c:pt>
                <c:pt idx="11">
                  <c:v>0.45</c:v>
                </c:pt>
                <c:pt idx="12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18076477404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いっしー2!$Q$3:$Q$15</c:f>
              <c:numCache>
                <c:formatCode>0.0%</c:formatCode>
                <c:ptCount val="13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  <c:pt idx="8">
                  <c:v>0.52941176470588236</c:v>
                </c:pt>
                <c:pt idx="9">
                  <c:v>0.55555555555555558</c:v>
                </c:pt>
                <c:pt idx="10">
                  <c:v>0.55000000000000004</c:v>
                </c:pt>
                <c:pt idx="11">
                  <c:v>0.45833333333333331</c:v>
                </c:pt>
                <c:pt idx="1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77235772357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9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9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9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9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9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9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9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9" x14ac:dyDescent="0.4">
      <c r="A40" s="30" t="s">
        <v>227</v>
      </c>
      <c r="B40" s="31">
        <v>43603.979317129626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</row>
    <row r="41" spans="1:9" x14ac:dyDescent="0.4">
      <c r="A41" s="30" t="s">
        <v>228</v>
      </c>
      <c r="B41" s="31">
        <v>43604.870451388888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9" x14ac:dyDescent="0.4">
      <c r="A42" s="30" t="s">
        <v>229</v>
      </c>
      <c r="B42" s="31">
        <v>43604.912418981483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9" x14ac:dyDescent="0.4">
      <c r="A43" s="30" t="s">
        <v>230</v>
      </c>
      <c r="B43" s="31">
        <v>43605.831956018519</v>
      </c>
      <c r="C43" s="30" t="s">
        <v>130</v>
      </c>
      <c r="D43" s="30" t="s">
        <v>131</v>
      </c>
      <c r="E43" s="30" t="s">
        <v>169</v>
      </c>
      <c r="F43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489</v>
      </c>
    </row>
    <row r="2" spans="1:2" x14ac:dyDescent="0.4">
      <c r="A2" t="s">
        <v>127</v>
      </c>
      <c r="B2">
        <v>112</v>
      </c>
    </row>
    <row r="3" spans="1:2" x14ac:dyDescent="0.4">
      <c r="A3" t="s">
        <v>128</v>
      </c>
      <c r="B3">
        <v>110</v>
      </c>
    </row>
    <row r="4" spans="1:2" x14ac:dyDescent="0.4">
      <c r="A4" t="s">
        <v>129</v>
      </c>
      <c r="B4">
        <v>57</v>
      </c>
    </row>
    <row r="5" spans="1:2" x14ac:dyDescent="0.4">
      <c r="A5" t="s">
        <v>171</v>
      </c>
      <c r="B5">
        <v>64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5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0.47209785444341562</v>
      </c>
      <c r="G2" s="159"/>
      <c r="H2" s="158">
        <v>0.17374218451322243</v>
      </c>
      <c r="I2" s="159"/>
      <c r="J2" s="158">
        <v>0.57192183539222741</v>
      </c>
      <c r="K2" s="159"/>
      <c r="L2" s="158">
        <v>0.2296718245222466</v>
      </c>
      <c r="M2" s="159"/>
      <c r="N2" s="158">
        <v>0.48468952471107524</v>
      </c>
      <c r="O2" s="159"/>
      <c r="P2" s="158">
        <v>0.61800482138383217</v>
      </c>
      <c r="Q2" s="159"/>
      <c r="R2" s="158">
        <v>-0.11279916647897098</v>
      </c>
      <c r="S2" s="159"/>
      <c r="T2" s="158">
        <v>0.16653271960424473</v>
      </c>
      <c r="U2" s="159"/>
      <c r="V2" s="158">
        <v>0.76724001503307782</v>
      </c>
      <c r="W2" s="159"/>
      <c r="X2" s="158">
        <v>0.87671983062084835</v>
      </c>
      <c r="Y2" s="159"/>
      <c r="Z2" s="158">
        <v>-0.18933978726089909</v>
      </c>
      <c r="AA2" s="159"/>
      <c r="AB2" s="158">
        <v>-0.40595940879457409</v>
      </c>
      <c r="AC2" s="159"/>
      <c r="AD2" s="158">
        <v>-3.6600518923323243E-2</v>
      </c>
      <c r="AE2" s="159"/>
      <c r="AF2" s="158">
        <v>-0.49689014104287815</v>
      </c>
      <c r="AG2" s="159"/>
      <c r="AH2" s="158">
        <v>0.84580461205027302</v>
      </c>
      <c r="AI2" s="159"/>
    </row>
    <row r="3" spans="1:35" x14ac:dyDescent="0.4">
      <c r="A3" s="74">
        <v>1</v>
      </c>
      <c r="B3" s="75" t="s">
        <v>127</v>
      </c>
      <c r="C3" s="76">
        <v>1405.8000000000009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0.17857142857142858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205.09999999999997</v>
      </c>
      <c r="D4" s="85" t="s">
        <v>224</v>
      </c>
      <c r="E4" s="97">
        <v>13.3</v>
      </c>
      <c r="F4" s="85" t="s">
        <v>127</v>
      </c>
      <c r="G4" s="86">
        <v>1.7321428571428572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9700.6535947712418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0.125</v>
      </c>
      <c r="X4" s="85" t="s">
        <v>127</v>
      </c>
      <c r="Y4" s="88">
        <v>0.32671081677704195</v>
      </c>
      <c r="Z4" s="85" t="s">
        <v>202</v>
      </c>
      <c r="AA4" s="88">
        <v>0.26</v>
      </c>
      <c r="AB4" s="85" t="s">
        <v>177</v>
      </c>
      <c r="AC4" s="88">
        <v>0.68518518518518523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12.551785714285723</v>
      </c>
      <c r="F5" s="85" t="s">
        <v>145</v>
      </c>
      <c r="G5" s="86">
        <v>2</v>
      </c>
      <c r="H5" s="85" t="s">
        <v>186</v>
      </c>
      <c r="I5" s="87">
        <v>0.41666666666666669</v>
      </c>
      <c r="J5" s="85" t="s">
        <v>202</v>
      </c>
      <c r="K5" s="87">
        <v>0.2</v>
      </c>
      <c r="L5" s="85" t="s">
        <v>127</v>
      </c>
      <c r="M5" s="88">
        <v>0.35209713024282563</v>
      </c>
      <c r="N5" s="85" t="s">
        <v>172</v>
      </c>
      <c r="O5" s="88">
        <v>0.13291139240506328</v>
      </c>
      <c r="P5" s="85" t="s">
        <v>128</v>
      </c>
      <c r="Q5" s="89">
        <v>9246.4285714285706</v>
      </c>
      <c r="R5" s="85" t="s">
        <v>171</v>
      </c>
      <c r="S5" s="89">
        <v>-7405.7471264367814</v>
      </c>
      <c r="T5" s="85" t="s">
        <v>224</v>
      </c>
      <c r="U5" s="87">
        <v>0</v>
      </c>
      <c r="V5" s="85" t="s">
        <v>129</v>
      </c>
      <c r="W5" s="87">
        <v>0.12280701754385964</v>
      </c>
      <c r="X5" s="85" t="s">
        <v>128</v>
      </c>
      <c r="Y5" s="88">
        <v>0.29714912280701755</v>
      </c>
      <c r="Z5" s="85" t="s">
        <v>173</v>
      </c>
      <c r="AA5" s="88">
        <v>0.24853801169590642</v>
      </c>
      <c r="AB5" s="85" t="s">
        <v>186</v>
      </c>
      <c r="AC5" s="88">
        <v>0.625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3.2046874999999995</v>
      </c>
      <c r="F6" s="85" t="s">
        <v>202</v>
      </c>
      <c r="G6" s="86">
        <v>2</v>
      </c>
      <c r="H6" s="85" t="s">
        <v>145</v>
      </c>
      <c r="I6" s="87">
        <v>0.33333333333333331</v>
      </c>
      <c r="J6" s="85" t="s">
        <v>127</v>
      </c>
      <c r="K6" s="87">
        <v>0.23214285714285715</v>
      </c>
      <c r="L6" s="85" t="s">
        <v>173</v>
      </c>
      <c r="M6" s="88">
        <v>0.30116959064327486</v>
      </c>
      <c r="N6" s="85" t="s">
        <v>127</v>
      </c>
      <c r="O6" s="88">
        <v>0.15342163355408389</v>
      </c>
      <c r="P6" s="85" t="s">
        <v>127</v>
      </c>
      <c r="Q6" s="89">
        <v>9076.1755485893409</v>
      </c>
      <c r="R6" s="85" t="s">
        <v>128</v>
      </c>
      <c r="S6" s="89">
        <v>-7592.9487179487178</v>
      </c>
      <c r="T6" s="85" t="s">
        <v>225</v>
      </c>
      <c r="U6" s="87">
        <v>0</v>
      </c>
      <c r="V6" s="85" t="s">
        <v>172</v>
      </c>
      <c r="W6" s="87">
        <v>0.1111111111111111</v>
      </c>
      <c r="X6" s="85" t="s">
        <v>171</v>
      </c>
      <c r="Y6" s="88">
        <v>0.28000000000000003</v>
      </c>
      <c r="Z6" s="85" t="s">
        <v>127</v>
      </c>
      <c r="AA6" s="88">
        <v>0.22075055187637968</v>
      </c>
      <c r="AB6" s="85" t="s">
        <v>173</v>
      </c>
      <c r="AC6" s="88">
        <v>0.6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1.0296296296296295</v>
      </c>
      <c r="F7" s="85" t="s">
        <v>224</v>
      </c>
      <c r="G7" s="86">
        <v>2</v>
      </c>
      <c r="H7" s="85" t="s">
        <v>177</v>
      </c>
      <c r="I7" s="87">
        <v>0.32258064516129031</v>
      </c>
      <c r="J7" s="85" t="s">
        <v>172</v>
      </c>
      <c r="K7" s="87">
        <v>0.31481481481481483</v>
      </c>
      <c r="L7" s="85" t="s">
        <v>145</v>
      </c>
      <c r="M7" s="88">
        <v>0.29970760233918131</v>
      </c>
      <c r="N7" s="85" t="s">
        <v>171</v>
      </c>
      <c r="O7" s="88">
        <v>0.15818181818181817</v>
      </c>
      <c r="P7" s="85" t="s">
        <v>129</v>
      </c>
      <c r="Q7" s="89">
        <v>9033.9622641509432</v>
      </c>
      <c r="R7" s="85" t="s">
        <v>173</v>
      </c>
      <c r="S7" s="89">
        <v>-7690.7692307692305</v>
      </c>
      <c r="T7" s="85" t="s">
        <v>171</v>
      </c>
      <c r="U7" s="87">
        <v>3.125E-2</v>
      </c>
      <c r="V7" s="85" t="s">
        <v>145</v>
      </c>
      <c r="W7" s="87">
        <v>0.11042944785276074</v>
      </c>
      <c r="X7" s="85" t="s">
        <v>145</v>
      </c>
      <c r="Y7" s="88">
        <v>0.27461013645224169</v>
      </c>
      <c r="Z7" s="85" t="s">
        <v>177</v>
      </c>
      <c r="AA7" s="88">
        <v>0.22007722007722008</v>
      </c>
      <c r="AB7" s="85" t="s">
        <v>185</v>
      </c>
      <c r="AC7" s="88">
        <v>0.6</v>
      </c>
      <c r="AD7" s="85" t="s">
        <v>171</v>
      </c>
      <c r="AE7" s="88">
        <v>0.39215686274509803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5.3290705182007514E-15</v>
      </c>
      <c r="D8" s="85" t="s">
        <v>145</v>
      </c>
      <c r="E8" s="97">
        <v>1.0897894720246936E-17</v>
      </c>
      <c r="F8" s="85" t="s">
        <v>171</v>
      </c>
      <c r="G8" s="86">
        <v>2.03125</v>
      </c>
      <c r="H8" s="85" t="s">
        <v>171</v>
      </c>
      <c r="I8" s="87">
        <v>0.296875</v>
      </c>
      <c r="J8" s="85" t="s">
        <v>171</v>
      </c>
      <c r="K8" s="87">
        <v>0.328125</v>
      </c>
      <c r="L8" s="85" t="s">
        <v>171</v>
      </c>
      <c r="M8" s="88">
        <v>0.2781818181818182</v>
      </c>
      <c r="N8" s="85" t="s">
        <v>145</v>
      </c>
      <c r="O8" s="88">
        <v>0.16715399610136453</v>
      </c>
      <c r="P8" s="85" t="s">
        <v>225</v>
      </c>
      <c r="Q8" s="89">
        <v>8666.6666666666661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9.0909090909090912E-2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128</v>
      </c>
      <c r="AC8" s="88">
        <v>0.59409594095940954</v>
      </c>
      <c r="AD8" s="85" t="s">
        <v>145</v>
      </c>
      <c r="AE8" s="88">
        <v>0.38818076477404401</v>
      </c>
      <c r="AF8" s="85" t="s">
        <v>129</v>
      </c>
      <c r="AG8" s="88">
        <v>0.48113207547169812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128</v>
      </c>
      <c r="E9" s="97">
        <v>-2.3354545454545459</v>
      </c>
      <c r="F9" s="85" t="s">
        <v>172</v>
      </c>
      <c r="G9" s="86">
        <v>2.0370370370370372</v>
      </c>
      <c r="H9" s="85" t="s">
        <v>173</v>
      </c>
      <c r="I9" s="87">
        <v>0.28205128205128205</v>
      </c>
      <c r="J9" s="85" t="s">
        <v>173</v>
      </c>
      <c r="K9" s="87">
        <v>0.33333333333333331</v>
      </c>
      <c r="L9" s="85" t="s">
        <v>128</v>
      </c>
      <c r="M9" s="88">
        <v>0.27631578947368424</v>
      </c>
      <c r="N9" s="85" t="s">
        <v>128</v>
      </c>
      <c r="O9" s="88">
        <v>0.17105263157894737</v>
      </c>
      <c r="P9" s="85" t="s">
        <v>145</v>
      </c>
      <c r="Q9" s="89">
        <v>8489.6747967479678</v>
      </c>
      <c r="R9" s="85" t="s">
        <v>177</v>
      </c>
      <c r="S9" s="89">
        <v>-7855.5555555555557</v>
      </c>
      <c r="T9" s="85" t="s">
        <v>173</v>
      </c>
      <c r="U9" s="87">
        <v>0.10256410256410256</v>
      </c>
      <c r="V9" s="85" t="s">
        <v>173</v>
      </c>
      <c r="W9" s="87">
        <v>5.128205128205128E-2</v>
      </c>
      <c r="X9" s="85" t="s">
        <v>129</v>
      </c>
      <c r="Y9" s="88">
        <v>0.2569593147751606</v>
      </c>
      <c r="Z9" s="85" t="s">
        <v>145</v>
      </c>
      <c r="AA9" s="88">
        <v>0.21028265107212477</v>
      </c>
      <c r="AB9" s="85" t="s">
        <v>172</v>
      </c>
      <c r="AC9" s="88">
        <v>0.59047619047619049</v>
      </c>
      <c r="AD9" s="85" t="s">
        <v>177</v>
      </c>
      <c r="AE9" s="88">
        <v>0.36842105263157893</v>
      </c>
      <c r="AF9" s="85" t="s">
        <v>145</v>
      </c>
      <c r="AG9" s="88">
        <v>0.43577235772357725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202</v>
      </c>
      <c r="E10" s="97">
        <v>-3.2200000000000011</v>
      </c>
      <c r="F10" s="85" t="s">
        <v>173</v>
      </c>
      <c r="G10" s="86">
        <v>2.0512820512820511</v>
      </c>
      <c r="H10" s="85" t="s">
        <v>172</v>
      </c>
      <c r="I10" s="87">
        <v>0.27777777777777779</v>
      </c>
      <c r="J10" s="85" t="s">
        <v>145</v>
      </c>
      <c r="K10" s="87">
        <v>0.33333333333333331</v>
      </c>
      <c r="L10" s="85" t="s">
        <v>177</v>
      </c>
      <c r="M10" s="88">
        <v>0.27413127413127414</v>
      </c>
      <c r="N10" s="85" t="s">
        <v>177</v>
      </c>
      <c r="O10" s="88">
        <v>0.17374517374517376</v>
      </c>
      <c r="P10" s="85" t="s">
        <v>202</v>
      </c>
      <c r="Q10" s="89">
        <v>8425</v>
      </c>
      <c r="R10" s="85" t="s">
        <v>145</v>
      </c>
      <c r="S10" s="89">
        <v>-8124.1982507288631</v>
      </c>
      <c r="T10" s="85" t="s">
        <v>127</v>
      </c>
      <c r="U10" s="87">
        <v>0.10714285714285714</v>
      </c>
      <c r="V10" s="85" t="s">
        <v>177</v>
      </c>
      <c r="W10" s="87">
        <v>3.2258064516129031E-2</v>
      </c>
      <c r="X10" s="85" t="s">
        <v>202</v>
      </c>
      <c r="Y10" s="88">
        <v>0.24</v>
      </c>
      <c r="Z10" s="85" t="s">
        <v>186</v>
      </c>
      <c r="AA10" s="88">
        <v>0.19230769230769232</v>
      </c>
      <c r="AB10" s="85" t="s">
        <v>145</v>
      </c>
      <c r="AC10" s="88">
        <v>0.58740017746228923</v>
      </c>
      <c r="AD10" s="85" t="s">
        <v>173</v>
      </c>
      <c r="AE10" s="88">
        <v>0.3411764705882353</v>
      </c>
      <c r="AF10" s="85" t="s">
        <v>171</v>
      </c>
      <c r="AG10" s="88">
        <v>0.42483660130718953</v>
      </c>
      <c r="AH10" s="85" t="s">
        <v>177</v>
      </c>
      <c r="AI10" s="92">
        <v>67500</v>
      </c>
    </row>
    <row r="11" spans="1:35" x14ac:dyDescent="0.4">
      <c r="A11" s="82">
        <v>9</v>
      </c>
      <c r="B11" s="83" t="s">
        <v>186</v>
      </c>
      <c r="C11" s="84">
        <v>-116.6</v>
      </c>
      <c r="D11" s="85" t="s">
        <v>173</v>
      </c>
      <c r="E11" s="97">
        <v>-5.7410256410256411</v>
      </c>
      <c r="F11" s="85" t="s">
        <v>177</v>
      </c>
      <c r="G11" s="86">
        <v>2.064516129032258</v>
      </c>
      <c r="H11" s="85" t="s">
        <v>128</v>
      </c>
      <c r="I11" s="87">
        <v>0.27272727272727271</v>
      </c>
      <c r="J11" s="85" t="s">
        <v>128</v>
      </c>
      <c r="K11" s="87">
        <v>0.34545454545454546</v>
      </c>
      <c r="L11" s="85" t="s">
        <v>186</v>
      </c>
      <c r="M11" s="88">
        <v>0.26923076923076922</v>
      </c>
      <c r="N11" s="85" t="s">
        <v>173</v>
      </c>
      <c r="O11" s="88">
        <v>0.19005847953216373</v>
      </c>
      <c r="P11" s="85" t="s">
        <v>185</v>
      </c>
      <c r="Q11" s="89">
        <v>7860</v>
      </c>
      <c r="R11" s="85" t="s">
        <v>127</v>
      </c>
      <c r="S11" s="89">
        <v>-8412.9496402877703</v>
      </c>
      <c r="T11" s="85" t="s">
        <v>145</v>
      </c>
      <c r="U11" s="87">
        <v>0.11042944785276074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171</v>
      </c>
      <c r="AA11" s="88">
        <v>0.18545454545454546</v>
      </c>
      <c r="AB11" s="85" t="s">
        <v>127</v>
      </c>
      <c r="AC11" s="88">
        <v>0.58445945945945943</v>
      </c>
      <c r="AD11" s="85" t="s">
        <v>202</v>
      </c>
      <c r="AE11" s="88">
        <v>0.30769230769230771</v>
      </c>
      <c r="AF11" s="85" t="s">
        <v>128</v>
      </c>
      <c r="AG11" s="88">
        <v>0.42063492063492064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173</v>
      </c>
      <c r="C12" s="84">
        <v>-223.9</v>
      </c>
      <c r="D12" s="85" t="s">
        <v>177</v>
      </c>
      <c r="E12" s="97">
        <v>-7.4774193548387089</v>
      </c>
      <c r="F12" s="85" t="s">
        <v>128</v>
      </c>
      <c r="G12" s="86">
        <v>2.0727272727272728</v>
      </c>
      <c r="H12" s="85" t="s">
        <v>129</v>
      </c>
      <c r="I12" s="87">
        <v>0.24561403508771928</v>
      </c>
      <c r="J12" s="85" t="s">
        <v>177</v>
      </c>
      <c r="K12" s="87">
        <v>0.38709677419354838</v>
      </c>
      <c r="L12" s="85" t="s">
        <v>185</v>
      </c>
      <c r="M12" s="88">
        <v>0.26315789473684209</v>
      </c>
      <c r="N12" s="85" t="s">
        <v>129</v>
      </c>
      <c r="O12" s="88">
        <v>0.19486081370449679</v>
      </c>
      <c r="P12" s="85" t="s">
        <v>186</v>
      </c>
      <c r="Q12" s="89">
        <v>7700</v>
      </c>
      <c r="R12" s="85" t="s">
        <v>129</v>
      </c>
      <c r="S12" s="89">
        <v>-9095.6043956043959</v>
      </c>
      <c r="T12" s="85" t="s">
        <v>128</v>
      </c>
      <c r="U12" s="87">
        <v>0.12727272727272726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0.18311403508771928</v>
      </c>
      <c r="AB12" s="85" t="s">
        <v>171</v>
      </c>
      <c r="AC12" s="88">
        <v>0.58441558441558439</v>
      </c>
      <c r="AD12" s="85" t="s">
        <v>128</v>
      </c>
      <c r="AE12" s="88">
        <v>0.29341317365269459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177</v>
      </c>
      <c r="C13" s="84">
        <v>-231.79999999999998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0.2</v>
      </c>
      <c r="J13" s="85" t="s">
        <v>129</v>
      </c>
      <c r="K13" s="87">
        <v>0.49122807017543857</v>
      </c>
      <c r="L13" s="85" t="s">
        <v>202</v>
      </c>
      <c r="M13" s="88">
        <v>0.24</v>
      </c>
      <c r="N13" s="85" t="s">
        <v>202</v>
      </c>
      <c r="O13" s="88">
        <v>0.2</v>
      </c>
      <c r="P13" s="85" t="s">
        <v>177</v>
      </c>
      <c r="Q13" s="89">
        <v>7281.6901408450703</v>
      </c>
      <c r="R13" s="85" t="s">
        <v>172</v>
      </c>
      <c r="S13" s="89">
        <v>-9374.6031746031749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0.15631691648822268</v>
      </c>
      <c r="AB13" s="85" t="s">
        <v>202</v>
      </c>
      <c r="AC13" s="88">
        <v>0.58333333333333337</v>
      </c>
      <c r="AD13" s="85" t="s">
        <v>129</v>
      </c>
      <c r="AE13" s="88">
        <v>0.24657534246575341</v>
      </c>
      <c r="AF13" s="85" t="s">
        <v>127</v>
      </c>
      <c r="AG13" s="88">
        <v>0.41692789968652039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-256.90000000000003</v>
      </c>
      <c r="D14" s="85" t="s">
        <v>129</v>
      </c>
      <c r="E14" s="97">
        <v>-15.061403508771926</v>
      </c>
      <c r="F14" s="85" t="s">
        <v>129</v>
      </c>
      <c r="G14" s="86">
        <v>2.2456140350877192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0.22698072805139186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129</v>
      </c>
      <c r="U14" s="87">
        <v>0.19298245614035087</v>
      </c>
      <c r="V14" s="85" t="s">
        <v>224</v>
      </c>
      <c r="W14" s="87">
        <v>0</v>
      </c>
      <c r="X14" s="85" t="s">
        <v>172</v>
      </c>
      <c r="Y14" s="88">
        <v>0.22151898734177214</v>
      </c>
      <c r="Z14" s="85" t="s">
        <v>225</v>
      </c>
      <c r="AA14" s="88">
        <v>0.125</v>
      </c>
      <c r="AB14" s="85" t="s">
        <v>129</v>
      </c>
      <c r="AC14" s="88">
        <v>0.51666666666666672</v>
      </c>
      <c r="AD14" s="85" t="s">
        <v>224</v>
      </c>
      <c r="AE14" s="88">
        <v>0</v>
      </c>
      <c r="AF14" s="85" t="s">
        <v>177</v>
      </c>
      <c r="AG14" s="88">
        <v>0.40845070422535212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-858.49999999999977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177</v>
      </c>
      <c r="U15" s="87">
        <v>0.19354838709677419</v>
      </c>
      <c r="V15" s="85" t="s">
        <v>225</v>
      </c>
      <c r="W15" s="87">
        <v>0</v>
      </c>
      <c r="X15" s="85" t="s">
        <v>177</v>
      </c>
      <c r="Y15" s="88">
        <v>0.20849420849420849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3C51-A098-44F2-ACD9-550235C7B768}">
  <sheetPr codeName="Sheet4"/>
  <dimension ref="A1:Q4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489</v>
      </c>
      <c r="C2" s="147"/>
      <c r="E2" s="62" t="s">
        <v>67</v>
      </c>
      <c r="F2" s="59" t="s">
        <v>23</v>
      </c>
      <c r="G2" s="46">
        <v>904</v>
      </c>
      <c r="H2" s="132">
        <f>IF(B$17=0,0,G2/B$17)</f>
        <v>0.73495934959349596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-16.460905349794238</v>
      </c>
      <c r="P2" s="118">
        <v>486</v>
      </c>
      <c r="Q2" s="102">
        <v>-8000</v>
      </c>
    </row>
    <row r="3" spans="1:17" x14ac:dyDescent="0.4">
      <c r="A3" s="55" t="s">
        <v>8</v>
      </c>
      <c r="B3" s="148">
        <v>4104</v>
      </c>
      <c r="C3" s="149"/>
      <c r="E3" s="63" t="s">
        <v>65</v>
      </c>
      <c r="F3" s="60" t="s">
        <v>21</v>
      </c>
      <c r="G3" s="47">
        <v>636</v>
      </c>
      <c r="H3" s="133">
        <f>IF(B$17=0,0,G3/B$17)</f>
        <v>0.51707317073170733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-8.3333333333333339</v>
      </c>
      <c r="P3" s="119">
        <v>480</v>
      </c>
      <c r="Q3" s="103">
        <v>-4000</v>
      </c>
    </row>
    <row r="4" spans="1:17" x14ac:dyDescent="0.4">
      <c r="A4" s="55" t="s">
        <v>6</v>
      </c>
      <c r="B4" s="150">
        <v>5.3290705182007514E-15</v>
      </c>
      <c r="C4" s="151"/>
      <c r="E4" s="63" t="s">
        <v>73</v>
      </c>
      <c r="F4" s="60" t="s">
        <v>28</v>
      </c>
      <c r="G4" s="47">
        <v>630</v>
      </c>
      <c r="H4" s="133">
        <f>IF(B$17=0,0,G4/B$17)</f>
        <v>0.51219512195121952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13.157894736842104</v>
      </c>
      <c r="P4" s="119">
        <v>456</v>
      </c>
      <c r="Q4" s="103">
        <v>6000</v>
      </c>
    </row>
    <row r="5" spans="1:17" x14ac:dyDescent="0.4">
      <c r="A5" s="55" t="s">
        <v>7</v>
      </c>
      <c r="B5" s="152">
        <f>IF(B$2=0,0,B$4/B$2)</f>
        <v>1.0897894720246936E-17</v>
      </c>
      <c r="C5" s="153"/>
      <c r="E5" s="63" t="s">
        <v>181</v>
      </c>
      <c r="F5" s="60" t="s">
        <v>182</v>
      </c>
      <c r="G5" s="47">
        <v>498</v>
      </c>
      <c r="H5" s="133">
        <f>IF(B$17=0,0,G5/B$17)</f>
        <v>0.40487804878048783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7.3529411764705879</v>
      </c>
      <c r="P5" s="119">
        <v>408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382</v>
      </c>
      <c r="H6" s="133">
        <f>IF(B$17=0,0,G6/B$17)</f>
        <v>0.31056910569105689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-8.064516129032258</v>
      </c>
      <c r="P6" s="119">
        <v>372</v>
      </c>
      <c r="Q6" s="103">
        <v>-3000</v>
      </c>
    </row>
    <row r="7" spans="1:17" x14ac:dyDescent="0.4">
      <c r="A7" s="55" t="s">
        <v>2</v>
      </c>
      <c r="B7" s="47">
        <v>163</v>
      </c>
      <c r="C7" s="39">
        <f>IF(B$2=0,0,B7/B$2)</f>
        <v>0.33333333333333331</v>
      </c>
      <c r="E7" s="63" t="s">
        <v>68</v>
      </c>
      <c r="F7" s="60" t="s">
        <v>24</v>
      </c>
      <c r="G7" s="47">
        <v>377</v>
      </c>
      <c r="H7" s="133">
        <f>IF(B$17=0,0,G7/B$17)</f>
        <v>0.30650406504065042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17.857142857142858</v>
      </c>
      <c r="P7" s="120">
        <v>336</v>
      </c>
      <c r="Q7" s="104">
        <v>6000</v>
      </c>
    </row>
    <row r="8" spans="1:17" x14ac:dyDescent="0.4">
      <c r="A8" s="55" t="s">
        <v>3</v>
      </c>
      <c r="B8" s="47">
        <v>163</v>
      </c>
      <c r="C8" s="39">
        <f>IF(B$2=0,0,B8/B$2)</f>
        <v>0.33333333333333331</v>
      </c>
      <c r="E8" s="63" t="s">
        <v>70</v>
      </c>
      <c r="F8" s="60" t="s">
        <v>25</v>
      </c>
      <c r="G8" s="47">
        <v>230</v>
      </c>
      <c r="H8" s="133">
        <f>IF(B$17=0,0,G8/B$17)</f>
        <v>0.18699186991869918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163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151</v>
      </c>
      <c r="H9" s="133">
        <f>IF(B$17=0,0,G9/B$17)</f>
        <v>0.12276422764227642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54</v>
      </c>
      <c r="C10" s="40">
        <f>IF(B$2=0,0,B10/B$2)</f>
        <v>0.11042944785276074</v>
      </c>
      <c r="E10" s="63" t="s">
        <v>90</v>
      </c>
      <c r="F10" s="60" t="s">
        <v>45</v>
      </c>
      <c r="G10" s="47">
        <v>150</v>
      </c>
      <c r="H10" s="133">
        <f>IF(B$17=0,0,G10/B$17)</f>
        <v>0.12195121951219512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-1.722085889570552</v>
      </c>
      <c r="P10" s="118">
        <v>163</v>
      </c>
      <c r="Q10" s="106">
        <v>-280.7</v>
      </c>
    </row>
    <row r="11" spans="1:17" x14ac:dyDescent="0.4">
      <c r="A11" s="56" t="s">
        <v>140</v>
      </c>
      <c r="B11" s="48">
        <v>54</v>
      </c>
      <c r="C11" s="40">
        <f>IF(B$2=0,0,B11/B$2)</f>
        <v>0.11042944785276074</v>
      </c>
      <c r="E11" s="63" t="s">
        <v>71</v>
      </c>
      <c r="F11" s="60" t="s">
        <v>26</v>
      </c>
      <c r="G11" s="47">
        <v>130</v>
      </c>
      <c r="H11" s="133">
        <f>IF(B$17=0,0,G11/B$17)</f>
        <v>0.10569105691056911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-1.2392638036809824</v>
      </c>
      <c r="P11" s="119">
        <v>163</v>
      </c>
      <c r="Q11" s="107">
        <v>-202.00000000000014</v>
      </c>
    </row>
    <row r="12" spans="1:17" x14ac:dyDescent="0.4">
      <c r="A12" s="57" t="s">
        <v>160</v>
      </c>
      <c r="B12" s="49">
        <v>42</v>
      </c>
      <c r="C12" s="42">
        <f>IF(B$2=0,0,B12/B$2)</f>
        <v>8.5889570552147243E-2</v>
      </c>
      <c r="E12" s="63" t="s">
        <v>72</v>
      </c>
      <c r="F12" s="60" t="s">
        <v>27</v>
      </c>
      <c r="G12" s="47">
        <v>83</v>
      </c>
      <c r="H12" s="133">
        <f>IF(B$17=0,0,G12/B$17)</f>
        <v>6.7479674796747963E-2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2.9613496932515342</v>
      </c>
      <c r="P12" s="120">
        <v>163</v>
      </c>
      <c r="Q12" s="108">
        <v>482.70000000000005</v>
      </c>
    </row>
    <row r="13" spans="1:17" x14ac:dyDescent="0.4">
      <c r="A13" s="58" t="s">
        <v>122</v>
      </c>
      <c r="B13" s="50">
        <v>1127</v>
      </c>
      <c r="C13" s="44">
        <f>IF(B$3=0,0,B13/B$3)</f>
        <v>0.27461013645224169</v>
      </c>
      <c r="E13" s="63" t="s">
        <v>87</v>
      </c>
      <c r="F13" s="60" t="s">
        <v>42</v>
      </c>
      <c r="G13" s="47">
        <v>71</v>
      </c>
      <c r="H13" s="133">
        <f>IF(B$17=0,0,G13/B$17)</f>
        <v>5.7723577235772358E-2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863</v>
      </c>
      <c r="C14" s="39">
        <f>IF(B$3=0,0,B14/B$3)</f>
        <v>0.21028265107212477</v>
      </c>
      <c r="E14" s="63" t="s">
        <v>84</v>
      </c>
      <c r="F14" s="60" t="s">
        <v>39</v>
      </c>
      <c r="G14" s="47">
        <v>56</v>
      </c>
      <c r="H14" s="133">
        <f>IF(B$17=0,0,G14/B$17)</f>
        <v>4.5528455284552849E-2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662</v>
      </c>
      <c r="C15" s="37">
        <f>IF(B$13=0,0,B15/B$13)</f>
        <v>0.58740017746228923</v>
      </c>
      <c r="E15" s="63" t="s">
        <v>82</v>
      </c>
      <c r="F15" s="60" t="s">
        <v>37</v>
      </c>
      <c r="G15" s="47">
        <v>36</v>
      </c>
      <c r="H15" s="133">
        <f>IF(B$17=0,0,G15/B$17)</f>
        <v>2.9268292682926831E-2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335</v>
      </c>
      <c r="C16" s="37">
        <f>IF(B$14=0,0,B16/B$14)</f>
        <v>0.38818076477404401</v>
      </c>
      <c r="E16" s="63" t="s">
        <v>79</v>
      </c>
      <c r="F16" s="60" t="s">
        <v>34</v>
      </c>
      <c r="G16" s="47">
        <v>28</v>
      </c>
      <c r="H16" s="133">
        <f>IF(B$17=0,0,G16/B$17)</f>
        <v>2.2764227642276424E-2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22.592105263157908</v>
      </c>
      <c r="P16" s="119">
        <v>114</v>
      </c>
      <c r="Q16" s="107">
        <v>2575.5000000000014</v>
      </c>
    </row>
    <row r="17" spans="1:17" x14ac:dyDescent="0.4">
      <c r="A17" s="54" t="s">
        <v>10</v>
      </c>
      <c r="B17" s="46">
        <f>B19+B18</f>
        <v>1230</v>
      </c>
      <c r="C17" s="37">
        <f>IF(B$3=0,0,B17/B$3)</f>
        <v>0.29970760233918131</v>
      </c>
      <c r="E17" s="63" t="s">
        <v>92</v>
      </c>
      <c r="F17" s="60" t="s">
        <v>47</v>
      </c>
      <c r="G17" s="47">
        <v>21</v>
      </c>
      <c r="H17" s="133">
        <f>IF(B$17=0,0,G17/B$17)</f>
        <v>1.7073170731707318E-2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536</v>
      </c>
      <c r="C18" s="39">
        <f>IF(B$17=0,0,B18/B$17)</f>
        <v>0.43577235772357725</v>
      </c>
      <c r="E18" s="63" t="s">
        <v>80</v>
      </c>
      <c r="F18" s="60" t="s">
        <v>35</v>
      </c>
      <c r="G18" s="47">
        <v>19</v>
      </c>
      <c r="H18" s="133">
        <f>IF(B$17=0,0,G18/B$17)</f>
        <v>1.5447154471544716E-2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11.21612903225806</v>
      </c>
      <c r="P18" s="119">
        <v>62</v>
      </c>
      <c r="Q18" s="107">
        <v>695.39999999999975</v>
      </c>
    </row>
    <row r="19" spans="1:17" x14ac:dyDescent="0.4">
      <c r="A19" s="55" t="s">
        <v>11</v>
      </c>
      <c r="B19" s="47">
        <v>694</v>
      </c>
      <c r="C19" s="39">
        <f>IF(B$17=0,0,B19/B$17)</f>
        <v>0.56422764227642275</v>
      </c>
      <c r="E19" s="63" t="s">
        <v>180</v>
      </c>
      <c r="F19" s="60" t="s">
        <v>183</v>
      </c>
      <c r="G19" s="47">
        <v>17</v>
      </c>
      <c r="H19" s="133">
        <f>IF(B$17=0,0,G19/B$17)</f>
        <v>1.3821138211382113E-2</v>
      </c>
      <c r="I19" s="94">
        <v>3</v>
      </c>
      <c r="K19" s="38">
        <v>17</v>
      </c>
      <c r="L19" s="99">
        <v>8.2999999999999972</v>
      </c>
      <c r="N19" s="115" t="s">
        <v>173</v>
      </c>
      <c r="O19" s="125">
        <f>IF(P19=0,0,Q19/P19)</f>
        <v>8.6115384615384585</v>
      </c>
      <c r="P19" s="119">
        <v>78</v>
      </c>
      <c r="Q19" s="107">
        <v>671.69999999999982</v>
      </c>
    </row>
    <row r="20" spans="1:17" x14ac:dyDescent="0.4">
      <c r="A20" s="55" t="s">
        <v>13</v>
      </c>
      <c r="B20" s="47">
        <v>686</v>
      </c>
      <c r="C20" s="39">
        <f>IF(B$3=0,0,B20/B$3)</f>
        <v>0.16715399610136453</v>
      </c>
      <c r="E20" s="63" t="s">
        <v>76</v>
      </c>
      <c r="F20" s="60" t="s">
        <v>31</v>
      </c>
      <c r="G20" s="47">
        <v>9</v>
      </c>
      <c r="H20" s="133">
        <f>IF(B$17=0,0,G20/B$17)</f>
        <v>7.3170731707317077E-3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6.5040650406504065E-3</v>
      </c>
      <c r="I21" s="94">
        <v>5</v>
      </c>
      <c r="K21" s="38">
        <v>19</v>
      </c>
      <c r="L21" s="99">
        <v>30.999999999999996</v>
      </c>
      <c r="N21" s="115" t="s">
        <v>128</v>
      </c>
      <c r="O21" s="125">
        <f>IF(P21=0,0,Q21/P21)</f>
        <v>3.503181818181818</v>
      </c>
      <c r="P21" s="119">
        <v>220</v>
      </c>
      <c r="Q21" s="107">
        <v>770.69999999999993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4</v>
      </c>
      <c r="H22" s="133">
        <f>IF(B$17=0,0,G22/B$17)</f>
        <v>3.2520325203252032E-3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-1.5444444444444463</v>
      </c>
      <c r="P22" s="119">
        <v>108</v>
      </c>
      <c r="Q22" s="107">
        <v>-166.80000000000021</v>
      </c>
    </row>
    <row r="23" spans="1:17" x14ac:dyDescent="0.4">
      <c r="A23" s="55" t="s">
        <v>5</v>
      </c>
      <c r="B23" s="51">
        <f>IF(B$17=0,0,C23/B$17)</f>
        <v>8489.6747967479678</v>
      </c>
      <c r="C23" s="41">
        <v>10442300</v>
      </c>
      <c r="E23" s="63" t="s">
        <v>88</v>
      </c>
      <c r="F23" s="60" t="s">
        <v>43</v>
      </c>
      <c r="G23" s="47">
        <v>4</v>
      </c>
      <c r="H23" s="133">
        <f>IF(B$17=0,0,G23/B$17)</f>
        <v>3.2520325203252032E-3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-4.8070312499999988</v>
      </c>
      <c r="P23" s="119">
        <v>128</v>
      </c>
      <c r="Q23" s="107">
        <v>-615.29999999999984</v>
      </c>
    </row>
    <row r="24" spans="1:17" x14ac:dyDescent="0.4">
      <c r="A24" s="57" t="s">
        <v>14</v>
      </c>
      <c r="B24" s="52">
        <f>IF(B$20=0,0,C24/B$20)</f>
        <v>-8124.1982507288631</v>
      </c>
      <c r="C24" s="45">
        <v>-5573200</v>
      </c>
      <c r="E24" s="63" t="s">
        <v>93</v>
      </c>
      <c r="F24" s="60" t="s">
        <v>48</v>
      </c>
      <c r="G24" s="47">
        <v>4</v>
      </c>
      <c r="H24" s="133">
        <f>IF(B$17=0,0,G24/B$17)</f>
        <v>3.2520325203252032E-3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-18.827678571428553</v>
      </c>
      <c r="P24" s="119">
        <v>224</v>
      </c>
      <c r="Q24" s="107">
        <v>-4217.399999999996</v>
      </c>
    </row>
    <row r="25" spans="1:17" x14ac:dyDescent="0.4">
      <c r="A25" s="90" t="s">
        <v>142</v>
      </c>
      <c r="B25" s="140">
        <v>8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2.4390243902439024E-3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3</v>
      </c>
      <c r="H26" s="133">
        <f>IF(B$17=0,0,G26/B$17)</f>
        <v>2.4390243902439024E-3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3.1676413255360622E-3</v>
      </c>
      <c r="E27" s="63" t="s">
        <v>94</v>
      </c>
      <c r="F27" s="60" t="s">
        <v>49</v>
      </c>
      <c r="G27" s="47">
        <v>3</v>
      </c>
      <c r="H27" s="133">
        <f>IF(B$17=0,0,G27/B$17)</f>
        <v>2.4390243902439024E-3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2</v>
      </c>
      <c r="H28" s="133">
        <f>IF(B$17=0,0,G28/B$17)</f>
        <v>1.6260162601626016E-3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1.6260162601626016E-3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1.6260162601626016E-3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8.1300813008130081E-4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8.1300813008130081E-4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-50.599999999999973</v>
      </c>
    </row>
    <row r="442" spans="11:12" x14ac:dyDescent="0.4">
      <c r="K442" s="38">
        <v>440</v>
      </c>
      <c r="L442" s="99">
        <v>-66.299999999999969</v>
      </c>
    </row>
    <row r="443" spans="11:12" x14ac:dyDescent="0.4">
      <c r="K443" s="38">
        <v>441</v>
      </c>
      <c r="L443" s="99">
        <v>2.8421709430404007E-14</v>
      </c>
    </row>
    <row r="444" spans="11:12" x14ac:dyDescent="0.4">
      <c r="K444" s="38">
        <v>442</v>
      </c>
      <c r="L444" s="99">
        <v>-57.39999999999997</v>
      </c>
    </row>
    <row r="445" spans="11:12" x14ac:dyDescent="0.4">
      <c r="K445" s="38">
        <v>443</v>
      </c>
      <c r="L445" s="99">
        <v>-11.39999999999997</v>
      </c>
    </row>
    <row r="446" spans="11:12" x14ac:dyDescent="0.4">
      <c r="K446" s="38">
        <v>444</v>
      </c>
      <c r="L446" s="99">
        <v>3.0198066269804258E-14</v>
      </c>
    </row>
    <row r="447" spans="11:12" x14ac:dyDescent="0.4">
      <c r="K447" s="38">
        <v>445</v>
      </c>
      <c r="L447" s="99">
        <v>34.300000000000026</v>
      </c>
    </row>
    <row r="448" spans="11:12" x14ac:dyDescent="0.4">
      <c r="K448" s="38">
        <v>446</v>
      </c>
      <c r="L448" s="99">
        <v>32.200000000000024</v>
      </c>
    </row>
    <row r="449" spans="11:12" x14ac:dyDescent="0.4">
      <c r="K449" s="38">
        <v>447</v>
      </c>
      <c r="L449" s="99">
        <v>2.1316282072803006E-14</v>
      </c>
    </row>
    <row r="450" spans="11:12" x14ac:dyDescent="0.4">
      <c r="K450" s="38">
        <v>448</v>
      </c>
      <c r="L450" s="99">
        <v>-56.199999999999982</v>
      </c>
    </row>
    <row r="451" spans="11:12" x14ac:dyDescent="0.4">
      <c r="K451" s="38">
        <v>449</v>
      </c>
      <c r="L451" s="99">
        <v>-14.59999999999998</v>
      </c>
    </row>
    <row r="452" spans="11:12" x14ac:dyDescent="0.4">
      <c r="K452" s="38">
        <v>450</v>
      </c>
      <c r="L452" s="99">
        <v>1.9539925233402755E-14</v>
      </c>
    </row>
    <row r="453" spans="11:12" x14ac:dyDescent="0.4">
      <c r="K453" s="38">
        <v>451</v>
      </c>
      <c r="L453" s="99">
        <v>69.600000000000009</v>
      </c>
    </row>
    <row r="454" spans="11:12" x14ac:dyDescent="0.4">
      <c r="K454" s="38">
        <v>452</v>
      </c>
      <c r="L454" s="99">
        <v>59.20000000000001</v>
      </c>
    </row>
    <row r="455" spans="11:12" x14ac:dyDescent="0.4">
      <c r="K455" s="38">
        <v>453</v>
      </c>
      <c r="L455" s="99">
        <v>7.1054273576010019E-15</v>
      </c>
    </row>
    <row r="456" spans="11:12" x14ac:dyDescent="0.4">
      <c r="K456" s="38">
        <v>454</v>
      </c>
      <c r="L456" s="99">
        <v>-18.699999999999992</v>
      </c>
    </row>
    <row r="457" spans="11:12" x14ac:dyDescent="0.4">
      <c r="K457" s="38">
        <v>455</v>
      </c>
      <c r="L457" s="99">
        <v>56.500000000000014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37.400000000000013</v>
      </c>
    </row>
    <row r="460" spans="11:12" x14ac:dyDescent="0.4">
      <c r="K460" s="38">
        <v>458</v>
      </c>
      <c r="L460" s="99">
        <v>6.8000000000000114</v>
      </c>
    </row>
    <row r="461" spans="11:12" x14ac:dyDescent="0.4">
      <c r="K461" s="38">
        <v>459</v>
      </c>
      <c r="L461" s="99">
        <v>1.1546319456101628E-14</v>
      </c>
    </row>
    <row r="462" spans="11:12" x14ac:dyDescent="0.4">
      <c r="K462" s="38">
        <v>460</v>
      </c>
      <c r="L462" s="99">
        <v>-6.0999999999999881</v>
      </c>
    </row>
    <row r="463" spans="11:12" x14ac:dyDescent="0.4">
      <c r="K463" s="38">
        <v>461</v>
      </c>
      <c r="L463" s="99">
        <v>38.70000000000001</v>
      </c>
    </row>
    <row r="464" spans="11:12" x14ac:dyDescent="0.4">
      <c r="K464" s="38">
        <v>462</v>
      </c>
      <c r="L464" s="99">
        <v>7.1054273576010019E-15</v>
      </c>
    </row>
    <row r="465" spans="11:12" x14ac:dyDescent="0.4">
      <c r="K465" s="38">
        <v>463</v>
      </c>
      <c r="L465" s="99">
        <v>62.500000000000007</v>
      </c>
    </row>
    <row r="466" spans="11:12" x14ac:dyDescent="0.4">
      <c r="K466" s="38">
        <v>464</v>
      </c>
      <c r="L466" s="99">
        <v>2.5000000000000071</v>
      </c>
    </row>
    <row r="467" spans="11:12" x14ac:dyDescent="0.4">
      <c r="K467" s="38">
        <v>465</v>
      </c>
      <c r="L467" s="99">
        <v>7.1054273576010019E-15</v>
      </c>
    </row>
    <row r="468" spans="11:12" x14ac:dyDescent="0.4">
      <c r="K468" s="38">
        <v>466</v>
      </c>
      <c r="L468" s="99">
        <v>-37.699999999999996</v>
      </c>
    </row>
    <row r="469" spans="11:12" x14ac:dyDescent="0.4">
      <c r="K469" s="38">
        <v>467</v>
      </c>
      <c r="L469" s="99">
        <v>-47.599999999999994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20.500000000000007</v>
      </c>
    </row>
    <row r="472" spans="11:12" x14ac:dyDescent="0.4">
      <c r="K472" s="38">
        <v>470</v>
      </c>
      <c r="L472" s="99">
        <v>-45.4</v>
      </c>
    </row>
    <row r="473" spans="11:12" x14ac:dyDescent="0.4">
      <c r="K473" s="38">
        <v>471</v>
      </c>
      <c r="L473" s="99">
        <v>0</v>
      </c>
    </row>
    <row r="474" spans="11:12" x14ac:dyDescent="0.4">
      <c r="K474" s="38">
        <v>472</v>
      </c>
      <c r="L474" s="99">
        <v>51.8</v>
      </c>
    </row>
    <row r="475" spans="11:12" x14ac:dyDescent="0.4">
      <c r="K475" s="38">
        <v>473</v>
      </c>
      <c r="L475" s="99">
        <v>59.199999999999996</v>
      </c>
    </row>
    <row r="476" spans="11:12" x14ac:dyDescent="0.4">
      <c r="K476" s="38">
        <v>474</v>
      </c>
      <c r="L476" s="99">
        <v>-7.1054273576010019E-15</v>
      </c>
    </row>
    <row r="477" spans="11:12" x14ac:dyDescent="0.4">
      <c r="K477" s="38">
        <v>475</v>
      </c>
      <c r="L477" s="99">
        <v>-56.900000000000006</v>
      </c>
    </row>
    <row r="478" spans="11:12" x14ac:dyDescent="0.4">
      <c r="K478" s="38">
        <v>476</v>
      </c>
      <c r="L478" s="99">
        <v>-67.7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36.299999999999997</v>
      </c>
    </row>
    <row r="481" spans="11:12" x14ac:dyDescent="0.4">
      <c r="K481" s="38">
        <v>479</v>
      </c>
      <c r="L481" s="99">
        <v>-1.5</v>
      </c>
    </row>
    <row r="482" spans="11:12" x14ac:dyDescent="0.4">
      <c r="K482" s="38">
        <v>480</v>
      </c>
      <c r="L482" s="99">
        <v>0</v>
      </c>
    </row>
    <row r="483" spans="11:12" x14ac:dyDescent="0.4">
      <c r="K483" s="38">
        <v>481</v>
      </c>
      <c r="L483" s="99">
        <v>-30.5</v>
      </c>
    </row>
    <row r="484" spans="11:12" x14ac:dyDescent="0.4">
      <c r="K484" s="38">
        <v>482</v>
      </c>
      <c r="L484" s="99">
        <v>9.6000000000000014</v>
      </c>
    </row>
    <row r="485" spans="11:12" x14ac:dyDescent="0.4">
      <c r="K485" s="38">
        <v>483</v>
      </c>
      <c r="L485" s="99">
        <v>1.7763568394002505E-15</v>
      </c>
    </row>
    <row r="486" spans="11:12" x14ac:dyDescent="0.4">
      <c r="K486" s="38">
        <v>484</v>
      </c>
      <c r="L486" s="99">
        <v>44.6</v>
      </c>
    </row>
    <row r="487" spans="11:12" x14ac:dyDescent="0.4">
      <c r="K487" s="38">
        <v>485</v>
      </c>
      <c r="L487" s="99">
        <v>51.800000000000004</v>
      </c>
    </row>
    <row r="488" spans="11:12" x14ac:dyDescent="0.4">
      <c r="K488" s="38">
        <v>486</v>
      </c>
      <c r="L488" s="99">
        <v>7.1054273576010019E-15</v>
      </c>
    </row>
    <row r="489" spans="11:12" x14ac:dyDescent="0.4">
      <c r="K489" s="38">
        <v>487</v>
      </c>
      <c r="L489" s="99">
        <v>-56.099999999999994</v>
      </c>
    </row>
    <row r="490" spans="11:12" x14ac:dyDescent="0.4">
      <c r="K490" s="38">
        <v>488</v>
      </c>
      <c r="L490" s="99">
        <v>15.400000000000006</v>
      </c>
    </row>
    <row r="491" spans="11:12" x14ac:dyDescent="0.4">
      <c r="K491" s="38">
        <v>489</v>
      </c>
      <c r="L491" s="99">
        <v>5.3290705182007514E-15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FB60-66E7-486B-B2F0-53838B2BD8F6}">
  <sheetPr codeName="Sheet7"/>
  <dimension ref="A1:Q11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112</v>
      </c>
      <c r="C2" s="147"/>
      <c r="E2" s="62" t="s">
        <v>67</v>
      </c>
      <c r="F2" s="59" t="s">
        <v>23</v>
      </c>
      <c r="G2" s="46">
        <v>230</v>
      </c>
      <c r="H2" s="132">
        <f>IF(B$17=0,0,G2/B$17)</f>
        <v>0.72100313479623823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2284.6846846846847</v>
      </c>
      <c r="P2" s="118">
        <v>111</v>
      </c>
      <c r="Q2" s="102">
        <v>253600</v>
      </c>
    </row>
    <row r="3" spans="1:17" x14ac:dyDescent="0.4">
      <c r="A3" s="55" t="s">
        <v>8</v>
      </c>
      <c r="B3" s="148">
        <v>906</v>
      </c>
      <c r="C3" s="149"/>
      <c r="E3" s="63" t="s">
        <v>73</v>
      </c>
      <c r="F3" s="60" t="s">
        <v>28</v>
      </c>
      <c r="G3" s="47">
        <v>176</v>
      </c>
      <c r="H3" s="133">
        <f>IF(B$17=0,0,G3/B$17)</f>
        <v>0.55172413793103448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1551.3761467889908</v>
      </c>
      <c r="P3" s="119">
        <v>109</v>
      </c>
      <c r="Q3" s="103">
        <v>169100</v>
      </c>
    </row>
    <row r="4" spans="1:17" x14ac:dyDescent="0.4">
      <c r="A4" s="55" t="s">
        <v>6</v>
      </c>
      <c r="B4" s="150">
        <v>1405.8000000000009</v>
      </c>
      <c r="C4" s="151"/>
      <c r="E4" s="63" t="s">
        <v>65</v>
      </c>
      <c r="F4" s="60" t="s">
        <v>21</v>
      </c>
      <c r="G4" s="47">
        <v>161</v>
      </c>
      <c r="H4" s="133">
        <f>IF(B$17=0,0,G4/B$17)</f>
        <v>0.50470219435736674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1751.9230769230769</v>
      </c>
      <c r="P4" s="119">
        <v>104</v>
      </c>
      <c r="Q4" s="103">
        <v>182200</v>
      </c>
    </row>
    <row r="5" spans="1:17" x14ac:dyDescent="0.4">
      <c r="A5" s="55" t="s">
        <v>7</v>
      </c>
      <c r="B5" s="152">
        <f>IF(B$2=0,0,B$4/B$2)</f>
        <v>12.551785714285723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0.42319749216300939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1938.7096774193549</v>
      </c>
      <c r="P5" s="119">
        <v>93</v>
      </c>
      <c r="Q5" s="103">
        <v>180300</v>
      </c>
    </row>
    <row r="6" spans="1:17" x14ac:dyDescent="0.4">
      <c r="A6" s="55" t="s">
        <v>1</v>
      </c>
      <c r="B6" s="142">
        <f>IF(B$2=0,0,(B$7*1+B$8*2+B$9*3)/B$2)</f>
        <v>1.7321428571428572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0.30407523510971785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-3.6144578313253013</v>
      </c>
      <c r="P6" s="119">
        <v>83</v>
      </c>
      <c r="Q6" s="103">
        <v>-300</v>
      </c>
    </row>
    <row r="7" spans="1:17" x14ac:dyDescent="0.4">
      <c r="A7" s="55" t="s">
        <v>2</v>
      </c>
      <c r="B7" s="47">
        <v>56</v>
      </c>
      <c r="C7" s="39">
        <f>IF(B$2=0,0,B7/B$2)</f>
        <v>0.5</v>
      </c>
      <c r="E7" s="63" t="s">
        <v>69</v>
      </c>
      <c r="F7" s="60" t="s">
        <v>12</v>
      </c>
      <c r="G7" s="47">
        <v>84</v>
      </c>
      <c r="H7" s="133">
        <f>IF(B$17=0,0,G7/B$17)</f>
        <v>0.26332288401253917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263.01369863013701</v>
      </c>
      <c r="P7" s="120">
        <v>73</v>
      </c>
      <c r="Q7" s="104">
        <v>19200</v>
      </c>
    </row>
    <row r="8" spans="1:17" x14ac:dyDescent="0.4">
      <c r="A8" s="55" t="s">
        <v>3</v>
      </c>
      <c r="B8" s="47">
        <v>30</v>
      </c>
      <c r="C8" s="39">
        <f>IF(B$2=0,0,B8/B$2)</f>
        <v>0.26785714285714285</v>
      </c>
      <c r="E8" s="63" t="s">
        <v>70</v>
      </c>
      <c r="F8" s="60" t="s">
        <v>25</v>
      </c>
      <c r="G8" s="47">
        <v>59</v>
      </c>
      <c r="H8" s="133">
        <f>IF(B$17=0,0,G8/B$17)</f>
        <v>0.18495297805642633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0.23214285714285715</v>
      </c>
      <c r="E9" s="63" t="s">
        <v>90</v>
      </c>
      <c r="F9" s="60" t="s">
        <v>45</v>
      </c>
      <c r="G9" s="47">
        <v>50</v>
      </c>
      <c r="H9" s="133">
        <f>IF(B$17=0,0,G9/B$17)</f>
        <v>0.15673981191222572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0.10714285714285714</v>
      </c>
      <c r="E10" s="63" t="s">
        <v>66</v>
      </c>
      <c r="F10" s="60" t="s">
        <v>22</v>
      </c>
      <c r="G10" s="47">
        <v>49</v>
      </c>
      <c r="H10" s="133">
        <f>IF(B$17=0,0,G10/B$17)</f>
        <v>0.15360501567398119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0.17857142857142858</v>
      </c>
      <c r="E11" s="63" t="s">
        <v>71</v>
      </c>
      <c r="F11" s="60" t="s">
        <v>26</v>
      </c>
      <c r="G11" s="47">
        <v>33</v>
      </c>
      <c r="H11" s="133">
        <f>IF(B$17=0,0,G11/B$17)</f>
        <v>0.10344827586206896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7.5882352941176467</v>
      </c>
      <c r="P11" s="119">
        <v>34</v>
      </c>
      <c r="Q11" s="107">
        <v>258</v>
      </c>
    </row>
    <row r="12" spans="1:17" x14ac:dyDescent="0.4">
      <c r="A12" s="57" t="s">
        <v>160</v>
      </c>
      <c r="B12" s="49">
        <v>17</v>
      </c>
      <c r="C12" s="42">
        <f>IF(B$2=0,0,B12/B$2)</f>
        <v>0.15178571428571427</v>
      </c>
      <c r="E12" s="63" t="s">
        <v>72</v>
      </c>
      <c r="F12" s="60" t="s">
        <v>27</v>
      </c>
      <c r="G12" s="47">
        <v>22</v>
      </c>
      <c r="H12" s="133">
        <f>IF(B$17=0,0,G12/B$17)</f>
        <v>6.8965517241379309E-2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296</v>
      </c>
      <c r="C13" s="44">
        <f>IF(B$3=0,0,B13/B$3)</f>
        <v>0.32671081677704195</v>
      </c>
      <c r="E13" s="63" t="s">
        <v>87</v>
      </c>
      <c r="F13" s="60" t="s">
        <v>42</v>
      </c>
      <c r="G13" s="47">
        <v>22</v>
      </c>
      <c r="H13" s="133">
        <f>IF(B$17=0,0,G13/B$17)</f>
        <v>6.8965517241379309E-2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200</v>
      </c>
      <c r="C14" s="39">
        <f>IF(B$3=0,0,B14/B$3)</f>
        <v>0.22075055187637968</v>
      </c>
      <c r="E14" s="63" t="s">
        <v>84</v>
      </c>
      <c r="F14" s="60" t="s">
        <v>39</v>
      </c>
      <c r="G14" s="47">
        <v>17</v>
      </c>
      <c r="H14" s="133">
        <f>IF(B$17=0,0,G14/B$17)</f>
        <v>5.329153605015674E-2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0.58445945945945943</v>
      </c>
      <c r="E15" s="63" t="s">
        <v>82</v>
      </c>
      <c r="F15" s="60" t="s">
        <v>37</v>
      </c>
      <c r="G15" s="47">
        <v>11</v>
      </c>
      <c r="H15" s="133">
        <f>IF(B$17=0,0,G15/B$17)</f>
        <v>3.4482758620689655E-2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102</v>
      </c>
      <c r="C16" s="37">
        <f>IF(B$14=0,0,B16/B$14)</f>
        <v>0.51</v>
      </c>
      <c r="E16" s="63" t="s">
        <v>180</v>
      </c>
      <c r="F16" s="60" t="s">
        <v>183</v>
      </c>
      <c r="G16" s="47">
        <v>10</v>
      </c>
      <c r="H16" s="133">
        <f>IF(B$17=0,0,G16/B$17)</f>
        <v>3.1347962382445138E-2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35.458823529411767</v>
      </c>
      <c r="P16" s="119">
        <v>34</v>
      </c>
      <c r="Q16" s="107">
        <v>1205.6000000000001</v>
      </c>
    </row>
    <row r="17" spans="1:17" x14ac:dyDescent="0.4">
      <c r="A17" s="54" t="s">
        <v>10</v>
      </c>
      <c r="B17" s="46">
        <f>B19+B18</f>
        <v>319</v>
      </c>
      <c r="C17" s="37">
        <f>IF(B$3=0,0,B17/B$3)</f>
        <v>0.35209713024282563</v>
      </c>
      <c r="E17" s="63" t="s">
        <v>79</v>
      </c>
      <c r="F17" s="60" t="s">
        <v>34</v>
      </c>
      <c r="G17" s="47">
        <v>6</v>
      </c>
      <c r="H17" s="133">
        <f>IF(B$17=0,0,G17/B$17)</f>
        <v>1.8808777429467086E-2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0.41692789968652039</v>
      </c>
      <c r="E18" s="63" t="s">
        <v>80</v>
      </c>
      <c r="F18" s="60" t="s">
        <v>35</v>
      </c>
      <c r="G18" s="47">
        <v>4</v>
      </c>
      <c r="H18" s="133">
        <f>IF(B$17=0,0,G18/B$17)</f>
        <v>1.2539184952978056E-2</v>
      </c>
      <c r="I18" s="94">
        <v>7</v>
      </c>
      <c r="K18" s="38">
        <v>16</v>
      </c>
      <c r="L18" s="99">
        <v>425.50000000000006</v>
      </c>
      <c r="N18" s="115" t="s">
        <v>202</v>
      </c>
      <c r="O18" s="125">
        <f>IF(P18=0,0,Q18/P18)</f>
        <v>23.1</v>
      </c>
      <c r="P18" s="119">
        <v>1</v>
      </c>
      <c r="Q18" s="107">
        <v>23.1</v>
      </c>
    </row>
    <row r="19" spans="1:17" x14ac:dyDescent="0.4">
      <c r="A19" s="55" t="s">
        <v>11</v>
      </c>
      <c r="B19" s="47">
        <v>186</v>
      </c>
      <c r="C19" s="39">
        <f>IF(B$17=0,0,B19/B$17)</f>
        <v>0.58307210031347967</v>
      </c>
      <c r="E19" s="63" t="s">
        <v>92</v>
      </c>
      <c r="F19" s="60" t="s">
        <v>47</v>
      </c>
      <c r="G19" s="47">
        <v>4</v>
      </c>
      <c r="H19" s="133">
        <f>IF(B$17=0,0,G19/B$17)</f>
        <v>1.2539184952978056E-2</v>
      </c>
      <c r="I19" s="94">
        <v>5</v>
      </c>
      <c r="K19" s="38">
        <v>17</v>
      </c>
      <c r="L19" s="99">
        <v>427.40000000000003</v>
      </c>
      <c r="N19" s="115" t="s">
        <v>177</v>
      </c>
      <c r="O19" s="125">
        <f>IF(P19=0,0,Q19/P19)</f>
        <v>22.984615384615385</v>
      </c>
      <c r="P19" s="119">
        <v>13</v>
      </c>
      <c r="Q19" s="107">
        <v>298.8</v>
      </c>
    </row>
    <row r="20" spans="1:17" x14ac:dyDescent="0.4">
      <c r="A20" s="55" t="s">
        <v>13</v>
      </c>
      <c r="B20" s="47">
        <v>139</v>
      </c>
      <c r="C20" s="39">
        <f>IF(B$3=0,0,B20/B$3)</f>
        <v>0.15342163355408389</v>
      </c>
      <c r="E20" s="63" t="s">
        <v>74</v>
      </c>
      <c r="F20" s="60" t="s">
        <v>29</v>
      </c>
      <c r="G20" s="47">
        <v>2</v>
      </c>
      <c r="H20" s="133">
        <f>IF(B$17=0,0,G20/B$17)</f>
        <v>6.269592476489028E-3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3.134796238244514E-3</v>
      </c>
      <c r="I21" s="94">
        <v>7</v>
      </c>
      <c r="K21" s="38">
        <v>19</v>
      </c>
      <c r="L21" s="99">
        <v>405.40000000000003</v>
      </c>
      <c r="N21" s="115" t="s">
        <v>172</v>
      </c>
      <c r="O21" s="125">
        <f>IF(P21=0,0,Q21/P21)</f>
        <v>21.879310344827591</v>
      </c>
      <c r="P21" s="119">
        <v>29</v>
      </c>
      <c r="Q21" s="107">
        <v>634.50000000000011</v>
      </c>
    </row>
    <row r="22" spans="1:17" x14ac:dyDescent="0.4">
      <c r="A22" s="55" t="s">
        <v>194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1</v>
      </c>
      <c r="H22" s="133">
        <f>IF(B$17=0,0,G22/B$17)</f>
        <v>3.134796238244514E-3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16.614102564102566</v>
      </c>
      <c r="P22" s="119">
        <v>78</v>
      </c>
      <c r="Q22" s="107">
        <v>1295.9000000000001</v>
      </c>
    </row>
    <row r="23" spans="1:17" x14ac:dyDescent="0.4">
      <c r="A23" s="55" t="s">
        <v>5</v>
      </c>
      <c r="B23" s="51">
        <f>IF(B$17=0,0,C23/B$17)</f>
        <v>9076.1755485893409</v>
      </c>
      <c r="C23" s="41">
        <v>2895300</v>
      </c>
      <c r="E23" s="63" t="s">
        <v>86</v>
      </c>
      <c r="F23" s="60" t="s">
        <v>41</v>
      </c>
      <c r="G23" s="47">
        <v>1</v>
      </c>
      <c r="H23" s="133">
        <f>IF(B$17=0,0,G23/B$17)</f>
        <v>3.134796238244514E-3</v>
      </c>
      <c r="I23" s="94">
        <v>2</v>
      </c>
      <c r="K23" s="38">
        <v>21</v>
      </c>
      <c r="L23" s="99">
        <v>468.3</v>
      </c>
      <c r="N23" s="115" t="s">
        <v>186</v>
      </c>
      <c r="O23" s="125">
        <f>IF(P23=0,0,Q23/P23)</f>
        <v>15.424999999999994</v>
      </c>
      <c r="P23" s="119">
        <v>8</v>
      </c>
      <c r="Q23" s="107">
        <v>123.39999999999995</v>
      </c>
    </row>
    <row r="24" spans="1:17" x14ac:dyDescent="0.4">
      <c r="A24" s="57" t="s">
        <v>14</v>
      </c>
      <c r="B24" s="52">
        <f>IF(B$20=0,0,C24/B$20)</f>
        <v>-8412.9496402877703</v>
      </c>
      <c r="C24" s="45">
        <v>-1169400</v>
      </c>
      <c r="E24" s="63" t="s">
        <v>88</v>
      </c>
      <c r="F24" s="60" t="s">
        <v>43</v>
      </c>
      <c r="G24" s="47">
        <v>1</v>
      </c>
      <c r="H24" s="133">
        <f>IF(B$17=0,0,G24/B$17)</f>
        <v>3.134796238244514E-3</v>
      </c>
      <c r="I24" s="94">
        <v>5</v>
      </c>
      <c r="K24" s="38">
        <v>22</v>
      </c>
      <c r="L24" s="99">
        <v>519.20000000000005</v>
      </c>
      <c r="N24" s="115" t="s">
        <v>171</v>
      </c>
      <c r="O24" s="125">
        <f>IF(P24=0,0,Q24/P24)</f>
        <v>2.1076923076923046</v>
      </c>
      <c r="P24" s="119">
        <v>39</v>
      </c>
      <c r="Q24" s="107">
        <v>82.199999999999875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3.134796238244514E-3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3.134796238244514E-3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1.1037527593818985E-3</v>
      </c>
      <c r="E27" s="63" t="s">
        <v>94</v>
      </c>
      <c r="F27" s="60" t="s">
        <v>49</v>
      </c>
      <c r="G27" s="47">
        <v>1</v>
      </c>
      <c r="H27" s="133">
        <f>IF(B$17=0,0,G27/B$17)</f>
        <v>3.134796238244514E-3</v>
      </c>
      <c r="I27" s="94">
        <v>3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3.134796238244514E-3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009D-6D1A-453A-98CF-BC161055177C}">
  <sheetPr codeName="Sheet9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110</v>
      </c>
      <c r="C2" s="147"/>
      <c r="E2" s="62" t="s">
        <v>65</v>
      </c>
      <c r="F2" s="59" t="s">
        <v>21</v>
      </c>
      <c r="G2" s="46">
        <v>153</v>
      </c>
      <c r="H2" s="132">
        <f>IF(B$17=0,0,G2/B$17)</f>
        <v>0.6071428571428571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540.36697247706422</v>
      </c>
      <c r="P2" s="118">
        <v>109</v>
      </c>
      <c r="Q2" s="102">
        <v>58900</v>
      </c>
    </row>
    <row r="3" spans="1:17" x14ac:dyDescent="0.4">
      <c r="A3" s="55" t="s">
        <v>8</v>
      </c>
      <c r="B3" s="148">
        <v>912</v>
      </c>
      <c r="C3" s="149"/>
      <c r="E3" s="63" t="s">
        <v>66</v>
      </c>
      <c r="F3" s="60" t="s">
        <v>22</v>
      </c>
      <c r="G3" s="47">
        <v>39</v>
      </c>
      <c r="H3" s="133">
        <f>IF(B$17=0,0,G3/B$17)</f>
        <v>0.15476190476190477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-2221.4953271028039</v>
      </c>
      <c r="P3" s="119">
        <v>107</v>
      </c>
      <c r="Q3" s="103">
        <v>-237700</v>
      </c>
    </row>
    <row r="4" spans="1:17" x14ac:dyDescent="0.4">
      <c r="A4" s="55" t="s">
        <v>6</v>
      </c>
      <c r="B4" s="150">
        <v>-256.90000000000003</v>
      </c>
      <c r="C4" s="151"/>
      <c r="E4" s="63" t="s">
        <v>67</v>
      </c>
      <c r="F4" s="60" t="s">
        <v>23</v>
      </c>
      <c r="G4" s="47">
        <v>192</v>
      </c>
      <c r="H4" s="133">
        <f>IF(B$17=0,0,G4/B$17)</f>
        <v>0.76190476190476186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-137.5</v>
      </c>
      <c r="P4" s="119">
        <v>104</v>
      </c>
      <c r="Q4" s="103">
        <v>-14300</v>
      </c>
    </row>
    <row r="5" spans="1:17" x14ac:dyDescent="0.4">
      <c r="A5" s="55" t="s">
        <v>7</v>
      </c>
      <c r="B5" s="152">
        <f>IF(B$2=0,0,B$4/B$2)</f>
        <v>-2.3354545454545459</v>
      </c>
      <c r="C5" s="153"/>
      <c r="E5" s="63" t="s">
        <v>68</v>
      </c>
      <c r="F5" s="60" t="s">
        <v>24</v>
      </c>
      <c r="G5" s="47">
        <v>91</v>
      </c>
      <c r="H5" s="133">
        <f>IF(B$17=0,0,G5/B$17)</f>
        <v>0.3611111111111111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631.52173913043475</v>
      </c>
      <c r="P5" s="119">
        <v>92</v>
      </c>
      <c r="Q5" s="103">
        <v>58100</v>
      </c>
    </row>
    <row r="6" spans="1:17" x14ac:dyDescent="0.4">
      <c r="A6" s="55" t="s">
        <v>1</v>
      </c>
      <c r="B6" s="142">
        <f>IF(B$2=0,0,(B$7*1+B$8*2+B$9*3)/B$2)</f>
        <v>2.0727272727272728</v>
      </c>
      <c r="C6" s="143"/>
      <c r="E6" s="63" t="s">
        <v>69</v>
      </c>
      <c r="F6" s="60" t="s">
        <v>12</v>
      </c>
      <c r="G6" s="47">
        <v>84</v>
      </c>
      <c r="H6" s="133">
        <f>IF(B$17=0,0,G6/B$17)</f>
        <v>0.33333333333333331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412.04819277108436</v>
      </c>
      <c r="P6" s="119">
        <v>83</v>
      </c>
      <c r="Q6" s="103">
        <v>34200</v>
      </c>
    </row>
    <row r="7" spans="1:17" x14ac:dyDescent="0.4">
      <c r="A7" s="55" t="s">
        <v>2</v>
      </c>
      <c r="B7" s="47">
        <v>30</v>
      </c>
      <c r="C7" s="39">
        <f>IF(B$2=0,0,B7/B$2)</f>
        <v>0.27272727272727271</v>
      </c>
      <c r="E7" s="63" t="s">
        <v>70</v>
      </c>
      <c r="F7" s="60" t="s">
        <v>25</v>
      </c>
      <c r="G7" s="47">
        <v>56</v>
      </c>
      <c r="H7" s="133">
        <f>IF(B$17=0,0,G7/B$17)</f>
        <v>0.22222222222222221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477.63157894736844</v>
      </c>
      <c r="P7" s="120">
        <v>76</v>
      </c>
      <c r="Q7" s="104">
        <v>36300</v>
      </c>
    </row>
    <row r="8" spans="1:17" x14ac:dyDescent="0.4">
      <c r="A8" s="55" t="s">
        <v>3</v>
      </c>
      <c r="B8" s="47">
        <v>42</v>
      </c>
      <c r="C8" s="39">
        <f>IF(B$2=0,0,B8/B$2)</f>
        <v>0.38181818181818183</v>
      </c>
      <c r="E8" s="63" t="s">
        <v>71</v>
      </c>
      <c r="F8" s="60" t="s">
        <v>26</v>
      </c>
      <c r="G8" s="47">
        <v>31</v>
      </c>
      <c r="H8" s="133">
        <f>IF(B$17=0,0,G8/B$17)</f>
        <v>0.12301587301587301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ref="C9" si="1">IF(B$2=0,0,B9/B$2)</f>
        <v>0.34545454545454546</v>
      </c>
      <c r="E9" s="63" t="s">
        <v>72</v>
      </c>
      <c r="F9" s="60" t="s">
        <v>27</v>
      </c>
      <c r="G9" s="47">
        <v>14</v>
      </c>
      <c r="H9" s="133">
        <f>IF(B$17=0,0,G9/B$17)</f>
        <v>5.5555555555555552E-2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0.12727272727272726</v>
      </c>
      <c r="E10" s="63" t="s">
        <v>73</v>
      </c>
      <c r="F10" s="60" t="s">
        <v>28</v>
      </c>
      <c r="G10" s="47">
        <v>118</v>
      </c>
      <c r="H10" s="133">
        <f>IF(B$17=0,0,G10/B$17)</f>
        <v>0.46825396825396826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-6.3789473684210538</v>
      </c>
      <c r="P10" s="118">
        <v>57</v>
      </c>
      <c r="Q10" s="106">
        <v>-363.60000000000008</v>
      </c>
    </row>
    <row r="11" spans="1:17" x14ac:dyDescent="0.4">
      <c r="A11" s="56" t="s">
        <v>140</v>
      </c>
      <c r="B11" s="48">
        <v>10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7.9365079365079361E-3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7.2727272727272724E-2</v>
      </c>
      <c r="E12" s="63" t="s">
        <v>75</v>
      </c>
      <c r="F12" s="60" t="s">
        <v>30</v>
      </c>
      <c r="G12" s="47">
        <v>2</v>
      </c>
      <c r="H12" s="133">
        <f>IF(B$17=0,0,G12/B$17)</f>
        <v>7.9365079365079361E-3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6.2481481481481476</v>
      </c>
      <c r="P12" s="120">
        <v>27</v>
      </c>
      <c r="Q12" s="108">
        <v>168.7</v>
      </c>
    </row>
    <row r="13" spans="1:17" x14ac:dyDescent="0.4">
      <c r="A13" s="58" t="s">
        <v>122</v>
      </c>
      <c r="B13" s="50">
        <v>271</v>
      </c>
      <c r="C13" s="44">
        <f>IF(B$3=0,0,B13/B$3)</f>
        <v>0.29714912280701755</v>
      </c>
      <c r="E13" s="63" t="s">
        <v>76</v>
      </c>
      <c r="F13" s="60" t="s">
        <v>31</v>
      </c>
      <c r="G13" s="47">
        <v>2</v>
      </c>
      <c r="H13" s="133">
        <f>IF(B$17=0,0,G13/B$17)</f>
        <v>7.9365079365079361E-3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167</v>
      </c>
      <c r="C14" s="39">
        <f>IF(B$3=0,0,B14/B$3)</f>
        <v>0.18311403508771928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0.59409594095940954</v>
      </c>
      <c r="E15" s="63" t="s">
        <v>78</v>
      </c>
      <c r="F15" s="60" t="s">
        <v>33</v>
      </c>
      <c r="G15" s="47">
        <v>1</v>
      </c>
      <c r="H15" s="133">
        <f>IF(B$17=0,0,G15/B$17)</f>
        <v>3.968253968253968E-3</v>
      </c>
      <c r="I15" s="94">
        <v>2</v>
      </c>
      <c r="K15" s="38">
        <v>13</v>
      </c>
      <c r="L15" s="99">
        <v>-81.900000000000006</v>
      </c>
      <c r="N15" s="114" t="s">
        <v>202</v>
      </c>
      <c r="O15" s="124">
        <f t="shared" ref="O15:O22" si="2"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49</v>
      </c>
      <c r="C16" s="37">
        <f>IF(B$14=0,0,B16/B$14)</f>
        <v>0.29341317365269459</v>
      </c>
      <c r="E16" s="63" t="s">
        <v>79</v>
      </c>
      <c r="F16" s="60" t="s">
        <v>34</v>
      </c>
      <c r="G16" s="47">
        <v>3</v>
      </c>
      <c r="H16" s="133">
        <f>IF(B$17=0,0,G16/B$17)</f>
        <v>1.1904761904761904E-2</v>
      </c>
      <c r="I16" s="94">
        <v>9</v>
      </c>
      <c r="K16" s="38">
        <v>14</v>
      </c>
      <c r="L16" s="99">
        <v>-25.600000000000009</v>
      </c>
      <c r="N16" s="115" t="s">
        <v>186</v>
      </c>
      <c r="O16" s="125">
        <f t="shared" si="2"/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252</v>
      </c>
      <c r="C17" s="37">
        <f>IF(B$3=0,0,B17/B$3)</f>
        <v>0.27631578947368424</v>
      </c>
      <c r="E17" s="63" t="s">
        <v>80</v>
      </c>
      <c r="F17" s="60" t="s">
        <v>35</v>
      </c>
      <c r="G17" s="47">
        <v>5</v>
      </c>
      <c r="H17" s="133">
        <f>IF(B$17=0,0,G17/B$17)</f>
        <v>1.984126984126984E-2</v>
      </c>
      <c r="I17" s="94">
        <v>2</v>
      </c>
      <c r="K17" s="38">
        <v>15</v>
      </c>
      <c r="L17" s="99">
        <v>47.999999999999986</v>
      </c>
      <c r="N17" s="115" t="s">
        <v>129</v>
      </c>
      <c r="O17" s="125">
        <f t="shared" si="2"/>
        <v>12.41176470588235</v>
      </c>
      <c r="P17" s="119">
        <v>34</v>
      </c>
      <c r="Q17" s="107">
        <v>421.99999999999989</v>
      </c>
    </row>
    <row r="18" spans="1:17" x14ac:dyDescent="0.4">
      <c r="A18" s="55" t="s">
        <v>12</v>
      </c>
      <c r="B18" s="47">
        <v>106</v>
      </c>
      <c r="C18" s="39">
        <f>IF(B$17=0,0,B18/B$17)</f>
        <v>0.42063492063492064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146</v>
      </c>
      <c r="C19" s="39">
        <f>IF(B$17=0,0,B19/B$17)</f>
        <v>0.57936507936507942</v>
      </c>
      <c r="E19" s="63" t="s">
        <v>82</v>
      </c>
      <c r="F19" s="60" t="s">
        <v>37</v>
      </c>
      <c r="G19" s="47">
        <v>8</v>
      </c>
      <c r="H19" s="133">
        <f>IF(B$17=0,0,G19/B$17)</f>
        <v>3.1746031746031744E-2</v>
      </c>
      <c r="I19" s="94">
        <v>6</v>
      </c>
      <c r="K19" s="38">
        <v>17</v>
      </c>
      <c r="L19" s="99">
        <v>94.6</v>
      </c>
      <c r="N19" s="115" t="s">
        <v>177</v>
      </c>
      <c r="O19" s="125">
        <f t="shared" si="2"/>
        <v>0.99473684210526303</v>
      </c>
      <c r="P19" s="119">
        <v>19</v>
      </c>
      <c r="Q19" s="107">
        <v>18.899999999999999</v>
      </c>
    </row>
    <row r="20" spans="1:17" x14ac:dyDescent="0.4">
      <c r="A20" s="55" t="s">
        <v>13</v>
      </c>
      <c r="B20" s="47">
        <v>156</v>
      </c>
      <c r="C20" s="39">
        <f>IF(B$3=0,0,B20/B$3)</f>
        <v>0.17105263157894737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171</v>
      </c>
      <c r="O20" s="125">
        <f t="shared" si="2"/>
        <v>-1.0249999999999939</v>
      </c>
      <c r="P20" s="119">
        <v>32</v>
      </c>
      <c r="Q20" s="107">
        <v>-32.799999999999805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3.968253968253968E-2</v>
      </c>
      <c r="I21" s="94">
        <v>7</v>
      </c>
      <c r="K21" s="38">
        <v>19</v>
      </c>
      <c r="L21" s="99">
        <v>138.79999999999998</v>
      </c>
      <c r="N21" s="115" t="s">
        <v>173</v>
      </c>
      <c r="O21" s="125">
        <f t="shared" si="2"/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3.968253968253968E-3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9246.4285714285706</v>
      </c>
      <c r="C23" s="41">
        <v>2330100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-7592.9487179487178</v>
      </c>
      <c r="C24" s="45">
        <v>-1184500</v>
      </c>
      <c r="E24" s="63" t="s">
        <v>87</v>
      </c>
      <c r="F24" s="60" t="s">
        <v>42</v>
      </c>
      <c r="G24" s="47">
        <v>13</v>
      </c>
      <c r="H24" s="133">
        <f>IF(B$17=0,0,G24/B$17)</f>
        <v>5.1587301587301584E-2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3.968253968253968E-3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5.4824561403508769E-3</v>
      </c>
      <c r="E27" s="63" t="s">
        <v>90</v>
      </c>
      <c r="F27" s="60" t="s">
        <v>45</v>
      </c>
      <c r="G27" s="47">
        <v>24</v>
      </c>
      <c r="H27" s="133">
        <f>IF(B$17=0,0,G27/B$17)</f>
        <v>9.5238095238095233E-2</v>
      </c>
      <c r="I27" s="94">
        <v>11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2.3809523809523808E-2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3.968253968253968E-3</v>
      </c>
      <c r="I30" s="94">
        <v>2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3.968253968253968E-3</v>
      </c>
      <c r="I31" s="94">
        <v>2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3.968253968253968E-3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1.5873015873015872E-2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110</v>
      </c>
      <c r="H51" s="134">
        <f>IF(B$17=0,0,G51/B$17)</f>
        <v>0.43650793650793651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-388.20000000000005</v>
      </c>
    </row>
    <row r="105" spans="11:12" x14ac:dyDescent="0.4">
      <c r="K105" s="38">
        <v>103</v>
      </c>
      <c r="L105" s="99">
        <v>-313.00000000000006</v>
      </c>
    </row>
    <row r="106" spans="11:12" x14ac:dyDescent="0.4">
      <c r="K106" s="38">
        <v>104</v>
      </c>
      <c r="L106" s="99">
        <v>-343.60000000000008</v>
      </c>
    </row>
    <row r="107" spans="11:12" x14ac:dyDescent="0.4">
      <c r="K107" s="38">
        <v>105</v>
      </c>
      <c r="L107" s="99">
        <v>-298.80000000000007</v>
      </c>
    </row>
    <row r="108" spans="11:12" x14ac:dyDescent="0.4">
      <c r="K108" s="38">
        <v>106</v>
      </c>
      <c r="L108" s="99">
        <v>-236.30000000000007</v>
      </c>
    </row>
    <row r="109" spans="11:12" x14ac:dyDescent="0.4">
      <c r="K109" s="38">
        <v>107</v>
      </c>
      <c r="L109" s="99">
        <v>-274.00000000000006</v>
      </c>
    </row>
    <row r="110" spans="11:12" x14ac:dyDescent="0.4">
      <c r="K110" s="38">
        <v>108</v>
      </c>
      <c r="L110" s="99">
        <v>-253.50000000000006</v>
      </c>
    </row>
    <row r="111" spans="11:12" x14ac:dyDescent="0.4">
      <c r="K111" s="38">
        <v>109</v>
      </c>
      <c r="L111" s="99">
        <v>-246.10000000000005</v>
      </c>
    </row>
    <row r="112" spans="11:12" x14ac:dyDescent="0.4">
      <c r="K112" s="38">
        <v>110</v>
      </c>
      <c r="L112" s="99">
        <v>-256.90000000000003</v>
      </c>
    </row>
  </sheetData>
  <sortState ref="E2:I11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5AAB-1764-4A80-AD58-B78B90CE1D41}">
  <sheetPr codeName="Sheet11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</v>
      </c>
      <c r="C2" s="147"/>
      <c r="E2" s="62" t="s">
        <v>67</v>
      </c>
      <c r="F2" s="59" t="s">
        <v>23</v>
      </c>
      <c r="G2" s="46">
        <v>99</v>
      </c>
      <c r="H2" s="132">
        <f>IF(B$17=0,0,G2/B$17)</f>
        <v>0.93396226415094341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-3316.0714285714284</v>
      </c>
      <c r="P2" s="118">
        <v>56</v>
      </c>
      <c r="Q2" s="102">
        <v>-185700</v>
      </c>
    </row>
    <row r="3" spans="1:17" x14ac:dyDescent="0.4">
      <c r="A3" s="55" t="s">
        <v>8</v>
      </c>
      <c r="B3" s="148">
        <v>467</v>
      </c>
      <c r="C3" s="149"/>
      <c r="E3" s="63" t="s">
        <v>65</v>
      </c>
      <c r="F3" s="60" t="s">
        <v>21</v>
      </c>
      <c r="G3" s="47">
        <v>60</v>
      </c>
      <c r="H3" s="133">
        <f>IF(B$17=0,0,G3/B$17)</f>
        <v>0.56603773584905659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-1432.7272727272727</v>
      </c>
      <c r="P3" s="119">
        <v>55</v>
      </c>
      <c r="Q3" s="103">
        <v>-78800</v>
      </c>
    </row>
    <row r="4" spans="1:17" x14ac:dyDescent="0.4">
      <c r="A4" s="55" t="s">
        <v>6</v>
      </c>
      <c r="B4" s="150">
        <v>-858.49999999999977</v>
      </c>
      <c r="C4" s="151"/>
      <c r="E4" s="63" t="s">
        <v>69</v>
      </c>
      <c r="F4" s="60" t="s">
        <v>12</v>
      </c>
      <c r="G4" s="47">
        <v>45</v>
      </c>
      <c r="H4" s="133">
        <f>IF(B$17=0,0,G4/B$17)</f>
        <v>0.42452830188679247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-941.17647058823525</v>
      </c>
      <c r="P4" s="119">
        <v>51</v>
      </c>
      <c r="Q4" s="103">
        <v>-48000</v>
      </c>
    </row>
    <row r="5" spans="1:17" x14ac:dyDescent="0.4">
      <c r="A5" s="55" t="s">
        <v>7</v>
      </c>
      <c r="B5" s="152">
        <f>IF(B$2=0,0,B$4/B$2)</f>
        <v>-15.061403508771926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0.39622641509433965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-4762.7906976744189</v>
      </c>
      <c r="P5" s="119">
        <v>43</v>
      </c>
      <c r="Q5" s="103">
        <v>-204800</v>
      </c>
    </row>
    <row r="6" spans="1:17" x14ac:dyDescent="0.4">
      <c r="A6" s="55" t="s">
        <v>1</v>
      </c>
      <c r="B6" s="142">
        <f>IF(B$2=0,0,(B$7*1+B$8*2+B$9*3)/B$2)</f>
        <v>2.2456140350877192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0.3867924528301887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-492.30769230769232</v>
      </c>
      <c r="P6" s="119">
        <v>39</v>
      </c>
      <c r="Q6" s="103">
        <v>-19200</v>
      </c>
    </row>
    <row r="7" spans="1:17" x14ac:dyDescent="0.4">
      <c r="A7" s="55" t="s">
        <v>2</v>
      </c>
      <c r="B7" s="47">
        <v>14</v>
      </c>
      <c r="C7" s="39">
        <f>IF(B$2=0,0,B7/B$2)</f>
        <v>0.24561403508771928</v>
      </c>
      <c r="E7" s="63" t="s">
        <v>73</v>
      </c>
      <c r="F7" s="60" t="s">
        <v>28</v>
      </c>
      <c r="G7" s="47">
        <v>35</v>
      </c>
      <c r="H7" s="133">
        <f>IF(B$17=0,0,G7/B$17)</f>
        <v>0.330188679245283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-1886.1111111111111</v>
      </c>
      <c r="P7" s="120">
        <v>36</v>
      </c>
      <c r="Q7" s="104">
        <v>-67900</v>
      </c>
    </row>
    <row r="8" spans="1:17" x14ac:dyDescent="0.4">
      <c r="A8" s="55" t="s">
        <v>3</v>
      </c>
      <c r="B8" s="47">
        <v>15</v>
      </c>
      <c r="C8" s="39">
        <f>IF(B$2=0,0,B8/B$2)</f>
        <v>0.26315789473684209</v>
      </c>
      <c r="E8" s="63" t="s">
        <v>70</v>
      </c>
      <c r="F8" s="60" t="s">
        <v>25</v>
      </c>
      <c r="G8" s="47">
        <v>25</v>
      </c>
      <c r="H8" s="133">
        <f>IF(B$17=0,0,G8/B$17)</f>
        <v>0.23584905660377359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0.49122807017543857</v>
      </c>
      <c r="E9" s="63" t="s">
        <v>71</v>
      </c>
      <c r="F9" s="60" t="s">
        <v>26</v>
      </c>
      <c r="G9" s="47">
        <v>16</v>
      </c>
      <c r="H9" s="133">
        <f>IF(B$17=0,0,G9/B$17)</f>
        <v>0.15094339622641509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0.19298245614035087</v>
      </c>
      <c r="E10" s="63" t="s">
        <v>72</v>
      </c>
      <c r="F10" s="60" t="s">
        <v>27</v>
      </c>
      <c r="G10" s="47">
        <v>12</v>
      </c>
      <c r="H10" s="133">
        <f>IF(B$17=0,0,G10/B$17)</f>
        <v>0.11320754716981132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0.12280701754385964</v>
      </c>
      <c r="E11" s="63" t="s">
        <v>90</v>
      </c>
      <c r="F11" s="60" t="s">
        <v>45</v>
      </c>
      <c r="G11" s="47">
        <v>10</v>
      </c>
      <c r="H11" s="133">
        <f>IF(B$17=0,0,G11/B$17)</f>
        <v>9.4339622641509441E-2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-9.565217391304353</v>
      </c>
      <c r="P11" s="119">
        <v>23</v>
      </c>
      <c r="Q11" s="107">
        <v>-220.00000000000011</v>
      </c>
    </row>
    <row r="12" spans="1:17" x14ac:dyDescent="0.4">
      <c r="A12" s="57" t="s">
        <v>160</v>
      </c>
      <c r="B12" s="49">
        <v>5</v>
      </c>
      <c r="C12" s="42">
        <f>IF(B$2=0,0,B12/B$2)</f>
        <v>8.771929824561403E-2</v>
      </c>
      <c r="E12" s="63" t="s">
        <v>87</v>
      </c>
      <c r="F12" s="60" t="s">
        <v>42</v>
      </c>
      <c r="G12" s="47">
        <v>9</v>
      </c>
      <c r="H12" s="133">
        <f>IF(B$17=0,0,G12/B$17)</f>
        <v>8.4905660377358486E-2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-21.65</v>
      </c>
      <c r="P12" s="120">
        <v>16</v>
      </c>
      <c r="Q12" s="108">
        <v>-346.4</v>
      </c>
    </row>
    <row r="13" spans="1:17" x14ac:dyDescent="0.4">
      <c r="A13" s="58" t="s">
        <v>122</v>
      </c>
      <c r="B13" s="50">
        <v>120</v>
      </c>
      <c r="C13" s="44">
        <f>IF(B$3=0,0,B13/B$3)</f>
        <v>0.2569593147751606</v>
      </c>
      <c r="E13" s="63" t="s">
        <v>66</v>
      </c>
      <c r="F13" s="60" t="s">
        <v>22</v>
      </c>
      <c r="G13" s="47">
        <v>7</v>
      </c>
      <c r="H13" s="133">
        <f>IF(B$17=0,0,G13/B$17)</f>
        <v>6.6037735849056603E-2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0.15631691648822268</v>
      </c>
      <c r="E14" s="63" t="s">
        <v>79</v>
      </c>
      <c r="F14" s="60" t="s">
        <v>34</v>
      </c>
      <c r="G14" s="47">
        <v>4</v>
      </c>
      <c r="H14" s="133">
        <f>IF(B$17=0,0,G14/B$17)</f>
        <v>3.7735849056603772E-2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0.51666666666666672</v>
      </c>
      <c r="E15" s="63" t="s">
        <v>84</v>
      </c>
      <c r="F15" s="60" t="s">
        <v>39</v>
      </c>
      <c r="G15" s="47">
        <v>4</v>
      </c>
      <c r="H15" s="133">
        <f>IF(B$17=0,0,G15/B$17)</f>
        <v>3.7735849056603772E-2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18</v>
      </c>
      <c r="C16" s="37">
        <f>IF(B$14=0,0,B16/B$14)</f>
        <v>0.24657534246575341</v>
      </c>
      <c r="E16" s="63" t="s">
        <v>75</v>
      </c>
      <c r="F16" s="60" t="s">
        <v>30</v>
      </c>
      <c r="G16" s="47">
        <v>1</v>
      </c>
      <c r="H16" s="133">
        <f>IF(B$17=0,0,G16/B$17)</f>
        <v>9.433962264150943E-3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21.775000000000006</v>
      </c>
      <c r="P16" s="119">
        <v>8</v>
      </c>
      <c r="Q16" s="107">
        <v>174.20000000000005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0.22698072805139186</v>
      </c>
      <c r="E17" s="63" t="s">
        <v>78</v>
      </c>
      <c r="F17" s="60" t="s">
        <v>33</v>
      </c>
      <c r="G17" s="47">
        <v>1</v>
      </c>
      <c r="H17" s="133">
        <f>IF(B$17=0,0,G17/B$17)</f>
        <v>9.433962264150943E-3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51</v>
      </c>
      <c r="C18" s="39">
        <f>IF(B$17=0,0,B18/B$17)</f>
        <v>0.48113207547169812</v>
      </c>
      <c r="E18" s="63" t="s">
        <v>80</v>
      </c>
      <c r="F18" s="60" t="s">
        <v>35</v>
      </c>
      <c r="G18" s="47">
        <v>1</v>
      </c>
      <c r="H18" s="133">
        <f>IF(B$17=0,0,G18/B$17)</f>
        <v>9.433962264150943E-3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-21.731250000000003</v>
      </c>
      <c r="P18" s="119">
        <v>16</v>
      </c>
      <c r="Q18" s="107">
        <v>-347.70000000000005</v>
      </c>
    </row>
    <row r="19" spans="1:17" x14ac:dyDescent="0.4">
      <c r="A19" s="55" t="s">
        <v>11</v>
      </c>
      <c r="B19" s="47">
        <v>55</v>
      </c>
      <c r="C19" s="39">
        <f>IF(B$17=0,0,B19/B$17)</f>
        <v>0.51886792452830188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91</v>
      </c>
      <c r="C20" s="39">
        <f>IF(B$3=0,0,B20/B$3)</f>
        <v>0.19486081370449679</v>
      </c>
      <c r="E20" s="63" t="s">
        <v>88</v>
      </c>
      <c r="F20" s="60" t="s">
        <v>43</v>
      </c>
      <c r="G20" s="47">
        <v>1</v>
      </c>
      <c r="H20" s="133">
        <f>IF(B$17=0,0,G20/B$17)</f>
        <v>9.433962264150943E-3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-35.458823529411774</v>
      </c>
      <c r="P20" s="119">
        <v>34</v>
      </c>
      <c r="Q20" s="107">
        <v>-1205.6000000000004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89</v>
      </c>
      <c r="F21" s="60" t="s">
        <v>44</v>
      </c>
      <c r="G21" s="47">
        <v>1</v>
      </c>
      <c r="H21" s="133">
        <f>IF(B$17=0,0,G21/B$17)</f>
        <v>9.433962264150943E-3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92</v>
      </c>
      <c r="F22" s="60" t="s">
        <v>47</v>
      </c>
      <c r="G22" s="47">
        <v>1</v>
      </c>
      <c r="H22" s="133">
        <f>IF(B$17=0,0,G22/B$17)</f>
        <v>9.433962264150943E-3</v>
      </c>
      <c r="I22" s="94">
        <v>8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9033.9622641509432</v>
      </c>
      <c r="C23" s="41">
        <v>957600</v>
      </c>
      <c r="E23" s="63" t="s">
        <v>94</v>
      </c>
      <c r="F23" s="60" t="s">
        <v>49</v>
      </c>
      <c r="G23" s="47">
        <v>1</v>
      </c>
      <c r="H23" s="133">
        <f>IF(B$17=0,0,G23/B$17)</f>
        <v>9.433962264150943E-3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-9095.6043956043959</v>
      </c>
      <c r="C24" s="45">
        <v>-827700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2.1413276231263384E-3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-800.5999999999998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-754.5999999999998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-756.69999999999982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C70B-7B6F-4817-A3D9-AA9796660D58}">
  <sheetPr codeName="Sheet13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122</v>
      </c>
      <c r="H2" s="132">
        <f>IF(B$17=0,0,G2/B$17)</f>
        <v>0.79738562091503273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267.1875</v>
      </c>
      <c r="P2" s="118">
        <v>64</v>
      </c>
      <c r="Q2" s="102">
        <v>17100</v>
      </c>
    </row>
    <row r="3" spans="1:17" x14ac:dyDescent="0.4">
      <c r="A3" s="55" t="s">
        <v>8</v>
      </c>
      <c r="B3" s="148">
        <v>550</v>
      </c>
      <c r="C3" s="149"/>
      <c r="E3" s="63" t="s">
        <v>65</v>
      </c>
      <c r="F3" s="60" t="s">
        <v>21</v>
      </c>
      <c r="G3" s="47">
        <v>86</v>
      </c>
      <c r="H3" s="133">
        <f>IF(B$17=0,0,G3/B$17)</f>
        <v>0.56209150326797386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1257.8125</v>
      </c>
      <c r="P3" s="119">
        <v>64</v>
      </c>
      <c r="Q3" s="103">
        <v>80500</v>
      </c>
    </row>
    <row r="4" spans="1:17" x14ac:dyDescent="0.4">
      <c r="A4" s="55" t="s">
        <v>6</v>
      </c>
      <c r="B4" s="150">
        <v>205.09999999999997</v>
      </c>
      <c r="C4" s="151"/>
      <c r="E4" s="63" t="s">
        <v>73</v>
      </c>
      <c r="F4" s="60" t="s">
        <v>28</v>
      </c>
      <c r="G4" s="47">
        <v>77</v>
      </c>
      <c r="H4" s="133">
        <f>IF(B$17=0,0,G4/B$17)</f>
        <v>0.50326797385620914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1016.3934426229508</v>
      </c>
      <c r="P4" s="119">
        <v>61</v>
      </c>
      <c r="Q4" s="103">
        <v>62000</v>
      </c>
    </row>
    <row r="5" spans="1:17" x14ac:dyDescent="0.4">
      <c r="A5" s="55" t="s">
        <v>7</v>
      </c>
      <c r="B5" s="152">
        <f>IF(B$2=0,0,B$4/B$2)</f>
        <v>3.2046874999999995</v>
      </c>
      <c r="C5" s="153"/>
      <c r="E5" s="63" t="s">
        <v>181</v>
      </c>
      <c r="F5" s="60" t="s">
        <v>182</v>
      </c>
      <c r="G5" s="47">
        <v>59</v>
      </c>
      <c r="H5" s="133">
        <f>IF(B$17=0,0,G5/B$17)</f>
        <v>0.38562091503267976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1978.4313725490197</v>
      </c>
      <c r="P5" s="119">
        <v>51</v>
      </c>
      <c r="Q5" s="103">
        <v>100900</v>
      </c>
    </row>
    <row r="6" spans="1:17" x14ac:dyDescent="0.4">
      <c r="A6" s="55" t="s">
        <v>1</v>
      </c>
      <c r="B6" s="142">
        <f>IF(B$2=0,0,(B$7*1+B$8*2+B$9*3)/B$2)</f>
        <v>2.03125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0.33986928104575165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-1327.6595744680851</v>
      </c>
      <c r="P6" s="119">
        <v>47</v>
      </c>
      <c r="Q6" s="103">
        <v>-62400</v>
      </c>
    </row>
    <row r="7" spans="1:17" x14ac:dyDescent="0.4">
      <c r="A7" s="55" t="s">
        <v>2</v>
      </c>
      <c r="B7" s="47">
        <v>19</v>
      </c>
      <c r="C7" s="39">
        <f>IF(B$2=0,0,B7/B$2)</f>
        <v>0.296875</v>
      </c>
      <c r="E7" s="63" t="s">
        <v>69</v>
      </c>
      <c r="F7" s="60" t="s">
        <v>12</v>
      </c>
      <c r="G7" s="47">
        <v>46</v>
      </c>
      <c r="H7" s="133">
        <f>IF(B$17=0,0,G7/B$17)</f>
        <v>0.30065359477124182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1240.4761904761904</v>
      </c>
      <c r="P7" s="120">
        <v>42</v>
      </c>
      <c r="Q7" s="104">
        <v>52100</v>
      </c>
    </row>
    <row r="8" spans="1:17" x14ac:dyDescent="0.4">
      <c r="A8" s="55" t="s">
        <v>3</v>
      </c>
      <c r="B8" s="47">
        <v>24</v>
      </c>
      <c r="C8" s="39">
        <f>IF(B$2=0,0,B8/B$2)</f>
        <v>0.375</v>
      </c>
      <c r="E8" s="63" t="s">
        <v>70</v>
      </c>
      <c r="F8" s="60" t="s">
        <v>25</v>
      </c>
      <c r="G8" s="47">
        <v>34</v>
      </c>
      <c r="H8" s="133">
        <f>IF(B$17=0,0,G8/B$17)</f>
        <v>0.22222222222222221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0.328125</v>
      </c>
      <c r="E9" s="63" t="s">
        <v>90</v>
      </c>
      <c r="F9" s="60" t="s">
        <v>45</v>
      </c>
      <c r="G9" s="47">
        <v>23</v>
      </c>
      <c r="H9" s="133">
        <f>IF(B$17=0,0,G9/B$17)</f>
        <v>0.15032679738562091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3.125E-2</v>
      </c>
      <c r="E10" s="63" t="s">
        <v>66</v>
      </c>
      <c r="F10" s="60" t="s">
        <v>22</v>
      </c>
      <c r="G10" s="47">
        <v>21</v>
      </c>
      <c r="H10" s="133">
        <f>IF(B$17=0,0,G10/B$17)</f>
        <v>0.13725490196078433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11.206666666666667</v>
      </c>
      <c r="P10" s="118">
        <v>15</v>
      </c>
      <c r="Q10" s="106">
        <v>168.1</v>
      </c>
    </row>
    <row r="11" spans="1:17" x14ac:dyDescent="0.4">
      <c r="A11" s="56" t="s">
        <v>140</v>
      </c>
      <c r="B11" s="48">
        <v>8</v>
      </c>
      <c r="C11" s="40">
        <f>IF(B$2=0,0,B11/B$2)</f>
        <v>0.125</v>
      </c>
      <c r="E11" s="63" t="s">
        <v>71</v>
      </c>
      <c r="F11" s="60" t="s">
        <v>26</v>
      </c>
      <c r="G11" s="47">
        <v>19</v>
      </c>
      <c r="H11" s="133">
        <f>IF(B$17=0,0,G11/B$17)</f>
        <v>0.12418300653594772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-0.62399999999999878</v>
      </c>
      <c r="P11" s="119">
        <v>25</v>
      </c>
      <c r="Q11" s="107">
        <v>-15.599999999999969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87</v>
      </c>
      <c r="F12" s="60" t="s">
        <v>42</v>
      </c>
      <c r="G12" s="47">
        <v>12</v>
      </c>
      <c r="H12" s="133">
        <f>IF(B$17=0,0,G12/B$17)</f>
        <v>7.8431372549019607E-2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2.1916666666666664</v>
      </c>
      <c r="P12" s="120">
        <v>24</v>
      </c>
      <c r="Q12" s="108">
        <v>52.599999999999994</v>
      </c>
    </row>
    <row r="13" spans="1:17" x14ac:dyDescent="0.4">
      <c r="A13" s="58" t="s">
        <v>122</v>
      </c>
      <c r="B13" s="50">
        <v>154</v>
      </c>
      <c r="C13" s="44">
        <f>IF(B$3=0,0,B13/B$3)</f>
        <v>0.28000000000000003</v>
      </c>
      <c r="E13" s="63" t="s">
        <v>72</v>
      </c>
      <c r="F13" s="60" t="s">
        <v>27</v>
      </c>
      <c r="G13" s="47">
        <v>11</v>
      </c>
      <c r="H13" s="133">
        <f>IF(B$17=0,0,G13/B$17)</f>
        <v>7.1895424836601302E-2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0.18545454545454546</v>
      </c>
      <c r="E14" s="63" t="s">
        <v>79</v>
      </c>
      <c r="F14" s="60" t="s">
        <v>34</v>
      </c>
      <c r="G14" s="47">
        <v>7</v>
      </c>
      <c r="H14" s="133">
        <f>IF(B$17=0,0,G14/B$17)</f>
        <v>4.5751633986928102E-2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90</v>
      </c>
      <c r="C15" s="37">
        <f>IF(B$13=0,0,B15/B$13)</f>
        <v>0.58441558441558439</v>
      </c>
      <c r="E15" s="63" t="s">
        <v>84</v>
      </c>
      <c r="F15" s="60" t="s">
        <v>39</v>
      </c>
      <c r="G15" s="47">
        <v>7</v>
      </c>
      <c r="H15" s="133">
        <f>IF(B$17=0,0,G15/B$17)</f>
        <v>4.5751633986928102E-2</v>
      </c>
      <c r="I15" s="94">
        <v>5</v>
      </c>
      <c r="K15" s="38">
        <v>13</v>
      </c>
      <c r="L15" s="99">
        <v>-58.7</v>
      </c>
      <c r="N15" s="114" t="s">
        <v>177</v>
      </c>
      <c r="O15" s="124">
        <f>IF(P15=0,0,Q15/P15)</f>
        <v>30.633333333333336</v>
      </c>
      <c r="P15" s="118">
        <v>6</v>
      </c>
      <c r="Q15" s="106">
        <v>183.8</v>
      </c>
    </row>
    <row r="16" spans="1:17" x14ac:dyDescent="0.4">
      <c r="A16" s="54" t="s">
        <v>125</v>
      </c>
      <c r="B16" s="46">
        <v>40</v>
      </c>
      <c r="C16" s="37">
        <f>IF(B$14=0,0,B16/B$14)</f>
        <v>0.39215686274509803</v>
      </c>
      <c r="E16" s="63" t="s">
        <v>82</v>
      </c>
      <c r="F16" s="60" t="s">
        <v>37</v>
      </c>
      <c r="G16" s="47">
        <v>6</v>
      </c>
      <c r="H16" s="133">
        <f>IF(B$17=0,0,G16/B$17)</f>
        <v>3.9215686274509803E-2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153</v>
      </c>
      <c r="C17" s="37">
        <f>IF(B$3=0,0,B17/B$3)</f>
        <v>0.2781818181818182</v>
      </c>
      <c r="E17" s="63" t="s">
        <v>76</v>
      </c>
      <c r="F17" s="60" t="s">
        <v>31</v>
      </c>
      <c r="G17" s="47">
        <v>3</v>
      </c>
      <c r="H17" s="133">
        <f>IF(B$17=0,0,G17/B$17)</f>
        <v>1.9607843137254902E-2</v>
      </c>
      <c r="I17" s="94">
        <v>2</v>
      </c>
      <c r="K17" s="38">
        <v>15</v>
      </c>
      <c r="L17" s="99">
        <v>-26.3</v>
      </c>
      <c r="N17" s="115" t="s">
        <v>129</v>
      </c>
      <c r="O17" s="125">
        <f>IF(P17=0,0,Q17/P17)</f>
        <v>21.731250000000003</v>
      </c>
      <c r="P17" s="119">
        <v>16</v>
      </c>
      <c r="Q17" s="107">
        <v>347.70000000000005</v>
      </c>
    </row>
    <row r="18" spans="1:17" x14ac:dyDescent="0.4">
      <c r="A18" s="55" t="s">
        <v>12</v>
      </c>
      <c r="B18" s="47">
        <v>65</v>
      </c>
      <c r="C18" s="39">
        <f>IF(B$17=0,0,B18/B$17)</f>
        <v>0.42483660130718953</v>
      </c>
      <c r="E18" s="63" t="s">
        <v>92</v>
      </c>
      <c r="F18" s="60" t="s">
        <v>47</v>
      </c>
      <c r="G18" s="47">
        <v>3</v>
      </c>
      <c r="H18" s="133">
        <f>IF(B$17=0,0,G18/B$17)</f>
        <v>1.9607843137254902E-2</v>
      </c>
      <c r="I18" s="94">
        <v>3</v>
      </c>
      <c r="K18" s="38">
        <v>16</v>
      </c>
      <c r="L18" s="99">
        <v>-50.3</v>
      </c>
      <c r="N18" s="115" t="s">
        <v>173</v>
      </c>
      <c r="O18" s="125">
        <f>IF(P18=0,0,Q18/P18)</f>
        <v>13.774999999999999</v>
      </c>
      <c r="P18" s="119">
        <v>16</v>
      </c>
      <c r="Q18" s="107">
        <v>220.39999999999998</v>
      </c>
    </row>
    <row r="19" spans="1:17" x14ac:dyDescent="0.4">
      <c r="A19" s="55" t="s">
        <v>11</v>
      </c>
      <c r="B19" s="47">
        <v>88</v>
      </c>
      <c r="C19" s="39">
        <f>IF(B$17=0,0,B19/B$17)</f>
        <v>0.57516339869281041</v>
      </c>
      <c r="E19" s="63" t="s">
        <v>80</v>
      </c>
      <c r="F19" s="60" t="s">
        <v>35</v>
      </c>
      <c r="G19" s="47">
        <v>2</v>
      </c>
      <c r="H19" s="133">
        <f>IF(B$17=0,0,G19/B$17)</f>
        <v>1.3071895424836602E-2</v>
      </c>
      <c r="I19" s="94">
        <v>6</v>
      </c>
      <c r="K19" s="38">
        <v>17</v>
      </c>
      <c r="L19" s="99">
        <v>-74.3</v>
      </c>
      <c r="N19" s="115" t="s">
        <v>172</v>
      </c>
      <c r="O19" s="125">
        <f>IF(P19=0,0,Q19/P19)</f>
        <v>2.5357142857142851</v>
      </c>
      <c r="P19" s="119">
        <v>14</v>
      </c>
      <c r="Q19" s="107">
        <v>35.499999999999993</v>
      </c>
    </row>
    <row r="20" spans="1:17" x14ac:dyDescent="0.4">
      <c r="A20" s="55" t="s">
        <v>13</v>
      </c>
      <c r="B20" s="47">
        <v>87</v>
      </c>
      <c r="C20" s="39">
        <f>IF(B$3=0,0,B20/B$3)</f>
        <v>0.15818181818181817</v>
      </c>
      <c r="E20" s="63" t="s">
        <v>85</v>
      </c>
      <c r="F20" s="60" t="s">
        <v>40</v>
      </c>
      <c r="G20" s="47">
        <v>2</v>
      </c>
      <c r="H20" s="133">
        <f>IF(B$17=0,0,G20/B$17)</f>
        <v>1.3071895424836602E-2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1.0249999999999939</v>
      </c>
      <c r="P20" s="119">
        <v>32</v>
      </c>
      <c r="Q20" s="107">
        <v>32.799999999999805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1.3071895424836602E-2</v>
      </c>
      <c r="I21" s="94">
        <v>1</v>
      </c>
      <c r="K21" s="38">
        <v>19</v>
      </c>
      <c r="L21" s="99">
        <v>0.60000000000000853</v>
      </c>
      <c r="N21" s="115" t="s">
        <v>127</v>
      </c>
      <c r="O21" s="125">
        <f>IF(P21=0,0,Q21/P21)</f>
        <v>-2.1076923076923024</v>
      </c>
      <c r="P21" s="119">
        <v>39</v>
      </c>
      <c r="Q21" s="107">
        <v>-82.19999999999979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180</v>
      </c>
      <c r="F22" s="60" t="s">
        <v>183</v>
      </c>
      <c r="G22" s="47">
        <v>2</v>
      </c>
      <c r="H22" s="133">
        <f>IF(B$17=0,0,G22/B$17)</f>
        <v>1.3071895424836602E-2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9700.6535947712418</v>
      </c>
      <c r="C23" s="41">
        <v>1484200</v>
      </c>
      <c r="E23" s="63" t="s">
        <v>74</v>
      </c>
      <c r="F23" s="60" t="s">
        <v>29</v>
      </c>
      <c r="G23" s="47">
        <v>1</v>
      </c>
      <c r="H23" s="133">
        <f>IF(B$17=0,0,G23/B$17)</f>
        <v>6.5359477124183009E-3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-7405.7471264367814</v>
      </c>
      <c r="C24" s="45">
        <v>-644300</v>
      </c>
      <c r="E24" s="63" t="s">
        <v>88</v>
      </c>
      <c r="F24" s="60" t="s">
        <v>43</v>
      </c>
      <c r="G24" s="47">
        <v>1</v>
      </c>
      <c r="H24" s="133">
        <f>IF(B$17=0,0,G24/B$17)</f>
        <v>6.5359477124183009E-3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75</v>
      </c>
      <c r="F25" s="60" t="s">
        <v>30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1.8181818181818182E-3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-39.999999999999986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93.299999999999983</v>
      </c>
    </row>
    <row r="59" spans="5:12" x14ac:dyDescent="0.4">
      <c r="K59" s="38">
        <v>57</v>
      </c>
      <c r="L59" s="99">
        <v>104.69999999999999</v>
      </c>
    </row>
    <row r="60" spans="5:12" x14ac:dyDescent="0.4">
      <c r="K60" s="38">
        <v>58</v>
      </c>
      <c r="L60" s="99">
        <v>72.499999999999986</v>
      </c>
    </row>
    <row r="61" spans="5:12" x14ac:dyDescent="0.4">
      <c r="K61" s="38">
        <v>59</v>
      </c>
      <c r="L61" s="99">
        <v>87.09999999999998</v>
      </c>
    </row>
    <row r="62" spans="5:12" x14ac:dyDescent="0.4">
      <c r="K62" s="38">
        <v>60</v>
      </c>
      <c r="L62" s="99">
        <v>48.399999999999977</v>
      </c>
    </row>
    <row r="63" spans="5:12" x14ac:dyDescent="0.4">
      <c r="K63" s="38">
        <v>61</v>
      </c>
      <c r="L63" s="99">
        <v>45.899999999999977</v>
      </c>
    </row>
    <row r="64" spans="5:12" x14ac:dyDescent="0.4">
      <c r="K64" s="38">
        <v>62</v>
      </c>
      <c r="L64" s="99">
        <v>93.499999999999972</v>
      </c>
    </row>
    <row r="65" spans="11:12" x14ac:dyDescent="0.4">
      <c r="K65" s="38">
        <v>63</v>
      </c>
      <c r="L65" s="99">
        <v>133.59999999999997</v>
      </c>
    </row>
    <row r="66" spans="11:12" x14ac:dyDescent="0.4">
      <c r="K66" s="38">
        <v>64</v>
      </c>
      <c r="L66" s="99">
        <v>205.09999999999997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9F75-A9A4-43A6-BD10-1A8799F8CC15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67</v>
      </c>
      <c r="F2" s="59" t="s">
        <v>23</v>
      </c>
      <c r="G2" s="46">
        <v>118</v>
      </c>
      <c r="H2" s="132">
        <f>IF(B$17=0,0,G2/B$17)</f>
        <v>0.67045454545454541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73</v>
      </c>
      <c r="F3" s="60" t="s">
        <v>28</v>
      </c>
      <c r="G3" s="47">
        <v>102</v>
      </c>
      <c r="H3" s="133">
        <f>IF(B$17=0,0,G3/B$17)</f>
        <v>0.57954545454545459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181</v>
      </c>
      <c r="F4" s="60" t="s">
        <v>182</v>
      </c>
      <c r="G4" s="47">
        <v>73</v>
      </c>
      <c r="H4" s="133">
        <f>IF(B$17=0,0,G4/B$17)</f>
        <v>0.41477272727272729</v>
      </c>
      <c r="I4" s="94">
        <v>5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65</v>
      </c>
      <c r="F5" s="60" t="s">
        <v>21</v>
      </c>
      <c r="G5" s="47">
        <v>62</v>
      </c>
      <c r="H5" s="133">
        <f>IF(B$17=0,0,G5/B$17)</f>
        <v>0.35227272727272729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68</v>
      </c>
      <c r="F7" s="60" t="s">
        <v>24</v>
      </c>
      <c r="G7" s="47">
        <v>31</v>
      </c>
      <c r="H7" s="133">
        <f>IF(B$17=0,0,G7/B$17)</f>
        <v>0.17613636363636365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70</v>
      </c>
      <c r="F8" s="60" t="s">
        <v>25</v>
      </c>
      <c r="G8" s="47">
        <v>25</v>
      </c>
      <c r="H8" s="133">
        <f>IF(B$17=0,0,G8/B$17)</f>
        <v>0.14204545454545456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66</v>
      </c>
      <c r="F9" s="60" t="s">
        <v>22</v>
      </c>
      <c r="G9" s="47">
        <v>19</v>
      </c>
      <c r="H9" s="133">
        <f>IF(B$17=0,0,G9/B$17)</f>
        <v>0.10795454545454546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72</v>
      </c>
      <c r="F10" s="60" t="s">
        <v>27</v>
      </c>
      <c r="G10" s="47">
        <v>13</v>
      </c>
      <c r="H10" s="133">
        <f>IF(B$17=0,0,G10/B$17)</f>
        <v>7.3863636363636367E-2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90</v>
      </c>
      <c r="F11" s="60" t="s">
        <v>45</v>
      </c>
      <c r="G11" s="47">
        <v>12</v>
      </c>
      <c r="H11" s="133">
        <f>IF(B$17=0,0,G11/B$17)</f>
        <v>6.8181818181818177E-2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71</v>
      </c>
      <c r="F12" s="60" t="s">
        <v>26</v>
      </c>
      <c r="G12" s="47">
        <v>10</v>
      </c>
      <c r="H12" s="133">
        <f>IF(B$17=0,0,G12/B$17)</f>
        <v>5.6818181818181816E-2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84</v>
      </c>
      <c r="F13" s="60" t="s">
        <v>39</v>
      </c>
      <c r="G13" s="47">
        <v>9</v>
      </c>
      <c r="H13" s="133">
        <f>IF(B$17=0,0,G13/B$17)</f>
        <v>5.113636363636364E-2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87</v>
      </c>
      <c r="F14" s="60" t="s">
        <v>42</v>
      </c>
      <c r="G14" s="47">
        <v>8</v>
      </c>
      <c r="H14" s="133">
        <f>IF(B$17=0,0,G14/B$17)</f>
        <v>4.5454545454545456E-2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82</v>
      </c>
      <c r="F15" s="60" t="s">
        <v>37</v>
      </c>
      <c r="G15" s="47">
        <v>5</v>
      </c>
      <c r="H15" s="133">
        <f>IF(B$17=0,0,G15/B$17)</f>
        <v>2.8409090909090908E-2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92</v>
      </c>
      <c r="F18" s="60" t="s">
        <v>47</v>
      </c>
      <c r="G18" s="47">
        <v>2</v>
      </c>
      <c r="H18" s="133">
        <f>IF(B$17=0,0,G18/B$17)</f>
        <v>1.1363636363636364E-2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76</v>
      </c>
      <c r="F19" s="60" t="s">
        <v>31</v>
      </c>
      <c r="G19" s="47">
        <v>1</v>
      </c>
      <c r="H19" s="133">
        <f>IF(B$17=0,0,G19/B$17)</f>
        <v>5.681818181818182E-3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88</v>
      </c>
      <c r="F20" s="60" t="s">
        <v>43</v>
      </c>
      <c r="G20" s="47">
        <v>1</v>
      </c>
      <c r="H20" s="133">
        <f>IF(B$17=0,0,G20/B$17)</f>
        <v>5.681818181818182E-3</v>
      </c>
      <c r="I20" s="94">
        <v>3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711-F9E4-4AF2-A433-CFFA129B58E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6</v>
      </c>
      <c r="K16" s="38">
        <v>14</v>
      </c>
      <c r="L16" s="99">
        <v>-269.99999999999994</v>
      </c>
      <c r="N16" s="115" t="s">
        <v>128</v>
      </c>
      <c r="O16" s="125">
        <f t="shared" si="2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9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8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2F-8C90-485B-BD2B-28D912A0493C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</v>
      </c>
      <c r="C2" s="147"/>
      <c r="E2" s="62" t="s">
        <v>73</v>
      </c>
      <c r="F2" s="59" t="s">
        <v>28</v>
      </c>
      <c r="G2" s="46">
        <v>39</v>
      </c>
      <c r="H2" s="132">
        <f>IF(B$17=0,0,G2/B$17)</f>
        <v>0.54929577464788737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-2106.4516129032259</v>
      </c>
      <c r="P2" s="118">
        <v>31</v>
      </c>
      <c r="Q2" s="102">
        <v>-65300</v>
      </c>
    </row>
    <row r="3" spans="1:17" x14ac:dyDescent="0.4">
      <c r="A3" s="55" t="s">
        <v>8</v>
      </c>
      <c r="B3" s="148">
        <v>259</v>
      </c>
      <c r="C3" s="149"/>
      <c r="E3" s="63" t="s">
        <v>65</v>
      </c>
      <c r="F3" s="60" t="s">
        <v>21</v>
      </c>
      <c r="G3" s="47">
        <v>38</v>
      </c>
      <c r="H3" s="133">
        <f>IF(B$17=0,0,G3/B$17)</f>
        <v>0.53521126760563376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-1516.6666666666667</v>
      </c>
      <c r="P3" s="119">
        <v>30</v>
      </c>
      <c r="Q3" s="103">
        <v>-45500</v>
      </c>
    </row>
    <row r="4" spans="1:17" x14ac:dyDescent="0.4">
      <c r="A4" s="55" t="s">
        <v>6</v>
      </c>
      <c r="B4" s="150">
        <v>-231.79999999999998</v>
      </c>
      <c r="C4" s="151"/>
      <c r="E4" s="63" t="s">
        <v>67</v>
      </c>
      <c r="F4" s="60" t="s">
        <v>23</v>
      </c>
      <c r="G4" s="47">
        <v>35</v>
      </c>
      <c r="H4" s="133">
        <f>IF(B$17=0,0,G4/B$17)</f>
        <v>0.49295774647887325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-2042.8571428571429</v>
      </c>
      <c r="P4" s="119">
        <v>28</v>
      </c>
      <c r="Q4" s="103">
        <v>-57200</v>
      </c>
    </row>
    <row r="5" spans="1:17" x14ac:dyDescent="0.4">
      <c r="A5" s="55" t="s">
        <v>7</v>
      </c>
      <c r="B5" s="152">
        <f>IF(B$2=0,0,B$4/B$2)</f>
        <v>-7.4774193548387089</v>
      </c>
      <c r="C5" s="153"/>
      <c r="E5" s="63" t="s">
        <v>181</v>
      </c>
      <c r="F5" s="60" t="s">
        <v>182</v>
      </c>
      <c r="G5" s="47">
        <v>24</v>
      </c>
      <c r="H5" s="133">
        <f>IF(B$17=0,0,G5/B$17)</f>
        <v>0.3380281690140845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1729.6296296296296</v>
      </c>
      <c r="P5" s="119">
        <v>27</v>
      </c>
      <c r="Q5" s="103">
        <v>46700</v>
      </c>
    </row>
    <row r="6" spans="1:17" x14ac:dyDescent="0.4">
      <c r="A6" s="55" t="s">
        <v>1</v>
      </c>
      <c r="B6" s="142">
        <f>IF(B$2=0,0,(B$7*1+B$8*2+B$9*3)/B$2)</f>
        <v>2.064516129032258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0.28169014084507044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-1487.5</v>
      </c>
      <c r="P6" s="119">
        <v>24</v>
      </c>
      <c r="Q6" s="103">
        <v>-35700</v>
      </c>
    </row>
    <row r="7" spans="1:17" x14ac:dyDescent="0.4">
      <c r="A7" s="55" t="s">
        <v>2</v>
      </c>
      <c r="B7" s="47">
        <v>10</v>
      </c>
      <c r="C7" s="39">
        <f>IF(B$2=0,0,B7/B$2)</f>
        <v>0.32258064516129031</v>
      </c>
      <c r="E7" s="63" t="s">
        <v>69</v>
      </c>
      <c r="F7" s="60" t="s">
        <v>12</v>
      </c>
      <c r="G7" s="47">
        <v>17</v>
      </c>
      <c r="H7" s="133">
        <f>IF(B$17=0,0,G7/B$17)</f>
        <v>0.23943661971830985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170</v>
      </c>
      <c r="P7" s="120">
        <v>20</v>
      </c>
      <c r="Q7" s="104">
        <v>3400</v>
      </c>
    </row>
    <row r="8" spans="1:17" x14ac:dyDescent="0.4">
      <c r="A8" s="55" t="s">
        <v>3</v>
      </c>
      <c r="B8" s="47">
        <v>9</v>
      </c>
      <c r="C8" s="39">
        <f>IF(B$2=0,0,B8/B$2)</f>
        <v>0.29032258064516131</v>
      </c>
      <c r="E8" s="63" t="s">
        <v>70</v>
      </c>
      <c r="F8" s="60" t="s">
        <v>25</v>
      </c>
      <c r="G8" s="47">
        <v>10</v>
      </c>
      <c r="H8" s="133">
        <f>IF(B$17=0,0,G8/B$17)</f>
        <v>0.14084507042253522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0.38709677419354838</v>
      </c>
      <c r="E9" s="63" t="s">
        <v>90</v>
      </c>
      <c r="F9" s="60" t="s">
        <v>45</v>
      </c>
      <c r="G9" s="47">
        <v>9</v>
      </c>
      <c r="H9" s="133">
        <f>IF(B$17=0,0,G9/B$17)</f>
        <v>0.12676056338028169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0.19354838709677419</v>
      </c>
      <c r="E10" s="63" t="s">
        <v>66</v>
      </c>
      <c r="F10" s="60" t="s">
        <v>22</v>
      </c>
      <c r="G10" s="47">
        <v>6</v>
      </c>
      <c r="H10" s="133">
        <f>IF(B$17=0,0,G10/B$17)</f>
        <v>8.4507042253521125E-2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-5.7500000000000027</v>
      </c>
      <c r="P10" s="118">
        <v>6</v>
      </c>
      <c r="Q10" s="106">
        <v>-34.500000000000014</v>
      </c>
    </row>
    <row r="11" spans="1:17" x14ac:dyDescent="0.4">
      <c r="A11" s="56" t="s">
        <v>140</v>
      </c>
      <c r="B11" s="48">
        <v>1</v>
      </c>
      <c r="C11" s="40">
        <f>IF(B$2=0,0,B11/B$2)</f>
        <v>3.2258064516129031E-2</v>
      </c>
      <c r="E11" s="63" t="s">
        <v>71</v>
      </c>
      <c r="F11" s="60" t="s">
        <v>26</v>
      </c>
      <c r="G11" s="47">
        <v>4</v>
      </c>
      <c r="H11" s="133">
        <f>IF(B$17=0,0,G11/B$17)</f>
        <v>5.6338028169014086E-2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-12.441666666666665</v>
      </c>
      <c r="P11" s="119">
        <v>12</v>
      </c>
      <c r="Q11" s="107">
        <v>-149.29999999999998</v>
      </c>
    </row>
    <row r="12" spans="1:17" x14ac:dyDescent="0.4">
      <c r="A12" s="57" t="s">
        <v>160</v>
      </c>
      <c r="B12" s="49">
        <v>3</v>
      </c>
      <c r="C12" s="42">
        <f>IF(B$2=0,0,B12/B$2)</f>
        <v>9.6774193548387094E-2</v>
      </c>
      <c r="E12" s="63" t="s">
        <v>84</v>
      </c>
      <c r="F12" s="60" t="s">
        <v>39</v>
      </c>
      <c r="G12" s="47">
        <v>4</v>
      </c>
      <c r="H12" s="133">
        <f>IF(B$17=0,0,G12/B$17)</f>
        <v>5.6338028169014086E-2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-3.6923076923076916</v>
      </c>
      <c r="P12" s="120">
        <v>13</v>
      </c>
      <c r="Q12" s="108">
        <v>-47.999999999999993</v>
      </c>
    </row>
    <row r="13" spans="1:17" x14ac:dyDescent="0.4">
      <c r="A13" s="58" t="s">
        <v>122</v>
      </c>
      <c r="B13" s="50">
        <v>54</v>
      </c>
      <c r="C13" s="44">
        <f>IF(B$3=0,0,B13/B$3)</f>
        <v>0.20849420849420849</v>
      </c>
      <c r="E13" s="63" t="s">
        <v>92</v>
      </c>
      <c r="F13" s="60" t="s">
        <v>47</v>
      </c>
      <c r="G13" s="47">
        <v>4</v>
      </c>
      <c r="H13" s="133">
        <f>IF(B$17=0,0,G13/B$17)</f>
        <v>5.6338028169014086E-2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0.22007722007722008</v>
      </c>
      <c r="E14" s="63" t="s">
        <v>72</v>
      </c>
      <c r="F14" s="60" t="s">
        <v>27</v>
      </c>
      <c r="G14" s="47">
        <v>3</v>
      </c>
      <c r="H14" s="133">
        <f>IF(B$17=0,0,G14/B$17)</f>
        <v>4.2253521126760563E-2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37</v>
      </c>
      <c r="C15" s="37">
        <f>IF(B$13=0,0,B15/B$13)</f>
        <v>0.68518518518518523</v>
      </c>
      <c r="E15" s="63" t="s">
        <v>82</v>
      </c>
      <c r="F15" s="60" t="s">
        <v>37</v>
      </c>
      <c r="G15" s="47">
        <v>3</v>
      </c>
      <c r="H15" s="133">
        <f>IF(B$17=0,0,G15/B$17)</f>
        <v>4.2253521126760563E-2</v>
      </c>
      <c r="I15" s="94">
        <v>2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21</v>
      </c>
      <c r="C16" s="37">
        <f>IF(B$14=0,0,B16/B$14)</f>
        <v>0.36842105263157893</v>
      </c>
      <c r="E16" s="63" t="s">
        <v>75</v>
      </c>
      <c r="F16" s="60" t="s">
        <v>30</v>
      </c>
      <c r="G16" s="47">
        <v>1</v>
      </c>
      <c r="H16" s="133">
        <f>IF(B$17=0,0,G16/B$17)</f>
        <v>1.4084507042253521E-2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71</v>
      </c>
      <c r="C17" s="37">
        <f>IF(B$3=0,0,B17/B$3)</f>
        <v>0.27413127413127414</v>
      </c>
      <c r="E17" s="63" t="s">
        <v>76</v>
      </c>
      <c r="F17" s="60" t="s">
        <v>31</v>
      </c>
      <c r="G17" s="47">
        <v>1</v>
      </c>
      <c r="H17" s="133">
        <f>IF(B$17=0,0,G17/B$17)</f>
        <v>1.4084507042253521E-2</v>
      </c>
      <c r="I17" s="94">
        <v>3</v>
      </c>
      <c r="K17" s="38">
        <v>15</v>
      </c>
      <c r="L17" s="99">
        <v>-146.19999999999999</v>
      </c>
      <c r="N17" s="115" t="s">
        <v>186</v>
      </c>
      <c r="O17" s="125">
        <f>IF(P17=0,0,Q17/P17)</f>
        <v>15.833333333333337</v>
      </c>
      <c r="P17" s="119">
        <v>3</v>
      </c>
      <c r="Q17" s="107">
        <v>47.500000000000014</v>
      </c>
    </row>
    <row r="18" spans="1:17" x14ac:dyDescent="0.4">
      <c r="A18" s="55" t="s">
        <v>12</v>
      </c>
      <c r="B18" s="47">
        <v>29</v>
      </c>
      <c r="C18" s="39">
        <f>IF(B$17=0,0,B18/B$17)</f>
        <v>0.40845070422535212</v>
      </c>
      <c r="E18" s="63" t="s">
        <v>77</v>
      </c>
      <c r="F18" s="60" t="s">
        <v>32</v>
      </c>
      <c r="G18" s="47">
        <v>1</v>
      </c>
      <c r="H18" s="133">
        <f>IF(B$17=0,0,G18/B$17)</f>
        <v>1.4084507042253521E-2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-0.99473684210526236</v>
      </c>
      <c r="P18" s="119">
        <v>19</v>
      </c>
      <c r="Q18" s="107">
        <v>-18.899999999999984</v>
      </c>
    </row>
    <row r="19" spans="1:17" x14ac:dyDescent="0.4">
      <c r="A19" s="55" t="s">
        <v>11</v>
      </c>
      <c r="B19" s="47">
        <v>42</v>
      </c>
      <c r="C19" s="39">
        <f>IF(B$17=0,0,B19/B$17)</f>
        <v>0.59154929577464788</v>
      </c>
      <c r="E19" s="63" t="s">
        <v>79</v>
      </c>
      <c r="F19" s="60" t="s">
        <v>34</v>
      </c>
      <c r="G19" s="47">
        <v>1</v>
      </c>
      <c r="H19" s="133">
        <f>IF(B$17=0,0,G19/B$17)</f>
        <v>1.4084507042253521E-2</v>
      </c>
      <c r="I19" s="94">
        <v>8</v>
      </c>
      <c r="K19" s="38">
        <v>17</v>
      </c>
      <c r="L19" s="99">
        <v>-161.19999999999999</v>
      </c>
      <c r="N19" s="115" t="s">
        <v>172</v>
      </c>
      <c r="O19" s="125">
        <f>IF(P19=0,0,Q19/P19)</f>
        <v>-18.733333333333338</v>
      </c>
      <c r="P19" s="119">
        <v>6</v>
      </c>
      <c r="Q19" s="107">
        <v>-112.40000000000002</v>
      </c>
    </row>
    <row r="20" spans="1:17" x14ac:dyDescent="0.4">
      <c r="A20" s="55" t="s">
        <v>13</v>
      </c>
      <c r="B20" s="47">
        <v>45</v>
      </c>
      <c r="C20" s="39">
        <f>IF(B$3=0,0,B20/B$3)</f>
        <v>0.17374517374517376</v>
      </c>
      <c r="E20" s="63" t="s">
        <v>80</v>
      </c>
      <c r="F20" s="60" t="s">
        <v>35</v>
      </c>
      <c r="G20" s="47">
        <v>1</v>
      </c>
      <c r="H20" s="133">
        <f>IF(B$17=0,0,G20/B$17)</f>
        <v>1.4084507042253521E-2</v>
      </c>
      <c r="I20" s="94">
        <v>5</v>
      </c>
      <c r="K20" s="38">
        <v>18</v>
      </c>
      <c r="L20" s="99">
        <v>-159</v>
      </c>
      <c r="N20" s="115" t="s">
        <v>129</v>
      </c>
      <c r="O20" s="125">
        <f>IF(P20=0,0,Q20/P20)</f>
        <v>-21.775000000000002</v>
      </c>
      <c r="P20" s="119">
        <v>8</v>
      </c>
      <c r="Q20" s="107">
        <v>-174.20000000000002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86</v>
      </c>
      <c r="F21" s="60" t="s">
        <v>41</v>
      </c>
      <c r="G21" s="47">
        <v>1</v>
      </c>
      <c r="H21" s="133">
        <f>IF(B$17=0,0,G21/B$17)</f>
        <v>1.4084507042253521E-2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-22.984615384615385</v>
      </c>
      <c r="P21" s="119">
        <v>13</v>
      </c>
      <c r="Q21" s="107">
        <v>-298.8</v>
      </c>
    </row>
    <row r="22" spans="1:17" x14ac:dyDescent="0.4">
      <c r="A22" s="55" t="s">
        <v>194</v>
      </c>
      <c r="B22" s="47">
        <v>21</v>
      </c>
      <c r="C22" s="135">
        <v>6</v>
      </c>
      <c r="E22" s="63" t="s">
        <v>87</v>
      </c>
      <c r="F22" s="60" t="s">
        <v>42</v>
      </c>
      <c r="G22" s="47">
        <v>1</v>
      </c>
      <c r="H22" s="133">
        <f>IF(B$17=0,0,G22/B$17)</f>
        <v>1.4084507042253521E-2</v>
      </c>
      <c r="I22" s="94">
        <v>10</v>
      </c>
      <c r="K22" s="38">
        <v>20</v>
      </c>
      <c r="L22" s="99">
        <v>-200.8</v>
      </c>
      <c r="N22" s="115" t="s">
        <v>171</v>
      </c>
      <c r="O22" s="125">
        <f>IF(P22=0,0,Q22/P22)</f>
        <v>-30.633333333333336</v>
      </c>
      <c r="P22" s="119">
        <v>6</v>
      </c>
      <c r="Q22" s="107">
        <v>-183.8</v>
      </c>
    </row>
    <row r="23" spans="1:17" x14ac:dyDescent="0.4">
      <c r="A23" s="55" t="s">
        <v>5</v>
      </c>
      <c r="B23" s="51">
        <f>IF(B$17=0,0,C23/B$17)</f>
        <v>7281.6901408450703</v>
      </c>
      <c r="C23" s="41">
        <v>517000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-7855.5555555555557</v>
      </c>
      <c r="C24" s="45">
        <v>-353500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7.7220077220077222E-3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-151.5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-202.1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-167.8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-224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-178.6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-216.39999999999998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-231.79999999999998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6EEB-8B21-40E7-B8EA-811F805E8CB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2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5D7-4FF9-4E46-A6D6-62FA7401637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3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4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C6E7-3C48-4D43-B558-DE3E6A7C1F3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8.3333333333333329E-2</v>
      </c>
      <c r="I3" s="94">
        <v>6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67</v>
      </c>
      <c r="F4" s="60" t="s">
        <v>23</v>
      </c>
      <c r="G4" s="47">
        <v>7</v>
      </c>
      <c r="H4" s="133">
        <f>IF(B$17=0,0,G4/B$17)</f>
        <v>0.58333333333333337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0.58333333333333337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7</v>
      </c>
      <c r="H10" s="133">
        <f>IF(B$17=0,0,G10/B$17)</f>
        <v>0.58333333333333337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 t="shared" ref="O15:O20" si="2"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79</v>
      </c>
      <c r="F16" s="60" t="s">
        <v>34</v>
      </c>
      <c r="G16" s="47">
        <v>2</v>
      </c>
      <c r="H16" s="133">
        <f>IF(B$17=0,0,G16/B$17)</f>
        <v>0.16666666666666666</v>
      </c>
      <c r="I16" s="94">
        <v>2</v>
      </c>
      <c r="N16" s="115" t="s">
        <v>173</v>
      </c>
      <c r="O16" s="125">
        <f t="shared" si="2"/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172</v>
      </c>
      <c r="O17" s="125">
        <f t="shared" si="2"/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 t="shared" si="2"/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128</v>
      </c>
      <c r="O19" s="125">
        <f t="shared" si="2"/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87</v>
      </c>
      <c r="F24" s="60" t="s">
        <v>42</v>
      </c>
      <c r="G24" s="47">
        <v>1</v>
      </c>
      <c r="H24" s="133">
        <f>IF(B$17=0,0,G24/B$17)</f>
        <v>8.3333333333333329E-2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0.16666666666666666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5</v>
      </c>
      <c r="H51" s="134">
        <f>IF(B$17=0,0,G51/B$17)</f>
        <v>0.41666666666666669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B8A0-CBF6-4A4E-9513-4CAD1BC811B6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3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74EB-7F6A-47AB-912D-96F9492B01E5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9DAF-E2BC-4FEC-81A5-DCCC19012AEC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ED9C-659F-4BB5-9AD9-D6A53A3E5B38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405A-DAA9-4108-B518-63A9E780838B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22F5-61F2-44B1-8A2F-10EFBB58B3B3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A1DB-6A18-47E8-96BA-9616D2DABFB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E3480-D988-4E1C-99AD-954F7430778C}">
  <sheetPr codeName="Sheet20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-202.1</v>
      </c>
      <c r="C29" s="66">
        <v>-7.773076923076923</v>
      </c>
      <c r="D29" s="71">
        <v>2.0769230769230771</v>
      </c>
      <c r="E29" s="67">
        <v>0.30769230769230771</v>
      </c>
      <c r="F29" s="67">
        <v>0.38461538461538464</v>
      </c>
      <c r="G29" s="67">
        <v>0.26818181818181819</v>
      </c>
      <c r="H29" s="67">
        <v>0.17272727272727273</v>
      </c>
      <c r="I29" s="68">
        <v>7227.1186440677966</v>
      </c>
      <c r="J29" s="68">
        <v>-7302.6315789473683</v>
      </c>
      <c r="K29" s="67">
        <v>0.19230769230769232</v>
      </c>
      <c r="L29" s="67">
        <v>0</v>
      </c>
      <c r="M29" s="67">
        <v>0.20454545454545456</v>
      </c>
      <c r="N29" s="67">
        <v>0.22727272727272727</v>
      </c>
      <c r="O29" s="67">
        <v>0.66666666666666663</v>
      </c>
      <c r="P29" s="67">
        <v>0.38</v>
      </c>
      <c r="Q29" s="67">
        <v>0.42372881355932202</v>
      </c>
    </row>
    <row r="30" spans="1:17" x14ac:dyDescent="0.4">
      <c r="A30" s="69">
        <v>27</v>
      </c>
      <c r="B30" s="66">
        <v>-167.8</v>
      </c>
      <c r="C30" s="66">
        <v>-6.2148148148148152</v>
      </c>
      <c r="D30" s="71">
        <v>2.0370370370370372</v>
      </c>
      <c r="E30" s="67">
        <v>0.33333333333333331</v>
      </c>
      <c r="F30" s="67">
        <v>0.37037037037037035</v>
      </c>
      <c r="G30" s="67">
        <v>0.27192982456140352</v>
      </c>
      <c r="H30" s="67">
        <v>0.16666666666666666</v>
      </c>
      <c r="I30" s="68">
        <v>7237.0967741935483</v>
      </c>
      <c r="J30" s="68">
        <v>-7302.6315789473683</v>
      </c>
      <c r="K30" s="67">
        <v>0.18518518518518517</v>
      </c>
      <c r="L30" s="67">
        <v>0</v>
      </c>
      <c r="M30" s="67">
        <v>0.20614035087719298</v>
      </c>
      <c r="N30" s="67">
        <v>0.21929824561403508</v>
      </c>
      <c r="O30" s="67">
        <v>0.68085106382978722</v>
      </c>
      <c r="P30" s="67">
        <v>0.38</v>
      </c>
      <c r="Q30" s="67">
        <v>0.43548387096774194</v>
      </c>
    </row>
    <row r="31" spans="1:17" x14ac:dyDescent="0.4">
      <c r="A31" s="69">
        <v>28</v>
      </c>
      <c r="B31" s="66">
        <v>-224</v>
      </c>
      <c r="C31" s="66">
        <v>-8</v>
      </c>
      <c r="D31" s="71">
        <v>2.0714285714285716</v>
      </c>
      <c r="E31" s="67">
        <v>0.32142857142857145</v>
      </c>
      <c r="F31" s="67">
        <v>0.39285714285714285</v>
      </c>
      <c r="G31" s="67">
        <v>0.2723404255319149</v>
      </c>
      <c r="H31" s="67">
        <v>0.17446808510638298</v>
      </c>
      <c r="I31" s="68">
        <v>7217.1875</v>
      </c>
      <c r="J31" s="68">
        <v>-7792.6829268292686</v>
      </c>
      <c r="K31" s="67">
        <v>0.21428571428571427</v>
      </c>
      <c r="L31" s="67">
        <v>0</v>
      </c>
      <c r="M31" s="67">
        <v>0.20851063829787234</v>
      </c>
      <c r="N31" s="67">
        <v>0.21702127659574469</v>
      </c>
      <c r="O31" s="67">
        <v>0.67346938775510201</v>
      </c>
      <c r="P31" s="67">
        <v>0.37254901960784315</v>
      </c>
      <c r="Q31" s="67">
        <v>0.4375</v>
      </c>
    </row>
    <row r="32" spans="1:17" x14ac:dyDescent="0.4">
      <c r="A32" s="69">
        <v>29</v>
      </c>
      <c r="B32" s="66">
        <v>-178.6</v>
      </c>
      <c r="C32" s="66">
        <v>-6.1586206896551721</v>
      </c>
      <c r="D32" s="71">
        <v>2.0344827586206895</v>
      </c>
      <c r="E32" s="67">
        <v>0.34482758620689657</v>
      </c>
      <c r="F32" s="67">
        <v>0.37931034482758619</v>
      </c>
      <c r="G32" s="67">
        <v>0.27800829875518673</v>
      </c>
      <c r="H32" s="67">
        <v>0.17012448132780084</v>
      </c>
      <c r="I32" s="68">
        <v>7370.1492537313434</v>
      </c>
      <c r="J32" s="68">
        <v>-7792.6829268292686</v>
      </c>
      <c r="K32" s="67">
        <v>0.20689655172413793</v>
      </c>
      <c r="L32" s="67">
        <v>3.4482758620689655E-2</v>
      </c>
      <c r="M32" s="67">
        <v>0.21161825726141079</v>
      </c>
      <c r="N32" s="67">
        <v>0.21576763485477179</v>
      </c>
      <c r="O32" s="67">
        <v>0.68627450980392157</v>
      </c>
      <c r="P32" s="67">
        <v>0.38461538461538464</v>
      </c>
      <c r="Q32" s="67">
        <v>0.41791044776119401</v>
      </c>
    </row>
    <row r="33" spans="1:17" x14ac:dyDescent="0.4">
      <c r="A33" s="69">
        <v>30</v>
      </c>
      <c r="B33" s="66">
        <v>-216.39999999999998</v>
      </c>
      <c r="C33" s="66">
        <v>-7.2133333333333329</v>
      </c>
      <c r="D33" s="71">
        <v>2.0666666666666669</v>
      </c>
      <c r="E33" s="67">
        <v>0.33333333333333331</v>
      </c>
      <c r="F33" s="67">
        <v>0.4</v>
      </c>
      <c r="G33" s="67">
        <v>0.27600000000000002</v>
      </c>
      <c r="H33" s="67">
        <v>0.17599999999999999</v>
      </c>
      <c r="I33" s="68">
        <v>7289.855072463768</v>
      </c>
      <c r="J33" s="68">
        <v>-7761.363636363636</v>
      </c>
      <c r="K33" s="67">
        <v>0.2</v>
      </c>
      <c r="L33" s="67">
        <v>3.3333333333333333E-2</v>
      </c>
      <c r="M33" s="67">
        <v>0.21199999999999999</v>
      </c>
      <c r="N33" s="67">
        <v>0.216</v>
      </c>
      <c r="O33" s="67">
        <v>0.67924528301886788</v>
      </c>
      <c r="P33" s="67">
        <v>0.3888888888888889</v>
      </c>
      <c r="Q33" s="67">
        <v>0.42028985507246375</v>
      </c>
    </row>
    <row r="34" spans="1:17" x14ac:dyDescent="0.4">
      <c r="A34" s="69">
        <v>31</v>
      </c>
      <c r="B34" s="66">
        <v>-231.79999999999998</v>
      </c>
      <c r="C34" s="66">
        <v>-7.4774193548387089</v>
      </c>
      <c r="D34" s="71">
        <v>2.064516129032258</v>
      </c>
      <c r="E34" s="67">
        <v>0.32258064516129031</v>
      </c>
      <c r="F34" s="67">
        <v>0.38709677419354838</v>
      </c>
      <c r="G34" s="67">
        <v>0.27413127413127414</v>
      </c>
      <c r="H34" s="67">
        <v>0.17374517374517376</v>
      </c>
      <c r="I34" s="68">
        <v>7281.6901408450703</v>
      </c>
      <c r="J34" s="68">
        <v>-7855.5555555555557</v>
      </c>
      <c r="K34" s="67">
        <v>0.19354838709677419</v>
      </c>
      <c r="L34" s="67">
        <v>3.2258064516129031E-2</v>
      </c>
      <c r="M34" s="67">
        <v>0.20849420849420849</v>
      </c>
      <c r="N34" s="67">
        <v>0.22007722007722008</v>
      </c>
      <c r="O34" s="67">
        <v>0.68518518518518523</v>
      </c>
      <c r="P34" s="67">
        <v>0.36842105263157893</v>
      </c>
      <c r="Q34" s="67">
        <v>0.40845070422535212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1BB-1D2F-4812-B1FE-876CE465CB56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0502-BDF5-4553-A482-A540038A6774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B3EF-660C-4867-A715-CAF7F527A479}">
  <sheetPr codeName="Sheet14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93.299999999999983</v>
      </c>
      <c r="C59" s="66">
        <v>1.6660714285714282</v>
      </c>
      <c r="D59" s="71">
        <v>2.0535714285714284</v>
      </c>
      <c r="E59" s="67">
        <v>0.2857142857142857</v>
      </c>
      <c r="F59" s="67">
        <v>0.3392857142857143</v>
      </c>
      <c r="G59" s="67">
        <v>0.26819126819126821</v>
      </c>
      <c r="H59" s="67">
        <v>0.15384615384615385</v>
      </c>
      <c r="I59" s="68">
        <v>9606.2015503875973</v>
      </c>
      <c r="J59" s="68">
        <v>-7431.0810810810808</v>
      </c>
      <c r="K59" s="67">
        <v>3.5714285714285712E-2</v>
      </c>
      <c r="L59" s="67">
        <v>0.125</v>
      </c>
      <c r="M59" s="67">
        <v>0.27027027027027029</v>
      </c>
      <c r="N59" s="67">
        <v>0.1787941787941788</v>
      </c>
      <c r="O59" s="67">
        <v>0.58461538461538465</v>
      </c>
      <c r="P59" s="67">
        <v>0.36046511627906974</v>
      </c>
      <c r="Q59" s="67">
        <v>0.41860465116279072</v>
      </c>
    </row>
    <row r="60" spans="1:17" x14ac:dyDescent="0.4">
      <c r="A60" s="69">
        <v>57</v>
      </c>
      <c r="B60" s="66">
        <v>104.69999999999999</v>
      </c>
      <c r="C60" s="66">
        <v>1.8368421052631576</v>
      </c>
      <c r="D60" s="71">
        <v>2.0526315789473686</v>
      </c>
      <c r="E60" s="67">
        <v>0.2807017543859649</v>
      </c>
      <c r="F60" s="67">
        <v>0.33333333333333331</v>
      </c>
      <c r="G60" s="67">
        <v>0.26954732510288065</v>
      </c>
      <c r="H60" s="67">
        <v>0.15432098765432098</v>
      </c>
      <c r="I60" s="68">
        <v>9612.2137404580153</v>
      </c>
      <c r="J60" s="68">
        <v>-7486.666666666667</v>
      </c>
      <c r="K60" s="67">
        <v>3.5087719298245612E-2</v>
      </c>
      <c r="L60" s="67">
        <v>0.12280701754385964</v>
      </c>
      <c r="M60" s="67">
        <v>0.27160493827160492</v>
      </c>
      <c r="N60" s="67">
        <v>0.17695473251028807</v>
      </c>
      <c r="O60" s="67">
        <v>0.59090909090909094</v>
      </c>
      <c r="P60" s="67">
        <v>0.36046511627906974</v>
      </c>
      <c r="Q60" s="67">
        <v>0.42748091603053434</v>
      </c>
    </row>
    <row r="61" spans="1:17" x14ac:dyDescent="0.4">
      <c r="A61" s="69">
        <v>58</v>
      </c>
      <c r="B61" s="66">
        <v>72.499999999999986</v>
      </c>
      <c r="C61" s="66">
        <v>1.2499999999999998</v>
      </c>
      <c r="D61" s="71">
        <v>2.0689655172413794</v>
      </c>
      <c r="E61" s="67">
        <v>0.27586206896551724</v>
      </c>
      <c r="F61" s="67">
        <v>0.34482758620689657</v>
      </c>
      <c r="G61" s="67">
        <v>0.26720647773279355</v>
      </c>
      <c r="H61" s="67">
        <v>0.15182186234817813</v>
      </c>
      <c r="I61" s="68">
        <v>9559.0909090909099</v>
      </c>
      <c r="J61" s="68">
        <v>-7486.666666666667</v>
      </c>
      <c r="K61" s="67">
        <v>3.4482758620689655E-2</v>
      </c>
      <c r="L61" s="67">
        <v>0.1206896551724138</v>
      </c>
      <c r="M61" s="67">
        <v>0.26923076923076922</v>
      </c>
      <c r="N61" s="67">
        <v>0.17611336032388664</v>
      </c>
      <c r="O61" s="67">
        <v>0.5864661654135338</v>
      </c>
      <c r="P61" s="67">
        <v>0.36781609195402298</v>
      </c>
      <c r="Q61" s="67">
        <v>0.42424242424242425</v>
      </c>
    </row>
    <row r="62" spans="1:17" x14ac:dyDescent="0.4">
      <c r="A62" s="69">
        <v>59</v>
      </c>
      <c r="B62" s="66">
        <v>87.09999999999998</v>
      </c>
      <c r="C62" s="66">
        <v>1.4762711864406777</v>
      </c>
      <c r="D62" s="71">
        <v>2.0677966101694913</v>
      </c>
      <c r="E62" s="67">
        <v>0.2711864406779661</v>
      </c>
      <c r="F62" s="67">
        <v>0.33898305084745761</v>
      </c>
      <c r="G62" s="67">
        <v>0.26746506986027946</v>
      </c>
      <c r="H62" s="67">
        <v>0.15169660678642716</v>
      </c>
      <c r="I62" s="68">
        <v>9640.2985074626868</v>
      </c>
      <c r="J62" s="68">
        <v>-7546.0526315789475</v>
      </c>
      <c r="K62" s="67">
        <v>3.3898305084745763E-2</v>
      </c>
      <c r="L62" s="67">
        <v>0.11864406779661017</v>
      </c>
      <c r="M62" s="67">
        <v>0.26746506986027946</v>
      </c>
      <c r="N62" s="67">
        <v>0.17764471057884232</v>
      </c>
      <c r="O62" s="67">
        <v>0.58955223880597019</v>
      </c>
      <c r="P62" s="67">
        <v>0.3707865168539326</v>
      </c>
      <c r="Q62" s="67">
        <v>0.41791044776119401</v>
      </c>
    </row>
    <row r="63" spans="1:17" x14ac:dyDescent="0.4">
      <c r="A63" s="69">
        <v>60</v>
      </c>
      <c r="B63" s="66">
        <v>48.399999999999977</v>
      </c>
      <c r="C63" s="66">
        <v>0.80666666666666631</v>
      </c>
      <c r="D63" s="71">
        <v>2.0833333333333335</v>
      </c>
      <c r="E63" s="67">
        <v>0.26666666666666666</v>
      </c>
      <c r="F63" s="67">
        <v>0.35</v>
      </c>
      <c r="G63" s="67">
        <v>0.27058823529411763</v>
      </c>
      <c r="H63" s="67">
        <v>0.15686274509803921</v>
      </c>
      <c r="I63" s="68">
        <v>9544.927536231884</v>
      </c>
      <c r="J63" s="68">
        <v>-7647.5</v>
      </c>
      <c r="K63" s="67">
        <v>3.3333333333333333E-2</v>
      </c>
      <c r="L63" s="67">
        <v>0.11666666666666667</v>
      </c>
      <c r="M63" s="67">
        <v>0.27254901960784311</v>
      </c>
      <c r="N63" s="67">
        <v>0.1803921568627451</v>
      </c>
      <c r="O63" s="67">
        <v>0.59712230215827333</v>
      </c>
      <c r="P63" s="67">
        <v>0.35869565217391303</v>
      </c>
      <c r="Q63" s="67">
        <v>0.40579710144927539</v>
      </c>
    </row>
    <row r="64" spans="1:17" x14ac:dyDescent="0.4">
      <c r="A64" s="69">
        <v>61</v>
      </c>
      <c r="B64" s="66">
        <v>45.899999999999977</v>
      </c>
      <c r="C64" s="66">
        <v>0.75245901639344226</v>
      </c>
      <c r="D64" s="71">
        <v>2.081967213114754</v>
      </c>
      <c r="E64" s="67">
        <v>0.26229508196721313</v>
      </c>
      <c r="F64" s="67">
        <v>0.34426229508196721</v>
      </c>
      <c r="G64" s="67">
        <v>0.26990291262135924</v>
      </c>
      <c r="H64" s="67">
        <v>0.1553398058252427</v>
      </c>
      <c r="I64" s="68">
        <v>9533.8129496402871</v>
      </c>
      <c r="J64" s="68">
        <v>-7647.5</v>
      </c>
      <c r="K64" s="67">
        <v>3.2786885245901641E-2</v>
      </c>
      <c r="L64" s="67">
        <v>0.11475409836065574</v>
      </c>
      <c r="M64" s="67">
        <v>0.26990291262135924</v>
      </c>
      <c r="N64" s="67">
        <v>0.18058252427184465</v>
      </c>
      <c r="O64" s="67">
        <v>0.59712230215827333</v>
      </c>
      <c r="P64" s="67">
        <v>0.36559139784946237</v>
      </c>
      <c r="Q64" s="67">
        <v>0.40287769784172661</v>
      </c>
    </row>
    <row r="65" spans="1:17" x14ac:dyDescent="0.4">
      <c r="A65" s="69">
        <v>62</v>
      </c>
      <c r="B65" s="66">
        <v>93.499999999999972</v>
      </c>
      <c r="C65" s="66">
        <v>1.5080645161290318</v>
      </c>
      <c r="D65" s="71">
        <v>2.064516129032258</v>
      </c>
      <c r="E65" s="67">
        <v>0.27419354838709675</v>
      </c>
      <c r="F65" s="67">
        <v>0.33870967741935482</v>
      </c>
      <c r="G65" s="67">
        <v>0.2742857142857143</v>
      </c>
      <c r="H65" s="67">
        <v>0.15809523809523809</v>
      </c>
      <c r="I65" s="68">
        <v>9534.0277777777774</v>
      </c>
      <c r="J65" s="68">
        <v>-7589.1566265060237</v>
      </c>
      <c r="K65" s="67">
        <v>3.2258064516129031E-2</v>
      </c>
      <c r="L65" s="67">
        <v>0.11290322580645161</v>
      </c>
      <c r="M65" s="67">
        <v>0.27238095238095239</v>
      </c>
      <c r="N65" s="67">
        <v>0.18095238095238095</v>
      </c>
      <c r="O65" s="67">
        <v>0.59440559440559437</v>
      </c>
      <c r="P65" s="67">
        <v>0.37894736842105264</v>
      </c>
      <c r="Q65" s="67">
        <v>0.40972222222222221</v>
      </c>
    </row>
    <row r="66" spans="1:17" x14ac:dyDescent="0.4">
      <c r="A66" s="69">
        <v>63</v>
      </c>
      <c r="B66" s="66">
        <v>133.59999999999997</v>
      </c>
      <c r="C66" s="66">
        <v>2.1206349206349202</v>
      </c>
      <c r="D66" s="71">
        <v>2.0476190476190474</v>
      </c>
      <c r="E66" s="67">
        <v>0.2857142857142857</v>
      </c>
      <c r="F66" s="67">
        <v>0.33333333333333331</v>
      </c>
      <c r="G66" s="67">
        <v>0.2754158964879852</v>
      </c>
      <c r="H66" s="67">
        <v>0.15896487985212571</v>
      </c>
      <c r="I66" s="68">
        <v>9625.5033557046972</v>
      </c>
      <c r="J66" s="68">
        <v>-7468.604651162791</v>
      </c>
      <c r="K66" s="67">
        <v>3.1746031746031744E-2</v>
      </c>
      <c r="L66" s="67">
        <v>0.1111111111111111</v>
      </c>
      <c r="M66" s="67">
        <v>0.2735674676524954</v>
      </c>
      <c r="N66" s="67">
        <v>0.18484288354898337</v>
      </c>
      <c r="O66" s="67">
        <v>0.58783783783783783</v>
      </c>
      <c r="P66" s="67">
        <v>0.39</v>
      </c>
      <c r="Q66" s="67">
        <v>0.41610738255033558</v>
      </c>
    </row>
    <row r="67" spans="1:17" x14ac:dyDescent="0.4">
      <c r="A67" s="69">
        <v>64</v>
      </c>
      <c r="B67" s="66">
        <v>205.09999999999997</v>
      </c>
      <c r="C67" s="66">
        <v>3.2046874999999995</v>
      </c>
      <c r="D67" s="71">
        <v>2.03125</v>
      </c>
      <c r="E67" s="67">
        <v>0.296875</v>
      </c>
      <c r="F67" s="67">
        <v>0.328125</v>
      </c>
      <c r="G67" s="67">
        <v>0.2781818181818182</v>
      </c>
      <c r="H67" s="67">
        <v>0.15818181818181817</v>
      </c>
      <c r="I67" s="68">
        <v>9700.6535947712418</v>
      </c>
      <c r="J67" s="68">
        <v>-7405.7471264367814</v>
      </c>
      <c r="K67" s="67">
        <v>3.125E-2</v>
      </c>
      <c r="L67" s="67">
        <v>0.125</v>
      </c>
      <c r="M67" s="67">
        <v>0.28000000000000003</v>
      </c>
      <c r="N67" s="67">
        <v>0.18545454545454546</v>
      </c>
      <c r="O67" s="67">
        <v>0.58441558441558439</v>
      </c>
      <c r="P67" s="67">
        <v>0.39215686274509803</v>
      </c>
      <c r="Q67" s="67">
        <v>0.42483660130718953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C0BB-59C1-4F80-8F7E-9BB662E92804}">
  <sheetPr codeName="Sheet12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-800.5999999999998</v>
      </c>
      <c r="C49" s="66">
        <v>-17.404347826086951</v>
      </c>
      <c r="D49" s="71">
        <v>2.2826086956521738</v>
      </c>
      <c r="E49" s="67">
        <v>0.2391304347826087</v>
      </c>
      <c r="F49" s="67">
        <v>0.52173913043478259</v>
      </c>
      <c r="G49" s="67">
        <v>0.22340425531914893</v>
      </c>
      <c r="H49" s="67">
        <v>0.19680851063829788</v>
      </c>
      <c r="I49" s="68">
        <v>8869.0476190476184</v>
      </c>
      <c r="J49" s="68">
        <v>-9212.1621621621616</v>
      </c>
      <c r="K49" s="67">
        <v>0.17391304347826086</v>
      </c>
      <c r="L49" s="67">
        <v>8.6956521739130432E-2</v>
      </c>
      <c r="M49" s="67">
        <v>0.26063829787234044</v>
      </c>
      <c r="N49" s="67">
        <v>0.15691489361702127</v>
      </c>
      <c r="O49" s="67">
        <v>0.53061224489795922</v>
      </c>
      <c r="P49" s="67">
        <v>0.20338983050847459</v>
      </c>
      <c r="Q49" s="67">
        <v>0.5</v>
      </c>
    </row>
    <row r="50" spans="1:17" x14ac:dyDescent="0.4">
      <c r="A50" s="69">
        <v>47</v>
      </c>
      <c r="B50" s="66">
        <v>-754.5999999999998</v>
      </c>
      <c r="C50" s="66">
        <v>-16.055319148936167</v>
      </c>
      <c r="D50" s="71">
        <v>2.2553191489361701</v>
      </c>
      <c r="E50" s="67">
        <v>0.25531914893617019</v>
      </c>
      <c r="F50" s="67">
        <v>0.51063829787234039</v>
      </c>
      <c r="G50" s="67">
        <v>0.22572178477690288</v>
      </c>
      <c r="H50" s="67">
        <v>0.1942257217847769</v>
      </c>
      <c r="I50" s="68">
        <v>9081.3953488372099</v>
      </c>
      <c r="J50" s="68">
        <v>-9212.1621621621616</v>
      </c>
      <c r="K50" s="67">
        <v>0.1702127659574468</v>
      </c>
      <c r="L50" s="67">
        <v>0.10638297872340426</v>
      </c>
      <c r="M50" s="67">
        <v>0.25984251968503935</v>
      </c>
      <c r="N50" s="67">
        <v>0.15748031496062992</v>
      </c>
      <c r="O50" s="67">
        <v>0.53535353535353536</v>
      </c>
      <c r="P50" s="67">
        <v>0.21666666666666667</v>
      </c>
      <c r="Q50" s="67">
        <v>0.48837209302325579</v>
      </c>
    </row>
    <row r="51" spans="1:17" x14ac:dyDescent="0.4">
      <c r="A51" s="69">
        <v>48</v>
      </c>
      <c r="B51" s="66">
        <v>-756.69999999999982</v>
      </c>
      <c r="C51" s="66">
        <v>-15.764583333333329</v>
      </c>
      <c r="D51" s="71">
        <v>2.25</v>
      </c>
      <c r="E51" s="67">
        <v>0.25</v>
      </c>
      <c r="F51" s="67">
        <v>0.5</v>
      </c>
      <c r="G51" s="67">
        <v>0.2236503856041131</v>
      </c>
      <c r="H51" s="67">
        <v>0.19537275064267351</v>
      </c>
      <c r="I51" s="68">
        <v>9114.9425287356316</v>
      </c>
      <c r="J51" s="68">
        <v>-9038.1578947368416</v>
      </c>
      <c r="K51" s="67">
        <v>0.16666666666666666</v>
      </c>
      <c r="L51" s="67">
        <v>0.10416666666666667</v>
      </c>
      <c r="M51" s="67">
        <v>0.2647814910025707</v>
      </c>
      <c r="N51" s="67">
        <v>0.15424164524421594</v>
      </c>
      <c r="O51" s="67">
        <v>0.52427184466019416</v>
      </c>
      <c r="P51" s="67">
        <v>0.21666666666666667</v>
      </c>
      <c r="Q51" s="67">
        <v>0.4942528735632184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5086-593E-40CA-B697-4AF92BE8D6EC}">
  <sheetPr codeName="Sheet10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-388.20000000000005</v>
      </c>
      <c r="C105" s="66">
        <v>-3.8058823529411767</v>
      </c>
      <c r="D105" s="71">
        <v>2.0882352941176472</v>
      </c>
      <c r="E105" s="67">
        <v>0.26470588235294118</v>
      </c>
      <c r="F105" s="67">
        <v>0.35294117647058826</v>
      </c>
      <c r="G105" s="67">
        <v>0.27336448598130841</v>
      </c>
      <c r="H105" s="67">
        <v>0.17406542056074767</v>
      </c>
      <c r="I105" s="68">
        <v>9156.8376068376074</v>
      </c>
      <c r="J105" s="68">
        <v>-7672.4832214765102</v>
      </c>
      <c r="K105" s="67">
        <v>0.13725490196078433</v>
      </c>
      <c r="L105" s="67">
        <v>7.8431372549019607E-2</v>
      </c>
      <c r="M105" s="67">
        <v>0.29322429906542058</v>
      </c>
      <c r="N105" s="67">
        <v>0.1822429906542056</v>
      </c>
      <c r="O105" s="67">
        <v>0.59362549800796816</v>
      </c>
      <c r="P105" s="67">
        <v>0.27564102564102566</v>
      </c>
      <c r="Q105" s="67">
        <v>0.42735042735042733</v>
      </c>
    </row>
    <row r="106" spans="1:17" x14ac:dyDescent="0.4">
      <c r="A106" s="69">
        <v>103</v>
      </c>
      <c r="B106" s="66">
        <v>-313.00000000000006</v>
      </c>
      <c r="C106" s="66">
        <v>-3.0388349514563111</v>
      </c>
      <c r="D106" s="71">
        <v>2.0776699029126213</v>
      </c>
      <c r="E106" s="67">
        <v>0.27184466019417475</v>
      </c>
      <c r="F106" s="67">
        <v>0.34951456310679613</v>
      </c>
      <c r="G106" s="67">
        <v>0.27630057803468205</v>
      </c>
      <c r="H106" s="67">
        <v>0.1722543352601156</v>
      </c>
      <c r="I106" s="68">
        <v>9196.2343096234308</v>
      </c>
      <c r="J106" s="68">
        <v>-7672.4832214765102</v>
      </c>
      <c r="K106" s="67">
        <v>0.13592233009708737</v>
      </c>
      <c r="L106" s="67">
        <v>8.7378640776699032E-2</v>
      </c>
      <c r="M106" s="67">
        <v>0.29826589595375724</v>
      </c>
      <c r="N106" s="67">
        <v>0.18034682080924855</v>
      </c>
      <c r="O106" s="67">
        <v>0.5968992248062015</v>
      </c>
      <c r="P106" s="67">
        <v>0.27564102564102566</v>
      </c>
      <c r="Q106" s="67">
        <v>0.42677824267782427</v>
      </c>
    </row>
    <row r="107" spans="1:17" x14ac:dyDescent="0.4">
      <c r="A107" s="69">
        <v>104</v>
      </c>
      <c r="B107" s="66">
        <v>-343.60000000000008</v>
      </c>
      <c r="C107" s="66">
        <v>-3.3038461538461545</v>
      </c>
      <c r="D107" s="71">
        <v>2.0865384615384617</v>
      </c>
      <c r="E107" s="67">
        <v>0.26923076923076922</v>
      </c>
      <c r="F107" s="67">
        <v>0.35576923076923078</v>
      </c>
      <c r="G107" s="67">
        <v>0.27459954233409611</v>
      </c>
      <c r="H107" s="67">
        <v>0.17162471395881007</v>
      </c>
      <c r="I107" s="68">
        <v>9207.9166666666661</v>
      </c>
      <c r="J107" s="68">
        <v>-7672.666666666667</v>
      </c>
      <c r="K107" s="67">
        <v>0.13461538461538461</v>
      </c>
      <c r="L107" s="67">
        <v>8.6538461538461536E-2</v>
      </c>
      <c r="M107" s="67">
        <v>0.29633867276887871</v>
      </c>
      <c r="N107" s="67">
        <v>0.18306636155606407</v>
      </c>
      <c r="O107" s="67">
        <v>0.59459459459459463</v>
      </c>
      <c r="P107" s="67">
        <v>0.27500000000000002</v>
      </c>
      <c r="Q107" s="67">
        <v>0.42499999999999999</v>
      </c>
    </row>
    <row r="108" spans="1:17" x14ac:dyDescent="0.4">
      <c r="A108" s="69">
        <v>105</v>
      </c>
      <c r="B108" s="66">
        <v>-298.80000000000007</v>
      </c>
      <c r="C108" s="66">
        <v>-2.8457142857142865</v>
      </c>
      <c r="D108" s="71">
        <v>2.0761904761904764</v>
      </c>
      <c r="E108" s="67">
        <v>0.27619047619047621</v>
      </c>
      <c r="F108" s="67">
        <v>0.35238095238095241</v>
      </c>
      <c r="G108" s="67">
        <v>0.27519818799546997</v>
      </c>
      <c r="H108" s="67">
        <v>0.17214043035107587</v>
      </c>
      <c r="I108" s="68">
        <v>9241.1522633744862</v>
      </c>
      <c r="J108" s="68">
        <v>-7650</v>
      </c>
      <c r="K108" s="67">
        <v>0.13333333333333333</v>
      </c>
      <c r="L108" s="67">
        <v>8.5714285714285715E-2</v>
      </c>
      <c r="M108" s="67">
        <v>0.29558323895809741</v>
      </c>
      <c r="N108" s="67">
        <v>0.18459796149490373</v>
      </c>
      <c r="O108" s="67">
        <v>0.5938697318007663</v>
      </c>
      <c r="P108" s="67">
        <v>0.2822085889570552</v>
      </c>
      <c r="Q108" s="67">
        <v>0.42386831275720166</v>
      </c>
    </row>
    <row r="109" spans="1:17" x14ac:dyDescent="0.4">
      <c r="A109" s="69">
        <v>106</v>
      </c>
      <c r="B109" s="66">
        <v>-236.30000000000007</v>
      </c>
      <c r="C109" s="66">
        <v>-2.2292452830188685</v>
      </c>
      <c r="D109" s="71">
        <v>2.0660377358490565</v>
      </c>
      <c r="E109" s="67">
        <v>0.28301886792452829</v>
      </c>
      <c r="F109" s="67">
        <v>0.34905660377358488</v>
      </c>
      <c r="G109" s="67">
        <v>0.27702702702702703</v>
      </c>
      <c r="H109" s="67">
        <v>0.17117117117117117</v>
      </c>
      <c r="I109" s="68">
        <v>9291.0569105691065</v>
      </c>
      <c r="J109" s="68">
        <v>-7650</v>
      </c>
      <c r="K109" s="67">
        <v>0.13207547169811321</v>
      </c>
      <c r="L109" s="67">
        <v>9.4339622641509441E-2</v>
      </c>
      <c r="M109" s="67">
        <v>0.29617117117117114</v>
      </c>
      <c r="N109" s="67">
        <v>0.18468468468468469</v>
      </c>
      <c r="O109" s="67">
        <v>0.59695817490494296</v>
      </c>
      <c r="P109" s="67">
        <v>0.28658536585365851</v>
      </c>
      <c r="Q109" s="67">
        <v>0.42682926829268292</v>
      </c>
    </row>
    <row r="110" spans="1:17" x14ac:dyDescent="0.4">
      <c r="A110" s="69">
        <v>107</v>
      </c>
      <c r="B110" s="66">
        <v>-274.00000000000006</v>
      </c>
      <c r="C110" s="66">
        <v>-2.5607476635514024</v>
      </c>
      <c r="D110" s="71">
        <v>2.0747663551401869</v>
      </c>
      <c r="E110" s="67">
        <v>0.28037383177570091</v>
      </c>
      <c r="F110" s="67">
        <v>0.35514018691588783</v>
      </c>
      <c r="G110" s="67">
        <v>0.27728285077951004</v>
      </c>
      <c r="H110" s="67">
        <v>0.17260579064587972</v>
      </c>
      <c r="I110" s="68">
        <v>9251.8072289156626</v>
      </c>
      <c r="J110" s="68">
        <v>-7626.4516129032254</v>
      </c>
      <c r="K110" s="67">
        <v>0.13084112149532709</v>
      </c>
      <c r="L110" s="67">
        <v>9.3457943925233641E-2</v>
      </c>
      <c r="M110" s="67">
        <v>0.29621380846325168</v>
      </c>
      <c r="N110" s="67">
        <v>0.18596881959910913</v>
      </c>
      <c r="O110" s="67">
        <v>0.59398496240601506</v>
      </c>
      <c r="P110" s="67">
        <v>0.29341317365269459</v>
      </c>
      <c r="Q110" s="67">
        <v>0.42168674698795183</v>
      </c>
    </row>
    <row r="111" spans="1:17" x14ac:dyDescent="0.4">
      <c r="A111" s="69">
        <v>108</v>
      </c>
      <c r="B111" s="66">
        <v>-253.50000000000006</v>
      </c>
      <c r="C111" s="66">
        <v>-2.3472222222222228</v>
      </c>
      <c r="D111" s="71">
        <v>2.074074074074074</v>
      </c>
      <c r="E111" s="67">
        <v>0.27777777777777779</v>
      </c>
      <c r="F111" s="67">
        <v>0.35185185185185186</v>
      </c>
      <c r="G111" s="67">
        <v>0.27765486725663718</v>
      </c>
      <c r="H111" s="67">
        <v>0.17146017699115043</v>
      </c>
      <c r="I111" s="68">
        <v>9257.7689243027889</v>
      </c>
      <c r="J111" s="68">
        <v>-7626.4516129032254</v>
      </c>
      <c r="K111" s="67">
        <v>0.12962962962962962</v>
      </c>
      <c r="L111" s="67">
        <v>9.2592592592592587E-2</v>
      </c>
      <c r="M111" s="67">
        <v>0.29646017699115046</v>
      </c>
      <c r="N111" s="67">
        <v>0.18473451327433629</v>
      </c>
      <c r="O111" s="67">
        <v>0.59701492537313428</v>
      </c>
      <c r="P111" s="67">
        <v>0.29341317365269459</v>
      </c>
      <c r="Q111" s="67">
        <v>0.42231075697211157</v>
      </c>
    </row>
    <row r="112" spans="1:17" x14ac:dyDescent="0.4">
      <c r="A112" s="69">
        <v>109</v>
      </c>
      <c r="B112" s="66">
        <v>-246.10000000000005</v>
      </c>
      <c r="C112" s="66">
        <v>-2.2577981651376153</v>
      </c>
      <c r="D112" s="71">
        <v>2.073394495412844</v>
      </c>
      <c r="E112" s="67">
        <v>0.27522935779816515</v>
      </c>
      <c r="F112" s="67">
        <v>0.34862385321100919</v>
      </c>
      <c r="G112" s="67">
        <v>0.27783902976846747</v>
      </c>
      <c r="H112" s="67">
        <v>0.17089305402425578</v>
      </c>
      <c r="I112" s="68">
        <v>9246.4285714285706</v>
      </c>
      <c r="J112" s="68">
        <v>-7626.4516129032254</v>
      </c>
      <c r="K112" s="67">
        <v>0.12844036697247707</v>
      </c>
      <c r="L112" s="67">
        <v>9.1743119266055051E-2</v>
      </c>
      <c r="M112" s="67">
        <v>0.29768467475192945</v>
      </c>
      <c r="N112" s="67">
        <v>0.18412348401323042</v>
      </c>
      <c r="O112" s="67">
        <v>0.59629629629629632</v>
      </c>
      <c r="P112" s="67">
        <v>0.29341317365269459</v>
      </c>
      <c r="Q112" s="67">
        <v>0.42063492063492064</v>
      </c>
    </row>
    <row r="113" spans="1:17" x14ac:dyDescent="0.4">
      <c r="A113" s="69">
        <v>110</v>
      </c>
      <c r="B113" s="66">
        <v>-256.90000000000003</v>
      </c>
      <c r="C113" s="66">
        <v>-2.3354545454545459</v>
      </c>
      <c r="D113" s="71">
        <v>2.0727272727272728</v>
      </c>
      <c r="E113" s="67">
        <v>0.27272727272727271</v>
      </c>
      <c r="F113" s="67">
        <v>0.34545454545454546</v>
      </c>
      <c r="G113" s="67">
        <v>0.27631578947368424</v>
      </c>
      <c r="H113" s="67">
        <v>0.17105263157894737</v>
      </c>
      <c r="I113" s="68">
        <v>9246.4285714285706</v>
      </c>
      <c r="J113" s="68">
        <v>-7592.9487179487178</v>
      </c>
      <c r="K113" s="67">
        <v>0.12727272727272726</v>
      </c>
      <c r="L113" s="67">
        <v>9.0909090909090912E-2</v>
      </c>
      <c r="M113" s="67">
        <v>0.29714912280701755</v>
      </c>
      <c r="N113" s="67">
        <v>0.18311403508771928</v>
      </c>
      <c r="O113" s="67">
        <v>0.59409594095940954</v>
      </c>
      <c r="P113" s="67">
        <v>0.29341317365269459</v>
      </c>
      <c r="Q113" s="67">
        <v>0.42063492063492064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C7B-A2AF-4B9C-ACEF-62A1B0BF9CCE}">
  <sheetPr codeName="Sheet8"/>
  <dimension ref="A1:Q1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50BA-412C-4BDC-86F7-DF04D06B7C7D}">
  <sheetPr codeName="Sheet6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2.8421709430404007E-14</v>
      </c>
      <c r="C150" s="66">
        <v>6.4448320703863964E-17</v>
      </c>
      <c r="D150" s="71">
        <v>2</v>
      </c>
      <c r="E150" s="67">
        <v>0.33333333333333331</v>
      </c>
      <c r="F150" s="67">
        <v>0.33333333333333331</v>
      </c>
      <c r="G150" s="67">
        <v>0.3018309100700054</v>
      </c>
      <c r="H150" s="67">
        <v>0.16693591814754982</v>
      </c>
      <c r="I150" s="68">
        <v>8396.8777876895638</v>
      </c>
      <c r="J150" s="68">
        <v>-8022.7419354838712</v>
      </c>
      <c r="K150" s="67">
        <v>0.10204081632653061</v>
      </c>
      <c r="L150" s="67">
        <v>0.10204081632653061</v>
      </c>
      <c r="M150" s="67">
        <v>0.2719439956919763</v>
      </c>
      <c r="N150" s="67">
        <v>0.21351642434033388</v>
      </c>
      <c r="O150" s="67">
        <v>0.59504950495049502</v>
      </c>
      <c r="P150" s="67">
        <v>0.38209331651954603</v>
      </c>
      <c r="Q150" s="67">
        <v>0.43978590544157004</v>
      </c>
    </row>
    <row r="151" spans="1:17" x14ac:dyDescent="0.4">
      <c r="A151" s="69">
        <v>148</v>
      </c>
      <c r="B151" s="66">
        <v>3.0198066269804258E-14</v>
      </c>
      <c r="C151" s="66">
        <v>6.8013662769829405E-17</v>
      </c>
      <c r="D151" s="71">
        <v>2</v>
      </c>
      <c r="E151" s="67">
        <v>0.33333333333333331</v>
      </c>
      <c r="F151" s="67">
        <v>0.33333333333333331</v>
      </c>
      <c r="G151" s="67">
        <v>0.3019576293912577</v>
      </c>
      <c r="H151" s="67">
        <v>0.16706891928130865</v>
      </c>
      <c r="I151" s="68">
        <v>8419.6269982238009</v>
      </c>
      <c r="J151" s="68">
        <v>-8060.5136436597113</v>
      </c>
      <c r="K151" s="67">
        <v>0.1036036036036036</v>
      </c>
      <c r="L151" s="67">
        <v>0.1036036036036036</v>
      </c>
      <c r="M151" s="67">
        <v>0.27192276749798872</v>
      </c>
      <c r="N151" s="67">
        <v>0.21346205417001876</v>
      </c>
      <c r="O151" s="67">
        <v>0.596646942800789</v>
      </c>
      <c r="P151" s="67">
        <v>0.38190954773869346</v>
      </c>
      <c r="Q151" s="67">
        <v>0.43960923623445824</v>
      </c>
    </row>
    <row r="152" spans="1:17" x14ac:dyDescent="0.4">
      <c r="A152" s="69">
        <v>149</v>
      </c>
      <c r="B152" s="66">
        <v>2.1316282072803006E-14</v>
      </c>
      <c r="C152" s="66">
        <v>4.7687431930208065E-17</v>
      </c>
      <c r="D152" s="71">
        <v>2</v>
      </c>
      <c r="E152" s="67">
        <v>0.33333333333333331</v>
      </c>
      <c r="F152" s="67">
        <v>0.33333333333333331</v>
      </c>
      <c r="G152" s="67">
        <v>0.30135891286970423</v>
      </c>
      <c r="H152" s="67">
        <v>0.16653343991473488</v>
      </c>
      <c r="I152" s="68">
        <v>8415.030946065428</v>
      </c>
      <c r="J152" s="68">
        <v>-8043.04</v>
      </c>
      <c r="K152" s="67">
        <v>0.1029082774049217</v>
      </c>
      <c r="L152" s="67">
        <v>0.1029082774049217</v>
      </c>
      <c r="M152" s="67">
        <v>0.27204902744471088</v>
      </c>
      <c r="N152" s="67">
        <v>0.21236344257926992</v>
      </c>
      <c r="O152" s="67">
        <v>0.59549461312438789</v>
      </c>
      <c r="P152" s="67">
        <v>0.38268506900878296</v>
      </c>
      <c r="Q152" s="67">
        <v>0.44031830238726788</v>
      </c>
    </row>
    <row r="153" spans="1:17" x14ac:dyDescent="0.4">
      <c r="A153" s="69">
        <v>150</v>
      </c>
      <c r="B153" s="66">
        <v>1.9539925233402755E-14</v>
      </c>
      <c r="C153" s="66">
        <v>4.3422056074228347E-17</v>
      </c>
      <c r="D153" s="71">
        <v>2</v>
      </c>
      <c r="E153" s="67">
        <v>0.33333333333333331</v>
      </c>
      <c r="F153" s="67">
        <v>0.33333333333333331</v>
      </c>
      <c r="G153" s="67">
        <v>0.30127186009538953</v>
      </c>
      <c r="H153" s="67">
        <v>0.16666666666666666</v>
      </c>
      <c r="I153" s="68">
        <v>8426.0334212840808</v>
      </c>
      <c r="J153" s="68">
        <v>-8077.7424483306841</v>
      </c>
      <c r="K153" s="67">
        <v>0.10444444444444445</v>
      </c>
      <c r="L153" s="67">
        <v>0.10444444444444445</v>
      </c>
      <c r="M153" s="67">
        <v>0.27133015368309488</v>
      </c>
      <c r="N153" s="67">
        <v>0.21224165341812401</v>
      </c>
      <c r="O153" s="67">
        <v>0.595703125</v>
      </c>
      <c r="P153" s="67">
        <v>0.38327091136079899</v>
      </c>
      <c r="Q153" s="67">
        <v>0.43975373790677219</v>
      </c>
    </row>
    <row r="154" spans="1:17" x14ac:dyDescent="0.4">
      <c r="A154" s="69">
        <v>151</v>
      </c>
      <c r="B154" s="66">
        <v>7.1054273576010019E-15</v>
      </c>
      <c r="C154" s="66">
        <v>1.5685270105079474E-17</v>
      </c>
      <c r="D154" s="71">
        <v>2</v>
      </c>
      <c r="E154" s="67">
        <v>0.33333333333333331</v>
      </c>
      <c r="F154" s="67">
        <v>0.33333333333333331</v>
      </c>
      <c r="G154" s="67">
        <v>0.30073606729758151</v>
      </c>
      <c r="H154" s="67">
        <v>0.16666666666666666</v>
      </c>
      <c r="I154" s="68">
        <v>8427.9720279720277</v>
      </c>
      <c r="J154" s="68">
        <v>-8063.2492113564667</v>
      </c>
      <c r="K154" s="67">
        <v>0.10596026490066225</v>
      </c>
      <c r="L154" s="67">
        <v>0.10596026490066225</v>
      </c>
      <c r="M154" s="67">
        <v>0.27155625657202942</v>
      </c>
      <c r="N154" s="67">
        <v>0.21161934805467927</v>
      </c>
      <c r="O154" s="67">
        <v>0.59438528557599224</v>
      </c>
      <c r="P154" s="67">
        <v>0.38509316770186336</v>
      </c>
      <c r="Q154" s="67">
        <v>0.4388111888111888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0.30070477682067348</v>
      </c>
      <c r="H155" s="67">
        <v>0.16653615244061604</v>
      </c>
      <c r="I155" s="68">
        <v>8434.0277777777774</v>
      </c>
      <c r="J155" s="68">
        <v>-8066.6144200626959</v>
      </c>
      <c r="K155" s="67">
        <v>0.10745614035087719</v>
      </c>
      <c r="L155" s="67">
        <v>0.10745614035087719</v>
      </c>
      <c r="M155" s="67">
        <v>0.27329678935003915</v>
      </c>
      <c r="N155" s="67">
        <v>0.21091098929783347</v>
      </c>
      <c r="O155" s="67">
        <v>0.59312320916905448</v>
      </c>
      <c r="P155" s="67">
        <v>0.38366336633663367</v>
      </c>
      <c r="Q155" s="67">
        <v>0.4392361111111111</v>
      </c>
    </row>
    <row r="156" spans="1:17" x14ac:dyDescent="0.4">
      <c r="A156" s="69">
        <v>153</v>
      </c>
      <c r="B156" s="66">
        <v>1.1546319456101628E-14</v>
      </c>
      <c r="C156" s="66">
        <v>2.5155380078652783E-17</v>
      </c>
      <c r="D156" s="71">
        <v>2</v>
      </c>
      <c r="E156" s="67">
        <v>0.33333333333333331</v>
      </c>
      <c r="F156" s="67">
        <v>0.33333333333333331</v>
      </c>
      <c r="G156" s="67">
        <v>0.30067392431311563</v>
      </c>
      <c r="H156" s="67">
        <v>0.16666666666666666</v>
      </c>
      <c r="I156" s="68">
        <v>8443.7931034482754</v>
      </c>
      <c r="J156" s="68">
        <v>-8070.9175738724725</v>
      </c>
      <c r="K156" s="67">
        <v>0.10675381263616558</v>
      </c>
      <c r="L156" s="67">
        <v>0.10675381263616558</v>
      </c>
      <c r="M156" s="67">
        <v>0.27319854847071023</v>
      </c>
      <c r="N156" s="67">
        <v>0.21150855365474339</v>
      </c>
      <c r="O156" s="67">
        <v>0.59203036053130931</v>
      </c>
      <c r="P156" s="67">
        <v>0.38480392156862747</v>
      </c>
      <c r="Q156" s="67">
        <v>0.43879310344827588</v>
      </c>
    </row>
    <row r="157" spans="1:17" x14ac:dyDescent="0.4">
      <c r="A157" s="69">
        <v>154</v>
      </c>
      <c r="B157" s="66">
        <v>7.1054273576010019E-15</v>
      </c>
      <c r="C157" s="66">
        <v>1.5379712895240264E-17</v>
      </c>
      <c r="D157" s="71">
        <v>2</v>
      </c>
      <c r="E157" s="67">
        <v>0.33333333333333331</v>
      </c>
      <c r="F157" s="67">
        <v>0.33333333333333331</v>
      </c>
      <c r="G157" s="67">
        <v>0.30090090090090088</v>
      </c>
      <c r="H157" s="67">
        <v>0.16756756756756758</v>
      </c>
      <c r="I157" s="68">
        <v>8439.8631308810945</v>
      </c>
      <c r="J157" s="68">
        <v>-8069.5852534562209</v>
      </c>
      <c r="K157" s="67">
        <v>0.10606060606060606</v>
      </c>
      <c r="L157" s="67">
        <v>0.10606060606060606</v>
      </c>
      <c r="M157" s="67">
        <v>0.27335907335907333</v>
      </c>
      <c r="N157" s="67">
        <v>0.21209781209781209</v>
      </c>
      <c r="O157" s="67">
        <v>0.59322033898305082</v>
      </c>
      <c r="P157" s="67">
        <v>0.38349514563106796</v>
      </c>
      <c r="Q157" s="67">
        <v>0.43627031650983744</v>
      </c>
    </row>
    <row r="158" spans="1:17" x14ac:dyDescent="0.4">
      <c r="A158" s="69">
        <v>155</v>
      </c>
      <c r="B158" s="66">
        <v>7.1054273576010019E-15</v>
      </c>
      <c r="C158" s="66">
        <v>1.5280488941077423E-17</v>
      </c>
      <c r="D158" s="71">
        <v>2</v>
      </c>
      <c r="E158" s="67">
        <v>0.33333333333333331</v>
      </c>
      <c r="F158" s="67">
        <v>0.33333333333333331</v>
      </c>
      <c r="G158" s="67">
        <v>0.30076923076923079</v>
      </c>
      <c r="H158" s="67">
        <v>0.16743589743589743</v>
      </c>
      <c r="I158" s="68">
        <v>8452.0034100596768</v>
      </c>
      <c r="J158" s="68">
        <v>-8093.874425727412</v>
      </c>
      <c r="K158" s="67">
        <v>0.10752688172043011</v>
      </c>
      <c r="L158" s="67">
        <v>0.10752688172043011</v>
      </c>
      <c r="M158" s="67">
        <v>0.27282051282051284</v>
      </c>
      <c r="N158" s="67">
        <v>0.2117948717948718</v>
      </c>
      <c r="O158" s="67">
        <v>0.59398496240601506</v>
      </c>
      <c r="P158" s="67">
        <v>0.38498789346246975</v>
      </c>
      <c r="Q158" s="67">
        <v>0.43648763853367434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0.30076335877862598</v>
      </c>
      <c r="H159" s="67">
        <v>0.16768447837150127</v>
      </c>
      <c r="I159" s="68">
        <v>8453.1302876480549</v>
      </c>
      <c r="J159" s="68">
        <v>-8076.9347496206374</v>
      </c>
      <c r="K159" s="67">
        <v>0.10683760683760683</v>
      </c>
      <c r="L159" s="67">
        <v>0.10683760683760683</v>
      </c>
      <c r="M159" s="67">
        <v>0.2732824427480916</v>
      </c>
      <c r="N159" s="67">
        <v>0.21195928753180662</v>
      </c>
      <c r="O159" s="67">
        <v>0.5912476722532588</v>
      </c>
      <c r="P159" s="67">
        <v>0.38775510204081631</v>
      </c>
      <c r="Q159" s="67">
        <v>0.43570219966159052</v>
      </c>
    </row>
    <row r="160" spans="1:17" x14ac:dyDescent="0.4">
      <c r="A160" s="69">
        <v>157</v>
      </c>
      <c r="B160" s="66">
        <v>0</v>
      </c>
      <c r="C160" s="66">
        <v>0</v>
      </c>
      <c r="D160" s="71">
        <v>2</v>
      </c>
      <c r="E160" s="67">
        <v>0.33333333333333331</v>
      </c>
      <c r="F160" s="67">
        <v>0.33333333333333331</v>
      </c>
      <c r="G160" s="67">
        <v>0.30065856129685919</v>
      </c>
      <c r="H160" s="67">
        <v>0.16793313069908813</v>
      </c>
      <c r="I160" s="68">
        <v>8461.2468407750639</v>
      </c>
      <c r="J160" s="68">
        <v>-8088.3861236802413</v>
      </c>
      <c r="K160" s="67">
        <v>0.10828025477707007</v>
      </c>
      <c r="L160" s="67">
        <v>0.10828025477707007</v>
      </c>
      <c r="M160" s="67">
        <v>0.27304964539007093</v>
      </c>
      <c r="N160" s="67">
        <v>0.21149949341438704</v>
      </c>
      <c r="O160" s="67">
        <v>0.59276437847866414</v>
      </c>
      <c r="P160" s="67">
        <v>0.38802395209580837</v>
      </c>
      <c r="Q160" s="67">
        <v>0.43470935130581295</v>
      </c>
    </row>
    <row r="161" spans="1:17" x14ac:dyDescent="0.4">
      <c r="A161" s="69">
        <v>158</v>
      </c>
      <c r="B161" s="66">
        <v>-7.1054273576010019E-15</v>
      </c>
      <c r="C161" s="66">
        <v>-1.4990353075107598E-17</v>
      </c>
      <c r="D161" s="71">
        <v>2</v>
      </c>
      <c r="E161" s="67">
        <v>0.33333333333333331</v>
      </c>
      <c r="F161" s="67">
        <v>0.33333333333333331</v>
      </c>
      <c r="G161" s="67">
        <v>0.30073287844326507</v>
      </c>
      <c r="H161" s="67">
        <v>0.1683093252463988</v>
      </c>
      <c r="I161" s="68">
        <v>8470.3361344537807</v>
      </c>
      <c r="J161" s="68">
        <v>-8106.3063063063064</v>
      </c>
      <c r="K161" s="67">
        <v>0.10970464135021098</v>
      </c>
      <c r="L161" s="67">
        <v>0.10970464135021098</v>
      </c>
      <c r="M161" s="67">
        <v>0.27318675764468031</v>
      </c>
      <c r="N161" s="67">
        <v>0.21152388172858225</v>
      </c>
      <c r="O161" s="67">
        <v>0.5929694727104533</v>
      </c>
      <c r="P161" s="67">
        <v>0.38829151732377537</v>
      </c>
      <c r="Q161" s="67">
        <v>0.43361344537815127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0.30060422960725075</v>
      </c>
      <c r="H162" s="67">
        <v>0.16842900302114805</v>
      </c>
      <c r="I162" s="68">
        <v>8470.6030150753777</v>
      </c>
      <c r="J162" s="68">
        <v>-8109.4170403587441</v>
      </c>
      <c r="K162" s="67">
        <v>0.1111111111111111</v>
      </c>
      <c r="L162" s="67">
        <v>0.1111111111111111</v>
      </c>
      <c r="M162" s="67">
        <v>0.27366565961732126</v>
      </c>
      <c r="N162" s="67">
        <v>0.2107250755287009</v>
      </c>
      <c r="O162" s="67">
        <v>0.59153633854645815</v>
      </c>
      <c r="P162" s="67">
        <v>0.38829151732377537</v>
      </c>
      <c r="Q162" s="67">
        <v>0.43299832495812396</v>
      </c>
    </row>
    <row r="163" spans="1:17" x14ac:dyDescent="0.4">
      <c r="A163" s="69">
        <v>160</v>
      </c>
      <c r="B163" s="66">
        <v>0</v>
      </c>
      <c r="C163" s="66">
        <v>0</v>
      </c>
      <c r="D163" s="71">
        <v>2</v>
      </c>
      <c r="E163" s="67">
        <v>0.33333333333333331</v>
      </c>
      <c r="F163" s="67">
        <v>0.33333333333333331</v>
      </c>
      <c r="G163" s="67">
        <v>0.30057514378594646</v>
      </c>
      <c r="H163" s="67">
        <v>0.16879219804951237</v>
      </c>
      <c r="I163" s="68">
        <v>8462.8951747088195</v>
      </c>
      <c r="J163" s="68">
        <v>-8110.3703703703704</v>
      </c>
      <c r="K163" s="67">
        <v>0.11041666666666666</v>
      </c>
      <c r="L163" s="67">
        <v>0.11041666666666666</v>
      </c>
      <c r="M163" s="67">
        <v>0.27356839209802453</v>
      </c>
      <c r="N163" s="67">
        <v>0.21105276319079769</v>
      </c>
      <c r="O163" s="67">
        <v>0.59140767824497253</v>
      </c>
      <c r="P163" s="67">
        <v>0.38862559241706163</v>
      </c>
      <c r="Q163" s="67">
        <v>0.43178036605657238</v>
      </c>
    </row>
    <row r="164" spans="1:17" x14ac:dyDescent="0.4">
      <c r="A164" s="69">
        <v>161</v>
      </c>
      <c r="B164" s="66">
        <v>1.7763568394002505E-15</v>
      </c>
      <c r="C164" s="66">
        <v>3.6777574314704981E-18</v>
      </c>
      <c r="D164" s="71">
        <v>2</v>
      </c>
      <c r="E164" s="67">
        <v>0.33333333333333331</v>
      </c>
      <c r="F164" s="67">
        <v>0.33333333333333331</v>
      </c>
      <c r="G164" s="67">
        <v>0.30046948356807512</v>
      </c>
      <c r="H164" s="67">
        <v>0.16827279466271311</v>
      </c>
      <c r="I164" s="68">
        <v>8469.9013157894733</v>
      </c>
      <c r="J164" s="68">
        <v>-8107.929515418502</v>
      </c>
      <c r="K164" s="67">
        <v>0.10973084886128365</v>
      </c>
      <c r="L164" s="67">
        <v>0.10973084886128365</v>
      </c>
      <c r="M164" s="67">
        <v>0.27378304917222634</v>
      </c>
      <c r="N164" s="67">
        <v>0.21102050901902644</v>
      </c>
      <c r="O164" s="67">
        <v>0.58844765342960292</v>
      </c>
      <c r="P164" s="67">
        <v>0.38992974238875877</v>
      </c>
      <c r="Q164" s="67">
        <v>0.43338815789473684</v>
      </c>
    </row>
    <row r="165" spans="1:17" x14ac:dyDescent="0.4">
      <c r="A165" s="69">
        <v>162</v>
      </c>
      <c r="B165" s="66">
        <v>7.1054273576010019E-15</v>
      </c>
      <c r="C165" s="66">
        <v>1.4620220900413585E-17</v>
      </c>
      <c r="D165" s="71">
        <v>2</v>
      </c>
      <c r="E165" s="67">
        <v>0.33333333333333331</v>
      </c>
      <c r="F165" s="67">
        <v>0.33333333333333331</v>
      </c>
      <c r="G165" s="67">
        <v>0.29997547216090265</v>
      </c>
      <c r="H165" s="67">
        <v>0.16752514103507482</v>
      </c>
      <c r="I165" s="68">
        <v>8480.7031888798047</v>
      </c>
      <c r="J165" s="68">
        <v>-8121.8155197657397</v>
      </c>
      <c r="K165" s="67">
        <v>0.10905349794238683</v>
      </c>
      <c r="L165" s="67">
        <v>0.10905349794238683</v>
      </c>
      <c r="M165" s="67">
        <v>0.2739759627176846</v>
      </c>
      <c r="N165" s="67">
        <v>0.20995830267353446</v>
      </c>
      <c r="O165" s="67">
        <v>0.58818263205013432</v>
      </c>
      <c r="P165" s="67">
        <v>0.39018691588785048</v>
      </c>
      <c r="Q165" s="67">
        <v>0.4349959116925593</v>
      </c>
    </row>
    <row r="166" spans="1:17" x14ac:dyDescent="0.4">
      <c r="A166" s="69">
        <v>163</v>
      </c>
      <c r="B166" s="66">
        <v>5.3290705182007514E-15</v>
      </c>
      <c r="C166" s="66">
        <v>1.0897894720246936E-17</v>
      </c>
      <c r="D166" s="71">
        <v>2</v>
      </c>
      <c r="E166" s="67">
        <v>0.33333333333333331</v>
      </c>
      <c r="F166" s="67">
        <v>0.33333333333333331</v>
      </c>
      <c r="G166" s="67">
        <v>0.29970760233918131</v>
      </c>
      <c r="H166" s="67">
        <v>0.16715399610136453</v>
      </c>
      <c r="I166" s="68">
        <v>8489.6747967479678</v>
      </c>
      <c r="J166" s="68">
        <v>-8124.1982507288631</v>
      </c>
      <c r="K166" s="67">
        <v>0.11042944785276074</v>
      </c>
      <c r="L166" s="67">
        <v>0.11042944785276074</v>
      </c>
      <c r="M166" s="67">
        <v>0.27461013645224169</v>
      </c>
      <c r="N166" s="67">
        <v>0.21028265107212477</v>
      </c>
      <c r="O166" s="67">
        <v>0.58740017746228923</v>
      </c>
      <c r="P166" s="67">
        <v>0.38818076477404401</v>
      </c>
      <c r="Q166" s="67">
        <v>0.43577235772357725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2019-05-20T10:59:23Z</dcterms:modified>
</cp:coreProperties>
</file>