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ECE00798-B16F-41AE-8E93-B8945C85CABC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864" r:id="rId6"/>
    <sheet name="だいち" sheetId="4866" r:id="rId7"/>
    <sheet name="りくと" sheetId="4868" r:id="rId8"/>
    <sheet name="ただ" sheetId="4870" r:id="rId9"/>
    <sheet name="れんたろう" sheetId="4872" r:id="rId10"/>
    <sheet name="たかの" sheetId="4874" r:id="rId11"/>
    <sheet name="ぱぱ" sheetId="4876" r:id="rId12"/>
    <sheet name="まっつん" sheetId="4878" r:id="rId13"/>
    <sheet name="あさひ" sheetId="4880" r:id="rId14"/>
    <sheet name="いっしー" sheetId="4882" r:id="rId15"/>
    <sheet name="ほたに" sheetId="4884" r:id="rId16"/>
    <sheet name="ほたに2" sheetId="4885" state="hidden" r:id="rId17"/>
    <sheet name="いっしー2" sheetId="4883" state="hidden" r:id="rId18"/>
    <sheet name="あさひ2" sheetId="4881" state="hidden" r:id="rId19"/>
    <sheet name="まっつん2" sheetId="4879" state="hidden" r:id="rId20"/>
    <sheet name="ぱぱ2" sheetId="4877" state="hidden" r:id="rId21"/>
    <sheet name="たかの2" sheetId="4875" state="hidden" r:id="rId22"/>
    <sheet name="れんたろう2" sheetId="4873" state="hidden" r:id="rId23"/>
    <sheet name="ただ2" sheetId="4871" state="hidden" r:id="rId24"/>
    <sheet name="りくと2" sheetId="4869" state="hidden" r:id="rId25"/>
    <sheet name="だいち2" sheetId="4867" state="hidden" r:id="rId26"/>
    <sheet name="全体2" sheetId="486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79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84" l="1"/>
  <c r="O16" i="4884"/>
  <c r="C27" i="4884"/>
  <c r="B24" i="4884"/>
  <c r="C20" i="4884"/>
  <c r="B17" i="4884"/>
  <c r="H50" i="4884" s="1"/>
  <c r="C16" i="4884"/>
  <c r="C15" i="4884"/>
  <c r="C14" i="4884"/>
  <c r="C13" i="4884"/>
  <c r="O12" i="4884"/>
  <c r="C12" i="4884"/>
  <c r="O11" i="4884"/>
  <c r="C11" i="4884"/>
  <c r="O10" i="4884"/>
  <c r="C10" i="4884"/>
  <c r="C9" i="4884"/>
  <c r="C8" i="4884"/>
  <c r="O7" i="4884"/>
  <c r="C7" i="4884"/>
  <c r="O6" i="4884"/>
  <c r="H6" i="4884"/>
  <c r="B6" i="4884"/>
  <c r="O5" i="4884"/>
  <c r="B5" i="4884"/>
  <c r="O4" i="4884"/>
  <c r="O3" i="4884"/>
  <c r="O2" i="4884"/>
  <c r="O21" i="4872"/>
  <c r="O16" i="4874"/>
  <c r="O17" i="4864"/>
  <c r="H5" i="4884" l="1"/>
  <c r="H40" i="4884"/>
  <c r="H2" i="4884"/>
  <c r="H43" i="4884"/>
  <c r="H24" i="4884"/>
  <c r="H8" i="4884"/>
  <c r="B23" i="4884"/>
  <c r="H44" i="4884"/>
  <c r="C18" i="4884"/>
  <c r="H20" i="4884"/>
  <c r="H26" i="4884"/>
  <c r="H17" i="4884"/>
  <c r="H37" i="4884"/>
  <c r="H48" i="4884"/>
  <c r="C17" i="4884"/>
  <c r="H25" i="4884"/>
  <c r="H16" i="4884"/>
  <c r="H46" i="4884"/>
  <c r="H13" i="4884"/>
  <c r="H36" i="4884"/>
  <c r="H11" i="4884"/>
  <c r="H4" i="4884"/>
  <c r="H9" i="4884"/>
  <c r="H38" i="4884"/>
  <c r="H51" i="4884"/>
  <c r="H30" i="4884"/>
  <c r="H31" i="4884"/>
  <c r="H19" i="4884"/>
  <c r="H32" i="4884"/>
  <c r="H35" i="4884"/>
  <c r="H47" i="4884"/>
  <c r="H3" i="4884"/>
  <c r="C19" i="4884"/>
  <c r="H21" i="4884"/>
  <c r="H12" i="4884"/>
  <c r="H14" i="4884"/>
  <c r="H18" i="4884"/>
  <c r="H29" i="4884"/>
  <c r="H39" i="4884"/>
  <c r="H10" i="4884"/>
  <c r="H45" i="4884"/>
  <c r="H22" i="4884"/>
  <c r="H27" i="4884"/>
  <c r="H33" i="4884"/>
  <c r="H41" i="4884"/>
  <c r="H49" i="4884"/>
  <c r="H7" i="4884"/>
  <c r="H15" i="4884"/>
  <c r="H23" i="4884"/>
  <c r="H28" i="4884"/>
  <c r="H34" i="4884"/>
  <c r="H42" i="4884"/>
  <c r="O17" i="4874" l="1"/>
  <c r="O15" i="4870"/>
  <c r="O20" i="4878"/>
  <c r="O19" i="4878"/>
  <c r="O17" i="4866" l="1"/>
  <c r="O17" i="4882"/>
  <c r="O16" i="4882" l="1"/>
  <c r="O15" i="4882"/>
  <c r="O16" i="4872"/>
  <c r="O20" i="4870"/>
  <c r="O17" i="4880" l="1"/>
  <c r="O20" i="4876"/>
  <c r="O15" i="4880"/>
  <c r="O20" i="4882"/>
  <c r="O15" i="4868"/>
  <c r="O15" i="4878"/>
  <c r="O15" i="4864"/>
  <c r="O19" i="4882"/>
  <c r="O18" i="4882"/>
  <c r="C27" i="4882"/>
  <c r="B24" i="4882"/>
  <c r="C20" i="4882"/>
  <c r="B17" i="4882"/>
  <c r="H50" i="4882" s="1"/>
  <c r="C16" i="4882"/>
  <c r="C15" i="4882"/>
  <c r="C14" i="4882"/>
  <c r="C13" i="4882"/>
  <c r="O12" i="4882"/>
  <c r="C12" i="4882"/>
  <c r="O11" i="4882"/>
  <c r="C11" i="4882"/>
  <c r="O10" i="4882"/>
  <c r="C10" i="4882"/>
  <c r="C9" i="4882"/>
  <c r="C8" i="4882"/>
  <c r="O7" i="4882"/>
  <c r="C7" i="4882"/>
  <c r="O6" i="4882"/>
  <c r="B6" i="4882"/>
  <c r="O5" i="4882"/>
  <c r="B5" i="4882"/>
  <c r="O4" i="4882"/>
  <c r="O3" i="4882"/>
  <c r="O2" i="4882"/>
  <c r="O16" i="4880"/>
  <c r="O18" i="4880"/>
  <c r="C27" i="4880"/>
  <c r="B24" i="4880"/>
  <c r="C20" i="4880"/>
  <c r="B17" i="4880"/>
  <c r="H50" i="4880" s="1"/>
  <c r="C16" i="4880"/>
  <c r="C15" i="4880"/>
  <c r="C14" i="4880"/>
  <c r="C13" i="4880"/>
  <c r="O12" i="4880"/>
  <c r="C12" i="4880"/>
  <c r="O11" i="4880"/>
  <c r="C11" i="4880"/>
  <c r="O10" i="4880"/>
  <c r="C10" i="4880"/>
  <c r="C9" i="4880"/>
  <c r="C8" i="4880"/>
  <c r="O7" i="4880"/>
  <c r="C7" i="4880"/>
  <c r="O6" i="4880"/>
  <c r="B6" i="4880"/>
  <c r="O5" i="4880"/>
  <c r="B5" i="4880"/>
  <c r="O4" i="4880"/>
  <c r="O3" i="4880"/>
  <c r="O2" i="4880"/>
  <c r="O22" i="4878"/>
  <c r="O21" i="4878"/>
  <c r="O15" i="4866"/>
  <c r="O19" i="4866"/>
  <c r="O23" i="4864"/>
  <c r="H2" i="4882" l="1"/>
  <c r="H19" i="4880"/>
  <c r="H32" i="4880"/>
  <c r="H5" i="4880"/>
  <c r="H15" i="4880"/>
  <c r="C17" i="4880"/>
  <c r="H43" i="4880"/>
  <c r="H4" i="4880"/>
  <c r="H11" i="4880"/>
  <c r="H35" i="4880"/>
  <c r="H10" i="4880"/>
  <c r="H40" i="4880"/>
  <c r="H20" i="4880"/>
  <c r="H12" i="4880"/>
  <c r="H8" i="4880"/>
  <c r="H48" i="4880"/>
  <c r="H51" i="4880"/>
  <c r="H3" i="4880"/>
  <c r="H14" i="4880"/>
  <c r="H15" i="4882"/>
  <c r="H31" i="4882"/>
  <c r="H35" i="4882"/>
  <c r="H13" i="4882"/>
  <c r="C17" i="4882"/>
  <c r="H14" i="4882"/>
  <c r="H16" i="4882"/>
  <c r="H21" i="4882"/>
  <c r="H39" i="4882"/>
  <c r="H10" i="4882"/>
  <c r="H43" i="4882"/>
  <c r="H12" i="4882"/>
  <c r="H7" i="4882"/>
  <c r="H3" i="4882"/>
  <c r="H47" i="4882"/>
  <c r="H51" i="4882"/>
  <c r="H18" i="4882"/>
  <c r="C18" i="4882"/>
  <c r="H24" i="4882"/>
  <c r="H6" i="4882"/>
  <c r="H36" i="4882"/>
  <c r="H44" i="4882"/>
  <c r="H5" i="4882"/>
  <c r="H4" i="4882"/>
  <c r="H9" i="4882"/>
  <c r="H22" i="4882"/>
  <c r="B23" i="4882"/>
  <c r="H29" i="4882"/>
  <c r="H37" i="4882"/>
  <c r="H45" i="4882"/>
  <c r="H19" i="4882"/>
  <c r="C19" i="4882"/>
  <c r="H25" i="4882"/>
  <c r="H30" i="4882"/>
  <c r="H38" i="4882"/>
  <c r="H46" i="4882"/>
  <c r="H20" i="4882"/>
  <c r="H26" i="4882"/>
  <c r="H32" i="4882"/>
  <c r="H40" i="4882"/>
  <c r="H48" i="4882"/>
  <c r="H23" i="4882"/>
  <c r="H27" i="4882"/>
  <c r="H33" i="4882"/>
  <c r="H41" i="4882"/>
  <c r="H49" i="4882"/>
  <c r="H8" i="4882"/>
  <c r="H17" i="4882"/>
  <c r="H11" i="4882"/>
  <c r="H28" i="4882"/>
  <c r="H34" i="4882"/>
  <c r="H42" i="4882"/>
  <c r="H17" i="4880"/>
  <c r="C18" i="4880"/>
  <c r="H25" i="4880"/>
  <c r="H6" i="4880"/>
  <c r="H36" i="4880"/>
  <c r="H44" i="4880"/>
  <c r="H7" i="4880"/>
  <c r="H2" i="4880"/>
  <c r="H13" i="4880"/>
  <c r="H21" i="4880"/>
  <c r="B23" i="4880"/>
  <c r="H29" i="4880"/>
  <c r="H37" i="4880"/>
  <c r="H45" i="4880"/>
  <c r="H18" i="4880"/>
  <c r="C19" i="4880"/>
  <c r="H26" i="4880"/>
  <c r="H30" i="4880"/>
  <c r="H38" i="4880"/>
  <c r="H46" i="4880"/>
  <c r="H22" i="4880"/>
  <c r="H31" i="4880"/>
  <c r="H39" i="4880"/>
  <c r="H47" i="4880"/>
  <c r="H23" i="4880"/>
  <c r="H27" i="4880"/>
  <c r="H33" i="4880"/>
  <c r="H41" i="4880"/>
  <c r="H49" i="4880"/>
  <c r="H9" i="4880"/>
  <c r="H16" i="4880"/>
  <c r="H24" i="4880"/>
  <c r="H28" i="4880"/>
  <c r="H34" i="4880"/>
  <c r="H42" i="4880"/>
  <c r="O16" i="4878" l="1"/>
  <c r="O19" i="4876"/>
  <c r="O16" i="4876"/>
  <c r="O20" i="4868"/>
  <c r="O19" i="4874" l="1"/>
  <c r="O17" i="4872"/>
  <c r="O17" i="4876"/>
  <c r="O18" i="4876"/>
  <c r="O15" i="4874" l="1"/>
  <c r="O15" i="4872"/>
  <c r="O19" i="4870"/>
  <c r="O21" i="4870"/>
  <c r="O17" i="4878"/>
  <c r="O18" i="4878"/>
  <c r="H44" i="4878"/>
  <c r="H43" i="4878"/>
  <c r="C27" i="4878"/>
  <c r="B24" i="4878"/>
  <c r="C20" i="4878"/>
  <c r="B17" i="4878"/>
  <c r="H50" i="4878" s="1"/>
  <c r="H21" i="4878"/>
  <c r="C16" i="4878"/>
  <c r="C15" i="4878"/>
  <c r="C14" i="4878"/>
  <c r="C13" i="4878"/>
  <c r="O12" i="4878"/>
  <c r="C12" i="4878"/>
  <c r="O11" i="4878"/>
  <c r="C11" i="4878"/>
  <c r="O10" i="4878"/>
  <c r="C10" i="4878"/>
  <c r="C9" i="4878"/>
  <c r="C8" i="4878"/>
  <c r="O7" i="4878"/>
  <c r="C7" i="4878"/>
  <c r="O6" i="4878"/>
  <c r="B6" i="4878"/>
  <c r="O5" i="4878"/>
  <c r="B5" i="4878"/>
  <c r="O4" i="4878"/>
  <c r="O3" i="4878"/>
  <c r="O2" i="4878"/>
  <c r="O19" i="4872"/>
  <c r="O18" i="4868"/>
  <c r="O18" i="4864"/>
  <c r="H10" i="4878" l="1"/>
  <c r="H16" i="4878"/>
  <c r="H18" i="4878"/>
  <c r="H24" i="4878"/>
  <c r="H12" i="4878"/>
  <c r="H4" i="4878"/>
  <c r="H20" i="4878"/>
  <c r="H8" i="4878"/>
  <c r="H30" i="4878"/>
  <c r="H31" i="4878"/>
  <c r="H9" i="4878"/>
  <c r="C19" i="4878"/>
  <c r="H39" i="4878"/>
  <c r="H6" i="4878"/>
  <c r="H32" i="4878"/>
  <c r="H2" i="4878"/>
  <c r="H47" i="4878"/>
  <c r="H45" i="4878"/>
  <c r="H46" i="4878"/>
  <c r="H48" i="4878"/>
  <c r="B23" i="4878"/>
  <c r="C17" i="4878"/>
  <c r="H15" i="4878"/>
  <c r="H35" i="4878"/>
  <c r="H3" i="4878"/>
  <c r="H22" i="4878"/>
  <c r="H36" i="4878"/>
  <c r="H19" i="4878"/>
  <c r="C18" i="4878"/>
  <c r="H27" i="4878"/>
  <c r="H37" i="4878"/>
  <c r="H17" i="4878"/>
  <c r="H23" i="4878"/>
  <c r="H38" i="4878"/>
  <c r="H51" i="4878"/>
  <c r="H26" i="4878"/>
  <c r="H11" i="4878"/>
  <c r="H40" i="4878"/>
  <c r="H5" i="4878"/>
  <c r="H25" i="4878"/>
  <c r="H28" i="4878"/>
  <c r="H33" i="4878"/>
  <c r="H41" i="4878"/>
  <c r="H49" i="4878"/>
  <c r="H7" i="4878"/>
  <c r="H13" i="4878"/>
  <c r="H14" i="4878"/>
  <c r="H29" i="4878"/>
  <c r="H34" i="4878"/>
  <c r="H42" i="4878"/>
  <c r="O16" i="4870" l="1"/>
  <c r="O21" i="4876"/>
  <c r="O15" i="4876"/>
  <c r="C27" i="4876"/>
  <c r="B24" i="4876"/>
  <c r="C20" i="4876"/>
  <c r="B17" i="4876"/>
  <c r="H50" i="4876" s="1"/>
  <c r="C16" i="4876"/>
  <c r="C15" i="4876"/>
  <c r="C14" i="4876"/>
  <c r="C13" i="4876"/>
  <c r="O12" i="4876"/>
  <c r="C12" i="4876"/>
  <c r="O11" i="4876"/>
  <c r="C11" i="4876"/>
  <c r="O10" i="4876"/>
  <c r="C10" i="4876"/>
  <c r="C9" i="4876"/>
  <c r="C8" i="4876"/>
  <c r="O7" i="4876"/>
  <c r="C7" i="4876"/>
  <c r="O6" i="4876"/>
  <c r="B6" i="4876"/>
  <c r="O5" i="4876"/>
  <c r="B5" i="4876"/>
  <c r="O4" i="4876"/>
  <c r="O3" i="4876"/>
  <c r="O2" i="4876"/>
  <c r="O16" i="4866"/>
  <c r="O19" i="4864"/>
  <c r="O18" i="4874"/>
  <c r="O17" i="4868"/>
  <c r="O19" i="4868"/>
  <c r="O20" i="4872"/>
  <c r="O20" i="4874"/>
  <c r="O21" i="4874"/>
  <c r="C27" i="4874"/>
  <c r="B24" i="4874"/>
  <c r="C20" i="4874"/>
  <c r="B17" i="4874"/>
  <c r="H50" i="4874" s="1"/>
  <c r="C16" i="4874"/>
  <c r="C15" i="4874"/>
  <c r="C14" i="4874"/>
  <c r="C13" i="4874"/>
  <c r="O12" i="4874"/>
  <c r="C12" i="4874"/>
  <c r="O11" i="4874"/>
  <c r="C11" i="4874"/>
  <c r="O10" i="4874"/>
  <c r="C10" i="4874"/>
  <c r="C9" i="4874"/>
  <c r="C8" i="4874"/>
  <c r="O7" i="4874"/>
  <c r="C7" i="4874"/>
  <c r="O6" i="4874"/>
  <c r="B6" i="4874"/>
  <c r="O5" i="4874"/>
  <c r="B5" i="4874"/>
  <c r="O4" i="4874"/>
  <c r="O3" i="4874"/>
  <c r="O2" i="4874"/>
  <c r="O22" i="4872"/>
  <c r="O18" i="4872"/>
  <c r="C27" i="4872"/>
  <c r="B24" i="4872"/>
  <c r="C20" i="4872"/>
  <c r="B17" i="4872"/>
  <c r="H51" i="4872" s="1"/>
  <c r="C16" i="4872"/>
  <c r="C15" i="4872"/>
  <c r="C14" i="4872"/>
  <c r="C13" i="4872"/>
  <c r="O12" i="4872"/>
  <c r="C12" i="4872"/>
  <c r="O11" i="4872"/>
  <c r="C11" i="4872"/>
  <c r="O10" i="4872"/>
  <c r="C10" i="4872"/>
  <c r="H12" i="4872"/>
  <c r="C9" i="4872"/>
  <c r="C8" i="4872"/>
  <c r="O7" i="4872"/>
  <c r="C7" i="4872"/>
  <c r="O6" i="4872"/>
  <c r="B6" i="4872"/>
  <c r="O5" i="4872"/>
  <c r="B5" i="4872"/>
  <c r="O4" i="4872"/>
  <c r="O3" i="4872"/>
  <c r="O2" i="4872"/>
  <c r="O20" i="4866"/>
  <c r="O21" i="4866"/>
  <c r="O22" i="4864"/>
  <c r="O20" i="4864"/>
  <c r="H6" i="4872" l="1"/>
  <c r="H9" i="4872"/>
  <c r="H40" i="4872"/>
  <c r="H9" i="4876"/>
  <c r="H14" i="4876"/>
  <c r="H11" i="4876"/>
  <c r="H7" i="4876"/>
  <c r="H15" i="4876"/>
  <c r="H3" i="4876"/>
  <c r="H43" i="4876"/>
  <c r="C17" i="4876"/>
  <c r="H35" i="4876"/>
  <c r="H24" i="4876"/>
  <c r="H2" i="4876"/>
  <c r="H17" i="4876"/>
  <c r="H47" i="4876"/>
  <c r="H18" i="4876"/>
  <c r="H31" i="4876"/>
  <c r="H5" i="4876"/>
  <c r="C18" i="4876"/>
  <c r="H39" i="4876"/>
  <c r="H20" i="4876"/>
  <c r="H51" i="4876"/>
  <c r="H26" i="4876"/>
  <c r="H36" i="4876"/>
  <c r="H44" i="4876"/>
  <c r="H6" i="4876"/>
  <c r="H4" i="4876"/>
  <c r="H8" i="4876"/>
  <c r="H23" i="4876"/>
  <c r="B23" i="4876"/>
  <c r="H30" i="4876"/>
  <c r="H37" i="4876"/>
  <c r="H45" i="4876"/>
  <c r="H21" i="4876"/>
  <c r="C19" i="4876"/>
  <c r="H27" i="4876"/>
  <c r="H16" i="4876"/>
  <c r="H38" i="4876"/>
  <c r="H46" i="4876"/>
  <c r="H22" i="4876"/>
  <c r="H13" i="4876"/>
  <c r="H32" i="4876"/>
  <c r="H40" i="4876"/>
  <c r="H48" i="4876"/>
  <c r="H25" i="4876"/>
  <c r="H28" i="4876"/>
  <c r="H33" i="4876"/>
  <c r="H41" i="4876"/>
  <c r="H49" i="4876"/>
  <c r="H10" i="4876"/>
  <c r="H19" i="4876"/>
  <c r="H12" i="4876"/>
  <c r="H29" i="4876"/>
  <c r="H34" i="4876"/>
  <c r="H42" i="4876"/>
  <c r="H15" i="4872"/>
  <c r="H21" i="4872"/>
  <c r="H40" i="4874"/>
  <c r="H43" i="4874"/>
  <c r="H26" i="4874"/>
  <c r="H21" i="4874"/>
  <c r="H27" i="4874"/>
  <c r="H3" i="4874"/>
  <c r="C17" i="4874"/>
  <c r="H16" i="4874"/>
  <c r="C18" i="4874"/>
  <c r="H18" i="4874"/>
  <c r="H8" i="4874"/>
  <c r="H32" i="4874"/>
  <c r="H23" i="4874"/>
  <c r="H2" i="4874"/>
  <c r="H4" i="4874"/>
  <c r="H31" i="4874"/>
  <c r="H7" i="4874"/>
  <c r="H35" i="4874"/>
  <c r="H5" i="4874"/>
  <c r="H9" i="4874"/>
  <c r="H13" i="4874"/>
  <c r="H46" i="4874"/>
  <c r="H37" i="4874"/>
  <c r="H11" i="4874"/>
  <c r="H6" i="4874"/>
  <c r="H20" i="4874"/>
  <c r="H12" i="4874"/>
  <c r="H10" i="4874"/>
  <c r="H38" i="4874"/>
  <c r="H48" i="4874"/>
  <c r="B23" i="4874"/>
  <c r="H44" i="4874"/>
  <c r="H19" i="4874"/>
  <c r="H22" i="4874"/>
  <c r="H45" i="4874"/>
  <c r="H24" i="4874"/>
  <c r="H36" i="4874"/>
  <c r="C19" i="4874"/>
  <c r="H47" i="4874"/>
  <c r="H14" i="4874"/>
  <c r="H15" i="4874"/>
  <c r="H30" i="4874"/>
  <c r="H39" i="4874"/>
  <c r="H51" i="4874"/>
  <c r="H25" i="4874"/>
  <c r="H28" i="4874"/>
  <c r="H33" i="4874"/>
  <c r="H41" i="4874"/>
  <c r="H49" i="4874"/>
  <c r="H17" i="4874"/>
  <c r="H29" i="4874"/>
  <c r="H34" i="4874"/>
  <c r="H42" i="4874"/>
  <c r="H13" i="4872"/>
  <c r="H2" i="4872"/>
  <c r="H44" i="4872"/>
  <c r="H45" i="4872"/>
  <c r="H18" i="4872"/>
  <c r="H41" i="4872"/>
  <c r="H4" i="4872"/>
  <c r="H16" i="4872"/>
  <c r="H10" i="4872"/>
  <c r="C18" i="4872"/>
  <c r="H48" i="4872"/>
  <c r="H20" i="4872"/>
  <c r="H17" i="4872"/>
  <c r="C17" i="4872"/>
  <c r="H7" i="4872"/>
  <c r="H24" i="4872"/>
  <c r="H19" i="4872"/>
  <c r="H8" i="4872"/>
  <c r="H22" i="4872"/>
  <c r="H33" i="4872"/>
  <c r="H49" i="4872"/>
  <c r="H3" i="4872"/>
  <c r="H11" i="4872"/>
  <c r="H36" i="4872"/>
  <c r="H27" i="4872"/>
  <c r="H37" i="4872"/>
  <c r="H5" i="4872"/>
  <c r="H25" i="4872"/>
  <c r="B23" i="4872"/>
  <c r="H31" i="4872"/>
  <c r="H38" i="4872"/>
  <c r="H46" i="4872"/>
  <c r="H23" i="4872"/>
  <c r="C19" i="4872"/>
  <c r="H28" i="4872"/>
  <c r="H32" i="4872"/>
  <c r="H39" i="4872"/>
  <c r="H47" i="4872"/>
  <c r="H26" i="4872"/>
  <c r="H29" i="4872"/>
  <c r="H34" i="4872"/>
  <c r="H42" i="4872"/>
  <c r="H50" i="4872"/>
  <c r="H14" i="4872"/>
  <c r="H30" i="4872"/>
  <c r="H35" i="4872"/>
  <c r="H43" i="4872"/>
  <c r="O17" i="4870" l="1"/>
  <c r="O18" i="4870"/>
  <c r="C27" i="4870"/>
  <c r="B24" i="4870"/>
  <c r="C20" i="4870"/>
  <c r="B17" i="4870"/>
  <c r="H50" i="4870" s="1"/>
  <c r="C16" i="4870"/>
  <c r="C15" i="4870"/>
  <c r="C14" i="4870"/>
  <c r="C13" i="4870"/>
  <c r="O12" i="4870"/>
  <c r="C12" i="4870"/>
  <c r="O11" i="4870"/>
  <c r="C11" i="4870"/>
  <c r="O10" i="4870"/>
  <c r="C10" i="4870"/>
  <c r="C9" i="4870"/>
  <c r="C8" i="4870"/>
  <c r="O7" i="4870"/>
  <c r="C7" i="4870"/>
  <c r="O6" i="4870"/>
  <c r="B6" i="4870"/>
  <c r="O5" i="4870"/>
  <c r="B5" i="4870"/>
  <c r="O4" i="4870"/>
  <c r="O3" i="4870"/>
  <c r="O2" i="4870"/>
  <c r="O21" i="4868"/>
  <c r="O16" i="4868"/>
  <c r="C27" i="4868"/>
  <c r="B24" i="4868"/>
  <c r="C20" i="4868"/>
  <c r="B17" i="4868"/>
  <c r="H51" i="4868" s="1"/>
  <c r="C16" i="4868"/>
  <c r="C15" i="4868"/>
  <c r="C14" i="4868"/>
  <c r="C13" i="4868"/>
  <c r="O12" i="4868"/>
  <c r="C12" i="4868"/>
  <c r="O11" i="4868"/>
  <c r="C11" i="4868"/>
  <c r="O10" i="4868"/>
  <c r="C10" i="4868"/>
  <c r="C9" i="4868"/>
  <c r="C8" i="4868"/>
  <c r="O7" i="4868"/>
  <c r="C7" i="4868"/>
  <c r="O6" i="4868"/>
  <c r="B6" i="4868"/>
  <c r="O5" i="4868"/>
  <c r="B5" i="4868"/>
  <c r="O4" i="4868"/>
  <c r="H2" i="4868"/>
  <c r="O3" i="4868"/>
  <c r="O2" i="4868"/>
  <c r="O24" i="4864"/>
  <c r="O18" i="4866"/>
  <c r="O22" i="4866"/>
  <c r="H38" i="4866"/>
  <c r="H35" i="4866"/>
  <c r="H33" i="4866"/>
  <c r="C27" i="4866"/>
  <c r="B24" i="4866"/>
  <c r="C20" i="4866"/>
  <c r="B17" i="4866"/>
  <c r="H50" i="4866" s="1"/>
  <c r="C16" i="4866"/>
  <c r="H20" i="4866"/>
  <c r="C15" i="4866"/>
  <c r="C14" i="4866"/>
  <c r="C13" i="4866"/>
  <c r="O12" i="4866"/>
  <c r="C12" i="4866"/>
  <c r="O11" i="4866"/>
  <c r="C11" i="4866"/>
  <c r="O10" i="4866"/>
  <c r="C10" i="4866"/>
  <c r="C9" i="4866"/>
  <c r="C8" i="4866"/>
  <c r="O7" i="4866"/>
  <c r="C7" i="4866"/>
  <c r="O6" i="4866"/>
  <c r="B6" i="4866"/>
  <c r="O5" i="4866"/>
  <c r="B5" i="4866"/>
  <c r="O4" i="4866"/>
  <c r="O3" i="4866"/>
  <c r="O2" i="4866"/>
  <c r="O16" i="4864"/>
  <c r="O21" i="4864"/>
  <c r="C27" i="4864"/>
  <c r="B24" i="4864"/>
  <c r="C20" i="4864"/>
  <c r="B17" i="4864"/>
  <c r="H51" i="4864" s="1"/>
  <c r="C16" i="4864"/>
  <c r="C15" i="4864"/>
  <c r="C14" i="4864"/>
  <c r="C13" i="4864"/>
  <c r="O12" i="4864"/>
  <c r="C12" i="4864"/>
  <c r="O11" i="4864"/>
  <c r="C11" i="4864"/>
  <c r="O10" i="4864"/>
  <c r="C10" i="4864"/>
  <c r="C9" i="4864"/>
  <c r="C8" i="4864"/>
  <c r="O7" i="4864"/>
  <c r="C7" i="4864"/>
  <c r="O6" i="4864"/>
  <c r="B6" i="4864"/>
  <c r="O5" i="4864"/>
  <c r="B5" i="4864"/>
  <c r="O4" i="4864"/>
  <c r="O3" i="4864"/>
  <c r="O2" i="4864"/>
  <c r="H35" i="4870" l="1"/>
  <c r="H2" i="4870"/>
  <c r="H17" i="4870"/>
  <c r="H43" i="4870"/>
  <c r="H7" i="4870"/>
  <c r="H10" i="4870"/>
  <c r="H4" i="4870"/>
  <c r="H12" i="4870"/>
  <c r="H21" i="4870"/>
  <c r="H16" i="4866"/>
  <c r="C17" i="4870"/>
  <c r="H2" i="4866"/>
  <c r="H25" i="4866"/>
  <c r="H30" i="4866"/>
  <c r="H6" i="4866"/>
  <c r="H21" i="4864"/>
  <c r="H51" i="4870"/>
  <c r="H19" i="4870"/>
  <c r="C18" i="4870"/>
  <c r="H11" i="4870"/>
  <c r="H5" i="4870"/>
  <c r="H3" i="4870"/>
  <c r="H8" i="4870"/>
  <c r="H22" i="4870"/>
  <c r="B23" i="4870"/>
  <c r="H29" i="4870"/>
  <c r="H37" i="4870"/>
  <c r="H45" i="4870"/>
  <c r="H6" i="4870"/>
  <c r="H16" i="4870"/>
  <c r="H25" i="4870"/>
  <c r="H36" i="4870"/>
  <c r="H44" i="4870"/>
  <c r="H20" i="4870"/>
  <c r="C19" i="4870"/>
  <c r="H26" i="4870"/>
  <c r="H30" i="4870"/>
  <c r="H38" i="4870"/>
  <c r="H46" i="4870"/>
  <c r="H23" i="4870"/>
  <c r="H31" i="4870"/>
  <c r="H39" i="4870"/>
  <c r="H47" i="4870"/>
  <c r="H14" i="4870"/>
  <c r="H13" i="4870"/>
  <c r="H32" i="4870"/>
  <c r="H40" i="4870"/>
  <c r="H48" i="4870"/>
  <c r="H24" i="4870"/>
  <c r="H27" i="4870"/>
  <c r="H33" i="4870"/>
  <c r="H41" i="4870"/>
  <c r="H49" i="4870"/>
  <c r="H9" i="4870"/>
  <c r="H18" i="4870"/>
  <c r="H15" i="4870"/>
  <c r="H28" i="4870"/>
  <c r="H34" i="4870"/>
  <c r="H42" i="4870"/>
  <c r="H23" i="4864"/>
  <c r="H24" i="4868"/>
  <c r="B23" i="4868"/>
  <c r="H26" i="4868"/>
  <c r="H44" i="4868"/>
  <c r="H5" i="4868"/>
  <c r="H45" i="4868"/>
  <c r="H4" i="4868"/>
  <c r="C17" i="4868"/>
  <c r="H6" i="4868"/>
  <c r="C18" i="4868"/>
  <c r="H36" i="4868"/>
  <c r="H46" i="4868"/>
  <c r="H14" i="4868"/>
  <c r="H8" i="4868"/>
  <c r="H30" i="4868"/>
  <c r="H22" i="4868"/>
  <c r="H41" i="4868"/>
  <c r="H19" i="4868"/>
  <c r="H27" i="4868"/>
  <c r="H3" i="4868"/>
  <c r="H28" i="4868"/>
  <c r="H12" i="4868"/>
  <c r="H47" i="4868"/>
  <c r="H38" i="4868"/>
  <c r="H10" i="4868"/>
  <c r="H15" i="4868"/>
  <c r="H18" i="4868"/>
  <c r="H11" i="4868"/>
  <c r="H39" i="4868"/>
  <c r="H49" i="4868"/>
  <c r="H21" i="4868"/>
  <c r="H33" i="4868"/>
  <c r="H20" i="4868"/>
  <c r="H9" i="4868"/>
  <c r="H37" i="4868"/>
  <c r="C19" i="4868"/>
  <c r="H48" i="4868"/>
  <c r="H7" i="4868"/>
  <c r="H13" i="4868"/>
  <c r="H23" i="4868"/>
  <c r="H32" i="4868"/>
  <c r="H40" i="4868"/>
  <c r="H17" i="4868"/>
  <c r="H29" i="4868"/>
  <c r="H31" i="4868"/>
  <c r="H34" i="4868"/>
  <c r="H42" i="4868"/>
  <c r="H50" i="4868"/>
  <c r="H16" i="4868"/>
  <c r="H25" i="4868"/>
  <c r="H35" i="4868"/>
  <c r="H43" i="4868"/>
  <c r="H15" i="4866"/>
  <c r="H40" i="4866"/>
  <c r="H13" i="4866"/>
  <c r="H11" i="4866"/>
  <c r="H46" i="4866"/>
  <c r="C17" i="4866"/>
  <c r="H21" i="4866"/>
  <c r="H48" i="4866"/>
  <c r="H43" i="4866"/>
  <c r="H10" i="4866"/>
  <c r="H7" i="4866"/>
  <c r="H3" i="4866"/>
  <c r="C19" i="4866"/>
  <c r="H18" i="4866"/>
  <c r="H51" i="4866"/>
  <c r="H17" i="4866"/>
  <c r="H26" i="4866"/>
  <c r="C18" i="4866"/>
  <c r="H29" i="4866"/>
  <c r="H8" i="4866"/>
  <c r="H36" i="4866"/>
  <c r="H44" i="4866"/>
  <c r="H5" i="4866"/>
  <c r="H4" i="4866"/>
  <c r="H12" i="4866"/>
  <c r="H27" i="4866"/>
  <c r="B23" i="4866"/>
  <c r="H23" i="4866"/>
  <c r="H37" i="4866"/>
  <c r="H45" i="4866"/>
  <c r="H32" i="4866"/>
  <c r="H39" i="4866"/>
  <c r="H47" i="4866"/>
  <c r="H28" i="4866"/>
  <c r="H22" i="4866"/>
  <c r="H34" i="4866"/>
  <c r="H41" i="4866"/>
  <c r="H49" i="4866"/>
  <c r="H9" i="4866"/>
  <c r="H19" i="4866"/>
  <c r="H14" i="4866"/>
  <c r="H31" i="4866"/>
  <c r="H24" i="4866"/>
  <c r="H42" i="4866"/>
  <c r="H36" i="4864"/>
  <c r="H11" i="4864"/>
  <c r="H7" i="4864"/>
  <c r="H37" i="4864"/>
  <c r="H4" i="4864"/>
  <c r="C17" i="4864"/>
  <c r="H10" i="4864"/>
  <c r="H18" i="4864"/>
  <c r="H47" i="4864"/>
  <c r="H39" i="4864"/>
  <c r="H13" i="4864"/>
  <c r="H26" i="4864"/>
  <c r="H45" i="4864"/>
  <c r="H3" i="4864"/>
  <c r="H2" i="4864"/>
  <c r="H31" i="4864"/>
  <c r="H32" i="4864"/>
  <c r="H9" i="4864"/>
  <c r="H20" i="4864"/>
  <c r="H25" i="4864"/>
  <c r="H44" i="4864"/>
  <c r="H6" i="4864"/>
  <c r="C18" i="4864"/>
  <c r="C19" i="4864"/>
  <c r="H16" i="4864"/>
  <c r="H5" i="4864"/>
  <c r="B23" i="4864"/>
  <c r="H29" i="4864"/>
  <c r="H38" i="4864"/>
  <c r="H46" i="4864"/>
  <c r="H22" i="4864"/>
  <c r="H15" i="4864"/>
  <c r="H24" i="4864"/>
  <c r="H40" i="4864"/>
  <c r="H48" i="4864"/>
  <c r="H17" i="4864"/>
  <c r="H12" i="4864"/>
  <c r="H34" i="4864"/>
  <c r="H41" i="4864"/>
  <c r="H49" i="4864"/>
  <c r="H33" i="4864"/>
  <c r="H27" i="4864"/>
  <c r="H35" i="4864"/>
  <c r="H42" i="4864"/>
  <c r="H50" i="4864"/>
  <c r="H8" i="4864"/>
  <c r="H19" i="4864"/>
  <c r="H14" i="4864"/>
  <c r="H28" i="4864"/>
  <c r="H30" i="4864"/>
  <c r="H43" i="4864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<sst xmlns="http://schemas.openxmlformats.org/spreadsheetml/2006/main" count="2658" uniqueCount="207">
  <si>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</si>
  <si>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</si>
  <si>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</si>
  <si>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</si>
  <si>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</si>
  <si>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</si>
  <si>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</si>
  <si>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</si>
  <si>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</si>
  <si>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</si>
  <si>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</si>
  <si>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</si>
  <si>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</si>
  <si>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</si>
  <si>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</si>
  <si>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</si>
  <si>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</si>
  <si>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</si>
  <si>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</si>
  <si>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</si>
  <si>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</si>
  <si>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</si>
  <si>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</si>
  <si>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</si>
  <si>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</si>
  <si>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</si>
  <si>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</si>
  <si>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</si>
  <si>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</si>
  <si>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</si>
  <si>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</si>
  <si>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</si>
  <si>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</si>
  <si>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</si>
  <si>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</si>
  <si>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</si>
  <si>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</si>
  <si>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</si>
  <si>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</si>
  <si>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</si>
  <si>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</si>
  <si>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</si>
  <si>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</si>
  <si>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</si>
  <si>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</si>
  <si>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</si>
  <si>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</si>
  <si>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</si>
  <si>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</si>
  <si>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</si>
  <si>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</si>
  <si>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</si>
  <si>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</si>
  <si>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</si>
  <si>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</si>
  <si>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</si>
  <si>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</si>
  <si>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</si>
  <si>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</si>
  <si>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</si>
  <si>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</si>
  <si>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</si>
  <si>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</si>
  <si>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</si>
  <si>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</si>
  <si>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</si>
  <si>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</si>
  <si>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</si>
  <si>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</si>
  <si>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</si>
  <si>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</si>
  <si>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</si>
  <si>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</si>
  <si>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</si>
  <si>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</si>
  <si>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</si>
  <si>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</si>
  <si>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</si>
  <si>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</si>
  <si>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</si>
  <si>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</si>
  <si>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</si>
  <si>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</si>
  <si>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</si>
  <si>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</si>
  <si>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</si>
  <si>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</si>
  <si>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</si>
  <si>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</si>
  <si>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</si>
  <si>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</si>
  <si>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</si>
  <si>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</si>
  <si>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</si>
  <si>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</si>
  <si>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</si>
  <si>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</si>
  <si>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</si>
  <si>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</si>
  <si>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</si>
  <si>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</si>
  <si>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</si>
  <si>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</si>
  <si>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</si>
  <si>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</si>
  <si>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</si>
  <si>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</si>
  <si>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</si>
  <si>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</si>
  <si>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</si>
  <si>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</si>
  <si>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</si>
  <si>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</si>
  <si>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</si>
  <si>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</si>
  <si>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</si>
  <si>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</si>
  <si>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</si>
  <si>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</si>
  <si>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</si>
  <si>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</si>
  <si>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</si>
  <si>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</si>
  <si>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</si>
  <si>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</si>
  <si>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</si>
  <si>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</si>
  <si>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</si>
  <si>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</si>
  <si>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</si>
  <si>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</si>
  <si>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</si>
  <si>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</si>
  <si>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</si>
  <si>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</si>
  <si>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</si>
  <si>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</si>
  <si>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</si>
  <si>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</si>
  <si>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</si>
  <si>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</si>
  <si>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</si>
  <si>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</si>
  <si>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</si>
  <si>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</si>
  <si>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</si>
  <si>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</si>
  <si>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</si>
  <si>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</si>
  <si>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</si>
  <si>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</si>
  <si>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</si>
  <si>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</si>
  <si>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</si>
  <si>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</si>
  <si>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</si>
  <si>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</si>
  <si>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</si>
  <si>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</si>
  <si>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</si>
  <si>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</si>
  <si>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</si>
  <si>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</si>
  <si>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</si>
  <si>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</si>
  <si>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</si>
  <si>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</si>
  <si>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</si>
  <si>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</si>
  <si>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</si>
  <si>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</si>
  <si>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</si>
  <si>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</si>
  <si>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</si>
  <si>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</si>
  <si>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</si>
  <si>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</si>
  <si>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</si>
  <si>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</si>
  <si>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</si>
  <si>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</si>
  <si>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</si>
  <si>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</si>
  <si>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</si>
  <si>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</si>
  <si>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</si>
  <si>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</si>
  <si>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</si>
  <si>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</si>
  <si>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</si>
  <si>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</si>
  <si>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</si>
  <si>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</si>
  <si>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</si>
  <si>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</si>
  <si>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</si>
  <si>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</si>
  <si>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</si>
  <si>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</si>
  <si>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</si>
  <si>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</si>
  <si>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</si>
  <si>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</si>
  <si>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</si>
  <si>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</si>
  <si>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ラス率</t>
    <rPh sb="2" eb="3">
      <t>リツ</t>
    </rPh>
    <phoneticPr fontId="1"/>
  </si>
  <si>
    <t>2019-04-19.xlsm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</si>
</sst>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全体!$K$2:$K$230</c:f>
              <c:numCache>
                <c:formatCode>General</c:formatCode>
                <c:ptCount val="2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</c:numCache>
            </c:numRef>
          </c:xVal>
          <c:yVal>
            <c:numRef>
              <c:f>全体!$L$2:$L$230</c:f>
              <c:numCache>
                <c:formatCode>\+0.0;\-0.0;\±0</c:formatCode>
                <c:ptCount val="22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C-4084-81F9-00FA09B47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-21.92982456140351</c:v>
                </c:pt>
                <c:pt idx="1">
                  <c:v>-8.8888888888888893</c:v>
                </c:pt>
                <c:pt idx="2">
                  <c:v>24.154589371980677</c:v>
                </c:pt>
                <c:pt idx="3">
                  <c:v>5.376344086021505</c:v>
                </c:pt>
                <c:pt idx="4">
                  <c:v>-28.248587570621471</c:v>
                </c:pt>
                <c:pt idx="5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07-4EB6-8EDE-B325D330E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だいち!$L$2:$L$54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A6-4260-A7D8-DFEA8B801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4340.3846153846152</c:v>
                </c:pt>
                <c:pt idx="1">
                  <c:v>3831.372549019608</c:v>
                </c:pt>
                <c:pt idx="2">
                  <c:v>3280.8510638297871</c:v>
                </c:pt>
                <c:pt idx="3">
                  <c:v>3287.8048780487807</c:v>
                </c:pt>
                <c:pt idx="4">
                  <c:v>1721.0526315789473</c:v>
                </c:pt>
                <c:pt idx="5">
                  <c:v>491.66666666666669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0-4B73-B26C-35E4951E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りくと!$L$2:$L$55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F-4E7B-BD55-00DB90EC2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673.58490566037733</c:v>
                </c:pt>
                <c:pt idx="1">
                  <c:v>-1426.9230769230769</c:v>
                </c:pt>
                <c:pt idx="2">
                  <c:v>-1114</c:v>
                </c:pt>
                <c:pt idx="3">
                  <c:v>293.18181818181819</c:v>
                </c:pt>
                <c:pt idx="4">
                  <c:v>959.52380952380952</c:v>
                </c:pt>
                <c:pt idx="5">
                  <c:v>647.5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8-4108-AD5E-AC99BFC55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62-40E9-AA03-16BD57027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-2959.090909090909</c:v>
                </c:pt>
                <c:pt idx="1">
                  <c:v>-5186.363636363636</c:v>
                </c:pt>
                <c:pt idx="2">
                  <c:v>-5815.7894736842109</c:v>
                </c:pt>
                <c:pt idx="3">
                  <c:v>-2425</c:v>
                </c:pt>
                <c:pt idx="4">
                  <c:v>-2943.75</c:v>
                </c:pt>
                <c:pt idx="5">
                  <c:v>-2231.25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1-4292-AA89-FA7A16C45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A-457F-BC8B-7158AED77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-178.78787878787878</c:v>
                </c:pt>
                <c:pt idx="1">
                  <c:v>527.27272727272725</c:v>
                </c:pt>
                <c:pt idx="2">
                  <c:v>1096.7741935483871</c:v>
                </c:pt>
                <c:pt idx="3">
                  <c:v>-2127.5862068965516</c:v>
                </c:pt>
                <c:pt idx="4">
                  <c:v>-611.11111111111109</c:v>
                </c:pt>
                <c:pt idx="5">
                  <c:v>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5-4AF4-90CE-E4549E6F0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6C-46B8-ABAC-E42D756CE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-363.63636363636363</c:v>
                </c:pt>
                <c:pt idx="1">
                  <c:v>1918.1818181818182</c:v>
                </c:pt>
                <c:pt idx="2">
                  <c:v>44.444444444444443</c:v>
                </c:pt>
                <c:pt idx="3">
                  <c:v>2100</c:v>
                </c:pt>
                <c:pt idx="4">
                  <c:v>-3562.5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0-4D8F-8FF0-3326CD9C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0-460D-BADE-BD907E195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-4030</c:v>
                </c:pt>
                <c:pt idx="1">
                  <c:v>-625</c:v>
                </c:pt>
                <c:pt idx="2">
                  <c:v>-1088.8888888888889</c:v>
                </c:pt>
                <c:pt idx="3">
                  <c:v>-3205.8823529411766</c:v>
                </c:pt>
                <c:pt idx="4">
                  <c:v>1237.5</c:v>
                </c:pt>
                <c:pt idx="5">
                  <c:v>306.66666666666669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E-4458-8103-D08BDDD33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1-4E30-8DEA-F5CC34DE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B-4F9D-A046-59E7E3E33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4-41DB-BCC0-1F531D1CD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B31-B78F-DD6BDC46B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7-4871-829E-994861145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D35-9697-07FD9A817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A8-4F15-8CD1-BA9CD4828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8-4542-B1E0-2F3A966E9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ほたに2!$F$1:$F$2</c15:sqref>
                        </c15:formulaRef>
                      </c:ext>
                    </c:extLst>
                    <c:strCache>
                      <c:ptCount val="2"/>
                      <c:pt idx="0">
                        <c:v>ほたに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ACA-4E97-B2B6-A259DFE59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69392033542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3480083857442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72.18309859154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93.35347432024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10526315789473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10526315789473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6289308176100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6981132075471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5092024539877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8888888888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8450704225352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8F9C83-7EDD-484F-976F-4D59B21AFAB1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f>IF(B$3=0,0,B22/B$3)</f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43555.865243055552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43557.861886574072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43559.023634259262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43560.077002314814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43561.108229166668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43562.38486111111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43566.4999537037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43565.03292824074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43566.030462962961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43567.091620370367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43568.067812499998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43569.100613425922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43570.006145833337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43571.043113425927</v>
      </c>
      <c r="C16" s="30" t="s">
        <v>130</v>
      </c>
      <c r="D16" s="30" t="s">
        <v>131</v>
      </c>
    </row>
    <row r="17" spans="1:7" x14ac:dyDescent="0.4">
      <c r="A17" s="30" t="s">
        <v>202</v>
      </c>
      <c r="B17" s="31">
        <v>43573.057604166665</v>
      </c>
      <c r="C17" s="30" t="s">
        <v>130</v>
      </c>
      <c r="D17" s="30" t="s">
        <v>131</v>
      </c>
      <c r="E17" s="30" t="s">
        <v>170</v>
      </c>
    </row>
    <row r="18" spans="1:7" x14ac:dyDescent="0.4">
      <c r="A18" s="30" t="s">
        <v>204</v>
      </c>
      <c r="B18" s="31">
        <v>43574.063946759263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  <row r="19" spans="1:7" x14ac:dyDescent="0.4">
      <c r="A19" s="30" t="s">
        <v>206</v>
      </c>
      <c r="B19" s="31">
        <v>43575.082013888888</v>
      </c>
      <c r="C19" s="30" t="s">
        <v>130</v>
      </c>
      <c r="D19" s="30" t="s">
        <v>131</v>
      </c>
      <c r="E19" s="30" t="s">
        <v>170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205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  <c r="AJ1" s="156" t="s">
        <v>163</v>
      </c>
      <c r="AK1" s="157"/>
    </row>
    <row r="2" spans="1:37" x14ac:dyDescent="0.4">
      <c r="A2" s="72" t="s">
        <v>161</v>
      </c>
      <c r="B2" s="158"/>
      <c r="C2" s="159"/>
      <c r="D2" s="158"/>
      <c r="E2" s="159"/>
      <c r="F2" s="160">
        <v>0.98613448716890295</v>
      </c>
      <c r="G2" s="161"/>
      <c r="H2" s="160">
        <v>0.93351638060639164</v>
      </c>
      <c r="I2" s="161"/>
      <c r="J2" s="160">
        <v>0.9750617139054415</v>
      </c>
      <c r="K2" s="161"/>
      <c r="L2" s="160">
        <v>0.92705494315983528</v>
      </c>
      <c r="M2" s="161"/>
      <c r="N2" s="160">
        <v>0.82216150452456271</v>
      </c>
      <c r="O2" s="161"/>
      <c r="P2" s="160">
        <v>0.52184875048879953</v>
      </c>
      <c r="Q2" s="161"/>
      <c r="R2" s="160">
        <v>0.46927769872217223</v>
      </c>
      <c r="S2" s="161"/>
      <c r="T2" s="160">
        <v>0.80319702496556777</v>
      </c>
      <c r="U2" s="161"/>
      <c r="V2" s="160">
        <v>0.92695543143735681</v>
      </c>
      <c r="W2" s="161"/>
      <c r="X2" s="160">
        <v>0.63195714471625175</v>
      </c>
      <c r="Y2" s="161"/>
      <c r="Z2" s="160">
        <v>0.48475743810193272</v>
      </c>
      <c r="AA2" s="161"/>
      <c r="AB2" s="160">
        <v>0.89403180157649764</v>
      </c>
      <c r="AC2" s="161"/>
      <c r="AD2" s="160">
        <v>0.86650212097082102</v>
      </c>
      <c r="AE2" s="161"/>
      <c r="AF2" s="160">
        <v>-0.52801962461559659</v>
      </c>
      <c r="AG2" s="161"/>
      <c r="AH2" s="160">
        <v>0.87879071740270776</v>
      </c>
      <c r="AI2" s="161"/>
      <c r="AJ2" s="160">
        <v>-1.9476284547081217E-2</v>
      </c>
      <c r="AK2" s="161"/>
    </row>
    <row r="3" spans="1:37" x14ac:dyDescent="0.4">
      <c r="A3" s="74">
        <v>1</v>
      </c>
      <c r="B3" s="75" t="s">
        <v>127</v>
      </c>
      <c r="C3" s="76">
        <v>1318.2</v>
      </c>
      <c r="D3" s="77" t="s">
        <v>127</v>
      </c>
      <c r="E3" s="98">
        <v>25.35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0.41445783132530123</v>
      </c>
      <c r="N3" s="77" t="s">
        <v>186</v>
      </c>
      <c r="O3" s="80">
        <v>0.10526315789473684</v>
      </c>
      <c r="P3" s="77" t="s">
        <v>203</v>
      </c>
      <c r="Q3" s="81">
        <v>12000</v>
      </c>
      <c r="R3" s="77" t="s">
        <v>203</v>
      </c>
      <c r="S3" s="81">
        <v>-3250</v>
      </c>
      <c r="T3" s="77" t="s">
        <v>186</v>
      </c>
      <c r="U3" s="79">
        <v>0</v>
      </c>
      <c r="V3" s="77" t="s">
        <v>127</v>
      </c>
      <c r="W3" s="79">
        <v>0.21153846153846154</v>
      </c>
      <c r="X3" s="77" t="s">
        <v>127</v>
      </c>
      <c r="Y3" s="80">
        <v>0.33493975903614459</v>
      </c>
      <c r="Z3" s="77" t="s">
        <v>173</v>
      </c>
      <c r="AA3" s="80">
        <v>0.35164835164835168</v>
      </c>
      <c r="AB3" s="77" t="s">
        <v>187</v>
      </c>
      <c r="AC3" s="80">
        <v>0.7142857142857143</v>
      </c>
      <c r="AD3" s="77" t="s">
        <v>127</v>
      </c>
      <c r="AE3" s="80">
        <v>0.55769230769230771</v>
      </c>
      <c r="AF3" s="77" t="s">
        <v>187</v>
      </c>
      <c r="AG3" s="80">
        <v>0.5</v>
      </c>
      <c r="AH3" s="77" t="s">
        <v>127</v>
      </c>
      <c r="AI3" s="93">
        <v>105900</v>
      </c>
      <c r="AJ3" s="77" t="s">
        <v>145</v>
      </c>
      <c r="AK3" s="82">
        <v>7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1.5</v>
      </c>
      <c r="H4" s="86" t="s">
        <v>127</v>
      </c>
      <c r="I4" s="88">
        <v>0.61538461538461542</v>
      </c>
      <c r="J4" s="86" t="s">
        <v>203</v>
      </c>
      <c r="K4" s="88">
        <v>0</v>
      </c>
      <c r="L4" s="86" t="s">
        <v>173</v>
      </c>
      <c r="M4" s="89">
        <v>0.34615384615384615</v>
      </c>
      <c r="N4" s="86" t="s">
        <v>173</v>
      </c>
      <c r="O4" s="89">
        <v>0.13736263736263737</v>
      </c>
      <c r="P4" s="86" t="s">
        <v>127</v>
      </c>
      <c r="Q4" s="90">
        <v>9091.2790697674427</v>
      </c>
      <c r="R4" s="86" t="s">
        <v>186</v>
      </c>
      <c r="S4" s="90">
        <v>-5150</v>
      </c>
      <c r="T4" s="86" t="s">
        <v>203</v>
      </c>
      <c r="U4" s="88">
        <v>0</v>
      </c>
      <c r="V4" s="86" t="s">
        <v>145</v>
      </c>
      <c r="W4" s="88">
        <v>9.2105263157894732E-2</v>
      </c>
      <c r="X4" s="86" t="s">
        <v>128</v>
      </c>
      <c r="Y4" s="89">
        <v>0.27111111111111114</v>
      </c>
      <c r="Z4" s="86" t="s">
        <v>178</v>
      </c>
      <c r="AA4" s="89">
        <v>0.29203539823008851</v>
      </c>
      <c r="AB4" s="86" t="s">
        <v>127</v>
      </c>
      <c r="AC4" s="89">
        <v>0.64028776978417268</v>
      </c>
      <c r="AD4" s="86" t="s">
        <v>186</v>
      </c>
      <c r="AE4" s="89">
        <v>0.5</v>
      </c>
      <c r="AF4" s="86" t="s">
        <v>203</v>
      </c>
      <c r="AG4" s="89">
        <v>0.5</v>
      </c>
      <c r="AH4" s="86" t="s">
        <v>145</v>
      </c>
      <c r="AI4" s="94">
        <v>105900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173</v>
      </c>
      <c r="C5" s="85">
        <v>54.7</v>
      </c>
      <c r="D5" s="86" t="s">
        <v>173</v>
      </c>
      <c r="E5" s="99">
        <v>2.4863636363636363</v>
      </c>
      <c r="F5" s="86" t="s">
        <v>173</v>
      </c>
      <c r="G5" s="87">
        <v>2</v>
      </c>
      <c r="H5" s="86" t="s">
        <v>178</v>
      </c>
      <c r="I5" s="88">
        <v>0.33333333333333331</v>
      </c>
      <c r="J5" s="86" t="s">
        <v>127</v>
      </c>
      <c r="K5" s="88">
        <v>0.11538461538461539</v>
      </c>
      <c r="L5" s="86" t="s">
        <v>145</v>
      </c>
      <c r="M5" s="89">
        <v>0.2976939203354298</v>
      </c>
      <c r="N5" s="86" t="s">
        <v>127</v>
      </c>
      <c r="O5" s="89">
        <v>0.14216867469879518</v>
      </c>
      <c r="P5" s="86" t="s">
        <v>128</v>
      </c>
      <c r="Q5" s="90">
        <v>9042.4</v>
      </c>
      <c r="R5" s="86" t="s">
        <v>172</v>
      </c>
      <c r="S5" s="90">
        <v>-7206.25</v>
      </c>
      <c r="T5" s="86" t="s">
        <v>127</v>
      </c>
      <c r="U5" s="88">
        <v>1.9230769230769232E-2</v>
      </c>
      <c r="V5" s="86" t="s">
        <v>172</v>
      </c>
      <c r="W5" s="88">
        <v>9.0909090909090912E-2</v>
      </c>
      <c r="X5" s="86" t="s">
        <v>186</v>
      </c>
      <c r="Y5" s="89">
        <v>0.26315789473684209</v>
      </c>
      <c r="Z5" s="86" t="s">
        <v>127</v>
      </c>
      <c r="AA5" s="89">
        <v>0.25060240963855424</v>
      </c>
      <c r="AB5" s="86" t="s">
        <v>173</v>
      </c>
      <c r="AC5" s="89">
        <v>0.625</v>
      </c>
      <c r="AD5" s="86" t="s">
        <v>203</v>
      </c>
      <c r="AE5" s="89">
        <v>0.5</v>
      </c>
      <c r="AF5" s="86" t="s">
        <v>174</v>
      </c>
      <c r="AG5" s="89">
        <v>0.49090909090909091</v>
      </c>
      <c r="AH5" s="86" t="s">
        <v>173</v>
      </c>
      <c r="AI5" s="94">
        <v>95700</v>
      </c>
      <c r="AJ5" s="86" t="s">
        <v>172</v>
      </c>
      <c r="AK5" s="91">
        <v>1</v>
      </c>
    </row>
    <row r="6" spans="1:37" x14ac:dyDescent="0.4">
      <c r="A6" s="83">
        <v>4</v>
      </c>
      <c r="B6" s="84" t="s">
        <v>145</v>
      </c>
      <c r="C6" s="85">
        <v>0</v>
      </c>
      <c r="D6" s="86" t="s">
        <v>145</v>
      </c>
      <c r="E6" s="99">
        <v>0</v>
      </c>
      <c r="F6" s="86" t="s">
        <v>145</v>
      </c>
      <c r="G6" s="87">
        <v>2</v>
      </c>
      <c r="H6" s="86" t="s">
        <v>145</v>
      </c>
      <c r="I6" s="88">
        <v>0.33333333333333331</v>
      </c>
      <c r="J6" s="86" t="s">
        <v>173</v>
      </c>
      <c r="K6" s="88">
        <v>0.31818181818181818</v>
      </c>
      <c r="L6" s="86" t="s">
        <v>174</v>
      </c>
      <c r="M6" s="89">
        <v>0.29411764705882354</v>
      </c>
      <c r="N6" s="86" t="s">
        <v>172</v>
      </c>
      <c r="O6" s="89">
        <v>0.16666666666666666</v>
      </c>
      <c r="P6" s="86" t="s">
        <v>172</v>
      </c>
      <c r="Q6" s="90">
        <v>8422.8571428571431</v>
      </c>
      <c r="R6" s="86" t="s">
        <v>178</v>
      </c>
      <c r="S6" s="90">
        <v>-7250</v>
      </c>
      <c r="T6" s="86" t="s">
        <v>172</v>
      </c>
      <c r="U6" s="88">
        <v>3.0303030303030304E-2</v>
      </c>
      <c r="V6" s="86" t="s">
        <v>173</v>
      </c>
      <c r="W6" s="88">
        <v>9.0909090909090912E-2</v>
      </c>
      <c r="X6" s="86" t="s">
        <v>145</v>
      </c>
      <c r="Y6" s="89">
        <v>0.25628930817610063</v>
      </c>
      <c r="Z6" s="86" t="s">
        <v>174</v>
      </c>
      <c r="AA6" s="89">
        <v>0.22994652406417113</v>
      </c>
      <c r="AB6" s="86" t="s">
        <v>128</v>
      </c>
      <c r="AC6" s="89">
        <v>0.62295081967213117</v>
      </c>
      <c r="AD6" s="86" t="s">
        <v>173</v>
      </c>
      <c r="AE6" s="89">
        <v>0.421875</v>
      </c>
      <c r="AF6" s="86" t="s">
        <v>129</v>
      </c>
      <c r="AG6" s="89">
        <v>0.48571428571428571</v>
      </c>
      <c r="AH6" s="86" t="s">
        <v>172</v>
      </c>
      <c r="AI6" s="94">
        <v>91700</v>
      </c>
      <c r="AJ6" s="86" t="s">
        <v>174</v>
      </c>
      <c r="AK6" s="91">
        <v>1</v>
      </c>
    </row>
    <row r="7" spans="1:37" x14ac:dyDescent="0.4">
      <c r="A7" s="83">
        <v>5</v>
      </c>
      <c r="B7" s="84" t="s">
        <v>203</v>
      </c>
      <c r="C7" s="85">
        <v>-12.5</v>
      </c>
      <c r="D7" s="86" t="s">
        <v>128</v>
      </c>
      <c r="E7" s="99">
        <v>-1.79433962264151</v>
      </c>
      <c r="F7" s="86" t="s">
        <v>203</v>
      </c>
      <c r="G7" s="87">
        <v>2</v>
      </c>
      <c r="H7" s="86" t="s">
        <v>173</v>
      </c>
      <c r="I7" s="88">
        <v>0.31818181818181818</v>
      </c>
      <c r="J7" s="86" t="s">
        <v>145</v>
      </c>
      <c r="K7" s="88">
        <v>0.33333333333333331</v>
      </c>
      <c r="L7" s="86" t="s">
        <v>128</v>
      </c>
      <c r="M7" s="89">
        <v>0.27777777777777779</v>
      </c>
      <c r="N7" s="86" t="s">
        <v>128</v>
      </c>
      <c r="O7" s="89">
        <v>0.17333333333333334</v>
      </c>
      <c r="P7" s="86" t="s">
        <v>145</v>
      </c>
      <c r="Q7" s="90">
        <v>8172.1830985915494</v>
      </c>
      <c r="R7" s="86" t="s">
        <v>128</v>
      </c>
      <c r="S7" s="90">
        <v>-7275.6410256410254</v>
      </c>
      <c r="T7" s="86" t="s">
        <v>173</v>
      </c>
      <c r="U7" s="88">
        <v>4.5454545454545456E-2</v>
      </c>
      <c r="V7" s="86" t="s">
        <v>128</v>
      </c>
      <c r="W7" s="88">
        <v>7.5471698113207544E-2</v>
      </c>
      <c r="X7" s="86" t="s">
        <v>172</v>
      </c>
      <c r="Y7" s="89">
        <v>0.24305555555555555</v>
      </c>
      <c r="Z7" s="86" t="s">
        <v>187</v>
      </c>
      <c r="AA7" s="89">
        <v>0.22807017543859648</v>
      </c>
      <c r="AB7" s="86" t="s">
        <v>186</v>
      </c>
      <c r="AC7" s="89">
        <v>0.6</v>
      </c>
      <c r="AD7" s="86" t="s">
        <v>178</v>
      </c>
      <c r="AE7" s="89">
        <v>0.39393939393939392</v>
      </c>
      <c r="AF7" s="86" t="s">
        <v>173</v>
      </c>
      <c r="AG7" s="89">
        <v>0.41269841269841268</v>
      </c>
      <c r="AH7" s="86" t="s">
        <v>128</v>
      </c>
      <c r="AI7" s="94">
        <v>88600</v>
      </c>
      <c r="AJ7" s="86" t="s">
        <v>178</v>
      </c>
      <c r="AK7" s="91">
        <v>1</v>
      </c>
    </row>
    <row r="8" spans="1:37" x14ac:dyDescent="0.4">
      <c r="A8" s="83">
        <v>6</v>
      </c>
      <c r="B8" s="84" t="s">
        <v>128</v>
      </c>
      <c r="C8" s="85">
        <v>-95.100000000000037</v>
      </c>
      <c r="D8" s="86" t="s">
        <v>172</v>
      </c>
      <c r="E8" s="99">
        <v>-3.3000000000000003</v>
      </c>
      <c r="F8" s="86" t="s">
        <v>128</v>
      </c>
      <c r="G8" s="87">
        <v>2.0754716981132075</v>
      </c>
      <c r="H8" s="86" t="s">
        <v>128</v>
      </c>
      <c r="I8" s="88">
        <v>0.26415094339622641</v>
      </c>
      <c r="J8" s="86" t="s">
        <v>128</v>
      </c>
      <c r="K8" s="88">
        <v>0.33962264150943394</v>
      </c>
      <c r="L8" s="86" t="s">
        <v>186</v>
      </c>
      <c r="M8" s="89">
        <v>0.26315789473684209</v>
      </c>
      <c r="N8" s="86" t="s">
        <v>145</v>
      </c>
      <c r="O8" s="89">
        <v>0.17348008385744235</v>
      </c>
      <c r="P8" s="86" t="s">
        <v>186</v>
      </c>
      <c r="Q8" s="90">
        <v>7860</v>
      </c>
      <c r="R8" s="86" t="s">
        <v>145</v>
      </c>
      <c r="S8" s="90">
        <v>-7893.3534743202417</v>
      </c>
      <c r="T8" s="86" t="s">
        <v>145</v>
      </c>
      <c r="U8" s="88">
        <v>9.2105263157894732E-2</v>
      </c>
      <c r="V8" s="86" t="s">
        <v>174</v>
      </c>
      <c r="W8" s="88">
        <v>0.05</v>
      </c>
      <c r="X8" s="86" t="s">
        <v>129</v>
      </c>
      <c r="Y8" s="89">
        <v>0.24193548387096775</v>
      </c>
      <c r="Z8" s="86" t="s">
        <v>145</v>
      </c>
      <c r="AA8" s="89">
        <v>0.21698113207547171</v>
      </c>
      <c r="AB8" s="86" t="s">
        <v>145</v>
      </c>
      <c r="AC8" s="89">
        <v>0.59509202453987731</v>
      </c>
      <c r="AD8" s="86" t="s">
        <v>145</v>
      </c>
      <c r="AE8" s="89">
        <v>0.3888888888888889</v>
      </c>
      <c r="AF8" s="86" t="s">
        <v>145</v>
      </c>
      <c r="AG8" s="89">
        <v>0.40845070422535212</v>
      </c>
      <c r="AH8" s="86" t="s">
        <v>178</v>
      </c>
      <c r="AI8" s="94">
        <v>65000</v>
      </c>
      <c r="AJ8" s="86" t="s">
        <v>127</v>
      </c>
      <c r="AK8" s="91">
        <v>0</v>
      </c>
    </row>
    <row r="9" spans="1:37" x14ac:dyDescent="0.4">
      <c r="A9" s="83">
        <v>7</v>
      </c>
      <c r="B9" s="84" t="s">
        <v>172</v>
      </c>
      <c r="C9" s="85">
        <v>-108.9</v>
      </c>
      <c r="D9" s="86" t="s">
        <v>174</v>
      </c>
      <c r="E9" s="99">
        <v>-9.139999999999997</v>
      </c>
      <c r="F9" s="86" t="s">
        <v>174</v>
      </c>
      <c r="G9" s="87">
        <v>2.1</v>
      </c>
      <c r="H9" s="86" t="s">
        <v>174</v>
      </c>
      <c r="I9" s="88">
        <v>0.25</v>
      </c>
      <c r="J9" s="86" t="s">
        <v>174</v>
      </c>
      <c r="K9" s="88">
        <v>0.35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7302.8571428571431</v>
      </c>
      <c r="R9" s="86" t="s">
        <v>174</v>
      </c>
      <c r="S9" s="90">
        <v>-7957.5</v>
      </c>
      <c r="T9" s="86" t="s">
        <v>174</v>
      </c>
      <c r="U9" s="88">
        <v>0.1</v>
      </c>
      <c r="V9" s="86" t="s">
        <v>129</v>
      </c>
      <c r="W9" s="88">
        <v>0</v>
      </c>
      <c r="X9" s="86" t="s">
        <v>173</v>
      </c>
      <c r="Y9" s="89">
        <v>0.21978021978021978</v>
      </c>
      <c r="Z9" s="86" t="s">
        <v>186</v>
      </c>
      <c r="AA9" s="89">
        <v>0.21052631578947367</v>
      </c>
      <c r="AB9" s="86" t="s">
        <v>172</v>
      </c>
      <c r="AC9" s="89">
        <v>0.55714285714285716</v>
      </c>
      <c r="AD9" s="86" t="s">
        <v>187</v>
      </c>
      <c r="AE9" s="89">
        <v>0.38461538461538464</v>
      </c>
      <c r="AF9" s="86" t="s">
        <v>128</v>
      </c>
      <c r="AG9" s="89">
        <v>0.4</v>
      </c>
      <c r="AH9" s="86" t="s">
        <v>174</v>
      </c>
      <c r="AI9" s="94">
        <v>58900</v>
      </c>
      <c r="AJ9" s="86" t="s">
        <v>129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178</v>
      </c>
      <c r="E10" s="99">
        <v>-9.7466666666666661</v>
      </c>
      <c r="F10" s="86" t="s">
        <v>172</v>
      </c>
      <c r="G10" s="87">
        <v>2.1212121212121211</v>
      </c>
      <c r="H10" s="86" t="s">
        <v>172</v>
      </c>
      <c r="I10" s="88">
        <v>0.24242424242424243</v>
      </c>
      <c r="J10" s="86" t="s">
        <v>172</v>
      </c>
      <c r="K10" s="88">
        <v>0.36363636363636365</v>
      </c>
      <c r="L10" s="86" t="s">
        <v>172</v>
      </c>
      <c r="M10" s="89">
        <v>0.24305555555555555</v>
      </c>
      <c r="N10" s="86" t="s">
        <v>203</v>
      </c>
      <c r="O10" s="89">
        <v>0.18181818181818182</v>
      </c>
      <c r="P10" s="86" t="s">
        <v>173</v>
      </c>
      <c r="Q10" s="90">
        <v>6749.2063492063489</v>
      </c>
      <c r="R10" s="86" t="s">
        <v>127</v>
      </c>
      <c r="S10" s="90">
        <v>-7961.0169491525421</v>
      </c>
      <c r="T10" s="86" t="s">
        <v>128</v>
      </c>
      <c r="U10" s="88">
        <v>0.13207547169811321</v>
      </c>
      <c r="V10" s="86" t="s">
        <v>178</v>
      </c>
      <c r="W10" s="88">
        <v>0</v>
      </c>
      <c r="X10" s="86" t="s">
        <v>174</v>
      </c>
      <c r="Y10" s="89">
        <v>0.20855614973262032</v>
      </c>
      <c r="Z10" s="86" t="s">
        <v>203</v>
      </c>
      <c r="AA10" s="89">
        <v>0.18181818181818182</v>
      </c>
      <c r="AB10" s="86" t="s">
        <v>178</v>
      </c>
      <c r="AC10" s="89">
        <v>0.55000000000000004</v>
      </c>
      <c r="AD10" s="86" t="s">
        <v>174</v>
      </c>
      <c r="AE10" s="89">
        <v>0.34883720930232559</v>
      </c>
      <c r="AF10" s="86" t="s">
        <v>127</v>
      </c>
      <c r="AG10" s="89">
        <v>0.39534883720930231</v>
      </c>
      <c r="AH10" s="86" t="s">
        <v>186</v>
      </c>
      <c r="AI10" s="94">
        <v>53500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174</v>
      </c>
      <c r="C11" s="85">
        <v>-182.79999999999993</v>
      </c>
      <c r="D11" s="86" t="s">
        <v>203</v>
      </c>
      <c r="E11" s="99">
        <v>-12.5</v>
      </c>
      <c r="F11" s="86" t="s">
        <v>178</v>
      </c>
      <c r="G11" s="87">
        <v>2.1333333333333333</v>
      </c>
      <c r="H11" s="86" t="s">
        <v>187</v>
      </c>
      <c r="I11" s="88">
        <v>0.14285714285714285</v>
      </c>
      <c r="J11" s="86" t="s">
        <v>178</v>
      </c>
      <c r="K11" s="88">
        <v>0.46666666666666667</v>
      </c>
      <c r="L11" s="86" t="s">
        <v>187</v>
      </c>
      <c r="M11" s="89">
        <v>0.21052631578947367</v>
      </c>
      <c r="N11" s="86" t="s">
        <v>174</v>
      </c>
      <c r="O11" s="89">
        <v>0.21390374331550802</v>
      </c>
      <c r="P11" s="86" t="s">
        <v>187</v>
      </c>
      <c r="Q11" s="90">
        <v>6500</v>
      </c>
      <c r="R11" s="86" t="s">
        <v>173</v>
      </c>
      <c r="S11" s="90">
        <v>-8384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203</v>
      </c>
      <c r="Y11" s="89">
        <v>0.18181818181818182</v>
      </c>
      <c r="Z11" s="86" t="s">
        <v>172</v>
      </c>
      <c r="AA11" s="89">
        <v>0.17708333333333334</v>
      </c>
      <c r="AB11" s="86" t="s">
        <v>174</v>
      </c>
      <c r="AC11" s="89">
        <v>0.53846153846153844</v>
      </c>
      <c r="AD11" s="86" t="s">
        <v>172</v>
      </c>
      <c r="AE11" s="89">
        <v>0.31372549019607843</v>
      </c>
      <c r="AF11" s="86" t="s">
        <v>178</v>
      </c>
      <c r="AG11" s="89">
        <v>0.37931034482758619</v>
      </c>
      <c r="AH11" s="86" t="s">
        <v>129</v>
      </c>
      <c r="AI11" s="94">
        <v>52200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187</v>
      </c>
      <c r="C12" s="85">
        <v>-218.2</v>
      </c>
      <c r="D12" s="86" t="s">
        <v>129</v>
      </c>
      <c r="E12" s="99">
        <v>-30.463636363636361</v>
      </c>
      <c r="F12" s="86" t="s">
        <v>129</v>
      </c>
      <c r="G12" s="87">
        <v>2.5454545454545454</v>
      </c>
      <c r="H12" s="86" t="s">
        <v>129</v>
      </c>
      <c r="I12" s="88">
        <v>9.0909090909090912E-2</v>
      </c>
      <c r="J12" s="86" t="s">
        <v>129</v>
      </c>
      <c r="K12" s="88">
        <v>0.63636363636363635</v>
      </c>
      <c r="L12" s="86" t="s">
        <v>129</v>
      </c>
      <c r="M12" s="89">
        <v>0.18817204301075269</v>
      </c>
      <c r="N12" s="86" t="s">
        <v>129</v>
      </c>
      <c r="O12" s="89">
        <v>0.22043010752688172</v>
      </c>
      <c r="P12" s="86" t="s">
        <v>174</v>
      </c>
      <c r="Q12" s="90">
        <v>6392.727272727273</v>
      </c>
      <c r="R12" s="86" t="s">
        <v>187</v>
      </c>
      <c r="S12" s="90">
        <v>-8762.5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128</v>
      </c>
      <c r="AA12" s="89">
        <v>0.17333333333333334</v>
      </c>
      <c r="AB12" s="86" t="s">
        <v>203</v>
      </c>
      <c r="AC12" s="89">
        <v>0.5</v>
      </c>
      <c r="AD12" s="86" t="s">
        <v>128</v>
      </c>
      <c r="AE12" s="89">
        <v>0.25641025641025639</v>
      </c>
      <c r="AF12" s="86" t="s">
        <v>172</v>
      </c>
      <c r="AG12" s="89">
        <v>0.35714285714285715</v>
      </c>
      <c r="AH12" s="86" t="s">
        <v>187</v>
      </c>
      <c r="AI12" s="94">
        <v>43600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-670.19999999999993</v>
      </c>
      <c r="D13" s="86" t="s">
        <v>187</v>
      </c>
      <c r="E13" s="99">
        <v>-31.171428571428571</v>
      </c>
      <c r="F13" s="86" t="s">
        <v>187</v>
      </c>
      <c r="G13" s="87">
        <v>2.5714285714285716</v>
      </c>
      <c r="H13" s="86" t="s">
        <v>203</v>
      </c>
      <c r="I13" s="88">
        <v>0</v>
      </c>
      <c r="J13" s="86" t="s">
        <v>187</v>
      </c>
      <c r="K13" s="88">
        <v>0.7142857142857143</v>
      </c>
      <c r="L13" s="86" t="s">
        <v>203</v>
      </c>
      <c r="M13" s="89">
        <v>0.18181818181818182</v>
      </c>
      <c r="N13" s="86" t="s">
        <v>187</v>
      </c>
      <c r="O13" s="89">
        <v>0.2807017543859649</v>
      </c>
      <c r="P13" s="86" t="s">
        <v>178</v>
      </c>
      <c r="Q13" s="90">
        <v>6362.0689655172409</v>
      </c>
      <c r="R13" s="86" t="s">
        <v>129</v>
      </c>
      <c r="S13" s="90">
        <v>-9748.7804878048773</v>
      </c>
      <c r="T13" s="86" t="s">
        <v>129</v>
      </c>
      <c r="U13" s="88">
        <v>0.22727272727272727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0.11827956989247312</v>
      </c>
      <c r="AB13" s="86" t="s">
        <v>129</v>
      </c>
      <c r="AC13" s="89">
        <v>0.46666666666666667</v>
      </c>
      <c r="AD13" s="86" t="s">
        <v>129</v>
      </c>
      <c r="AE13" s="89">
        <v>0.18181818181818182</v>
      </c>
      <c r="AF13" s="86" t="s">
        <v>186</v>
      </c>
      <c r="AG13" s="89">
        <v>0.2</v>
      </c>
      <c r="AH13" s="86" t="s">
        <v>203</v>
      </c>
      <c r="AI13" s="94">
        <v>22500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ADE8-1FE9-44D4-809F-951200A89293}">
  <sheetPr codeName="Sheet4"/>
  <dimension ref="A1:Q23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228</v>
      </c>
      <c r="C2" s="149"/>
      <c r="E2" s="62" t="s">
        <v>67</v>
      </c>
      <c r="F2" s="59" t="s">
        <v>23</v>
      </c>
      <c r="G2" s="46">
        <v>409</v>
      </c>
      <c r="H2" s="134">
        <f>IF(B$17=0,0,G2/B$17)</f>
        <v>0.72007042253521125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-21.92982456140351</v>
      </c>
      <c r="P2" s="120">
        <v>228</v>
      </c>
      <c r="Q2" s="104">
        <v>-5000</v>
      </c>
    </row>
    <row r="3" spans="1:17" x14ac:dyDescent="0.4">
      <c r="A3" s="55" t="s">
        <v>8</v>
      </c>
      <c r="B3" s="150">
        <v>1908</v>
      </c>
      <c r="C3" s="151"/>
      <c r="E3" s="63" t="s">
        <v>73</v>
      </c>
      <c r="F3" s="60" t="s">
        <v>28</v>
      </c>
      <c r="G3" s="47">
        <v>309</v>
      </c>
      <c r="H3" s="135">
        <f>IF(B$17=0,0,G3/B$17)</f>
        <v>0.54401408450704225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-8.8888888888888893</v>
      </c>
      <c r="P3" s="121">
        <v>225</v>
      </c>
      <c r="Q3" s="105">
        <v>-2000</v>
      </c>
    </row>
    <row r="4" spans="1:17" x14ac:dyDescent="0.4">
      <c r="A4" s="55" t="s">
        <v>6</v>
      </c>
      <c r="B4" s="152">
        <v>0</v>
      </c>
      <c r="C4" s="153"/>
      <c r="E4" s="63" t="s">
        <v>65</v>
      </c>
      <c r="F4" s="60" t="s">
        <v>21</v>
      </c>
      <c r="G4" s="47">
        <v>280</v>
      </c>
      <c r="H4" s="135">
        <f>IF(B$17=0,0,G4/B$17)</f>
        <v>0.49295774647887325</v>
      </c>
      <c r="I4" s="96">
        <v>7</v>
      </c>
      <c r="K4" s="38">
        <v>2</v>
      </c>
      <c r="L4" s="101">
        <v>40.4</v>
      </c>
      <c r="N4" s="117" t="s">
        <v>134</v>
      </c>
      <c r="O4" s="124">
        <f t="shared" si="0"/>
        <v>24.154589371980677</v>
      </c>
      <c r="P4" s="121">
        <v>207</v>
      </c>
      <c r="Q4" s="105">
        <v>5000</v>
      </c>
    </row>
    <row r="5" spans="1:17" x14ac:dyDescent="0.4">
      <c r="A5" s="55" t="s">
        <v>7</v>
      </c>
      <c r="B5" s="154">
        <f>IF(B$2=0,0,B$4/B$2)</f>
        <v>0</v>
      </c>
      <c r="C5" s="155"/>
      <c r="E5" s="63" t="s">
        <v>182</v>
      </c>
      <c r="F5" s="60" t="s">
        <v>183</v>
      </c>
      <c r="G5" s="47">
        <v>217</v>
      </c>
      <c r="H5" s="135">
        <f>IF(B$17=0,0,G5/B$17)</f>
        <v>0.38204225352112675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5.376344086021505</v>
      </c>
      <c r="P5" s="121">
        <v>186</v>
      </c>
      <c r="Q5" s="105">
        <v>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156</v>
      </c>
      <c r="H6" s="135">
        <f>IF(B$17=0,0,G6/B$17)</f>
        <v>0.27464788732394368</v>
      </c>
      <c r="I6" s="96">
        <v>5</v>
      </c>
      <c r="K6" s="38">
        <v>4</v>
      </c>
      <c r="L6" s="101">
        <v>2.2000000000000002</v>
      </c>
      <c r="N6" s="117" t="s">
        <v>136</v>
      </c>
      <c r="O6" s="124">
        <f t="shared" si="0"/>
        <v>-28.248587570621471</v>
      </c>
      <c r="P6" s="121">
        <v>177</v>
      </c>
      <c r="Q6" s="105">
        <v>-5000</v>
      </c>
    </row>
    <row r="7" spans="1:17" x14ac:dyDescent="0.4">
      <c r="A7" s="55" t="s">
        <v>2</v>
      </c>
      <c r="B7" s="47">
        <v>76</v>
      </c>
      <c r="C7" s="39">
        <f>IF(B$2=0,0,B7/B$2)</f>
        <v>0.33333333333333331</v>
      </c>
      <c r="E7" s="63" t="s">
        <v>68</v>
      </c>
      <c r="F7" s="60" t="s">
        <v>24</v>
      </c>
      <c r="G7" s="47">
        <v>153</v>
      </c>
      <c r="H7" s="135">
        <f>IF(B$17=0,0,G7/B$17)</f>
        <v>0.26936619718309857</v>
      </c>
      <c r="I7" s="96">
        <v>6</v>
      </c>
      <c r="K7" s="38">
        <v>5</v>
      </c>
      <c r="L7" s="101">
        <v>-37</v>
      </c>
      <c r="N7" s="118" t="s">
        <v>137</v>
      </c>
      <c r="O7" s="125">
        <f t="shared" si="0"/>
        <v>35.714285714285715</v>
      </c>
      <c r="P7" s="122">
        <v>168</v>
      </c>
      <c r="Q7" s="106">
        <v>6000</v>
      </c>
    </row>
    <row r="8" spans="1:17" x14ac:dyDescent="0.4">
      <c r="A8" s="55" t="s">
        <v>3</v>
      </c>
      <c r="B8" s="47">
        <v>76</v>
      </c>
      <c r="C8" s="39">
        <f>IF(B$2=0,0,B8/B$2)</f>
        <v>0.33333333333333331</v>
      </c>
      <c r="E8" s="63" t="s">
        <v>70</v>
      </c>
      <c r="F8" s="60" t="s">
        <v>25</v>
      </c>
      <c r="G8" s="47">
        <v>100</v>
      </c>
      <c r="H8" s="135">
        <f>IF(B$17=0,0,G8/B$17)</f>
        <v>0.176056338028169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76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79</v>
      </c>
      <c r="H9" s="135">
        <f>IF(B$17=0,0,G9/B$17)</f>
        <v>0.13908450704225353</v>
      </c>
      <c r="I9" s="96">
        <v>7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21</v>
      </c>
      <c r="C10" s="40">
        <f>IF(B$2=0,0,B10/B$2)</f>
        <v>9.2105263157894732E-2</v>
      </c>
      <c r="E10" s="63" t="s">
        <v>66</v>
      </c>
      <c r="F10" s="60" t="s">
        <v>22</v>
      </c>
      <c r="G10" s="47">
        <v>67</v>
      </c>
      <c r="H10" s="135">
        <f>IF(B$17=0,0,G10/B$17)</f>
        <v>0.11795774647887323</v>
      </c>
      <c r="I10" s="96">
        <v>6</v>
      </c>
      <c r="K10" s="38">
        <v>8</v>
      </c>
      <c r="L10" s="101">
        <v>19.699999999999996</v>
      </c>
      <c r="N10" s="116" t="s">
        <v>165</v>
      </c>
      <c r="O10" s="126">
        <f>IF(P10=0,0,Q10/P10)</f>
        <v>-4.9749999999999996</v>
      </c>
      <c r="P10" s="120">
        <v>76</v>
      </c>
      <c r="Q10" s="108">
        <v>-378.09999999999997</v>
      </c>
    </row>
    <row r="11" spans="1:17" x14ac:dyDescent="0.4">
      <c r="A11" s="56" t="s">
        <v>140</v>
      </c>
      <c r="B11" s="48">
        <v>21</v>
      </c>
      <c r="C11" s="40">
        <f>IF(B$2=0,0,B11/B$2)</f>
        <v>9.2105263157894732E-2</v>
      </c>
      <c r="E11" s="63" t="s">
        <v>71</v>
      </c>
      <c r="F11" s="60" t="s">
        <v>26</v>
      </c>
      <c r="G11" s="47">
        <v>62</v>
      </c>
      <c r="H11" s="135">
        <f>IF(B$17=0,0,G11/B$17)</f>
        <v>0.10915492957746478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-5.4328947368421057</v>
      </c>
      <c r="P11" s="121">
        <v>76</v>
      </c>
      <c r="Q11" s="109">
        <v>-412.90000000000003</v>
      </c>
    </row>
    <row r="12" spans="1:17" x14ac:dyDescent="0.4">
      <c r="A12" s="57" t="s">
        <v>160</v>
      </c>
      <c r="B12" s="49">
        <v>22</v>
      </c>
      <c r="C12" s="42">
        <f>IF(B$2=0,0,B12/B$2)</f>
        <v>9.6491228070175433E-2</v>
      </c>
      <c r="E12" s="63" t="s">
        <v>87</v>
      </c>
      <c r="F12" s="60" t="s">
        <v>42</v>
      </c>
      <c r="G12" s="47">
        <v>37</v>
      </c>
      <c r="H12" s="135">
        <f>IF(B$17=0,0,G12/B$17)</f>
        <v>6.5140845070422532E-2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10.407894736842106</v>
      </c>
      <c r="P12" s="122">
        <v>76</v>
      </c>
      <c r="Q12" s="110">
        <v>791.00000000000011</v>
      </c>
    </row>
    <row r="13" spans="1:17" x14ac:dyDescent="0.4">
      <c r="A13" s="58" t="s">
        <v>122</v>
      </c>
      <c r="B13" s="50">
        <v>489</v>
      </c>
      <c r="C13" s="44">
        <f>IF(B$3=0,0,B13/B$3)</f>
        <v>0.25628930817610063</v>
      </c>
      <c r="E13" s="63" t="s">
        <v>72</v>
      </c>
      <c r="F13" s="60" t="s">
        <v>27</v>
      </c>
      <c r="G13" s="47">
        <v>33</v>
      </c>
      <c r="H13" s="135">
        <f>IF(B$17=0,0,G13/B$17)</f>
        <v>5.8098591549295774E-2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414</v>
      </c>
      <c r="C14" s="39">
        <f>IF(B$3=0,0,B14/B$3)</f>
        <v>0.21698113207547171</v>
      </c>
      <c r="E14" s="63" t="s">
        <v>84</v>
      </c>
      <c r="F14" s="60" t="s">
        <v>39</v>
      </c>
      <c r="G14" s="47">
        <v>24</v>
      </c>
      <c r="H14" s="135">
        <f>IF(B$17=0,0,G14/B$17)</f>
        <v>4.2253521126760563E-2</v>
      </c>
      <c r="I14" s="96">
        <v>4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291</v>
      </c>
      <c r="C15" s="37">
        <f>IF(B$13=0,0,B15/B$13)</f>
        <v>0.59509202453987731</v>
      </c>
      <c r="E15" s="63" t="s">
        <v>82</v>
      </c>
      <c r="F15" s="60" t="s">
        <v>37</v>
      </c>
      <c r="G15" s="47">
        <v>14</v>
      </c>
      <c r="H15" s="135">
        <f>IF(B$17=0,0,G15/B$17)</f>
        <v>2.464788732394366E-2</v>
      </c>
      <c r="I15" s="96">
        <v>4</v>
      </c>
      <c r="K15" s="38">
        <v>13</v>
      </c>
      <c r="L15" s="101">
        <v>-42.100000000000009</v>
      </c>
      <c r="N15" s="116" t="s">
        <v>187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125</v>
      </c>
      <c r="B16" s="46">
        <v>161</v>
      </c>
      <c r="C16" s="37">
        <f>IF(B$14=0,0,B16/B$14)</f>
        <v>0.3888888888888889</v>
      </c>
      <c r="E16" s="63" t="s">
        <v>92</v>
      </c>
      <c r="F16" s="60" t="s">
        <v>47</v>
      </c>
      <c r="G16" s="47">
        <v>11</v>
      </c>
      <c r="H16" s="135">
        <f>IF(B$17=0,0,G16/B$17)</f>
        <v>1.936619718309859E-2</v>
      </c>
      <c r="I16" s="96">
        <v>3</v>
      </c>
      <c r="K16" s="38">
        <v>14</v>
      </c>
      <c r="L16" s="101">
        <v>18.79999999999999</v>
      </c>
      <c r="N16" s="117" t="s">
        <v>129</v>
      </c>
      <c r="O16" s="127">
        <f>IF(P16=0,0,Q16/P16)</f>
        <v>45.695454545454545</v>
      </c>
      <c r="P16" s="121">
        <v>44</v>
      </c>
      <c r="Q16" s="109">
        <v>2010.6000000000001</v>
      </c>
    </row>
    <row r="17" spans="1:17" x14ac:dyDescent="0.4">
      <c r="A17" s="54" t="s">
        <v>10</v>
      </c>
      <c r="B17" s="46">
        <f>B19+B18</f>
        <v>568</v>
      </c>
      <c r="C17" s="37">
        <f>IF(B$3=0,0,B17/B$3)</f>
        <v>0.2976939203354298</v>
      </c>
      <c r="E17" s="63" t="s">
        <v>79</v>
      </c>
      <c r="F17" s="60" t="s">
        <v>34</v>
      </c>
      <c r="G17" s="47">
        <v>10</v>
      </c>
      <c r="H17" s="135">
        <f>IF(B$17=0,0,G17/B$17)</f>
        <v>1.7605633802816902E-2</v>
      </c>
      <c r="I17" s="96">
        <v>4</v>
      </c>
      <c r="K17" s="38">
        <v>15</v>
      </c>
      <c r="L17" s="101">
        <v>-1.0658141036401503E-14</v>
      </c>
      <c r="N17" s="117" t="s">
        <v>203</v>
      </c>
      <c r="O17" s="127">
        <f>IF(P17=0,0,Q17/P17)</f>
        <v>18.75</v>
      </c>
      <c r="P17" s="121">
        <v>2</v>
      </c>
      <c r="Q17" s="109">
        <v>37.5</v>
      </c>
    </row>
    <row r="18" spans="1:17" x14ac:dyDescent="0.4">
      <c r="A18" s="55" t="s">
        <v>12</v>
      </c>
      <c r="B18" s="47">
        <v>232</v>
      </c>
      <c r="C18" s="39">
        <f>IF(B$17=0,0,B18/B$17)</f>
        <v>0.40845070422535212</v>
      </c>
      <c r="E18" s="63" t="s">
        <v>80</v>
      </c>
      <c r="F18" s="60" t="s">
        <v>35</v>
      </c>
      <c r="G18" s="47">
        <v>6</v>
      </c>
      <c r="H18" s="135">
        <f>IF(B$17=0,0,G18/B$17)</f>
        <v>1.0563380281690141E-2</v>
      </c>
      <c r="I18" s="96">
        <v>4</v>
      </c>
      <c r="K18" s="38">
        <v>16</v>
      </c>
      <c r="L18" s="101">
        <v>90.899999999999991</v>
      </c>
      <c r="N18" s="117" t="s">
        <v>178</v>
      </c>
      <c r="O18" s="127">
        <f>IF(P18=0,0,Q18/P18)</f>
        <v>14.619999999999997</v>
      </c>
      <c r="P18" s="121">
        <v>30</v>
      </c>
      <c r="Q18" s="109">
        <v>438.59999999999991</v>
      </c>
    </row>
    <row r="19" spans="1:17" x14ac:dyDescent="0.4">
      <c r="A19" s="55" t="s">
        <v>11</v>
      </c>
      <c r="B19" s="47">
        <v>336</v>
      </c>
      <c r="C19" s="39">
        <f>IF(B$17=0,0,B19/B$17)</f>
        <v>0.59154929577464788</v>
      </c>
      <c r="E19" s="63" t="s">
        <v>76</v>
      </c>
      <c r="F19" s="60" t="s">
        <v>31</v>
      </c>
      <c r="G19" s="47">
        <v>5</v>
      </c>
      <c r="H19" s="135">
        <f>IF(B$17=0,0,G19/B$17)</f>
        <v>8.8028169014084511E-3</v>
      </c>
      <c r="I19" s="96">
        <v>3</v>
      </c>
      <c r="K19" s="38">
        <v>17</v>
      </c>
      <c r="L19" s="101">
        <v>8.2999999999999972</v>
      </c>
      <c r="N19" s="117" t="s">
        <v>174</v>
      </c>
      <c r="O19" s="127">
        <f>IF(P19=0,0,Q19/P19)</f>
        <v>13.710000000000008</v>
      </c>
      <c r="P19" s="121">
        <v>40</v>
      </c>
      <c r="Q19" s="109">
        <v>548.40000000000032</v>
      </c>
    </row>
    <row r="20" spans="1:17" x14ac:dyDescent="0.4">
      <c r="A20" s="55" t="s">
        <v>13</v>
      </c>
      <c r="B20" s="47">
        <v>331</v>
      </c>
      <c r="C20" s="39">
        <f>IF(B$3=0,0,B20/B$3)</f>
        <v>0.17348008385744235</v>
      </c>
      <c r="E20" s="63" t="s">
        <v>181</v>
      </c>
      <c r="F20" s="60" t="s">
        <v>184</v>
      </c>
      <c r="G20" s="47">
        <v>5</v>
      </c>
      <c r="H20" s="135">
        <f>IF(B$17=0,0,G20/B$17)</f>
        <v>8.8028169014084511E-3</v>
      </c>
      <c r="I20" s="96">
        <v>3</v>
      </c>
      <c r="K20" s="38">
        <v>18</v>
      </c>
      <c r="L20" s="101">
        <v>-3.5527136788005009E-15</v>
      </c>
      <c r="N20" s="117" t="s">
        <v>172</v>
      </c>
      <c r="O20" s="127">
        <f>IF(P20=0,0,Q20/P20)</f>
        <v>4.950000000000002</v>
      </c>
      <c r="P20" s="121">
        <v>66</v>
      </c>
      <c r="Q20" s="109">
        <v>326.7000000000001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74</v>
      </c>
      <c r="F21" s="60" t="s">
        <v>29</v>
      </c>
      <c r="G21" s="47">
        <v>3</v>
      </c>
      <c r="H21" s="135">
        <f>IF(B$17=0,0,G21/B$17)</f>
        <v>5.2816901408450703E-3</v>
      </c>
      <c r="I21" s="96">
        <v>3</v>
      </c>
      <c r="K21" s="38">
        <v>19</v>
      </c>
      <c r="L21" s="101">
        <v>30.999999999999996</v>
      </c>
      <c r="N21" s="117" t="s">
        <v>128</v>
      </c>
      <c r="O21" s="127">
        <f>IF(P21=0,0,Q21/P21)</f>
        <v>2.6915094339622625</v>
      </c>
      <c r="P21" s="121">
        <v>106</v>
      </c>
      <c r="Q21" s="109">
        <v>285.29999999999984</v>
      </c>
    </row>
    <row r="22" spans="1:17" x14ac:dyDescent="0.4">
      <c r="A22" s="55" t="s">
        <v>195</v>
      </c>
      <c r="B22" s="47">
        <v>31</v>
      </c>
      <c r="C22" s="137">
        <v>4</v>
      </c>
      <c r="E22" s="63" t="s">
        <v>75</v>
      </c>
      <c r="F22" s="60" t="s">
        <v>30</v>
      </c>
      <c r="G22" s="47">
        <v>2</v>
      </c>
      <c r="H22" s="135">
        <f>IF(B$17=0,0,G22/B$17)</f>
        <v>3.5211267605633804E-3</v>
      </c>
      <c r="I22" s="96">
        <v>2</v>
      </c>
      <c r="K22" s="38">
        <v>20</v>
      </c>
      <c r="L22" s="101">
        <v>0.79999999999999716</v>
      </c>
      <c r="N22" s="117" t="s">
        <v>173</v>
      </c>
      <c r="O22" s="127">
        <f>IF(P22=0,0,Q22/P22)</f>
        <v>-3.7295454545454563</v>
      </c>
      <c r="P22" s="121">
        <v>44</v>
      </c>
      <c r="Q22" s="109">
        <v>-164.10000000000008</v>
      </c>
    </row>
    <row r="23" spans="1:17" x14ac:dyDescent="0.4">
      <c r="A23" s="55" t="s">
        <v>5</v>
      </c>
      <c r="B23" s="51">
        <f>IF(B$17=0,0,C23/B$17)</f>
        <v>8172.1830985915494</v>
      </c>
      <c r="C23" s="41">
        <v>4641800</v>
      </c>
      <c r="E23" s="63" t="s">
        <v>78</v>
      </c>
      <c r="F23" s="60" t="s">
        <v>33</v>
      </c>
      <c r="G23" s="47">
        <v>2</v>
      </c>
      <c r="H23" s="135">
        <f>IF(B$17=0,0,G23/B$17)</f>
        <v>3.5211267605633804E-3</v>
      </c>
      <c r="I23" s="96">
        <v>3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-7893.3534743202417</v>
      </c>
      <c r="C24" s="45">
        <v>-2612700</v>
      </c>
      <c r="E24" s="63" t="s">
        <v>93</v>
      </c>
      <c r="F24" s="60" t="s">
        <v>48</v>
      </c>
      <c r="G24" s="47">
        <v>2</v>
      </c>
      <c r="H24" s="135">
        <f>IF(B$17=0,0,G24/B$17)</f>
        <v>3.5211267605633804E-3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-38.024999999999991</v>
      </c>
      <c r="P24" s="121">
        <v>104</v>
      </c>
      <c r="Q24" s="109">
        <v>-3954.599999999999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1</v>
      </c>
      <c r="H25" s="135">
        <f>IF(B$17=0,0,G25/B$17)</f>
        <v>1.7605633802816902E-3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105900</v>
      </c>
      <c r="C26" s="141"/>
      <c r="E26" s="63" t="s">
        <v>86</v>
      </c>
      <c r="F26" s="60" t="s">
        <v>41</v>
      </c>
      <c r="G26" s="47">
        <v>1</v>
      </c>
      <c r="H26" s="135">
        <f>IF(B$17=0,0,G26/B$17)</f>
        <v>1.7605633802816902E-3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7</v>
      </c>
      <c r="C27" s="42">
        <f>IF(B$3=0,0,B27/B$3)</f>
        <v>3.6687631027253671E-3</v>
      </c>
      <c r="E27" s="63" t="s">
        <v>88</v>
      </c>
      <c r="F27" s="60" t="s">
        <v>43</v>
      </c>
      <c r="G27" s="47">
        <v>1</v>
      </c>
      <c r="H27" s="135">
        <f>IF(B$17=0,0,G27/B$17)</f>
        <v>1.7605633802816902E-3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89</v>
      </c>
      <c r="F28" s="60" t="s">
        <v>44</v>
      </c>
      <c r="G28" s="47">
        <v>1</v>
      </c>
      <c r="H28" s="135">
        <f>IF(B$17=0,0,G28/B$17)</f>
        <v>1.7605633802816902E-3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1.7605633802816902E-3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96</v>
      </c>
      <c r="F30" s="60" t="s">
        <v>51</v>
      </c>
      <c r="G30" s="47">
        <v>1</v>
      </c>
      <c r="H30" s="135">
        <f>IF(B$17=0,0,G30/B$17)</f>
        <v>1.7605633802816902E-3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77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81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38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94</v>
      </c>
      <c r="F34" s="60" t="s">
        <v>49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  <row r="222" spans="11:12" x14ac:dyDescent="0.4">
      <c r="K222" s="38">
        <v>220</v>
      </c>
      <c r="L222" s="101">
        <v>-28.599999999999994</v>
      </c>
    </row>
    <row r="223" spans="11:12" x14ac:dyDescent="0.4">
      <c r="K223" s="38">
        <v>221</v>
      </c>
      <c r="L223" s="101">
        <v>1.3000000000000043</v>
      </c>
    </row>
    <row r="224" spans="11:12" x14ac:dyDescent="0.4">
      <c r="K224" s="38">
        <v>222</v>
      </c>
      <c r="L224" s="101">
        <v>4.2188474935755949E-15</v>
      </c>
    </row>
    <row r="225" spans="11:12" x14ac:dyDescent="0.4">
      <c r="K225" s="38">
        <v>223</v>
      </c>
      <c r="L225" s="101">
        <v>-26.299999999999997</v>
      </c>
    </row>
    <row r="226" spans="11:12" x14ac:dyDescent="0.4">
      <c r="K226" s="38">
        <v>224</v>
      </c>
      <c r="L226" s="101">
        <v>4.1000000000000014</v>
      </c>
    </row>
    <row r="227" spans="11:12" x14ac:dyDescent="0.4">
      <c r="K227" s="38">
        <v>225</v>
      </c>
      <c r="L227" s="101">
        <v>1.7763568394002505E-15</v>
      </c>
    </row>
    <row r="228" spans="11:12" x14ac:dyDescent="0.4">
      <c r="K228" s="38">
        <v>226</v>
      </c>
      <c r="L228" s="101">
        <v>-39.5</v>
      </c>
    </row>
    <row r="229" spans="11:12" x14ac:dyDescent="0.4">
      <c r="K229" s="38">
        <v>227</v>
      </c>
      <c r="L229" s="101">
        <v>-33.700000000000003</v>
      </c>
    </row>
    <row r="230" spans="11:12" x14ac:dyDescent="0.4">
      <c r="K230" s="38">
        <v>228</v>
      </c>
      <c r="L230" s="101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28DD-CC6E-443C-A87D-0F35C3C26EA1}">
  <sheetPr codeName="Sheet7"/>
  <dimension ref="A1:Q5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52</v>
      </c>
      <c r="C2" s="149"/>
      <c r="E2" s="62" t="s">
        <v>67</v>
      </c>
      <c r="F2" s="59" t="s">
        <v>23</v>
      </c>
      <c r="G2" s="46">
        <v>139</v>
      </c>
      <c r="H2" s="134">
        <f>IF(B$17=0,0,G2/B$17)</f>
        <v>0.80813953488372092</v>
      </c>
      <c r="I2" s="95">
        <v>4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4340.3846153846152</v>
      </c>
      <c r="P2" s="120">
        <v>52</v>
      </c>
      <c r="Q2" s="104">
        <v>225700</v>
      </c>
    </row>
    <row r="3" spans="1:17" x14ac:dyDescent="0.4">
      <c r="A3" s="55" t="s">
        <v>8</v>
      </c>
      <c r="B3" s="150">
        <v>415</v>
      </c>
      <c r="C3" s="151"/>
      <c r="E3" s="63" t="s">
        <v>73</v>
      </c>
      <c r="F3" s="60" t="s">
        <v>28</v>
      </c>
      <c r="G3" s="47">
        <v>98</v>
      </c>
      <c r="H3" s="135">
        <f>IF(B$17=0,0,G3/B$17)</f>
        <v>0.56976744186046513</v>
      </c>
      <c r="I3" s="96">
        <v>5</v>
      </c>
      <c r="K3" s="38">
        <v>1</v>
      </c>
      <c r="L3" s="101">
        <v>-5.0999999999999996</v>
      </c>
      <c r="N3" s="117" t="s">
        <v>133</v>
      </c>
      <c r="O3" s="124">
        <f t="shared" si="0"/>
        <v>3831.372549019608</v>
      </c>
      <c r="P3" s="121">
        <v>51</v>
      </c>
      <c r="Q3" s="105">
        <v>195400</v>
      </c>
    </row>
    <row r="4" spans="1:17" x14ac:dyDescent="0.4">
      <c r="A4" s="55" t="s">
        <v>6</v>
      </c>
      <c r="B4" s="152">
        <v>1318.2</v>
      </c>
      <c r="C4" s="153"/>
      <c r="E4" s="63" t="s">
        <v>65</v>
      </c>
      <c r="F4" s="60" t="s">
        <v>21</v>
      </c>
      <c r="G4" s="47">
        <v>88</v>
      </c>
      <c r="H4" s="135">
        <f>IF(B$17=0,0,G4/B$17)</f>
        <v>0.51162790697674421</v>
      </c>
      <c r="I4" s="96">
        <v>5</v>
      </c>
      <c r="K4" s="38">
        <v>2</v>
      </c>
      <c r="L4" s="101">
        <v>-2.8999999999999995</v>
      </c>
      <c r="N4" s="117" t="s">
        <v>134</v>
      </c>
      <c r="O4" s="124">
        <f t="shared" si="0"/>
        <v>3280.8510638297871</v>
      </c>
      <c r="P4" s="121">
        <v>47</v>
      </c>
      <c r="Q4" s="105">
        <v>154200</v>
      </c>
    </row>
    <row r="5" spans="1:17" x14ac:dyDescent="0.4">
      <c r="A5" s="55" t="s">
        <v>7</v>
      </c>
      <c r="B5" s="154">
        <f>IF(B$2=0,0,B$4/B$2)</f>
        <v>25.35</v>
      </c>
      <c r="C5" s="155"/>
      <c r="E5" s="63" t="s">
        <v>182</v>
      </c>
      <c r="F5" s="60" t="s">
        <v>183</v>
      </c>
      <c r="G5" s="47">
        <v>75</v>
      </c>
      <c r="H5" s="135">
        <f>IF(B$17=0,0,G5/B$17)</f>
        <v>0.43604651162790697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3287.8048780487807</v>
      </c>
      <c r="P5" s="121">
        <v>41</v>
      </c>
      <c r="Q5" s="105">
        <v>134800</v>
      </c>
    </row>
    <row r="6" spans="1:17" x14ac:dyDescent="0.4">
      <c r="A6" s="55" t="s">
        <v>1</v>
      </c>
      <c r="B6" s="144">
        <f>IF(B$2=0,0,(B$7*1+B$8*2+B$9*3)/B$2)</f>
        <v>1.5</v>
      </c>
      <c r="C6" s="145"/>
      <c r="E6" s="63" t="s">
        <v>68</v>
      </c>
      <c r="F6" s="60" t="s">
        <v>24</v>
      </c>
      <c r="G6" s="47">
        <v>56</v>
      </c>
      <c r="H6" s="135">
        <f>IF(B$17=0,0,G6/B$17)</f>
        <v>0.32558139534883723</v>
      </c>
      <c r="I6" s="96">
        <v>4</v>
      </c>
      <c r="K6" s="38">
        <v>4</v>
      </c>
      <c r="L6" s="101">
        <v>110.5</v>
      </c>
      <c r="N6" s="117" t="s">
        <v>136</v>
      </c>
      <c r="O6" s="124">
        <f t="shared" si="0"/>
        <v>1721.0526315789473</v>
      </c>
      <c r="P6" s="121">
        <v>38</v>
      </c>
      <c r="Q6" s="105">
        <v>65400</v>
      </c>
    </row>
    <row r="7" spans="1:17" x14ac:dyDescent="0.4">
      <c r="A7" s="55" t="s">
        <v>2</v>
      </c>
      <c r="B7" s="47">
        <v>32</v>
      </c>
      <c r="C7" s="39">
        <f>IF(B$2=0,0,B7/B$2)</f>
        <v>0.61538461538461542</v>
      </c>
      <c r="E7" s="63" t="s">
        <v>69</v>
      </c>
      <c r="F7" s="60" t="s">
        <v>12</v>
      </c>
      <c r="G7" s="47">
        <v>37</v>
      </c>
      <c r="H7" s="135">
        <f>IF(B$17=0,0,G7/B$17)</f>
        <v>0.21511627906976744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491.66666666666669</v>
      </c>
      <c r="P7" s="122">
        <v>36</v>
      </c>
      <c r="Q7" s="106">
        <v>17700</v>
      </c>
    </row>
    <row r="8" spans="1:17" x14ac:dyDescent="0.4">
      <c r="A8" s="55" t="s">
        <v>3</v>
      </c>
      <c r="B8" s="47">
        <v>14</v>
      </c>
      <c r="C8" s="39">
        <f>IF(B$2=0,0,B8/B$2)</f>
        <v>0.26923076923076922</v>
      </c>
      <c r="E8" s="63" t="s">
        <v>90</v>
      </c>
      <c r="F8" s="60" t="s">
        <v>45</v>
      </c>
      <c r="G8" s="47">
        <v>31</v>
      </c>
      <c r="H8" s="135">
        <f>IF(B$17=0,0,G8/B$17)</f>
        <v>0.18023255813953487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0.11538461538461539</v>
      </c>
      <c r="E9" s="63" t="s">
        <v>70</v>
      </c>
      <c r="F9" s="60" t="s">
        <v>25</v>
      </c>
      <c r="G9" s="47">
        <v>30</v>
      </c>
      <c r="H9" s="135">
        <f>IF(B$17=0,0,G9/B$17)</f>
        <v>0.1744186046511628</v>
      </c>
      <c r="I9" s="96">
        <v>7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1.9230769230769232E-2</v>
      </c>
      <c r="E10" s="63" t="s">
        <v>66</v>
      </c>
      <c r="F10" s="60" t="s">
        <v>22</v>
      </c>
      <c r="G10" s="47">
        <v>25</v>
      </c>
      <c r="H10" s="135">
        <f>IF(B$17=0,0,G10/B$17)</f>
        <v>0.14534883720930233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17.606666666666666</v>
      </c>
      <c r="P10" s="120">
        <v>15</v>
      </c>
      <c r="Q10" s="108">
        <v>264.09999999999997</v>
      </c>
    </row>
    <row r="11" spans="1:17" x14ac:dyDescent="0.4">
      <c r="A11" s="56" t="s">
        <v>140</v>
      </c>
      <c r="B11" s="48">
        <v>11</v>
      </c>
      <c r="C11" s="40">
        <f>IF(B$2=0,0,B11/B$2)</f>
        <v>0.21153846153846154</v>
      </c>
      <c r="E11" s="63" t="s">
        <v>87</v>
      </c>
      <c r="F11" s="60" t="s">
        <v>42</v>
      </c>
      <c r="G11" s="47">
        <v>15</v>
      </c>
      <c r="H11" s="135">
        <f>IF(B$17=0,0,G11/B$17)</f>
        <v>8.7209302325581398E-2</v>
      </c>
      <c r="I11" s="96">
        <v>2</v>
      </c>
      <c r="K11" s="38">
        <v>9</v>
      </c>
      <c r="L11" s="101">
        <v>277.90000000000003</v>
      </c>
      <c r="N11" s="117" t="s">
        <v>166</v>
      </c>
      <c r="O11" s="127">
        <f>IF(P11=0,0,Q11/P11)</f>
        <v>19.166666666666668</v>
      </c>
      <c r="P11" s="121">
        <v>15</v>
      </c>
      <c r="Q11" s="109">
        <v>287.5</v>
      </c>
    </row>
    <row r="12" spans="1:17" x14ac:dyDescent="0.4">
      <c r="A12" s="57" t="s">
        <v>160</v>
      </c>
      <c r="B12" s="49">
        <v>10</v>
      </c>
      <c r="C12" s="42">
        <f>IF(B$2=0,0,B12/B$2)</f>
        <v>0.19230769230769232</v>
      </c>
      <c r="E12" s="63" t="s">
        <v>71</v>
      </c>
      <c r="F12" s="60" t="s">
        <v>26</v>
      </c>
      <c r="G12" s="47">
        <v>14</v>
      </c>
      <c r="H12" s="135">
        <f>IF(B$17=0,0,G12/B$17)</f>
        <v>8.1395348837209308E-2</v>
      </c>
      <c r="I12" s="96">
        <v>7</v>
      </c>
      <c r="K12" s="38">
        <v>10</v>
      </c>
      <c r="L12" s="101">
        <v>246.20000000000005</v>
      </c>
      <c r="N12" s="118" t="s">
        <v>167</v>
      </c>
      <c r="O12" s="128">
        <f>IF(P12=0,0,Q12/P12)</f>
        <v>34.845454545454551</v>
      </c>
      <c r="P12" s="122">
        <v>22</v>
      </c>
      <c r="Q12" s="110">
        <v>766.60000000000014</v>
      </c>
    </row>
    <row r="13" spans="1:17" x14ac:dyDescent="0.4">
      <c r="A13" s="58" t="s">
        <v>122</v>
      </c>
      <c r="B13" s="50">
        <v>139</v>
      </c>
      <c r="C13" s="44">
        <f>IF(B$3=0,0,B13/B$3)</f>
        <v>0.33493975903614459</v>
      </c>
      <c r="E13" s="63" t="s">
        <v>72</v>
      </c>
      <c r="F13" s="60" t="s">
        <v>27</v>
      </c>
      <c r="G13" s="47">
        <v>10</v>
      </c>
      <c r="H13" s="135">
        <f>IF(B$17=0,0,G13/B$17)</f>
        <v>5.8139534883720929E-2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104</v>
      </c>
      <c r="C14" s="39">
        <f>IF(B$3=0,0,B14/B$3)</f>
        <v>0.25060240963855424</v>
      </c>
      <c r="E14" s="63" t="s">
        <v>84</v>
      </c>
      <c r="F14" s="60" t="s">
        <v>39</v>
      </c>
      <c r="G14" s="47">
        <v>10</v>
      </c>
      <c r="H14" s="135">
        <f>IF(B$17=0,0,G14/B$17)</f>
        <v>5.8139534883720929E-2</v>
      </c>
      <c r="I14" s="96">
        <v>2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89</v>
      </c>
      <c r="C15" s="37">
        <f>IF(B$13=0,0,B15/B$13)</f>
        <v>0.64028776978417268</v>
      </c>
      <c r="E15" s="63" t="s">
        <v>82</v>
      </c>
      <c r="F15" s="60" t="s">
        <v>37</v>
      </c>
      <c r="G15" s="47">
        <v>4</v>
      </c>
      <c r="H15" s="135">
        <f>IF(B$17=0,0,G15/B$17)</f>
        <v>2.3255813953488372E-2</v>
      </c>
      <c r="I15" s="96">
        <v>5</v>
      </c>
      <c r="K15" s="38">
        <v>13</v>
      </c>
      <c r="L15" s="101">
        <v>418.90000000000003</v>
      </c>
      <c r="N15" s="116" t="s">
        <v>186</v>
      </c>
      <c r="O15" s="126">
        <f>IF(P15=0,0,Q15/P15)</f>
        <v>69.2</v>
      </c>
      <c r="P15" s="120">
        <v>1</v>
      </c>
      <c r="Q15" s="108">
        <v>69.2</v>
      </c>
    </row>
    <row r="16" spans="1:17" x14ac:dyDescent="0.4">
      <c r="A16" s="54" t="s">
        <v>125</v>
      </c>
      <c r="B16" s="46">
        <v>58</v>
      </c>
      <c r="C16" s="37">
        <f>IF(B$14=0,0,B16/B$14)</f>
        <v>0.55769230769230771</v>
      </c>
      <c r="E16" s="63" t="s">
        <v>79</v>
      </c>
      <c r="F16" s="60" t="s">
        <v>34</v>
      </c>
      <c r="G16" s="47">
        <v>3</v>
      </c>
      <c r="H16" s="135">
        <f>IF(B$17=0,0,G16/B$17)</f>
        <v>1.7441860465116279E-2</v>
      </c>
      <c r="I16" s="96">
        <v>5</v>
      </c>
      <c r="K16" s="38">
        <v>14</v>
      </c>
      <c r="L16" s="101">
        <v>473.50000000000006</v>
      </c>
      <c r="N16" s="117" t="s">
        <v>174</v>
      </c>
      <c r="O16" s="127">
        <f>IF(P16=0,0,Q16/P16)</f>
        <v>58.237499999999997</v>
      </c>
      <c r="P16" s="121">
        <v>8</v>
      </c>
      <c r="Q16" s="109">
        <v>465.9</v>
      </c>
    </row>
    <row r="17" spans="1:17" x14ac:dyDescent="0.4">
      <c r="A17" s="54" t="s">
        <v>10</v>
      </c>
      <c r="B17" s="46">
        <f>B19+B18</f>
        <v>172</v>
      </c>
      <c r="C17" s="37">
        <f>IF(B$3=0,0,B17/B$3)</f>
        <v>0.41445783132530123</v>
      </c>
      <c r="E17" s="63" t="s">
        <v>74</v>
      </c>
      <c r="F17" s="60" t="s">
        <v>29</v>
      </c>
      <c r="G17" s="47">
        <v>2</v>
      </c>
      <c r="H17" s="135">
        <f>IF(B$17=0,0,G17/B$17)</f>
        <v>1.1627906976744186E-2</v>
      </c>
      <c r="I17" s="96">
        <v>1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68</v>
      </c>
      <c r="C18" s="39">
        <f>IF(B$17=0,0,B18/B$17)</f>
        <v>0.39534883720930231</v>
      </c>
      <c r="E18" s="63" t="s">
        <v>92</v>
      </c>
      <c r="F18" s="60" t="s">
        <v>47</v>
      </c>
      <c r="G18" s="47">
        <v>2</v>
      </c>
      <c r="H18" s="135">
        <f>IF(B$17=0,0,G18/B$17)</f>
        <v>1.1627906976744186E-2</v>
      </c>
      <c r="I18" s="96">
        <v>6</v>
      </c>
      <c r="K18" s="38">
        <v>16</v>
      </c>
      <c r="L18" s="101">
        <v>425.50000000000006</v>
      </c>
      <c r="N18" s="117" t="s">
        <v>129</v>
      </c>
      <c r="O18" s="127">
        <f>IF(P18=0,0,Q18/P18)</f>
        <v>54.900000000000006</v>
      </c>
      <c r="P18" s="121">
        <v>13</v>
      </c>
      <c r="Q18" s="109">
        <v>713.7</v>
      </c>
    </row>
    <row r="19" spans="1:17" x14ac:dyDescent="0.4">
      <c r="A19" s="55" t="s">
        <v>11</v>
      </c>
      <c r="B19" s="47">
        <v>104</v>
      </c>
      <c r="C19" s="39">
        <f>IF(B$17=0,0,B19/B$17)</f>
        <v>0.60465116279069764</v>
      </c>
      <c r="E19" s="63" t="s">
        <v>76</v>
      </c>
      <c r="F19" s="60" t="s">
        <v>31</v>
      </c>
      <c r="G19" s="47">
        <v>1</v>
      </c>
      <c r="H19" s="135">
        <f>IF(B$17=0,0,G19/B$17)</f>
        <v>5.8139534883720929E-3</v>
      </c>
      <c r="I19" s="96">
        <v>5</v>
      </c>
      <c r="K19" s="38">
        <v>17</v>
      </c>
      <c r="L19" s="101">
        <v>427.40000000000003</v>
      </c>
      <c r="N19" s="117" t="s">
        <v>178</v>
      </c>
      <c r="O19" s="127">
        <f>IF(P19=0,0,Q19/P19)</f>
        <v>48.9375</v>
      </c>
      <c r="P19" s="121">
        <v>8</v>
      </c>
      <c r="Q19" s="109">
        <v>391.5</v>
      </c>
    </row>
    <row r="20" spans="1:17" x14ac:dyDescent="0.4">
      <c r="A20" s="55" t="s">
        <v>13</v>
      </c>
      <c r="B20" s="47">
        <v>59</v>
      </c>
      <c r="C20" s="39">
        <f>IF(B$3=0,0,B20/B$3)</f>
        <v>0.14216867469879518</v>
      </c>
      <c r="E20" s="63" t="s">
        <v>78</v>
      </c>
      <c r="F20" s="60" t="s">
        <v>33</v>
      </c>
      <c r="G20" s="47">
        <v>1</v>
      </c>
      <c r="H20" s="135">
        <f>IF(B$17=0,0,G20/B$17)</f>
        <v>5.8139534883720929E-3</v>
      </c>
      <c r="I20" s="96">
        <v>2</v>
      </c>
      <c r="K20" s="38">
        <v>18</v>
      </c>
      <c r="L20" s="101">
        <v>429.3</v>
      </c>
      <c r="N20" s="117" t="s">
        <v>173</v>
      </c>
      <c r="O20" s="127">
        <f>IF(P20=0,0,Q20/P20)</f>
        <v>39.800000000000004</v>
      </c>
      <c r="P20" s="121">
        <v>10</v>
      </c>
      <c r="Q20" s="109">
        <v>398.00000000000006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80</v>
      </c>
      <c r="F21" s="60" t="s">
        <v>35</v>
      </c>
      <c r="G21" s="47">
        <v>1</v>
      </c>
      <c r="H21" s="135">
        <f>IF(B$17=0,0,G21/B$17)</f>
        <v>5.8139534883720929E-3</v>
      </c>
      <c r="I21" s="96">
        <v>5</v>
      </c>
      <c r="K21" s="38">
        <v>19</v>
      </c>
      <c r="L21" s="101">
        <v>405.40000000000003</v>
      </c>
      <c r="N21" s="117" t="s">
        <v>172</v>
      </c>
      <c r="O21" s="127">
        <f>IF(P21=0,0,Q21/P21)</f>
        <v>29.414285714285711</v>
      </c>
      <c r="P21" s="121">
        <v>21</v>
      </c>
      <c r="Q21" s="109">
        <v>617.69999999999993</v>
      </c>
    </row>
    <row r="22" spans="1:17" x14ac:dyDescent="0.4">
      <c r="A22" s="55" t="s">
        <v>195</v>
      </c>
      <c r="B22" s="47">
        <v>27</v>
      </c>
      <c r="C22" s="137">
        <v>4</v>
      </c>
      <c r="E22" s="63" t="s">
        <v>88</v>
      </c>
      <c r="F22" s="60" t="s">
        <v>43</v>
      </c>
      <c r="G22" s="47">
        <v>1</v>
      </c>
      <c r="H22" s="135">
        <f>IF(B$17=0,0,G22/B$17)</f>
        <v>5.8139534883720929E-3</v>
      </c>
      <c r="I22" s="96">
        <v>1</v>
      </c>
      <c r="K22" s="38">
        <v>20</v>
      </c>
      <c r="L22" s="101">
        <v>469.6</v>
      </c>
      <c r="N22" s="117" t="s">
        <v>128</v>
      </c>
      <c r="O22" s="127">
        <f>IF(P22=0,0,Q22/P22)</f>
        <v>27.471794871794874</v>
      </c>
      <c r="P22" s="121">
        <v>39</v>
      </c>
      <c r="Q22" s="109">
        <v>1071.4000000000001</v>
      </c>
    </row>
    <row r="23" spans="1:17" x14ac:dyDescent="0.4">
      <c r="A23" s="55" t="s">
        <v>5</v>
      </c>
      <c r="B23" s="51">
        <f>IF(B$17=0,0,C23/B$17)</f>
        <v>9091.2790697674427</v>
      </c>
      <c r="C23" s="41">
        <v>1563700</v>
      </c>
      <c r="E23" s="63" t="s">
        <v>91</v>
      </c>
      <c r="F23" s="60" t="s">
        <v>46</v>
      </c>
      <c r="G23" s="47">
        <v>1</v>
      </c>
      <c r="H23" s="135">
        <f>IF(B$17=0,0,G23/B$17)</f>
        <v>5.8139534883720929E-3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-7961.0169491525421</v>
      </c>
      <c r="C24" s="45">
        <v>-469700</v>
      </c>
      <c r="E24" s="63" t="s">
        <v>96</v>
      </c>
      <c r="F24" s="60" t="s">
        <v>51</v>
      </c>
      <c r="G24" s="47">
        <v>1</v>
      </c>
      <c r="H24" s="135">
        <f>IF(B$17=0,0,G24/B$17)</f>
        <v>5.8139534883720929E-3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75</v>
      </c>
      <c r="F25" s="60" t="s">
        <v>30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105900</v>
      </c>
      <c r="C26" s="141"/>
      <c r="E26" s="63" t="s">
        <v>77</v>
      </c>
      <c r="F26" s="60" t="s">
        <v>32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81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38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40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596.30000000000007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89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93</v>
      </c>
      <c r="F32" s="60" t="s">
        <v>48</v>
      </c>
      <c r="G32" s="47">
        <v>0</v>
      </c>
      <c r="H32" s="135">
        <f>IF(B$17=0,0,G32/B$17)</f>
        <v>0</v>
      </c>
      <c r="I32" s="96">
        <v>4</v>
      </c>
      <c r="K32" s="38">
        <v>30</v>
      </c>
      <c r="L32" s="101">
        <v>733.6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796.80000000000007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  <c r="K51" s="38">
        <v>49</v>
      </c>
      <c r="L51" s="101">
        <v>1289.8999999999999</v>
      </c>
    </row>
    <row r="52" spans="5:12" x14ac:dyDescent="0.4">
      <c r="K52" s="38">
        <v>50</v>
      </c>
      <c r="L52" s="101">
        <v>1288.5999999999999</v>
      </c>
    </row>
    <row r="53" spans="5:12" x14ac:dyDescent="0.4">
      <c r="K53" s="38">
        <v>51</v>
      </c>
      <c r="L53" s="101">
        <v>1284.5</v>
      </c>
    </row>
    <row r="54" spans="5:12" x14ac:dyDescent="0.4">
      <c r="K54" s="38">
        <v>52</v>
      </c>
      <c r="L54" s="101">
        <v>1318.2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0DD14-159D-4074-839E-388587269B0E}">
  <sheetPr codeName="Sheet9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53</v>
      </c>
      <c r="C2" s="149"/>
      <c r="E2" s="62" t="s">
        <v>67</v>
      </c>
      <c r="F2" s="59" t="s">
        <v>23</v>
      </c>
      <c r="G2" s="46">
        <v>81</v>
      </c>
      <c r="H2" s="134">
        <f>IF(B$17=0,0,G2/B$17)</f>
        <v>0.64800000000000002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673.58490566037733</v>
      </c>
      <c r="P2" s="120">
        <v>53</v>
      </c>
      <c r="Q2" s="104">
        <v>35700</v>
      </c>
    </row>
    <row r="3" spans="1:17" x14ac:dyDescent="0.4">
      <c r="A3" s="55" t="s">
        <v>8</v>
      </c>
      <c r="B3" s="150">
        <v>450</v>
      </c>
      <c r="C3" s="151"/>
      <c r="E3" s="63" t="s">
        <v>65</v>
      </c>
      <c r="F3" s="60" t="s">
        <v>21</v>
      </c>
      <c r="G3" s="47">
        <v>71</v>
      </c>
      <c r="H3" s="135">
        <f>IF(B$17=0,0,G3/B$17)</f>
        <v>0.56799999999999995</v>
      </c>
      <c r="I3" s="96">
        <v>3</v>
      </c>
      <c r="K3" s="38">
        <v>1</v>
      </c>
      <c r="L3" s="101">
        <v>45.5</v>
      </c>
      <c r="N3" s="117" t="s">
        <v>133</v>
      </c>
      <c r="O3" s="124">
        <f t="shared" si="0"/>
        <v>-1426.9230769230769</v>
      </c>
      <c r="P3" s="121">
        <v>52</v>
      </c>
      <c r="Q3" s="105">
        <v>-74200</v>
      </c>
    </row>
    <row r="4" spans="1:17" x14ac:dyDescent="0.4">
      <c r="A4" s="55" t="s">
        <v>6</v>
      </c>
      <c r="B4" s="152">
        <v>-95.100000000000037</v>
      </c>
      <c r="C4" s="153"/>
      <c r="E4" s="63" t="s">
        <v>73</v>
      </c>
      <c r="F4" s="60" t="s">
        <v>28</v>
      </c>
      <c r="G4" s="47">
        <v>54</v>
      </c>
      <c r="H4" s="135">
        <f>IF(B$17=0,0,G4/B$17)</f>
        <v>0.432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-1114</v>
      </c>
      <c r="P4" s="121">
        <v>50</v>
      </c>
      <c r="Q4" s="105">
        <v>-55700</v>
      </c>
    </row>
    <row r="5" spans="1:17" x14ac:dyDescent="0.4">
      <c r="A5" s="55" t="s">
        <v>7</v>
      </c>
      <c r="B5" s="154">
        <f>IF(B$2=0,0,B$4/B$2)</f>
        <v>-1.79433962264151</v>
      </c>
      <c r="C5" s="155"/>
      <c r="E5" s="63" t="s">
        <v>182</v>
      </c>
      <c r="F5" s="60" t="s">
        <v>183</v>
      </c>
      <c r="G5" s="47">
        <v>52</v>
      </c>
      <c r="H5" s="135">
        <f>IF(B$17=0,0,G5/B$17)</f>
        <v>0.41599999999999998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293.18181818181819</v>
      </c>
      <c r="P5" s="121">
        <v>44</v>
      </c>
      <c r="Q5" s="105">
        <v>12900</v>
      </c>
    </row>
    <row r="6" spans="1:17" x14ac:dyDescent="0.4">
      <c r="A6" s="55" t="s">
        <v>1</v>
      </c>
      <c r="B6" s="144">
        <f>IF(B$2=0,0,(B$7*1+B$8*2+B$9*3)/B$2)</f>
        <v>2.0754716981132075</v>
      </c>
      <c r="C6" s="145"/>
      <c r="E6" s="63" t="s">
        <v>68</v>
      </c>
      <c r="F6" s="60" t="s">
        <v>24</v>
      </c>
      <c r="G6" s="47">
        <v>44</v>
      </c>
      <c r="H6" s="135">
        <f>IF(B$17=0,0,G6/B$17)</f>
        <v>0.35199999999999998</v>
      </c>
      <c r="I6" s="96">
        <v>3</v>
      </c>
      <c r="K6" s="38">
        <v>4</v>
      </c>
      <c r="L6" s="101">
        <v>13.599999999999994</v>
      </c>
      <c r="N6" s="117" t="s">
        <v>136</v>
      </c>
      <c r="O6" s="124">
        <f t="shared" si="0"/>
        <v>959.52380952380952</v>
      </c>
      <c r="P6" s="121">
        <v>42</v>
      </c>
      <c r="Q6" s="105">
        <v>40300</v>
      </c>
    </row>
    <row r="7" spans="1:17" x14ac:dyDescent="0.4">
      <c r="A7" s="55" t="s">
        <v>2</v>
      </c>
      <c r="B7" s="47">
        <v>14</v>
      </c>
      <c r="C7" s="39">
        <f>IF(B$2=0,0,B7/B$2)</f>
        <v>0.26415094339622641</v>
      </c>
      <c r="E7" s="63" t="s">
        <v>69</v>
      </c>
      <c r="F7" s="60" t="s">
        <v>12</v>
      </c>
      <c r="G7" s="47">
        <v>44</v>
      </c>
      <c r="H7" s="135">
        <f>IF(B$17=0,0,G7/B$17)</f>
        <v>0.35199999999999998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647.5</v>
      </c>
      <c r="P7" s="122">
        <v>40</v>
      </c>
      <c r="Q7" s="106">
        <v>25900</v>
      </c>
    </row>
    <row r="8" spans="1:17" x14ac:dyDescent="0.4">
      <c r="A8" s="55" t="s">
        <v>3</v>
      </c>
      <c r="B8" s="47">
        <v>21</v>
      </c>
      <c r="C8" s="39">
        <f>IF(B$2=0,0,B8/B$2)</f>
        <v>0.39622641509433965</v>
      </c>
      <c r="E8" s="63" t="s">
        <v>70</v>
      </c>
      <c r="F8" s="60" t="s">
        <v>25</v>
      </c>
      <c r="G8" s="47">
        <v>26</v>
      </c>
      <c r="H8" s="135">
        <f>IF(B$17=0,0,G8/B$17)</f>
        <v>0.20799999999999999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18</v>
      </c>
      <c r="C9" s="40">
        <f t="shared" ref="C9" si="1">IF(B$2=0,0,B9/B$2)</f>
        <v>0.33962264150943394</v>
      </c>
      <c r="E9" s="63" t="s">
        <v>71</v>
      </c>
      <c r="F9" s="60" t="s">
        <v>26</v>
      </c>
      <c r="G9" s="47">
        <v>19</v>
      </c>
      <c r="H9" s="135">
        <f>IF(B$17=0,0,G9/B$17)</f>
        <v>0.152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0.13207547169811321</v>
      </c>
      <c r="E10" s="63" t="s">
        <v>66</v>
      </c>
      <c r="F10" s="60" t="s">
        <v>22</v>
      </c>
      <c r="G10" s="47">
        <v>16</v>
      </c>
      <c r="H10" s="135">
        <f>IF(B$17=0,0,G10/B$17)</f>
        <v>0.128</v>
      </c>
      <c r="I10" s="96">
        <v>5</v>
      </c>
      <c r="K10" s="38">
        <v>8</v>
      </c>
      <c r="L10" s="101">
        <v>-49.6</v>
      </c>
      <c r="N10" s="116" t="s">
        <v>165</v>
      </c>
      <c r="O10" s="126">
        <f>IF(P10=0,0,Q10/P10)</f>
        <v>-2.6275862068965532</v>
      </c>
      <c r="P10" s="120">
        <v>29</v>
      </c>
      <c r="Q10" s="108">
        <v>-76.200000000000045</v>
      </c>
    </row>
    <row r="11" spans="1:17" x14ac:dyDescent="0.4">
      <c r="A11" s="56" t="s">
        <v>140</v>
      </c>
      <c r="B11" s="48">
        <v>4</v>
      </c>
      <c r="C11" s="40">
        <f>IF(B$2=0,0,B11/B$2)</f>
        <v>7.5471698113207544E-2</v>
      </c>
      <c r="E11" s="63" t="s">
        <v>90</v>
      </c>
      <c r="F11" s="60" t="s">
        <v>45</v>
      </c>
      <c r="G11" s="47">
        <v>11</v>
      </c>
      <c r="H11" s="135">
        <f>IF(B$17=0,0,G11/B$17)</f>
        <v>8.7999999999999995E-2</v>
      </c>
      <c r="I11" s="96">
        <v>10</v>
      </c>
      <c r="K11" s="38">
        <v>9</v>
      </c>
      <c r="L11" s="101">
        <v>-79.5</v>
      </c>
      <c r="N11" s="117" t="s">
        <v>166</v>
      </c>
      <c r="O11" s="127">
        <f>IF(P11=0,0,Q11/P11)</f>
        <v>-7.26</v>
      </c>
      <c r="P11" s="121">
        <v>15</v>
      </c>
      <c r="Q11" s="109">
        <v>-108.89999999999999</v>
      </c>
    </row>
    <row r="12" spans="1:17" x14ac:dyDescent="0.4">
      <c r="A12" s="57" t="s">
        <v>160</v>
      </c>
      <c r="B12" s="49">
        <v>4</v>
      </c>
      <c r="C12" s="42">
        <f>IF(B$2=0,0,B12/B$2)</f>
        <v>7.5471698113207544E-2</v>
      </c>
      <c r="E12" s="63" t="s">
        <v>87</v>
      </c>
      <c r="F12" s="60" t="s">
        <v>42</v>
      </c>
      <c r="G12" s="47">
        <v>9</v>
      </c>
      <c r="H12" s="135">
        <f>IF(B$17=0,0,G12/B$17)</f>
        <v>7.1999999999999995E-2</v>
      </c>
      <c r="I12" s="96">
        <v>3</v>
      </c>
      <c r="K12" s="38">
        <v>10</v>
      </c>
      <c r="L12" s="101">
        <v>-80.900000000000006</v>
      </c>
      <c r="N12" s="118" t="s">
        <v>167</v>
      </c>
      <c r="O12" s="128">
        <f>IF(P12=0,0,Q12/P12)</f>
        <v>10</v>
      </c>
      <c r="P12" s="122">
        <v>9</v>
      </c>
      <c r="Q12" s="110">
        <v>90</v>
      </c>
    </row>
    <row r="13" spans="1:17" x14ac:dyDescent="0.4">
      <c r="A13" s="58" t="s">
        <v>122</v>
      </c>
      <c r="B13" s="50">
        <v>122</v>
      </c>
      <c r="C13" s="44">
        <f>IF(B$3=0,0,B13/B$3)</f>
        <v>0.27111111111111114</v>
      </c>
      <c r="E13" s="63" t="s">
        <v>82</v>
      </c>
      <c r="F13" s="60" t="s">
        <v>37</v>
      </c>
      <c r="G13" s="47">
        <v>5</v>
      </c>
      <c r="H13" s="135">
        <f>IF(B$17=0,0,G13/B$17)</f>
        <v>0.04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78</v>
      </c>
      <c r="C14" s="39">
        <f>IF(B$3=0,0,B14/B$3)</f>
        <v>0.17333333333333334</v>
      </c>
      <c r="E14" s="63" t="s">
        <v>92</v>
      </c>
      <c r="F14" s="60" t="s">
        <v>47</v>
      </c>
      <c r="G14" s="47">
        <v>5</v>
      </c>
      <c r="H14" s="135">
        <f>IF(B$17=0,0,G14/B$17)</f>
        <v>0.04</v>
      </c>
      <c r="I14" s="96">
        <v>2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76</v>
      </c>
      <c r="C15" s="37">
        <f>IF(B$13=0,0,B15/B$13)</f>
        <v>0.62295081967213117</v>
      </c>
      <c r="E15" s="63" t="s">
        <v>72</v>
      </c>
      <c r="F15" s="60" t="s">
        <v>27</v>
      </c>
      <c r="G15" s="47">
        <v>4</v>
      </c>
      <c r="H15" s="135">
        <f>IF(B$17=0,0,G15/B$17)</f>
        <v>3.2000000000000001E-2</v>
      </c>
      <c r="I15" s="96">
        <v>8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20</v>
      </c>
      <c r="C16" s="37">
        <f>IF(B$14=0,0,B16/B$14)</f>
        <v>0.25641025641025639</v>
      </c>
      <c r="E16" s="63" t="s">
        <v>84</v>
      </c>
      <c r="F16" s="60" t="s">
        <v>39</v>
      </c>
      <c r="G16" s="47">
        <v>3</v>
      </c>
      <c r="H16" s="135">
        <f>IF(B$17=0,0,G16/B$17)</f>
        <v>2.4E-2</v>
      </c>
      <c r="I16" s="96">
        <v>9</v>
      </c>
      <c r="K16" s="38">
        <v>14</v>
      </c>
      <c r="L16" s="101">
        <v>-25.600000000000009</v>
      </c>
      <c r="N16" s="117" t="s">
        <v>129</v>
      </c>
      <c r="O16" s="127">
        <f>IF(P16=0,0,Q16/P16)</f>
        <v>22.99285714285714</v>
      </c>
      <c r="P16" s="121">
        <v>14</v>
      </c>
      <c r="Q16" s="109">
        <v>321.89999999999998</v>
      </c>
    </row>
    <row r="17" spans="1:17" x14ac:dyDescent="0.4">
      <c r="A17" s="54" t="s">
        <v>10</v>
      </c>
      <c r="B17" s="46">
        <f>B19+B18</f>
        <v>125</v>
      </c>
      <c r="C17" s="37">
        <f>IF(B$3=0,0,B17/B$3)</f>
        <v>0.27777777777777779</v>
      </c>
      <c r="E17" s="63" t="s">
        <v>181</v>
      </c>
      <c r="F17" s="60" t="s">
        <v>184</v>
      </c>
      <c r="G17" s="47">
        <v>3</v>
      </c>
      <c r="H17" s="135">
        <f>IF(B$17=0,0,G17/B$17)</f>
        <v>2.4E-2</v>
      </c>
      <c r="I17" s="96">
        <v>2</v>
      </c>
      <c r="K17" s="38">
        <v>15</v>
      </c>
      <c r="L17" s="101">
        <v>47.999999999999986</v>
      </c>
      <c r="N17" s="117" t="s">
        <v>172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50</v>
      </c>
      <c r="C18" s="39">
        <f>IF(B$17=0,0,B18/B$17)</f>
        <v>0.4</v>
      </c>
      <c r="E18" s="63" t="s">
        <v>75</v>
      </c>
      <c r="F18" s="60" t="s">
        <v>30</v>
      </c>
      <c r="G18" s="47">
        <v>2</v>
      </c>
      <c r="H18" s="135">
        <f>IF(B$17=0,0,G18/B$17)</f>
        <v>1.6E-2</v>
      </c>
      <c r="I18" s="96">
        <v>1</v>
      </c>
      <c r="K18" s="38">
        <v>16</v>
      </c>
      <c r="L18" s="101">
        <v>41.699999999999989</v>
      </c>
      <c r="N18" s="117" t="s">
        <v>178</v>
      </c>
      <c r="O18" s="127">
        <f>IF(P18=0,0,Q18/P18)</f>
        <v>-0.75</v>
      </c>
      <c r="P18" s="121">
        <v>10</v>
      </c>
      <c r="Q18" s="109">
        <v>-7.5</v>
      </c>
    </row>
    <row r="19" spans="1:17" x14ac:dyDescent="0.4">
      <c r="A19" s="55" t="s">
        <v>11</v>
      </c>
      <c r="B19" s="47">
        <v>75</v>
      </c>
      <c r="C19" s="39">
        <f>IF(B$17=0,0,B19/B$17)</f>
        <v>0.6</v>
      </c>
      <c r="E19" s="63" t="s">
        <v>80</v>
      </c>
      <c r="F19" s="60" t="s">
        <v>35</v>
      </c>
      <c r="G19" s="47">
        <v>2</v>
      </c>
      <c r="H19" s="135">
        <f>IF(B$17=0,0,G19/B$17)</f>
        <v>1.6E-2</v>
      </c>
      <c r="I19" s="96">
        <v>3</v>
      </c>
      <c r="K19" s="38">
        <v>17</v>
      </c>
      <c r="L19" s="101">
        <v>94.6</v>
      </c>
      <c r="N19" s="117" t="s">
        <v>173</v>
      </c>
      <c r="O19" s="127">
        <f>IF(P19=0,0,Q19/P19)</f>
        <v>-4.6749999999999998</v>
      </c>
      <c r="P19" s="121">
        <v>12</v>
      </c>
      <c r="Q19" s="109">
        <v>-56.099999999999994</v>
      </c>
    </row>
    <row r="20" spans="1:17" x14ac:dyDescent="0.4">
      <c r="A20" s="55" t="s">
        <v>13</v>
      </c>
      <c r="B20" s="47">
        <v>78</v>
      </c>
      <c r="C20" s="39">
        <f>IF(B$3=0,0,B20/B$3)</f>
        <v>0.17333333333333334</v>
      </c>
      <c r="E20" s="63" t="s">
        <v>74</v>
      </c>
      <c r="F20" s="60" t="s">
        <v>29</v>
      </c>
      <c r="G20" s="47">
        <v>1</v>
      </c>
      <c r="H20" s="135">
        <f>IF(B$17=0,0,G20/B$17)</f>
        <v>8.0000000000000002E-3</v>
      </c>
      <c r="I20" s="96">
        <v>2</v>
      </c>
      <c r="K20" s="38">
        <v>18</v>
      </c>
      <c r="L20" s="101">
        <v>116.69999999999999</v>
      </c>
      <c r="N20" s="117" t="s">
        <v>174</v>
      </c>
      <c r="O20" s="127">
        <f>IF(P20=0,0,Q20/P20)</f>
        <v>-6.9818181818181833</v>
      </c>
      <c r="P20" s="121">
        <v>11</v>
      </c>
      <c r="Q20" s="109">
        <v>-76.800000000000011</v>
      </c>
    </row>
    <row r="21" spans="1:17" x14ac:dyDescent="0.4">
      <c r="A21" s="55" t="s">
        <v>194</v>
      </c>
      <c r="B21" s="47">
        <v>5</v>
      </c>
      <c r="C21" s="137">
        <v>0</v>
      </c>
      <c r="E21" s="63" t="s">
        <v>76</v>
      </c>
      <c r="F21" s="60" t="s">
        <v>31</v>
      </c>
      <c r="G21" s="47">
        <v>1</v>
      </c>
      <c r="H21" s="135">
        <f>IF(B$17=0,0,G21/B$17)</f>
        <v>8.0000000000000002E-3</v>
      </c>
      <c r="I21" s="96">
        <v>4</v>
      </c>
      <c r="K21" s="38">
        <v>19</v>
      </c>
      <c r="L21" s="101">
        <v>138.79999999999998</v>
      </c>
      <c r="N21" s="117" t="s">
        <v>127</v>
      </c>
      <c r="O21" s="127">
        <f>IF(P21=0,0,Q21/P21)</f>
        <v>-27.471794871794874</v>
      </c>
      <c r="P21" s="121">
        <v>39</v>
      </c>
      <c r="Q21" s="109">
        <v>-1071.4000000000001</v>
      </c>
    </row>
    <row r="22" spans="1:17" x14ac:dyDescent="0.4">
      <c r="A22" s="55" t="s">
        <v>195</v>
      </c>
      <c r="B22" s="47">
        <v>24</v>
      </c>
      <c r="C22" s="137">
        <v>3</v>
      </c>
      <c r="E22" s="63" t="s">
        <v>78</v>
      </c>
      <c r="F22" s="60" t="s">
        <v>33</v>
      </c>
      <c r="G22" s="47">
        <v>1</v>
      </c>
      <c r="H22" s="135">
        <f>IF(B$17=0,0,G22/B$17)</f>
        <v>8.0000000000000002E-3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9042.4</v>
      </c>
      <c r="C23" s="41">
        <v>1130300</v>
      </c>
      <c r="E23" s="63" t="s">
        <v>79</v>
      </c>
      <c r="F23" s="60" t="s">
        <v>34</v>
      </c>
      <c r="G23" s="47">
        <v>1</v>
      </c>
      <c r="H23" s="135">
        <f>IF(B$17=0,0,G23/B$17)</f>
        <v>8.0000000000000002E-3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-7275.6410256410254</v>
      </c>
      <c r="C24" s="45">
        <v>-567500</v>
      </c>
      <c r="E24" s="63" t="s">
        <v>85</v>
      </c>
      <c r="F24" s="60" t="s">
        <v>40</v>
      </c>
      <c r="G24" s="47">
        <v>1</v>
      </c>
      <c r="H24" s="135">
        <f>IF(B$17=0,0,G24/B$17)</f>
        <v>8.0000000000000002E-3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5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8.0000000000000002E-3</v>
      </c>
      <c r="I25" s="96">
        <v>1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88600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8.0000000000000002E-3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8.8888888888888889E-3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  <row r="53" spans="5:12" x14ac:dyDescent="0.4">
      <c r="K53" s="38">
        <v>51</v>
      </c>
      <c r="L53" s="101">
        <v>-29.30000000000004</v>
      </c>
    </row>
    <row r="54" spans="5:12" x14ac:dyDescent="0.4">
      <c r="K54" s="38">
        <v>52</v>
      </c>
      <c r="L54" s="101">
        <v>-55.600000000000037</v>
      </c>
    </row>
    <row r="55" spans="5:12" x14ac:dyDescent="0.4">
      <c r="K55" s="38">
        <v>53</v>
      </c>
      <c r="L55" s="101">
        <v>-95.100000000000037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6C8EA-9993-4250-A637-6F17BAA75CF6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67</v>
      </c>
      <c r="F2" s="59" t="s">
        <v>23</v>
      </c>
      <c r="G2" s="46">
        <v>30</v>
      </c>
      <c r="H2" s="134">
        <f>IF(B$17=0,0,G2/B$17)</f>
        <v>0.8571428571428571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-2959.090909090909</v>
      </c>
      <c r="P2" s="120">
        <v>22</v>
      </c>
      <c r="Q2" s="104">
        <v>-65100</v>
      </c>
    </row>
    <row r="3" spans="1:17" x14ac:dyDescent="0.4">
      <c r="A3" s="55" t="s">
        <v>8</v>
      </c>
      <c r="B3" s="150">
        <v>186</v>
      </c>
      <c r="C3" s="151"/>
      <c r="E3" s="63" t="s">
        <v>65</v>
      </c>
      <c r="F3" s="60" t="s">
        <v>21</v>
      </c>
      <c r="G3" s="47">
        <v>20</v>
      </c>
      <c r="H3" s="135">
        <f>IF(B$17=0,0,G3/B$17)</f>
        <v>0.5714285714285714</v>
      </c>
      <c r="I3" s="96">
        <v>2</v>
      </c>
      <c r="K3" s="38">
        <v>1</v>
      </c>
      <c r="L3" s="101">
        <v>-40.4</v>
      </c>
      <c r="N3" s="117" t="s">
        <v>133</v>
      </c>
      <c r="O3" s="124">
        <f t="shared" si="0"/>
        <v>-5186.363636363636</v>
      </c>
      <c r="P3" s="121">
        <v>22</v>
      </c>
      <c r="Q3" s="105">
        <v>-114100</v>
      </c>
    </row>
    <row r="4" spans="1:17" x14ac:dyDescent="0.4">
      <c r="A4" s="55" t="s">
        <v>6</v>
      </c>
      <c r="B4" s="152">
        <v>-670.19999999999993</v>
      </c>
      <c r="C4" s="153"/>
      <c r="E4" s="63" t="s">
        <v>69</v>
      </c>
      <c r="F4" s="60" t="s">
        <v>12</v>
      </c>
      <c r="G4" s="47">
        <v>13</v>
      </c>
      <c r="H4" s="135">
        <f>IF(B$17=0,0,G4/B$17)</f>
        <v>0.37142857142857144</v>
      </c>
      <c r="I4" s="96">
        <v>2</v>
      </c>
      <c r="K4" s="38">
        <v>2</v>
      </c>
      <c r="L4" s="101">
        <v>-3.3999999999999986</v>
      </c>
      <c r="N4" s="117" t="s">
        <v>134</v>
      </c>
      <c r="O4" s="124">
        <f t="shared" si="0"/>
        <v>-5815.7894736842109</v>
      </c>
      <c r="P4" s="121">
        <v>19</v>
      </c>
      <c r="Q4" s="105">
        <v>-110500</v>
      </c>
    </row>
    <row r="5" spans="1:17" x14ac:dyDescent="0.4">
      <c r="A5" s="55" t="s">
        <v>7</v>
      </c>
      <c r="B5" s="154">
        <f>IF(B$2=0,0,B$4/B$2)</f>
        <v>-30.463636363636361</v>
      </c>
      <c r="C5" s="155"/>
      <c r="E5" s="63" t="s">
        <v>182</v>
      </c>
      <c r="F5" s="60" t="s">
        <v>183</v>
      </c>
      <c r="G5" s="47">
        <v>12</v>
      </c>
      <c r="H5" s="135">
        <f>IF(B$17=0,0,G5/B$17)</f>
        <v>0.34285714285714286</v>
      </c>
      <c r="I5" s="96">
        <v>8</v>
      </c>
      <c r="K5" s="38">
        <v>3</v>
      </c>
      <c r="L5" s="101">
        <v>-23.099999999999998</v>
      </c>
      <c r="N5" s="117" t="s">
        <v>135</v>
      </c>
      <c r="O5" s="124">
        <f t="shared" si="0"/>
        <v>-2425</v>
      </c>
      <c r="P5" s="121">
        <v>16</v>
      </c>
      <c r="Q5" s="105">
        <v>-38800</v>
      </c>
    </row>
    <row r="6" spans="1:17" x14ac:dyDescent="0.4">
      <c r="A6" s="55" t="s">
        <v>1</v>
      </c>
      <c r="B6" s="144">
        <f>IF(B$2=0,0,(B$7*1+B$8*2+B$9*3)/B$2)</f>
        <v>2.5454545454545454</v>
      </c>
      <c r="C6" s="145"/>
      <c r="E6" s="63" t="s">
        <v>68</v>
      </c>
      <c r="F6" s="60" t="s">
        <v>24</v>
      </c>
      <c r="G6" s="47">
        <v>10</v>
      </c>
      <c r="H6" s="135">
        <f>IF(B$17=0,0,G6/B$17)</f>
        <v>0.2857142857142857</v>
      </c>
      <c r="I6" s="96">
        <v>5</v>
      </c>
      <c r="K6" s="38">
        <v>4</v>
      </c>
      <c r="L6" s="101">
        <v>-31.4</v>
      </c>
      <c r="N6" s="117" t="s">
        <v>136</v>
      </c>
      <c r="O6" s="124">
        <f t="shared" si="0"/>
        <v>-2943.75</v>
      </c>
      <c r="P6" s="121">
        <v>16</v>
      </c>
      <c r="Q6" s="105">
        <v>-47100</v>
      </c>
    </row>
    <row r="7" spans="1:17" x14ac:dyDescent="0.4">
      <c r="A7" s="55" t="s">
        <v>2</v>
      </c>
      <c r="B7" s="47">
        <v>2</v>
      </c>
      <c r="C7" s="39">
        <f>IF(B$2=0,0,B7/B$2)</f>
        <v>9.0909090909090912E-2</v>
      </c>
      <c r="E7" s="63" t="s">
        <v>73</v>
      </c>
      <c r="F7" s="60" t="s">
        <v>28</v>
      </c>
      <c r="G7" s="47">
        <v>9</v>
      </c>
      <c r="H7" s="135">
        <f>IF(B$17=0,0,G7/B$17)</f>
        <v>0.25714285714285712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-2231.25</v>
      </c>
      <c r="P7" s="122">
        <v>16</v>
      </c>
      <c r="Q7" s="106">
        <v>-35700</v>
      </c>
    </row>
    <row r="8" spans="1:17" x14ac:dyDescent="0.4">
      <c r="A8" s="55" t="s">
        <v>3</v>
      </c>
      <c r="B8" s="47">
        <v>6</v>
      </c>
      <c r="C8" s="39">
        <f>IF(B$2=0,0,B8/B$2)</f>
        <v>0.27272727272727271</v>
      </c>
      <c r="E8" s="63" t="s">
        <v>71</v>
      </c>
      <c r="F8" s="60" t="s">
        <v>26</v>
      </c>
      <c r="G8" s="47">
        <v>8</v>
      </c>
      <c r="H8" s="135">
        <f>IF(B$17=0,0,G8/B$17)</f>
        <v>0.22857142857142856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0.63636363636363635</v>
      </c>
      <c r="E9" s="63" t="s">
        <v>70</v>
      </c>
      <c r="F9" s="60" t="s">
        <v>25</v>
      </c>
      <c r="G9" s="47">
        <v>7</v>
      </c>
      <c r="H9" s="135">
        <f>IF(B$17=0,0,G9/B$17)</f>
        <v>0.2</v>
      </c>
      <c r="I9" s="96">
        <v>4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0.22727272727272727</v>
      </c>
      <c r="E10" s="63" t="s">
        <v>72</v>
      </c>
      <c r="F10" s="60" t="s">
        <v>27</v>
      </c>
      <c r="G10" s="47">
        <v>5</v>
      </c>
      <c r="H10" s="135">
        <f>IF(B$17=0,0,G10/B$17)</f>
        <v>0.14285714285714285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0.14285714285714285</v>
      </c>
      <c r="I11" s="96">
        <v>6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66</v>
      </c>
      <c r="F12" s="60" t="s">
        <v>22</v>
      </c>
      <c r="G12" s="47">
        <v>4</v>
      </c>
      <c r="H12" s="135">
        <f>IF(B$17=0,0,G12/B$17)</f>
        <v>0.11428571428571428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122</v>
      </c>
      <c r="B13" s="50">
        <v>45</v>
      </c>
      <c r="C13" s="44">
        <f>IF(B$3=0,0,B13/B$3)</f>
        <v>0.24193548387096775</v>
      </c>
      <c r="E13" s="63" t="s">
        <v>87</v>
      </c>
      <c r="F13" s="60" t="s">
        <v>42</v>
      </c>
      <c r="G13" s="47">
        <v>2</v>
      </c>
      <c r="H13" s="135">
        <f>IF(B$17=0,0,G13/B$17)</f>
        <v>5.7142857142857141E-2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22</v>
      </c>
      <c r="C14" s="39">
        <f>IF(B$3=0,0,B14/B$3)</f>
        <v>0.11827956989247312</v>
      </c>
      <c r="E14" s="63" t="s">
        <v>79</v>
      </c>
      <c r="F14" s="60" t="s">
        <v>34</v>
      </c>
      <c r="G14" s="47">
        <v>1</v>
      </c>
      <c r="H14" s="135">
        <f>IF(B$17=0,0,G14/B$17)</f>
        <v>2.8571428571428571E-2</v>
      </c>
      <c r="I14" s="96">
        <v>3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0.46666666666666667</v>
      </c>
      <c r="E15" s="63" t="s">
        <v>84</v>
      </c>
      <c r="F15" s="60" t="s">
        <v>39</v>
      </c>
      <c r="G15" s="47">
        <v>1</v>
      </c>
      <c r="H15" s="135">
        <f>IF(B$17=0,0,G15/B$17)</f>
        <v>2.8571428571428571E-2</v>
      </c>
      <c r="I15" s="96">
        <v>8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0.18181818181818182</v>
      </c>
      <c r="E16" s="63" t="s">
        <v>74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0.18817204301075269</v>
      </c>
      <c r="E17" s="63" t="s">
        <v>75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128</v>
      </c>
      <c r="O17" s="127">
        <f>IF(P17=0,0,Q17/P17)</f>
        <v>-22.99285714285714</v>
      </c>
      <c r="P17" s="121">
        <v>14</v>
      </c>
      <c r="Q17" s="109">
        <v>-321.89999999999998</v>
      </c>
    </row>
    <row r="18" spans="1:17" x14ac:dyDescent="0.4">
      <c r="A18" s="55" t="s">
        <v>12</v>
      </c>
      <c r="B18" s="47">
        <v>17</v>
      </c>
      <c r="C18" s="39">
        <f>IF(B$17=0,0,B18/B$17)</f>
        <v>0.48571428571428571</v>
      </c>
      <c r="E18" s="63" t="s">
        <v>76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127</v>
      </c>
      <c r="O18" s="127">
        <f>IF(P18=0,0,Q18/P18)</f>
        <v>-54.900000000000006</v>
      </c>
      <c r="P18" s="121">
        <v>13</v>
      </c>
      <c r="Q18" s="109">
        <v>-713.7</v>
      </c>
    </row>
    <row r="19" spans="1:17" x14ac:dyDescent="0.4">
      <c r="A19" s="55" t="s">
        <v>11</v>
      </c>
      <c r="B19" s="47">
        <v>18</v>
      </c>
      <c r="C19" s="39">
        <f>IF(B$17=0,0,B19/B$17)</f>
        <v>0.51428571428571423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41</v>
      </c>
      <c r="C20" s="39">
        <f>IF(B$3=0,0,B20/B$3)</f>
        <v>0.22043010752688172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7302.8571428571431</v>
      </c>
      <c r="C23" s="41">
        <v>255600</v>
      </c>
      <c r="E23" s="63" t="s">
        <v>82</v>
      </c>
      <c r="F23" s="60" t="s">
        <v>37</v>
      </c>
      <c r="G23" s="47">
        <v>0</v>
      </c>
      <c r="H23" s="135">
        <f>IF(B$17=0,0,G23/B$17)</f>
        <v>0</v>
      </c>
      <c r="I23" s="96">
        <v>7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-9748.7804878048773</v>
      </c>
      <c r="C24" s="45">
        <v>-399700</v>
      </c>
      <c r="E24" s="63" t="s">
        <v>83</v>
      </c>
      <c r="F24" s="60" t="s">
        <v>38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52200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BA9C6-E307-4894-83D9-5F965A8C62DB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33</v>
      </c>
      <c r="C2" s="149"/>
      <c r="E2" s="62" t="s">
        <v>67</v>
      </c>
      <c r="F2" s="59" t="s">
        <v>23</v>
      </c>
      <c r="G2" s="46">
        <v>49</v>
      </c>
      <c r="H2" s="134">
        <f>IF(B$17=0,0,G2/B$17)</f>
        <v>0.7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-178.78787878787878</v>
      </c>
      <c r="P2" s="120">
        <v>33</v>
      </c>
      <c r="Q2" s="104">
        <v>-5900</v>
      </c>
    </row>
    <row r="3" spans="1:17" x14ac:dyDescent="0.4">
      <c r="A3" s="55" t="s">
        <v>8</v>
      </c>
      <c r="B3" s="150">
        <v>288</v>
      </c>
      <c r="C3" s="151"/>
      <c r="E3" s="63" t="s">
        <v>65</v>
      </c>
      <c r="F3" s="60" t="s">
        <v>21</v>
      </c>
      <c r="G3" s="47">
        <v>36</v>
      </c>
      <c r="H3" s="135">
        <f>IF(B$17=0,0,G3/B$17)</f>
        <v>0.51428571428571423</v>
      </c>
      <c r="I3" s="96">
        <v>4</v>
      </c>
      <c r="K3" s="38">
        <v>1</v>
      </c>
      <c r="L3" s="101">
        <v>-51.2</v>
      </c>
      <c r="N3" s="117" t="s">
        <v>133</v>
      </c>
      <c r="O3" s="124">
        <f t="shared" si="0"/>
        <v>527.27272727272725</v>
      </c>
      <c r="P3" s="121">
        <v>33</v>
      </c>
      <c r="Q3" s="105">
        <v>17400</v>
      </c>
    </row>
    <row r="4" spans="1:17" x14ac:dyDescent="0.4">
      <c r="A4" s="55" t="s">
        <v>6</v>
      </c>
      <c r="B4" s="152">
        <v>-108.9</v>
      </c>
      <c r="C4" s="153"/>
      <c r="E4" s="63" t="s">
        <v>73</v>
      </c>
      <c r="F4" s="60" t="s">
        <v>28</v>
      </c>
      <c r="G4" s="47">
        <v>36</v>
      </c>
      <c r="H4" s="135">
        <f>IF(B$17=0,0,G4/B$17)</f>
        <v>0.51428571428571423</v>
      </c>
      <c r="I4" s="96">
        <v>7</v>
      </c>
      <c r="K4" s="38">
        <v>2</v>
      </c>
      <c r="L4" s="101">
        <v>-93.300000000000011</v>
      </c>
      <c r="N4" s="117" t="s">
        <v>134</v>
      </c>
      <c r="O4" s="124">
        <f t="shared" si="0"/>
        <v>1096.7741935483871</v>
      </c>
      <c r="P4" s="121">
        <v>31</v>
      </c>
      <c r="Q4" s="105">
        <v>34000</v>
      </c>
    </row>
    <row r="5" spans="1:17" x14ac:dyDescent="0.4">
      <c r="A5" s="55" t="s">
        <v>7</v>
      </c>
      <c r="B5" s="154">
        <f>IF(B$2=0,0,B$4/B$2)</f>
        <v>-3.3000000000000003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0.31428571428571428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-2127.5862068965516</v>
      </c>
      <c r="P5" s="121">
        <v>29</v>
      </c>
      <c r="Q5" s="105">
        <v>-61700</v>
      </c>
    </row>
    <row r="6" spans="1:17" x14ac:dyDescent="0.4">
      <c r="A6" s="55" t="s">
        <v>1</v>
      </c>
      <c r="B6" s="144">
        <f>IF(B$2=0,0,(B$7*1+B$8*2+B$9*3)/B$2)</f>
        <v>2.1212121212121211</v>
      </c>
      <c r="C6" s="145"/>
      <c r="E6" s="63" t="s">
        <v>69</v>
      </c>
      <c r="F6" s="60" t="s">
        <v>12</v>
      </c>
      <c r="G6" s="47">
        <v>17</v>
      </c>
      <c r="H6" s="135">
        <f>IF(B$17=0,0,G6/B$17)</f>
        <v>0.24285714285714285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-611.11111111111109</v>
      </c>
      <c r="P6" s="121">
        <v>27</v>
      </c>
      <c r="Q6" s="105">
        <v>-16500</v>
      </c>
    </row>
    <row r="7" spans="1:17" x14ac:dyDescent="0.4">
      <c r="A7" s="55" t="s">
        <v>2</v>
      </c>
      <c r="B7" s="47">
        <v>8</v>
      </c>
      <c r="C7" s="39">
        <f>IF(B$2=0,0,B7/B$2)</f>
        <v>0.24242424242424243</v>
      </c>
      <c r="E7" s="63" t="s">
        <v>70</v>
      </c>
      <c r="F7" s="60" t="s">
        <v>25</v>
      </c>
      <c r="G7" s="47">
        <v>16</v>
      </c>
      <c r="H7" s="135">
        <f>IF(B$17=0,0,G7/B$17)</f>
        <v>0.22857142857142856</v>
      </c>
      <c r="I7" s="96">
        <v>2</v>
      </c>
      <c r="K7" s="38">
        <v>5</v>
      </c>
      <c r="L7" s="101">
        <v>-36.100000000000009</v>
      </c>
      <c r="N7" s="118" t="s">
        <v>137</v>
      </c>
      <c r="O7" s="125">
        <f t="shared" si="0"/>
        <v>472</v>
      </c>
      <c r="P7" s="122">
        <v>25</v>
      </c>
      <c r="Q7" s="106">
        <v>11800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68</v>
      </c>
      <c r="F8" s="60" t="s">
        <v>24</v>
      </c>
      <c r="G8" s="47">
        <v>15</v>
      </c>
      <c r="H8" s="135">
        <f>IF(B$17=0,0,G8/B$17)</f>
        <v>0.21428571428571427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0.36363636363636365</v>
      </c>
      <c r="E9" s="63" t="s">
        <v>66</v>
      </c>
      <c r="F9" s="60" t="s">
        <v>22</v>
      </c>
      <c r="G9" s="47">
        <v>12</v>
      </c>
      <c r="H9" s="135">
        <f>IF(B$17=0,0,G9/B$17)</f>
        <v>0.17142857142857143</v>
      </c>
      <c r="I9" s="96">
        <v>2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90</v>
      </c>
      <c r="F10" s="60" t="s">
        <v>45</v>
      </c>
      <c r="G10" s="47">
        <v>11</v>
      </c>
      <c r="H10" s="135">
        <f>IF(B$17=0,0,G10/B$17)</f>
        <v>0.15714285714285714</v>
      </c>
      <c r="I10" s="96">
        <v>5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3</v>
      </c>
      <c r="C11" s="40">
        <f>IF(B$2=0,0,B11/B$2)</f>
        <v>9.0909090909090912E-2</v>
      </c>
      <c r="E11" s="63" t="s">
        <v>71</v>
      </c>
      <c r="F11" s="60" t="s">
        <v>26</v>
      </c>
      <c r="G11" s="47">
        <v>8</v>
      </c>
      <c r="H11" s="135">
        <f>IF(B$17=0,0,G11/B$17)</f>
        <v>0.11428571428571428</v>
      </c>
      <c r="I11" s="96">
        <v>4</v>
      </c>
      <c r="K11" s="38">
        <v>9</v>
      </c>
      <c r="L11" s="101">
        <v>-5.8000000000000025</v>
      </c>
      <c r="N11" s="117" t="s">
        <v>166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72</v>
      </c>
      <c r="F12" s="60" t="s">
        <v>27</v>
      </c>
      <c r="G12" s="47">
        <v>6</v>
      </c>
      <c r="H12" s="135">
        <f>IF(B$17=0,0,G12/B$17)</f>
        <v>8.5714285714285715E-2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70</v>
      </c>
      <c r="C13" s="44">
        <f>IF(B$3=0,0,B13/B$3)</f>
        <v>0.24305555555555555</v>
      </c>
      <c r="E13" s="63" t="s">
        <v>87</v>
      </c>
      <c r="F13" s="60" t="s">
        <v>42</v>
      </c>
      <c r="G13" s="47">
        <v>5</v>
      </c>
      <c r="H13" s="135">
        <f>IF(B$17=0,0,G13/B$17)</f>
        <v>7.1428571428571425E-2</v>
      </c>
      <c r="I13" s="96">
        <v>4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51</v>
      </c>
      <c r="C14" s="39">
        <f>IF(B$3=0,0,B14/B$3)</f>
        <v>0.17708333333333334</v>
      </c>
      <c r="E14" s="63" t="s">
        <v>84</v>
      </c>
      <c r="F14" s="60" t="s">
        <v>39</v>
      </c>
      <c r="G14" s="47">
        <v>4</v>
      </c>
      <c r="H14" s="135">
        <f>IF(B$17=0,0,G14/B$17)</f>
        <v>5.7142857142857141E-2</v>
      </c>
      <c r="I14" s="96">
        <v>3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0.55714285714285716</v>
      </c>
      <c r="E15" s="63" t="s">
        <v>79</v>
      </c>
      <c r="F15" s="60" t="s">
        <v>34</v>
      </c>
      <c r="G15" s="47">
        <v>3</v>
      </c>
      <c r="H15" s="135">
        <f>IF(B$17=0,0,G15/B$17)</f>
        <v>4.2857142857142858E-2</v>
      </c>
      <c r="I15" s="96">
        <v>1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0.31372549019607843</v>
      </c>
      <c r="E16" s="63" t="s">
        <v>76</v>
      </c>
      <c r="F16" s="60" t="s">
        <v>31</v>
      </c>
      <c r="G16" s="47">
        <v>2</v>
      </c>
      <c r="H16" s="135">
        <f>IF(B$17=0,0,G16/B$17)</f>
        <v>2.8571428571428571E-2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0.24305555555555555</v>
      </c>
      <c r="E17" s="63" t="s">
        <v>181</v>
      </c>
      <c r="F17" s="60" t="s">
        <v>184</v>
      </c>
      <c r="G17" s="47">
        <v>2</v>
      </c>
      <c r="H17" s="135">
        <f>IF(B$17=0,0,G17/B$17)</f>
        <v>2.8571428571428571E-2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15.190000000000001</v>
      </c>
      <c r="P17" s="121">
        <v>10</v>
      </c>
      <c r="Q17" s="109">
        <v>151.9</v>
      </c>
    </row>
    <row r="18" spans="1:17" x14ac:dyDescent="0.4">
      <c r="A18" s="55" t="s">
        <v>12</v>
      </c>
      <c r="B18" s="47">
        <v>25</v>
      </c>
      <c r="C18" s="39">
        <f>IF(B$17=0,0,B18/B$17)</f>
        <v>0.35714285714285715</v>
      </c>
      <c r="E18" s="63" t="s">
        <v>82</v>
      </c>
      <c r="F18" s="60" t="s">
        <v>37</v>
      </c>
      <c r="G18" s="47">
        <v>1</v>
      </c>
      <c r="H18" s="135">
        <f>IF(B$17=0,0,G18/B$17)</f>
        <v>1.4285714285714285E-2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5.2555555555555546</v>
      </c>
      <c r="P18" s="121">
        <v>9</v>
      </c>
      <c r="Q18" s="109">
        <v>47.29999999999999</v>
      </c>
    </row>
    <row r="19" spans="1:17" x14ac:dyDescent="0.4">
      <c r="A19" s="55" t="s">
        <v>11</v>
      </c>
      <c r="B19" s="47">
        <v>45</v>
      </c>
      <c r="C19" s="39">
        <f>IF(B$17=0,0,B19/B$17)</f>
        <v>0.6428571428571429</v>
      </c>
      <c r="E19" s="63" t="s">
        <v>93</v>
      </c>
      <c r="F19" s="60" t="s">
        <v>48</v>
      </c>
      <c r="G19" s="47">
        <v>1</v>
      </c>
      <c r="H19" s="135">
        <f>IF(B$17=0,0,G19/B$17)</f>
        <v>1.4285714285714285E-2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48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128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203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195</v>
      </c>
      <c r="B22" s="47">
        <v>20</v>
      </c>
      <c r="C22" s="137">
        <v>3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127</v>
      </c>
      <c r="O22" s="127">
        <f>IF(P22=0,0,Q22/P22)</f>
        <v>-29.414285714285718</v>
      </c>
      <c r="P22" s="121">
        <v>21</v>
      </c>
      <c r="Q22" s="109">
        <v>-617.70000000000005</v>
      </c>
    </row>
    <row r="23" spans="1:17" x14ac:dyDescent="0.4">
      <c r="A23" s="55" t="s">
        <v>5</v>
      </c>
      <c r="B23" s="51">
        <f>IF(B$17=0,0,C23/B$17)</f>
        <v>8422.8571428571431</v>
      </c>
      <c r="C23" s="41">
        <v>589600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-7206.25</v>
      </c>
      <c r="C24" s="45">
        <v>-345900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3.472222222222222E-3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7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0BAD-35D5-4ACF-AC09-63ACD21DDA2D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73</v>
      </c>
      <c r="F2" s="59" t="s">
        <v>28</v>
      </c>
      <c r="G2" s="46">
        <v>48</v>
      </c>
      <c r="H2" s="134">
        <f>IF(B$17=0,0,G2/B$17)</f>
        <v>0.76190476190476186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-363.63636363636363</v>
      </c>
      <c r="P2" s="120">
        <v>22</v>
      </c>
      <c r="Q2" s="104">
        <v>-8000</v>
      </c>
    </row>
    <row r="3" spans="1:17" x14ac:dyDescent="0.4">
      <c r="A3" s="55" t="s">
        <v>8</v>
      </c>
      <c r="B3" s="150">
        <v>182</v>
      </c>
      <c r="C3" s="151"/>
      <c r="E3" s="63" t="s">
        <v>67</v>
      </c>
      <c r="F3" s="60" t="s">
        <v>23</v>
      </c>
      <c r="G3" s="47">
        <v>38</v>
      </c>
      <c r="H3" s="135">
        <f>IF(B$17=0,0,G3/B$17)</f>
        <v>0.60317460317460314</v>
      </c>
      <c r="I3" s="96">
        <v>9</v>
      </c>
      <c r="K3" s="38">
        <v>1</v>
      </c>
      <c r="L3" s="101">
        <v>11.1</v>
      </c>
      <c r="N3" s="117" t="s">
        <v>133</v>
      </c>
      <c r="O3" s="124">
        <f t="shared" si="0"/>
        <v>1918.1818181818182</v>
      </c>
      <c r="P3" s="121">
        <v>22</v>
      </c>
      <c r="Q3" s="105">
        <v>42200</v>
      </c>
    </row>
    <row r="4" spans="1:17" x14ac:dyDescent="0.4">
      <c r="A4" s="55" t="s">
        <v>6</v>
      </c>
      <c r="B4" s="152">
        <v>54.7</v>
      </c>
      <c r="C4" s="153"/>
      <c r="E4" s="63" t="s">
        <v>182</v>
      </c>
      <c r="F4" s="60" t="s">
        <v>183</v>
      </c>
      <c r="G4" s="47">
        <v>25</v>
      </c>
      <c r="H4" s="135">
        <f>IF(B$17=0,0,G4/B$17)</f>
        <v>0.3968253968253968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44.444444444444443</v>
      </c>
      <c r="P4" s="121">
        <v>18</v>
      </c>
      <c r="Q4" s="105">
        <v>800</v>
      </c>
    </row>
    <row r="5" spans="1:17" x14ac:dyDescent="0.4">
      <c r="A5" s="55" t="s">
        <v>7</v>
      </c>
      <c r="B5" s="154">
        <f>IF(B$2=0,0,B$4/B$2)</f>
        <v>2.4863636363636363</v>
      </c>
      <c r="C5" s="155"/>
      <c r="E5" s="63" t="s">
        <v>65</v>
      </c>
      <c r="F5" s="60" t="s">
        <v>21</v>
      </c>
      <c r="G5" s="47">
        <v>24</v>
      </c>
      <c r="H5" s="135">
        <f>IF(B$17=0,0,G5/B$17)</f>
        <v>0.38095238095238093</v>
      </c>
      <c r="I5" s="96">
        <v>10</v>
      </c>
      <c r="K5" s="38">
        <v>3</v>
      </c>
      <c r="L5" s="101">
        <v>1.7999999999999989</v>
      </c>
      <c r="N5" s="117" t="s">
        <v>135</v>
      </c>
      <c r="O5" s="124">
        <f t="shared" si="0"/>
        <v>2100</v>
      </c>
      <c r="P5" s="121">
        <v>16</v>
      </c>
      <c r="Q5" s="105">
        <v>33600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16</v>
      </c>
      <c r="H6" s="135">
        <f>IF(B$17=0,0,G6/B$17)</f>
        <v>0.25396825396825395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-3562.5</v>
      </c>
      <c r="P6" s="121">
        <v>16</v>
      </c>
      <c r="Q6" s="105">
        <v>-57000</v>
      </c>
    </row>
    <row r="7" spans="1:17" x14ac:dyDescent="0.4">
      <c r="A7" s="55" t="s">
        <v>2</v>
      </c>
      <c r="B7" s="47">
        <v>7</v>
      </c>
      <c r="C7" s="39">
        <f>IF(B$2=0,0,B7/B$2)</f>
        <v>0.31818181818181818</v>
      </c>
      <c r="E7" s="63" t="s">
        <v>68</v>
      </c>
      <c r="F7" s="60" t="s">
        <v>24</v>
      </c>
      <c r="G7" s="47">
        <v>13</v>
      </c>
      <c r="H7" s="135">
        <f>IF(B$17=0,0,G7/B$17)</f>
        <v>0.20634920634920634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-733.33333333333337</v>
      </c>
      <c r="P7" s="122">
        <v>15</v>
      </c>
      <c r="Q7" s="106">
        <v>-11000</v>
      </c>
    </row>
    <row r="8" spans="1:17" x14ac:dyDescent="0.4">
      <c r="A8" s="55" t="s">
        <v>3</v>
      </c>
      <c r="B8" s="47">
        <v>8</v>
      </c>
      <c r="C8" s="39">
        <f>IF(B$2=0,0,B8/B$2)</f>
        <v>0.36363636363636365</v>
      </c>
      <c r="E8" s="63" t="s">
        <v>70</v>
      </c>
      <c r="F8" s="60" t="s">
        <v>25</v>
      </c>
      <c r="G8" s="47">
        <v>7</v>
      </c>
      <c r="H8" s="135">
        <f>IF(B$17=0,0,G8/B$17)</f>
        <v>0.1111111111111111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0.31818181818181818</v>
      </c>
      <c r="E9" s="63" t="s">
        <v>71</v>
      </c>
      <c r="F9" s="60" t="s">
        <v>26</v>
      </c>
      <c r="G9" s="47">
        <v>5</v>
      </c>
      <c r="H9" s="135">
        <f>IF(B$17=0,0,G9/B$17)</f>
        <v>7.9365079365079361E-2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4.5454545454545456E-2</v>
      </c>
      <c r="E10" s="63" t="s">
        <v>90</v>
      </c>
      <c r="F10" s="60" t="s">
        <v>45</v>
      </c>
      <c r="G10" s="47">
        <v>5</v>
      </c>
      <c r="H10" s="135">
        <f>IF(B$17=0,0,G10/B$17)</f>
        <v>7.9365079365079361E-2</v>
      </c>
      <c r="I10" s="96">
        <v>11</v>
      </c>
      <c r="K10" s="38">
        <v>8</v>
      </c>
      <c r="L10" s="101">
        <v>-29.5</v>
      </c>
      <c r="N10" s="116" t="s">
        <v>165</v>
      </c>
      <c r="O10" s="126">
        <f>IF(P10=0,0,Q10/P10)</f>
        <v>-12.014285714285718</v>
      </c>
      <c r="P10" s="120">
        <v>7</v>
      </c>
      <c r="Q10" s="108">
        <v>-84.100000000000023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66</v>
      </c>
      <c r="F11" s="60" t="s">
        <v>22</v>
      </c>
      <c r="G11" s="47">
        <v>4</v>
      </c>
      <c r="H11" s="135">
        <f>IF(B$17=0,0,G11/B$17)</f>
        <v>6.3492063492063489E-2</v>
      </c>
      <c r="I11" s="96">
        <v>8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82</v>
      </c>
      <c r="F12" s="60" t="s">
        <v>37</v>
      </c>
      <c r="G12" s="47">
        <v>3</v>
      </c>
      <c r="H12" s="135">
        <f>IF(B$17=0,0,G12/B$17)</f>
        <v>4.7619047619047616E-2</v>
      </c>
      <c r="I12" s="96">
        <v>2</v>
      </c>
      <c r="K12" s="38">
        <v>10</v>
      </c>
      <c r="L12" s="101">
        <v>24.200000000000003</v>
      </c>
      <c r="N12" s="118" t="s">
        <v>167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122</v>
      </c>
      <c r="B13" s="50">
        <v>40</v>
      </c>
      <c r="C13" s="44">
        <f>IF(B$3=0,0,B13/B$3)</f>
        <v>0.21978021978021978</v>
      </c>
      <c r="E13" s="63" t="s">
        <v>87</v>
      </c>
      <c r="F13" s="60" t="s">
        <v>42</v>
      </c>
      <c r="G13" s="47">
        <v>3</v>
      </c>
      <c r="H13" s="135">
        <f>IF(B$17=0,0,G13/B$17)</f>
        <v>4.7619047619047616E-2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64</v>
      </c>
      <c r="C14" s="39">
        <f>IF(B$3=0,0,B14/B$3)</f>
        <v>0.35164835164835168</v>
      </c>
      <c r="E14" s="63" t="s">
        <v>72</v>
      </c>
      <c r="F14" s="60" t="s">
        <v>27</v>
      </c>
      <c r="G14" s="47">
        <v>2</v>
      </c>
      <c r="H14" s="135">
        <f>IF(B$17=0,0,G14/B$17)</f>
        <v>3.1746031746031744E-2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79</v>
      </c>
      <c r="F15" s="60" t="s">
        <v>34</v>
      </c>
      <c r="G15" s="47">
        <v>2</v>
      </c>
      <c r="H15" s="135">
        <f>IF(B$17=0,0,G15/B$17)</f>
        <v>3.1746031746031744E-2</v>
      </c>
      <c r="I15" s="96">
        <v>2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27</v>
      </c>
      <c r="C16" s="37">
        <f>IF(B$14=0,0,B16/B$14)</f>
        <v>0.421875</v>
      </c>
      <c r="E16" s="63" t="s">
        <v>80</v>
      </c>
      <c r="F16" s="60" t="s">
        <v>35</v>
      </c>
      <c r="G16" s="47">
        <v>2</v>
      </c>
      <c r="H16" s="135">
        <f>IF(B$17=0,0,G16/B$17)</f>
        <v>3.1746031746031744E-2</v>
      </c>
      <c r="I16" s="96">
        <v>1</v>
      </c>
      <c r="K16" s="38">
        <v>14</v>
      </c>
      <c r="L16" s="101">
        <v>-12.3</v>
      </c>
      <c r="N16" s="117" t="s">
        <v>203</v>
      </c>
      <c r="O16" s="127">
        <f>IF(P16=0,0,Q16/P16)</f>
        <v>59.4</v>
      </c>
      <c r="P16" s="121">
        <v>1</v>
      </c>
      <c r="Q16" s="109">
        <v>59.4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0.34615384615384615</v>
      </c>
      <c r="E17" s="63" t="s">
        <v>84</v>
      </c>
      <c r="F17" s="60" t="s">
        <v>39</v>
      </c>
      <c r="G17" s="47">
        <v>2</v>
      </c>
      <c r="H17" s="135">
        <f>IF(B$17=0,0,G17/B$17)</f>
        <v>3.1746031746031744E-2</v>
      </c>
      <c r="I17" s="96">
        <v>7</v>
      </c>
      <c r="K17" s="38">
        <v>15</v>
      </c>
      <c r="L17" s="101">
        <v>-80.3</v>
      </c>
      <c r="N17" s="117" t="s">
        <v>178</v>
      </c>
      <c r="O17" s="127">
        <f>IF(P17=0,0,Q17/P17)</f>
        <v>34.799999999999997</v>
      </c>
      <c r="P17" s="121">
        <v>2</v>
      </c>
      <c r="Q17" s="109">
        <v>69.599999999999994</v>
      </c>
    </row>
    <row r="18" spans="1:17" x14ac:dyDescent="0.4">
      <c r="A18" s="55" t="s">
        <v>12</v>
      </c>
      <c r="B18" s="47">
        <v>26</v>
      </c>
      <c r="C18" s="39">
        <f>IF(B$17=0,0,B18/B$17)</f>
        <v>0.41269841269841268</v>
      </c>
      <c r="E18" s="63" t="s">
        <v>92</v>
      </c>
      <c r="F18" s="60" t="s">
        <v>47</v>
      </c>
      <c r="G18" s="47">
        <v>1</v>
      </c>
      <c r="H18" s="135">
        <f>IF(B$17=0,0,G18/B$17)</f>
        <v>1.5873015873015872E-2</v>
      </c>
      <c r="I18" s="96">
        <v>5</v>
      </c>
      <c r="K18" s="38">
        <v>16</v>
      </c>
      <c r="L18" s="101">
        <v>-87.6</v>
      </c>
      <c r="N18" s="117" t="s">
        <v>128</v>
      </c>
      <c r="O18" s="127">
        <f>IF(P18=0,0,Q18/P18)</f>
        <v>4.6749999999999963</v>
      </c>
      <c r="P18" s="121">
        <v>12</v>
      </c>
      <c r="Q18" s="109">
        <v>56.099999999999959</v>
      </c>
    </row>
    <row r="19" spans="1:17" x14ac:dyDescent="0.4">
      <c r="A19" s="55" t="s">
        <v>11</v>
      </c>
      <c r="B19" s="47">
        <v>37</v>
      </c>
      <c r="C19" s="39">
        <f>IF(B$17=0,0,B19/B$17)</f>
        <v>0.58730158730158732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-55.099999999999994</v>
      </c>
      <c r="N19" s="117" t="s">
        <v>174</v>
      </c>
      <c r="O19" s="127">
        <f>IF(P19=0,0,Q19/P19)</f>
        <v>0.80000000000000249</v>
      </c>
      <c r="P19" s="121">
        <v>4</v>
      </c>
      <c r="Q19" s="109">
        <v>3.2000000000000099</v>
      </c>
    </row>
    <row r="20" spans="1:17" x14ac:dyDescent="0.4">
      <c r="A20" s="55" t="s">
        <v>13</v>
      </c>
      <c r="B20" s="47">
        <v>25</v>
      </c>
      <c r="C20" s="39">
        <f>IF(B$3=0,0,B20/B$3)</f>
        <v>0.13736263736263737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-39.799999999999997</v>
      </c>
      <c r="P21" s="121">
        <v>10</v>
      </c>
      <c r="Q21" s="109">
        <v>-398</v>
      </c>
    </row>
    <row r="22" spans="1:17" x14ac:dyDescent="0.4">
      <c r="A22" s="55" t="s">
        <v>195</v>
      </c>
      <c r="B22" s="47">
        <v>23</v>
      </c>
      <c r="C22" s="137">
        <v>6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6749.2063492063489</v>
      </c>
      <c r="C23" s="41">
        <v>425200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-8384</v>
      </c>
      <c r="C24" s="45">
        <v>-209600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E473E-AA49-4DB3-91F4-2B648071474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20</v>
      </c>
      <c r="C2" s="149"/>
      <c r="E2" s="62" t="s">
        <v>67</v>
      </c>
      <c r="F2" s="59" t="s">
        <v>23</v>
      </c>
      <c r="G2" s="46">
        <v>44</v>
      </c>
      <c r="H2" s="134">
        <f>IF(B$17=0,0,G2/B$17)</f>
        <v>0.8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-4030</v>
      </c>
      <c r="P2" s="120">
        <v>20</v>
      </c>
      <c r="Q2" s="104">
        <v>-80600</v>
      </c>
    </row>
    <row r="3" spans="1:17" x14ac:dyDescent="0.4">
      <c r="A3" s="55" t="s">
        <v>8</v>
      </c>
      <c r="B3" s="150">
        <v>187</v>
      </c>
      <c r="C3" s="151"/>
      <c r="E3" s="63" t="s">
        <v>73</v>
      </c>
      <c r="F3" s="60" t="s">
        <v>28</v>
      </c>
      <c r="G3" s="47">
        <v>28</v>
      </c>
      <c r="H3" s="135">
        <f>IF(B$17=0,0,G3/B$17)</f>
        <v>0.50909090909090904</v>
      </c>
      <c r="I3" s="96">
        <v>8</v>
      </c>
      <c r="K3" s="38">
        <v>1</v>
      </c>
      <c r="L3" s="101">
        <v>-82.6</v>
      </c>
      <c r="N3" s="117" t="s">
        <v>133</v>
      </c>
      <c r="O3" s="124">
        <f t="shared" si="0"/>
        <v>-625</v>
      </c>
      <c r="P3" s="121">
        <v>20</v>
      </c>
      <c r="Q3" s="105">
        <v>-12500</v>
      </c>
    </row>
    <row r="4" spans="1:17" x14ac:dyDescent="0.4">
      <c r="A4" s="55" t="s">
        <v>6</v>
      </c>
      <c r="B4" s="152">
        <v>-182.79999999999993</v>
      </c>
      <c r="C4" s="153"/>
      <c r="E4" s="63" t="s">
        <v>65</v>
      </c>
      <c r="F4" s="60" t="s">
        <v>21</v>
      </c>
      <c r="G4" s="47">
        <v>21</v>
      </c>
      <c r="H4" s="135">
        <f>IF(B$17=0,0,G4/B$17)</f>
        <v>0.38181818181818183</v>
      </c>
      <c r="I4" s="96">
        <v>9</v>
      </c>
      <c r="K4" s="38">
        <v>2</v>
      </c>
      <c r="L4" s="101">
        <v>-122.3</v>
      </c>
      <c r="N4" s="117" t="s">
        <v>134</v>
      </c>
      <c r="O4" s="124">
        <f t="shared" si="0"/>
        <v>-1088.8888888888889</v>
      </c>
      <c r="P4" s="121">
        <v>18</v>
      </c>
      <c r="Q4" s="105">
        <v>-19600</v>
      </c>
    </row>
    <row r="5" spans="1:17" x14ac:dyDescent="0.4">
      <c r="A5" s="55" t="s">
        <v>7</v>
      </c>
      <c r="B5" s="154">
        <f>IF(B$2=0,0,B$4/B$2)</f>
        <v>-9.139999999999997</v>
      </c>
      <c r="C5" s="155"/>
      <c r="E5" s="63" t="s">
        <v>69</v>
      </c>
      <c r="F5" s="60" t="s">
        <v>12</v>
      </c>
      <c r="G5" s="47">
        <v>20</v>
      </c>
      <c r="H5" s="135">
        <f>IF(B$17=0,0,G5/B$17)</f>
        <v>0.36363636363636365</v>
      </c>
      <c r="I5" s="96">
        <v>3</v>
      </c>
      <c r="K5" s="38">
        <v>3</v>
      </c>
      <c r="L5" s="101">
        <v>-149</v>
      </c>
      <c r="N5" s="117" t="s">
        <v>135</v>
      </c>
      <c r="O5" s="124">
        <f t="shared" si="0"/>
        <v>-3205.8823529411766</v>
      </c>
      <c r="P5" s="121">
        <v>17</v>
      </c>
      <c r="Q5" s="105">
        <v>-54500</v>
      </c>
    </row>
    <row r="6" spans="1:17" x14ac:dyDescent="0.4">
      <c r="A6" s="55" t="s">
        <v>1</v>
      </c>
      <c r="B6" s="144">
        <f>IF(B$2=0,0,(B$7*1+B$8*2+B$9*3)/B$2)</f>
        <v>2.1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0.25454545454545452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1237.5</v>
      </c>
      <c r="P6" s="121">
        <v>16</v>
      </c>
      <c r="Q6" s="105">
        <v>19800</v>
      </c>
    </row>
    <row r="7" spans="1:17" x14ac:dyDescent="0.4">
      <c r="A7" s="55" t="s">
        <v>2</v>
      </c>
      <c r="B7" s="47">
        <v>5</v>
      </c>
      <c r="C7" s="39">
        <f>IF(B$2=0,0,B7/B$2)</f>
        <v>0.25</v>
      </c>
      <c r="E7" s="63" t="s">
        <v>68</v>
      </c>
      <c r="F7" s="60" t="s">
        <v>24</v>
      </c>
      <c r="G7" s="47">
        <v>7</v>
      </c>
      <c r="H7" s="135">
        <f>IF(B$17=0,0,G7/B$17)</f>
        <v>0.12727272727272726</v>
      </c>
      <c r="I7" s="96">
        <v>10</v>
      </c>
      <c r="K7" s="38">
        <v>5</v>
      </c>
      <c r="L7" s="101">
        <v>-184.89999999999998</v>
      </c>
      <c r="N7" s="118" t="s">
        <v>137</v>
      </c>
      <c r="O7" s="125">
        <f t="shared" si="0"/>
        <v>306.66666666666669</v>
      </c>
      <c r="P7" s="122">
        <v>15</v>
      </c>
      <c r="Q7" s="106">
        <v>4600</v>
      </c>
    </row>
    <row r="8" spans="1:17" x14ac:dyDescent="0.4">
      <c r="A8" s="55" t="s">
        <v>3</v>
      </c>
      <c r="B8" s="47">
        <v>8</v>
      </c>
      <c r="C8" s="39">
        <f>IF(B$2=0,0,B8/B$2)</f>
        <v>0.4</v>
      </c>
      <c r="E8" s="63" t="s">
        <v>71</v>
      </c>
      <c r="F8" s="60" t="s">
        <v>26</v>
      </c>
      <c r="G8" s="47">
        <v>7</v>
      </c>
      <c r="H8" s="135">
        <f>IF(B$17=0,0,G8/B$17)</f>
        <v>0.12727272727272726</v>
      </c>
      <c r="I8" s="96">
        <v>3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0.35</v>
      </c>
      <c r="E9" s="63" t="s">
        <v>90</v>
      </c>
      <c r="F9" s="60" t="s">
        <v>45</v>
      </c>
      <c r="G9" s="47">
        <v>7</v>
      </c>
      <c r="H9" s="135">
        <f>IF(B$17=0,0,G9/B$17)</f>
        <v>0.12727272727272726</v>
      </c>
      <c r="I9" s="96">
        <v>8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</v>
      </c>
      <c r="E10" s="63" t="s">
        <v>70</v>
      </c>
      <c r="F10" s="60" t="s">
        <v>25</v>
      </c>
      <c r="G10" s="47">
        <v>5</v>
      </c>
      <c r="H10" s="135">
        <f>IF(B$17=0,0,G10/B$17)</f>
        <v>9.0909090909090912E-2</v>
      </c>
      <c r="I10" s="96">
        <v>11</v>
      </c>
      <c r="K10" s="38">
        <v>8</v>
      </c>
      <c r="L10" s="101">
        <v>-219.59999999999997</v>
      </c>
      <c r="N10" s="116" t="s">
        <v>165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140</v>
      </c>
      <c r="B11" s="48">
        <v>1</v>
      </c>
      <c r="C11" s="40">
        <f>IF(B$2=0,0,B11/B$2)</f>
        <v>0.05</v>
      </c>
      <c r="E11" s="63" t="s">
        <v>72</v>
      </c>
      <c r="F11" s="60" t="s">
        <v>27</v>
      </c>
      <c r="G11" s="47">
        <v>4</v>
      </c>
      <c r="H11" s="135">
        <f>IF(B$17=0,0,G11/B$17)</f>
        <v>7.2727272727272724E-2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-4.4272727272727259</v>
      </c>
      <c r="P11" s="121">
        <v>11</v>
      </c>
      <c r="Q11" s="109">
        <v>-48.699999999999982</v>
      </c>
    </row>
    <row r="12" spans="1:17" x14ac:dyDescent="0.4">
      <c r="A12" s="57" t="s">
        <v>160</v>
      </c>
      <c r="B12" s="49">
        <v>1</v>
      </c>
      <c r="C12" s="42">
        <f>IF(B$2=0,0,B12/B$2)</f>
        <v>0.05</v>
      </c>
      <c r="E12" s="63" t="s">
        <v>84</v>
      </c>
      <c r="F12" s="60" t="s">
        <v>39</v>
      </c>
      <c r="G12" s="47">
        <v>2</v>
      </c>
      <c r="H12" s="135">
        <f>IF(B$17=0,0,G12/B$17)</f>
        <v>3.6363636363636362E-2</v>
      </c>
      <c r="I12" s="96">
        <v>5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39</v>
      </c>
      <c r="C13" s="44">
        <f>IF(B$3=0,0,B13/B$3)</f>
        <v>0.20855614973262032</v>
      </c>
      <c r="E13" s="63" t="s">
        <v>87</v>
      </c>
      <c r="F13" s="60" t="s">
        <v>42</v>
      </c>
      <c r="G13" s="47">
        <v>2</v>
      </c>
      <c r="H13" s="135">
        <f>IF(B$17=0,0,G13/B$17)</f>
        <v>3.6363636363636362E-2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43</v>
      </c>
      <c r="C14" s="39">
        <f>IF(B$3=0,0,B14/B$3)</f>
        <v>0.22994652406417113</v>
      </c>
      <c r="E14" s="63" t="s">
        <v>66</v>
      </c>
      <c r="F14" s="60" t="s">
        <v>22</v>
      </c>
      <c r="G14" s="47">
        <v>1</v>
      </c>
      <c r="H14" s="135">
        <f>IF(B$17=0,0,G14/B$17)</f>
        <v>1.8181818181818181E-2</v>
      </c>
      <c r="I14" s="96">
        <v>9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0.53846153846153844</v>
      </c>
      <c r="E15" s="63" t="s">
        <v>80</v>
      </c>
      <c r="F15" s="60" t="s">
        <v>35</v>
      </c>
      <c r="G15" s="47">
        <v>1</v>
      </c>
      <c r="H15" s="135">
        <f>IF(B$17=0,0,G15/B$17)</f>
        <v>1.8181818181818181E-2</v>
      </c>
      <c r="I15" s="96">
        <v>2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15</v>
      </c>
      <c r="C16" s="37">
        <f>IF(B$14=0,0,B16/B$14)</f>
        <v>0.34883720930232559</v>
      </c>
      <c r="E16" s="63" t="s">
        <v>92</v>
      </c>
      <c r="F16" s="60" t="s">
        <v>47</v>
      </c>
      <c r="G16" s="47">
        <v>1</v>
      </c>
      <c r="H16" s="135">
        <f>IF(B$17=0,0,G16/B$17)</f>
        <v>1.8181818181818181E-2</v>
      </c>
      <c r="I16" s="96">
        <v>4</v>
      </c>
      <c r="K16" s="38">
        <v>14</v>
      </c>
      <c r="L16" s="101">
        <v>-269.99999999999994</v>
      </c>
      <c r="N16" s="117" t="s">
        <v>128</v>
      </c>
      <c r="O16" s="127">
        <f>IF(P16=0,0,Q16/P16)</f>
        <v>6.9818181818181841</v>
      </c>
      <c r="P16" s="121">
        <v>11</v>
      </c>
      <c r="Q16" s="109">
        <v>76.800000000000026</v>
      </c>
    </row>
    <row r="17" spans="1:17" x14ac:dyDescent="0.4">
      <c r="A17" s="54" t="s">
        <v>10</v>
      </c>
      <c r="B17" s="46">
        <f>B19+B18</f>
        <v>55</v>
      </c>
      <c r="C17" s="37">
        <f>IF(B$3=0,0,B17/B$3)</f>
        <v>0.29411764705882354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K17" s="38">
        <v>15</v>
      </c>
      <c r="L17" s="101">
        <v>-264.59999999999997</v>
      </c>
      <c r="N17" s="117" t="s">
        <v>173</v>
      </c>
      <c r="O17" s="127">
        <f>IF(P17=0,0,Q17/P17)</f>
        <v>-0.8000000000000016</v>
      </c>
      <c r="P17" s="121">
        <v>4</v>
      </c>
      <c r="Q17" s="109">
        <v>-3.2000000000000064</v>
      </c>
    </row>
    <row r="18" spans="1:17" x14ac:dyDescent="0.4">
      <c r="A18" s="55" t="s">
        <v>12</v>
      </c>
      <c r="B18" s="47">
        <v>27</v>
      </c>
      <c r="C18" s="39">
        <f>IF(B$17=0,0,B18/B$17)</f>
        <v>0.49090909090909091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-292.79999999999995</v>
      </c>
      <c r="N18" s="117" t="s">
        <v>172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28</v>
      </c>
      <c r="C19" s="39">
        <f>IF(B$17=0,0,B19/B$17)</f>
        <v>0.50909090909090904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-248.89999999999995</v>
      </c>
      <c r="N19" s="117" t="s">
        <v>178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40</v>
      </c>
      <c r="C20" s="39">
        <f>IF(B$3=0,0,B20/B$3)</f>
        <v>0.21390374331550802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-218.99999999999994</v>
      </c>
      <c r="N20" s="117" t="s">
        <v>186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-188.59999999999994</v>
      </c>
      <c r="N21" s="117" t="s">
        <v>127</v>
      </c>
      <c r="O21" s="127">
        <f>IF(P21=0,0,Q21/P21)</f>
        <v>-58.23749999999999</v>
      </c>
      <c r="P21" s="121">
        <v>8</v>
      </c>
      <c r="Q21" s="109">
        <v>-465.89999999999992</v>
      </c>
    </row>
    <row r="22" spans="1:17" x14ac:dyDescent="0.4">
      <c r="A22" s="55" t="s">
        <v>195</v>
      </c>
      <c r="B22" s="47">
        <v>14</v>
      </c>
      <c r="C22" s="137">
        <v>5</v>
      </c>
      <c r="E22" s="63" t="s">
        <v>79</v>
      </c>
      <c r="F22" s="60" t="s">
        <v>34</v>
      </c>
      <c r="G22" s="47">
        <v>0</v>
      </c>
      <c r="H22" s="135">
        <f>IF(B$17=0,0,G22/B$17)</f>
        <v>0</v>
      </c>
      <c r="I22" s="96">
        <v>7</v>
      </c>
      <c r="K22" s="38">
        <v>20</v>
      </c>
      <c r="L22" s="101">
        <v>-182.79999999999993</v>
      </c>
    </row>
    <row r="23" spans="1:17" x14ac:dyDescent="0.4">
      <c r="A23" s="55" t="s">
        <v>5</v>
      </c>
      <c r="B23" s="51">
        <f>IF(B$17=0,0,C23/B$17)</f>
        <v>6392.727272727273</v>
      </c>
      <c r="C23" s="41">
        <v>351600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-7957.5</v>
      </c>
      <c r="C24" s="45">
        <v>-318300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58900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5.3475935828877002E-3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8BCE-B841-4AA3-9BE3-9B2F1BC2BE06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11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8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9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9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7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25DBA-3880-482B-ADFF-FCEEC9E132BB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2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20DAF-3F57-4B0A-B55A-B068C844A9E6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3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51431-25E5-46B3-BC0B-D2ED73BE30AC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</v>
      </c>
      <c r="C2" s="149"/>
      <c r="E2" s="62" t="s">
        <v>67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0">
        <v>11</v>
      </c>
      <c r="C3" s="151"/>
      <c r="E3" s="63" t="s">
        <v>68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2">
        <v>-12.5</v>
      </c>
      <c r="C4" s="153"/>
      <c r="E4" s="63" t="s">
        <v>65</v>
      </c>
      <c r="F4" s="60" t="s">
        <v>21</v>
      </c>
      <c r="G4" s="47">
        <v>1</v>
      </c>
      <c r="H4" s="135">
        <f>IF(B$17=0,0,G4/B$17)</f>
        <v>0.5</v>
      </c>
      <c r="I4" s="96">
        <v>6</v>
      </c>
      <c r="N4" s="117" t="s">
        <v>134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4">
        <f>IF(B$2=0,0,B$4/B$2)</f>
        <v>-12.5</v>
      </c>
      <c r="C5" s="155"/>
      <c r="E5" s="63" t="s">
        <v>66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135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136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137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28</v>
      </c>
      <c r="G8" s="47">
        <v>1</v>
      </c>
      <c r="H8" s="135">
        <f>IF(B$17=0,0,G8/B$17)</f>
        <v>0.5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1</v>
      </c>
      <c r="H9" s="135">
        <f>IF(B$17=0,0,G9/B$17)</f>
        <v>0.5</v>
      </c>
      <c r="I9" s="96">
        <v>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182</v>
      </c>
      <c r="F10" s="60" t="s">
        <v>183</v>
      </c>
      <c r="G10" s="47">
        <v>1</v>
      </c>
      <c r="H10" s="135">
        <f>IF(B$17=0,0,G10/B$17)</f>
        <v>0.5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0</v>
      </c>
      <c r="H11" s="135">
        <f>IF(B$17=0,0,G11/B$17)</f>
        <v>0</v>
      </c>
      <c r="I11" s="96">
        <v>9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5">
        <f>IF(B$17=0,0,G13/B$17)</f>
        <v>0</v>
      </c>
      <c r="I13" s="96">
        <v>4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172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173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78</v>
      </c>
      <c r="F17" s="60" t="s">
        <v>33</v>
      </c>
      <c r="G17" s="47">
        <v>0</v>
      </c>
      <c r="H17" s="135">
        <f>IF(B$17=0,0,G17/B$17)</f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5">
        <f>IF(B$17=0,0,G19/B$17)</f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81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194</v>
      </c>
      <c r="B21" s="47">
        <v>1</v>
      </c>
      <c r="C21" s="137">
        <v>0</v>
      </c>
      <c r="E21" s="63" t="s">
        <v>82</v>
      </c>
      <c r="F21" s="60" t="s">
        <v>37</v>
      </c>
      <c r="G21" s="47">
        <v>0</v>
      </c>
      <c r="H21" s="135">
        <f>IF(B$17=0,0,G21/B$17)</f>
        <v>0</v>
      </c>
      <c r="I21" s="96">
        <v>7</v>
      </c>
    </row>
    <row r="22" spans="1:9" x14ac:dyDescent="0.4">
      <c r="A22" s="55" t="s">
        <v>195</v>
      </c>
      <c r="B22" s="47">
        <v>5</v>
      </c>
      <c r="C22" s="137">
        <v>5</v>
      </c>
      <c r="E22" s="63" t="s">
        <v>83</v>
      </c>
      <c r="F22" s="60" t="s">
        <v>38</v>
      </c>
      <c r="G22" s="47">
        <v>0</v>
      </c>
      <c r="H22" s="135">
        <f>IF(B$17=0,0,G22/B$17)</f>
        <v>0</v>
      </c>
      <c r="I22" s="96">
        <v>1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84</v>
      </c>
      <c r="F23" s="60" t="s">
        <v>39</v>
      </c>
      <c r="G23" s="47">
        <v>0</v>
      </c>
      <c r="H23" s="135">
        <f>IF(B$17=0,0,G23/B$17)</f>
        <v>0</v>
      </c>
      <c r="I23" s="96">
        <v>10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9" x14ac:dyDescent="0.4">
      <c r="A25" s="92" t="s">
        <v>142</v>
      </c>
      <c r="B25" s="142">
        <v>3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152</v>
      </c>
      <c r="B26" s="140">
        <v>22500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9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9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9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9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FC12-2087-48C3-8952-BB6D13BE6ECD}">
  <sheetPr codeName="Sheet2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CCFC-BB77-4114-8D06-D3C2F87643C2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B0EA2-6BE8-4D15-9CA5-D3144222151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42A8-1CD1-4531-A58A-3F37AC2E2237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55B5C-2691-4F83-AD32-CE56B4C7AB60}">
  <sheetPr codeName="Sheet18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C9DA5-ED08-4FBB-875B-8E50A4481820}">
  <sheetPr codeName="Sheet16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73D3F-2AE6-4FC5-8E88-6003B35F4FA9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2951-9791-482E-B732-24BA5485412E}">
  <sheetPr codeName="Sheet12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CACF4-7A52-4AAB-9576-D86E8F14778F}">
  <sheetPr codeName="Sheet10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0D6F3-98EF-454B-B407-4100461C799C}">
  <sheetPr codeName="Sheet8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B1AF-CC24-4EEF-B56E-310AFEC8EB0E}">
  <sheetPr codeName="Sheet6"/>
  <dimension ref="A1:Q7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</vt:vector>
  </HeadingPairs>
  <TitlesOfParts>
    <vt:vector size="4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2019-04-19T16:58:27Z</dcterms:modified>
</cp:coreProperties>
</file>