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7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8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9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0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1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2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3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5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6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7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8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9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0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31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2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"/>
    </mc:Choice>
  </mc:AlternateContent>
  <xr:revisionPtr revIDLastSave="0" documentId="13_ncr:1_{0D8B62A9-C4F6-44C4-BD45-202A203479CF}" xr6:coauthVersionLast="36" xr6:coauthVersionMax="36" xr10:uidLastSave="{00000000-0000-0000-0000-000000000000}"/>
  <bookViews>
    <workbookView xWindow="0" yWindow="0" windowWidth="28800" windowHeight="13050" tabRatio="663" firstSheet="4" activeTab="7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505" r:id="rId6"/>
    <sheet name="だいち" sheetId="5507" r:id="rId7"/>
    <sheet name="りくと" sheetId="5509" r:id="rId8"/>
    <sheet name="ただ" sheetId="5511" r:id="rId9"/>
    <sheet name="れんたろう" sheetId="5513" r:id="rId10"/>
    <sheet name="たかの" sheetId="5515" r:id="rId11"/>
    <sheet name="ぱぱ" sheetId="5517" r:id="rId12"/>
    <sheet name="まっつん" sheetId="5519" r:id="rId13"/>
    <sheet name="あさひ" sheetId="5521" r:id="rId14"/>
    <sheet name="いっしー" sheetId="5523" r:id="rId15"/>
    <sheet name="ほたに" sheetId="5525" r:id="rId16"/>
    <sheet name="かわたつ" sheetId="5527" r:id="rId17"/>
    <sheet name="やがさき" sheetId="5529" r:id="rId18"/>
    <sheet name="のり" sheetId="5531" r:id="rId19"/>
    <sheet name="のり2" sheetId="5532" state="hidden" r:id="rId20"/>
    <sheet name="やがさき2" sheetId="5530" state="hidden" r:id="rId21"/>
    <sheet name="かわたつ2" sheetId="5528" state="hidden" r:id="rId22"/>
    <sheet name="ほたに2" sheetId="5526" state="hidden" r:id="rId23"/>
    <sheet name="いっしー2" sheetId="5524" state="hidden" r:id="rId24"/>
    <sheet name="あさひ2" sheetId="5522" state="hidden" r:id="rId25"/>
    <sheet name="まっつん2" sheetId="5520" state="hidden" r:id="rId26"/>
    <sheet name="ぱぱ2" sheetId="5518" state="hidden" r:id="rId27"/>
    <sheet name="たかの2" sheetId="5516" state="hidden" r:id="rId28"/>
    <sheet name="れんたろう2" sheetId="5514" state="hidden" r:id="rId29"/>
    <sheet name="ただ2" sheetId="5512" state="hidden" r:id="rId30"/>
    <sheet name="りくと2" sheetId="5510" state="hidden" r:id="rId31"/>
    <sheet name="だいち2" sheetId="5508" state="hidden" r:id="rId32"/>
    <sheet name="全体2" sheetId="5506" state="hidden" r:id="rId33"/>
    <sheet name="通算スコア" sheetId="3331" state="hidden" r:id="rId34"/>
    <sheet name="平均スコア" sheetId="3493" state="hidden" r:id="rId35"/>
    <sheet name="平均順位" sheetId="3183" state="hidden" r:id="rId36"/>
    <sheet name="トップ率" sheetId="3185" state="hidden" r:id="rId37"/>
    <sheet name="ラス率" sheetId="4886" state="hidden" r:id="rId38"/>
    <sheet name="アガリ率" sheetId="3189" state="hidden" r:id="rId39"/>
    <sheet name="放銃率" sheetId="3190" state="hidden" r:id="rId40"/>
    <sheet name="平均アガリ点" sheetId="3520" state="hidden" r:id="rId41"/>
    <sheet name="平均放銃点" sheetId="3521" state="hidden" r:id="rId42"/>
    <sheet name="ふっとび率" sheetId="3522" state="hidden" r:id="rId43"/>
    <sheet name="ふっとばし率" sheetId="3523" state="hidden" r:id="rId44"/>
    <sheet name="リーチ率" sheetId="3524" state="hidden" r:id="rId45"/>
    <sheet name="副露率" sheetId="3525" state="hidden" r:id="rId46"/>
    <sheet name="リーチ成功率" sheetId="4841" state="hidden" r:id="rId47"/>
    <sheet name="副露成功率" sheetId="3527" state="hidden" r:id="rId48"/>
    <sheet name="ツモ率" sheetId="3528" state="hidden" r:id="rId49"/>
  </sheets>
  <definedNames>
    <definedName name="アガリ数" localSheetId="13">あさひ!$B$17</definedName>
    <definedName name="アガリ数" localSheetId="14">いっしー!$B$17</definedName>
    <definedName name="アガリ数" localSheetId="16">かわたつ!$B$17</definedName>
    <definedName name="アガリ数" localSheetId="6">だいち!$B$17</definedName>
    <definedName name="アガリ数" localSheetId="10">たかの!$B$17</definedName>
    <definedName name="アガリ数" localSheetId="8">ただ!$B$17</definedName>
    <definedName name="アガリ数" localSheetId="18">のり!$B$17</definedName>
    <definedName name="アガリ数" localSheetId="11">ぱぱ!$B$17</definedName>
    <definedName name="アガリ数" localSheetId="15">ほたに!$B$17</definedName>
    <definedName name="アガリ数" localSheetId="12">まっつん!$B$17</definedName>
    <definedName name="アガリ数" localSheetId="17">やがさき!$B$17</definedName>
    <definedName name="アガリ数" localSheetId="7">りくと!$B$17</definedName>
    <definedName name="アガリ数" localSheetId="9">れんたろう!$B$17</definedName>
    <definedName name="アガリ数" localSheetId="5">全体!$B$17</definedName>
    <definedName name="アガリ数">Template1!$B$17</definedName>
    <definedName name="アガリ率" localSheetId="13">あさひ!$C$17</definedName>
    <definedName name="アガリ率" localSheetId="14">いっしー!$C$17</definedName>
    <definedName name="アガリ率" localSheetId="16">かわたつ!$C$17</definedName>
    <definedName name="アガリ率" localSheetId="6">だいち!$C$17</definedName>
    <definedName name="アガリ率" localSheetId="10">たかの!$C$17</definedName>
    <definedName name="アガリ率" localSheetId="8">ただ!$C$17</definedName>
    <definedName name="アガリ率" localSheetId="18">のり!$C$17</definedName>
    <definedName name="アガリ率" localSheetId="11">ぱぱ!$C$17</definedName>
    <definedName name="アガリ率" localSheetId="15">ほたに!$C$17</definedName>
    <definedName name="アガリ率" localSheetId="12">まっつん!$C$17</definedName>
    <definedName name="アガリ率" localSheetId="17">やがさき!$C$17</definedName>
    <definedName name="アガリ率" localSheetId="7">りくと!$C$17</definedName>
    <definedName name="アガリ率" localSheetId="9">れんたろう!$C$17</definedName>
    <definedName name="アガリ率" localSheetId="5">全体!$C$17</definedName>
    <definedName name="アガリ率">Template1!$C$17</definedName>
    <definedName name="チョンボ数" localSheetId="13">あさひ!$B$27</definedName>
    <definedName name="チョンボ数" localSheetId="14">いっしー!$B$27</definedName>
    <definedName name="チョンボ数" localSheetId="16">かわたつ!$B$27</definedName>
    <definedName name="チョンボ数" localSheetId="6">だいち!$B$27</definedName>
    <definedName name="チョンボ数" localSheetId="10">たかの!$B$27</definedName>
    <definedName name="チョンボ数" localSheetId="8">ただ!$B$27</definedName>
    <definedName name="チョンボ数" localSheetId="18">のり!$B$27</definedName>
    <definedName name="チョンボ数" localSheetId="11">ぱぱ!$B$27</definedName>
    <definedName name="チョンボ数" localSheetId="15">ほたに!$B$27</definedName>
    <definedName name="チョンボ数" localSheetId="12">まっつん!$B$27</definedName>
    <definedName name="チョンボ数" localSheetId="17">やがさき!$B$27</definedName>
    <definedName name="チョンボ数" localSheetId="7">りくと!$B$27</definedName>
    <definedName name="チョンボ数" localSheetId="9">れんたろう!$B$27</definedName>
    <definedName name="チョンボ数" localSheetId="5">全体!$B$27</definedName>
    <definedName name="チョンボ数">Template1!$B$27</definedName>
    <definedName name="チョンボ率" localSheetId="13">あさひ!$C$27</definedName>
    <definedName name="チョンボ率" localSheetId="14">いっしー!$C$27</definedName>
    <definedName name="チョンボ率" localSheetId="16">かわたつ!$C$27</definedName>
    <definedName name="チョンボ率" localSheetId="6">だいち!$C$27</definedName>
    <definedName name="チョンボ率" localSheetId="10">たかの!$C$27</definedName>
    <definedName name="チョンボ率" localSheetId="8">ただ!$C$27</definedName>
    <definedName name="チョンボ率" localSheetId="18">のり!$C$27</definedName>
    <definedName name="チョンボ率" localSheetId="11">ぱぱ!$C$27</definedName>
    <definedName name="チョンボ率" localSheetId="15">ほたに!$C$27</definedName>
    <definedName name="チョンボ率" localSheetId="12">まっつん!$C$27</definedName>
    <definedName name="チョンボ率" localSheetId="17">やがさき!$C$27</definedName>
    <definedName name="チョンボ率" localSheetId="7">りくと!$C$27</definedName>
    <definedName name="チョンボ率" localSheetId="9">れんたろう!$C$27</definedName>
    <definedName name="チョンボ率" localSheetId="5">全体!$C$27</definedName>
    <definedName name="チョンボ率">Template1!$C$27</definedName>
    <definedName name="ツモ数" localSheetId="13">あさひ!$B$18</definedName>
    <definedName name="ツモ数" localSheetId="14">いっしー!$B$18</definedName>
    <definedName name="ツモ数" localSheetId="16">かわたつ!$B$18</definedName>
    <definedName name="ツモ数" localSheetId="6">だいち!$B$18</definedName>
    <definedName name="ツモ数" localSheetId="10">たかの!$B$18</definedName>
    <definedName name="ツモ数" localSheetId="8">ただ!$B$18</definedName>
    <definedName name="ツモ数" localSheetId="18">のり!$B$18</definedName>
    <definedName name="ツモ数" localSheetId="11">ぱぱ!$B$18</definedName>
    <definedName name="ツモ数" localSheetId="15">ほたに!$B$18</definedName>
    <definedName name="ツモ数" localSheetId="12">まっつん!$B$18</definedName>
    <definedName name="ツモ数" localSheetId="17">やがさき!$B$18</definedName>
    <definedName name="ツモ数" localSheetId="7">りくと!$B$18</definedName>
    <definedName name="ツモ数" localSheetId="9">れんたろう!$B$18</definedName>
    <definedName name="ツモ数" localSheetId="5">全体!$B$18</definedName>
    <definedName name="ツモ数">Template1!$B$18</definedName>
    <definedName name="ツモ率" localSheetId="13">あさひ!$C$18</definedName>
    <definedName name="ツモ率" localSheetId="14">いっしー!$C$18</definedName>
    <definedName name="ツモ率" localSheetId="16">かわたつ!$C$18</definedName>
    <definedName name="ツモ率" localSheetId="6">だいち!$C$18</definedName>
    <definedName name="ツモ率" localSheetId="10">たかの!$C$18</definedName>
    <definedName name="ツモ率" localSheetId="8">ただ!$C$18</definedName>
    <definedName name="ツモ率" localSheetId="18">のり!$C$18</definedName>
    <definedName name="ツモ率" localSheetId="11">ぱぱ!$C$18</definedName>
    <definedName name="ツモ率" localSheetId="15">ほたに!$C$18</definedName>
    <definedName name="ツモ率" localSheetId="12">まっつん!$C$18</definedName>
    <definedName name="ツモ率" localSheetId="17">やがさき!$C$18</definedName>
    <definedName name="ツモ率" localSheetId="7">りくと!$C$18</definedName>
    <definedName name="ツモ率" localSheetId="9">れんたろう!$C$18</definedName>
    <definedName name="ツモ率" localSheetId="5">全体!$C$18</definedName>
    <definedName name="ツモ率">Template1!$C$18</definedName>
    <definedName name="トップ数" localSheetId="13">あさひ!$B$7</definedName>
    <definedName name="トップ数" localSheetId="14">いっしー!$B$7</definedName>
    <definedName name="トップ数" localSheetId="16">かわたつ!$B$7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8">のり!$B$7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17">やがさき!$B$7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Template1!$B$7</definedName>
    <definedName name="トップ率" localSheetId="13">あさひ!$C$7</definedName>
    <definedName name="トップ率" localSheetId="14">いっしー!$C$7</definedName>
    <definedName name="トップ率" localSheetId="16">かわたつ!$C$7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8">のり!$C$7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17">やがさき!$C$7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Template1!$C$7</definedName>
    <definedName name="ふっとばし数" localSheetId="13">あさひ!$B$11</definedName>
    <definedName name="ふっとばし数" localSheetId="14">いっしー!$B$11</definedName>
    <definedName name="ふっとばし数" localSheetId="16">かわたつ!$B$11</definedName>
    <definedName name="ふっとばし数" localSheetId="6">だいち!$B$11</definedName>
    <definedName name="ふっとばし数" localSheetId="10">たかの!$B$11</definedName>
    <definedName name="ふっとばし数" localSheetId="8">ただ!$B$11</definedName>
    <definedName name="ふっとばし数" localSheetId="18">のり!$B$11</definedName>
    <definedName name="ふっとばし数" localSheetId="11">ぱぱ!$B$11</definedName>
    <definedName name="ふっとばし数" localSheetId="15">ほたに!$B$11</definedName>
    <definedName name="ふっとばし数" localSheetId="12">まっつん!$B$11</definedName>
    <definedName name="ふっとばし数" localSheetId="17">やがさき!$B$11</definedName>
    <definedName name="ふっとばし数" localSheetId="7">りくと!$B$11</definedName>
    <definedName name="ふっとばし数" localSheetId="9">れんたろう!$B$11</definedName>
    <definedName name="ふっとばし数" localSheetId="5">全体!$B$11</definedName>
    <definedName name="ふっとばし数">Template1!$B$11</definedName>
    <definedName name="ふっとばし率" localSheetId="13">あさひ!$C$11</definedName>
    <definedName name="ふっとばし率" localSheetId="14">いっしー!$C$11</definedName>
    <definedName name="ふっとばし率" localSheetId="16">かわたつ!$C$11</definedName>
    <definedName name="ふっとばし率" localSheetId="6">だいち!$C$11</definedName>
    <definedName name="ふっとばし率" localSheetId="10">たかの!$C$11</definedName>
    <definedName name="ふっとばし率" localSheetId="8">ただ!$C$11</definedName>
    <definedName name="ふっとばし率" localSheetId="18">のり!$C$11</definedName>
    <definedName name="ふっとばし率" localSheetId="11">ぱぱ!$C$11</definedName>
    <definedName name="ふっとばし率" localSheetId="15">ほたに!$C$11</definedName>
    <definedName name="ふっとばし率" localSheetId="12">まっつん!$C$11</definedName>
    <definedName name="ふっとばし率" localSheetId="17">やがさき!$C$11</definedName>
    <definedName name="ふっとばし率" localSheetId="7">りくと!$C$11</definedName>
    <definedName name="ふっとばし率" localSheetId="9">れんたろう!$C$11</definedName>
    <definedName name="ふっとばし率" localSheetId="5">全体!$C$11</definedName>
    <definedName name="ふっとばし率">Template1!$C$11</definedName>
    <definedName name="ふっとび数" localSheetId="13">あさひ!$B$10</definedName>
    <definedName name="ふっとび数" localSheetId="14">いっしー!$B$10</definedName>
    <definedName name="ふっとび数" localSheetId="16">かわたつ!$B$10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8">のり!$B$10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17">やがさき!$B$10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Template1!$B$10</definedName>
    <definedName name="ふっとび率" localSheetId="13">あさひ!$C$10</definedName>
    <definedName name="ふっとび率" localSheetId="14">いっしー!$C$10</definedName>
    <definedName name="ふっとび率" localSheetId="16">かわたつ!$C$10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8">のり!$C$10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17">やがさき!$C$10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Template1!$C$10</definedName>
    <definedName name="ラス数" localSheetId="13">あさひ!$B$9</definedName>
    <definedName name="ラス数" localSheetId="14">いっしー!$B$9</definedName>
    <definedName name="ラス数" localSheetId="16">かわたつ!$B$9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8">のり!$B$9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17">やがさき!$B$9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Template1!$B$9</definedName>
    <definedName name="ラス率" localSheetId="13">あさひ!$C$9</definedName>
    <definedName name="ラス率" localSheetId="14">いっしー!$C$9</definedName>
    <definedName name="ラス率" localSheetId="16">かわたつ!$C$9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8">のり!$C$9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17">やがさき!$C$9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Template1!$C$9</definedName>
    <definedName name="リーチ数" localSheetId="13">あさひ!$B$13</definedName>
    <definedName name="リーチ数" localSheetId="14">いっしー!$B$13</definedName>
    <definedName name="リーチ数" localSheetId="16">かわたつ!$B$13</definedName>
    <definedName name="リーチ数" localSheetId="6">だいち!$B$13</definedName>
    <definedName name="リーチ数" localSheetId="10">たかの!$B$13</definedName>
    <definedName name="リーチ数" localSheetId="8">ただ!$B$13</definedName>
    <definedName name="リーチ数" localSheetId="18">のり!$B$13</definedName>
    <definedName name="リーチ数" localSheetId="11">ぱぱ!$B$13</definedName>
    <definedName name="リーチ数" localSheetId="15">ほたに!$B$13</definedName>
    <definedName name="リーチ数" localSheetId="12">まっつん!$B$13</definedName>
    <definedName name="リーチ数" localSheetId="17">やがさき!$B$13</definedName>
    <definedName name="リーチ数" localSheetId="7">りくと!$B$13</definedName>
    <definedName name="リーチ数" localSheetId="9">れんたろう!$B$13</definedName>
    <definedName name="リーチ数" localSheetId="5">全体!$B$13</definedName>
    <definedName name="リーチ数">Template1!$B$13</definedName>
    <definedName name="リーチ成功数" localSheetId="13">あさひ!$B$15</definedName>
    <definedName name="リーチ成功数" localSheetId="14">いっしー!$B$15</definedName>
    <definedName name="リーチ成功数" localSheetId="16">かわたつ!$B$15</definedName>
    <definedName name="リーチ成功数" localSheetId="6">だいち!$B$15</definedName>
    <definedName name="リーチ成功数" localSheetId="10">たかの!$B$15</definedName>
    <definedName name="リーチ成功数" localSheetId="8">ただ!$B$15</definedName>
    <definedName name="リーチ成功数" localSheetId="18">のり!$B$15</definedName>
    <definedName name="リーチ成功数" localSheetId="11">ぱぱ!$B$15</definedName>
    <definedName name="リーチ成功数" localSheetId="15">ほたに!$B$15</definedName>
    <definedName name="リーチ成功数" localSheetId="12">まっつん!$B$15</definedName>
    <definedName name="リーチ成功数" localSheetId="17">やがさき!$B$15</definedName>
    <definedName name="リーチ成功数" localSheetId="7">りくと!$B$15</definedName>
    <definedName name="リーチ成功数" localSheetId="9">れんたろう!$B$15</definedName>
    <definedName name="リーチ成功数" localSheetId="5">全体!$B$15</definedName>
    <definedName name="リーチ成功数">Template1!$B$15</definedName>
    <definedName name="リーチ成功率" localSheetId="13">あさひ!$C$15</definedName>
    <definedName name="リーチ成功率" localSheetId="14">いっしー!$C$15</definedName>
    <definedName name="リーチ成功率" localSheetId="16">かわたつ!$C$15</definedName>
    <definedName name="リーチ成功率" localSheetId="6">だいち!$C$15</definedName>
    <definedName name="リーチ成功率" localSheetId="10">たかの!$C$15</definedName>
    <definedName name="リーチ成功率" localSheetId="8">ただ!$C$15</definedName>
    <definedName name="リーチ成功率" localSheetId="18">のり!$C$15</definedName>
    <definedName name="リーチ成功率" localSheetId="11">ぱぱ!$C$15</definedName>
    <definedName name="リーチ成功率" localSheetId="15">ほたに!$C$15</definedName>
    <definedName name="リーチ成功率" localSheetId="12">まっつん!$C$15</definedName>
    <definedName name="リーチ成功率" localSheetId="17">やがさき!$C$15</definedName>
    <definedName name="リーチ成功率" localSheetId="7">りくと!$C$15</definedName>
    <definedName name="リーチ成功率" localSheetId="9">れんたろう!$C$15</definedName>
    <definedName name="リーチ成功率" localSheetId="5">全体!$C$15</definedName>
    <definedName name="リーチ成功率">Template1!$C$15</definedName>
    <definedName name="リーチ率" localSheetId="13">あさひ!$C$13</definedName>
    <definedName name="リーチ率" localSheetId="14">いっしー!$C$13</definedName>
    <definedName name="リーチ率" localSheetId="16">かわたつ!$C$13</definedName>
    <definedName name="リーチ率" localSheetId="6">だいち!$C$13</definedName>
    <definedName name="リーチ率" localSheetId="10">たかの!$C$13</definedName>
    <definedName name="リーチ率" localSheetId="8">ただ!$C$13</definedName>
    <definedName name="リーチ率" localSheetId="18">のり!$C$13</definedName>
    <definedName name="リーチ率" localSheetId="11">ぱぱ!$C$13</definedName>
    <definedName name="リーチ率" localSheetId="15">ほたに!$C$13</definedName>
    <definedName name="リーチ率" localSheetId="12">まっつん!$C$13</definedName>
    <definedName name="リーチ率" localSheetId="17">やがさき!$C$13</definedName>
    <definedName name="リーチ率" localSheetId="7">りくと!$C$13</definedName>
    <definedName name="リーチ率" localSheetId="9">れんたろう!$C$13</definedName>
    <definedName name="リーチ率" localSheetId="5">全体!$C$13</definedName>
    <definedName name="リーチ率">Template1!$C$13</definedName>
    <definedName name="ロン数" localSheetId="13">あさひ!$B$19</definedName>
    <definedName name="ロン数" localSheetId="14">いっしー!$B$19</definedName>
    <definedName name="ロン数" localSheetId="16">かわたつ!$B$19</definedName>
    <definedName name="ロン数" localSheetId="6">だいち!$B$19</definedName>
    <definedName name="ロン数" localSheetId="10">たかの!$B$19</definedName>
    <definedName name="ロン数" localSheetId="8">ただ!$B$19</definedName>
    <definedName name="ロン数" localSheetId="18">のり!$B$19</definedName>
    <definedName name="ロン数" localSheetId="11">ぱぱ!$B$19</definedName>
    <definedName name="ロン数" localSheetId="15">ほたに!$B$19</definedName>
    <definedName name="ロン数" localSheetId="12">まっつん!$B$19</definedName>
    <definedName name="ロン数" localSheetId="17">やがさき!$B$19</definedName>
    <definedName name="ロン数" localSheetId="7">りくと!$B$19</definedName>
    <definedName name="ロン数" localSheetId="9">れんたろう!$B$19</definedName>
    <definedName name="ロン数" localSheetId="5">全体!$B$19</definedName>
    <definedName name="ロン数">Template1!$B$19</definedName>
    <definedName name="ロン率" localSheetId="13">あさひ!$C$19</definedName>
    <definedName name="ロン率" localSheetId="14">いっしー!$C$19</definedName>
    <definedName name="ロン率" localSheetId="16">かわたつ!$C$19</definedName>
    <definedName name="ロン率" localSheetId="6">だいち!$C$19</definedName>
    <definedName name="ロン率" localSheetId="10">たかの!$C$19</definedName>
    <definedName name="ロン率" localSheetId="8">ただ!$C$19</definedName>
    <definedName name="ロン率" localSheetId="18">のり!$C$19</definedName>
    <definedName name="ロン率" localSheetId="11">ぱぱ!$C$19</definedName>
    <definedName name="ロン率" localSheetId="15">ほたに!$C$19</definedName>
    <definedName name="ロン率" localSheetId="12">まっつん!$C$19</definedName>
    <definedName name="ロン率" localSheetId="17">やがさき!$C$19</definedName>
    <definedName name="ロン率" localSheetId="7">りくと!$C$19</definedName>
    <definedName name="ロン率" localSheetId="9">れんたろう!$C$19</definedName>
    <definedName name="ロン率" localSheetId="5">全体!$C$19</definedName>
    <definedName name="ロン率">Template1!$C$19</definedName>
    <definedName name="逆転数" localSheetId="13">あさひ!$B$12</definedName>
    <definedName name="逆転数" localSheetId="14">いっしー!$B$12</definedName>
    <definedName name="逆転数" localSheetId="16">かわたつ!$B$12</definedName>
    <definedName name="逆転数" localSheetId="6">だいち!$B$12</definedName>
    <definedName name="逆転数" localSheetId="10">たかの!$B$12</definedName>
    <definedName name="逆転数" localSheetId="8">ただ!$B$12</definedName>
    <definedName name="逆転数" localSheetId="18">のり!$B$12</definedName>
    <definedName name="逆転数" localSheetId="11">ぱぱ!$B$12</definedName>
    <definedName name="逆転数" localSheetId="15">ほたに!$B$12</definedName>
    <definedName name="逆転数" localSheetId="12">まっつん!$B$12</definedName>
    <definedName name="逆転数" localSheetId="17">やがさき!$B$12</definedName>
    <definedName name="逆転数" localSheetId="7">りくと!$B$12</definedName>
    <definedName name="逆転数" localSheetId="9">れんたろう!$B$12</definedName>
    <definedName name="逆転数" localSheetId="5">全体!$B$12</definedName>
    <definedName name="逆転数">Template1!$B$12</definedName>
    <definedName name="逆転率" localSheetId="13">あさひ!$C$12</definedName>
    <definedName name="逆転率" localSheetId="14">いっしー!$C$12</definedName>
    <definedName name="逆転率" localSheetId="16">かわたつ!$C$12</definedName>
    <definedName name="逆転率" localSheetId="6">だいち!$C$12</definedName>
    <definedName name="逆転率" localSheetId="10">たかの!$C$12</definedName>
    <definedName name="逆転率" localSheetId="8">ただ!$C$12</definedName>
    <definedName name="逆転率" localSheetId="18">のり!$C$12</definedName>
    <definedName name="逆転率" localSheetId="11">ぱぱ!$C$12</definedName>
    <definedName name="逆転率" localSheetId="15">ほたに!$C$12</definedName>
    <definedName name="逆転率" localSheetId="12">まっつん!$C$12</definedName>
    <definedName name="逆転率" localSheetId="17">やがさき!$C$12</definedName>
    <definedName name="逆転率" localSheetId="7">りくと!$C$12</definedName>
    <definedName name="逆転率" localSheetId="9">れんたろう!$C$12</definedName>
    <definedName name="逆転率" localSheetId="5">全体!$C$12</definedName>
    <definedName name="逆転率">Template1!$C$12</definedName>
    <definedName name="最大ドラ数" localSheetId="13">あさひ!$B$25</definedName>
    <definedName name="最大ドラ数" localSheetId="14">いっしー!$B$25</definedName>
    <definedName name="最大ドラ数" localSheetId="16">かわたつ!$B$25</definedName>
    <definedName name="最大ドラ数" localSheetId="6">だいち!$B$25</definedName>
    <definedName name="最大ドラ数" localSheetId="10">たかの!$B$25</definedName>
    <definedName name="最大ドラ数" localSheetId="8">ただ!$B$25</definedName>
    <definedName name="最大ドラ数" localSheetId="18">のり!$B$25</definedName>
    <definedName name="最大ドラ数" localSheetId="11">ぱぱ!$B$25</definedName>
    <definedName name="最大ドラ数" localSheetId="15">ほたに!$B$25</definedName>
    <definedName name="最大ドラ数" localSheetId="12">まっつん!$B$25</definedName>
    <definedName name="最大ドラ数" localSheetId="17">やがさき!$B$25</definedName>
    <definedName name="最大ドラ数" localSheetId="7">りくと!$B$25</definedName>
    <definedName name="最大ドラ数" localSheetId="9">れんたろう!$B$25</definedName>
    <definedName name="最大ドラ数" localSheetId="5">全体!$B$25</definedName>
    <definedName name="最大ドラ数">Template1!$B$25</definedName>
    <definedName name="最大点数" localSheetId="13">あさひ!$B$26</definedName>
    <definedName name="最大点数" localSheetId="14">いっしー!$B$26</definedName>
    <definedName name="最大点数" localSheetId="16">かわたつ!$B$26</definedName>
    <definedName name="最大点数" localSheetId="6">だいち!$B$26</definedName>
    <definedName name="最大点数" localSheetId="10">たかの!$B$26</definedName>
    <definedName name="最大点数" localSheetId="8">ただ!$B$26</definedName>
    <definedName name="最大点数" localSheetId="18">のり!$B$26</definedName>
    <definedName name="最大点数" localSheetId="11">ぱぱ!$B$26</definedName>
    <definedName name="最大点数" localSheetId="15">ほたに!$B$26</definedName>
    <definedName name="最大点数" localSheetId="12">まっつん!$B$26</definedName>
    <definedName name="最大点数" localSheetId="17">やがさき!$B$26</definedName>
    <definedName name="最大点数" localSheetId="7">りくと!$B$26</definedName>
    <definedName name="最大点数" localSheetId="9">れんたろう!$B$26</definedName>
    <definedName name="最大点数" localSheetId="5">全体!$B$26</definedName>
    <definedName name="最大点数">Template1!$B$26</definedName>
    <definedName name="総局数" localSheetId="13">あさひ!$B$3</definedName>
    <definedName name="総局数" localSheetId="14">いっしー!$B$3</definedName>
    <definedName name="総局数" localSheetId="16">かわたつ!$B$3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8">のり!$B$3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17">やがさき!$B$3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Template1!$B$3</definedName>
    <definedName name="対戦数" localSheetId="13">あさひ!$B$2</definedName>
    <definedName name="対戦数" localSheetId="14">いっしー!$B$2</definedName>
    <definedName name="対戦数" localSheetId="16">かわたつ!$B$2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8">のり!$B$2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17">やがさき!$B$2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Template1!$B$2</definedName>
    <definedName name="通算スコア" localSheetId="13">あさひ!$B$4</definedName>
    <definedName name="通算スコア" localSheetId="14">いっしー!$B$4</definedName>
    <definedName name="通算スコア" localSheetId="16">かわたつ!$B$4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8">のり!$B$4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17">やがさき!$B$4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Template1!$B$4</definedName>
    <definedName name="副露数" localSheetId="13">あさひ!$B$14</definedName>
    <definedName name="副露数" localSheetId="14">いっしー!$B$14</definedName>
    <definedName name="副露数" localSheetId="16">かわたつ!$B$14</definedName>
    <definedName name="副露数" localSheetId="6">だいち!$B$14</definedName>
    <definedName name="副露数" localSheetId="10">たかの!$B$14</definedName>
    <definedName name="副露数" localSheetId="8">ただ!$B$14</definedName>
    <definedName name="副露数" localSheetId="18">のり!$B$14</definedName>
    <definedName name="副露数" localSheetId="11">ぱぱ!$B$14</definedName>
    <definedName name="副露数" localSheetId="15">ほたに!$B$14</definedName>
    <definedName name="副露数" localSheetId="12">まっつん!$B$14</definedName>
    <definedName name="副露数" localSheetId="17">やがさき!$B$14</definedName>
    <definedName name="副露数" localSheetId="7">りくと!$B$14</definedName>
    <definedName name="副露数" localSheetId="9">れんたろう!$B$14</definedName>
    <definedName name="副露数" localSheetId="5">全体!$B$14</definedName>
    <definedName name="副露数">Template1!$B$14</definedName>
    <definedName name="副露成功数" localSheetId="13">あさひ!$B$16</definedName>
    <definedName name="副露成功数" localSheetId="14">いっしー!$B$16</definedName>
    <definedName name="副露成功数" localSheetId="16">かわたつ!$B$16</definedName>
    <definedName name="副露成功数" localSheetId="6">だいち!$B$16</definedName>
    <definedName name="副露成功数" localSheetId="10">たかの!$B$16</definedName>
    <definedName name="副露成功数" localSheetId="8">ただ!$B$16</definedName>
    <definedName name="副露成功数" localSheetId="18">のり!$B$16</definedName>
    <definedName name="副露成功数" localSheetId="11">ぱぱ!$B$16</definedName>
    <definedName name="副露成功数" localSheetId="15">ほたに!$B$16</definedName>
    <definedName name="副露成功数" localSheetId="12">まっつん!$B$16</definedName>
    <definedName name="副露成功数" localSheetId="17">やがさき!$B$16</definedName>
    <definedName name="副露成功数" localSheetId="7">りくと!$B$16</definedName>
    <definedName name="副露成功数" localSheetId="9">れんたろう!$B$16</definedName>
    <definedName name="副露成功数" localSheetId="5">全体!$B$16</definedName>
    <definedName name="副露成功数">Template1!$B$16</definedName>
    <definedName name="副露成功率" localSheetId="13">あさひ!$C$16</definedName>
    <definedName name="副露成功率" localSheetId="14">いっしー!$C$16</definedName>
    <definedName name="副露成功率" localSheetId="16">かわたつ!$C$16</definedName>
    <definedName name="副露成功率" localSheetId="6">だいち!$C$16</definedName>
    <definedName name="副露成功率" localSheetId="10">たかの!$C$16</definedName>
    <definedName name="副露成功率" localSheetId="8">ただ!$C$16</definedName>
    <definedName name="副露成功率" localSheetId="18">のり!$C$16</definedName>
    <definedName name="副露成功率" localSheetId="11">ぱぱ!$C$16</definedName>
    <definedName name="副露成功率" localSheetId="15">ほたに!$C$16</definedName>
    <definedName name="副露成功率" localSheetId="12">まっつん!$C$16</definedName>
    <definedName name="副露成功率" localSheetId="17">やがさき!$C$16</definedName>
    <definedName name="副露成功率" localSheetId="7">りくと!$C$16</definedName>
    <definedName name="副露成功率" localSheetId="9">れんたろう!$C$16</definedName>
    <definedName name="副露成功率" localSheetId="5">全体!$C$16</definedName>
    <definedName name="副露成功率">Template1!$C$16</definedName>
    <definedName name="副露率" localSheetId="13">あさひ!$C$14</definedName>
    <definedName name="副露率" localSheetId="14">いっしー!$C$14</definedName>
    <definedName name="副露率" localSheetId="16">かわたつ!$C$14</definedName>
    <definedName name="副露率" localSheetId="6">だいち!$C$14</definedName>
    <definedName name="副露率" localSheetId="10">たかの!$C$14</definedName>
    <definedName name="副露率" localSheetId="8">ただ!$C$14</definedName>
    <definedName name="副露率" localSheetId="18">のり!$C$14</definedName>
    <definedName name="副露率" localSheetId="11">ぱぱ!$C$14</definedName>
    <definedName name="副露率" localSheetId="15">ほたに!$C$14</definedName>
    <definedName name="副露率" localSheetId="12">まっつん!$C$14</definedName>
    <definedName name="副露率" localSheetId="17">やがさき!$C$14</definedName>
    <definedName name="副露率" localSheetId="7">りくと!$C$14</definedName>
    <definedName name="副露率" localSheetId="9">れんたろう!$C$14</definedName>
    <definedName name="副露率" localSheetId="5">全体!$C$14</definedName>
    <definedName name="副露率">Template1!$C$14</definedName>
    <definedName name="平均アガリ点" localSheetId="13">あさひ!$B$23</definedName>
    <definedName name="平均アガリ点" localSheetId="14">いっしー!$B$23</definedName>
    <definedName name="平均アガリ点" localSheetId="16">かわたつ!$B$23</definedName>
    <definedName name="平均アガリ点" localSheetId="6">だいち!$B$23</definedName>
    <definedName name="平均アガリ点" localSheetId="10">たかの!$B$23</definedName>
    <definedName name="平均アガリ点" localSheetId="8">ただ!$B$23</definedName>
    <definedName name="平均アガリ点" localSheetId="18">のり!$B$23</definedName>
    <definedName name="平均アガリ点" localSheetId="11">ぱぱ!$B$23</definedName>
    <definedName name="平均アガリ点" localSheetId="15">ほたに!$B$23</definedName>
    <definedName name="平均アガリ点" localSheetId="12">まっつん!$B$23</definedName>
    <definedName name="平均アガリ点" localSheetId="17">やがさき!$B$23</definedName>
    <definedName name="平均アガリ点" localSheetId="7">りくと!$B$23</definedName>
    <definedName name="平均アガリ点" localSheetId="9">れんたろう!$B$23</definedName>
    <definedName name="平均アガリ点" localSheetId="5">全体!$B$23</definedName>
    <definedName name="平均アガリ点">Template1!$B$23</definedName>
    <definedName name="平均スコア" localSheetId="13">あさひ!$B$5</definedName>
    <definedName name="平均スコア" localSheetId="14">いっしー!$B$5</definedName>
    <definedName name="平均スコア" localSheetId="16">かわたつ!$B$5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8">のり!$B$5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17">やがさき!$B$5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Template1!$B$5</definedName>
    <definedName name="平均順位" localSheetId="13">あさひ!$B$6</definedName>
    <definedName name="平均順位" localSheetId="14">いっしー!$B$6</definedName>
    <definedName name="平均順位" localSheetId="16">かわたつ!$B$6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8">のり!$B$6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17">やがさき!$B$6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Template1!$B$6</definedName>
    <definedName name="平均放銃点" localSheetId="13">あさひ!$B$24</definedName>
    <definedName name="平均放銃点" localSheetId="14">いっしー!$B$24</definedName>
    <definedName name="平均放銃点" localSheetId="16">かわたつ!$B$24</definedName>
    <definedName name="平均放銃点" localSheetId="6">だいち!$B$24</definedName>
    <definedName name="平均放銃点" localSheetId="10">たかの!$B$24</definedName>
    <definedName name="平均放銃点" localSheetId="8">ただ!$B$24</definedName>
    <definedName name="平均放銃点" localSheetId="18">のり!$B$24</definedName>
    <definedName name="平均放銃点" localSheetId="11">ぱぱ!$B$24</definedName>
    <definedName name="平均放銃点" localSheetId="15">ほたに!$B$24</definedName>
    <definedName name="平均放銃点" localSheetId="12">まっつん!$B$24</definedName>
    <definedName name="平均放銃点" localSheetId="17">やがさき!$B$24</definedName>
    <definedName name="平均放銃点" localSheetId="7">りくと!$B$24</definedName>
    <definedName name="平均放銃点" localSheetId="9">れんたろう!$B$24</definedName>
    <definedName name="平均放銃点" localSheetId="5">全体!$B$24</definedName>
    <definedName name="平均放銃点">Template1!$B$24</definedName>
    <definedName name="放銃数" localSheetId="13">あさひ!$B$20</definedName>
    <definedName name="放銃数" localSheetId="14">いっしー!$B$20</definedName>
    <definedName name="放銃数" localSheetId="16">かわたつ!$B$20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8">のり!$B$20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17">やがさき!$B$20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Template1!$B$20</definedName>
    <definedName name="放銃率" localSheetId="13">あさひ!$C$20</definedName>
    <definedName name="放銃率" localSheetId="14">いっしー!$C$20</definedName>
    <definedName name="放銃率" localSheetId="16">かわたつ!$C$20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8">のり!$C$20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17">やがさき!$C$20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Template1!$C$20</definedName>
    <definedName name="連続アガリ" localSheetId="13">あさひ!$B$21</definedName>
    <definedName name="連続アガリ" localSheetId="14">いっしー!$B$21</definedName>
    <definedName name="連続アガリ" localSheetId="16">かわたつ!$B$21</definedName>
    <definedName name="連続アガリ" localSheetId="6">だいち!$B$21</definedName>
    <definedName name="連続アガリ" localSheetId="10">たかの!$B$21</definedName>
    <definedName name="連続アガリ" localSheetId="8">ただ!$B$21</definedName>
    <definedName name="連続アガリ" localSheetId="18">のり!$B$21</definedName>
    <definedName name="連続アガリ" localSheetId="11">ぱぱ!$B$21</definedName>
    <definedName name="連続アガリ" localSheetId="15">ほたに!$B$21</definedName>
    <definedName name="連続アガリ" localSheetId="12">まっつん!$B$21</definedName>
    <definedName name="連続アガリ" localSheetId="17">やがさき!$B$21</definedName>
    <definedName name="連続アガリ" localSheetId="7">りくと!$B$21</definedName>
    <definedName name="連続アガリ" localSheetId="9">れんたろう!$B$21</definedName>
    <definedName name="連続アガリ" localSheetId="5">全体!$B$21</definedName>
    <definedName name="連続アガリ">Template1!$B$21</definedName>
    <definedName name="連続無放銃" localSheetId="13">あさひ!$B$22</definedName>
    <definedName name="連続無放銃" localSheetId="14">いっしー!$B$22</definedName>
    <definedName name="連続無放銃" localSheetId="16">かわたつ!$B$22</definedName>
    <definedName name="連続無放銃" localSheetId="6">だいち!$B$22</definedName>
    <definedName name="連続無放銃" localSheetId="10">たかの!$B$22</definedName>
    <definedName name="連続無放銃" localSheetId="8">ただ!$B$22</definedName>
    <definedName name="連続無放銃" localSheetId="18">のり!$B$22</definedName>
    <definedName name="連続無放銃" localSheetId="11">ぱぱ!$B$22</definedName>
    <definedName name="連続無放銃" localSheetId="15">ほたに!$B$22</definedName>
    <definedName name="連続無放銃" localSheetId="12">まっつん!$B$22</definedName>
    <definedName name="連続無放銃" localSheetId="17">やがさき!$B$22</definedName>
    <definedName name="連続無放銃" localSheetId="7">りくと!$B$22</definedName>
    <definedName name="連続無放銃" localSheetId="9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5" i="5511" l="1"/>
  <c r="O15" i="5519"/>
  <c r="O15" i="5505"/>
  <c r="O16" i="5531"/>
  <c r="O15" i="5531"/>
  <c r="H40" i="5531"/>
  <c r="H30" i="5531"/>
  <c r="C27" i="5531"/>
  <c r="B24" i="5531"/>
  <c r="C20" i="5531"/>
  <c r="B17" i="5531"/>
  <c r="H2" i="5531" s="1"/>
  <c r="C16" i="5531"/>
  <c r="C15" i="5531"/>
  <c r="C14" i="5531"/>
  <c r="C13" i="5531"/>
  <c r="O12" i="5531"/>
  <c r="C12" i="5531"/>
  <c r="O11" i="5531"/>
  <c r="C11" i="5531"/>
  <c r="O10" i="5531"/>
  <c r="C10" i="5531"/>
  <c r="C9" i="5531"/>
  <c r="C8" i="5531"/>
  <c r="O7" i="5531"/>
  <c r="C7" i="5531"/>
  <c r="O6" i="5531"/>
  <c r="B6" i="5531"/>
  <c r="O5" i="5531"/>
  <c r="B5" i="5531"/>
  <c r="O4" i="5531"/>
  <c r="H4" i="5531"/>
  <c r="O3" i="5531"/>
  <c r="O2" i="5531"/>
  <c r="H17" i="5531" l="1"/>
  <c r="H8" i="5531"/>
  <c r="H11" i="5531"/>
  <c r="H41" i="5531"/>
  <c r="H13" i="5531"/>
  <c r="H22" i="5531"/>
  <c r="H6" i="5531"/>
  <c r="H29" i="5531"/>
  <c r="B23" i="5531"/>
  <c r="H24" i="5531"/>
  <c r="H3" i="5531"/>
  <c r="C17" i="5531"/>
  <c r="H48" i="5531"/>
  <c r="H31" i="5531"/>
  <c r="H7" i="5531"/>
  <c r="H14" i="5531"/>
  <c r="H46" i="5531"/>
  <c r="C18" i="5531"/>
  <c r="H47" i="5531"/>
  <c r="H9" i="5531"/>
  <c r="H15" i="5531"/>
  <c r="H25" i="5531"/>
  <c r="C19" i="5531"/>
  <c r="H49" i="5531"/>
  <c r="H45" i="5531"/>
  <c r="H32" i="5531"/>
  <c r="H33" i="5531"/>
  <c r="H12" i="5531"/>
  <c r="H19" i="5531"/>
  <c r="H37" i="5531"/>
  <c r="H5" i="5531"/>
  <c r="H10" i="5531"/>
  <c r="H26" i="5531"/>
  <c r="H38" i="5531"/>
  <c r="H16" i="5531"/>
  <c r="H20" i="5531"/>
  <c r="H39" i="5531"/>
  <c r="H52" i="5531"/>
  <c r="H21" i="5531"/>
  <c r="H27" i="5531"/>
  <c r="H34" i="5531"/>
  <c r="H42" i="5531"/>
  <c r="H50" i="5531"/>
  <c r="H35" i="5531"/>
  <c r="H43" i="5531"/>
  <c r="H51" i="5531"/>
  <c r="H18" i="5531"/>
  <c r="H23" i="5531"/>
  <c r="H28" i="5531"/>
  <c r="H36" i="5531"/>
  <c r="H44" i="5531"/>
  <c r="O21" i="5525" l="1"/>
  <c r="O17" i="5511"/>
  <c r="O23" i="5523" l="1"/>
  <c r="O15" i="5529"/>
  <c r="O23" i="5517" l="1"/>
  <c r="O15" i="5523"/>
  <c r="O25" i="5507" l="1"/>
  <c r="O17" i="5529"/>
  <c r="O16" i="5511" l="1"/>
  <c r="O23" i="5515"/>
  <c r="O26" i="5505"/>
  <c r="O18" i="5529"/>
  <c r="O16" i="5529"/>
  <c r="C27" i="5529"/>
  <c r="B24" i="5529"/>
  <c r="C20" i="5529"/>
  <c r="B17" i="5529"/>
  <c r="H52" i="5529" s="1"/>
  <c r="C16" i="5529"/>
  <c r="C15" i="5529"/>
  <c r="C14" i="5529"/>
  <c r="C13" i="5529"/>
  <c r="O12" i="5529"/>
  <c r="C12" i="5529"/>
  <c r="O11" i="5529"/>
  <c r="C11" i="5529"/>
  <c r="O10" i="5529"/>
  <c r="H10" i="5529"/>
  <c r="C10" i="5529"/>
  <c r="C9" i="5529"/>
  <c r="H8" i="5529"/>
  <c r="C8" i="5529"/>
  <c r="O7" i="5529"/>
  <c r="C7" i="5529"/>
  <c r="O6" i="5529"/>
  <c r="B6" i="5529"/>
  <c r="O5" i="5529"/>
  <c r="B5" i="5529"/>
  <c r="O4" i="5529"/>
  <c r="H4" i="5529"/>
  <c r="O3" i="5529"/>
  <c r="O2" i="5529"/>
  <c r="H2" i="5529"/>
  <c r="O15" i="5527"/>
  <c r="O16" i="5527"/>
  <c r="C27" i="5527"/>
  <c r="B24" i="5527"/>
  <c r="C20" i="5527"/>
  <c r="C17" i="5527"/>
  <c r="B17" i="5527"/>
  <c r="H52" i="5527" s="1"/>
  <c r="C16" i="5527"/>
  <c r="C15" i="5527"/>
  <c r="C14" i="5527"/>
  <c r="C13" i="5527"/>
  <c r="O12" i="5527"/>
  <c r="C12" i="5527"/>
  <c r="O11" i="5527"/>
  <c r="C11" i="5527"/>
  <c r="O10" i="5527"/>
  <c r="H10" i="5527"/>
  <c r="C10" i="5527"/>
  <c r="C9" i="5527"/>
  <c r="H8" i="5527"/>
  <c r="C8" i="5527"/>
  <c r="O7" i="5527"/>
  <c r="C7" i="5527"/>
  <c r="O6" i="5527"/>
  <c r="B6" i="5527"/>
  <c r="O5" i="5527"/>
  <c r="B5" i="5527"/>
  <c r="O4" i="5527"/>
  <c r="H4" i="5527"/>
  <c r="O3" i="5527"/>
  <c r="O2" i="5527"/>
  <c r="H2" i="5527"/>
  <c r="O23" i="5513"/>
  <c r="O16" i="5507"/>
  <c r="O25" i="5505"/>
  <c r="C17" i="5529" l="1"/>
  <c r="H20" i="5529"/>
  <c r="H26" i="5529"/>
  <c r="H33" i="5529"/>
  <c r="H49" i="5529"/>
  <c r="H13" i="5529"/>
  <c r="C19" i="5529"/>
  <c r="H21" i="5529"/>
  <c r="H34" i="5529"/>
  <c r="H38" i="5529"/>
  <c r="H42" i="5529"/>
  <c r="H50" i="5529"/>
  <c r="H3" i="5529"/>
  <c r="H6" i="5529"/>
  <c r="H9" i="5529"/>
  <c r="H12" i="5529"/>
  <c r="H17" i="5529"/>
  <c r="H19" i="5529"/>
  <c r="H22" i="5529"/>
  <c r="H24" i="5529"/>
  <c r="H27" i="5529"/>
  <c r="H31" i="5529"/>
  <c r="H35" i="5529"/>
  <c r="H39" i="5529"/>
  <c r="H43" i="5529"/>
  <c r="H47" i="5529"/>
  <c r="H51" i="5529"/>
  <c r="H18" i="5529"/>
  <c r="H23" i="5529"/>
  <c r="H29" i="5529"/>
  <c r="H37" i="5529"/>
  <c r="H41" i="5529"/>
  <c r="H45" i="5529"/>
  <c r="H7" i="5529"/>
  <c r="H15" i="5529"/>
  <c r="H30" i="5529"/>
  <c r="H46" i="5529"/>
  <c r="H5" i="5529"/>
  <c r="H11" i="5529"/>
  <c r="H14" i="5529"/>
  <c r="H16" i="5529"/>
  <c r="C18" i="5529"/>
  <c r="B23" i="5529"/>
  <c r="H25" i="5529"/>
  <c r="H28" i="5529"/>
  <c r="H32" i="5529"/>
  <c r="H36" i="5529"/>
  <c r="H40" i="5529"/>
  <c r="H44" i="5529"/>
  <c r="H48" i="5529"/>
  <c r="H18" i="5527"/>
  <c r="H23" i="5527"/>
  <c r="H29" i="5527"/>
  <c r="H37" i="5527"/>
  <c r="H45" i="5527"/>
  <c r="H30" i="5527"/>
  <c r="H34" i="5527"/>
  <c r="H38" i="5527"/>
  <c r="H42" i="5527"/>
  <c r="H50" i="5527"/>
  <c r="H3" i="5527"/>
  <c r="H6" i="5527"/>
  <c r="H9" i="5527"/>
  <c r="H12" i="5527"/>
  <c r="H17" i="5527"/>
  <c r="H19" i="5527"/>
  <c r="H22" i="5527"/>
  <c r="H24" i="5527"/>
  <c r="H27" i="5527"/>
  <c r="H31" i="5527"/>
  <c r="H35" i="5527"/>
  <c r="H39" i="5527"/>
  <c r="H43" i="5527"/>
  <c r="H47" i="5527"/>
  <c r="H51" i="5527"/>
  <c r="H20" i="5527"/>
  <c r="H26" i="5527"/>
  <c r="H33" i="5527"/>
  <c r="H41" i="5527"/>
  <c r="H49" i="5527"/>
  <c r="H7" i="5527"/>
  <c r="H13" i="5527"/>
  <c r="H15" i="5527"/>
  <c r="C19" i="5527"/>
  <c r="H21" i="5527"/>
  <c r="H46" i="5527"/>
  <c r="H5" i="5527"/>
  <c r="H11" i="5527"/>
  <c r="H14" i="5527"/>
  <c r="H16" i="5527"/>
  <c r="C18" i="5527"/>
  <c r="B23" i="5527"/>
  <c r="H25" i="5527"/>
  <c r="H28" i="5527"/>
  <c r="H32" i="5527"/>
  <c r="H36" i="5527"/>
  <c r="H40" i="5527"/>
  <c r="H44" i="5527"/>
  <c r="H48" i="5527"/>
  <c r="O15" i="5515" l="1"/>
  <c r="O21" i="5523"/>
  <c r="O20" i="5525" l="1"/>
  <c r="O19" i="5525"/>
  <c r="O22" i="5519"/>
  <c r="O20" i="5509"/>
  <c r="O24" i="5507" l="1"/>
  <c r="O17" i="5525"/>
  <c r="O21" i="5517"/>
  <c r="O15" i="5525"/>
  <c r="O18" i="5525" l="1"/>
  <c r="O16" i="5525"/>
  <c r="C27" i="5525"/>
  <c r="B24" i="5525"/>
  <c r="C20" i="5525"/>
  <c r="B17" i="5525"/>
  <c r="H52" i="5525" s="1"/>
  <c r="C16" i="5525"/>
  <c r="C15" i="5525"/>
  <c r="C14" i="5525"/>
  <c r="C13" i="5525"/>
  <c r="O12" i="5525"/>
  <c r="C12" i="5525"/>
  <c r="O11" i="5525"/>
  <c r="C11" i="5525"/>
  <c r="O10" i="5525"/>
  <c r="C10" i="5525"/>
  <c r="C9" i="5525"/>
  <c r="C8" i="5525"/>
  <c r="O7" i="5525"/>
  <c r="C7" i="5525"/>
  <c r="O6" i="5525"/>
  <c r="B6" i="5525"/>
  <c r="O5" i="5525"/>
  <c r="B5" i="5525"/>
  <c r="O4" i="5525"/>
  <c r="O3" i="5525"/>
  <c r="O2" i="5525"/>
  <c r="O21" i="5513"/>
  <c r="O21" i="5515"/>
  <c r="O23" i="5505"/>
  <c r="H13" i="5525" l="1"/>
  <c r="H8" i="5525"/>
  <c r="H3" i="5525"/>
  <c r="H10" i="5525"/>
  <c r="H5" i="5525"/>
  <c r="C17" i="5525"/>
  <c r="H2" i="5525"/>
  <c r="H4" i="5525"/>
  <c r="H7" i="5525"/>
  <c r="H15" i="5525"/>
  <c r="H18" i="5525"/>
  <c r="H20" i="5525"/>
  <c r="H23" i="5525"/>
  <c r="H26" i="5525"/>
  <c r="H29" i="5525"/>
  <c r="H33" i="5525"/>
  <c r="H37" i="5525"/>
  <c r="H41" i="5525"/>
  <c r="H45" i="5525"/>
  <c r="H49" i="5525"/>
  <c r="C19" i="5525"/>
  <c r="H21" i="5525"/>
  <c r="H30" i="5525"/>
  <c r="H34" i="5525"/>
  <c r="H38" i="5525"/>
  <c r="H42" i="5525"/>
  <c r="H46" i="5525"/>
  <c r="H50" i="5525"/>
  <c r="H6" i="5525"/>
  <c r="H9" i="5525"/>
  <c r="H12" i="5525"/>
  <c r="H17" i="5525"/>
  <c r="H19" i="5525"/>
  <c r="H22" i="5525"/>
  <c r="H24" i="5525"/>
  <c r="H27" i="5525"/>
  <c r="H31" i="5525"/>
  <c r="H35" i="5525"/>
  <c r="H39" i="5525"/>
  <c r="H43" i="5525"/>
  <c r="H47" i="5525"/>
  <c r="H51" i="5525"/>
  <c r="H11" i="5525"/>
  <c r="H14" i="5525"/>
  <c r="H16" i="5525"/>
  <c r="C18" i="5525"/>
  <c r="B23" i="5525"/>
  <c r="H25" i="5525"/>
  <c r="H28" i="5525"/>
  <c r="H32" i="5525"/>
  <c r="H36" i="5525"/>
  <c r="H40" i="5525"/>
  <c r="H44" i="5525"/>
  <c r="H48" i="5525"/>
  <c r="O19" i="5515" l="1"/>
  <c r="O18" i="5511"/>
  <c r="O21" i="5519"/>
  <c r="O20" i="5519"/>
  <c r="O19" i="5507" l="1"/>
  <c r="O20" i="5523"/>
  <c r="O18" i="5523" l="1"/>
  <c r="O16" i="5523"/>
  <c r="O16" i="5513"/>
  <c r="O22" i="5511"/>
  <c r="O17" i="5521" l="1"/>
  <c r="O22" i="5517"/>
  <c r="O15" i="5521"/>
  <c r="O22" i="5523"/>
  <c r="O15" i="5509"/>
  <c r="O19" i="5519"/>
  <c r="O16" i="5505"/>
  <c r="O19" i="5523"/>
  <c r="O17" i="5523"/>
  <c r="C27" i="5523"/>
  <c r="B24" i="5523"/>
  <c r="C20" i="5523"/>
  <c r="B17" i="5523"/>
  <c r="H52" i="5523" s="1"/>
  <c r="C16" i="5523"/>
  <c r="C15" i="5523"/>
  <c r="C14" i="5523"/>
  <c r="C13" i="5523"/>
  <c r="O12" i="5523"/>
  <c r="C12" i="5523"/>
  <c r="O11" i="5523"/>
  <c r="C11" i="5523"/>
  <c r="O10" i="5523"/>
  <c r="C10" i="5523"/>
  <c r="C9" i="5523"/>
  <c r="C8" i="5523"/>
  <c r="O7" i="5523"/>
  <c r="C7" i="5523"/>
  <c r="O6" i="5523"/>
  <c r="B6" i="5523"/>
  <c r="O5" i="5523"/>
  <c r="B5" i="5523"/>
  <c r="O4" i="5523"/>
  <c r="O3" i="5523"/>
  <c r="O2" i="5523"/>
  <c r="O16" i="5521"/>
  <c r="O18" i="5521"/>
  <c r="C27" i="5521"/>
  <c r="B24" i="5521"/>
  <c r="C20" i="5521"/>
  <c r="B17" i="5521"/>
  <c r="H52" i="5521" s="1"/>
  <c r="C16" i="5521"/>
  <c r="C15" i="5521"/>
  <c r="C14" i="5521"/>
  <c r="C13" i="5521"/>
  <c r="O12" i="5521"/>
  <c r="C12" i="5521"/>
  <c r="O11" i="5521"/>
  <c r="C11" i="5521"/>
  <c r="O10" i="5521"/>
  <c r="C10" i="5521"/>
  <c r="C9" i="5521"/>
  <c r="C8" i="5521"/>
  <c r="O7" i="5521"/>
  <c r="C7" i="5521"/>
  <c r="O6" i="5521"/>
  <c r="B6" i="5521"/>
  <c r="O5" i="5521"/>
  <c r="B5" i="5521"/>
  <c r="O4" i="5521"/>
  <c r="O3" i="5521"/>
  <c r="O2" i="5521"/>
  <c r="O23" i="5519"/>
  <c r="O24" i="5519"/>
  <c r="O15" i="5507"/>
  <c r="O20" i="5507"/>
  <c r="O27" i="5505"/>
  <c r="H10" i="5523" l="1"/>
  <c r="H4" i="5523"/>
  <c r="H2" i="5523"/>
  <c r="H8" i="5523"/>
  <c r="H8" i="5521"/>
  <c r="H14" i="5521"/>
  <c r="H11" i="5521"/>
  <c r="H5" i="5521"/>
  <c r="C19" i="5521"/>
  <c r="H4" i="5521"/>
  <c r="H2" i="5521"/>
  <c r="H10" i="5521"/>
  <c r="H16" i="5521"/>
  <c r="H7" i="5521"/>
  <c r="H13" i="5521"/>
  <c r="H15" i="5521"/>
  <c r="C17" i="5521"/>
  <c r="H21" i="5521"/>
  <c r="H3" i="5521"/>
  <c r="H6" i="5521"/>
  <c r="H9" i="5521"/>
  <c r="H12" i="5521"/>
  <c r="C18" i="5521"/>
  <c r="C17" i="5523"/>
  <c r="H20" i="5523"/>
  <c r="H29" i="5523"/>
  <c r="H33" i="5523"/>
  <c r="H37" i="5523"/>
  <c r="H45" i="5523"/>
  <c r="H7" i="5523"/>
  <c r="H13" i="5523"/>
  <c r="H15" i="5523"/>
  <c r="C19" i="5523"/>
  <c r="H21" i="5523"/>
  <c r="H30" i="5523"/>
  <c r="H34" i="5523"/>
  <c r="H38" i="5523"/>
  <c r="H42" i="5523"/>
  <c r="H46" i="5523"/>
  <c r="H50" i="5523"/>
  <c r="H18" i="5523"/>
  <c r="H26" i="5523"/>
  <c r="H41" i="5523"/>
  <c r="H3" i="5523"/>
  <c r="H6" i="5523"/>
  <c r="H9" i="5523"/>
  <c r="H12" i="5523"/>
  <c r="H17" i="5523"/>
  <c r="H19" i="5523"/>
  <c r="H22" i="5523"/>
  <c r="H24" i="5523"/>
  <c r="H27" i="5523"/>
  <c r="H31" i="5523"/>
  <c r="H35" i="5523"/>
  <c r="H39" i="5523"/>
  <c r="H43" i="5523"/>
  <c r="H47" i="5523"/>
  <c r="H51" i="5523"/>
  <c r="H23" i="5523"/>
  <c r="H49" i="5523"/>
  <c r="H5" i="5523"/>
  <c r="H11" i="5523"/>
  <c r="H14" i="5523"/>
  <c r="H16" i="5523"/>
  <c r="C18" i="5523"/>
  <c r="B23" i="5523"/>
  <c r="H25" i="5523"/>
  <c r="H28" i="5523"/>
  <c r="H32" i="5523"/>
  <c r="H36" i="5523"/>
  <c r="H40" i="5523"/>
  <c r="H44" i="5523"/>
  <c r="H48" i="5523"/>
  <c r="H18" i="5521"/>
  <c r="H20" i="5521"/>
  <c r="H23" i="5521"/>
  <c r="H26" i="5521"/>
  <c r="H29" i="5521"/>
  <c r="H33" i="5521"/>
  <c r="H37" i="5521"/>
  <c r="H41" i="5521"/>
  <c r="H45" i="5521"/>
  <c r="H49" i="5521"/>
  <c r="H30" i="5521"/>
  <c r="H34" i="5521"/>
  <c r="H38" i="5521"/>
  <c r="H42" i="5521"/>
  <c r="H46" i="5521"/>
  <c r="H50" i="5521"/>
  <c r="H17" i="5521"/>
  <c r="H19" i="5521"/>
  <c r="H22" i="5521"/>
  <c r="H24" i="5521"/>
  <c r="H27" i="5521"/>
  <c r="H31" i="5521"/>
  <c r="H35" i="5521"/>
  <c r="H39" i="5521"/>
  <c r="H43" i="5521"/>
  <c r="H47" i="5521"/>
  <c r="H51" i="5521"/>
  <c r="B23" i="5521"/>
  <c r="H25" i="5521"/>
  <c r="H28" i="5521"/>
  <c r="H32" i="5521"/>
  <c r="H36" i="5521"/>
  <c r="H40" i="5521"/>
  <c r="H44" i="5521"/>
  <c r="H48" i="5521"/>
  <c r="O17" i="5519" l="1"/>
  <c r="O20" i="5517"/>
  <c r="O17" i="5517"/>
  <c r="O17" i="5509"/>
  <c r="O17" i="5515" l="1"/>
  <c r="O17" i="5513"/>
  <c r="O16" i="5517"/>
  <c r="O18" i="5517"/>
  <c r="O16" i="5515" l="1"/>
  <c r="O15" i="5513"/>
  <c r="O24" i="5511"/>
  <c r="O20" i="5511"/>
  <c r="O16" i="5519"/>
  <c r="O18" i="5519"/>
  <c r="C27" i="5519"/>
  <c r="B24" i="5519"/>
  <c r="C20" i="5519"/>
  <c r="B17" i="5519"/>
  <c r="H51" i="5519" s="1"/>
  <c r="C16" i="5519"/>
  <c r="C15" i="5519"/>
  <c r="C14" i="5519"/>
  <c r="C13" i="5519"/>
  <c r="O12" i="5519"/>
  <c r="C12" i="5519"/>
  <c r="O11" i="5519"/>
  <c r="C11" i="5519"/>
  <c r="O10" i="5519"/>
  <c r="C10" i="5519"/>
  <c r="C9" i="5519"/>
  <c r="C8" i="5519"/>
  <c r="O7" i="5519"/>
  <c r="C7" i="5519"/>
  <c r="O6" i="5519"/>
  <c r="B6" i="5519"/>
  <c r="O5" i="5519"/>
  <c r="B5" i="5519"/>
  <c r="O4" i="5519"/>
  <c r="O3" i="5519"/>
  <c r="O2" i="5519"/>
  <c r="O22" i="5513"/>
  <c r="O21" i="5509"/>
  <c r="O22" i="5505"/>
  <c r="H15" i="5519" l="1"/>
  <c r="H5" i="5519"/>
  <c r="H28" i="5519"/>
  <c r="H11" i="5519"/>
  <c r="H34" i="5519"/>
  <c r="H23" i="5519"/>
  <c r="H2" i="5519"/>
  <c r="H26" i="5519"/>
  <c r="H32" i="5519"/>
  <c r="H6" i="5519"/>
  <c r="C18" i="5519"/>
  <c r="H31" i="5519"/>
  <c r="H41" i="5519"/>
  <c r="H3" i="5519"/>
  <c r="H12" i="5519"/>
  <c r="H18" i="5519"/>
  <c r="B23" i="5519"/>
  <c r="H25" i="5519"/>
  <c r="H48" i="5519"/>
  <c r="H49" i="5519"/>
  <c r="H16" i="5519"/>
  <c r="H10" i="5519"/>
  <c r="H37" i="5519"/>
  <c r="H44" i="5519"/>
  <c r="H4" i="5519"/>
  <c r="H9" i="5519"/>
  <c r="H7" i="5519"/>
  <c r="H27" i="5519"/>
  <c r="C17" i="5519"/>
  <c r="H13" i="5519"/>
  <c r="H22" i="5519"/>
  <c r="H38" i="5519"/>
  <c r="H45" i="5519"/>
  <c r="H52" i="5519"/>
  <c r="H29" i="5519"/>
  <c r="H30" i="5519"/>
  <c r="H19" i="5519"/>
  <c r="H33" i="5519"/>
  <c r="H17" i="5519"/>
  <c r="H35" i="5519"/>
  <c r="H39" i="5519"/>
  <c r="H42" i="5519"/>
  <c r="H46" i="5519"/>
  <c r="H50" i="5519"/>
  <c r="H8" i="5519"/>
  <c r="H20" i="5519"/>
  <c r="H21" i="5519"/>
  <c r="C19" i="5519"/>
  <c r="H14" i="5519"/>
  <c r="H24" i="5519"/>
  <c r="H36" i="5519"/>
  <c r="H40" i="5519"/>
  <c r="H43" i="5519"/>
  <c r="H47" i="5519"/>
  <c r="O21" i="5511" l="1"/>
  <c r="O19" i="5517"/>
  <c r="O15" i="5517"/>
  <c r="C27" i="5517"/>
  <c r="B24" i="5517"/>
  <c r="C20" i="5517"/>
  <c r="B17" i="5517"/>
  <c r="H52" i="5517" s="1"/>
  <c r="C16" i="5517"/>
  <c r="C15" i="5517"/>
  <c r="C14" i="5517"/>
  <c r="C13" i="5517"/>
  <c r="O12" i="5517"/>
  <c r="C12" i="5517"/>
  <c r="O11" i="5517"/>
  <c r="C11" i="5517"/>
  <c r="O10" i="5517"/>
  <c r="C10" i="5517"/>
  <c r="C9" i="5517"/>
  <c r="C8" i="5517"/>
  <c r="O7" i="5517"/>
  <c r="C7" i="5517"/>
  <c r="O6" i="5517"/>
  <c r="B6" i="5517"/>
  <c r="O5" i="5517"/>
  <c r="B5" i="5517"/>
  <c r="O4" i="5517"/>
  <c r="O3" i="5517"/>
  <c r="O2" i="5517"/>
  <c r="O22" i="5507"/>
  <c r="O18" i="5505"/>
  <c r="O18" i="5515"/>
  <c r="O18" i="5509"/>
  <c r="O19" i="5509"/>
  <c r="O19" i="5513"/>
  <c r="O20" i="5515"/>
  <c r="O22" i="5515"/>
  <c r="C27" i="5515"/>
  <c r="B24" i="5515"/>
  <c r="C20" i="5515"/>
  <c r="B17" i="5515"/>
  <c r="H52" i="5515" s="1"/>
  <c r="C16" i="5515"/>
  <c r="C15" i="5515"/>
  <c r="C14" i="5515"/>
  <c r="C13" i="5515"/>
  <c r="O12" i="5515"/>
  <c r="C12" i="5515"/>
  <c r="O11" i="5515"/>
  <c r="C11" i="5515"/>
  <c r="O10" i="5515"/>
  <c r="C10" i="5515"/>
  <c r="C9" i="5515"/>
  <c r="C8" i="5515"/>
  <c r="O7" i="5515"/>
  <c r="C7" i="5515"/>
  <c r="O6" i="5515"/>
  <c r="B6" i="5515"/>
  <c r="O5" i="5515"/>
  <c r="B5" i="5515"/>
  <c r="O4" i="5515"/>
  <c r="O3" i="5515"/>
  <c r="O2" i="5515"/>
  <c r="O20" i="5513"/>
  <c r="O18" i="5513"/>
  <c r="C27" i="5513"/>
  <c r="B24" i="5513"/>
  <c r="C20" i="5513"/>
  <c r="B17" i="5513"/>
  <c r="H52" i="5513" s="1"/>
  <c r="C16" i="5513"/>
  <c r="C15" i="5513"/>
  <c r="C14" i="5513"/>
  <c r="C13" i="5513"/>
  <c r="O12" i="5513"/>
  <c r="C12" i="5513"/>
  <c r="O11" i="5513"/>
  <c r="C11" i="5513"/>
  <c r="O10" i="5513"/>
  <c r="C10" i="5513"/>
  <c r="C9" i="5513"/>
  <c r="C8" i="5513"/>
  <c r="O7" i="5513"/>
  <c r="C7" i="5513"/>
  <c r="O6" i="5513"/>
  <c r="B6" i="5513"/>
  <c r="O5" i="5513"/>
  <c r="B5" i="5513"/>
  <c r="O4" i="5513"/>
  <c r="O3" i="5513"/>
  <c r="O2" i="5513"/>
  <c r="O18" i="5507"/>
  <c r="O23" i="5507"/>
  <c r="O20" i="5505"/>
  <c r="O21" i="5505"/>
  <c r="H8" i="5515" l="1"/>
  <c r="H2" i="5515"/>
  <c r="H4" i="5515"/>
  <c r="H10" i="5515"/>
  <c r="H5" i="5513"/>
  <c r="C17" i="5517"/>
  <c r="H4" i="5517"/>
  <c r="H10" i="5517"/>
  <c r="H2" i="5517"/>
  <c r="H8" i="5517"/>
  <c r="H18" i="5517"/>
  <c r="H26" i="5517"/>
  <c r="H29" i="5517"/>
  <c r="H33" i="5517"/>
  <c r="H37" i="5517"/>
  <c r="H49" i="5517"/>
  <c r="H7" i="5517"/>
  <c r="H13" i="5517"/>
  <c r="H15" i="5517"/>
  <c r="C19" i="5517"/>
  <c r="H21" i="5517"/>
  <c r="H30" i="5517"/>
  <c r="H34" i="5517"/>
  <c r="H38" i="5517"/>
  <c r="H42" i="5517"/>
  <c r="H46" i="5517"/>
  <c r="H50" i="5517"/>
  <c r="H20" i="5517"/>
  <c r="H45" i="5517"/>
  <c r="H3" i="5517"/>
  <c r="H6" i="5517"/>
  <c r="H9" i="5517"/>
  <c r="H12" i="5517"/>
  <c r="H17" i="5517"/>
  <c r="H19" i="5517"/>
  <c r="H22" i="5517"/>
  <c r="H24" i="5517"/>
  <c r="H27" i="5517"/>
  <c r="H31" i="5517"/>
  <c r="H35" i="5517"/>
  <c r="H39" i="5517"/>
  <c r="H43" i="5517"/>
  <c r="H47" i="5517"/>
  <c r="H51" i="5517"/>
  <c r="H23" i="5517"/>
  <c r="H41" i="5517"/>
  <c r="H5" i="5517"/>
  <c r="H11" i="5517"/>
  <c r="H14" i="5517"/>
  <c r="H16" i="5517"/>
  <c r="C18" i="5517"/>
  <c r="B23" i="5517"/>
  <c r="H25" i="5517"/>
  <c r="H28" i="5517"/>
  <c r="H32" i="5517"/>
  <c r="H36" i="5517"/>
  <c r="H40" i="5517"/>
  <c r="H44" i="5517"/>
  <c r="H48" i="5517"/>
  <c r="C17" i="5515"/>
  <c r="H18" i="5515"/>
  <c r="H26" i="5515"/>
  <c r="H29" i="5515"/>
  <c r="H33" i="5515"/>
  <c r="H37" i="5515"/>
  <c r="H49" i="5515"/>
  <c r="H7" i="5515"/>
  <c r="H13" i="5515"/>
  <c r="H15" i="5515"/>
  <c r="C19" i="5515"/>
  <c r="H21" i="5515"/>
  <c r="H30" i="5515"/>
  <c r="H34" i="5515"/>
  <c r="H38" i="5515"/>
  <c r="H42" i="5515"/>
  <c r="H46" i="5515"/>
  <c r="H50" i="5515"/>
  <c r="H23" i="5515"/>
  <c r="H41" i="5515"/>
  <c r="H3" i="5515"/>
  <c r="H6" i="5515"/>
  <c r="H9" i="5515"/>
  <c r="H12" i="5515"/>
  <c r="H17" i="5515"/>
  <c r="H19" i="5515"/>
  <c r="H22" i="5515"/>
  <c r="H24" i="5515"/>
  <c r="H27" i="5515"/>
  <c r="H31" i="5515"/>
  <c r="H35" i="5515"/>
  <c r="H39" i="5515"/>
  <c r="H43" i="5515"/>
  <c r="H47" i="5515"/>
  <c r="H51" i="5515"/>
  <c r="H20" i="5515"/>
  <c r="H45" i="5515"/>
  <c r="H5" i="5515"/>
  <c r="H11" i="5515"/>
  <c r="H14" i="5515"/>
  <c r="H16" i="5515"/>
  <c r="C18" i="5515"/>
  <c r="B23" i="5515"/>
  <c r="H25" i="5515"/>
  <c r="H28" i="5515"/>
  <c r="H32" i="5515"/>
  <c r="H36" i="5515"/>
  <c r="H40" i="5515"/>
  <c r="H44" i="5515"/>
  <c r="H48" i="5515"/>
  <c r="H14" i="5513"/>
  <c r="H21" i="5513"/>
  <c r="H39" i="5513"/>
  <c r="H43" i="5513"/>
  <c r="H11" i="5513"/>
  <c r="H16" i="5513"/>
  <c r="C18" i="5513"/>
  <c r="H2" i="5513"/>
  <c r="H4" i="5513"/>
  <c r="H8" i="5513"/>
  <c r="H10" i="5513"/>
  <c r="C19" i="5513"/>
  <c r="H22" i="5513"/>
  <c r="H27" i="5513"/>
  <c r="H7" i="5513"/>
  <c r="H13" i="5513"/>
  <c r="H15" i="5513"/>
  <c r="C17" i="5513"/>
  <c r="H19" i="5513"/>
  <c r="H31" i="5513"/>
  <c r="H47" i="5513"/>
  <c r="H3" i="5513"/>
  <c r="H6" i="5513"/>
  <c r="H9" i="5513"/>
  <c r="H12" i="5513"/>
  <c r="H17" i="5513"/>
  <c r="H24" i="5513"/>
  <c r="H35" i="5513"/>
  <c r="H51" i="5513"/>
  <c r="H18" i="5513"/>
  <c r="H20" i="5513"/>
  <c r="H23" i="5513"/>
  <c r="H26" i="5513"/>
  <c r="H29" i="5513"/>
  <c r="H33" i="5513"/>
  <c r="H37" i="5513"/>
  <c r="H41" i="5513"/>
  <c r="H45" i="5513"/>
  <c r="H49" i="5513"/>
  <c r="H30" i="5513"/>
  <c r="H34" i="5513"/>
  <c r="H38" i="5513"/>
  <c r="H42" i="5513"/>
  <c r="H46" i="5513"/>
  <c r="H50" i="5513"/>
  <c r="B23" i="5513"/>
  <c r="H25" i="5513"/>
  <c r="H28" i="5513"/>
  <c r="H32" i="5513"/>
  <c r="H36" i="5513"/>
  <c r="H40" i="5513"/>
  <c r="H44" i="5513"/>
  <c r="H48" i="5513"/>
  <c r="O19" i="5511" l="1"/>
  <c r="O23" i="5511"/>
  <c r="C27" i="5511"/>
  <c r="B24" i="5511"/>
  <c r="C20" i="5511"/>
  <c r="B17" i="5511"/>
  <c r="H51" i="5511" s="1"/>
  <c r="C16" i="5511"/>
  <c r="C15" i="5511"/>
  <c r="C14" i="5511"/>
  <c r="C13" i="5511"/>
  <c r="O12" i="5511"/>
  <c r="C12" i="5511"/>
  <c r="O11" i="5511"/>
  <c r="C11" i="5511"/>
  <c r="O10" i="5511"/>
  <c r="C10" i="5511"/>
  <c r="C9" i="5511"/>
  <c r="C8" i="5511"/>
  <c r="O7" i="5511"/>
  <c r="C7" i="5511"/>
  <c r="O6" i="5511"/>
  <c r="B6" i="5511"/>
  <c r="O5" i="5511"/>
  <c r="B5" i="5511"/>
  <c r="O4" i="5511"/>
  <c r="O3" i="5511"/>
  <c r="O2" i="5511"/>
  <c r="O22" i="5509"/>
  <c r="O16" i="5509"/>
  <c r="C27" i="5509"/>
  <c r="B24" i="5509"/>
  <c r="C20" i="5509"/>
  <c r="B17" i="5509"/>
  <c r="H51" i="5509" s="1"/>
  <c r="C16" i="5509"/>
  <c r="C15" i="5509"/>
  <c r="C14" i="5509"/>
  <c r="C13" i="5509"/>
  <c r="O12" i="5509"/>
  <c r="C12" i="5509"/>
  <c r="O11" i="5509"/>
  <c r="C11" i="5509"/>
  <c r="O10" i="5509"/>
  <c r="C10" i="5509"/>
  <c r="C9" i="5509"/>
  <c r="C8" i="5509"/>
  <c r="O7" i="5509"/>
  <c r="C7" i="5509"/>
  <c r="O6" i="5509"/>
  <c r="B6" i="5509"/>
  <c r="O5" i="5509"/>
  <c r="B5" i="5509"/>
  <c r="O4" i="5509"/>
  <c r="O3" i="5509"/>
  <c r="O2" i="5509"/>
  <c r="O24" i="5505"/>
  <c r="O17" i="5507"/>
  <c r="O21" i="5507"/>
  <c r="C27" i="5507"/>
  <c r="B24" i="5507"/>
  <c r="C20" i="5507"/>
  <c r="B17" i="5507"/>
  <c r="H50" i="5507" s="1"/>
  <c r="C16" i="5507"/>
  <c r="C15" i="5507"/>
  <c r="C14" i="5507"/>
  <c r="C13" i="5507"/>
  <c r="O12" i="5507"/>
  <c r="C12" i="5507"/>
  <c r="O11" i="5507"/>
  <c r="C11" i="5507"/>
  <c r="O10" i="5507"/>
  <c r="C10" i="5507"/>
  <c r="C9" i="5507"/>
  <c r="C8" i="5507"/>
  <c r="O7" i="5507"/>
  <c r="C7" i="5507"/>
  <c r="O6" i="5507"/>
  <c r="B6" i="5507"/>
  <c r="O5" i="5507"/>
  <c r="B5" i="5507"/>
  <c r="O4" i="5507"/>
  <c r="O3" i="5507"/>
  <c r="O2" i="5507"/>
  <c r="O17" i="5505"/>
  <c r="O19" i="5505"/>
  <c r="C27" i="5505"/>
  <c r="B24" i="5505"/>
  <c r="C20" i="5505"/>
  <c r="B17" i="5505"/>
  <c r="H51" i="5505" s="1"/>
  <c r="C16" i="5505"/>
  <c r="C15" i="5505"/>
  <c r="C14" i="5505"/>
  <c r="C13" i="5505"/>
  <c r="O12" i="5505"/>
  <c r="C12" i="5505"/>
  <c r="O11" i="5505"/>
  <c r="C11" i="5505"/>
  <c r="O10" i="5505"/>
  <c r="C10" i="5505"/>
  <c r="C9" i="5505"/>
  <c r="C8" i="5505"/>
  <c r="O7" i="5505"/>
  <c r="C7" i="5505"/>
  <c r="O6" i="5505"/>
  <c r="B6" i="5505"/>
  <c r="O5" i="5505"/>
  <c r="B5" i="5505"/>
  <c r="O4" i="5505"/>
  <c r="O3" i="5505"/>
  <c r="O2" i="5505"/>
  <c r="H4" i="5509" l="1"/>
  <c r="H16" i="5509"/>
  <c r="H2" i="5509"/>
  <c r="H3" i="5509"/>
  <c r="H12" i="5509"/>
  <c r="H14" i="5509"/>
  <c r="H6" i="5509"/>
  <c r="H9" i="5509"/>
  <c r="H11" i="5509"/>
  <c r="C18" i="5509"/>
  <c r="H5" i="5509"/>
  <c r="H8" i="5509"/>
  <c r="H10" i="5509"/>
  <c r="C19" i="5509"/>
  <c r="H8" i="5507"/>
  <c r="H16" i="5507"/>
  <c r="H25" i="5507"/>
  <c r="H2" i="5511"/>
  <c r="H3" i="5511"/>
  <c r="H20" i="5505"/>
  <c r="H5" i="5507"/>
  <c r="H10" i="5507"/>
  <c r="H4" i="5511"/>
  <c r="H22" i="5511"/>
  <c r="H23" i="5511"/>
  <c r="C17" i="5511"/>
  <c r="B23" i="5511"/>
  <c r="H33" i="5511"/>
  <c r="H41" i="5511"/>
  <c r="H49" i="5511"/>
  <c r="H24" i="5511"/>
  <c r="H21" i="5511"/>
  <c r="H40" i="5511"/>
  <c r="H17" i="5511"/>
  <c r="H12" i="5511"/>
  <c r="H6" i="5511"/>
  <c r="H10" i="5511"/>
  <c r="H18" i="5511"/>
  <c r="H20" i="5511"/>
  <c r="H11" i="5511"/>
  <c r="H36" i="5511"/>
  <c r="H44" i="5511"/>
  <c r="H5" i="5511"/>
  <c r="H9" i="5511"/>
  <c r="C19" i="5511"/>
  <c r="H48" i="5511"/>
  <c r="H8" i="5511"/>
  <c r="H16" i="5511"/>
  <c r="H7" i="5511"/>
  <c r="H27" i="5511"/>
  <c r="H28" i="5511"/>
  <c r="H14" i="5511"/>
  <c r="C18" i="5511"/>
  <c r="H15" i="5511"/>
  <c r="H13" i="5511"/>
  <c r="H32" i="5511"/>
  <c r="H37" i="5511"/>
  <c r="H45" i="5511"/>
  <c r="H52" i="5511"/>
  <c r="H29" i="5511"/>
  <c r="H30" i="5511"/>
  <c r="H31" i="5511"/>
  <c r="H25" i="5511"/>
  <c r="H19" i="5511"/>
  <c r="H34" i="5511"/>
  <c r="H38" i="5511"/>
  <c r="H42" i="5511"/>
  <c r="H46" i="5511"/>
  <c r="H50" i="5511"/>
  <c r="H26" i="5511"/>
  <c r="H35" i="5511"/>
  <c r="H39" i="5511"/>
  <c r="H43" i="5511"/>
  <c r="H47" i="5511"/>
  <c r="H32" i="5509"/>
  <c r="B23" i="5509"/>
  <c r="H40" i="5509"/>
  <c r="H44" i="5509"/>
  <c r="H7" i="5509"/>
  <c r="H13" i="5509"/>
  <c r="H15" i="5509"/>
  <c r="C17" i="5509"/>
  <c r="H21" i="5509"/>
  <c r="H28" i="5509"/>
  <c r="H48" i="5509"/>
  <c r="H25" i="5509"/>
  <c r="H36" i="5509"/>
  <c r="H52" i="5509"/>
  <c r="H18" i="5509"/>
  <c r="H20" i="5509"/>
  <c r="H23" i="5509"/>
  <c r="H26" i="5509"/>
  <c r="H29" i="5509"/>
  <c r="H33" i="5509"/>
  <c r="H37" i="5509"/>
  <c r="H41" i="5509"/>
  <c r="H45" i="5509"/>
  <c r="H49" i="5509"/>
  <c r="H30" i="5509"/>
  <c r="H34" i="5509"/>
  <c r="H38" i="5509"/>
  <c r="H42" i="5509"/>
  <c r="H46" i="5509"/>
  <c r="H50" i="5509"/>
  <c r="H17" i="5509"/>
  <c r="H19" i="5509"/>
  <c r="H22" i="5509"/>
  <c r="H24" i="5509"/>
  <c r="H27" i="5509"/>
  <c r="H31" i="5509"/>
  <c r="H35" i="5509"/>
  <c r="H39" i="5509"/>
  <c r="H43" i="5509"/>
  <c r="H47" i="5509"/>
  <c r="H37" i="5505"/>
  <c r="H41" i="5505"/>
  <c r="H10" i="5505"/>
  <c r="H11" i="5505"/>
  <c r="H6" i="5505"/>
  <c r="H3" i="5505"/>
  <c r="H7" i="5505"/>
  <c r="H4" i="5505"/>
  <c r="H2" i="5505"/>
  <c r="H39" i="5507"/>
  <c r="H40" i="5507"/>
  <c r="H14" i="5507"/>
  <c r="H9" i="5507"/>
  <c r="H47" i="5507"/>
  <c r="H12" i="5507"/>
  <c r="H22" i="5507"/>
  <c r="H4" i="5507"/>
  <c r="H17" i="5507"/>
  <c r="B23" i="5507"/>
  <c r="H31" i="5507"/>
  <c r="H2" i="5507"/>
  <c r="C18" i="5507"/>
  <c r="H32" i="5507"/>
  <c r="H48" i="5507"/>
  <c r="H19" i="5507"/>
  <c r="H27" i="5507"/>
  <c r="H35" i="5507"/>
  <c r="H43" i="5507"/>
  <c r="H51" i="5507"/>
  <c r="H3" i="5507"/>
  <c r="H6" i="5507"/>
  <c r="H11" i="5507"/>
  <c r="C17" i="5507"/>
  <c r="H24" i="5507"/>
  <c r="H28" i="5507"/>
  <c r="H36" i="5507"/>
  <c r="H44" i="5507"/>
  <c r="H52" i="5507"/>
  <c r="H18" i="5507"/>
  <c r="H20" i="5507"/>
  <c r="H23" i="5507"/>
  <c r="H26" i="5507"/>
  <c r="H29" i="5507"/>
  <c r="H33" i="5507"/>
  <c r="H37" i="5507"/>
  <c r="H41" i="5507"/>
  <c r="H45" i="5507"/>
  <c r="H49" i="5507"/>
  <c r="H7" i="5507"/>
  <c r="H13" i="5507"/>
  <c r="H15" i="5507"/>
  <c r="C19" i="5507"/>
  <c r="H21" i="5507"/>
  <c r="H30" i="5507"/>
  <c r="H34" i="5507"/>
  <c r="H38" i="5507"/>
  <c r="H42" i="5507"/>
  <c r="H46" i="5507"/>
  <c r="H45" i="5505"/>
  <c r="H12" i="5505"/>
  <c r="H22" i="5505"/>
  <c r="H34" i="5505"/>
  <c r="H18" i="5505"/>
  <c r="H9" i="5505"/>
  <c r="H50" i="5505"/>
  <c r="H15" i="5505"/>
  <c r="C18" i="5505"/>
  <c r="H14" i="5505"/>
  <c r="H13" i="5505"/>
  <c r="H28" i="5505"/>
  <c r="H38" i="5505"/>
  <c r="H33" i="5505"/>
  <c r="H46" i="5505"/>
  <c r="H19" i="5505"/>
  <c r="C19" i="5505"/>
  <c r="H26" i="5505"/>
  <c r="H42" i="5505"/>
  <c r="H5" i="5505"/>
  <c r="H27" i="5505"/>
  <c r="H23" i="5505"/>
  <c r="H32" i="5505"/>
  <c r="H48" i="5505"/>
  <c r="H8" i="5505"/>
  <c r="H21" i="5505"/>
  <c r="H29" i="5505"/>
  <c r="C17" i="5505"/>
  <c r="H16" i="5505"/>
  <c r="B23" i="5505"/>
  <c r="H25" i="5505"/>
  <c r="H39" i="5505"/>
  <c r="H44" i="5505"/>
  <c r="H49" i="5505"/>
  <c r="H52" i="5505"/>
  <c r="H35" i="5505"/>
  <c r="H36" i="5505"/>
  <c r="H24" i="5505"/>
  <c r="H30" i="5505"/>
  <c r="H17" i="5505"/>
  <c r="H31" i="5505"/>
  <c r="H40" i="5505"/>
  <c r="H43" i="5505"/>
  <c r="H47" i="5505"/>
  <c r="H52" i="2228" l="1"/>
  <c r="H51" i="2228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17" i="2228" l="1"/>
  <c r="B17" i="2228"/>
  <c r="C16" i="2228"/>
  <c r="C15" i="2228"/>
  <c r="C9" i="2228"/>
  <c r="C7" i="2228"/>
  <c r="B6" i="2228"/>
  <c r="B5" i="2228"/>
  <c r="H5" i="2228" l="1"/>
  <c r="B23" i="2228"/>
  <c r="H43" i="2228"/>
  <c r="H35" i="2228"/>
  <c r="H27" i="2228"/>
  <c r="H19" i="2228"/>
  <c r="H12" i="2228"/>
  <c r="H4" i="2228"/>
  <c r="H49" i="2228"/>
  <c r="H41" i="2228"/>
  <c r="H33" i="2228"/>
  <c r="H25" i="2228"/>
  <c r="H10" i="2228"/>
  <c r="H2" i="2228"/>
  <c r="H47" i="2228"/>
  <c r="H31" i="2228"/>
  <c r="H16" i="2228"/>
  <c r="H46" i="2228"/>
  <c r="H30" i="2228"/>
  <c r="H7" i="2228"/>
  <c r="H29" i="2228"/>
  <c r="H6" i="2228"/>
  <c r="H44" i="2228"/>
  <c r="H20" i="2228"/>
  <c r="H50" i="2228"/>
  <c r="H42" i="2228"/>
  <c r="H34" i="2228"/>
  <c r="H26" i="2228"/>
  <c r="H18" i="2228"/>
  <c r="H11" i="2228"/>
  <c r="H3" i="2228"/>
  <c r="H15" i="2228"/>
  <c r="H21" i="2228"/>
  <c r="H48" i="2228"/>
  <c r="H40" i="2228"/>
  <c r="H32" i="2228"/>
  <c r="H24" i="2228"/>
  <c r="H17" i="2228"/>
  <c r="H9" i="2228"/>
  <c r="H39" i="2228"/>
  <c r="H23" i="2228"/>
  <c r="H8" i="2228"/>
  <c r="H38" i="2228"/>
  <c r="H22" i="2228"/>
  <c r="H37" i="2228"/>
  <c r="H14" i="2228"/>
  <c r="H36" i="2228"/>
  <c r="H13" i="2228"/>
  <c r="H45" i="2228"/>
  <c r="H28" i="2228"/>
  <c r="C18" i="2228"/>
  <c r="C19" i="2228"/>
</calcChain>
</file>

<file path=xl/sharedStrings.xml><?xml version="1.0" encoding="utf-8"?>
<sst xmlns="http://schemas.openxmlformats.org/spreadsheetml/2006/main" count="3570" uniqueCount="272">
  <si>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</si>
  <si>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</si>
  <si>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</si>
  <si>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</si>
  <si>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</si>
  <si>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</si>
  <si>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</si>
  <si>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</si>
  <si>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</si>
  <si>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</si>
  <si>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</si>
  <si>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</si>
  <si>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</si>
  <si>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</si>
  <si>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</si>
  <si>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</si>
  <si>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</si>
  <si>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</si>
  <si>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</si>
  <si>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</si>
  <si>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</si>
  <si>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</si>
  <si>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</si>
  <si>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</si>
  <si>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</si>
  <si>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</si>
  <si>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</si>
  <si>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</si>
  <si>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</si>
  <si>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</si>
  <si>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</si>
  <si>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</si>
  <si>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</si>
  <si>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</si>
  <si>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</si>
  <si>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</si>
  <si>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</si>
  <si>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</si>
  <si>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</si>
  <si>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</si>
  <si>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</si>
  <si>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</si>
  <si>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</si>
  <si>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</si>
  <si>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</si>
  <si>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</si>
  <si>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</si>
  <si>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</si>
  <si>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</si>
  <si>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</si>
  <si>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</si>
  <si>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</si>
  <si>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</si>
  <si>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</si>
  <si>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</si>
  <si>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</si>
  <si>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</si>
  <si>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</si>
  <si>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</si>
  <si>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</si>
  <si>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</si>
  <si>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</si>
  <si>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</si>
  <si>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</si>
  <si>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</si>
  <si>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</si>
  <si>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</si>
  <si>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</si>
  <si>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</si>
  <si>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</si>
  <si>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</si>
  <si>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</si>
  <si>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</si>
  <si>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</si>
  <si>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</si>
  <si>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</si>
  <si>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</si>
  <si>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</si>
  <si>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</si>
  <si>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</si>
  <si>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</si>
  <si>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</si>
  <si>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</si>
  <si>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</si>
  <si>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</si>
  <si>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</si>
  <si>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</si>
  <si>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</si>
  <si>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</si>
  <si>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</si>
  <si>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</si>
  <si>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</si>
  <si>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</si>
  <si>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</si>
  <si>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</si>
  <si>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</si>
  <si>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</si>
  <si>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</si>
  <si>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</si>
  <si>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</si>
  <si>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</si>
  <si>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</si>
  <si>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</si>
  <si>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</si>
  <si>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</si>
  <si>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</si>
  <si>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</si>
  <si>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</si>
  <si>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</si>
  <si>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</si>
  <si>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</si>
  <si>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</si>
  <si>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</si>
  <si>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</si>
  <si>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</si>
  <si>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</si>
  <si>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</si>
  <si>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</si>
  <si>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</si>
  <si>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</si>
  <si>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</si>
  <si>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</si>
  <si>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</si>
  <si>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</si>
  <si>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</si>
  <si>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</si>
  <si>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</si>
  <si>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</si>
  <si>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</si>
  <si>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</si>
  <si>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</si>
  <si>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</si>
  <si>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</si>
  <si>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</si>
  <si>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</si>
  <si>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</si>
  <si>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</si>
  <si>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</si>
  <si>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</si>
  <si>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</si>
  <si>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</si>
  <si>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</si>
  <si>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</si>
  <si>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</si>
  <si>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</si>
  <si>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</si>
  <si>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</si>
  <si>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</si>
  <si>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</si>
  <si>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</si>
  <si>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</si>
  <si>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</si>
  <si>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</si>
  <si>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</si>
  <si>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</si>
  <si>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</si>
  <si>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</si>
  <si>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</si>
  <si>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</si>
  <si>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</si>
  <si>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</si>
  <si>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</si>
  <si>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</si>
  <si>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</si>
  <si>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</si>
  <si>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</si>
  <si>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</si>
  <si>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</si>
  <si>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</si>
  <si>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</si>
  <si>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</si>
  <si>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</si>
  <si>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</si>
  <si>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</si>
  <si>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</si>
  <si>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</si>
  <si>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</si>
  <si>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</si>
  <si>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</si>
  <si>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</si>
  <si>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</si>
  <si>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</si>
  <si>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</si>
  <si>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</si>
  <si>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</si>
  <si>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</si>
  <si>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</si>
  <si>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</si>
  <si>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</si>
  <si>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</si>
  <si>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</si>
  <si>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</si>
  <si>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</si>
  <si>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</si>
  <si>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</si>
  <si>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</si>
  <si>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</si>
  <si>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</si>
  <si>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</si>
  <si>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</si>
  <si>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</si>
  <si>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</si>
  <si>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</si>
  <si>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</si>
  <si>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</si>
  <si>
    <t>2019-04-23.xlsm</t>
  </si>
  <si>
    <t>2019-04-24.xlsm</t>
  </si>
  <si>
    <t>2019-04-25.xlsm</t>
  </si>
  <si>
    <t>2019-04-26.xlsm</t>
  </si>
  <si>
    <t>2019-04-27.xlsm</t>
  </si>
  <si>
    <t>2019-04-28.xlsm</t>
  </si>
  <si>
    <t>2019-05-05.xlsm</t>
  </si>
  <si>
    <t>2019-05-06.xlsm</t>
  </si>
  <si>
    <t>2019-05-07.xlsm</t>
  </si>
  <si>
    <t>2019-05-08.xlsm</t>
  </si>
  <si>
    <t>2019-05-09.xlsm</t>
  </si>
  <si>
    <t>2019-05-10.xlsm</t>
  </si>
  <si>
    <t>2019-05-11.xlsm</t>
  </si>
  <si>
    <t>2019-05-12.xlsm</t>
  </si>
  <si>
    <t>2019-05-13.xlsm</t>
  </si>
  <si>
    <t>2019-05-14.xlsm</t>
  </si>
  <si>
    <t>2019-05-15.xlsm</t>
  </si>
  <si>
    <t>かわたつ</t>
  </si>
  <si>
    <t>やがさき</t>
  </si>
  <si>
    <t>2019-05-16.xlsm</t>
  </si>
  <si>
    <t>2019-05-17.xlsm</t>
  </si>
  <si>
    <t>2019-05-18.xlsm</t>
  </si>
  <si>
    <t>2019-05-19.xlsm</t>
  </si>
  <si>
    <t>Sheet9</t>
  </si>
  <si>
    <t>2019-05-20@2.xlsm</t>
  </si>
  <si>
    <t>2019-05-21@2.xlsm</t>
  </si>
  <si>
    <t>2019-05-21@1.xlsm</t>
  </si>
  <si>
    <t>2019-05-22@1.xlsm</t>
  </si>
  <si>
    <t>2019-05-22@2.xlsm</t>
  </si>
  <si>
    <t>2019-05-23@2.xlsm</t>
  </si>
  <si>
    <t>2019-05-23@1.xlsm</t>
  </si>
  <si>
    <t>2019-05-24@2.xlsm</t>
  </si>
  <si>
    <t>2019-05-27@2.xlsm</t>
  </si>
  <si>
    <t>2019-05-25@1.xlsm</t>
  </si>
  <si>
    <t>2019-05-28@2.xlsm</t>
  </si>
  <si>
    <t>2019-05-31@2.xlsm</t>
  </si>
  <si>
    <t>2019-06-01@2.xlsm</t>
  </si>
  <si>
    <t>2019-06-02@2.xlsm</t>
  </si>
  <si>
    <t>2019-06-03@2.xlsm</t>
  </si>
  <si>
    <t>2019-06-04@2.xlsm</t>
  </si>
  <si>
    <t>52</t>
  </si>
  <si>
    <t>赤ドラ</t>
  </si>
  <si>
    <t>53</t>
    <phoneticPr fontId="1"/>
  </si>
  <si>
    <t>十三不塔</t>
    <rPh sb="0" eb="4">
      <t>シー</t>
    </rPh>
    <phoneticPr fontId="1"/>
  </si>
  <si>
    <t>2019-06-06@2.xlsm</t>
  </si>
  <si>
    <t>2019-06-07@2.xlsm</t>
  </si>
  <si>
    <t>2019-06-08@2.xlsm</t>
  </si>
  <si>
    <t>2019-06-09@2.xlsm</t>
  </si>
  <si>
    <t>2019-06-11@2.xlsm</t>
  </si>
  <si>
    <t>2019-06-12@2.xlsm</t>
  </si>
  <si>
    <t>2019-06-13@2.xlsm</t>
  </si>
  <si>
    <t>2019-06-14@1.xlsm</t>
  </si>
  <si>
    <t>2019-06-15@1.xlsm</t>
  </si>
  <si>
    <t>2019-06-16@2.xlsm</t>
  </si>
  <si>
    <t>2019-06-18@1.xlsm</t>
  </si>
  <si>
    <t>2019-06-18@2.xlsm</t>
  </si>
  <si>
    <t>2019-06-25@2.xlsm</t>
  </si>
  <si>
    <t>2019-06-26@2.xlsm</t>
  </si>
  <si>
    <t>2019-06-27@1.xlsm</t>
  </si>
  <si>
    <t>2019-06-27@2.xlsm</t>
  </si>
  <si>
    <t>2019-06-28@1.xlsm</t>
  </si>
  <si>
    <t>2019-06-28@2.xlsm</t>
  </si>
  <si>
    <t>2019-06-29@1.xlsm</t>
  </si>
  <si>
    <t>2019-06-30@2.xlsm</t>
  </si>
  <si>
    <t>2019-06-30@1.xlsm</t>
  </si>
  <si>
    <t>2019-07-01@2.xlsm</t>
  </si>
  <si>
    <t>のり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</si>
</sst>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6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4" fontId="0" fillId="0" borderId="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.xml"/><Relationship Id="rId42" Type="http://schemas.openxmlformats.org/officeDocument/2006/relationships/chartsheet" Target="chartsheets/sheet9.xml"/><Relationship Id="rId47" Type="http://schemas.openxmlformats.org/officeDocument/2006/relationships/chartsheet" Target="chartsheets/sheet14.xml"/><Relationship Id="rId50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5.xml"/><Relationship Id="rId46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8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4.xml"/><Relationship Id="rId40" Type="http://schemas.openxmlformats.org/officeDocument/2006/relationships/chartsheet" Target="chartsheets/sheet7.xml"/><Relationship Id="rId45" Type="http://schemas.openxmlformats.org/officeDocument/2006/relationships/chartsheet" Target="chartsheets/sheet12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3.xml"/><Relationship Id="rId49" Type="http://schemas.openxmlformats.org/officeDocument/2006/relationships/chartsheet" Target="chartsheets/sheet1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1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2.xml"/><Relationship Id="rId43" Type="http://schemas.openxmlformats.org/officeDocument/2006/relationships/chartsheet" Target="chartsheets/sheet10.xml"/><Relationship Id="rId48" Type="http://schemas.openxmlformats.org/officeDocument/2006/relationships/chartsheet" Target="chartsheets/sheet15.xml"/><Relationship Id="rId8" Type="http://schemas.openxmlformats.org/officeDocument/2006/relationships/worksheet" Target="worksheets/sheet8.xml"/><Relationship Id="rId51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全体!$K$2:$K$758</c:f>
              <c:numCache>
                <c:formatCode>General</c:formatCode>
                <c:ptCount val="7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</c:numCache>
            </c:numRef>
          </c:xVal>
          <c:yVal>
            <c:numRef>
              <c:f>全体!$L$2:$L$758</c:f>
              <c:numCache>
                <c:formatCode>\+0.0;\-0.0;\±0</c:formatCode>
                <c:ptCount val="757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  <c:pt idx="271">
                  <c:v>-24.8</c:v>
                </c:pt>
                <c:pt idx="272">
                  <c:v>-82.5</c:v>
                </c:pt>
                <c:pt idx="273">
                  <c:v>0</c:v>
                </c:pt>
                <c:pt idx="274">
                  <c:v>30.3</c:v>
                </c:pt>
                <c:pt idx="275">
                  <c:v>27.5</c:v>
                </c:pt>
                <c:pt idx="276">
                  <c:v>0</c:v>
                </c:pt>
                <c:pt idx="277">
                  <c:v>-5.5</c:v>
                </c:pt>
                <c:pt idx="278">
                  <c:v>-66.599999999999994</c:v>
                </c:pt>
                <c:pt idx="279">
                  <c:v>0</c:v>
                </c:pt>
                <c:pt idx="280">
                  <c:v>-32.9</c:v>
                </c:pt>
                <c:pt idx="281">
                  <c:v>12.5</c:v>
                </c:pt>
                <c:pt idx="282">
                  <c:v>0</c:v>
                </c:pt>
                <c:pt idx="283">
                  <c:v>45.1</c:v>
                </c:pt>
                <c:pt idx="284">
                  <c:v>7.1000000000000014</c:v>
                </c:pt>
                <c:pt idx="285">
                  <c:v>1.7763568394002505E-15</c:v>
                </c:pt>
                <c:pt idx="286">
                  <c:v>-56.4</c:v>
                </c:pt>
                <c:pt idx="287">
                  <c:v>-51.1</c:v>
                </c:pt>
                <c:pt idx="288">
                  <c:v>0</c:v>
                </c:pt>
                <c:pt idx="289">
                  <c:v>45.4</c:v>
                </c:pt>
                <c:pt idx="290">
                  <c:v>37.5</c:v>
                </c:pt>
                <c:pt idx="291">
                  <c:v>0</c:v>
                </c:pt>
                <c:pt idx="292">
                  <c:v>-58.7</c:v>
                </c:pt>
                <c:pt idx="293">
                  <c:v>-59.2</c:v>
                </c:pt>
                <c:pt idx="294">
                  <c:v>0</c:v>
                </c:pt>
                <c:pt idx="295">
                  <c:v>6.7</c:v>
                </c:pt>
                <c:pt idx="296">
                  <c:v>-27.7</c:v>
                </c:pt>
                <c:pt idx="297">
                  <c:v>0</c:v>
                </c:pt>
                <c:pt idx="298">
                  <c:v>6.1</c:v>
                </c:pt>
                <c:pt idx="299">
                  <c:v>32.700000000000003</c:v>
                </c:pt>
                <c:pt idx="300">
                  <c:v>0</c:v>
                </c:pt>
                <c:pt idx="301">
                  <c:v>-54.9</c:v>
                </c:pt>
                <c:pt idx="302">
                  <c:v>-9.1999999999999957</c:v>
                </c:pt>
                <c:pt idx="303">
                  <c:v>3.5527136788005009E-15</c:v>
                </c:pt>
                <c:pt idx="304">
                  <c:v>-52.8</c:v>
                </c:pt>
                <c:pt idx="305">
                  <c:v>-70.900000000000006</c:v>
                </c:pt>
                <c:pt idx="306">
                  <c:v>0</c:v>
                </c:pt>
                <c:pt idx="307">
                  <c:v>82.3</c:v>
                </c:pt>
                <c:pt idx="308">
                  <c:v>25.5</c:v>
                </c:pt>
                <c:pt idx="309">
                  <c:v>0</c:v>
                </c:pt>
                <c:pt idx="310">
                  <c:v>22.4</c:v>
                </c:pt>
                <c:pt idx="311">
                  <c:v>23.5</c:v>
                </c:pt>
                <c:pt idx="312">
                  <c:v>0</c:v>
                </c:pt>
                <c:pt idx="313">
                  <c:v>-24.6</c:v>
                </c:pt>
                <c:pt idx="314">
                  <c:v>-2.2000000000000028</c:v>
                </c:pt>
                <c:pt idx="315">
                  <c:v>-2.6645352591003757E-15</c:v>
                </c:pt>
                <c:pt idx="316">
                  <c:v>-5.3000000000000025</c:v>
                </c:pt>
                <c:pt idx="317">
                  <c:v>76.600000000000009</c:v>
                </c:pt>
                <c:pt idx="318">
                  <c:v>1.4210854715202004E-14</c:v>
                </c:pt>
                <c:pt idx="319">
                  <c:v>-12.599999999999985</c:v>
                </c:pt>
                <c:pt idx="320">
                  <c:v>35.100000000000016</c:v>
                </c:pt>
                <c:pt idx="321">
                  <c:v>1.4210854715202004E-14</c:v>
                </c:pt>
                <c:pt idx="322">
                  <c:v>66.200000000000017</c:v>
                </c:pt>
                <c:pt idx="323">
                  <c:v>57.300000000000018</c:v>
                </c:pt>
                <c:pt idx="324">
                  <c:v>2.1316282072803006E-14</c:v>
                </c:pt>
                <c:pt idx="325">
                  <c:v>-35.59999999999998</c:v>
                </c:pt>
                <c:pt idx="326">
                  <c:v>-38.59999999999998</c:v>
                </c:pt>
                <c:pt idx="327">
                  <c:v>2.1316282072803006E-14</c:v>
                </c:pt>
                <c:pt idx="328">
                  <c:v>32.500000000000021</c:v>
                </c:pt>
                <c:pt idx="329">
                  <c:v>38.600000000000023</c:v>
                </c:pt>
                <c:pt idx="330">
                  <c:v>2.1316282072803006E-14</c:v>
                </c:pt>
                <c:pt idx="331">
                  <c:v>-36.799999999999976</c:v>
                </c:pt>
                <c:pt idx="332">
                  <c:v>1.400000000000027</c:v>
                </c:pt>
                <c:pt idx="333">
                  <c:v>2.708944180085382E-14</c:v>
                </c:pt>
                <c:pt idx="334">
                  <c:v>10.000000000000027</c:v>
                </c:pt>
                <c:pt idx="335">
                  <c:v>-39.699999999999974</c:v>
                </c:pt>
                <c:pt idx="336">
                  <c:v>2.8421709430404007E-14</c:v>
                </c:pt>
                <c:pt idx="337">
                  <c:v>42.500000000000028</c:v>
                </c:pt>
                <c:pt idx="338">
                  <c:v>3.0000000000000284</c:v>
                </c:pt>
                <c:pt idx="339">
                  <c:v>2.8421709430404007E-14</c:v>
                </c:pt>
                <c:pt idx="340">
                  <c:v>-6.9999999999999716</c:v>
                </c:pt>
                <c:pt idx="341">
                  <c:v>-41.799999999999969</c:v>
                </c:pt>
                <c:pt idx="342">
                  <c:v>2.8421709430404007E-14</c:v>
                </c:pt>
                <c:pt idx="343">
                  <c:v>-34.199999999999974</c:v>
                </c:pt>
                <c:pt idx="344">
                  <c:v>0.30000000000002558</c:v>
                </c:pt>
                <c:pt idx="345">
                  <c:v>2.5590640717609858E-14</c:v>
                </c:pt>
                <c:pt idx="346">
                  <c:v>-58.499999999999972</c:v>
                </c:pt>
                <c:pt idx="347">
                  <c:v>-44.999999999999972</c:v>
                </c:pt>
                <c:pt idx="348">
                  <c:v>2.8421709430404007E-14</c:v>
                </c:pt>
                <c:pt idx="349">
                  <c:v>-77.999999999999972</c:v>
                </c:pt>
                <c:pt idx="350">
                  <c:v>-17.599999999999973</c:v>
                </c:pt>
                <c:pt idx="351">
                  <c:v>2.8421709430404007E-14</c:v>
                </c:pt>
                <c:pt idx="352">
                  <c:v>2.1000000000000285</c:v>
                </c:pt>
                <c:pt idx="353">
                  <c:v>30.500000000000028</c:v>
                </c:pt>
                <c:pt idx="354">
                  <c:v>2.8421709430404007E-14</c:v>
                </c:pt>
                <c:pt idx="355">
                  <c:v>8.8000000000000291</c:v>
                </c:pt>
                <c:pt idx="356">
                  <c:v>40.900000000000034</c:v>
                </c:pt>
                <c:pt idx="357">
                  <c:v>3.5527136788005009E-14</c:v>
                </c:pt>
                <c:pt idx="358">
                  <c:v>9.6000000000000352</c:v>
                </c:pt>
                <c:pt idx="359">
                  <c:v>-30.69999999999996</c:v>
                </c:pt>
                <c:pt idx="360">
                  <c:v>3.907985046680551E-14</c:v>
                </c:pt>
                <c:pt idx="361">
                  <c:v>-1.299999999999961</c:v>
                </c:pt>
                <c:pt idx="362">
                  <c:v>25.100000000000037</c:v>
                </c:pt>
                <c:pt idx="363">
                  <c:v>3.5527136788005009E-14</c:v>
                </c:pt>
                <c:pt idx="364">
                  <c:v>-65.099999999999966</c:v>
                </c:pt>
                <c:pt idx="365">
                  <c:v>-9.1999999999999673</c:v>
                </c:pt>
                <c:pt idx="366">
                  <c:v>3.1974423109204508E-14</c:v>
                </c:pt>
                <c:pt idx="367">
                  <c:v>31.600000000000033</c:v>
                </c:pt>
                <c:pt idx="368">
                  <c:v>4.6000000000000334</c:v>
                </c:pt>
                <c:pt idx="369">
                  <c:v>3.3750779948604759E-14</c:v>
                </c:pt>
                <c:pt idx="370">
                  <c:v>-43.399999999999963</c:v>
                </c:pt>
                <c:pt idx="371">
                  <c:v>0.30000000000003979</c:v>
                </c:pt>
                <c:pt idx="372">
                  <c:v>3.9801495432811862E-14</c:v>
                </c:pt>
                <c:pt idx="373">
                  <c:v>-31.69999999999996</c:v>
                </c:pt>
                <c:pt idx="374">
                  <c:v>-34.799999999999962</c:v>
                </c:pt>
                <c:pt idx="375">
                  <c:v>3.5527136788005009E-14</c:v>
                </c:pt>
                <c:pt idx="376">
                  <c:v>63.100000000000037</c:v>
                </c:pt>
                <c:pt idx="377">
                  <c:v>75.30000000000004</c:v>
                </c:pt>
                <c:pt idx="378">
                  <c:v>4.2632564145606011E-14</c:v>
                </c:pt>
                <c:pt idx="379">
                  <c:v>-10.499999999999957</c:v>
                </c:pt>
                <c:pt idx="380">
                  <c:v>35.500000000000043</c:v>
                </c:pt>
                <c:pt idx="381">
                  <c:v>4.2632564145606011E-14</c:v>
                </c:pt>
                <c:pt idx="382">
                  <c:v>-57.599999999999959</c:v>
                </c:pt>
                <c:pt idx="383">
                  <c:v>-4.9999999999999574</c:v>
                </c:pt>
                <c:pt idx="384">
                  <c:v>4.2632564145606011E-14</c:v>
                </c:pt>
                <c:pt idx="385">
                  <c:v>-33.299999999999955</c:v>
                </c:pt>
                <c:pt idx="386">
                  <c:v>-2.6999999999999531</c:v>
                </c:pt>
                <c:pt idx="387">
                  <c:v>4.7073456244106637E-14</c:v>
                </c:pt>
                <c:pt idx="388">
                  <c:v>-39.599999999999952</c:v>
                </c:pt>
                <c:pt idx="389">
                  <c:v>-38.199999999999953</c:v>
                </c:pt>
                <c:pt idx="390">
                  <c:v>4.9737991503207013E-14</c:v>
                </c:pt>
                <c:pt idx="391">
                  <c:v>-29.799999999999951</c:v>
                </c:pt>
                <c:pt idx="392">
                  <c:v>3.200000000000049</c:v>
                </c:pt>
                <c:pt idx="393">
                  <c:v>4.8849813083506888E-14</c:v>
                </c:pt>
                <c:pt idx="394">
                  <c:v>-7.299999999999951</c:v>
                </c:pt>
                <c:pt idx="395">
                  <c:v>58.200000000000045</c:v>
                </c:pt>
                <c:pt idx="396">
                  <c:v>4.2632564145606011E-14</c:v>
                </c:pt>
                <c:pt idx="397">
                  <c:v>-35.999999999999957</c:v>
                </c:pt>
                <c:pt idx="398">
                  <c:v>-34.399999999999956</c:v>
                </c:pt>
                <c:pt idx="399">
                  <c:v>4.2632564145606011E-14</c:v>
                </c:pt>
                <c:pt idx="400">
                  <c:v>-59.19999999999996</c:v>
                </c:pt>
                <c:pt idx="401">
                  <c:v>-59.899999999999963</c:v>
                </c:pt>
                <c:pt idx="402">
                  <c:v>3.5527136788005009E-14</c:v>
                </c:pt>
                <c:pt idx="403">
                  <c:v>35.400000000000034</c:v>
                </c:pt>
                <c:pt idx="404">
                  <c:v>46.100000000000037</c:v>
                </c:pt>
                <c:pt idx="405">
                  <c:v>3.5527136788005009E-14</c:v>
                </c:pt>
                <c:pt idx="406">
                  <c:v>42.900000000000034</c:v>
                </c:pt>
                <c:pt idx="407">
                  <c:v>-13.299999999999969</c:v>
                </c:pt>
                <c:pt idx="408">
                  <c:v>3.1974423109204508E-14</c:v>
                </c:pt>
                <c:pt idx="409">
                  <c:v>-36.999999999999972</c:v>
                </c:pt>
                <c:pt idx="410">
                  <c:v>-43.699999999999974</c:v>
                </c:pt>
                <c:pt idx="411">
                  <c:v>2.8421709430404007E-14</c:v>
                </c:pt>
                <c:pt idx="412">
                  <c:v>-57.499999999999972</c:v>
                </c:pt>
                <c:pt idx="413">
                  <c:v>5.2000000000000313</c:v>
                </c:pt>
                <c:pt idx="414">
                  <c:v>3.1086244689504383E-14</c:v>
                </c:pt>
                <c:pt idx="415">
                  <c:v>-43.89999999999997</c:v>
                </c:pt>
                <c:pt idx="416">
                  <c:v>-35.099999999999966</c:v>
                </c:pt>
                <c:pt idx="417">
                  <c:v>3.5527136788005009E-14</c:v>
                </c:pt>
                <c:pt idx="418">
                  <c:v>-0.29999999999996446</c:v>
                </c:pt>
                <c:pt idx="419">
                  <c:v>-22.899999999999967</c:v>
                </c:pt>
                <c:pt idx="420">
                  <c:v>3.1974423109204508E-14</c:v>
                </c:pt>
                <c:pt idx="421">
                  <c:v>-34.299999999999969</c:v>
                </c:pt>
                <c:pt idx="422">
                  <c:v>-7.0999999999999694</c:v>
                </c:pt>
                <c:pt idx="423">
                  <c:v>3.0198066269804258E-14</c:v>
                </c:pt>
                <c:pt idx="424">
                  <c:v>-38.89999999999997</c:v>
                </c:pt>
                <c:pt idx="425">
                  <c:v>14.60000000000003</c:v>
                </c:pt>
                <c:pt idx="426">
                  <c:v>3.0198066269804258E-14</c:v>
                </c:pt>
                <c:pt idx="427">
                  <c:v>30.60000000000003</c:v>
                </c:pt>
                <c:pt idx="428">
                  <c:v>33.60000000000003</c:v>
                </c:pt>
                <c:pt idx="429">
                  <c:v>2.8421709430404007E-14</c:v>
                </c:pt>
                <c:pt idx="430">
                  <c:v>-58.89999999999997</c:v>
                </c:pt>
                <c:pt idx="431">
                  <c:v>-17.199999999999967</c:v>
                </c:pt>
                <c:pt idx="432">
                  <c:v>3.1974423109204508E-14</c:v>
                </c:pt>
                <c:pt idx="433">
                  <c:v>-56.299999999999969</c:v>
                </c:pt>
                <c:pt idx="434">
                  <c:v>-13.89999999999997</c:v>
                </c:pt>
                <c:pt idx="435">
                  <c:v>3.0198066269804258E-14</c:v>
                </c:pt>
                <c:pt idx="436">
                  <c:v>-12.39999999999997</c:v>
                </c:pt>
                <c:pt idx="437">
                  <c:v>-52.499999999999972</c:v>
                </c:pt>
                <c:pt idx="438">
                  <c:v>2.8421709430404007E-14</c:v>
                </c:pt>
                <c:pt idx="439">
                  <c:v>-36.199999999999974</c:v>
                </c:pt>
                <c:pt idx="440">
                  <c:v>0.20000000000002416</c:v>
                </c:pt>
                <c:pt idx="441">
                  <c:v>2.4147350785597155E-14</c:v>
                </c:pt>
                <c:pt idx="442">
                  <c:v>-14.499999999999975</c:v>
                </c:pt>
                <c:pt idx="443">
                  <c:v>73.500000000000028</c:v>
                </c:pt>
                <c:pt idx="444">
                  <c:v>2.8421709430404007E-14</c:v>
                </c:pt>
                <c:pt idx="445">
                  <c:v>-57.39999999999997</c:v>
                </c:pt>
                <c:pt idx="446">
                  <c:v>-11.39999999999997</c:v>
                </c:pt>
                <c:pt idx="447">
                  <c:v>3.0198066269804258E-14</c:v>
                </c:pt>
                <c:pt idx="448">
                  <c:v>34.300000000000026</c:v>
                </c:pt>
                <c:pt idx="449">
                  <c:v>32.200000000000024</c:v>
                </c:pt>
                <c:pt idx="450">
                  <c:v>2.1316282072803006E-14</c:v>
                </c:pt>
                <c:pt idx="451">
                  <c:v>-56.199999999999982</c:v>
                </c:pt>
                <c:pt idx="452">
                  <c:v>-14.59999999999998</c:v>
                </c:pt>
                <c:pt idx="453">
                  <c:v>1.9539925233402755E-14</c:v>
                </c:pt>
                <c:pt idx="454">
                  <c:v>-50.59999999999998</c:v>
                </c:pt>
                <c:pt idx="455">
                  <c:v>-66.299999999999983</c:v>
                </c:pt>
                <c:pt idx="456">
                  <c:v>1.4210854715202004E-14</c:v>
                </c:pt>
                <c:pt idx="457">
                  <c:v>69.600000000000009</c:v>
                </c:pt>
                <c:pt idx="458">
                  <c:v>59.20000000000001</c:v>
                </c:pt>
                <c:pt idx="459">
                  <c:v>7.1054273576010019E-15</c:v>
                </c:pt>
                <c:pt idx="460">
                  <c:v>-18.699999999999992</c:v>
                </c:pt>
                <c:pt idx="461">
                  <c:v>56.500000000000014</c:v>
                </c:pt>
                <c:pt idx="462">
                  <c:v>1.4210854715202004E-14</c:v>
                </c:pt>
                <c:pt idx="463">
                  <c:v>37.400000000000013</c:v>
                </c:pt>
                <c:pt idx="464">
                  <c:v>6.8000000000000114</c:v>
                </c:pt>
                <c:pt idx="465">
                  <c:v>1.1546319456101628E-14</c:v>
                </c:pt>
                <c:pt idx="466">
                  <c:v>-6.0999999999999881</c:v>
                </c:pt>
                <c:pt idx="467">
                  <c:v>38.70000000000001</c:v>
                </c:pt>
                <c:pt idx="468">
                  <c:v>7.1054273576010019E-15</c:v>
                </c:pt>
                <c:pt idx="469">
                  <c:v>62.500000000000007</c:v>
                </c:pt>
                <c:pt idx="470">
                  <c:v>2.5000000000000071</c:v>
                </c:pt>
                <c:pt idx="471">
                  <c:v>7.1054273576010019E-15</c:v>
                </c:pt>
                <c:pt idx="472">
                  <c:v>-37.699999999999996</c:v>
                </c:pt>
                <c:pt idx="473">
                  <c:v>-47.599999999999994</c:v>
                </c:pt>
                <c:pt idx="474">
                  <c:v>7.1054273576010019E-15</c:v>
                </c:pt>
                <c:pt idx="475">
                  <c:v>20.500000000000007</c:v>
                </c:pt>
                <c:pt idx="476">
                  <c:v>-45.4</c:v>
                </c:pt>
                <c:pt idx="477">
                  <c:v>0</c:v>
                </c:pt>
                <c:pt idx="478">
                  <c:v>51.8</c:v>
                </c:pt>
                <c:pt idx="479">
                  <c:v>59.199999999999996</c:v>
                </c:pt>
                <c:pt idx="480">
                  <c:v>-7.1054273576010019E-15</c:v>
                </c:pt>
                <c:pt idx="481">
                  <c:v>-56.900000000000006</c:v>
                </c:pt>
                <c:pt idx="482">
                  <c:v>-67.7</c:v>
                </c:pt>
                <c:pt idx="483">
                  <c:v>0</c:v>
                </c:pt>
                <c:pt idx="484">
                  <c:v>36.299999999999997</c:v>
                </c:pt>
                <c:pt idx="485">
                  <c:v>-1.5</c:v>
                </c:pt>
                <c:pt idx="486">
                  <c:v>0</c:v>
                </c:pt>
                <c:pt idx="487">
                  <c:v>-30.5</c:v>
                </c:pt>
                <c:pt idx="488">
                  <c:v>9.6000000000000014</c:v>
                </c:pt>
                <c:pt idx="489">
                  <c:v>1.7763568394002505E-15</c:v>
                </c:pt>
                <c:pt idx="490">
                  <c:v>44.6</c:v>
                </c:pt>
                <c:pt idx="491">
                  <c:v>51.800000000000004</c:v>
                </c:pt>
                <c:pt idx="492">
                  <c:v>7.1054273576010019E-15</c:v>
                </c:pt>
                <c:pt idx="493">
                  <c:v>-56.099999999999994</c:v>
                </c:pt>
                <c:pt idx="494">
                  <c:v>15.400000000000006</c:v>
                </c:pt>
                <c:pt idx="495">
                  <c:v>5.3290705182007514E-15</c:v>
                </c:pt>
                <c:pt idx="496">
                  <c:v>-16.099999999999994</c:v>
                </c:pt>
                <c:pt idx="497">
                  <c:v>-61.599999999999994</c:v>
                </c:pt>
                <c:pt idx="498">
                  <c:v>7.1054273576010019E-15</c:v>
                </c:pt>
                <c:pt idx="499">
                  <c:v>-58.999999999999993</c:v>
                </c:pt>
                <c:pt idx="500">
                  <c:v>9.0000000000000071</c:v>
                </c:pt>
                <c:pt idx="501">
                  <c:v>7.1054273576010019E-15</c:v>
                </c:pt>
                <c:pt idx="502">
                  <c:v>74.800000000000011</c:v>
                </c:pt>
                <c:pt idx="503">
                  <c:v>56.000000000000014</c:v>
                </c:pt>
                <c:pt idx="504">
                  <c:v>1.4210854715202004E-14</c:v>
                </c:pt>
                <c:pt idx="505">
                  <c:v>-63.399999999999984</c:v>
                </c:pt>
                <c:pt idx="506">
                  <c:v>-65.199999999999989</c:v>
                </c:pt>
                <c:pt idx="507">
                  <c:v>1.4210854715202004E-14</c:v>
                </c:pt>
                <c:pt idx="508">
                  <c:v>-20.299999999999986</c:v>
                </c:pt>
                <c:pt idx="509">
                  <c:v>-66.399999999999991</c:v>
                </c:pt>
                <c:pt idx="510">
                  <c:v>1.4210854715202004E-14</c:v>
                </c:pt>
                <c:pt idx="511">
                  <c:v>4.300000000000014</c:v>
                </c:pt>
                <c:pt idx="512">
                  <c:v>41.100000000000009</c:v>
                </c:pt>
                <c:pt idx="513">
                  <c:v>7.1054273576010019E-15</c:v>
                </c:pt>
                <c:pt idx="514">
                  <c:v>84.4</c:v>
                </c:pt>
                <c:pt idx="515">
                  <c:v>20.900000000000006</c:v>
                </c:pt>
                <c:pt idx="516">
                  <c:v>7.1054273576010019E-15</c:v>
                </c:pt>
                <c:pt idx="517">
                  <c:v>40.600000000000009</c:v>
                </c:pt>
                <c:pt idx="518">
                  <c:v>42.70000000000001</c:v>
                </c:pt>
                <c:pt idx="519">
                  <c:v>7.1054273576010019E-15</c:v>
                </c:pt>
                <c:pt idx="520">
                  <c:v>-57.999999999999993</c:v>
                </c:pt>
                <c:pt idx="521">
                  <c:v>-1.9999999999999929</c:v>
                </c:pt>
                <c:pt idx="522">
                  <c:v>7.1054273576010019E-15</c:v>
                </c:pt>
                <c:pt idx="523">
                  <c:v>36.400000000000006</c:v>
                </c:pt>
                <c:pt idx="524">
                  <c:v>45.900000000000006</c:v>
                </c:pt>
                <c:pt idx="525">
                  <c:v>7.1054273576010019E-15</c:v>
                </c:pt>
                <c:pt idx="526">
                  <c:v>-78.699999999999989</c:v>
                </c:pt>
                <c:pt idx="527">
                  <c:v>-20.699999999999989</c:v>
                </c:pt>
                <c:pt idx="528">
                  <c:v>1.0658141036401503E-14</c:v>
                </c:pt>
                <c:pt idx="529">
                  <c:v>37.400000000000006</c:v>
                </c:pt>
                <c:pt idx="530">
                  <c:v>-5.5999999999999943</c:v>
                </c:pt>
                <c:pt idx="531">
                  <c:v>5.3290705182007514E-15</c:v>
                </c:pt>
                <c:pt idx="532">
                  <c:v>5.3290705182007514E-15</c:v>
                </c:pt>
                <c:pt idx="533">
                  <c:v>-56.999999999999993</c:v>
                </c:pt>
                <c:pt idx="534">
                  <c:v>7.1054273576010019E-15</c:v>
                </c:pt>
                <c:pt idx="535">
                  <c:v>-23.699999999999992</c:v>
                </c:pt>
                <c:pt idx="536">
                  <c:v>-1.2999999999999936</c:v>
                </c:pt>
                <c:pt idx="537">
                  <c:v>6.4392935428259079E-15</c:v>
                </c:pt>
                <c:pt idx="538">
                  <c:v>-2.9999999999999938</c:v>
                </c:pt>
                <c:pt idx="539">
                  <c:v>43.000000000000007</c:v>
                </c:pt>
                <c:pt idx="540">
                  <c:v>7.1054273576010019E-15</c:v>
                </c:pt>
                <c:pt idx="541">
                  <c:v>-35.099999999999994</c:v>
                </c:pt>
                <c:pt idx="542">
                  <c:v>-5.4999999999999929</c:v>
                </c:pt>
                <c:pt idx="543">
                  <c:v>7.1054273576010019E-15</c:v>
                </c:pt>
                <c:pt idx="544">
                  <c:v>-26.999999999999993</c:v>
                </c:pt>
                <c:pt idx="545">
                  <c:v>6.5000000000000071</c:v>
                </c:pt>
                <c:pt idx="546">
                  <c:v>7.1054273576010019E-15</c:v>
                </c:pt>
                <c:pt idx="547">
                  <c:v>49.000000000000007</c:v>
                </c:pt>
                <c:pt idx="548">
                  <c:v>57.100000000000009</c:v>
                </c:pt>
                <c:pt idx="549">
                  <c:v>7.1054273576010019E-15</c:v>
                </c:pt>
                <c:pt idx="550">
                  <c:v>-28.199999999999992</c:v>
                </c:pt>
                <c:pt idx="551">
                  <c:v>2.2000000000000064</c:v>
                </c:pt>
                <c:pt idx="552">
                  <c:v>6.2172489379008766E-15</c:v>
                </c:pt>
                <c:pt idx="553">
                  <c:v>6.1000000000000059</c:v>
                </c:pt>
                <c:pt idx="554">
                  <c:v>-33.79999999999999</c:v>
                </c:pt>
                <c:pt idx="555">
                  <c:v>7.1054273576010019E-15</c:v>
                </c:pt>
                <c:pt idx="556">
                  <c:v>-62.999999999999993</c:v>
                </c:pt>
                <c:pt idx="557">
                  <c:v>-44.999999999999993</c:v>
                </c:pt>
                <c:pt idx="558">
                  <c:v>7.1054273576010019E-15</c:v>
                </c:pt>
                <c:pt idx="559">
                  <c:v>100.9</c:v>
                </c:pt>
                <c:pt idx="560">
                  <c:v>27.200000000000003</c:v>
                </c:pt>
                <c:pt idx="561">
                  <c:v>3.5527136788005009E-15</c:v>
                </c:pt>
                <c:pt idx="562">
                  <c:v>27.100000000000005</c:v>
                </c:pt>
                <c:pt idx="563">
                  <c:v>31.800000000000004</c:v>
                </c:pt>
                <c:pt idx="564">
                  <c:v>3.5527136788005009E-15</c:v>
                </c:pt>
                <c:pt idx="565">
                  <c:v>-0.79999999999999649</c:v>
                </c:pt>
                <c:pt idx="566">
                  <c:v>23.400000000000002</c:v>
                </c:pt>
                <c:pt idx="567">
                  <c:v>3.5527136788005009E-15</c:v>
                </c:pt>
                <c:pt idx="568">
                  <c:v>57.2</c:v>
                </c:pt>
                <c:pt idx="569">
                  <c:v>69.5</c:v>
                </c:pt>
                <c:pt idx="570">
                  <c:v>0</c:v>
                </c:pt>
                <c:pt idx="571">
                  <c:v>-48.7</c:v>
                </c:pt>
                <c:pt idx="572">
                  <c:v>-37.1</c:v>
                </c:pt>
                <c:pt idx="573">
                  <c:v>0</c:v>
                </c:pt>
                <c:pt idx="574">
                  <c:v>29.4</c:v>
                </c:pt>
                <c:pt idx="575">
                  <c:v>-0.80000000000000071</c:v>
                </c:pt>
                <c:pt idx="576">
                  <c:v>-6.6613381477509392E-16</c:v>
                </c:pt>
                <c:pt idx="577">
                  <c:v>79.599999999999994</c:v>
                </c:pt>
                <c:pt idx="578">
                  <c:v>70.8</c:v>
                </c:pt>
                <c:pt idx="579">
                  <c:v>0</c:v>
                </c:pt>
                <c:pt idx="580">
                  <c:v>-55.7</c:v>
                </c:pt>
                <c:pt idx="581">
                  <c:v>7.6999999999999957</c:v>
                </c:pt>
                <c:pt idx="582">
                  <c:v>-4.4408920985006262E-15</c:v>
                </c:pt>
                <c:pt idx="583">
                  <c:v>40.599999999999994</c:v>
                </c:pt>
                <c:pt idx="584">
                  <c:v>43.599999999999994</c:v>
                </c:pt>
                <c:pt idx="585">
                  <c:v>-7.1054273576010019E-15</c:v>
                </c:pt>
                <c:pt idx="586">
                  <c:v>-50.500000000000007</c:v>
                </c:pt>
                <c:pt idx="587">
                  <c:v>-47.900000000000006</c:v>
                </c:pt>
                <c:pt idx="588">
                  <c:v>-7.1054273576010019E-15</c:v>
                </c:pt>
                <c:pt idx="589">
                  <c:v>-41.70000000000001</c:v>
                </c:pt>
                <c:pt idx="590">
                  <c:v>-0.70000000000000995</c:v>
                </c:pt>
                <c:pt idx="591">
                  <c:v>-9.9920072216264089E-15</c:v>
                </c:pt>
                <c:pt idx="592">
                  <c:v>-34.900000000000006</c:v>
                </c:pt>
                <c:pt idx="593">
                  <c:v>-38.100000000000009</c:v>
                </c:pt>
                <c:pt idx="594">
                  <c:v>-7.1054273576010019E-15</c:v>
                </c:pt>
                <c:pt idx="595">
                  <c:v>64.199999999999989</c:v>
                </c:pt>
                <c:pt idx="596">
                  <c:v>57.999999999999986</c:v>
                </c:pt>
                <c:pt idx="597">
                  <c:v>-1.4210854715202004E-14</c:v>
                </c:pt>
                <c:pt idx="598">
                  <c:v>60.299999999999983</c:v>
                </c:pt>
                <c:pt idx="599">
                  <c:v>-1.7000000000000171</c:v>
                </c:pt>
                <c:pt idx="600">
                  <c:v>-1.7097434579227411E-14</c:v>
                </c:pt>
                <c:pt idx="601">
                  <c:v>7.2999999999999829</c:v>
                </c:pt>
                <c:pt idx="602">
                  <c:v>36.09999999999998</c:v>
                </c:pt>
                <c:pt idx="603">
                  <c:v>-2.1316282072803006E-14</c:v>
                </c:pt>
                <c:pt idx="604">
                  <c:v>-41.40000000000002</c:v>
                </c:pt>
                <c:pt idx="605">
                  <c:v>-48.000000000000021</c:v>
                </c:pt>
                <c:pt idx="606">
                  <c:v>-2.1316282072803006E-14</c:v>
                </c:pt>
                <c:pt idx="607">
                  <c:v>31.899999999999977</c:v>
                </c:pt>
                <c:pt idx="608">
                  <c:v>33.899999999999977</c:v>
                </c:pt>
                <c:pt idx="609">
                  <c:v>-2.1316282072803006E-14</c:v>
                </c:pt>
                <c:pt idx="610">
                  <c:v>-11.100000000000021</c:v>
                </c:pt>
                <c:pt idx="611">
                  <c:v>56.699999999999974</c:v>
                </c:pt>
                <c:pt idx="612">
                  <c:v>-2.8421709430404007E-14</c:v>
                </c:pt>
                <c:pt idx="613">
                  <c:v>-24.400000000000027</c:v>
                </c:pt>
                <c:pt idx="614">
                  <c:v>-25.600000000000026</c:v>
                </c:pt>
                <c:pt idx="615">
                  <c:v>-2.4868995751603507E-14</c:v>
                </c:pt>
                <c:pt idx="616">
                  <c:v>-44.600000000000023</c:v>
                </c:pt>
                <c:pt idx="617">
                  <c:v>-34.90000000000002</c:v>
                </c:pt>
                <c:pt idx="618">
                  <c:v>-2.1316282072803006E-14</c:v>
                </c:pt>
                <c:pt idx="619">
                  <c:v>46.09999999999998</c:v>
                </c:pt>
                <c:pt idx="620">
                  <c:v>54.59999999999998</c:v>
                </c:pt>
                <c:pt idx="621">
                  <c:v>-2.1316282072803006E-14</c:v>
                </c:pt>
                <c:pt idx="622">
                  <c:v>56.499999999999979</c:v>
                </c:pt>
                <c:pt idx="623">
                  <c:v>64.699999999999974</c:v>
                </c:pt>
                <c:pt idx="624">
                  <c:v>-2.8421709430404007E-14</c:v>
                </c:pt>
                <c:pt idx="625">
                  <c:v>23.699999999999971</c:v>
                </c:pt>
                <c:pt idx="626">
                  <c:v>1.4999999999999716</c:v>
                </c:pt>
                <c:pt idx="627">
                  <c:v>-2.8421709430404007E-14</c:v>
                </c:pt>
                <c:pt idx="628">
                  <c:v>27.699999999999971</c:v>
                </c:pt>
                <c:pt idx="629">
                  <c:v>3.3999999999999702</c:v>
                </c:pt>
                <c:pt idx="630">
                  <c:v>-2.9753977059954195E-14</c:v>
                </c:pt>
                <c:pt idx="631">
                  <c:v>45.299999999999969</c:v>
                </c:pt>
                <c:pt idx="632">
                  <c:v>-5.8000000000000327</c:v>
                </c:pt>
                <c:pt idx="633">
                  <c:v>-3.2862601528904634E-14</c:v>
                </c:pt>
                <c:pt idx="634">
                  <c:v>8.999999999999968</c:v>
                </c:pt>
                <c:pt idx="635">
                  <c:v>57.299999999999969</c:v>
                </c:pt>
                <c:pt idx="636">
                  <c:v>-2.8421709430404007E-14</c:v>
                </c:pt>
                <c:pt idx="637">
                  <c:v>-56.000000000000028</c:v>
                </c:pt>
                <c:pt idx="638">
                  <c:v>-50.000000000000028</c:v>
                </c:pt>
                <c:pt idx="639">
                  <c:v>-2.8421709430404007E-14</c:v>
                </c:pt>
                <c:pt idx="640">
                  <c:v>-56.200000000000031</c:v>
                </c:pt>
                <c:pt idx="641">
                  <c:v>11.699999999999974</c:v>
                </c:pt>
                <c:pt idx="642">
                  <c:v>-2.4868995751603507E-14</c:v>
                </c:pt>
                <c:pt idx="643">
                  <c:v>-31.800000000000026</c:v>
                </c:pt>
                <c:pt idx="644">
                  <c:v>-42.700000000000024</c:v>
                </c:pt>
                <c:pt idx="645">
                  <c:v>-2.1316282072803006E-14</c:v>
                </c:pt>
                <c:pt idx="646">
                  <c:v>-7.3000000000000211</c:v>
                </c:pt>
                <c:pt idx="647">
                  <c:v>46.999999999999979</c:v>
                </c:pt>
                <c:pt idx="648">
                  <c:v>-2.1316282072803006E-14</c:v>
                </c:pt>
                <c:pt idx="649">
                  <c:v>-14.300000000000022</c:v>
                </c:pt>
                <c:pt idx="650">
                  <c:v>36.09999999999998</c:v>
                </c:pt>
                <c:pt idx="651">
                  <c:v>-2.1316282072803006E-14</c:v>
                </c:pt>
                <c:pt idx="652">
                  <c:v>-60.90000000000002</c:v>
                </c:pt>
                <c:pt idx="653">
                  <c:v>3.4999999999999858</c:v>
                </c:pt>
                <c:pt idx="654">
                  <c:v>-1.4210854715202004E-14</c:v>
                </c:pt>
                <c:pt idx="655">
                  <c:v>67.799999999999983</c:v>
                </c:pt>
                <c:pt idx="656">
                  <c:v>55.899999999999984</c:v>
                </c:pt>
                <c:pt idx="657">
                  <c:v>-1.4210854715202004E-14</c:v>
                </c:pt>
                <c:pt idx="658">
                  <c:v>-14.900000000000015</c:v>
                </c:pt>
                <c:pt idx="659">
                  <c:v>-51.300000000000011</c:v>
                </c:pt>
                <c:pt idx="660">
                  <c:v>-1.4210854715202004E-14</c:v>
                </c:pt>
                <c:pt idx="661">
                  <c:v>-57.700000000000017</c:v>
                </c:pt>
                <c:pt idx="662">
                  <c:v>-40.100000000000016</c:v>
                </c:pt>
                <c:pt idx="663">
                  <c:v>-1.4210854715202004E-14</c:v>
                </c:pt>
                <c:pt idx="664">
                  <c:v>-1.9000000000000141</c:v>
                </c:pt>
                <c:pt idx="665">
                  <c:v>32.79999999999999</c:v>
                </c:pt>
                <c:pt idx="666">
                  <c:v>-7.1054273576010019E-15</c:v>
                </c:pt>
                <c:pt idx="667">
                  <c:v>11.599999999999993</c:v>
                </c:pt>
                <c:pt idx="668">
                  <c:v>-43.800000000000004</c:v>
                </c:pt>
                <c:pt idx="669">
                  <c:v>-7.1054273576010019E-15</c:v>
                </c:pt>
                <c:pt idx="670">
                  <c:v>-1.0000000000000071</c:v>
                </c:pt>
                <c:pt idx="671">
                  <c:v>-59.000000000000007</c:v>
                </c:pt>
                <c:pt idx="672">
                  <c:v>-7.1054273576010019E-15</c:v>
                </c:pt>
                <c:pt idx="673">
                  <c:v>-1.3000000000000071</c:v>
                </c:pt>
                <c:pt idx="674">
                  <c:v>34.699999999999996</c:v>
                </c:pt>
                <c:pt idx="675">
                  <c:v>-7.1054273576010019E-15</c:v>
                </c:pt>
                <c:pt idx="676">
                  <c:v>-7.4000000000000075</c:v>
                </c:pt>
                <c:pt idx="677">
                  <c:v>-71.100000000000009</c:v>
                </c:pt>
                <c:pt idx="678">
                  <c:v>-1.4210854715202004E-14</c:v>
                </c:pt>
                <c:pt idx="679">
                  <c:v>76.999999999999986</c:v>
                </c:pt>
                <c:pt idx="680">
                  <c:v>-5.0000000000000142</c:v>
                </c:pt>
                <c:pt idx="681">
                  <c:v>-1.4210854715202004E-14</c:v>
                </c:pt>
                <c:pt idx="682">
                  <c:v>92.59999999999998</c:v>
                </c:pt>
                <c:pt idx="683">
                  <c:v>62.299999999999983</c:v>
                </c:pt>
                <c:pt idx="684">
                  <c:v>-1.4210854715202004E-14</c:v>
                </c:pt>
                <c:pt idx="685">
                  <c:v>49.699999999999989</c:v>
                </c:pt>
                <c:pt idx="686">
                  <c:v>38.79999999999999</c:v>
                </c:pt>
                <c:pt idx="687">
                  <c:v>-7.1054273576010019E-15</c:v>
                </c:pt>
                <c:pt idx="688">
                  <c:v>-28.400000000000006</c:v>
                </c:pt>
                <c:pt idx="689">
                  <c:v>57</c:v>
                </c:pt>
                <c:pt idx="690">
                  <c:v>0</c:v>
                </c:pt>
                <c:pt idx="691">
                  <c:v>-47.7</c:v>
                </c:pt>
                <c:pt idx="692">
                  <c:v>-69.300000000000011</c:v>
                </c:pt>
                <c:pt idx="693">
                  <c:v>-1.4210854715202004E-14</c:v>
                </c:pt>
                <c:pt idx="694">
                  <c:v>-32.900000000000013</c:v>
                </c:pt>
                <c:pt idx="695">
                  <c:v>-42.600000000000009</c:v>
                </c:pt>
                <c:pt idx="696">
                  <c:v>-7.1054273576010019E-15</c:v>
                </c:pt>
                <c:pt idx="697">
                  <c:v>11.299999999999994</c:v>
                </c:pt>
                <c:pt idx="698">
                  <c:v>56.3</c:v>
                </c:pt>
                <c:pt idx="699">
                  <c:v>0</c:v>
                </c:pt>
                <c:pt idx="700">
                  <c:v>15</c:v>
                </c:pt>
                <c:pt idx="701">
                  <c:v>60</c:v>
                </c:pt>
                <c:pt idx="702">
                  <c:v>0</c:v>
                </c:pt>
                <c:pt idx="703">
                  <c:v>-50.9</c:v>
                </c:pt>
                <c:pt idx="704">
                  <c:v>1.2000000000000028</c:v>
                </c:pt>
                <c:pt idx="705">
                  <c:v>2.886579864025407E-15</c:v>
                </c:pt>
                <c:pt idx="706">
                  <c:v>-10.799999999999997</c:v>
                </c:pt>
                <c:pt idx="707">
                  <c:v>-52</c:v>
                </c:pt>
                <c:pt idx="708">
                  <c:v>0</c:v>
                </c:pt>
                <c:pt idx="709">
                  <c:v>5.3</c:v>
                </c:pt>
                <c:pt idx="710">
                  <c:v>-26.8</c:v>
                </c:pt>
                <c:pt idx="711">
                  <c:v>0</c:v>
                </c:pt>
                <c:pt idx="712">
                  <c:v>9.4</c:v>
                </c:pt>
                <c:pt idx="713">
                  <c:v>-36.4</c:v>
                </c:pt>
                <c:pt idx="714">
                  <c:v>0</c:v>
                </c:pt>
                <c:pt idx="715">
                  <c:v>-2.2999999999999998</c:v>
                </c:pt>
                <c:pt idx="716">
                  <c:v>-58.9</c:v>
                </c:pt>
                <c:pt idx="717">
                  <c:v>0</c:v>
                </c:pt>
                <c:pt idx="718">
                  <c:v>-24.5</c:v>
                </c:pt>
                <c:pt idx="719">
                  <c:v>56.5</c:v>
                </c:pt>
                <c:pt idx="720">
                  <c:v>0</c:v>
                </c:pt>
                <c:pt idx="721">
                  <c:v>39.200000000000003</c:v>
                </c:pt>
                <c:pt idx="722">
                  <c:v>6.3000000000000043</c:v>
                </c:pt>
                <c:pt idx="723">
                  <c:v>4.4408920985006262E-15</c:v>
                </c:pt>
                <c:pt idx="724">
                  <c:v>-51.699999999999996</c:v>
                </c:pt>
                <c:pt idx="725">
                  <c:v>-38.199999999999996</c:v>
                </c:pt>
                <c:pt idx="726">
                  <c:v>7.1054273576010019E-15</c:v>
                </c:pt>
                <c:pt idx="727">
                  <c:v>-61.699999999999996</c:v>
                </c:pt>
                <c:pt idx="728">
                  <c:v>-91.3</c:v>
                </c:pt>
                <c:pt idx="729">
                  <c:v>0</c:v>
                </c:pt>
                <c:pt idx="730">
                  <c:v>41.6</c:v>
                </c:pt>
                <c:pt idx="731">
                  <c:v>8.7000000000000028</c:v>
                </c:pt>
                <c:pt idx="732">
                  <c:v>3.5527136788005009E-15</c:v>
                </c:pt>
                <c:pt idx="733">
                  <c:v>-55.899999999999991</c:v>
                </c:pt>
                <c:pt idx="734">
                  <c:v>-42.199999999999989</c:v>
                </c:pt>
                <c:pt idx="735">
                  <c:v>1.4210854715202004E-14</c:v>
                </c:pt>
                <c:pt idx="736">
                  <c:v>62.500000000000014</c:v>
                </c:pt>
                <c:pt idx="737">
                  <c:v>5.0000000000000142</c:v>
                </c:pt>
                <c:pt idx="738">
                  <c:v>1.4210854715202004E-14</c:v>
                </c:pt>
                <c:pt idx="739">
                  <c:v>-11.999999999999986</c:v>
                </c:pt>
                <c:pt idx="740">
                  <c:v>65.100000000000009</c:v>
                </c:pt>
                <c:pt idx="741">
                  <c:v>1.4210854715202004E-14</c:v>
                </c:pt>
                <c:pt idx="742">
                  <c:v>14.700000000000014</c:v>
                </c:pt>
                <c:pt idx="743">
                  <c:v>75.200000000000017</c:v>
                </c:pt>
                <c:pt idx="744">
                  <c:v>1.4210854715202004E-14</c:v>
                </c:pt>
                <c:pt idx="745">
                  <c:v>12.200000000000014</c:v>
                </c:pt>
                <c:pt idx="746">
                  <c:v>55.100000000000009</c:v>
                </c:pt>
                <c:pt idx="747">
                  <c:v>7.1054273576010019E-15</c:v>
                </c:pt>
                <c:pt idx="748">
                  <c:v>9.0000000000000071</c:v>
                </c:pt>
                <c:pt idx="749">
                  <c:v>-37.699999999999996</c:v>
                </c:pt>
                <c:pt idx="750">
                  <c:v>7.1054273576010019E-15</c:v>
                </c:pt>
                <c:pt idx="751">
                  <c:v>-43.199999999999996</c:v>
                </c:pt>
                <c:pt idx="752">
                  <c:v>-39.799999999999997</c:v>
                </c:pt>
                <c:pt idx="753">
                  <c:v>0</c:v>
                </c:pt>
                <c:pt idx="754">
                  <c:v>-53.3</c:v>
                </c:pt>
                <c:pt idx="755">
                  <c:v>-61.599999999999994</c:v>
                </c:pt>
                <c:pt idx="756">
                  <c:v>7.1054273576010019E-15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1A-4C71-815D-2B16B54815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-17.195767195767196</c:v>
                </c:pt>
                <c:pt idx="1">
                  <c:v>-4.048582995951417</c:v>
                </c:pt>
                <c:pt idx="2">
                  <c:v>10.189228529839884</c:v>
                </c:pt>
                <c:pt idx="3">
                  <c:v>6.3191153238546605</c:v>
                </c:pt>
                <c:pt idx="4">
                  <c:v>-17.636684303350972</c:v>
                </c:pt>
                <c:pt idx="5">
                  <c:v>30.120481927710845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808-4551-99F6-6D1F0055A8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だいち!$K$2:$K$165</c:f>
              <c:numCache>
                <c:formatCode>General</c:formatCode>
                <c:ptCount val="1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</c:numCache>
            </c:numRef>
          </c:xVal>
          <c:yVal>
            <c:numRef>
              <c:f>だいち!$L$2:$L$165</c:f>
              <c:numCache>
                <c:formatCode>\+0.0;\-0.0;\±0</c:formatCode>
                <c:ptCount val="164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  <c:pt idx="65">
                  <c:v>1626.5000000000005</c:v>
                </c:pt>
                <c:pt idx="66">
                  <c:v>1565.4000000000005</c:v>
                </c:pt>
                <c:pt idx="67">
                  <c:v>1610.8000000000006</c:v>
                </c:pt>
                <c:pt idx="68">
                  <c:v>1572.8000000000006</c:v>
                </c:pt>
                <c:pt idx="69">
                  <c:v>1572.3000000000006</c:v>
                </c:pt>
                <c:pt idx="70">
                  <c:v>1598.9000000000005</c:v>
                </c:pt>
                <c:pt idx="71">
                  <c:v>1644.6000000000006</c:v>
                </c:pt>
                <c:pt idx="72">
                  <c:v>1587.8000000000006</c:v>
                </c:pt>
                <c:pt idx="73">
                  <c:v>1588.9000000000005</c:v>
                </c:pt>
                <c:pt idx="74">
                  <c:v>1553.8000000000006</c:v>
                </c:pt>
                <c:pt idx="75">
                  <c:v>1496.5000000000007</c:v>
                </c:pt>
                <c:pt idx="76">
                  <c:v>1535.1000000000006</c:v>
                </c:pt>
                <c:pt idx="77">
                  <c:v>1496.5000000000007</c:v>
                </c:pt>
                <c:pt idx="78">
                  <c:v>1534.7000000000007</c:v>
                </c:pt>
                <c:pt idx="79">
                  <c:v>1485.0000000000007</c:v>
                </c:pt>
                <c:pt idx="80">
                  <c:v>1482.0000000000007</c:v>
                </c:pt>
                <c:pt idx="81">
                  <c:v>1523.8000000000006</c:v>
                </c:pt>
                <c:pt idx="82">
                  <c:v>1552.2000000000007</c:v>
                </c:pt>
                <c:pt idx="83">
                  <c:v>1511.9000000000008</c:v>
                </c:pt>
                <c:pt idx="84">
                  <c:v>1510.6000000000008</c:v>
                </c:pt>
                <c:pt idx="85">
                  <c:v>1566.5000000000009</c:v>
                </c:pt>
                <c:pt idx="86">
                  <c:v>1610.200000000001</c:v>
                </c:pt>
                <c:pt idx="87">
                  <c:v>1662.8000000000009</c:v>
                </c:pt>
                <c:pt idx="88">
                  <c:v>1664.200000000001</c:v>
                </c:pt>
                <c:pt idx="89">
                  <c:v>1656.900000000001</c:v>
                </c:pt>
                <c:pt idx="90">
                  <c:v>1620.900000000001</c:v>
                </c:pt>
                <c:pt idx="91">
                  <c:v>1680.8000000000011</c:v>
                </c:pt>
                <c:pt idx="92">
                  <c:v>1634.7000000000012</c:v>
                </c:pt>
                <c:pt idx="93">
                  <c:v>1677.6000000000013</c:v>
                </c:pt>
                <c:pt idx="94">
                  <c:v>1672.4000000000012</c:v>
                </c:pt>
                <c:pt idx="95">
                  <c:v>1681.2000000000012</c:v>
                </c:pt>
                <c:pt idx="96">
                  <c:v>1680.9000000000012</c:v>
                </c:pt>
                <c:pt idx="97">
                  <c:v>1734.4000000000012</c:v>
                </c:pt>
                <c:pt idx="98">
                  <c:v>1737.4000000000012</c:v>
                </c:pt>
                <c:pt idx="99">
                  <c:v>1678.5000000000011</c:v>
                </c:pt>
                <c:pt idx="100">
                  <c:v>1622.2000000000012</c:v>
                </c:pt>
                <c:pt idx="101">
                  <c:v>1564.8000000000011</c:v>
                </c:pt>
                <c:pt idx="102">
                  <c:v>1634.400000000001</c:v>
                </c:pt>
                <c:pt idx="103">
                  <c:v>1615.700000000001</c:v>
                </c:pt>
                <c:pt idx="104">
                  <c:v>1653.100000000001</c:v>
                </c:pt>
                <c:pt idx="105">
                  <c:v>1593.100000000001</c:v>
                </c:pt>
                <c:pt idx="106">
                  <c:v>1583.200000000001</c:v>
                </c:pt>
                <c:pt idx="107">
                  <c:v>1517.3000000000009</c:v>
                </c:pt>
                <c:pt idx="108">
                  <c:v>1569.1000000000008</c:v>
                </c:pt>
                <c:pt idx="109">
                  <c:v>1512.2000000000007</c:v>
                </c:pt>
                <c:pt idx="110">
                  <c:v>1513.7000000000007</c:v>
                </c:pt>
                <c:pt idx="111">
                  <c:v>1461.9000000000008</c:v>
                </c:pt>
                <c:pt idx="112">
                  <c:v>1405.8000000000009</c:v>
                </c:pt>
                <c:pt idx="113">
                  <c:v>1346.8000000000009</c:v>
                </c:pt>
                <c:pt idx="114">
                  <c:v>1351.1000000000008</c:v>
                </c:pt>
                <c:pt idx="115">
                  <c:v>1435.5000000000009</c:v>
                </c:pt>
                <c:pt idx="116">
                  <c:v>1471.900000000001</c:v>
                </c:pt>
                <c:pt idx="117">
                  <c:v>1492.600000000001</c:v>
                </c:pt>
                <c:pt idx="118">
                  <c:v>1530.0000000000011</c:v>
                </c:pt>
                <c:pt idx="119">
                  <c:v>1530.0000000000011</c:v>
                </c:pt>
                <c:pt idx="120">
                  <c:v>1527.0000000000011</c:v>
                </c:pt>
                <c:pt idx="121">
                  <c:v>1556.600000000001</c:v>
                </c:pt>
                <c:pt idx="122">
                  <c:v>1590.100000000001</c:v>
                </c:pt>
                <c:pt idx="123">
                  <c:v>1598.200000000001</c:v>
                </c:pt>
                <c:pt idx="124">
                  <c:v>1628.600000000001</c:v>
                </c:pt>
                <c:pt idx="125">
                  <c:v>1565.600000000001</c:v>
                </c:pt>
                <c:pt idx="126">
                  <c:v>1666.5000000000011</c:v>
                </c:pt>
                <c:pt idx="127">
                  <c:v>1643.100000000001</c:v>
                </c:pt>
                <c:pt idx="128">
                  <c:v>1573.600000000001</c:v>
                </c:pt>
                <c:pt idx="129">
                  <c:v>1603.0000000000011</c:v>
                </c:pt>
                <c:pt idx="130">
                  <c:v>1682.600000000001</c:v>
                </c:pt>
                <c:pt idx="131">
                  <c:v>1632.100000000001</c:v>
                </c:pt>
                <c:pt idx="132">
                  <c:v>1590.400000000001</c:v>
                </c:pt>
                <c:pt idx="133">
                  <c:v>1555.5000000000009</c:v>
                </c:pt>
                <c:pt idx="134">
                  <c:v>1549.3000000000009</c:v>
                </c:pt>
                <c:pt idx="135">
                  <c:v>1609.6000000000008</c:v>
                </c:pt>
                <c:pt idx="136">
                  <c:v>1638.4000000000008</c:v>
                </c:pt>
                <c:pt idx="137">
                  <c:v>1631.8000000000009</c:v>
                </c:pt>
                <c:pt idx="138">
                  <c:v>1633.8000000000009</c:v>
                </c:pt>
                <c:pt idx="139">
                  <c:v>1701.6000000000008</c:v>
                </c:pt>
                <c:pt idx="140">
                  <c:v>1700.4000000000008</c:v>
                </c:pt>
                <c:pt idx="141">
                  <c:v>1724.1000000000008</c:v>
                </c:pt>
                <c:pt idx="142">
                  <c:v>1751.8000000000009</c:v>
                </c:pt>
                <c:pt idx="143">
                  <c:v>1797.1000000000008</c:v>
                </c:pt>
                <c:pt idx="144">
                  <c:v>1806.1000000000008</c:v>
                </c:pt>
                <c:pt idx="145">
                  <c:v>1774.3000000000009</c:v>
                </c:pt>
                <c:pt idx="146">
                  <c:v>1767.0000000000009</c:v>
                </c:pt>
                <c:pt idx="147">
                  <c:v>1763.5000000000009</c:v>
                </c:pt>
                <c:pt idx="148">
                  <c:v>1727.1000000000008</c:v>
                </c:pt>
                <c:pt idx="149">
                  <c:v>1744.7000000000007</c:v>
                </c:pt>
                <c:pt idx="150">
                  <c:v>1788.5000000000007</c:v>
                </c:pt>
                <c:pt idx="151">
                  <c:v>1847.5000000000007</c:v>
                </c:pt>
                <c:pt idx="152">
                  <c:v>1812.8000000000006</c:v>
                </c:pt>
                <c:pt idx="153">
                  <c:v>1805.4000000000005</c:v>
                </c:pt>
                <c:pt idx="154">
                  <c:v>1855.1000000000006</c:v>
                </c:pt>
                <c:pt idx="155">
                  <c:v>1940.5000000000007</c:v>
                </c:pt>
                <c:pt idx="156">
                  <c:v>2009.8000000000006</c:v>
                </c:pt>
                <c:pt idx="157">
                  <c:v>2024.8000000000006</c:v>
                </c:pt>
                <c:pt idx="158">
                  <c:v>1973.9000000000005</c:v>
                </c:pt>
                <c:pt idx="159">
                  <c:v>1932.7000000000005</c:v>
                </c:pt>
                <c:pt idx="160">
                  <c:v>1899.8000000000004</c:v>
                </c:pt>
                <c:pt idx="161">
                  <c:v>1913.3000000000004</c:v>
                </c:pt>
                <c:pt idx="162">
                  <c:v>1955.5000000000005</c:v>
                </c:pt>
                <c:pt idx="163">
                  <c:v>1950.5000000000005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23-42B0-9050-E17A1DE081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1901.840490797546</c:v>
                </c:pt>
                <c:pt idx="1">
                  <c:v>2079.8742138364778</c:v>
                </c:pt>
                <c:pt idx="2">
                  <c:v>637.74834437086088</c:v>
                </c:pt>
                <c:pt idx="3">
                  <c:v>2161.1510791366904</c:v>
                </c:pt>
                <c:pt idx="4">
                  <c:v>472.35772357723579</c:v>
                </c:pt>
                <c:pt idx="5">
                  <c:v>929.24528301886789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DB-4F7D-9458-96BB8C1D68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りくと!$K$2:$K$136</c:f>
              <c:numCache>
                <c:formatCode>General</c:formatCode>
                <c:ptCount val="1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</c:numCache>
            </c:numRef>
          </c:xVal>
          <c:yVal>
            <c:numRef>
              <c:f>りくと!$L$2:$L$136</c:f>
              <c:numCache>
                <c:formatCode>\+0.0;\-0.0;\±0</c:formatCode>
                <c:ptCount val="135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  <c:pt idx="65">
                  <c:v>-111.00000000000004</c:v>
                </c:pt>
                <c:pt idx="66">
                  <c:v>-116.50000000000004</c:v>
                </c:pt>
                <c:pt idx="67">
                  <c:v>-149.40000000000003</c:v>
                </c:pt>
                <c:pt idx="68">
                  <c:v>-104.30000000000004</c:v>
                </c:pt>
                <c:pt idx="69">
                  <c:v>-58.900000000000041</c:v>
                </c:pt>
                <c:pt idx="70">
                  <c:v>-117.60000000000005</c:v>
                </c:pt>
                <c:pt idx="71">
                  <c:v>-110.90000000000005</c:v>
                </c:pt>
                <c:pt idx="72">
                  <c:v>-104.80000000000005</c:v>
                </c:pt>
                <c:pt idx="73">
                  <c:v>-157.60000000000005</c:v>
                </c:pt>
                <c:pt idx="74">
                  <c:v>-75.300000000000054</c:v>
                </c:pt>
                <c:pt idx="75">
                  <c:v>-52.900000000000055</c:v>
                </c:pt>
                <c:pt idx="76">
                  <c:v>-77.500000000000057</c:v>
                </c:pt>
                <c:pt idx="77">
                  <c:v>-82.800000000000054</c:v>
                </c:pt>
                <c:pt idx="78">
                  <c:v>-95.400000000000048</c:v>
                </c:pt>
                <c:pt idx="79">
                  <c:v>-29.200000000000045</c:v>
                </c:pt>
                <c:pt idx="80">
                  <c:v>-64.80000000000004</c:v>
                </c:pt>
                <c:pt idx="81">
                  <c:v>-101.60000000000004</c:v>
                </c:pt>
                <c:pt idx="82">
                  <c:v>-91.600000000000037</c:v>
                </c:pt>
                <c:pt idx="83">
                  <c:v>-49.100000000000037</c:v>
                </c:pt>
                <c:pt idx="84">
                  <c:v>-56.100000000000037</c:v>
                </c:pt>
                <c:pt idx="85">
                  <c:v>-90.30000000000004</c:v>
                </c:pt>
                <c:pt idx="86">
                  <c:v>-148.80000000000004</c:v>
                </c:pt>
                <c:pt idx="87">
                  <c:v>-226.80000000000004</c:v>
                </c:pt>
                <c:pt idx="88">
                  <c:v>-218.00000000000003</c:v>
                </c:pt>
                <c:pt idx="89">
                  <c:v>-208.40000000000003</c:v>
                </c:pt>
                <c:pt idx="90">
                  <c:v>-273.5</c:v>
                </c:pt>
                <c:pt idx="91">
                  <c:v>-241.9</c:v>
                </c:pt>
                <c:pt idx="92">
                  <c:v>-273.60000000000002</c:v>
                </c:pt>
                <c:pt idx="93">
                  <c:v>-210.50000000000003</c:v>
                </c:pt>
                <c:pt idx="94">
                  <c:v>-221.00000000000003</c:v>
                </c:pt>
                <c:pt idx="95">
                  <c:v>-254.3</c:v>
                </c:pt>
                <c:pt idx="96">
                  <c:v>-293.90000000000003</c:v>
                </c:pt>
                <c:pt idx="97">
                  <c:v>-323.70000000000005</c:v>
                </c:pt>
                <c:pt idx="98">
                  <c:v>-382.90000000000003</c:v>
                </c:pt>
                <c:pt idx="99">
                  <c:v>-347.50000000000006</c:v>
                </c:pt>
                <c:pt idx="100">
                  <c:v>-405.00000000000006</c:v>
                </c:pt>
                <c:pt idx="101">
                  <c:v>-377.80000000000007</c:v>
                </c:pt>
                <c:pt idx="102">
                  <c:v>-414.00000000000006</c:v>
                </c:pt>
                <c:pt idx="103">
                  <c:v>-428.50000000000006</c:v>
                </c:pt>
                <c:pt idx="104">
                  <c:v>-438.90000000000003</c:v>
                </c:pt>
                <c:pt idx="105">
                  <c:v>-363.70000000000005</c:v>
                </c:pt>
                <c:pt idx="106">
                  <c:v>-394.30000000000007</c:v>
                </c:pt>
                <c:pt idx="107">
                  <c:v>-349.50000000000006</c:v>
                </c:pt>
                <c:pt idx="108">
                  <c:v>-287.00000000000006</c:v>
                </c:pt>
                <c:pt idx="109">
                  <c:v>-324.70000000000005</c:v>
                </c:pt>
                <c:pt idx="110">
                  <c:v>-304.20000000000005</c:v>
                </c:pt>
                <c:pt idx="111">
                  <c:v>-296.80000000000007</c:v>
                </c:pt>
                <c:pt idx="112">
                  <c:v>-307.60000000000008</c:v>
                </c:pt>
                <c:pt idx="113">
                  <c:v>-323.7000000000001</c:v>
                </c:pt>
                <c:pt idx="114">
                  <c:v>-248.90000000000009</c:v>
                </c:pt>
                <c:pt idx="115">
                  <c:v>-327.60000000000008</c:v>
                </c:pt>
                <c:pt idx="116">
                  <c:v>-316.00000000000006</c:v>
                </c:pt>
                <c:pt idx="117">
                  <c:v>-313.40000000000003</c:v>
                </c:pt>
                <c:pt idx="118">
                  <c:v>-324.50000000000006</c:v>
                </c:pt>
                <c:pt idx="119">
                  <c:v>-346.70000000000005</c:v>
                </c:pt>
                <c:pt idx="120">
                  <c:v>-371.00000000000006</c:v>
                </c:pt>
                <c:pt idx="121">
                  <c:v>-422.10000000000008</c:v>
                </c:pt>
                <c:pt idx="122">
                  <c:v>-478.00000000000006</c:v>
                </c:pt>
                <c:pt idx="123">
                  <c:v>-426.70000000000005</c:v>
                </c:pt>
                <c:pt idx="124">
                  <c:v>-484.40000000000003</c:v>
                </c:pt>
                <c:pt idx="125">
                  <c:v>-449.70000000000005</c:v>
                </c:pt>
                <c:pt idx="126">
                  <c:v>-438.1</c:v>
                </c:pt>
                <c:pt idx="127">
                  <c:v>-345.5</c:v>
                </c:pt>
                <c:pt idx="128">
                  <c:v>-355.2</c:v>
                </c:pt>
                <c:pt idx="129">
                  <c:v>-310.2</c:v>
                </c:pt>
                <c:pt idx="130">
                  <c:v>-321</c:v>
                </c:pt>
                <c:pt idx="131">
                  <c:v>-323.3</c:v>
                </c:pt>
                <c:pt idx="132">
                  <c:v>-347.8</c:v>
                </c:pt>
                <c:pt idx="133">
                  <c:v>-403.7</c:v>
                </c:pt>
                <c:pt idx="134">
                  <c:v>-341.2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C7-4EE6-B8AA-6A00822016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151.49253731343285</c:v>
                </c:pt>
                <c:pt idx="1">
                  <c:v>-2101.5384615384614</c:v>
                </c:pt>
                <c:pt idx="2">
                  <c:v>378.22580645161293</c:v>
                </c:pt>
                <c:pt idx="3">
                  <c:v>-35.135135135135137</c:v>
                </c:pt>
                <c:pt idx="4">
                  <c:v>835.71428571428567</c:v>
                </c:pt>
                <c:pt idx="5">
                  <c:v>25.842696629213481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24-4999-855D-A92B6A90B1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ただ!$K$2:$K$105</c:f>
              <c:numCache>
                <c:formatCode>General</c:formatCode>
                <c:ptCount val="1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</c:numCache>
            </c:numRef>
          </c:xVal>
          <c:yVal>
            <c:numRef>
              <c:f>ただ!$L$2:$L$105</c:f>
              <c:numCache>
                <c:formatCode>\+0.0;\-0.0;\±0</c:formatCode>
                <c:ptCount val="104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  <c:pt idx="29">
                  <c:v>-908.69999999999993</c:v>
                </c:pt>
                <c:pt idx="30">
                  <c:v>-826.8</c:v>
                </c:pt>
                <c:pt idx="31">
                  <c:v>-835.69999999999993</c:v>
                </c:pt>
                <c:pt idx="32">
                  <c:v>-838.69999999999993</c:v>
                </c:pt>
                <c:pt idx="33">
                  <c:v>-878.19999999999993</c:v>
                </c:pt>
                <c:pt idx="34">
                  <c:v>-833.19999999999993</c:v>
                </c:pt>
                <c:pt idx="35">
                  <c:v>-815.59999999999991</c:v>
                </c:pt>
                <c:pt idx="36">
                  <c:v>-783.49999999999989</c:v>
                </c:pt>
                <c:pt idx="37">
                  <c:v>-826.89999999999986</c:v>
                </c:pt>
                <c:pt idx="38">
                  <c:v>-829.99999999999989</c:v>
                </c:pt>
                <c:pt idx="39">
                  <c:v>-786.29999999999984</c:v>
                </c:pt>
                <c:pt idx="40">
                  <c:v>-820.5999999999998</c:v>
                </c:pt>
                <c:pt idx="41">
                  <c:v>-859.49999999999977</c:v>
                </c:pt>
                <c:pt idx="42">
                  <c:v>-828.89999999999975</c:v>
                </c:pt>
                <c:pt idx="43">
                  <c:v>-787.1999999999997</c:v>
                </c:pt>
                <c:pt idx="44">
                  <c:v>-744.79999999999973</c:v>
                </c:pt>
                <c:pt idx="45">
                  <c:v>-784.89999999999975</c:v>
                </c:pt>
                <c:pt idx="46">
                  <c:v>-738.89999999999975</c:v>
                </c:pt>
                <c:pt idx="47">
                  <c:v>-740.99999999999977</c:v>
                </c:pt>
                <c:pt idx="48">
                  <c:v>-699.39999999999975</c:v>
                </c:pt>
                <c:pt idx="49">
                  <c:v>-715.0999999999998</c:v>
                </c:pt>
                <c:pt idx="50">
                  <c:v>-774.29999999999984</c:v>
                </c:pt>
                <c:pt idx="51">
                  <c:v>-830.79999999999984</c:v>
                </c:pt>
                <c:pt idx="52">
                  <c:v>-837.5999999999998</c:v>
                </c:pt>
                <c:pt idx="53">
                  <c:v>-843.69999999999982</c:v>
                </c:pt>
                <c:pt idx="54">
                  <c:v>-902.89999999999986</c:v>
                </c:pt>
                <c:pt idx="55">
                  <c:v>-835.19999999999982</c:v>
                </c:pt>
                <c:pt idx="56">
                  <c:v>-865.69999999999982</c:v>
                </c:pt>
                <c:pt idx="57">
                  <c:v>-858.49999999999977</c:v>
                </c:pt>
                <c:pt idx="58">
                  <c:v>-877.29999999999973</c:v>
                </c:pt>
                <c:pt idx="59">
                  <c:v>-940.6999999999997</c:v>
                </c:pt>
                <c:pt idx="60">
                  <c:v>-960.99999999999966</c:v>
                </c:pt>
                <c:pt idx="61">
                  <c:v>-924.1999999999997</c:v>
                </c:pt>
                <c:pt idx="62">
                  <c:v>-970.09999999999968</c:v>
                </c:pt>
                <c:pt idx="63">
                  <c:v>-1013.0999999999997</c:v>
                </c:pt>
                <c:pt idx="64">
                  <c:v>-1056.0999999999997</c:v>
                </c:pt>
                <c:pt idx="65">
                  <c:v>-1083.0999999999997</c:v>
                </c:pt>
                <c:pt idx="66">
                  <c:v>-1122.9999999999998</c:v>
                </c:pt>
                <c:pt idx="67">
                  <c:v>-1123.7999999999997</c:v>
                </c:pt>
                <c:pt idx="68">
                  <c:v>-1066.5999999999997</c:v>
                </c:pt>
                <c:pt idx="69">
                  <c:v>-1115.2999999999997</c:v>
                </c:pt>
                <c:pt idx="70">
                  <c:v>-1170.9999999999998</c:v>
                </c:pt>
                <c:pt idx="71">
                  <c:v>-1130.3999999999999</c:v>
                </c:pt>
                <c:pt idx="72">
                  <c:v>-1129.6999999999998</c:v>
                </c:pt>
                <c:pt idx="73">
                  <c:v>-1091.5999999999999</c:v>
                </c:pt>
                <c:pt idx="74">
                  <c:v>-1149.5999999999999</c:v>
                </c:pt>
                <c:pt idx="75">
                  <c:v>-1147.8999999999999</c:v>
                </c:pt>
                <c:pt idx="76">
                  <c:v>-1183.9999999999998</c:v>
                </c:pt>
                <c:pt idx="77">
                  <c:v>-1135.9999999999998</c:v>
                </c:pt>
                <c:pt idx="78">
                  <c:v>-1169.8999999999999</c:v>
                </c:pt>
                <c:pt idx="79">
                  <c:v>-1226.5999999999999</c:v>
                </c:pt>
                <c:pt idx="80">
                  <c:v>-1201</c:v>
                </c:pt>
                <c:pt idx="81">
                  <c:v>-1265.7</c:v>
                </c:pt>
                <c:pt idx="82">
                  <c:v>-1267.2</c:v>
                </c:pt>
                <c:pt idx="83">
                  <c:v>-1270.6000000000001</c:v>
                </c:pt>
                <c:pt idx="84">
                  <c:v>-1264.8000000000002</c:v>
                </c:pt>
                <c:pt idx="85">
                  <c:v>-1322.1000000000001</c:v>
                </c:pt>
                <c:pt idx="86">
                  <c:v>-1272.1000000000001</c:v>
                </c:pt>
                <c:pt idx="87">
                  <c:v>-1283.8000000000002</c:v>
                </c:pt>
                <c:pt idx="88">
                  <c:v>-1241.1000000000001</c:v>
                </c:pt>
                <c:pt idx="89">
                  <c:v>-1288.1000000000001</c:v>
                </c:pt>
                <c:pt idx="90">
                  <c:v>-1324.2</c:v>
                </c:pt>
                <c:pt idx="91">
                  <c:v>-1253.1000000000001</c:v>
                </c:pt>
                <c:pt idx="92">
                  <c:v>-1291.9000000000001</c:v>
                </c:pt>
                <c:pt idx="93">
                  <c:v>-1348.9</c:v>
                </c:pt>
                <c:pt idx="94">
                  <c:v>-1306.3000000000002</c:v>
                </c:pt>
                <c:pt idx="95">
                  <c:v>-1362.6000000000001</c:v>
                </c:pt>
                <c:pt idx="96">
                  <c:v>-1335.8000000000002</c:v>
                </c:pt>
                <c:pt idx="97">
                  <c:v>-1299.4000000000001</c:v>
                </c:pt>
                <c:pt idx="98">
                  <c:v>-1305.7</c:v>
                </c:pt>
                <c:pt idx="99">
                  <c:v>-1267.5</c:v>
                </c:pt>
                <c:pt idx="100">
                  <c:v>-1255.3</c:v>
                </c:pt>
                <c:pt idx="101">
                  <c:v>-1246.3</c:v>
                </c:pt>
                <c:pt idx="102">
                  <c:v>-1206.5</c:v>
                </c:pt>
                <c:pt idx="103">
                  <c:v>-1144.9000000000001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03-4B04-A59F-1AE3EB13E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-2438.8349514563106</c:v>
                </c:pt>
                <c:pt idx="1">
                  <c:v>-1447.5247524752476</c:v>
                </c:pt>
                <c:pt idx="2">
                  <c:v>-123.15789473684211</c:v>
                </c:pt>
                <c:pt idx="3">
                  <c:v>-3688.2352941176468</c:v>
                </c:pt>
                <c:pt idx="4">
                  <c:v>-303.84615384615387</c:v>
                </c:pt>
                <c:pt idx="5">
                  <c:v>-452.85714285714283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FE-4091-84E1-E241C08482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れんたろう!$K$2:$K$98</c:f>
              <c:numCache>
                <c:formatCode>General</c:formatCode>
                <c:ptCount val="9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</c:numCache>
            </c:numRef>
          </c:xVal>
          <c:yVal>
            <c:numRef>
              <c:f>れんたろう!$L$2:$L$98</c:f>
              <c:numCache>
                <c:formatCode>\+0.0;\-0.0;\±0</c:formatCode>
                <c:ptCount val="97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  <c:pt idx="41">
                  <c:v>-100</c:v>
                </c:pt>
                <c:pt idx="42">
                  <c:v>-65.5</c:v>
                </c:pt>
                <c:pt idx="43">
                  <c:v>-52</c:v>
                </c:pt>
                <c:pt idx="44">
                  <c:v>8.3999999999999986</c:v>
                </c:pt>
                <c:pt idx="45">
                  <c:v>-32.5</c:v>
                </c:pt>
                <c:pt idx="46">
                  <c:v>-6.1000000000000014</c:v>
                </c:pt>
                <c:pt idx="47">
                  <c:v>-33.1</c:v>
                </c:pt>
                <c:pt idx="48">
                  <c:v>-33.800000000000004</c:v>
                </c:pt>
                <c:pt idx="49">
                  <c:v>-23.100000000000005</c:v>
                </c:pt>
                <c:pt idx="50">
                  <c:v>-79.300000000000011</c:v>
                </c:pt>
                <c:pt idx="51">
                  <c:v>-16.600000000000009</c:v>
                </c:pt>
                <c:pt idx="52">
                  <c:v>18.499999999999993</c:v>
                </c:pt>
                <c:pt idx="53">
                  <c:v>-4.1000000000000085</c:v>
                </c:pt>
                <c:pt idx="54">
                  <c:v>13.099999999999991</c:v>
                </c:pt>
                <c:pt idx="55">
                  <c:v>26.999999999999993</c:v>
                </c:pt>
                <c:pt idx="56">
                  <c:v>-46.500000000000007</c:v>
                </c:pt>
                <c:pt idx="57">
                  <c:v>-35.100000000000009</c:v>
                </c:pt>
                <c:pt idx="58">
                  <c:v>-67.300000000000011</c:v>
                </c:pt>
                <c:pt idx="59">
                  <c:v>-52.70000000000001</c:v>
                </c:pt>
                <c:pt idx="60">
                  <c:v>13.599999999999987</c:v>
                </c:pt>
                <c:pt idx="61">
                  <c:v>-25.100000000000016</c:v>
                </c:pt>
                <c:pt idx="62">
                  <c:v>-27.600000000000016</c:v>
                </c:pt>
                <c:pt idx="63">
                  <c:v>19.999999999999986</c:v>
                </c:pt>
                <c:pt idx="64">
                  <c:v>60.099999999999987</c:v>
                </c:pt>
                <c:pt idx="65">
                  <c:v>131.6</c:v>
                </c:pt>
                <c:pt idx="66">
                  <c:v>86.1</c:v>
                </c:pt>
                <c:pt idx="67">
                  <c:v>154.1</c:v>
                </c:pt>
                <c:pt idx="68">
                  <c:v>152.29999999999998</c:v>
                </c:pt>
                <c:pt idx="69">
                  <c:v>106.19999999999999</c:v>
                </c:pt>
                <c:pt idx="70">
                  <c:v>146.79999999999998</c:v>
                </c:pt>
                <c:pt idx="71">
                  <c:v>88.799999999999983</c:v>
                </c:pt>
                <c:pt idx="72">
                  <c:v>98.299999999999983</c:v>
                </c:pt>
                <c:pt idx="73">
                  <c:v>156.29999999999998</c:v>
                </c:pt>
                <c:pt idx="74">
                  <c:v>99.299999999999983</c:v>
                </c:pt>
                <c:pt idx="75">
                  <c:v>145.29999999999998</c:v>
                </c:pt>
                <c:pt idx="76">
                  <c:v>163.29999999999998</c:v>
                </c:pt>
                <c:pt idx="77">
                  <c:v>89.59999999999998</c:v>
                </c:pt>
                <c:pt idx="78">
                  <c:v>94.299999999999983</c:v>
                </c:pt>
                <c:pt idx="79">
                  <c:v>118.49999999999999</c:v>
                </c:pt>
                <c:pt idx="80">
                  <c:v>109.69999999999999</c:v>
                </c:pt>
                <c:pt idx="81">
                  <c:v>173.1</c:v>
                </c:pt>
                <c:pt idx="82">
                  <c:v>214.1</c:v>
                </c:pt>
                <c:pt idx="83">
                  <c:v>210.9</c:v>
                </c:pt>
                <c:pt idx="84">
                  <c:v>275.10000000000002</c:v>
                </c:pt>
                <c:pt idx="85">
                  <c:v>213.10000000000002</c:v>
                </c:pt>
                <c:pt idx="86">
                  <c:v>158.50000000000003</c:v>
                </c:pt>
                <c:pt idx="87">
                  <c:v>102.50000000000003</c:v>
                </c:pt>
                <c:pt idx="88">
                  <c:v>46.300000000000026</c:v>
                </c:pt>
                <c:pt idx="89">
                  <c:v>32.000000000000028</c:v>
                </c:pt>
                <c:pt idx="90">
                  <c:v>1.7000000000000277</c:v>
                </c:pt>
                <c:pt idx="91">
                  <c:v>-9.1999999999999726</c:v>
                </c:pt>
                <c:pt idx="92">
                  <c:v>-69.199999999999974</c:v>
                </c:pt>
                <c:pt idx="93">
                  <c:v>-125.79999999999998</c:v>
                </c:pt>
                <c:pt idx="94">
                  <c:v>-44.799999999999983</c:v>
                </c:pt>
                <c:pt idx="95">
                  <c:v>-1.8999999999999844</c:v>
                </c:pt>
                <c:pt idx="96">
                  <c:v>-48.599999999999987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BF-4B1A-9B65-B1ABF197AF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-365.625</c:v>
                </c:pt>
                <c:pt idx="1">
                  <c:v>677.65957446808511</c:v>
                </c:pt>
                <c:pt idx="2">
                  <c:v>1677.6470588235295</c:v>
                </c:pt>
                <c:pt idx="3">
                  <c:v>58.666666666666664</c:v>
                </c:pt>
                <c:pt idx="4">
                  <c:v>-1990.909090909091</c:v>
                </c:pt>
                <c:pt idx="5">
                  <c:v>-369.49152542372883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B9-45B2-BB12-3BDD26488C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たかの!$K$2:$K$89</c:f>
              <c:numCache>
                <c:formatCode>General</c:formatCode>
                <c:ptCount val="8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</c:numCache>
            </c:numRef>
          </c:xVal>
          <c:yVal>
            <c:numRef>
              <c:f>たかの!$L$2:$L$89</c:f>
              <c:numCache>
                <c:formatCode>\+0.0;\-0.0;\±0</c:formatCode>
                <c:ptCount val="88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  <c:pt idx="36">
                  <c:v>-9.6999999999999975</c:v>
                </c:pt>
                <c:pt idx="37">
                  <c:v>30.000000000000007</c:v>
                </c:pt>
                <c:pt idx="38">
                  <c:v>32.100000000000009</c:v>
                </c:pt>
                <c:pt idx="39">
                  <c:v>62.800000000000011</c:v>
                </c:pt>
                <c:pt idx="40">
                  <c:v>37.70000000000001</c:v>
                </c:pt>
                <c:pt idx="41">
                  <c:v>46.900000000000006</c:v>
                </c:pt>
                <c:pt idx="42">
                  <c:v>42.300000000000004</c:v>
                </c:pt>
                <c:pt idx="43">
                  <c:v>-32.999999999999993</c:v>
                </c:pt>
                <c:pt idx="44">
                  <c:v>-27.999999999999993</c:v>
                </c:pt>
                <c:pt idx="45">
                  <c:v>-25.299999999999994</c:v>
                </c:pt>
                <c:pt idx="46">
                  <c:v>12.900000000000009</c:v>
                </c:pt>
                <c:pt idx="47">
                  <c:v>45.900000000000006</c:v>
                </c:pt>
                <c:pt idx="48">
                  <c:v>111.4</c:v>
                </c:pt>
                <c:pt idx="49">
                  <c:v>113</c:v>
                </c:pt>
                <c:pt idx="50">
                  <c:v>106.3</c:v>
                </c:pt>
                <c:pt idx="51">
                  <c:v>113.39999999999999</c:v>
                </c:pt>
                <c:pt idx="52">
                  <c:v>98.8</c:v>
                </c:pt>
                <c:pt idx="53">
                  <c:v>65.199999999999989</c:v>
                </c:pt>
                <c:pt idx="54">
                  <c:v>55.599999999999987</c:v>
                </c:pt>
                <c:pt idx="55">
                  <c:v>34.699999999999989</c:v>
                </c:pt>
                <c:pt idx="56">
                  <c:v>-8.0000000000000142</c:v>
                </c:pt>
                <c:pt idx="57">
                  <c:v>-6.0000000000000142</c:v>
                </c:pt>
                <c:pt idx="58">
                  <c:v>-0.40000000000001457</c:v>
                </c:pt>
                <c:pt idx="59">
                  <c:v>21.999999999999986</c:v>
                </c:pt>
                <c:pt idx="60">
                  <c:v>66.999999999999986</c:v>
                </c:pt>
                <c:pt idx="61">
                  <c:v>39.799999999999983</c:v>
                </c:pt>
                <c:pt idx="62">
                  <c:v>7.9999999999999822</c:v>
                </c:pt>
                <c:pt idx="63">
                  <c:v>45.09999999999998</c:v>
                </c:pt>
                <c:pt idx="64">
                  <c:v>45.899999999999977</c:v>
                </c:pt>
                <c:pt idx="65">
                  <c:v>38.199999999999974</c:v>
                </c:pt>
                <c:pt idx="66">
                  <c:v>-5.400000000000027</c:v>
                </c:pt>
                <c:pt idx="67">
                  <c:v>1.8999999999999728</c:v>
                </c:pt>
                <c:pt idx="68">
                  <c:v>-39.500000000000028</c:v>
                </c:pt>
                <c:pt idx="69">
                  <c:v>-7.6000000000000298</c:v>
                </c:pt>
                <c:pt idx="70">
                  <c:v>-32.000000000000028</c:v>
                </c:pt>
                <c:pt idx="71">
                  <c:v>-76.600000000000023</c:v>
                </c:pt>
                <c:pt idx="72">
                  <c:v>-68.40000000000002</c:v>
                </c:pt>
                <c:pt idx="73">
                  <c:v>-129.30000000000001</c:v>
                </c:pt>
                <c:pt idx="74">
                  <c:v>-61.500000000000014</c:v>
                </c:pt>
                <c:pt idx="75">
                  <c:v>-76.40000000000002</c:v>
                </c:pt>
                <c:pt idx="76">
                  <c:v>-36.300000000000018</c:v>
                </c:pt>
                <c:pt idx="77">
                  <c:v>-37.300000000000018</c:v>
                </c:pt>
                <c:pt idx="78">
                  <c:v>-38.600000000000016</c:v>
                </c:pt>
                <c:pt idx="79">
                  <c:v>-67.000000000000014</c:v>
                </c:pt>
                <c:pt idx="80">
                  <c:v>-114.70000000000002</c:v>
                </c:pt>
                <c:pt idx="81">
                  <c:v>-115.90000000000002</c:v>
                </c:pt>
                <c:pt idx="82">
                  <c:v>-110.60000000000002</c:v>
                </c:pt>
                <c:pt idx="83">
                  <c:v>-101.20000000000002</c:v>
                </c:pt>
                <c:pt idx="84">
                  <c:v>-162.90000000000003</c:v>
                </c:pt>
                <c:pt idx="85">
                  <c:v>-121.30000000000004</c:v>
                </c:pt>
                <c:pt idx="86">
                  <c:v>-133.30000000000004</c:v>
                </c:pt>
                <c:pt idx="87">
                  <c:v>-118.60000000000004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3D-44A4-B773-E8F7E984C6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591.9540229885057</c:v>
                </c:pt>
                <c:pt idx="1">
                  <c:v>-1175.8620689655172</c:v>
                </c:pt>
                <c:pt idx="2">
                  <c:v>-1442.8571428571429</c:v>
                </c:pt>
                <c:pt idx="3">
                  <c:v>1183.7837837837837</c:v>
                </c:pt>
                <c:pt idx="4">
                  <c:v>-41.176470588235297</c:v>
                </c:pt>
                <c:pt idx="5">
                  <c:v>-230.5084745762712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83-45E6-99C5-FD6260EC10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ぱぱ!$K$2:$K$50</c:f>
              <c:numCache>
                <c:formatCode>General</c:formatCode>
                <c:ptCount val="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</c:numCache>
            </c:numRef>
          </c:xVal>
          <c:yVal>
            <c:numRef>
              <c:f>ぱぱ!$L$2:$L$50</c:f>
              <c:numCache>
                <c:formatCode>\+0.0;\-0.0;\±0</c:formatCode>
                <c:ptCount val="49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  <c:pt idx="32">
                  <c:v>-193.79999999999998</c:v>
                </c:pt>
                <c:pt idx="33">
                  <c:v>-194.1</c:v>
                </c:pt>
                <c:pt idx="34">
                  <c:v>-224.6</c:v>
                </c:pt>
                <c:pt idx="35">
                  <c:v>-224.9</c:v>
                </c:pt>
                <c:pt idx="36">
                  <c:v>-190.5</c:v>
                </c:pt>
                <c:pt idx="37">
                  <c:v>-234.4</c:v>
                </c:pt>
                <c:pt idx="38">
                  <c:v>-211.5</c:v>
                </c:pt>
                <c:pt idx="39">
                  <c:v>-223.9</c:v>
                </c:pt>
                <c:pt idx="40">
                  <c:v>-279.89999999999998</c:v>
                </c:pt>
                <c:pt idx="41">
                  <c:v>-303.59999999999997</c:v>
                </c:pt>
                <c:pt idx="42">
                  <c:v>-338.7</c:v>
                </c:pt>
                <c:pt idx="43">
                  <c:v>-289.7</c:v>
                </c:pt>
                <c:pt idx="44">
                  <c:v>-262.59999999999997</c:v>
                </c:pt>
                <c:pt idx="45">
                  <c:v>-295.39999999999998</c:v>
                </c:pt>
                <c:pt idx="46">
                  <c:v>-377.4</c:v>
                </c:pt>
                <c:pt idx="47">
                  <c:v>-439.7</c:v>
                </c:pt>
                <c:pt idx="48">
                  <c:v>-387.7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49-4A39-8E16-544D8F67B7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-2862.5</c:v>
                </c:pt>
                <c:pt idx="1">
                  <c:v>2064.5833333333335</c:v>
                </c:pt>
                <c:pt idx="2">
                  <c:v>-315.55555555555554</c:v>
                </c:pt>
                <c:pt idx="3">
                  <c:v>-3778.5714285714284</c:v>
                </c:pt>
                <c:pt idx="4">
                  <c:v>-668.42105263157896</c:v>
                </c:pt>
                <c:pt idx="5">
                  <c:v>469.44444444444446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EF-4D1F-BA66-E320672F59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まっつん!$K$2:$K$80</c:f>
              <c:numCache>
                <c:formatCode>General</c:formatCode>
                <c:ptCount val="7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</c:numCache>
            </c:numRef>
          </c:xVal>
          <c:yVal>
            <c:numRef>
              <c:f>まっつん!$L$2:$L$80</c:f>
              <c:numCache>
                <c:formatCode>\+0.0;\-0.0;\±0</c:formatCode>
                <c:ptCount val="79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-115.1</c:v>
                </c:pt>
                <c:pt idx="27">
                  <c:v>-27.099999999999994</c:v>
                </c:pt>
                <c:pt idx="28">
                  <c:v>7.2000000000000028</c:v>
                </c:pt>
                <c:pt idx="29">
                  <c:v>-49</c:v>
                </c:pt>
                <c:pt idx="30">
                  <c:v>-99.6</c:v>
                </c:pt>
                <c:pt idx="31">
                  <c:v>-54.199999999999996</c:v>
                </c:pt>
                <c:pt idx="32">
                  <c:v>-92</c:v>
                </c:pt>
                <c:pt idx="33">
                  <c:v>-107.4</c:v>
                </c:pt>
                <c:pt idx="34">
                  <c:v>-45.800000000000004</c:v>
                </c:pt>
                <c:pt idx="35">
                  <c:v>19.399999999999999</c:v>
                </c:pt>
                <c:pt idx="36">
                  <c:v>85.800000000000011</c:v>
                </c:pt>
                <c:pt idx="37">
                  <c:v>44.70000000000001</c:v>
                </c:pt>
                <c:pt idx="38">
                  <c:v>-18.79999999999999</c:v>
                </c:pt>
                <c:pt idx="39">
                  <c:v>-16.699999999999989</c:v>
                </c:pt>
                <c:pt idx="40">
                  <c:v>39.300000000000011</c:v>
                </c:pt>
                <c:pt idx="41">
                  <c:v>96.300000000000011</c:v>
                </c:pt>
                <c:pt idx="42">
                  <c:v>97.600000000000009</c:v>
                </c:pt>
                <c:pt idx="43">
                  <c:v>103.10000000000001</c:v>
                </c:pt>
                <c:pt idx="44">
                  <c:v>96.600000000000009</c:v>
                </c:pt>
                <c:pt idx="45">
                  <c:v>39.500000000000007</c:v>
                </c:pt>
                <c:pt idx="46">
                  <c:v>37.300000000000004</c:v>
                </c:pt>
                <c:pt idx="47">
                  <c:v>71.099999999999994</c:v>
                </c:pt>
                <c:pt idx="48">
                  <c:v>40.899999999999991</c:v>
                </c:pt>
                <c:pt idx="49">
                  <c:v>-29.900000000000006</c:v>
                </c:pt>
                <c:pt idx="50">
                  <c:v>-26.900000000000006</c:v>
                </c:pt>
                <c:pt idx="51">
                  <c:v>20.999999999999993</c:v>
                </c:pt>
                <c:pt idx="52">
                  <c:v>30.699999999999992</c:v>
                </c:pt>
                <c:pt idx="53">
                  <c:v>76.8</c:v>
                </c:pt>
                <c:pt idx="54">
                  <c:v>133.30000000000001</c:v>
                </c:pt>
                <c:pt idx="55">
                  <c:v>181.60000000000002</c:v>
                </c:pt>
                <c:pt idx="56">
                  <c:v>187.60000000000002</c:v>
                </c:pt>
                <c:pt idx="57">
                  <c:v>255.50000000000003</c:v>
                </c:pt>
                <c:pt idx="58">
                  <c:v>244.60000000000002</c:v>
                </c:pt>
                <c:pt idx="59">
                  <c:v>295</c:v>
                </c:pt>
                <c:pt idx="60">
                  <c:v>359.4</c:v>
                </c:pt>
                <c:pt idx="61">
                  <c:v>347.5</c:v>
                </c:pt>
                <c:pt idx="62">
                  <c:v>345.6</c:v>
                </c:pt>
                <c:pt idx="63">
                  <c:v>287.60000000000002</c:v>
                </c:pt>
                <c:pt idx="64">
                  <c:v>323.60000000000002</c:v>
                </c:pt>
                <c:pt idx="65">
                  <c:v>328.6</c:v>
                </c:pt>
                <c:pt idx="66">
                  <c:v>307</c:v>
                </c:pt>
                <c:pt idx="67">
                  <c:v>274.10000000000002</c:v>
                </c:pt>
                <c:pt idx="68">
                  <c:v>285.40000000000003</c:v>
                </c:pt>
                <c:pt idx="69">
                  <c:v>330.40000000000003</c:v>
                </c:pt>
                <c:pt idx="70">
                  <c:v>382.50000000000006</c:v>
                </c:pt>
                <c:pt idx="71">
                  <c:v>350.40000000000003</c:v>
                </c:pt>
                <c:pt idx="72">
                  <c:v>304.60000000000002</c:v>
                </c:pt>
                <c:pt idx="73">
                  <c:v>275</c:v>
                </c:pt>
                <c:pt idx="74">
                  <c:v>242.1</c:v>
                </c:pt>
                <c:pt idx="75">
                  <c:v>255.79999999999998</c:v>
                </c:pt>
                <c:pt idx="76">
                  <c:v>198.29999999999998</c:v>
                </c:pt>
                <c:pt idx="77">
                  <c:v>201.7</c:v>
                </c:pt>
                <c:pt idx="78">
                  <c:v>193.39999999999998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4F-4431-A765-D862AB9F3B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873.07692307692309</c:v>
                </c:pt>
                <c:pt idx="1">
                  <c:v>468</c:v>
                </c:pt>
                <c:pt idx="2">
                  <c:v>-239.70588235294119</c:v>
                </c:pt>
                <c:pt idx="3">
                  <c:v>2052.3076923076924</c:v>
                </c:pt>
                <c:pt idx="4">
                  <c:v>-1800</c:v>
                </c:pt>
                <c:pt idx="5">
                  <c:v>614.58333333333337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4D-408F-9559-D6A00F3F49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B6-4174-BF98-EFF75DCB7A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8F-4E21-B010-126EADE575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いっしー!$K$2:$K$24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いっしー!$L$2:$L$24</c:f>
              <c:numCache>
                <c:formatCode>\+0.0;\-0.0;\±0</c:formatCode>
                <c:ptCount val="23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  <c:pt idx="8">
                  <c:v>-170.5</c:v>
                </c:pt>
                <c:pt idx="9">
                  <c:v>-228.1</c:v>
                </c:pt>
                <c:pt idx="10">
                  <c:v>-197.5</c:v>
                </c:pt>
                <c:pt idx="11">
                  <c:v>-161.19999999999999</c:v>
                </c:pt>
                <c:pt idx="12">
                  <c:v>-116.6</c:v>
                </c:pt>
                <c:pt idx="13">
                  <c:v>-144.79999999999998</c:v>
                </c:pt>
                <c:pt idx="14">
                  <c:v>-138.69999999999999</c:v>
                </c:pt>
                <c:pt idx="15">
                  <c:v>-84.399999999999991</c:v>
                </c:pt>
                <c:pt idx="16">
                  <c:v>-139.79999999999998</c:v>
                </c:pt>
                <c:pt idx="17">
                  <c:v>-203.5</c:v>
                </c:pt>
                <c:pt idx="18">
                  <c:v>-126.5</c:v>
                </c:pt>
                <c:pt idx="19">
                  <c:v>-67.599999999999994</c:v>
                </c:pt>
                <c:pt idx="20">
                  <c:v>-124.1</c:v>
                </c:pt>
                <c:pt idx="21">
                  <c:v>-189.2</c:v>
                </c:pt>
                <c:pt idx="22">
                  <c:v>-264.39999999999998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6F-4AC1-8E86-2F1E8926C1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-900</c:v>
                </c:pt>
                <c:pt idx="1">
                  <c:v>-5186.363636363636</c:v>
                </c:pt>
                <c:pt idx="2">
                  <c:v>-300</c:v>
                </c:pt>
                <c:pt idx="3">
                  <c:v>-3383.3333333333335</c:v>
                </c:pt>
                <c:pt idx="4">
                  <c:v>-243.75</c:v>
                </c:pt>
                <c:pt idx="5">
                  <c:v>-3330.7692307692309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31-4F0F-B590-1E273FE831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ほたに!$L$2:$L$15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  <c:pt idx="10">
                  <c:v>109.39999999999999</c:v>
                </c:pt>
                <c:pt idx="11">
                  <c:v>100.69999999999999</c:v>
                </c:pt>
                <c:pt idx="12">
                  <c:v>45.599999999999987</c:v>
                </c:pt>
                <c:pt idx="13">
                  <c:v>83.299999999999983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23-41A2-9BAD-60FC80502B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-576.92307692307691</c:v>
                </c:pt>
                <c:pt idx="1">
                  <c:v>2746.1538461538462</c:v>
                </c:pt>
                <c:pt idx="2">
                  <c:v>-6600</c:v>
                </c:pt>
                <c:pt idx="3">
                  <c:v>-1892.3076923076924</c:v>
                </c:pt>
                <c:pt idx="4">
                  <c:v>11945.454545454546</c:v>
                </c:pt>
                <c:pt idx="5">
                  <c:v>-590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25-4D72-A792-5329E588D2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B1-42DF-966C-DE75A6531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18-4715-8FA1-A1DDC60103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やがさき!$L$2:$L$8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-37</c:v>
                </c:pt>
                <c:pt idx="2">
                  <c:v>-24.7</c:v>
                </c:pt>
                <c:pt idx="3">
                  <c:v>14.500000000000004</c:v>
                </c:pt>
                <c:pt idx="4">
                  <c:v>-37.200000000000003</c:v>
                </c:pt>
                <c:pt idx="5">
                  <c:v>39.899999999999991</c:v>
                </c:pt>
                <c:pt idx="6">
                  <c:v>100.39999999999999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C9-4B6E-AAEB-57F9B0018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-1083.3333333333333</c:v>
                </c:pt>
                <c:pt idx="1">
                  <c:v>10800</c:v>
                </c:pt>
                <c:pt idx="2">
                  <c:v>-3000</c:v>
                </c:pt>
                <c:pt idx="3">
                  <c:v>6360</c:v>
                </c:pt>
                <c:pt idx="4">
                  <c:v>-50</c:v>
                </c:pt>
                <c:pt idx="5">
                  <c:v>1833.3333333333333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76-4CA0-94EB-9DABE53CA6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のり!$L$2:$L$4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-43.2</c:v>
                </c:pt>
                <c:pt idx="2">
                  <c:v>-96.5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82-46D4-9A25-0099D123CB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-7950</c:v>
                </c:pt>
                <c:pt idx="1">
                  <c:v>-7750</c:v>
                </c:pt>
                <c:pt idx="2">
                  <c:v>-1150</c:v>
                </c:pt>
                <c:pt idx="3">
                  <c:v>-3950</c:v>
                </c:pt>
                <c:pt idx="4">
                  <c:v>-2100</c:v>
                </c:pt>
                <c:pt idx="5">
                  <c:v>-5350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20-4519-80C9-0FAF9FB626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のり2!$B$1:$B$2</c:f>
              <c:strCache>
                <c:ptCount val="2"/>
                <c:pt idx="0">
                  <c:v>のり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のり2!$B$3:$B$5</c:f>
              <c:numCache>
                <c:formatCode>\+0.0;\-0.0;\±0</c:formatCode>
                <c:ptCount val="3"/>
                <c:pt idx="0">
                  <c:v>0</c:v>
                </c:pt>
                <c:pt idx="1">
                  <c:v>-43.2</c:v>
                </c:pt>
                <c:pt idx="2">
                  <c:v>-96.5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7.1054273576010019E-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のり2!$C$1:$C$2</c:f>
              <c:strCache>
                <c:ptCount val="2"/>
                <c:pt idx="0">
                  <c:v>のり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のり2!$C$3:$C$5</c:f>
              <c:numCache>
                <c:formatCode>\+0.0;\-0.0;\±0</c:formatCode>
                <c:ptCount val="3"/>
                <c:pt idx="1">
                  <c:v>-43.2</c:v>
                </c:pt>
                <c:pt idx="2">
                  <c:v>-48.25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3987134359801607E-1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のり2!$D$1:$D$2</c:f>
              <c:strCache>
                <c:ptCount val="2"/>
                <c:pt idx="0">
                  <c:v>のり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のり2!$D$3:$D$5</c:f>
              <c:numCache>
                <c:formatCode>0.00\ "位"</c:formatCode>
                <c:ptCount val="3"/>
                <c:pt idx="1">
                  <c:v>3</c:v>
                </c:pt>
                <c:pt idx="2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のり2!$E$1:$E$2</c:f>
              <c:strCache>
                <c:ptCount val="2"/>
                <c:pt idx="0">
                  <c:v>のり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のり2!$E$3:$E$5</c:f>
              <c:numCache>
                <c:formatCode>0.0%</c:formatCode>
                <c:ptCount val="3"/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のり2!$F$1:$F$2</c:f>
              <c:strCache>
                <c:ptCount val="2"/>
                <c:pt idx="0">
                  <c:v>のり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のり2!$F$3:$F$5</c:f>
              <c:numCache>
                <c:formatCode>0.0%</c:formatCode>
                <c:ptCount val="3"/>
                <c:pt idx="1">
                  <c:v>1</c:v>
                </c:pt>
                <c:pt idx="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のり2!$G$1:$G$2</c:f>
              <c:strCache>
                <c:ptCount val="2"/>
                <c:pt idx="0">
                  <c:v>のり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のり2!$G$3:$G$5</c:f>
              <c:numCache>
                <c:formatCode>0.0%</c:formatCode>
                <c:ptCount val="3"/>
                <c:pt idx="1">
                  <c:v>0.14285714285714285</c:v>
                </c:pt>
                <c:pt idx="2">
                  <c:v>0.19047619047619047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87901942056669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のり2!$H$1:$H$2</c:f>
              <c:strCache>
                <c:ptCount val="2"/>
                <c:pt idx="0">
                  <c:v>のり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のり2!$H$3:$H$5</c:f>
              <c:numCache>
                <c:formatCode>0.0%</c:formatCode>
                <c:ptCount val="3"/>
                <c:pt idx="1">
                  <c:v>0.14285714285714285</c:v>
                </c:pt>
                <c:pt idx="2">
                  <c:v>0.23809523809523808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63482967207895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のり2!$I$1:$I$2</c:f>
              <c:strCache>
                <c:ptCount val="2"/>
                <c:pt idx="0">
                  <c:v>のり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のり2!$I$3:$I$5</c:f>
              <c:numCache>
                <c:formatCode>0</c:formatCode>
                <c:ptCount val="3"/>
                <c:pt idx="1">
                  <c:v>3900</c:v>
                </c:pt>
                <c:pt idx="2">
                  <c:v>4475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779.595098561534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のり2!$J$1:$J$2</c:f>
              <c:strCache>
                <c:ptCount val="2"/>
                <c:pt idx="0">
                  <c:v>のり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のり2!$J$3:$J$5</c:f>
              <c:numCache>
                <c:formatCode>0</c:formatCode>
                <c:ptCount val="3"/>
                <c:pt idx="1">
                  <c:v>-3200</c:v>
                </c:pt>
                <c:pt idx="2">
                  <c:v>-6140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327.081339712918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のり2!$K$1:$K$2</c:f>
              <c:strCache>
                <c:ptCount val="2"/>
                <c:pt idx="0">
                  <c:v>のり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のり2!$K$3:$K$5</c:f>
              <c:numCache>
                <c:formatCode>0.0%</c:formatCode>
                <c:ptCount val="3"/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243386243386243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のり2!$L$1:$L$2</c:f>
              <c:strCache>
                <c:ptCount val="2"/>
                <c:pt idx="0">
                  <c:v>のり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のり2!$L$3:$L$5</c:f>
              <c:numCache>
                <c:formatCode>0.0%</c:formatCode>
                <c:ptCount val="3"/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243386243386243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のり2!$M$1:$M$2</c:f>
              <c:strCache>
                <c:ptCount val="2"/>
                <c:pt idx="0">
                  <c:v>のり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のり2!$M$3:$M$5</c:f>
              <c:numCache>
                <c:formatCode>0.0%</c:formatCode>
                <c:ptCount val="3"/>
                <c:pt idx="1">
                  <c:v>0</c:v>
                </c:pt>
                <c:pt idx="2">
                  <c:v>4.7619047619047616E-2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760267430754536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のり2!$N$1:$N$2</c:f>
              <c:strCache>
                <c:ptCount val="2"/>
                <c:pt idx="0">
                  <c:v>のり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のり2!$N$3:$N$5</c:f>
              <c:numCache>
                <c:formatCode>0.0%</c:formatCode>
                <c:ptCount val="3"/>
                <c:pt idx="1">
                  <c:v>0.2857142857142857</c:v>
                </c:pt>
                <c:pt idx="2">
                  <c:v>0.47619047619047616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15568290353390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のり2!$O$1:$O$2</c:f>
              <c:strCache>
                <c:ptCount val="2"/>
                <c:pt idx="0">
                  <c:v>のり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のり2!$O$3:$O$5</c:f>
              <c:numCache>
                <c:formatCode>0.0%</c:formatCode>
                <c:ptCount val="3"/>
                <c:pt idx="1">
                  <c:v>0</c:v>
                </c:pt>
                <c:pt idx="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778546712802767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のり2!$P$1:$P$2</c:f>
              <c:strCache>
                <c:ptCount val="2"/>
                <c:pt idx="0">
                  <c:v>のり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のり2!$P$3:$P$5</c:f>
              <c:numCache>
                <c:formatCode>0.0%</c:formatCode>
                <c:ptCount val="3"/>
                <c:pt idx="1">
                  <c:v>0.5</c:v>
                </c:pt>
                <c:pt idx="2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927765237020315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のり2!$Q$1:$Q$2</c:f>
              <c:strCache>
                <c:ptCount val="2"/>
                <c:pt idx="0">
                  <c:v>のり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のり2!$Q$3:$Q$5</c:f>
              <c:numCache>
                <c:formatCode>0.0%</c:formatCode>
                <c:ptCount val="3"/>
                <c:pt idx="1">
                  <c:v>0</c:v>
                </c:pt>
                <c:pt idx="2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52690463505594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18A4C30-8C3C-44B7-8AD8-8ACC0FE286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FD863AD-B649-4DA5-8B96-56FF64BE71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50"/>
      <c r="C1" s="151"/>
      <c r="E1" s="129" t="s">
        <v>167</v>
      </c>
      <c r="F1" s="12" t="s">
        <v>116</v>
      </c>
      <c r="G1" s="26" t="s">
        <v>117</v>
      </c>
      <c r="H1" s="130" t="s">
        <v>118</v>
      </c>
      <c r="I1" s="100" t="s">
        <v>154</v>
      </c>
      <c r="K1" s="2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159</v>
      </c>
    </row>
    <row r="2" spans="1:17" x14ac:dyDescent="0.4">
      <c r="A2" s="21" t="s">
        <v>9</v>
      </c>
      <c r="B2" s="152">
        <v>0</v>
      </c>
      <c r="C2" s="153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132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54">
        <v>0</v>
      </c>
      <c r="C3" s="155"/>
      <c r="E3" s="63" t="s">
        <v>66</v>
      </c>
      <c r="F3" s="28" t="s">
        <v>22</v>
      </c>
      <c r="G3" s="15">
        <v>0</v>
      </c>
      <c r="H3" s="133">
        <f t="shared" ref="H3:H50" si="1">IF(B$17=0,0,G3/B$17)</f>
        <v>0</v>
      </c>
      <c r="I3" s="94"/>
      <c r="N3" s="115" t="s">
        <v>133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6">
        <v>0</v>
      </c>
      <c r="C4" s="157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134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8">
        <f>IF(B$2=0,0,B$4/B$2)</f>
        <v>0</v>
      </c>
      <c r="C5" s="159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135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8">
        <f>IF(B$2=0,0,(B$7*1+B$8*2+B$9*3)/B$2)</f>
        <v>0</v>
      </c>
      <c r="C6" s="149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136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155</v>
      </c>
      <c r="O14" s="34" t="s">
        <v>156</v>
      </c>
      <c r="P14" s="117" t="s">
        <v>157</v>
      </c>
      <c r="Q14" s="105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191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192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142</v>
      </c>
      <c r="B25" s="146">
        <v>0</v>
      </c>
      <c r="C25" s="147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152</v>
      </c>
      <c r="B26" s="144">
        <v>0</v>
      </c>
      <c r="C26" s="145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180</v>
      </c>
      <c r="F50" s="60" t="s">
        <v>181</v>
      </c>
      <c r="G50" s="47">
        <v>0</v>
      </c>
      <c r="H50" s="133">
        <f t="shared" si="1"/>
        <v>0</v>
      </c>
      <c r="I50" s="94"/>
    </row>
    <row r="51" spans="5:9" x14ac:dyDescent="0.4">
      <c r="E51" s="136" t="s">
        <v>245</v>
      </c>
      <c r="F51" s="137" t="s">
        <v>246</v>
      </c>
      <c r="G51" s="48">
        <v>0</v>
      </c>
      <c r="H51" s="138">
        <f t="shared" ref="H51" si="3">IF(B$17=0,0,G51/B$17)</f>
        <v>0</v>
      </c>
      <c r="I51" s="139"/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K80"/>
  <sheetViews>
    <sheetView workbookViewId="0"/>
  </sheetViews>
  <sheetFormatPr defaultColWidth="9" defaultRowHeight="18.75" x14ac:dyDescent="0.4"/>
  <cols>
    <col min="1" max="1" width="19.25" style="30" customWidth="1"/>
    <col min="2" max="2" width="19.25" style="3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168</v>
      </c>
      <c r="B2" s="31">
        <v>43555.865254629629</v>
      </c>
      <c r="C2" s="30" t="s">
        <v>130</v>
      </c>
      <c r="D2" s="30" t="s">
        <v>131</v>
      </c>
      <c r="E2" s="30" t="s">
        <v>169</v>
      </c>
    </row>
    <row r="3" spans="1:10" x14ac:dyDescent="0.4">
      <c r="A3" s="30" t="s">
        <v>170</v>
      </c>
      <c r="B3" s="31">
        <v>43557.861898148149</v>
      </c>
      <c r="C3" s="30" t="s">
        <v>130</v>
      </c>
      <c r="D3" s="30" t="s">
        <v>131</v>
      </c>
      <c r="E3" s="30" t="s">
        <v>169</v>
      </c>
      <c r="F3" s="30" t="s">
        <v>174</v>
      </c>
      <c r="G3" s="30" t="s">
        <v>175</v>
      </c>
    </row>
    <row r="4" spans="1:10" x14ac:dyDescent="0.4">
      <c r="A4" s="30" t="s">
        <v>176</v>
      </c>
      <c r="B4" s="31">
        <v>43559.023657407408</v>
      </c>
      <c r="C4" s="30" t="s">
        <v>130</v>
      </c>
      <c r="D4" s="30" t="s">
        <v>131</v>
      </c>
      <c r="E4" s="30" t="s">
        <v>169</v>
      </c>
    </row>
    <row r="5" spans="1:10" x14ac:dyDescent="0.4">
      <c r="A5" s="30" t="s">
        <v>178</v>
      </c>
      <c r="B5" s="31">
        <v>43560.077013888891</v>
      </c>
      <c r="C5" s="30" t="s">
        <v>130</v>
      </c>
      <c r="D5" s="30" t="s">
        <v>131</v>
      </c>
      <c r="E5" s="30" t="s">
        <v>169</v>
      </c>
      <c r="F5" s="30" t="s">
        <v>174</v>
      </c>
    </row>
    <row r="6" spans="1:10" x14ac:dyDescent="0.4">
      <c r="A6" s="30" t="s">
        <v>179</v>
      </c>
      <c r="B6" s="31">
        <v>43561.108240740738</v>
      </c>
      <c r="C6" s="30" t="s">
        <v>130</v>
      </c>
      <c r="D6" s="30" t="s">
        <v>131</v>
      </c>
      <c r="E6" s="30" t="s">
        <v>169</v>
      </c>
      <c r="F6" s="30" t="s">
        <v>174</v>
      </c>
      <c r="G6" s="30" t="s">
        <v>175</v>
      </c>
    </row>
    <row r="7" spans="1:10" x14ac:dyDescent="0.4">
      <c r="A7" s="30" t="s">
        <v>182</v>
      </c>
      <c r="B7" s="31">
        <v>43562.384884259256</v>
      </c>
      <c r="C7" s="30" t="s">
        <v>130</v>
      </c>
      <c r="D7" s="30" t="s">
        <v>131</v>
      </c>
      <c r="E7" s="30" t="s">
        <v>169</v>
      </c>
      <c r="F7" s="30" t="s">
        <v>174</v>
      </c>
      <c r="G7" s="30" t="s">
        <v>175</v>
      </c>
      <c r="H7" s="30" t="s">
        <v>185</v>
      </c>
      <c r="I7" s="30" t="s">
        <v>186</v>
      </c>
      <c r="J7" s="30" t="s">
        <v>187</v>
      </c>
    </row>
    <row r="8" spans="1:10" x14ac:dyDescent="0.4">
      <c r="A8" s="30" t="s">
        <v>188</v>
      </c>
      <c r="B8" s="31">
        <v>43566.499976851854</v>
      </c>
      <c r="C8" s="30" t="s">
        <v>130</v>
      </c>
      <c r="D8" s="30" t="s">
        <v>131</v>
      </c>
      <c r="E8" s="30" t="s">
        <v>169</v>
      </c>
      <c r="F8" s="30" t="s">
        <v>174</v>
      </c>
      <c r="G8" s="30" t="s">
        <v>175</v>
      </c>
      <c r="H8" s="30" t="s">
        <v>185</v>
      </c>
      <c r="I8" s="30" t="s">
        <v>186</v>
      </c>
    </row>
    <row r="9" spans="1:10" x14ac:dyDescent="0.4">
      <c r="A9" s="30" t="s">
        <v>189</v>
      </c>
      <c r="B9" s="31">
        <v>43564.018379629626</v>
      </c>
      <c r="C9" s="30" t="s">
        <v>130</v>
      </c>
      <c r="D9" s="30" t="s">
        <v>131</v>
      </c>
    </row>
    <row r="10" spans="1:10" x14ac:dyDescent="0.4">
      <c r="A10" s="30" t="s">
        <v>190</v>
      </c>
      <c r="B10" s="31">
        <v>43565.032939814817</v>
      </c>
      <c r="C10" s="30" t="s">
        <v>130</v>
      </c>
      <c r="D10" s="30" t="s">
        <v>131</v>
      </c>
      <c r="E10" s="30" t="s">
        <v>169</v>
      </c>
      <c r="F10" s="30" t="s">
        <v>174</v>
      </c>
    </row>
    <row r="11" spans="1:10" x14ac:dyDescent="0.4">
      <c r="A11" s="30" t="s">
        <v>193</v>
      </c>
      <c r="B11" s="31">
        <v>43566.030486111114</v>
      </c>
      <c r="C11" s="30" t="s">
        <v>130</v>
      </c>
      <c r="D11" s="30" t="s">
        <v>131</v>
      </c>
      <c r="E11" s="30" t="s">
        <v>169</v>
      </c>
    </row>
    <row r="12" spans="1:10" x14ac:dyDescent="0.4">
      <c r="A12" s="30" t="s">
        <v>194</v>
      </c>
      <c r="B12" s="31">
        <v>43567.091643518521</v>
      </c>
      <c r="C12" s="30" t="s">
        <v>130</v>
      </c>
      <c r="D12" s="30" t="s">
        <v>131</v>
      </c>
      <c r="E12" s="30" t="s">
        <v>169</v>
      </c>
      <c r="F12" s="30" t="s">
        <v>174</v>
      </c>
      <c r="G12" s="30" t="s">
        <v>175</v>
      </c>
    </row>
    <row r="13" spans="1:10" x14ac:dyDescent="0.4">
      <c r="A13" s="30" t="s">
        <v>195</v>
      </c>
      <c r="B13" s="31">
        <v>43568.067824074074</v>
      </c>
      <c r="C13" s="30" t="s">
        <v>130</v>
      </c>
      <c r="D13" s="30" t="s">
        <v>131</v>
      </c>
      <c r="E13" s="30" t="s">
        <v>169</v>
      </c>
    </row>
    <row r="14" spans="1:10" x14ac:dyDescent="0.4">
      <c r="A14" s="30" t="s">
        <v>196</v>
      </c>
      <c r="B14" s="31">
        <v>43569.100624999999</v>
      </c>
      <c r="C14" s="30" t="s">
        <v>130</v>
      </c>
      <c r="D14" s="30" t="s">
        <v>131</v>
      </c>
      <c r="E14" s="30" t="s">
        <v>169</v>
      </c>
      <c r="F14" s="30" t="s">
        <v>174</v>
      </c>
      <c r="G14" s="30" t="s">
        <v>175</v>
      </c>
    </row>
    <row r="15" spans="1:10" x14ac:dyDescent="0.4">
      <c r="A15" s="30" t="s">
        <v>197</v>
      </c>
      <c r="B15" s="31">
        <v>43570.006157407406</v>
      </c>
      <c r="C15" s="30" t="s">
        <v>130</v>
      </c>
      <c r="D15" s="30" t="s">
        <v>131</v>
      </c>
      <c r="E15" s="30" t="s">
        <v>169</v>
      </c>
      <c r="F15" s="30" t="s">
        <v>174</v>
      </c>
      <c r="G15" s="30" t="s">
        <v>175</v>
      </c>
      <c r="H15" s="30" t="s">
        <v>185</v>
      </c>
    </row>
    <row r="16" spans="1:10" x14ac:dyDescent="0.4">
      <c r="A16" s="30" t="s">
        <v>198</v>
      </c>
      <c r="B16" s="31">
        <v>43571.043124999997</v>
      </c>
      <c r="C16" s="30" t="s">
        <v>130</v>
      </c>
      <c r="D16" s="30" t="s">
        <v>131</v>
      </c>
    </row>
    <row r="17" spans="1:10" x14ac:dyDescent="0.4">
      <c r="A17" s="30" t="s">
        <v>199</v>
      </c>
      <c r="B17" s="31">
        <v>43573.057615740741</v>
      </c>
      <c r="C17" s="30" t="s">
        <v>130</v>
      </c>
      <c r="D17" s="30" t="s">
        <v>131</v>
      </c>
      <c r="E17" s="30" t="s">
        <v>169</v>
      </c>
    </row>
    <row r="18" spans="1:10" x14ac:dyDescent="0.4">
      <c r="A18" s="30" t="s">
        <v>201</v>
      </c>
      <c r="B18" s="31">
        <v>43574.063958333332</v>
      </c>
      <c r="C18" s="30" t="s">
        <v>130</v>
      </c>
      <c r="D18" s="30" t="s">
        <v>131</v>
      </c>
      <c r="E18" s="30" t="s">
        <v>169</v>
      </c>
      <c r="F18" s="30" t="s">
        <v>174</v>
      </c>
      <c r="G18" s="30" t="s">
        <v>175</v>
      </c>
    </row>
    <row r="19" spans="1:10" x14ac:dyDescent="0.4">
      <c r="A19" s="30" t="s">
        <v>202</v>
      </c>
      <c r="B19" s="31">
        <v>43575.082037037035</v>
      </c>
      <c r="C19" s="30" t="s">
        <v>130</v>
      </c>
      <c r="D19" s="30" t="s">
        <v>131</v>
      </c>
      <c r="E19" s="30" t="s">
        <v>169</v>
      </c>
    </row>
    <row r="20" spans="1:10" x14ac:dyDescent="0.4">
      <c r="A20" s="30" t="s">
        <v>203</v>
      </c>
      <c r="B20" s="31">
        <v>43576.051666666666</v>
      </c>
      <c r="C20" s="30" t="s">
        <v>130</v>
      </c>
      <c r="D20" s="30" t="s">
        <v>131</v>
      </c>
      <c r="E20" s="30" t="s">
        <v>169</v>
      </c>
      <c r="F20" s="30" t="s">
        <v>174</v>
      </c>
      <c r="G20" s="30" t="s">
        <v>175</v>
      </c>
      <c r="H20" s="30" t="s">
        <v>185</v>
      </c>
    </row>
    <row r="21" spans="1:10" x14ac:dyDescent="0.4">
      <c r="A21" s="30" t="s">
        <v>204</v>
      </c>
      <c r="B21" s="31">
        <v>43577.022314814814</v>
      </c>
      <c r="C21" s="30" t="s">
        <v>130</v>
      </c>
      <c r="D21" s="30" t="s">
        <v>131</v>
      </c>
      <c r="E21" s="30" t="s">
        <v>169</v>
      </c>
      <c r="F21" s="30" t="s">
        <v>174</v>
      </c>
      <c r="G21" s="30" t="s">
        <v>175</v>
      </c>
      <c r="H21" s="30" t="s">
        <v>185</v>
      </c>
      <c r="I21" s="30" t="s">
        <v>186</v>
      </c>
      <c r="J21" s="30" t="s">
        <v>187</v>
      </c>
    </row>
    <row r="22" spans="1:10" x14ac:dyDescent="0.4">
      <c r="A22" s="30" t="s">
        <v>205</v>
      </c>
      <c r="B22" s="31">
        <v>43579.04247685185</v>
      </c>
      <c r="C22" s="30" t="s">
        <v>130</v>
      </c>
      <c r="D22" s="30" t="s">
        <v>131</v>
      </c>
      <c r="E22" s="30" t="s">
        <v>169</v>
      </c>
      <c r="F22" s="30" t="s">
        <v>174</v>
      </c>
    </row>
    <row r="23" spans="1:10" x14ac:dyDescent="0.4">
      <c r="A23" s="30" t="s">
        <v>206</v>
      </c>
      <c r="B23" s="31">
        <v>43580.060046296298</v>
      </c>
      <c r="C23" s="30" t="s">
        <v>130</v>
      </c>
      <c r="D23" s="30" t="s">
        <v>131</v>
      </c>
      <c r="E23" s="30" t="s">
        <v>169</v>
      </c>
    </row>
    <row r="24" spans="1:10" x14ac:dyDescent="0.4">
      <c r="A24" s="30" t="s">
        <v>207</v>
      </c>
      <c r="B24" s="31">
        <v>43581.023773148147</v>
      </c>
      <c r="C24" s="30" t="s">
        <v>130</v>
      </c>
      <c r="D24" s="30" t="s">
        <v>131</v>
      </c>
    </row>
    <row r="25" spans="1:10" x14ac:dyDescent="0.4">
      <c r="A25" s="30" t="s">
        <v>208</v>
      </c>
      <c r="B25" s="31">
        <v>43582.061388888891</v>
      </c>
      <c r="C25" s="30" t="s">
        <v>130</v>
      </c>
      <c r="D25" s="30" t="s">
        <v>131</v>
      </c>
      <c r="E25" s="30" t="s">
        <v>169</v>
      </c>
    </row>
    <row r="26" spans="1:10" x14ac:dyDescent="0.4">
      <c r="A26" s="30" t="s">
        <v>209</v>
      </c>
      <c r="B26" s="31">
        <v>43582.906527777777</v>
      </c>
      <c r="C26" s="30" t="s">
        <v>130</v>
      </c>
      <c r="D26" s="30" t="s">
        <v>131</v>
      </c>
    </row>
    <row r="27" spans="1:10" x14ac:dyDescent="0.4">
      <c r="A27" s="30" t="s">
        <v>210</v>
      </c>
      <c r="B27" s="31">
        <v>43590.780717592592</v>
      </c>
      <c r="C27" s="30" t="s">
        <v>130</v>
      </c>
      <c r="D27" s="30" t="s">
        <v>131</v>
      </c>
    </row>
    <row r="28" spans="1:10" x14ac:dyDescent="0.4">
      <c r="A28" s="30" t="s">
        <v>211</v>
      </c>
      <c r="B28" s="31">
        <v>43595.016759259262</v>
      </c>
      <c r="C28" s="30" t="s">
        <v>130</v>
      </c>
      <c r="D28" s="30" t="s">
        <v>131</v>
      </c>
      <c r="E28" s="30" t="s">
        <v>169</v>
      </c>
      <c r="F28" s="30" t="s">
        <v>174</v>
      </c>
    </row>
    <row r="29" spans="1:10" x14ac:dyDescent="0.4">
      <c r="A29" s="30" t="s">
        <v>212</v>
      </c>
      <c r="B29" s="31">
        <v>43592.020578703705</v>
      </c>
      <c r="C29" s="30" t="s">
        <v>130</v>
      </c>
      <c r="D29" s="30" t="s">
        <v>131</v>
      </c>
    </row>
    <row r="30" spans="1:10" x14ac:dyDescent="0.4">
      <c r="A30" s="30" t="s">
        <v>213</v>
      </c>
      <c r="B30" s="31">
        <v>43593.086967592593</v>
      </c>
      <c r="C30" s="30" t="s">
        <v>130</v>
      </c>
      <c r="D30" s="30" t="s">
        <v>131</v>
      </c>
      <c r="E30" s="30" t="s">
        <v>169</v>
      </c>
    </row>
    <row r="31" spans="1:10" x14ac:dyDescent="0.4">
      <c r="A31" s="30" t="s">
        <v>214</v>
      </c>
      <c r="B31" s="31">
        <v>43593.980185185188</v>
      </c>
      <c r="C31" s="30" t="s">
        <v>130</v>
      </c>
      <c r="D31" s="30" t="s">
        <v>131</v>
      </c>
      <c r="E31" s="30" t="s">
        <v>169</v>
      </c>
      <c r="F31" s="30" t="s">
        <v>174</v>
      </c>
    </row>
    <row r="32" spans="1:10" x14ac:dyDescent="0.4">
      <c r="A32" s="30" t="s">
        <v>215</v>
      </c>
      <c r="B32" s="31">
        <v>43595.036134259259</v>
      </c>
      <c r="C32" s="30" t="s">
        <v>130</v>
      </c>
      <c r="D32" s="30" t="s">
        <v>131</v>
      </c>
    </row>
    <row r="33" spans="1:11" x14ac:dyDescent="0.4">
      <c r="A33" s="30" t="s">
        <v>216</v>
      </c>
      <c r="B33" s="31">
        <v>43596.111018518517</v>
      </c>
      <c r="C33" s="30" t="s">
        <v>130</v>
      </c>
      <c r="D33" s="30" t="s">
        <v>131</v>
      </c>
      <c r="E33" s="30" t="s">
        <v>169</v>
      </c>
    </row>
    <row r="34" spans="1:11" x14ac:dyDescent="0.4">
      <c r="A34" s="30" t="s">
        <v>217</v>
      </c>
      <c r="B34" s="31">
        <v>43597.633935185186</v>
      </c>
      <c r="C34" s="30" t="s">
        <v>130</v>
      </c>
      <c r="D34" s="30" t="s">
        <v>131</v>
      </c>
      <c r="E34" s="30" t="s">
        <v>169</v>
      </c>
    </row>
    <row r="35" spans="1:11" x14ac:dyDescent="0.4">
      <c r="A35" s="30" t="s">
        <v>218</v>
      </c>
      <c r="B35" s="31">
        <v>43597.749398148146</v>
      </c>
      <c r="C35" s="30" t="s">
        <v>130</v>
      </c>
      <c r="D35" s="30" t="s">
        <v>131</v>
      </c>
      <c r="E35" s="30" t="s">
        <v>169</v>
      </c>
    </row>
    <row r="36" spans="1:11" x14ac:dyDescent="0.4">
      <c r="A36" s="30" t="s">
        <v>219</v>
      </c>
      <c r="B36" s="31">
        <v>43599.035115740742</v>
      </c>
      <c r="C36" s="30" t="s">
        <v>130</v>
      </c>
      <c r="D36" s="30" t="s">
        <v>131</v>
      </c>
      <c r="E36" s="30" t="s">
        <v>169</v>
      </c>
    </row>
    <row r="37" spans="1:11" x14ac:dyDescent="0.4">
      <c r="A37" s="30" t="s">
        <v>220</v>
      </c>
      <c r="B37" s="31">
        <v>43599.98951388889</v>
      </c>
      <c r="C37" s="30" t="s">
        <v>130</v>
      </c>
      <c r="D37" s="30" t="s">
        <v>131</v>
      </c>
    </row>
    <row r="38" spans="1:11" x14ac:dyDescent="0.4">
      <c r="A38" s="30" t="s">
        <v>221</v>
      </c>
      <c r="B38" s="31">
        <v>43601.497314814813</v>
      </c>
      <c r="C38" s="30" t="s">
        <v>130</v>
      </c>
      <c r="D38" s="30" t="s">
        <v>131</v>
      </c>
      <c r="E38" s="30" t="s">
        <v>169</v>
      </c>
    </row>
    <row r="39" spans="1:11" x14ac:dyDescent="0.4">
      <c r="A39" s="30" t="s">
        <v>224</v>
      </c>
      <c r="B39" s="31">
        <v>43602.577175925922</v>
      </c>
      <c r="C39" s="30" t="s">
        <v>130</v>
      </c>
      <c r="D39" s="30" t="s">
        <v>131</v>
      </c>
      <c r="E39" s="30" t="s">
        <v>169</v>
      </c>
      <c r="F39" s="30" t="s">
        <v>174</v>
      </c>
      <c r="G39" s="30" t="s">
        <v>175</v>
      </c>
    </row>
    <row r="40" spans="1:11" x14ac:dyDescent="0.4">
      <c r="A40" s="30" t="s">
        <v>225</v>
      </c>
      <c r="B40" s="31">
        <v>43605.945185185185</v>
      </c>
      <c r="C40" s="30" t="s">
        <v>130</v>
      </c>
      <c r="D40" s="30" t="s">
        <v>131</v>
      </c>
      <c r="E40" s="30" t="s">
        <v>169</v>
      </c>
      <c r="F40" s="30" t="s">
        <v>174</v>
      </c>
      <c r="G40" s="30" t="s">
        <v>175</v>
      </c>
      <c r="H40" s="30" t="s">
        <v>185</v>
      </c>
      <c r="I40" s="30" t="s">
        <v>186</v>
      </c>
      <c r="J40" s="30" t="s">
        <v>187</v>
      </c>
      <c r="K40" s="30" t="s">
        <v>228</v>
      </c>
    </row>
    <row r="41" spans="1:11" x14ac:dyDescent="0.4">
      <c r="A41" s="30" t="s">
        <v>226</v>
      </c>
      <c r="B41" s="31">
        <v>43605.945185185185</v>
      </c>
      <c r="C41" s="30" t="s">
        <v>130</v>
      </c>
      <c r="D41" s="30" t="s">
        <v>131</v>
      </c>
      <c r="E41" s="30" t="s">
        <v>169</v>
      </c>
      <c r="F41" s="30" t="s">
        <v>174</v>
      </c>
    </row>
    <row r="42" spans="1:11" x14ac:dyDescent="0.4">
      <c r="A42" s="30" t="s">
        <v>227</v>
      </c>
      <c r="B42" s="31">
        <v>43608.879282407404</v>
      </c>
      <c r="C42" s="30" t="s">
        <v>130</v>
      </c>
      <c r="D42" s="30" t="s">
        <v>131</v>
      </c>
      <c r="E42" s="30" t="s">
        <v>169</v>
      </c>
      <c r="F42" s="30" t="s">
        <v>174</v>
      </c>
      <c r="G42" s="30" t="s">
        <v>175</v>
      </c>
    </row>
    <row r="43" spans="1:11" x14ac:dyDescent="0.4">
      <c r="A43" s="30" t="s">
        <v>229</v>
      </c>
      <c r="B43" s="31">
        <v>43606.718368055554</v>
      </c>
      <c r="C43" s="30" t="s">
        <v>130</v>
      </c>
      <c r="D43" s="30" t="s">
        <v>131</v>
      </c>
      <c r="E43" s="30" t="s">
        <v>169</v>
      </c>
      <c r="F43" s="30" t="s">
        <v>174</v>
      </c>
      <c r="G43" s="30" t="s">
        <v>175</v>
      </c>
      <c r="H43" s="30" t="s">
        <v>185</v>
      </c>
    </row>
    <row r="44" spans="1:11" x14ac:dyDescent="0.4">
      <c r="A44" s="30" t="s">
        <v>231</v>
      </c>
      <c r="B44" s="31">
        <v>43607.87667824074</v>
      </c>
      <c r="C44" s="30" t="s">
        <v>130</v>
      </c>
    </row>
    <row r="45" spans="1:11" x14ac:dyDescent="0.4">
      <c r="A45" s="30" t="s">
        <v>230</v>
      </c>
      <c r="B45" s="31">
        <v>43606.874745370369</v>
      </c>
      <c r="C45" s="30" t="s">
        <v>130</v>
      </c>
      <c r="D45" s="30" t="s">
        <v>131</v>
      </c>
      <c r="E45" s="30" t="s">
        <v>169</v>
      </c>
    </row>
    <row r="46" spans="1:11" x14ac:dyDescent="0.4">
      <c r="A46" s="30" t="s">
        <v>232</v>
      </c>
      <c r="B46" s="31">
        <v>43608.430162037039</v>
      </c>
      <c r="C46" s="30" t="s">
        <v>130</v>
      </c>
      <c r="D46" s="30" t="s">
        <v>131</v>
      </c>
      <c r="E46" s="30" t="s">
        <v>169</v>
      </c>
    </row>
    <row r="47" spans="1:11" x14ac:dyDescent="0.4">
      <c r="A47" s="30" t="s">
        <v>233</v>
      </c>
      <c r="B47" s="31">
        <v>43607.920266203706</v>
      </c>
      <c r="C47" s="30" t="s">
        <v>130</v>
      </c>
    </row>
    <row r="48" spans="1:11" x14ac:dyDescent="0.4">
      <c r="A48" s="30" t="s">
        <v>235</v>
      </c>
      <c r="B48" s="31">
        <v>43609.644525462965</v>
      </c>
      <c r="C48" s="30" t="s">
        <v>130</v>
      </c>
    </row>
    <row r="49" spans="1:7" x14ac:dyDescent="0.4">
      <c r="A49" s="30" t="s">
        <v>234</v>
      </c>
      <c r="B49" s="31">
        <v>43609.644525462965</v>
      </c>
      <c r="C49" s="30" t="s">
        <v>130</v>
      </c>
      <c r="D49" s="30" t="s">
        <v>131</v>
      </c>
      <c r="E49" s="30" t="s">
        <v>169</v>
      </c>
      <c r="F49" s="30" t="s">
        <v>174</v>
      </c>
    </row>
    <row r="50" spans="1:7" x14ac:dyDescent="0.4">
      <c r="A50" s="30" t="s">
        <v>236</v>
      </c>
      <c r="B50" s="31">
        <v>43609.871759259258</v>
      </c>
      <c r="C50" s="30" t="s">
        <v>130</v>
      </c>
      <c r="D50" s="30" t="s">
        <v>131</v>
      </c>
      <c r="E50" s="30" t="s">
        <v>169</v>
      </c>
      <c r="F50" s="30" t="s">
        <v>174</v>
      </c>
      <c r="G50" s="30" t="s">
        <v>175</v>
      </c>
    </row>
    <row r="51" spans="1:7" x14ac:dyDescent="0.4">
      <c r="A51" s="30" t="s">
        <v>238</v>
      </c>
      <c r="B51" s="31">
        <v>43612.745358796295</v>
      </c>
      <c r="C51" s="30" t="s">
        <v>130</v>
      </c>
      <c r="D51" s="30" t="s">
        <v>131</v>
      </c>
      <c r="E51" s="30" t="s">
        <v>169</v>
      </c>
    </row>
    <row r="52" spans="1:7" x14ac:dyDescent="0.4">
      <c r="A52" s="30" t="s">
        <v>237</v>
      </c>
      <c r="B52" s="31">
        <v>43613.63894675926</v>
      </c>
      <c r="C52" s="30" t="s">
        <v>130</v>
      </c>
    </row>
    <row r="53" spans="1:7" x14ac:dyDescent="0.4">
      <c r="A53" s="30" t="s">
        <v>239</v>
      </c>
      <c r="B53" s="31">
        <v>43613.763310185182</v>
      </c>
      <c r="C53" s="30" t="s">
        <v>130</v>
      </c>
      <c r="D53" s="30" t="s">
        <v>131</v>
      </c>
      <c r="E53" s="30" t="s">
        <v>169</v>
      </c>
    </row>
    <row r="54" spans="1:7" x14ac:dyDescent="0.4">
      <c r="A54" s="30" t="s">
        <v>240</v>
      </c>
      <c r="B54" s="31">
        <v>43618.007013888891</v>
      </c>
      <c r="C54" s="30" t="s">
        <v>130</v>
      </c>
      <c r="D54" s="30" t="s">
        <v>131</v>
      </c>
      <c r="E54" s="30" t="s">
        <v>169</v>
      </c>
      <c r="F54" s="30" t="s">
        <v>174</v>
      </c>
      <c r="G54" s="30" t="s">
        <v>175</v>
      </c>
    </row>
    <row r="55" spans="1:7" x14ac:dyDescent="0.4">
      <c r="A55" s="30" t="s">
        <v>241</v>
      </c>
      <c r="B55" s="31">
        <v>43618.036354166667</v>
      </c>
      <c r="C55" s="30" t="s">
        <v>130</v>
      </c>
    </row>
    <row r="56" spans="1:7" x14ac:dyDescent="0.4">
      <c r="A56" s="30" t="s">
        <v>242</v>
      </c>
      <c r="B56" s="31">
        <v>43619.976898148147</v>
      </c>
      <c r="C56" s="30" t="s">
        <v>130</v>
      </c>
    </row>
    <row r="57" spans="1:7" x14ac:dyDescent="0.4">
      <c r="A57" s="30" t="s">
        <v>243</v>
      </c>
      <c r="B57" s="31">
        <v>43620.019814814812</v>
      </c>
      <c r="C57" s="30" t="s">
        <v>130</v>
      </c>
    </row>
    <row r="58" spans="1:7" x14ac:dyDescent="0.4">
      <c r="A58" s="30" t="s">
        <v>244</v>
      </c>
      <c r="B58" s="31">
        <v>43620.765509259261</v>
      </c>
      <c r="C58" s="30" t="s">
        <v>130</v>
      </c>
      <c r="D58" s="30" t="s">
        <v>131</v>
      </c>
      <c r="E58" s="30" t="s">
        <v>169</v>
      </c>
    </row>
    <row r="59" spans="1:7" x14ac:dyDescent="0.4">
      <c r="A59" s="30" t="s">
        <v>249</v>
      </c>
      <c r="B59" s="31">
        <v>43622.069513888891</v>
      </c>
      <c r="C59" s="30" t="s">
        <v>130</v>
      </c>
    </row>
    <row r="60" spans="1:7" x14ac:dyDescent="0.4">
      <c r="A60" s="30" t="s">
        <v>250</v>
      </c>
      <c r="B60" s="31">
        <v>43624.129907407405</v>
      </c>
      <c r="C60" s="30" t="s">
        <v>130</v>
      </c>
      <c r="D60" s="30" t="s">
        <v>131</v>
      </c>
      <c r="E60" s="30" t="s">
        <v>169</v>
      </c>
      <c r="F60" s="30" t="s">
        <v>174</v>
      </c>
    </row>
    <row r="61" spans="1:7" x14ac:dyDescent="0.4">
      <c r="A61" s="30" t="s">
        <v>251</v>
      </c>
      <c r="B61" s="31">
        <v>43624.873993055553</v>
      </c>
      <c r="C61" s="30" t="s">
        <v>130</v>
      </c>
      <c r="D61" s="30" t="s">
        <v>131</v>
      </c>
    </row>
    <row r="62" spans="1:7" x14ac:dyDescent="0.4">
      <c r="A62" s="30" t="s">
        <v>252</v>
      </c>
      <c r="B62" s="31">
        <v>43625.885787037034</v>
      </c>
      <c r="C62" s="30" t="s">
        <v>130</v>
      </c>
    </row>
    <row r="63" spans="1:7" x14ac:dyDescent="0.4">
      <c r="A63" s="30" t="s">
        <v>253</v>
      </c>
      <c r="B63" s="31">
        <v>43627.998032407406</v>
      </c>
      <c r="C63" s="30" t="s">
        <v>130</v>
      </c>
      <c r="D63" s="30" t="s">
        <v>131</v>
      </c>
      <c r="E63" s="30" t="s">
        <v>169</v>
      </c>
      <c r="F63" s="30" t="s">
        <v>174</v>
      </c>
    </row>
    <row r="64" spans="1:7" x14ac:dyDescent="0.4">
      <c r="A64" s="30" t="s">
        <v>254</v>
      </c>
      <c r="B64" s="31">
        <v>43636.961435185185</v>
      </c>
      <c r="C64" s="30" t="s">
        <v>130</v>
      </c>
      <c r="D64" s="30" t="s">
        <v>131</v>
      </c>
    </row>
    <row r="65" spans="1:6" x14ac:dyDescent="0.4">
      <c r="A65" s="30" t="s">
        <v>255</v>
      </c>
      <c r="B65" s="31">
        <v>43630.051932870374</v>
      </c>
      <c r="C65" s="30" t="s">
        <v>130</v>
      </c>
      <c r="D65" s="30" t="s">
        <v>131</v>
      </c>
      <c r="E65" s="30" t="s">
        <v>169</v>
      </c>
    </row>
    <row r="66" spans="1:6" x14ac:dyDescent="0.4">
      <c r="A66" s="30" t="s">
        <v>256</v>
      </c>
      <c r="B66" s="31">
        <v>43632.957395833335</v>
      </c>
      <c r="C66" s="30" t="s">
        <v>130</v>
      </c>
      <c r="D66" s="30" t="s">
        <v>131</v>
      </c>
    </row>
    <row r="67" spans="1:6" x14ac:dyDescent="0.4">
      <c r="A67" s="30" t="s">
        <v>257</v>
      </c>
      <c r="B67" s="31">
        <v>43632.957395833335</v>
      </c>
      <c r="C67" s="30" t="s">
        <v>130</v>
      </c>
      <c r="D67" s="30" t="s">
        <v>131</v>
      </c>
      <c r="E67" s="30" t="s">
        <v>169</v>
      </c>
    </row>
    <row r="68" spans="1:6" x14ac:dyDescent="0.4">
      <c r="A68" s="30" t="s">
        <v>258</v>
      </c>
      <c r="B68" s="31">
        <v>43633.013645833336</v>
      </c>
      <c r="C68" s="30" t="s">
        <v>130</v>
      </c>
      <c r="D68" s="30" t="s">
        <v>131</v>
      </c>
    </row>
    <row r="69" spans="1:6" x14ac:dyDescent="0.4">
      <c r="A69" s="30" t="s">
        <v>259</v>
      </c>
      <c r="B69" s="31">
        <v>43636.961435185185</v>
      </c>
      <c r="C69" s="30" t="s">
        <v>130</v>
      </c>
    </row>
    <row r="70" spans="1:6" x14ac:dyDescent="0.4">
      <c r="A70" s="30" t="s">
        <v>260</v>
      </c>
      <c r="B70" s="31">
        <v>43636.961435185185</v>
      </c>
      <c r="C70" s="30" t="s">
        <v>130</v>
      </c>
      <c r="D70" s="30" t="s">
        <v>131</v>
      </c>
      <c r="E70" s="30" t="s">
        <v>169</v>
      </c>
    </row>
    <row r="71" spans="1:6" x14ac:dyDescent="0.4">
      <c r="A71" s="30" t="s">
        <v>261</v>
      </c>
      <c r="B71" s="31">
        <v>43642.023356481484</v>
      </c>
      <c r="C71" s="30" t="s">
        <v>130</v>
      </c>
      <c r="D71" s="30" t="s">
        <v>131</v>
      </c>
    </row>
    <row r="72" spans="1:6" x14ac:dyDescent="0.4">
      <c r="A72" s="30" t="s">
        <v>262</v>
      </c>
      <c r="B72" s="31">
        <v>43643.036689814813</v>
      </c>
      <c r="C72" s="30" t="s">
        <v>130</v>
      </c>
      <c r="D72" s="30" t="s">
        <v>131</v>
      </c>
    </row>
    <row r="73" spans="1:6" x14ac:dyDescent="0.4">
      <c r="A73" s="30" t="s">
        <v>263</v>
      </c>
      <c r="B73" s="31">
        <v>43644.044224537036</v>
      </c>
      <c r="C73" s="30" t="s">
        <v>130</v>
      </c>
    </row>
    <row r="74" spans="1:6" x14ac:dyDescent="0.4">
      <c r="A74" s="30" t="s">
        <v>264</v>
      </c>
      <c r="B74" s="31">
        <v>43644.021412037036</v>
      </c>
      <c r="C74" s="30" t="s">
        <v>130</v>
      </c>
      <c r="D74" s="30" t="s">
        <v>131</v>
      </c>
    </row>
    <row r="75" spans="1:6" x14ac:dyDescent="0.4">
      <c r="A75" s="30" t="s">
        <v>265</v>
      </c>
      <c r="B75" s="31">
        <v>43647.957407407404</v>
      </c>
      <c r="C75" s="30" t="s">
        <v>130</v>
      </c>
      <c r="D75" s="30" t="s">
        <v>131</v>
      </c>
    </row>
    <row r="76" spans="1:6" x14ac:dyDescent="0.4">
      <c r="A76" s="30" t="s">
        <v>266</v>
      </c>
      <c r="B76" s="31">
        <v>43647.957407407404</v>
      </c>
      <c r="C76" s="30" t="s">
        <v>130</v>
      </c>
      <c r="D76" s="30" t="s">
        <v>131</v>
      </c>
    </row>
    <row r="77" spans="1:6" x14ac:dyDescent="0.4">
      <c r="A77" s="30" t="s">
        <v>267</v>
      </c>
      <c r="B77" s="31">
        <v>43647.957407407404</v>
      </c>
      <c r="C77" s="30" t="s">
        <v>130</v>
      </c>
      <c r="D77" s="30" t="s">
        <v>131</v>
      </c>
      <c r="E77" s="30" t="s">
        <v>169</v>
      </c>
      <c r="F77" s="30" t="s">
        <v>174</v>
      </c>
    </row>
    <row r="78" spans="1:6" x14ac:dyDescent="0.4">
      <c r="A78" s="30" t="s">
        <v>268</v>
      </c>
      <c r="B78" s="31">
        <v>43647.957407407404</v>
      </c>
      <c r="C78" s="30" t="s">
        <v>130</v>
      </c>
      <c r="D78" s="30" t="s">
        <v>131</v>
      </c>
    </row>
    <row r="79" spans="1:6" x14ac:dyDescent="0.4">
      <c r="A79" s="30" t="s">
        <v>269</v>
      </c>
      <c r="B79" s="31">
        <v>43647.957407407404</v>
      </c>
      <c r="C79" s="30" t="s">
        <v>130</v>
      </c>
      <c r="D79" s="30" t="s">
        <v>131</v>
      </c>
    </row>
    <row r="80" spans="1:6" x14ac:dyDescent="0.4">
      <c r="A80" s="30" t="s">
        <v>270</v>
      </c>
      <c r="B80" s="31">
        <v>43648.078912037039</v>
      </c>
      <c r="C80" s="30" t="s">
        <v>130</v>
      </c>
      <c r="D80" s="30" t="s">
        <v>131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4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145</v>
      </c>
      <c r="B1">
        <v>756</v>
      </c>
    </row>
    <row r="2" spans="1:2" x14ac:dyDescent="0.4">
      <c r="A2" t="s">
        <v>127</v>
      </c>
      <c r="B2">
        <v>163</v>
      </c>
    </row>
    <row r="3" spans="1:2" x14ac:dyDescent="0.4">
      <c r="A3" t="s">
        <v>128</v>
      </c>
      <c r="B3">
        <v>134</v>
      </c>
    </row>
    <row r="4" spans="1:2" x14ac:dyDescent="0.4">
      <c r="A4" t="s">
        <v>129</v>
      </c>
      <c r="B4">
        <v>103</v>
      </c>
    </row>
    <row r="5" spans="1:2" x14ac:dyDescent="0.4">
      <c r="A5" t="s">
        <v>171</v>
      </c>
      <c r="B5">
        <v>96</v>
      </c>
    </row>
    <row r="6" spans="1:2" x14ac:dyDescent="0.4">
      <c r="A6" t="s">
        <v>172</v>
      </c>
      <c r="B6">
        <v>87</v>
      </c>
    </row>
    <row r="7" spans="1:2" x14ac:dyDescent="0.4">
      <c r="A7" t="s">
        <v>173</v>
      </c>
      <c r="B7">
        <v>48</v>
      </c>
    </row>
    <row r="8" spans="1:2" x14ac:dyDescent="0.4">
      <c r="A8" t="s">
        <v>177</v>
      </c>
      <c r="B8">
        <v>78</v>
      </c>
    </row>
    <row r="9" spans="1:2" x14ac:dyDescent="0.4">
      <c r="A9" t="s">
        <v>183</v>
      </c>
      <c r="B9">
        <v>3</v>
      </c>
    </row>
    <row r="10" spans="1:2" x14ac:dyDescent="0.4">
      <c r="A10" t="s">
        <v>184</v>
      </c>
      <c r="B10">
        <v>22</v>
      </c>
    </row>
    <row r="11" spans="1:2" x14ac:dyDescent="0.4">
      <c r="A11" t="s">
        <v>200</v>
      </c>
      <c r="B11">
        <v>13</v>
      </c>
    </row>
    <row r="12" spans="1:2" x14ac:dyDescent="0.4">
      <c r="A12" t="s">
        <v>222</v>
      </c>
      <c r="B12">
        <v>1</v>
      </c>
    </row>
    <row r="13" spans="1:2" x14ac:dyDescent="0.4">
      <c r="A13" t="s">
        <v>223</v>
      </c>
      <c r="B13">
        <v>6</v>
      </c>
    </row>
    <row r="14" spans="1:2" x14ac:dyDescent="0.4">
      <c r="A14" t="s">
        <v>271</v>
      </c>
      <c r="B14">
        <v>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6"/>
  <sheetViews>
    <sheetView showGridLines="0" zoomScale="130" zoomScaleNormal="13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60" t="s">
        <v>6</v>
      </c>
      <c r="C1" s="161"/>
      <c r="D1" s="160" t="s">
        <v>7</v>
      </c>
      <c r="E1" s="161"/>
      <c r="F1" s="160" t="s">
        <v>16</v>
      </c>
      <c r="G1" s="161"/>
      <c r="H1" s="160" t="s">
        <v>15</v>
      </c>
      <c r="I1" s="161"/>
      <c r="J1" s="160" t="s">
        <v>162</v>
      </c>
      <c r="K1" s="161"/>
      <c r="L1" s="160" t="s">
        <v>149</v>
      </c>
      <c r="M1" s="161"/>
      <c r="N1" s="160" t="s">
        <v>150</v>
      </c>
      <c r="O1" s="161"/>
      <c r="P1" s="160" t="s">
        <v>5</v>
      </c>
      <c r="Q1" s="161"/>
      <c r="R1" s="160" t="s">
        <v>17</v>
      </c>
      <c r="S1" s="161"/>
      <c r="T1" s="160" t="s">
        <v>18</v>
      </c>
      <c r="U1" s="161"/>
      <c r="V1" s="160" t="s">
        <v>141</v>
      </c>
      <c r="W1" s="161"/>
      <c r="X1" s="160" t="s">
        <v>123</v>
      </c>
      <c r="Y1" s="161"/>
      <c r="Z1" s="160" t="s">
        <v>120</v>
      </c>
      <c r="AA1" s="161"/>
      <c r="AB1" s="160" t="s">
        <v>126</v>
      </c>
      <c r="AC1" s="161"/>
      <c r="AD1" s="160" t="s">
        <v>151</v>
      </c>
      <c r="AE1" s="161"/>
      <c r="AF1" s="160" t="s">
        <v>144</v>
      </c>
      <c r="AG1" s="161"/>
      <c r="AH1" s="160" t="s">
        <v>153</v>
      </c>
      <c r="AI1" s="161"/>
    </row>
    <row r="2" spans="1:35" x14ac:dyDescent="0.4">
      <c r="A2" s="72" t="s">
        <v>161</v>
      </c>
      <c r="B2" s="162"/>
      <c r="C2" s="163"/>
      <c r="D2" s="162"/>
      <c r="E2" s="163"/>
      <c r="F2" s="164">
        <v>0.97540235187630853</v>
      </c>
      <c r="G2" s="165"/>
      <c r="H2" s="164">
        <v>0.51939638441578484</v>
      </c>
      <c r="I2" s="165"/>
      <c r="J2" s="164">
        <v>0.89925956950776098</v>
      </c>
      <c r="K2" s="165"/>
      <c r="L2" s="164">
        <v>0.70061358294320197</v>
      </c>
      <c r="M2" s="165"/>
      <c r="N2" s="164">
        <v>0.68302703323403458</v>
      </c>
      <c r="O2" s="165"/>
      <c r="P2" s="164">
        <v>0.20586368511216452</v>
      </c>
      <c r="Q2" s="165"/>
      <c r="R2" s="164">
        <v>0.5992417913797643</v>
      </c>
      <c r="S2" s="165"/>
      <c r="T2" s="164">
        <v>0.71450507518938489</v>
      </c>
      <c r="U2" s="165"/>
      <c r="V2" s="164">
        <v>0.6168719482560755</v>
      </c>
      <c r="W2" s="165"/>
      <c r="X2" s="164">
        <v>0.4592867097394428</v>
      </c>
      <c r="Y2" s="165"/>
      <c r="Z2" s="164">
        <v>0.14025245559786961</v>
      </c>
      <c r="AA2" s="165"/>
      <c r="AB2" s="164">
        <v>0.12575564819134039</v>
      </c>
      <c r="AC2" s="165"/>
      <c r="AD2" s="164">
        <v>0.71433675081855696</v>
      </c>
      <c r="AE2" s="165"/>
      <c r="AF2" s="164">
        <v>3.7926969058575205E-2</v>
      </c>
      <c r="AG2" s="165"/>
      <c r="AH2" s="164">
        <v>0.81672193117089575</v>
      </c>
      <c r="AI2" s="165"/>
    </row>
    <row r="3" spans="1:35" x14ac:dyDescent="0.4">
      <c r="A3" s="74">
        <v>1</v>
      </c>
      <c r="B3" s="75" t="s">
        <v>127</v>
      </c>
      <c r="C3" s="76">
        <v>1950.5000000000005</v>
      </c>
      <c r="D3" s="77" t="s">
        <v>183</v>
      </c>
      <c r="E3" s="96">
        <v>20.333333333333332</v>
      </c>
      <c r="F3" s="77" t="s">
        <v>183</v>
      </c>
      <c r="G3" s="78">
        <v>1.3333333333333333</v>
      </c>
      <c r="H3" s="77" t="s">
        <v>183</v>
      </c>
      <c r="I3" s="79">
        <v>0.66666666666666663</v>
      </c>
      <c r="J3" s="77" t="s">
        <v>183</v>
      </c>
      <c r="K3" s="79">
        <v>0</v>
      </c>
      <c r="L3" s="77" t="s">
        <v>200</v>
      </c>
      <c r="M3" s="80">
        <v>0.36585365853658536</v>
      </c>
      <c r="N3" s="77" t="s">
        <v>222</v>
      </c>
      <c r="O3" s="80">
        <v>7.6923076923076927E-2</v>
      </c>
      <c r="P3" s="77" t="s">
        <v>222</v>
      </c>
      <c r="Q3" s="81">
        <v>13800</v>
      </c>
      <c r="R3" s="77" t="s">
        <v>183</v>
      </c>
      <c r="S3" s="81">
        <v>-5150</v>
      </c>
      <c r="T3" s="77" t="s">
        <v>183</v>
      </c>
      <c r="U3" s="79">
        <v>0</v>
      </c>
      <c r="V3" s="77" t="s">
        <v>223</v>
      </c>
      <c r="W3" s="79">
        <v>0.33333333333333331</v>
      </c>
      <c r="X3" s="77" t="s">
        <v>127</v>
      </c>
      <c r="Y3" s="80">
        <v>0.31292008961911877</v>
      </c>
      <c r="Z3" s="77" t="s">
        <v>271</v>
      </c>
      <c r="AA3" s="80">
        <v>0.47619047619047616</v>
      </c>
      <c r="AB3" s="77" t="s">
        <v>271</v>
      </c>
      <c r="AC3" s="80">
        <v>1</v>
      </c>
      <c r="AD3" s="77" t="s">
        <v>223</v>
      </c>
      <c r="AE3" s="80">
        <v>0.52941176470588236</v>
      </c>
      <c r="AF3" s="77" t="s">
        <v>223</v>
      </c>
      <c r="AG3" s="80">
        <v>0.625</v>
      </c>
      <c r="AH3" s="77" t="s">
        <v>127</v>
      </c>
      <c r="AI3" s="91">
        <v>116000</v>
      </c>
    </row>
    <row r="4" spans="1:35" x14ac:dyDescent="0.4">
      <c r="A4" s="82">
        <v>2</v>
      </c>
      <c r="B4" s="83" t="s">
        <v>177</v>
      </c>
      <c r="C4" s="84">
        <v>193.39999999999998</v>
      </c>
      <c r="D4" s="85" t="s">
        <v>223</v>
      </c>
      <c r="E4" s="97">
        <v>16.733333333333331</v>
      </c>
      <c r="F4" s="85" t="s">
        <v>127</v>
      </c>
      <c r="G4" s="86">
        <v>1.7668711656441718</v>
      </c>
      <c r="H4" s="85" t="s">
        <v>223</v>
      </c>
      <c r="I4" s="87">
        <v>0.5</v>
      </c>
      <c r="J4" s="85" t="s">
        <v>222</v>
      </c>
      <c r="K4" s="87">
        <v>0</v>
      </c>
      <c r="L4" s="85" t="s">
        <v>223</v>
      </c>
      <c r="M4" s="88">
        <v>0.34782608695652173</v>
      </c>
      <c r="N4" s="85" t="s">
        <v>183</v>
      </c>
      <c r="O4" s="88">
        <v>0.10526315789473684</v>
      </c>
      <c r="P4" s="85" t="s">
        <v>223</v>
      </c>
      <c r="Q4" s="89">
        <v>12143.75</v>
      </c>
      <c r="R4" s="85" t="s">
        <v>271</v>
      </c>
      <c r="S4" s="89">
        <v>-6140</v>
      </c>
      <c r="T4" s="85" t="s">
        <v>222</v>
      </c>
      <c r="U4" s="87">
        <v>0</v>
      </c>
      <c r="V4" s="85" t="s">
        <v>127</v>
      </c>
      <c r="W4" s="87">
        <v>0.17791411042944785</v>
      </c>
      <c r="X4" s="85" t="s">
        <v>128</v>
      </c>
      <c r="Y4" s="88">
        <v>0.29936305732484075</v>
      </c>
      <c r="Z4" s="85" t="s">
        <v>223</v>
      </c>
      <c r="AA4" s="88">
        <v>0.36956521739130432</v>
      </c>
      <c r="AB4" s="85" t="s">
        <v>223</v>
      </c>
      <c r="AC4" s="88">
        <v>0.7142857142857143</v>
      </c>
      <c r="AD4" s="85" t="s">
        <v>127</v>
      </c>
      <c r="AE4" s="88">
        <v>0.52127659574468088</v>
      </c>
      <c r="AF4" s="85" t="s">
        <v>200</v>
      </c>
      <c r="AG4" s="88">
        <v>0.62222222222222223</v>
      </c>
      <c r="AH4" s="85" t="s">
        <v>145</v>
      </c>
      <c r="AI4" s="92">
        <v>116000</v>
      </c>
    </row>
    <row r="5" spans="1:35" x14ac:dyDescent="0.4">
      <c r="A5" s="82">
        <v>3</v>
      </c>
      <c r="B5" s="83" t="s">
        <v>223</v>
      </c>
      <c r="C5" s="84">
        <v>100.39999999999999</v>
      </c>
      <c r="D5" s="85" t="s">
        <v>222</v>
      </c>
      <c r="E5" s="97">
        <v>13.3</v>
      </c>
      <c r="F5" s="85" t="s">
        <v>223</v>
      </c>
      <c r="G5" s="86">
        <v>1.8333333333333333</v>
      </c>
      <c r="H5" s="85" t="s">
        <v>127</v>
      </c>
      <c r="I5" s="87">
        <v>0.47239263803680981</v>
      </c>
      <c r="J5" s="85" t="s">
        <v>200</v>
      </c>
      <c r="K5" s="87">
        <v>0.15384615384615385</v>
      </c>
      <c r="L5" s="85" t="s">
        <v>172</v>
      </c>
      <c r="M5" s="88">
        <v>0.34515688949522511</v>
      </c>
      <c r="N5" s="85" t="s">
        <v>223</v>
      </c>
      <c r="O5" s="88">
        <v>0.13043478260869565</v>
      </c>
      <c r="P5" s="85" t="s">
        <v>171</v>
      </c>
      <c r="Q5" s="89">
        <v>9990.7488986784138</v>
      </c>
      <c r="R5" s="85" t="s">
        <v>177</v>
      </c>
      <c r="S5" s="89">
        <v>-7161.2903225806449</v>
      </c>
      <c r="T5" s="85" t="s">
        <v>223</v>
      </c>
      <c r="U5" s="87">
        <v>0</v>
      </c>
      <c r="V5" s="85" t="s">
        <v>171</v>
      </c>
      <c r="W5" s="87">
        <v>0.14583333333333334</v>
      </c>
      <c r="X5" s="85" t="s">
        <v>177</v>
      </c>
      <c r="Y5" s="88">
        <v>0.29402515723270439</v>
      </c>
      <c r="Z5" s="85" t="s">
        <v>200</v>
      </c>
      <c r="AA5" s="88">
        <v>0.32520325203252032</v>
      </c>
      <c r="AB5" s="85" t="s">
        <v>200</v>
      </c>
      <c r="AC5" s="88">
        <v>0.68965517241379315</v>
      </c>
      <c r="AD5" s="85" t="s">
        <v>183</v>
      </c>
      <c r="AE5" s="88">
        <v>0.5</v>
      </c>
      <c r="AF5" s="85" t="s">
        <v>173</v>
      </c>
      <c r="AG5" s="88">
        <v>0.50819672131147542</v>
      </c>
      <c r="AH5" s="85" t="s">
        <v>128</v>
      </c>
      <c r="AI5" s="92">
        <v>107600</v>
      </c>
    </row>
    <row r="6" spans="1:35" x14ac:dyDescent="0.4">
      <c r="A6" s="82">
        <v>4</v>
      </c>
      <c r="B6" s="83" t="s">
        <v>200</v>
      </c>
      <c r="C6" s="84">
        <v>83.299999999999983</v>
      </c>
      <c r="D6" s="85" t="s">
        <v>127</v>
      </c>
      <c r="E6" s="97">
        <v>11.966257668711659</v>
      </c>
      <c r="F6" s="85" t="s">
        <v>200</v>
      </c>
      <c r="G6" s="86">
        <v>1.8461538461538463</v>
      </c>
      <c r="H6" s="85" t="s">
        <v>184</v>
      </c>
      <c r="I6" s="87">
        <v>0.36363636363636365</v>
      </c>
      <c r="J6" s="85" t="s">
        <v>127</v>
      </c>
      <c r="K6" s="87">
        <v>0.2392638036809816</v>
      </c>
      <c r="L6" s="85" t="s">
        <v>127</v>
      </c>
      <c r="M6" s="88">
        <v>0.34055265123226286</v>
      </c>
      <c r="N6" s="85" t="s">
        <v>172</v>
      </c>
      <c r="O6" s="88">
        <v>0.13642564802182811</v>
      </c>
      <c r="P6" s="85" t="s">
        <v>127</v>
      </c>
      <c r="Q6" s="89">
        <v>9309.4298245614027</v>
      </c>
      <c r="R6" s="85" t="s">
        <v>128</v>
      </c>
      <c r="S6" s="89">
        <v>-7700.5263157894733</v>
      </c>
      <c r="T6" s="85" t="s">
        <v>271</v>
      </c>
      <c r="U6" s="87">
        <v>0</v>
      </c>
      <c r="V6" s="85" t="s">
        <v>177</v>
      </c>
      <c r="W6" s="87">
        <v>0.12820512820512819</v>
      </c>
      <c r="X6" s="85" t="s">
        <v>171</v>
      </c>
      <c r="Y6" s="88">
        <v>0.2908863920099875</v>
      </c>
      <c r="Z6" s="85" t="s">
        <v>172</v>
      </c>
      <c r="AA6" s="88">
        <v>0.29195088676671216</v>
      </c>
      <c r="AB6" s="85" t="s">
        <v>184</v>
      </c>
      <c r="AC6" s="88">
        <v>0.65789473684210531</v>
      </c>
      <c r="AD6" s="85" t="s">
        <v>200</v>
      </c>
      <c r="AE6" s="88">
        <v>0.45</v>
      </c>
      <c r="AF6" s="85" t="s">
        <v>222</v>
      </c>
      <c r="AG6" s="88">
        <v>0.5</v>
      </c>
      <c r="AH6" s="85" t="s">
        <v>200</v>
      </c>
      <c r="AI6" s="92">
        <v>106300</v>
      </c>
    </row>
    <row r="7" spans="1:35" x14ac:dyDescent="0.4">
      <c r="A7" s="82">
        <v>5</v>
      </c>
      <c r="B7" s="83" t="s">
        <v>183</v>
      </c>
      <c r="C7" s="84">
        <v>61</v>
      </c>
      <c r="D7" s="85" t="s">
        <v>200</v>
      </c>
      <c r="E7" s="97">
        <v>6.4076923076923062</v>
      </c>
      <c r="F7" s="85" t="s">
        <v>177</v>
      </c>
      <c r="G7" s="86">
        <v>1.9358974358974359</v>
      </c>
      <c r="H7" s="85" t="s">
        <v>177</v>
      </c>
      <c r="I7" s="87">
        <v>0.35897435897435898</v>
      </c>
      <c r="J7" s="85" t="s">
        <v>177</v>
      </c>
      <c r="K7" s="87">
        <v>0.29487179487179488</v>
      </c>
      <c r="L7" s="85" t="s">
        <v>145</v>
      </c>
      <c r="M7" s="88">
        <v>0.29879019420566699</v>
      </c>
      <c r="N7" s="85" t="s">
        <v>177</v>
      </c>
      <c r="O7" s="88">
        <v>0.14622641509433962</v>
      </c>
      <c r="P7" s="85" t="s">
        <v>128</v>
      </c>
      <c r="Q7" s="89">
        <v>9292.9292929292933</v>
      </c>
      <c r="R7" s="85" t="s">
        <v>200</v>
      </c>
      <c r="S7" s="89">
        <v>-8071.4285714285716</v>
      </c>
      <c r="T7" s="85" t="s">
        <v>172</v>
      </c>
      <c r="U7" s="87">
        <v>5.7471264367816091E-2</v>
      </c>
      <c r="V7" s="85" t="s">
        <v>145</v>
      </c>
      <c r="W7" s="87">
        <v>0.12433862433862433</v>
      </c>
      <c r="X7" s="85" t="s">
        <v>145</v>
      </c>
      <c r="Y7" s="88">
        <v>0.27602674307545366</v>
      </c>
      <c r="Z7" s="85" t="s">
        <v>173</v>
      </c>
      <c r="AA7" s="88">
        <v>0.25301204819277107</v>
      </c>
      <c r="AB7" s="85" t="s">
        <v>177</v>
      </c>
      <c r="AC7" s="88">
        <v>0.60962566844919786</v>
      </c>
      <c r="AD7" s="85" t="s">
        <v>172</v>
      </c>
      <c r="AE7" s="88">
        <v>0.42523364485981308</v>
      </c>
      <c r="AF7" s="85" t="s">
        <v>184</v>
      </c>
      <c r="AG7" s="88">
        <v>0.47826086956521741</v>
      </c>
      <c r="AH7" s="85" t="s">
        <v>177</v>
      </c>
      <c r="AI7" s="92">
        <v>103000</v>
      </c>
    </row>
    <row r="8" spans="1:35" x14ac:dyDescent="0.4">
      <c r="A8" s="82">
        <v>6</v>
      </c>
      <c r="B8" s="83" t="s">
        <v>222</v>
      </c>
      <c r="C8" s="84">
        <v>13.3</v>
      </c>
      <c r="D8" s="85" t="s">
        <v>177</v>
      </c>
      <c r="E8" s="97">
        <v>2.4794871794871791</v>
      </c>
      <c r="F8" s="85" t="s">
        <v>145</v>
      </c>
      <c r="G8" s="86">
        <v>2</v>
      </c>
      <c r="H8" s="85" t="s">
        <v>145</v>
      </c>
      <c r="I8" s="87">
        <v>0.33333333333333331</v>
      </c>
      <c r="J8" s="85" t="s">
        <v>172</v>
      </c>
      <c r="K8" s="87">
        <v>0.2988505747126437</v>
      </c>
      <c r="L8" s="85" t="s">
        <v>173</v>
      </c>
      <c r="M8" s="88">
        <v>0.29397590361445786</v>
      </c>
      <c r="N8" s="85" t="s">
        <v>127</v>
      </c>
      <c r="O8" s="88">
        <v>0.1530993278566094</v>
      </c>
      <c r="P8" s="85" t="s">
        <v>177</v>
      </c>
      <c r="Q8" s="89">
        <v>8916.5745856353587</v>
      </c>
      <c r="R8" s="85" t="s">
        <v>127</v>
      </c>
      <c r="S8" s="89">
        <v>-8267.3170731707323</v>
      </c>
      <c r="T8" s="85" t="s">
        <v>200</v>
      </c>
      <c r="U8" s="87">
        <v>7.6923076923076927E-2</v>
      </c>
      <c r="V8" s="85" t="s">
        <v>128</v>
      </c>
      <c r="W8" s="87">
        <v>0.1044776119402985</v>
      </c>
      <c r="X8" s="85" t="s">
        <v>129</v>
      </c>
      <c r="Y8" s="88">
        <v>0.26949541284403672</v>
      </c>
      <c r="Z8" s="85" t="s">
        <v>184</v>
      </c>
      <c r="AA8" s="88">
        <v>0.24848484848484848</v>
      </c>
      <c r="AB8" s="85" t="s">
        <v>183</v>
      </c>
      <c r="AC8" s="88">
        <v>0.6</v>
      </c>
      <c r="AD8" s="85" t="s">
        <v>171</v>
      </c>
      <c r="AE8" s="88">
        <v>0.41025641025641024</v>
      </c>
      <c r="AF8" s="85" t="s">
        <v>129</v>
      </c>
      <c r="AG8" s="88">
        <v>0.452914798206278</v>
      </c>
      <c r="AH8" s="85" t="s">
        <v>172</v>
      </c>
      <c r="AI8" s="92">
        <v>97500</v>
      </c>
    </row>
    <row r="9" spans="1:35" x14ac:dyDescent="0.4">
      <c r="A9" s="82">
        <v>7</v>
      </c>
      <c r="B9" s="83" t="s">
        <v>145</v>
      </c>
      <c r="C9" s="84">
        <v>7.1054273576010019E-15</v>
      </c>
      <c r="D9" s="85" t="s">
        <v>145</v>
      </c>
      <c r="E9" s="97">
        <v>9.3987134359801607E-18</v>
      </c>
      <c r="F9" s="85" t="s">
        <v>222</v>
      </c>
      <c r="G9" s="86">
        <v>2</v>
      </c>
      <c r="H9" s="85" t="s">
        <v>200</v>
      </c>
      <c r="I9" s="87">
        <v>0.30769230769230771</v>
      </c>
      <c r="J9" s="85" t="s">
        <v>145</v>
      </c>
      <c r="K9" s="87">
        <v>0.33333333333333331</v>
      </c>
      <c r="L9" s="85" t="s">
        <v>177</v>
      </c>
      <c r="M9" s="88">
        <v>0.28459119496855345</v>
      </c>
      <c r="N9" s="85" t="s">
        <v>145</v>
      </c>
      <c r="O9" s="88">
        <v>0.16634829672078955</v>
      </c>
      <c r="P9" s="85" t="s">
        <v>129</v>
      </c>
      <c r="Q9" s="89">
        <v>8813.4529147982066</v>
      </c>
      <c r="R9" s="85" t="s">
        <v>173</v>
      </c>
      <c r="S9" s="89">
        <v>-8290.9090909090901</v>
      </c>
      <c r="T9" s="85" t="s">
        <v>127</v>
      </c>
      <c r="U9" s="87">
        <v>9.202453987730061E-2</v>
      </c>
      <c r="V9" s="85" t="s">
        <v>172</v>
      </c>
      <c r="W9" s="87">
        <v>0.10344827586206896</v>
      </c>
      <c r="X9" s="85" t="s">
        <v>183</v>
      </c>
      <c r="Y9" s="88">
        <v>0.26315789473684209</v>
      </c>
      <c r="Z9" s="85" t="s">
        <v>145</v>
      </c>
      <c r="AA9" s="88">
        <v>0.21155682903533907</v>
      </c>
      <c r="AB9" s="85" t="s">
        <v>173</v>
      </c>
      <c r="AC9" s="88">
        <v>0.59782608695652173</v>
      </c>
      <c r="AD9" s="85" t="s">
        <v>145</v>
      </c>
      <c r="AE9" s="88">
        <v>0.39277652370203159</v>
      </c>
      <c r="AF9" s="85" t="s">
        <v>177</v>
      </c>
      <c r="AG9" s="88">
        <v>0.43646408839779005</v>
      </c>
      <c r="AH9" s="85" t="s">
        <v>129</v>
      </c>
      <c r="AI9" s="92">
        <v>96900</v>
      </c>
    </row>
    <row r="10" spans="1:35" x14ac:dyDescent="0.4">
      <c r="A10" s="82">
        <v>8</v>
      </c>
      <c r="B10" s="83" t="s">
        <v>171</v>
      </c>
      <c r="C10" s="84">
        <v>-48.599999999999987</v>
      </c>
      <c r="D10" s="85" t="s">
        <v>171</v>
      </c>
      <c r="E10" s="97">
        <v>-0.50624999999999987</v>
      </c>
      <c r="F10" s="85" t="s">
        <v>172</v>
      </c>
      <c r="G10" s="86">
        <v>2.0459770114942528</v>
      </c>
      <c r="H10" s="85" t="s">
        <v>171</v>
      </c>
      <c r="I10" s="87">
        <v>0.30208333333333331</v>
      </c>
      <c r="J10" s="85" t="s">
        <v>223</v>
      </c>
      <c r="K10" s="87">
        <v>0.33333333333333331</v>
      </c>
      <c r="L10" s="85" t="s">
        <v>171</v>
      </c>
      <c r="M10" s="88">
        <v>0.28339575530586769</v>
      </c>
      <c r="N10" s="85" t="s">
        <v>200</v>
      </c>
      <c r="O10" s="88">
        <v>0.17073170731707318</v>
      </c>
      <c r="P10" s="85" t="s">
        <v>145</v>
      </c>
      <c r="Q10" s="89">
        <v>8779.5950985615345</v>
      </c>
      <c r="R10" s="85" t="s">
        <v>145</v>
      </c>
      <c r="S10" s="89">
        <v>-8327.0813397129186</v>
      </c>
      <c r="T10" s="85" t="s">
        <v>171</v>
      </c>
      <c r="U10" s="87">
        <v>0.11458333333333333</v>
      </c>
      <c r="V10" s="85" t="s">
        <v>129</v>
      </c>
      <c r="W10" s="87">
        <v>9.7087378640776698E-2</v>
      </c>
      <c r="X10" s="85" t="s">
        <v>200</v>
      </c>
      <c r="Y10" s="88">
        <v>0.23577235772357724</v>
      </c>
      <c r="Z10" s="85" t="s">
        <v>127</v>
      </c>
      <c r="AA10" s="88">
        <v>0.210604929051531</v>
      </c>
      <c r="AB10" s="85" t="s">
        <v>128</v>
      </c>
      <c r="AC10" s="88">
        <v>0.59270516717325228</v>
      </c>
      <c r="AD10" s="85" t="s">
        <v>184</v>
      </c>
      <c r="AE10" s="88">
        <v>0.3902439024390244</v>
      </c>
      <c r="AF10" s="85" t="s">
        <v>145</v>
      </c>
      <c r="AG10" s="88">
        <v>0.43526904635055941</v>
      </c>
      <c r="AH10" s="85" t="s">
        <v>171</v>
      </c>
      <c r="AI10" s="92">
        <v>96000</v>
      </c>
    </row>
    <row r="11" spans="1:35" x14ac:dyDescent="0.4">
      <c r="A11" s="82">
        <v>9</v>
      </c>
      <c r="B11" s="83" t="s">
        <v>271</v>
      </c>
      <c r="C11" s="84">
        <v>-96.5</v>
      </c>
      <c r="D11" s="85" t="s">
        <v>172</v>
      </c>
      <c r="E11" s="97">
        <v>-1.3632183908045981</v>
      </c>
      <c r="F11" s="85" t="s">
        <v>171</v>
      </c>
      <c r="G11" s="86">
        <v>2.0520833333333335</v>
      </c>
      <c r="H11" s="85" t="s">
        <v>173</v>
      </c>
      <c r="I11" s="87">
        <v>0.29166666666666669</v>
      </c>
      <c r="J11" s="85" t="s">
        <v>128</v>
      </c>
      <c r="K11" s="87">
        <v>0.34328358208955223</v>
      </c>
      <c r="L11" s="85" t="s">
        <v>184</v>
      </c>
      <c r="M11" s="88">
        <v>0.27878787878787881</v>
      </c>
      <c r="N11" s="85" t="s">
        <v>128</v>
      </c>
      <c r="O11" s="88">
        <v>0.17288444040036396</v>
      </c>
      <c r="P11" s="85" t="s">
        <v>184</v>
      </c>
      <c r="Q11" s="89">
        <v>8621.7391304347821</v>
      </c>
      <c r="R11" s="85" t="s">
        <v>171</v>
      </c>
      <c r="S11" s="89">
        <v>-8548.9510489510485</v>
      </c>
      <c r="T11" s="85" t="s">
        <v>145</v>
      </c>
      <c r="U11" s="87">
        <v>0.12433862433862433</v>
      </c>
      <c r="V11" s="85" t="s">
        <v>184</v>
      </c>
      <c r="W11" s="87">
        <v>9.0909090909090912E-2</v>
      </c>
      <c r="X11" s="85" t="s">
        <v>222</v>
      </c>
      <c r="Y11" s="88">
        <v>0.23076923076923078</v>
      </c>
      <c r="Z11" s="85" t="s">
        <v>183</v>
      </c>
      <c r="AA11" s="88">
        <v>0.21052631578947367</v>
      </c>
      <c r="AB11" s="85" t="s">
        <v>145</v>
      </c>
      <c r="AC11" s="88">
        <v>0.57785467128027679</v>
      </c>
      <c r="AD11" s="85" t="s">
        <v>177</v>
      </c>
      <c r="AE11" s="88">
        <v>0.33628318584070799</v>
      </c>
      <c r="AF11" s="85" t="s">
        <v>128</v>
      </c>
      <c r="AG11" s="88">
        <v>0.42760942760942761</v>
      </c>
      <c r="AH11" s="85" t="s">
        <v>223</v>
      </c>
      <c r="AI11" s="92">
        <v>92100</v>
      </c>
    </row>
    <row r="12" spans="1:35" x14ac:dyDescent="0.4">
      <c r="A12" s="82">
        <v>10</v>
      </c>
      <c r="B12" s="83" t="s">
        <v>172</v>
      </c>
      <c r="C12" s="84">
        <v>-118.60000000000004</v>
      </c>
      <c r="D12" s="85" t="s">
        <v>128</v>
      </c>
      <c r="E12" s="97">
        <v>-2.5462686567164177</v>
      </c>
      <c r="F12" s="85" t="s">
        <v>128</v>
      </c>
      <c r="G12" s="86">
        <v>2.0746268656716418</v>
      </c>
      <c r="H12" s="85" t="s">
        <v>129</v>
      </c>
      <c r="I12" s="87">
        <v>0.28155339805825241</v>
      </c>
      <c r="J12" s="85" t="s">
        <v>171</v>
      </c>
      <c r="K12" s="87">
        <v>0.35416666666666669</v>
      </c>
      <c r="L12" s="85" t="s">
        <v>128</v>
      </c>
      <c r="M12" s="88">
        <v>0.27024567788899001</v>
      </c>
      <c r="N12" s="85" t="s">
        <v>171</v>
      </c>
      <c r="O12" s="88">
        <v>0.17852684144818975</v>
      </c>
      <c r="P12" s="85" t="s">
        <v>200</v>
      </c>
      <c r="Q12" s="89">
        <v>7880</v>
      </c>
      <c r="R12" s="85" t="s">
        <v>172</v>
      </c>
      <c r="S12" s="89">
        <v>-8632</v>
      </c>
      <c r="T12" s="85" t="s">
        <v>128</v>
      </c>
      <c r="U12" s="87">
        <v>0.13432835820895522</v>
      </c>
      <c r="V12" s="85" t="s">
        <v>200</v>
      </c>
      <c r="W12" s="87">
        <v>7.6923076923076927E-2</v>
      </c>
      <c r="X12" s="85" t="s">
        <v>184</v>
      </c>
      <c r="Y12" s="88">
        <v>0.23030303030303031</v>
      </c>
      <c r="Z12" s="85" t="s">
        <v>171</v>
      </c>
      <c r="AA12" s="88">
        <v>0.19475655430711611</v>
      </c>
      <c r="AB12" s="85" t="s">
        <v>127</v>
      </c>
      <c r="AC12" s="88">
        <v>0.57279236276849643</v>
      </c>
      <c r="AD12" s="85" t="s">
        <v>173</v>
      </c>
      <c r="AE12" s="88">
        <v>0.33333333333333331</v>
      </c>
      <c r="AF12" s="85" t="s">
        <v>127</v>
      </c>
      <c r="AG12" s="88">
        <v>0.41885964912280704</v>
      </c>
      <c r="AH12" s="85" t="s">
        <v>184</v>
      </c>
      <c r="AI12" s="92">
        <v>92000</v>
      </c>
    </row>
    <row r="13" spans="1:35" x14ac:dyDescent="0.4">
      <c r="A13" s="82">
        <v>11</v>
      </c>
      <c r="B13" s="83" t="s">
        <v>184</v>
      </c>
      <c r="C13" s="84">
        <v>-264.39999999999998</v>
      </c>
      <c r="D13" s="85" t="s">
        <v>173</v>
      </c>
      <c r="E13" s="97">
        <v>-8.0770833333333325</v>
      </c>
      <c r="F13" s="85" t="s">
        <v>173</v>
      </c>
      <c r="G13" s="86">
        <v>2.1041666666666665</v>
      </c>
      <c r="H13" s="85" t="s">
        <v>128</v>
      </c>
      <c r="I13" s="87">
        <v>0.26865671641791045</v>
      </c>
      <c r="J13" s="85" t="s">
        <v>173</v>
      </c>
      <c r="K13" s="87">
        <v>0.39583333333333331</v>
      </c>
      <c r="L13" s="85" t="s">
        <v>183</v>
      </c>
      <c r="M13" s="88">
        <v>0.26315789473684209</v>
      </c>
      <c r="N13" s="85" t="s">
        <v>173</v>
      </c>
      <c r="O13" s="88">
        <v>0.1855421686746988</v>
      </c>
      <c r="P13" s="85" t="s">
        <v>183</v>
      </c>
      <c r="Q13" s="89">
        <v>7860</v>
      </c>
      <c r="R13" s="85" t="s">
        <v>129</v>
      </c>
      <c r="S13" s="89">
        <v>-9095.0920245398775</v>
      </c>
      <c r="T13" s="85" t="s">
        <v>177</v>
      </c>
      <c r="U13" s="87">
        <v>0.14102564102564102</v>
      </c>
      <c r="V13" s="85" t="s">
        <v>173</v>
      </c>
      <c r="W13" s="87">
        <v>6.25E-2</v>
      </c>
      <c r="X13" s="85" t="s">
        <v>173</v>
      </c>
      <c r="Y13" s="88">
        <v>0.22168674698795179</v>
      </c>
      <c r="Z13" s="85" t="s">
        <v>177</v>
      </c>
      <c r="AA13" s="88">
        <v>0.17767295597484276</v>
      </c>
      <c r="AB13" s="85" t="s">
        <v>171</v>
      </c>
      <c r="AC13" s="88">
        <v>0.5622317596566524</v>
      </c>
      <c r="AD13" s="85" t="s">
        <v>128</v>
      </c>
      <c r="AE13" s="88">
        <v>0.29533678756476683</v>
      </c>
      <c r="AF13" s="85" t="s">
        <v>171</v>
      </c>
      <c r="AG13" s="88">
        <v>0.40528634361233479</v>
      </c>
      <c r="AH13" s="85" t="s">
        <v>173</v>
      </c>
      <c r="AI13" s="92">
        <v>85900</v>
      </c>
    </row>
    <row r="14" spans="1:35" x14ac:dyDescent="0.4">
      <c r="A14" s="82">
        <v>12</v>
      </c>
      <c r="B14" s="83" t="s">
        <v>128</v>
      </c>
      <c r="C14" s="84">
        <v>-341.2</v>
      </c>
      <c r="D14" s="85" t="s">
        <v>129</v>
      </c>
      <c r="E14" s="97">
        <v>-11.115533980582525</v>
      </c>
      <c r="F14" s="85" t="s">
        <v>129</v>
      </c>
      <c r="G14" s="86">
        <v>2.174757281553398</v>
      </c>
      <c r="H14" s="85" t="s">
        <v>172</v>
      </c>
      <c r="I14" s="87">
        <v>0.25287356321839083</v>
      </c>
      <c r="J14" s="85" t="s">
        <v>129</v>
      </c>
      <c r="K14" s="87">
        <v>0.4563106796116505</v>
      </c>
      <c r="L14" s="85" t="s">
        <v>129</v>
      </c>
      <c r="M14" s="88">
        <v>0.25573394495412843</v>
      </c>
      <c r="N14" s="85" t="s">
        <v>129</v>
      </c>
      <c r="O14" s="88">
        <v>0.18692660550458715</v>
      </c>
      <c r="P14" s="85" t="s">
        <v>173</v>
      </c>
      <c r="Q14" s="89">
        <v>6954.0983606557375</v>
      </c>
      <c r="R14" s="85" t="s">
        <v>184</v>
      </c>
      <c r="S14" s="89">
        <v>-9879.4871794871797</v>
      </c>
      <c r="T14" s="85" t="s">
        <v>173</v>
      </c>
      <c r="U14" s="87">
        <v>0.14583333333333334</v>
      </c>
      <c r="V14" s="85" t="s">
        <v>183</v>
      </c>
      <c r="W14" s="87">
        <v>0</v>
      </c>
      <c r="X14" s="85" t="s">
        <v>172</v>
      </c>
      <c r="Y14" s="88">
        <v>0.21282401091405184</v>
      </c>
      <c r="Z14" s="85" t="s">
        <v>128</v>
      </c>
      <c r="AA14" s="88">
        <v>0.17561419472247497</v>
      </c>
      <c r="AB14" s="85" t="s">
        <v>172</v>
      </c>
      <c r="AC14" s="88">
        <v>0.55769230769230771</v>
      </c>
      <c r="AD14" s="85" t="s">
        <v>129</v>
      </c>
      <c r="AE14" s="88">
        <v>0.28104575163398693</v>
      </c>
      <c r="AF14" s="85" t="s">
        <v>172</v>
      </c>
      <c r="AG14" s="88">
        <v>0.40316205533596838</v>
      </c>
      <c r="AH14" s="85" t="s">
        <v>183</v>
      </c>
      <c r="AI14" s="92">
        <v>53500</v>
      </c>
    </row>
    <row r="15" spans="1:35" x14ac:dyDescent="0.4">
      <c r="A15" s="82">
        <v>13</v>
      </c>
      <c r="B15" s="83" t="s">
        <v>173</v>
      </c>
      <c r="C15" s="84">
        <v>-387.7</v>
      </c>
      <c r="D15" s="85" t="s">
        <v>184</v>
      </c>
      <c r="E15" s="97">
        <v>-12.018181818181818</v>
      </c>
      <c r="F15" s="85" t="s">
        <v>184</v>
      </c>
      <c r="G15" s="86">
        <v>2.1818181818181817</v>
      </c>
      <c r="H15" s="85" t="s">
        <v>222</v>
      </c>
      <c r="I15" s="87">
        <v>0</v>
      </c>
      <c r="J15" s="85" t="s">
        <v>184</v>
      </c>
      <c r="K15" s="87">
        <v>0.54545454545454541</v>
      </c>
      <c r="L15" s="85" t="s">
        <v>271</v>
      </c>
      <c r="M15" s="88">
        <v>0.19047619047619047</v>
      </c>
      <c r="N15" s="85" t="s">
        <v>184</v>
      </c>
      <c r="O15" s="88">
        <v>0.23636363636363636</v>
      </c>
      <c r="P15" s="85" t="s">
        <v>172</v>
      </c>
      <c r="Q15" s="89">
        <v>6910.276679841897</v>
      </c>
      <c r="R15" s="85" t="s">
        <v>223</v>
      </c>
      <c r="S15" s="89">
        <v>-10583.333333333334</v>
      </c>
      <c r="T15" s="85" t="s">
        <v>129</v>
      </c>
      <c r="U15" s="87">
        <v>0.18446601941747573</v>
      </c>
      <c r="V15" s="85" t="s">
        <v>222</v>
      </c>
      <c r="W15" s="87">
        <v>0</v>
      </c>
      <c r="X15" s="85" t="s">
        <v>223</v>
      </c>
      <c r="Y15" s="88">
        <v>0.15217391304347827</v>
      </c>
      <c r="Z15" s="85" t="s">
        <v>129</v>
      </c>
      <c r="AA15" s="88">
        <v>0.17545871559633028</v>
      </c>
      <c r="AB15" s="85" t="s">
        <v>129</v>
      </c>
      <c r="AC15" s="88">
        <v>0.53191489361702127</v>
      </c>
      <c r="AD15" s="85" t="s">
        <v>271</v>
      </c>
      <c r="AE15" s="88">
        <v>0.2</v>
      </c>
      <c r="AF15" s="85" t="s">
        <v>271</v>
      </c>
      <c r="AG15" s="88">
        <v>0.25</v>
      </c>
      <c r="AH15" s="85" t="s">
        <v>222</v>
      </c>
      <c r="AI15" s="92">
        <v>48300</v>
      </c>
    </row>
    <row r="16" spans="1:35" x14ac:dyDescent="0.4">
      <c r="A16" s="82">
        <v>14</v>
      </c>
      <c r="B16" s="83" t="s">
        <v>129</v>
      </c>
      <c r="C16" s="84">
        <v>-1144.9000000000001</v>
      </c>
      <c r="D16" s="85" t="s">
        <v>271</v>
      </c>
      <c r="E16" s="97">
        <v>-48.25</v>
      </c>
      <c r="F16" s="85" t="s">
        <v>271</v>
      </c>
      <c r="G16" s="86">
        <v>3</v>
      </c>
      <c r="H16" s="85" t="s">
        <v>271</v>
      </c>
      <c r="I16" s="87">
        <v>0</v>
      </c>
      <c r="J16" s="85" t="s">
        <v>271</v>
      </c>
      <c r="K16" s="87">
        <v>1</v>
      </c>
      <c r="L16" s="85" t="s">
        <v>222</v>
      </c>
      <c r="M16" s="88">
        <v>0.15384615384615385</v>
      </c>
      <c r="N16" s="85" t="s">
        <v>271</v>
      </c>
      <c r="O16" s="88">
        <v>0.23809523809523808</v>
      </c>
      <c r="P16" s="85" t="s">
        <v>271</v>
      </c>
      <c r="Q16" s="89">
        <v>4475</v>
      </c>
      <c r="R16" s="85" t="s">
        <v>222</v>
      </c>
      <c r="S16" s="89">
        <v>-12000</v>
      </c>
      <c r="T16" s="85" t="s">
        <v>184</v>
      </c>
      <c r="U16" s="87">
        <v>0.31818181818181818</v>
      </c>
      <c r="V16" s="85" t="s">
        <v>271</v>
      </c>
      <c r="W16" s="87">
        <v>0</v>
      </c>
      <c r="X16" s="85" t="s">
        <v>271</v>
      </c>
      <c r="Y16" s="88">
        <v>4.7619047619047616E-2</v>
      </c>
      <c r="Z16" s="85" t="s">
        <v>222</v>
      </c>
      <c r="AA16" s="88">
        <v>7.6923076923076927E-2</v>
      </c>
      <c r="AB16" s="85" t="s">
        <v>222</v>
      </c>
      <c r="AC16" s="88">
        <v>0.33333333333333331</v>
      </c>
      <c r="AD16" s="85" t="s">
        <v>222</v>
      </c>
      <c r="AE16" s="88">
        <v>0</v>
      </c>
      <c r="AF16" s="85" t="s">
        <v>183</v>
      </c>
      <c r="AG16" s="88">
        <v>0.2</v>
      </c>
      <c r="AH16" s="85" t="s">
        <v>271</v>
      </c>
      <c r="AI16" s="92">
        <v>11800</v>
      </c>
    </row>
  </sheetData>
  <sortState ref="AH3:AI47">
    <sortCondition descending="1" ref="AI1"/>
  </sortState>
  <mergeCells count="34"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  <mergeCell ref="B2:C2"/>
    <mergeCell ref="D2:E2"/>
    <mergeCell ref="F2:G2"/>
    <mergeCell ref="H2:I2"/>
    <mergeCell ref="L2:M2"/>
    <mergeCell ref="J2:K2"/>
    <mergeCell ref="B1:C1"/>
    <mergeCell ref="D1:E1"/>
    <mergeCell ref="F1:G1"/>
    <mergeCell ref="H1:I1"/>
    <mergeCell ref="L1:M1"/>
    <mergeCell ref="J1:K1"/>
    <mergeCell ref="AF1:AG1"/>
    <mergeCell ref="V1:W1"/>
    <mergeCell ref="X1:Y1"/>
    <mergeCell ref="Z1:AA1"/>
    <mergeCell ref="AB1:AC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15E0CA-51F0-457A-9F37-87D93EFF67A2}">
  <sheetPr codeName="Sheet4"/>
  <dimension ref="A1:Q758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145</v>
      </c>
      <c r="C1" s="151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2">
        <v>756</v>
      </c>
      <c r="C2" s="153"/>
      <c r="E2" s="62" t="s">
        <v>67</v>
      </c>
      <c r="F2" s="59" t="s">
        <v>23</v>
      </c>
      <c r="G2" s="46">
        <v>1369</v>
      </c>
      <c r="H2" s="132">
        <f>IF(B$17=0,0,G2/B$17)</f>
        <v>0.72935535428875864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-17.195767195767196</v>
      </c>
      <c r="P2" s="118">
        <v>756</v>
      </c>
      <c r="Q2" s="102">
        <v>-13000</v>
      </c>
    </row>
    <row r="3" spans="1:17" x14ac:dyDescent="0.4">
      <c r="A3" s="55" t="s">
        <v>8</v>
      </c>
      <c r="B3" s="154">
        <v>6282</v>
      </c>
      <c r="C3" s="155"/>
      <c r="E3" s="63" t="s">
        <v>73</v>
      </c>
      <c r="F3" s="60" t="s">
        <v>28</v>
      </c>
      <c r="G3" s="47">
        <v>962</v>
      </c>
      <c r="H3" s="133">
        <f>IF(B$17=0,0,G3/B$17)</f>
        <v>0.51251997868939803</v>
      </c>
      <c r="I3" s="94">
        <v>10</v>
      </c>
      <c r="K3" s="38">
        <v>1</v>
      </c>
      <c r="L3" s="99">
        <v>-5.0999999999999996</v>
      </c>
      <c r="N3" s="115" t="s">
        <v>133</v>
      </c>
      <c r="O3" s="122">
        <f t="shared" si="0"/>
        <v>-4.048582995951417</v>
      </c>
      <c r="P3" s="119">
        <v>741</v>
      </c>
      <c r="Q3" s="103">
        <v>-3000</v>
      </c>
    </row>
    <row r="4" spans="1:17" x14ac:dyDescent="0.4">
      <c r="A4" s="55" t="s">
        <v>6</v>
      </c>
      <c r="B4" s="156">
        <v>7.1054273576010019E-15</v>
      </c>
      <c r="C4" s="157"/>
      <c r="E4" s="63" t="s">
        <v>65</v>
      </c>
      <c r="F4" s="60" t="s">
        <v>21</v>
      </c>
      <c r="G4" s="47">
        <v>958</v>
      </c>
      <c r="H4" s="133">
        <f>IF(B$17=0,0,G4/B$17)</f>
        <v>0.51038891848694723</v>
      </c>
      <c r="I4" s="94">
        <v>7</v>
      </c>
      <c r="K4" s="38">
        <v>2</v>
      </c>
      <c r="L4" s="99">
        <v>40.4</v>
      </c>
      <c r="N4" s="115" t="s">
        <v>134</v>
      </c>
      <c r="O4" s="122">
        <f t="shared" si="0"/>
        <v>10.189228529839884</v>
      </c>
      <c r="P4" s="119">
        <v>687</v>
      </c>
      <c r="Q4" s="103">
        <v>7000</v>
      </c>
    </row>
    <row r="5" spans="1:17" x14ac:dyDescent="0.4">
      <c r="A5" s="55" t="s">
        <v>7</v>
      </c>
      <c r="B5" s="158">
        <f>IF(B$2=0,0,B$4/B$2)</f>
        <v>9.3987134359801607E-18</v>
      </c>
      <c r="C5" s="159"/>
      <c r="E5" s="63" t="s">
        <v>245</v>
      </c>
      <c r="F5" s="60" t="s">
        <v>246</v>
      </c>
      <c r="G5" s="47">
        <v>780</v>
      </c>
      <c r="H5" s="133">
        <f>IF(B$17=0,0,G5/B$17)</f>
        <v>0.41555673947789024</v>
      </c>
      <c r="I5" s="94">
        <v>7</v>
      </c>
      <c r="K5" s="38">
        <v>3</v>
      </c>
      <c r="L5" s="99">
        <v>0</v>
      </c>
      <c r="N5" s="115" t="s">
        <v>135</v>
      </c>
      <c r="O5" s="122">
        <f t="shared" si="0"/>
        <v>6.3191153238546605</v>
      </c>
      <c r="P5" s="119">
        <v>633</v>
      </c>
      <c r="Q5" s="103">
        <v>4000</v>
      </c>
    </row>
    <row r="6" spans="1:17" x14ac:dyDescent="0.4">
      <c r="A6" s="55" t="s">
        <v>1</v>
      </c>
      <c r="B6" s="148">
        <f>IF(B$2=0,0,(B$7*1+B$8*2+B$9*3)/B$2)</f>
        <v>2</v>
      </c>
      <c r="C6" s="149"/>
      <c r="E6" s="63" t="s">
        <v>69</v>
      </c>
      <c r="F6" s="60" t="s">
        <v>12</v>
      </c>
      <c r="G6" s="47">
        <v>585</v>
      </c>
      <c r="H6" s="133">
        <f>IF(B$17=0,0,G6/B$17)</f>
        <v>0.31166755460841766</v>
      </c>
      <c r="I6" s="94">
        <v>8</v>
      </c>
      <c r="K6" s="38">
        <v>4</v>
      </c>
      <c r="L6" s="99">
        <v>2.2000000000000002</v>
      </c>
      <c r="N6" s="115" t="s">
        <v>136</v>
      </c>
      <c r="O6" s="122">
        <f t="shared" si="0"/>
        <v>-17.636684303350972</v>
      </c>
      <c r="P6" s="119">
        <v>567</v>
      </c>
      <c r="Q6" s="103">
        <v>-10000</v>
      </c>
    </row>
    <row r="7" spans="1:17" x14ac:dyDescent="0.4">
      <c r="A7" s="55" t="s">
        <v>2</v>
      </c>
      <c r="B7" s="47">
        <v>252</v>
      </c>
      <c r="C7" s="39">
        <f>IF(B$2=0,0,B7/B$2)</f>
        <v>0.33333333333333331</v>
      </c>
      <c r="E7" s="63" t="s">
        <v>68</v>
      </c>
      <c r="F7" s="60" t="s">
        <v>24</v>
      </c>
      <c r="G7" s="47">
        <v>578</v>
      </c>
      <c r="H7" s="133">
        <f>IF(B$17=0,0,G7/B$17)</f>
        <v>0.30793819925412891</v>
      </c>
      <c r="I7" s="94">
        <v>8</v>
      </c>
      <c r="K7" s="38">
        <v>5</v>
      </c>
      <c r="L7" s="99">
        <v>-37</v>
      </c>
      <c r="N7" s="116" t="s">
        <v>137</v>
      </c>
      <c r="O7" s="123">
        <f t="shared" si="0"/>
        <v>30.120481927710845</v>
      </c>
      <c r="P7" s="120">
        <v>498</v>
      </c>
      <c r="Q7" s="104">
        <v>15000</v>
      </c>
    </row>
    <row r="8" spans="1:17" x14ac:dyDescent="0.4">
      <c r="A8" s="55" t="s">
        <v>3</v>
      </c>
      <c r="B8" s="47">
        <v>252</v>
      </c>
      <c r="C8" s="39">
        <f>IF(B$2=0,0,B8/B$2)</f>
        <v>0.33333333333333331</v>
      </c>
      <c r="E8" s="63" t="s">
        <v>70</v>
      </c>
      <c r="F8" s="60" t="s">
        <v>25</v>
      </c>
      <c r="G8" s="47">
        <v>327</v>
      </c>
      <c r="H8" s="133">
        <f>IF(B$17=0,0,G8/B$17)</f>
        <v>0.1742141715503463</v>
      </c>
      <c r="I8" s="94">
        <v>6</v>
      </c>
      <c r="K8" s="38">
        <v>6</v>
      </c>
      <c r="L8" s="99">
        <v>0</v>
      </c>
      <c r="N8" s="43"/>
      <c r="O8" s="127"/>
      <c r="P8" s="111"/>
      <c r="Q8" s="109"/>
    </row>
    <row r="9" spans="1:17" x14ac:dyDescent="0.4">
      <c r="A9" s="56" t="s">
        <v>4</v>
      </c>
      <c r="B9" s="48">
        <v>252</v>
      </c>
      <c r="C9" s="40">
        <f t="shared" ref="C9" si="1">IF(B$2=0,0,B9/B$2)</f>
        <v>0.33333333333333331</v>
      </c>
      <c r="E9" s="63" t="s">
        <v>90</v>
      </c>
      <c r="F9" s="60" t="s">
        <v>45</v>
      </c>
      <c r="G9" s="47">
        <v>236</v>
      </c>
      <c r="H9" s="133">
        <f>IF(B$17=0,0,G9/B$17)</f>
        <v>0.12573255194459243</v>
      </c>
      <c r="I9" s="94">
        <v>6</v>
      </c>
      <c r="K9" s="38">
        <v>7</v>
      </c>
      <c r="L9" s="99">
        <v>73.3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94</v>
      </c>
      <c r="C10" s="40">
        <f>IF(B$2=0,0,B10/B$2)</f>
        <v>0.12433862433862433</v>
      </c>
      <c r="E10" s="63" t="s">
        <v>66</v>
      </c>
      <c r="F10" s="60" t="s">
        <v>22</v>
      </c>
      <c r="G10" s="47">
        <v>215</v>
      </c>
      <c r="H10" s="133">
        <f>IF(B$17=0,0,G10/B$17)</f>
        <v>0.11454448588172615</v>
      </c>
      <c r="I10" s="94">
        <v>5</v>
      </c>
      <c r="K10" s="38">
        <v>8</v>
      </c>
      <c r="L10" s="99">
        <v>19.699999999999996</v>
      </c>
      <c r="N10" s="114" t="s">
        <v>164</v>
      </c>
      <c r="O10" s="124">
        <f>IF(P10=0,0,Q10/P10)</f>
        <v>-2.77142857142857</v>
      </c>
      <c r="P10" s="118">
        <v>252</v>
      </c>
      <c r="Q10" s="106">
        <v>-698.39999999999964</v>
      </c>
    </row>
    <row r="11" spans="1:17" x14ac:dyDescent="0.4">
      <c r="A11" s="56" t="s">
        <v>140</v>
      </c>
      <c r="B11" s="48">
        <v>94</v>
      </c>
      <c r="C11" s="40">
        <f>IF(B$2=0,0,B11/B$2)</f>
        <v>0.12433862433862433</v>
      </c>
      <c r="E11" s="63" t="s">
        <v>71</v>
      </c>
      <c r="F11" s="60" t="s">
        <v>26</v>
      </c>
      <c r="G11" s="47">
        <v>189</v>
      </c>
      <c r="H11" s="133">
        <f>IF(B$17=0,0,G11/B$17)</f>
        <v>0.10069259456579649</v>
      </c>
      <c r="I11" s="94">
        <v>6</v>
      </c>
      <c r="K11" s="38">
        <v>9</v>
      </c>
      <c r="L11" s="99">
        <v>-3.5527136788005009E-15</v>
      </c>
      <c r="N11" s="115" t="s">
        <v>165</v>
      </c>
      <c r="O11" s="125">
        <f>IF(P11=0,0,Q11/P11)</f>
        <v>2.0472222222222225</v>
      </c>
      <c r="P11" s="119">
        <v>252</v>
      </c>
      <c r="Q11" s="107">
        <v>515.90000000000009</v>
      </c>
    </row>
    <row r="12" spans="1:17" x14ac:dyDescent="0.4">
      <c r="A12" s="57" t="s">
        <v>160</v>
      </c>
      <c r="B12" s="49">
        <v>65</v>
      </c>
      <c r="C12" s="42">
        <f>IF(B$2=0,0,B12/B$2)</f>
        <v>8.5978835978835974E-2</v>
      </c>
      <c r="E12" s="63" t="s">
        <v>72</v>
      </c>
      <c r="F12" s="60" t="s">
        <v>27</v>
      </c>
      <c r="G12" s="47">
        <v>130</v>
      </c>
      <c r="H12" s="133">
        <f>IF(B$17=0,0,G12/B$17)</f>
        <v>6.9259456579648382E-2</v>
      </c>
      <c r="I12" s="94">
        <v>5</v>
      </c>
      <c r="K12" s="38">
        <v>10</v>
      </c>
      <c r="L12" s="99">
        <v>40.099999999999994</v>
      </c>
      <c r="N12" s="116" t="s">
        <v>166</v>
      </c>
      <c r="O12" s="126">
        <f>IF(P12=0,0,Q12/P12)</f>
        <v>0.72420634920634896</v>
      </c>
      <c r="P12" s="120">
        <v>252</v>
      </c>
      <c r="Q12" s="108">
        <v>182.49999999999994</v>
      </c>
    </row>
    <row r="13" spans="1:17" x14ac:dyDescent="0.4">
      <c r="A13" s="58" t="s">
        <v>122</v>
      </c>
      <c r="B13" s="50">
        <v>1734</v>
      </c>
      <c r="C13" s="44">
        <f>IF(B$3=0,0,B13/B$3)</f>
        <v>0.27602674307545366</v>
      </c>
      <c r="E13" s="63" t="s">
        <v>87</v>
      </c>
      <c r="F13" s="60" t="s">
        <v>42</v>
      </c>
      <c r="G13" s="47">
        <v>108</v>
      </c>
      <c r="H13" s="133">
        <f>IF(B$17=0,0,G13/B$17)</f>
        <v>5.7538625466169419E-2</v>
      </c>
      <c r="I13" s="94">
        <v>5</v>
      </c>
      <c r="K13" s="38">
        <v>11</v>
      </c>
      <c r="L13" s="99">
        <v>-11.100000000000009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1329</v>
      </c>
      <c r="C14" s="39">
        <f>IF(B$3=0,0,B14/B$3)</f>
        <v>0.21155682903533907</v>
      </c>
      <c r="E14" s="63" t="s">
        <v>84</v>
      </c>
      <c r="F14" s="60" t="s">
        <v>39</v>
      </c>
      <c r="G14" s="47">
        <v>89</v>
      </c>
      <c r="H14" s="133">
        <f>IF(B$17=0,0,G14/B$17)</f>
        <v>4.7416089504528504E-2</v>
      </c>
      <c r="I14" s="94">
        <v>6</v>
      </c>
      <c r="K14" s="38">
        <v>12</v>
      </c>
      <c r="L14" s="99">
        <v>-8.8817841970012523E-15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1002</v>
      </c>
      <c r="C15" s="37">
        <f>IF(B$13=0,0,B15/B$13)</f>
        <v>0.57785467128027679</v>
      </c>
      <c r="E15" s="63" t="s">
        <v>79</v>
      </c>
      <c r="F15" s="60" t="s">
        <v>34</v>
      </c>
      <c r="G15" s="47">
        <v>53</v>
      </c>
      <c r="H15" s="133">
        <f>IF(B$17=0,0,G15/B$17)</f>
        <v>2.8236547682472031E-2</v>
      </c>
      <c r="I15" s="94">
        <v>6</v>
      </c>
      <c r="K15" s="38">
        <v>13</v>
      </c>
      <c r="L15" s="99">
        <v>-42.100000000000009</v>
      </c>
      <c r="N15" s="114" t="s">
        <v>271</v>
      </c>
      <c r="O15" s="124">
        <f>IF(P15=0,0,Q15/P15)</f>
        <v>72.375</v>
      </c>
      <c r="P15" s="118">
        <v>4</v>
      </c>
      <c r="Q15" s="106">
        <v>289.5</v>
      </c>
    </row>
    <row r="16" spans="1:17" x14ac:dyDescent="0.4">
      <c r="A16" s="54" t="s">
        <v>125</v>
      </c>
      <c r="B16" s="46">
        <v>522</v>
      </c>
      <c r="C16" s="37">
        <f>IF(B$14=0,0,B16/B$14)</f>
        <v>0.39277652370203159</v>
      </c>
      <c r="E16" s="63" t="s">
        <v>82</v>
      </c>
      <c r="F16" s="60" t="s">
        <v>37</v>
      </c>
      <c r="G16" s="47">
        <v>53</v>
      </c>
      <c r="H16" s="133">
        <f>IF(B$17=0,0,G16/B$17)</f>
        <v>2.8236547682472031E-2</v>
      </c>
      <c r="I16" s="94">
        <v>6</v>
      </c>
      <c r="K16" s="38">
        <v>14</v>
      </c>
      <c r="L16" s="99">
        <v>18.79999999999999</v>
      </c>
      <c r="N16" s="115" t="s">
        <v>184</v>
      </c>
      <c r="O16" s="125">
        <f>IF(P16=0,0,Q16/P16)</f>
        <v>18.027272727272731</v>
      </c>
      <c r="P16" s="119">
        <v>44</v>
      </c>
      <c r="Q16" s="107">
        <v>793.20000000000016</v>
      </c>
    </row>
    <row r="17" spans="1:17" x14ac:dyDescent="0.4">
      <c r="A17" s="54" t="s">
        <v>10</v>
      </c>
      <c r="B17" s="46">
        <f>B19+B18</f>
        <v>1877</v>
      </c>
      <c r="C17" s="37">
        <f>IF(B$3=0,0,B17/B$3)</f>
        <v>0.29879019420566699</v>
      </c>
      <c r="E17" s="63" t="s">
        <v>92</v>
      </c>
      <c r="F17" s="60" t="s">
        <v>47</v>
      </c>
      <c r="G17" s="47">
        <v>38</v>
      </c>
      <c r="H17" s="133">
        <f>IF(B$17=0,0,G17/B$17)</f>
        <v>2.0245071923281833E-2</v>
      </c>
      <c r="I17" s="94">
        <v>4</v>
      </c>
      <c r="K17" s="38">
        <v>15</v>
      </c>
      <c r="L17" s="99">
        <v>-1.0658141036401503E-14</v>
      </c>
      <c r="N17" s="115" t="s">
        <v>129</v>
      </c>
      <c r="O17" s="125">
        <f>IF(P17=0,0,Q17/P17)</f>
        <v>16.673300970873818</v>
      </c>
      <c r="P17" s="119">
        <v>206</v>
      </c>
      <c r="Q17" s="107">
        <v>3434.7000000000062</v>
      </c>
    </row>
    <row r="18" spans="1:17" x14ac:dyDescent="0.4">
      <c r="A18" s="55" t="s">
        <v>12</v>
      </c>
      <c r="B18" s="47">
        <v>817</v>
      </c>
      <c r="C18" s="39">
        <f>IF(B$17=0,0,B18/B$17)</f>
        <v>0.43526904635055941</v>
      </c>
      <c r="E18" s="63" t="s">
        <v>80</v>
      </c>
      <c r="F18" s="60" t="s">
        <v>35</v>
      </c>
      <c r="G18" s="47">
        <v>30</v>
      </c>
      <c r="H18" s="133">
        <f>IF(B$17=0,0,G18/B$17)</f>
        <v>1.5982951518380393E-2</v>
      </c>
      <c r="I18" s="94">
        <v>8</v>
      </c>
      <c r="K18" s="38">
        <v>16</v>
      </c>
      <c r="L18" s="99">
        <v>90.899999999999991</v>
      </c>
      <c r="N18" s="115" t="s">
        <v>173</v>
      </c>
      <c r="O18" s="125">
        <f>IF(P18=0,0,Q18/P18)</f>
        <v>12.115624999999996</v>
      </c>
      <c r="P18" s="119">
        <v>96</v>
      </c>
      <c r="Q18" s="107">
        <v>1163.0999999999997</v>
      </c>
    </row>
    <row r="19" spans="1:17" x14ac:dyDescent="0.4">
      <c r="A19" s="55" t="s">
        <v>11</v>
      </c>
      <c r="B19" s="47">
        <v>1060</v>
      </c>
      <c r="C19" s="39">
        <f>IF(B$17=0,0,B19/B$17)</f>
        <v>0.56473095364944059</v>
      </c>
      <c r="E19" s="63" t="s">
        <v>180</v>
      </c>
      <c r="F19" s="60" t="s">
        <v>181</v>
      </c>
      <c r="G19" s="47">
        <v>29</v>
      </c>
      <c r="H19" s="133">
        <f>IF(B$17=0,0,G19/B$17)</f>
        <v>1.5450186467767715E-2</v>
      </c>
      <c r="I19" s="94">
        <v>6</v>
      </c>
      <c r="K19" s="38">
        <v>17</v>
      </c>
      <c r="L19" s="99">
        <v>8.2999999999999972</v>
      </c>
      <c r="N19" s="115" t="s">
        <v>128</v>
      </c>
      <c r="O19" s="125">
        <f>IF(P19=0,0,Q19/P19)</f>
        <v>3.8194029850746274</v>
      </c>
      <c r="P19" s="119">
        <v>268</v>
      </c>
      <c r="Q19" s="107">
        <v>1023.6000000000001</v>
      </c>
    </row>
    <row r="20" spans="1:17" x14ac:dyDescent="0.4">
      <c r="A20" s="55" t="s">
        <v>13</v>
      </c>
      <c r="B20" s="47">
        <v>1045</v>
      </c>
      <c r="C20" s="39">
        <f>IF(B$3=0,0,B20/B$3)</f>
        <v>0.16634829672078955</v>
      </c>
      <c r="E20" s="63" t="s">
        <v>74</v>
      </c>
      <c r="F20" s="60" t="s">
        <v>29</v>
      </c>
      <c r="G20" s="47">
        <v>13</v>
      </c>
      <c r="H20" s="133">
        <f>IF(B$17=0,0,G20/B$17)</f>
        <v>6.9259456579648373E-3</v>
      </c>
      <c r="I20" s="94">
        <v>4</v>
      </c>
      <c r="K20" s="38">
        <v>18</v>
      </c>
      <c r="L20" s="99">
        <v>-3.5527136788005009E-15</v>
      </c>
      <c r="N20" s="115" t="s">
        <v>172</v>
      </c>
      <c r="O20" s="125">
        <f>IF(P20=0,0,Q20/P20)</f>
        <v>2.0448275862068961</v>
      </c>
      <c r="P20" s="119">
        <v>174</v>
      </c>
      <c r="Q20" s="107">
        <v>355.7999999999999</v>
      </c>
    </row>
    <row r="21" spans="1:17" x14ac:dyDescent="0.4">
      <c r="A21" s="55" t="s">
        <v>191</v>
      </c>
      <c r="B21" s="47">
        <v>7</v>
      </c>
      <c r="C21" s="135">
        <v>1</v>
      </c>
      <c r="E21" s="63" t="s">
        <v>76</v>
      </c>
      <c r="F21" s="60" t="s">
        <v>31</v>
      </c>
      <c r="G21" s="47">
        <v>12</v>
      </c>
      <c r="H21" s="133">
        <f>IF(B$17=0,0,G21/B$17)</f>
        <v>6.3931806073521573E-3</v>
      </c>
      <c r="I21" s="94">
        <v>5</v>
      </c>
      <c r="K21" s="38">
        <v>19</v>
      </c>
      <c r="L21" s="99">
        <v>30.999999999999996</v>
      </c>
      <c r="N21" s="115" t="s">
        <v>171</v>
      </c>
      <c r="O21" s="125">
        <f>IF(P21=0,0,Q21/P21)</f>
        <v>0.75937500000000246</v>
      </c>
      <c r="P21" s="119">
        <v>192</v>
      </c>
      <c r="Q21" s="107">
        <v>145.80000000000047</v>
      </c>
    </row>
    <row r="22" spans="1:17" x14ac:dyDescent="0.4">
      <c r="A22" s="55" t="s">
        <v>192</v>
      </c>
      <c r="B22" s="47">
        <v>31</v>
      </c>
      <c r="C22" s="135">
        <v>2</v>
      </c>
      <c r="E22" s="63" t="s">
        <v>75</v>
      </c>
      <c r="F22" s="60" t="s">
        <v>30</v>
      </c>
      <c r="G22" s="47">
        <v>9</v>
      </c>
      <c r="H22" s="133">
        <f>IF(B$17=0,0,G22/B$17)</f>
        <v>4.7948854555141182E-3</v>
      </c>
      <c r="I22" s="94">
        <v>6</v>
      </c>
      <c r="K22" s="38">
        <v>20</v>
      </c>
      <c r="L22" s="99">
        <v>0.79999999999999716</v>
      </c>
      <c r="N22" s="115" t="s">
        <v>177</v>
      </c>
      <c r="O22" s="125">
        <f>IF(P22=0,0,Q22/P22)</f>
        <v>-3.7192307692307711</v>
      </c>
      <c r="P22" s="119">
        <v>156</v>
      </c>
      <c r="Q22" s="107">
        <v>-580.20000000000027</v>
      </c>
    </row>
    <row r="23" spans="1:17" x14ac:dyDescent="0.4">
      <c r="A23" s="55" t="s">
        <v>5</v>
      </c>
      <c r="B23" s="51">
        <f>IF(B$17=0,0,C23/B$17)</f>
        <v>8779.5950985615345</v>
      </c>
      <c r="C23" s="41">
        <v>16479300</v>
      </c>
      <c r="E23" s="63" t="s">
        <v>93</v>
      </c>
      <c r="F23" s="60" t="s">
        <v>48</v>
      </c>
      <c r="G23" s="47">
        <v>8</v>
      </c>
      <c r="H23" s="133">
        <f>IF(B$17=0,0,G23/B$17)</f>
        <v>4.2621204049014382E-3</v>
      </c>
      <c r="I23" s="94">
        <v>5</v>
      </c>
      <c r="K23" s="38">
        <v>21</v>
      </c>
      <c r="L23" s="99">
        <v>-2.886579864025407E-15</v>
      </c>
      <c r="N23" s="115" t="s">
        <v>200</v>
      </c>
      <c r="O23" s="125">
        <f>IF(P23=0,0,Q23/P23)</f>
        <v>-9.6115384615384603</v>
      </c>
      <c r="P23" s="119">
        <v>26</v>
      </c>
      <c r="Q23" s="107">
        <v>-249.89999999999998</v>
      </c>
    </row>
    <row r="24" spans="1:17" x14ac:dyDescent="0.4">
      <c r="A24" s="57" t="s">
        <v>14</v>
      </c>
      <c r="B24" s="52">
        <f>IF(B$20=0,0,C24/B$20)</f>
        <v>-8327.0813397129186</v>
      </c>
      <c r="C24" s="45">
        <v>-8701800</v>
      </c>
      <c r="E24" s="63" t="s">
        <v>86</v>
      </c>
      <c r="F24" s="60" t="s">
        <v>41</v>
      </c>
      <c r="G24" s="47">
        <v>7</v>
      </c>
      <c r="H24" s="133">
        <f>IF(B$17=0,0,G24/B$17)</f>
        <v>3.7293553542887587E-3</v>
      </c>
      <c r="I24" s="94">
        <v>3</v>
      </c>
      <c r="K24" s="38">
        <v>22</v>
      </c>
      <c r="L24" s="99">
        <v>23.699999999999996</v>
      </c>
      <c r="N24" s="115" t="s">
        <v>127</v>
      </c>
      <c r="O24" s="125">
        <f>IF(P24=0,0,Q24/P24)</f>
        <v>-17.949386503067466</v>
      </c>
      <c r="P24" s="119">
        <v>326</v>
      </c>
      <c r="Q24" s="107">
        <v>-5851.4999999999936</v>
      </c>
    </row>
    <row r="25" spans="1:17" x14ac:dyDescent="0.4">
      <c r="A25" s="90" t="s">
        <v>142</v>
      </c>
      <c r="B25" s="146">
        <v>8</v>
      </c>
      <c r="C25" s="147"/>
      <c r="E25" s="63" t="s">
        <v>94</v>
      </c>
      <c r="F25" s="60" t="s">
        <v>49</v>
      </c>
      <c r="G25" s="47">
        <v>7</v>
      </c>
      <c r="H25" s="133">
        <f>IF(B$17=0,0,G25/B$17)</f>
        <v>3.7293553542887587E-3</v>
      </c>
      <c r="I25" s="94">
        <v>5</v>
      </c>
      <c r="K25" s="38">
        <v>23</v>
      </c>
      <c r="L25" s="99">
        <v>26.299999999999997</v>
      </c>
      <c r="N25" s="115" t="s">
        <v>222</v>
      </c>
      <c r="O25" s="125">
        <f>IF(P25=0,0,Q25/P25)</f>
        <v>-19.950000000000003</v>
      </c>
      <c r="P25" s="119">
        <v>2</v>
      </c>
      <c r="Q25" s="107">
        <v>-39.900000000000006</v>
      </c>
    </row>
    <row r="26" spans="1:17" x14ac:dyDescent="0.4">
      <c r="A26" s="58" t="s">
        <v>152</v>
      </c>
      <c r="B26" s="144">
        <v>116000</v>
      </c>
      <c r="C26" s="145"/>
      <c r="E26" s="63" t="s">
        <v>88</v>
      </c>
      <c r="F26" s="60" t="s">
        <v>43</v>
      </c>
      <c r="G26" s="47">
        <v>6</v>
      </c>
      <c r="H26" s="133">
        <f>IF(B$17=0,0,G26/B$17)</f>
        <v>3.1965903036760787E-3</v>
      </c>
      <c r="I26" s="94">
        <v>5</v>
      </c>
      <c r="K26" s="38">
        <v>24</v>
      </c>
      <c r="L26" s="99">
        <v>-3.5527136788005009E-15</v>
      </c>
      <c r="N26" s="115" t="s">
        <v>223</v>
      </c>
      <c r="O26" s="125">
        <f>IF(P26=0,0,Q26/P26)</f>
        <v>-25.099999999999998</v>
      </c>
      <c r="P26" s="119">
        <v>12</v>
      </c>
      <c r="Q26" s="107">
        <v>-301.2</v>
      </c>
    </row>
    <row r="27" spans="1:17" x14ac:dyDescent="0.4">
      <c r="A27" s="57" t="s">
        <v>143</v>
      </c>
      <c r="B27" s="65">
        <v>16</v>
      </c>
      <c r="C27" s="42">
        <f>IF(B$3=0,0,B27/B$3)</f>
        <v>2.5469595670168737E-3</v>
      </c>
      <c r="E27" s="63" t="s">
        <v>85</v>
      </c>
      <c r="F27" s="60" t="s">
        <v>40</v>
      </c>
      <c r="G27" s="47">
        <v>5</v>
      </c>
      <c r="H27" s="133">
        <f>IF(B$17=0,0,G27/B$17)</f>
        <v>2.6638252530633991E-3</v>
      </c>
      <c r="I27" s="94">
        <v>4</v>
      </c>
      <c r="K27" s="38">
        <v>25</v>
      </c>
      <c r="L27" s="99">
        <v>-31.300000000000004</v>
      </c>
      <c r="N27" s="115" t="s">
        <v>183</v>
      </c>
      <c r="O27" s="125">
        <f>IF(P27=0,0,Q27/P27)</f>
        <v>-30.5</v>
      </c>
      <c r="P27" s="119">
        <v>6</v>
      </c>
      <c r="Q27" s="107">
        <v>-183</v>
      </c>
    </row>
    <row r="28" spans="1:17" x14ac:dyDescent="0.4">
      <c r="E28" s="63" t="s">
        <v>91</v>
      </c>
      <c r="F28" s="60" t="s">
        <v>46</v>
      </c>
      <c r="G28" s="47">
        <v>5</v>
      </c>
      <c r="H28" s="133">
        <f>IF(B$17=0,0,G28/B$17)</f>
        <v>2.6638252530633991E-3</v>
      </c>
      <c r="I28" s="94">
        <v>4</v>
      </c>
      <c r="K28" s="38">
        <v>26</v>
      </c>
      <c r="L28" s="99">
        <v>1.8999999999999986</v>
      </c>
    </row>
    <row r="29" spans="1:17" x14ac:dyDescent="0.4">
      <c r="E29" s="63" t="s">
        <v>78</v>
      </c>
      <c r="F29" s="60" t="s">
        <v>33</v>
      </c>
      <c r="G29" s="47">
        <v>4</v>
      </c>
      <c r="H29" s="133">
        <f>IF(B$17=0,0,G29/B$17)</f>
        <v>2.1310602024507191E-3</v>
      </c>
      <c r="I29" s="94">
        <v>7</v>
      </c>
      <c r="K29" s="38">
        <v>27</v>
      </c>
      <c r="L29" s="99">
        <v>-1.3322676295501878E-15</v>
      </c>
    </row>
    <row r="30" spans="1:17" x14ac:dyDescent="0.4">
      <c r="E30" s="63" t="s">
        <v>89</v>
      </c>
      <c r="F30" s="60" t="s">
        <v>44</v>
      </c>
      <c r="G30" s="47">
        <v>3</v>
      </c>
      <c r="H30" s="133">
        <f>IF(B$17=0,0,G30/B$17)</f>
        <v>1.5982951518380393E-3</v>
      </c>
      <c r="I30" s="94">
        <v>4</v>
      </c>
      <c r="K30" s="38">
        <v>28</v>
      </c>
      <c r="L30" s="99">
        <v>-58.3</v>
      </c>
    </row>
    <row r="31" spans="1:17" x14ac:dyDescent="0.4">
      <c r="E31" s="63" t="s">
        <v>96</v>
      </c>
      <c r="F31" s="60" t="s">
        <v>51</v>
      </c>
      <c r="G31" s="47">
        <v>2</v>
      </c>
      <c r="H31" s="133">
        <f>IF(B$17=0,0,G31/B$17)</f>
        <v>1.0655301012253596E-3</v>
      </c>
      <c r="I31" s="94">
        <v>3</v>
      </c>
      <c r="K31" s="38">
        <v>29</v>
      </c>
      <c r="L31" s="99">
        <v>-9.5</v>
      </c>
    </row>
    <row r="32" spans="1:17" x14ac:dyDescent="0.4">
      <c r="E32" s="63" t="s">
        <v>98</v>
      </c>
      <c r="F32" s="60" t="s">
        <v>53</v>
      </c>
      <c r="G32" s="47">
        <v>1</v>
      </c>
      <c r="H32" s="133">
        <f>IF(B$17=0,0,G32/B$17)</f>
        <v>5.3276505061267978E-4</v>
      </c>
      <c r="I32" s="94">
        <v>2</v>
      </c>
      <c r="K32" s="38">
        <v>30</v>
      </c>
      <c r="L32" s="99">
        <v>0</v>
      </c>
    </row>
    <row r="33" spans="5:12" x14ac:dyDescent="0.4">
      <c r="E33" s="63" t="s">
        <v>102</v>
      </c>
      <c r="F33" s="60" t="s">
        <v>57</v>
      </c>
      <c r="G33" s="47">
        <v>1</v>
      </c>
      <c r="H33" s="133">
        <f>IF(B$17=0,0,G33/B$17)</f>
        <v>5.3276505061267978E-4</v>
      </c>
      <c r="I33" s="94">
        <v>2</v>
      </c>
      <c r="K33" s="38">
        <v>31</v>
      </c>
      <c r="L33" s="99">
        <v>29.1</v>
      </c>
    </row>
    <row r="34" spans="5:12" x14ac:dyDescent="0.4">
      <c r="E34" s="63" t="s">
        <v>77</v>
      </c>
      <c r="F34" s="60" t="s">
        <v>32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4.3000000000000007</v>
      </c>
    </row>
    <row r="35" spans="5:12" x14ac:dyDescent="0.4">
      <c r="E35" s="63" t="s">
        <v>81</v>
      </c>
      <c r="F35" s="60" t="s">
        <v>36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8.8817841970012523E-16</v>
      </c>
    </row>
    <row r="36" spans="5:12" x14ac:dyDescent="0.4">
      <c r="E36" s="63" t="s">
        <v>83</v>
      </c>
      <c r="F36" s="60" t="s">
        <v>38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-7.2999999999999989</v>
      </c>
    </row>
    <row r="37" spans="5:12" x14ac:dyDescent="0.4">
      <c r="E37" s="63" t="s">
        <v>95</v>
      </c>
      <c r="F37" s="60" t="s">
        <v>50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-37.199999999999996</v>
      </c>
    </row>
    <row r="38" spans="5:12" x14ac:dyDescent="0.4">
      <c r="E38" s="63" t="s">
        <v>97</v>
      </c>
      <c r="F38" s="60" t="s">
        <v>52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99</v>
      </c>
      <c r="F39" s="60" t="s">
        <v>54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-31.699999999999992</v>
      </c>
    </row>
    <row r="40" spans="5:12" x14ac:dyDescent="0.4">
      <c r="E40" s="63" t="s">
        <v>100</v>
      </c>
      <c r="F40" s="60" t="s">
        <v>55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-33.099999999999994</v>
      </c>
    </row>
    <row r="41" spans="5:12" x14ac:dyDescent="0.4">
      <c r="E41" s="63" t="s">
        <v>101</v>
      </c>
      <c r="F41" s="60" t="s">
        <v>56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7.1054273576010019E-15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-39.699999999999996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5.5000000000000071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7.1054273576010019E-15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87.1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60.399999999999991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-7.1054273576010019E-15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-48.000000000000007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-49.600000000000009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-7.1054273576010019E-15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38.399999999999991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4.0999999999999943</v>
      </c>
    </row>
    <row r="53" spans="5:12" x14ac:dyDescent="0.4">
      <c r="K53" s="38">
        <v>51</v>
      </c>
      <c r="L53" s="99">
        <v>-5.3290705182007514E-15</v>
      </c>
    </row>
    <row r="54" spans="5:12" x14ac:dyDescent="0.4">
      <c r="K54" s="38">
        <v>52</v>
      </c>
      <c r="L54" s="99">
        <v>27.799999999999997</v>
      </c>
    </row>
    <row r="55" spans="5:12" x14ac:dyDescent="0.4">
      <c r="K55" s="38">
        <v>53</v>
      </c>
      <c r="L55" s="99">
        <v>25.099999999999998</v>
      </c>
    </row>
    <row r="56" spans="5:12" x14ac:dyDescent="0.4">
      <c r="K56" s="38">
        <v>54</v>
      </c>
      <c r="L56" s="99">
        <v>-3.5527136788005009E-15</v>
      </c>
    </row>
    <row r="57" spans="5:12" x14ac:dyDescent="0.4">
      <c r="K57" s="38">
        <v>55</v>
      </c>
      <c r="L57" s="99">
        <v>47.2</v>
      </c>
    </row>
    <row r="58" spans="5:12" x14ac:dyDescent="0.4">
      <c r="K58" s="38">
        <v>56</v>
      </c>
      <c r="L58" s="99">
        <v>-3.5</v>
      </c>
    </row>
    <row r="59" spans="5:12" x14ac:dyDescent="0.4">
      <c r="K59" s="38">
        <v>57</v>
      </c>
      <c r="L59" s="99">
        <v>0</v>
      </c>
    </row>
    <row r="60" spans="5:12" x14ac:dyDescent="0.4">
      <c r="K60" s="38">
        <v>58</v>
      </c>
      <c r="L60" s="99">
        <v>-28.5</v>
      </c>
    </row>
    <row r="61" spans="5:12" x14ac:dyDescent="0.4">
      <c r="K61" s="38">
        <v>59</v>
      </c>
      <c r="L61" s="99">
        <v>-31.9</v>
      </c>
    </row>
    <row r="62" spans="5:12" x14ac:dyDescent="0.4">
      <c r="K62" s="38">
        <v>60</v>
      </c>
      <c r="L62" s="99">
        <v>0</v>
      </c>
    </row>
    <row r="63" spans="5:12" x14ac:dyDescent="0.4">
      <c r="K63" s="38">
        <v>61</v>
      </c>
      <c r="L63" s="99">
        <v>28.9</v>
      </c>
    </row>
    <row r="64" spans="5:12" x14ac:dyDescent="0.4">
      <c r="K64" s="38">
        <v>62</v>
      </c>
      <c r="L64" s="99">
        <v>3.5</v>
      </c>
    </row>
    <row r="65" spans="11:12" x14ac:dyDescent="0.4">
      <c r="K65" s="38">
        <v>63</v>
      </c>
      <c r="L65" s="99">
        <v>0</v>
      </c>
    </row>
    <row r="66" spans="11:12" x14ac:dyDescent="0.4">
      <c r="K66" s="38">
        <v>64</v>
      </c>
      <c r="L66" s="99">
        <v>-15.3</v>
      </c>
    </row>
    <row r="67" spans="11:12" x14ac:dyDescent="0.4">
      <c r="K67" s="38">
        <v>65</v>
      </c>
      <c r="L67" s="99">
        <v>41</v>
      </c>
    </row>
    <row r="68" spans="11:12" x14ac:dyDescent="0.4">
      <c r="K68" s="38">
        <v>66</v>
      </c>
      <c r="L68" s="99">
        <v>0</v>
      </c>
    </row>
    <row r="69" spans="11:12" x14ac:dyDescent="0.4">
      <c r="K69" s="38">
        <v>67</v>
      </c>
      <c r="L69" s="99">
        <v>-15.8</v>
      </c>
    </row>
    <row r="70" spans="11:12" x14ac:dyDescent="0.4">
      <c r="K70" s="38">
        <v>68</v>
      </c>
      <c r="L70" s="99">
        <v>57.8</v>
      </c>
    </row>
    <row r="71" spans="11:12" x14ac:dyDescent="0.4">
      <c r="K71" s="38">
        <v>69</v>
      </c>
      <c r="L71" s="99">
        <v>0</v>
      </c>
    </row>
    <row r="72" spans="11:12" x14ac:dyDescent="0.4">
      <c r="K72" s="38">
        <v>70</v>
      </c>
      <c r="L72" s="99">
        <v>54.6</v>
      </c>
    </row>
    <row r="73" spans="11:12" x14ac:dyDescent="0.4">
      <c r="K73" s="38">
        <v>71</v>
      </c>
      <c r="L73" s="99">
        <v>14.600000000000001</v>
      </c>
    </row>
    <row r="74" spans="11:12" x14ac:dyDescent="0.4">
      <c r="K74" s="38">
        <v>72</v>
      </c>
      <c r="L74" s="99">
        <v>1.7763568394002505E-15</v>
      </c>
    </row>
    <row r="75" spans="11:12" x14ac:dyDescent="0.4">
      <c r="K75" s="38">
        <v>73</v>
      </c>
      <c r="L75" s="99">
        <v>-43.7</v>
      </c>
    </row>
    <row r="76" spans="11:12" x14ac:dyDescent="0.4">
      <c r="K76" s="38">
        <v>74</v>
      </c>
      <c r="L76" s="99">
        <v>6.2999999999999972</v>
      </c>
    </row>
    <row r="77" spans="11:12" x14ac:dyDescent="0.4">
      <c r="K77" s="38">
        <v>75</v>
      </c>
      <c r="L77" s="99">
        <v>-2.6645352591003757E-15</v>
      </c>
    </row>
    <row r="78" spans="11:12" x14ac:dyDescent="0.4">
      <c r="K78" s="38">
        <v>76</v>
      </c>
      <c r="L78" s="99">
        <v>-32.5</v>
      </c>
    </row>
    <row r="79" spans="11:12" x14ac:dyDescent="0.4">
      <c r="K79" s="38">
        <v>77</v>
      </c>
      <c r="L79" s="99">
        <v>-37.1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8</v>
      </c>
    </row>
    <row r="82" spans="11:12" x14ac:dyDescent="0.4">
      <c r="K82" s="38">
        <v>80</v>
      </c>
      <c r="L82" s="99">
        <v>-29.299999999999997</v>
      </c>
    </row>
    <row r="83" spans="11:12" x14ac:dyDescent="0.4">
      <c r="K83" s="38">
        <v>81</v>
      </c>
      <c r="L83" s="99">
        <v>3.5527136788005009E-15</v>
      </c>
    </row>
    <row r="84" spans="11:12" x14ac:dyDescent="0.4">
      <c r="K84" s="38">
        <v>82</v>
      </c>
      <c r="L84" s="99">
        <v>-6.9999999999999964</v>
      </c>
    </row>
    <row r="85" spans="11:12" x14ac:dyDescent="0.4">
      <c r="K85" s="38">
        <v>83</v>
      </c>
      <c r="L85" s="99">
        <v>-38.5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52.9</v>
      </c>
    </row>
    <row r="88" spans="11:12" x14ac:dyDescent="0.4">
      <c r="K88" s="38">
        <v>86</v>
      </c>
      <c r="L88" s="99">
        <v>-3.1000000000000014</v>
      </c>
    </row>
    <row r="89" spans="11:12" x14ac:dyDescent="0.4">
      <c r="K89" s="38">
        <v>87</v>
      </c>
      <c r="L89" s="99">
        <v>-1.3322676295501878E-15</v>
      </c>
    </row>
    <row r="90" spans="11:12" x14ac:dyDescent="0.4">
      <c r="K90" s="38">
        <v>88</v>
      </c>
      <c r="L90" s="99">
        <v>22.1</v>
      </c>
    </row>
    <row r="91" spans="11:12" x14ac:dyDescent="0.4">
      <c r="K91" s="38">
        <v>89</v>
      </c>
      <c r="L91" s="99">
        <v>24</v>
      </c>
    </row>
    <row r="92" spans="11:12" x14ac:dyDescent="0.4">
      <c r="K92" s="38">
        <v>90</v>
      </c>
      <c r="L92" s="99">
        <v>0</v>
      </c>
    </row>
    <row r="93" spans="11:12" x14ac:dyDescent="0.4">
      <c r="K93" s="38">
        <v>91</v>
      </c>
      <c r="L93" s="99">
        <v>22.1</v>
      </c>
    </row>
    <row r="94" spans="11:12" x14ac:dyDescent="0.4">
      <c r="K94" s="38">
        <v>92</v>
      </c>
      <c r="L94" s="99">
        <v>24</v>
      </c>
    </row>
    <row r="95" spans="11:12" x14ac:dyDescent="0.4">
      <c r="K95" s="38">
        <v>93</v>
      </c>
      <c r="L95" s="99">
        <v>0</v>
      </c>
    </row>
    <row r="96" spans="11:12" x14ac:dyDescent="0.4">
      <c r="K96" s="38">
        <v>94</v>
      </c>
      <c r="L96" s="99">
        <v>25.7</v>
      </c>
    </row>
    <row r="97" spans="11:12" x14ac:dyDescent="0.4">
      <c r="K97" s="38">
        <v>95</v>
      </c>
      <c r="L97" s="99">
        <v>1.8000000000000007</v>
      </c>
    </row>
    <row r="98" spans="11:12" x14ac:dyDescent="0.4">
      <c r="K98" s="38">
        <v>96</v>
      </c>
      <c r="L98" s="99">
        <v>6.6613381477509392E-16</v>
      </c>
    </row>
    <row r="99" spans="11:12" x14ac:dyDescent="0.4">
      <c r="K99" s="38">
        <v>97</v>
      </c>
      <c r="L99" s="99">
        <v>39.6</v>
      </c>
    </row>
    <row r="100" spans="11:12" x14ac:dyDescent="0.4">
      <c r="K100" s="38">
        <v>98</v>
      </c>
      <c r="L100" s="99">
        <v>-64.199999999999989</v>
      </c>
    </row>
    <row r="101" spans="11:12" x14ac:dyDescent="0.4">
      <c r="K101" s="38">
        <v>99</v>
      </c>
      <c r="L101" s="99">
        <v>1.4210854715202004E-14</v>
      </c>
    </row>
    <row r="102" spans="11:12" x14ac:dyDescent="0.4">
      <c r="K102" s="38">
        <v>100</v>
      </c>
      <c r="L102" s="99">
        <v>-74.499999999999986</v>
      </c>
    </row>
    <row r="103" spans="11:12" x14ac:dyDescent="0.4">
      <c r="K103" s="38">
        <v>101</v>
      </c>
      <c r="L103" s="99">
        <v>2.2000000000000171</v>
      </c>
    </row>
    <row r="104" spans="11:12" x14ac:dyDescent="0.4">
      <c r="K104" s="38">
        <v>102</v>
      </c>
      <c r="L104" s="99">
        <v>1.6875389974302379E-14</v>
      </c>
    </row>
    <row r="105" spans="11:12" x14ac:dyDescent="0.4">
      <c r="K105" s="38">
        <v>103</v>
      </c>
      <c r="L105" s="99">
        <v>-31.599999999999984</v>
      </c>
    </row>
    <row r="106" spans="11:12" x14ac:dyDescent="0.4">
      <c r="K106" s="38">
        <v>104</v>
      </c>
      <c r="L106" s="99">
        <v>-35.799999999999983</v>
      </c>
    </row>
    <row r="107" spans="11:12" x14ac:dyDescent="0.4">
      <c r="K107" s="38">
        <v>105</v>
      </c>
      <c r="L107" s="99">
        <v>1.4210854715202004E-14</v>
      </c>
    </row>
    <row r="108" spans="11:12" x14ac:dyDescent="0.4">
      <c r="K108" s="38">
        <v>106</v>
      </c>
      <c r="L108" s="99">
        <v>35.300000000000011</v>
      </c>
    </row>
    <row r="109" spans="11:12" x14ac:dyDescent="0.4">
      <c r="K109" s="38">
        <v>107</v>
      </c>
      <c r="L109" s="99">
        <v>34.000000000000014</v>
      </c>
    </row>
    <row r="110" spans="11:12" x14ac:dyDescent="0.4">
      <c r="K110" s="38">
        <v>108</v>
      </c>
      <c r="L110" s="99">
        <v>1.4210854715202004E-14</v>
      </c>
    </row>
    <row r="111" spans="11:12" x14ac:dyDescent="0.4">
      <c r="K111" s="38">
        <v>109</v>
      </c>
      <c r="L111" s="99">
        <v>6.1000000000000139</v>
      </c>
    </row>
    <row r="112" spans="11:12" x14ac:dyDescent="0.4">
      <c r="K112" s="38">
        <v>110</v>
      </c>
      <c r="L112" s="99">
        <v>57.000000000000014</v>
      </c>
    </row>
    <row r="113" spans="11:12" x14ac:dyDescent="0.4">
      <c r="K113" s="38">
        <v>111</v>
      </c>
      <c r="L113" s="99">
        <v>1.4210854715202004E-14</v>
      </c>
    </row>
    <row r="114" spans="11:12" x14ac:dyDescent="0.4">
      <c r="K114" s="38">
        <v>112</v>
      </c>
      <c r="L114" s="99">
        <v>-5.0999999999999854</v>
      </c>
    </row>
    <row r="115" spans="11:12" x14ac:dyDescent="0.4">
      <c r="K115" s="38">
        <v>113</v>
      </c>
      <c r="L115" s="99">
        <v>31.600000000000016</v>
      </c>
    </row>
    <row r="116" spans="11:12" x14ac:dyDescent="0.4">
      <c r="K116" s="38">
        <v>114</v>
      </c>
      <c r="L116" s="99">
        <v>1.4210854715202004E-14</v>
      </c>
    </row>
    <row r="117" spans="11:12" x14ac:dyDescent="0.4">
      <c r="K117" s="38">
        <v>115</v>
      </c>
      <c r="L117" s="99">
        <v>5.2000000000000144</v>
      </c>
    </row>
    <row r="118" spans="11:12" x14ac:dyDescent="0.4">
      <c r="K118" s="38">
        <v>116</v>
      </c>
      <c r="L118" s="99">
        <v>41.500000000000014</v>
      </c>
    </row>
    <row r="119" spans="11:12" x14ac:dyDescent="0.4">
      <c r="K119" s="38">
        <v>117</v>
      </c>
      <c r="L119" s="99">
        <v>1.4210854715202004E-14</v>
      </c>
    </row>
    <row r="120" spans="11:12" x14ac:dyDescent="0.4">
      <c r="K120" s="38">
        <v>118</v>
      </c>
      <c r="L120" s="99">
        <v>-7.8999999999999861</v>
      </c>
    </row>
    <row r="121" spans="11:12" x14ac:dyDescent="0.4">
      <c r="K121" s="38">
        <v>119</v>
      </c>
      <c r="L121" s="99">
        <v>55.100000000000016</v>
      </c>
    </row>
    <row r="122" spans="11:12" x14ac:dyDescent="0.4">
      <c r="K122" s="38">
        <v>120</v>
      </c>
      <c r="L122" s="99">
        <v>1.4210854715202004E-14</v>
      </c>
    </row>
    <row r="123" spans="11:12" x14ac:dyDescent="0.4">
      <c r="K123" s="38">
        <v>121</v>
      </c>
      <c r="L123" s="99">
        <v>-0.99999999999998579</v>
      </c>
    </row>
    <row r="124" spans="11:12" x14ac:dyDescent="0.4">
      <c r="K124" s="38">
        <v>122</v>
      </c>
      <c r="L124" s="99">
        <v>-30.799999999999986</v>
      </c>
    </row>
    <row r="125" spans="11:12" x14ac:dyDescent="0.4">
      <c r="K125" s="38">
        <v>123</v>
      </c>
      <c r="L125" s="99">
        <v>1.4210854715202004E-14</v>
      </c>
    </row>
    <row r="126" spans="11:12" x14ac:dyDescent="0.4">
      <c r="K126" s="38">
        <v>124</v>
      </c>
      <c r="L126" s="99">
        <v>0.50000000000001421</v>
      </c>
    </row>
    <row r="127" spans="11:12" x14ac:dyDescent="0.4">
      <c r="K127" s="38">
        <v>125</v>
      </c>
      <c r="L127" s="99">
        <v>29.100000000000016</v>
      </c>
    </row>
    <row r="128" spans="11:12" x14ac:dyDescent="0.4">
      <c r="K128" s="38">
        <v>126</v>
      </c>
      <c r="L128" s="99">
        <v>1.4210854715202004E-14</v>
      </c>
    </row>
    <row r="129" spans="11:12" x14ac:dyDescent="0.4">
      <c r="K129" s="38">
        <v>127</v>
      </c>
      <c r="L129" s="99">
        <v>-45.299999999999983</v>
      </c>
    </row>
    <row r="130" spans="11:12" x14ac:dyDescent="0.4">
      <c r="K130" s="38">
        <v>128</v>
      </c>
      <c r="L130" s="99">
        <v>-59.299999999999983</v>
      </c>
    </row>
    <row r="131" spans="11:12" x14ac:dyDescent="0.4">
      <c r="K131" s="38">
        <v>129</v>
      </c>
      <c r="L131" s="99">
        <v>1.4210854715202004E-14</v>
      </c>
    </row>
    <row r="132" spans="11:12" x14ac:dyDescent="0.4">
      <c r="K132" s="38">
        <v>130</v>
      </c>
      <c r="L132" s="99">
        <v>-8.8999999999999861</v>
      </c>
    </row>
    <row r="133" spans="11:12" x14ac:dyDescent="0.4">
      <c r="K133" s="38">
        <v>131</v>
      </c>
      <c r="L133" s="99">
        <v>-47.499999999999986</v>
      </c>
    </row>
    <row r="134" spans="11:12" x14ac:dyDescent="0.4">
      <c r="K134" s="38">
        <v>132</v>
      </c>
      <c r="L134" s="99">
        <v>1.4210854715202004E-14</v>
      </c>
    </row>
    <row r="135" spans="11:12" x14ac:dyDescent="0.4">
      <c r="K135" s="38">
        <v>133</v>
      </c>
      <c r="L135" s="99">
        <v>-3.4999999999999858</v>
      </c>
    </row>
    <row r="136" spans="11:12" x14ac:dyDescent="0.4">
      <c r="K136" s="38">
        <v>134</v>
      </c>
      <c r="L136" s="99">
        <v>27.000000000000014</v>
      </c>
    </row>
    <row r="137" spans="11:12" x14ac:dyDescent="0.4">
      <c r="K137" s="38">
        <v>135</v>
      </c>
      <c r="L137" s="99">
        <v>1.4210854715202004E-14</v>
      </c>
    </row>
    <row r="138" spans="11:12" x14ac:dyDescent="0.4">
      <c r="K138" s="38">
        <v>136</v>
      </c>
      <c r="L138" s="99">
        <v>-55.199999999999989</v>
      </c>
    </row>
    <row r="139" spans="11:12" x14ac:dyDescent="0.4">
      <c r="K139" s="38">
        <v>137</v>
      </c>
      <c r="L139" s="99">
        <v>-80.699999999999989</v>
      </c>
    </row>
    <row r="140" spans="11:12" x14ac:dyDescent="0.4">
      <c r="K140" s="38">
        <v>138</v>
      </c>
      <c r="L140" s="99">
        <v>1.4210854715202004E-14</v>
      </c>
    </row>
    <row r="141" spans="11:12" x14ac:dyDescent="0.4">
      <c r="K141" s="38">
        <v>139</v>
      </c>
      <c r="L141" s="99">
        <v>8.0000000000000142</v>
      </c>
    </row>
    <row r="142" spans="11:12" x14ac:dyDescent="0.4">
      <c r="K142" s="38">
        <v>140</v>
      </c>
      <c r="L142" s="99">
        <v>-63.199999999999989</v>
      </c>
    </row>
    <row r="143" spans="11:12" x14ac:dyDescent="0.4">
      <c r="K143" s="38">
        <v>141</v>
      </c>
      <c r="L143" s="99">
        <v>1.4210854715202004E-14</v>
      </c>
    </row>
    <row r="144" spans="11:12" x14ac:dyDescent="0.4">
      <c r="K144" s="38">
        <v>142</v>
      </c>
      <c r="L144" s="99">
        <v>54.500000000000014</v>
      </c>
    </row>
    <row r="145" spans="11:12" x14ac:dyDescent="0.4">
      <c r="K145" s="38">
        <v>143</v>
      </c>
      <c r="L145" s="99">
        <v>8.5000000000000142</v>
      </c>
    </row>
    <row r="146" spans="11:12" x14ac:dyDescent="0.4">
      <c r="K146" s="38">
        <v>144</v>
      </c>
      <c r="L146" s="99">
        <v>1.4210854715202004E-14</v>
      </c>
    </row>
    <row r="147" spans="11:12" x14ac:dyDescent="0.4">
      <c r="K147" s="38">
        <v>145</v>
      </c>
      <c r="L147" s="99">
        <v>-10.599999999999985</v>
      </c>
    </row>
    <row r="148" spans="11:12" x14ac:dyDescent="0.4">
      <c r="K148" s="38">
        <v>146</v>
      </c>
      <c r="L148" s="99">
        <v>-61.79999999999999</v>
      </c>
    </row>
    <row r="149" spans="11:12" x14ac:dyDescent="0.4">
      <c r="K149" s="38">
        <v>147</v>
      </c>
      <c r="L149" s="99">
        <v>7.1054273576010019E-15</v>
      </c>
    </row>
    <row r="150" spans="11:12" x14ac:dyDescent="0.4">
      <c r="K150" s="38">
        <v>148</v>
      </c>
      <c r="L150" s="99">
        <v>4.6000000000000068</v>
      </c>
    </row>
    <row r="151" spans="11:12" x14ac:dyDescent="0.4">
      <c r="K151" s="38">
        <v>149</v>
      </c>
      <c r="L151" s="99">
        <v>-25.29999999999999</v>
      </c>
    </row>
    <row r="152" spans="11:12" x14ac:dyDescent="0.4">
      <c r="K152" s="38">
        <v>150</v>
      </c>
      <c r="L152" s="99">
        <v>1.0658141036401503E-14</v>
      </c>
    </row>
    <row r="153" spans="11:12" x14ac:dyDescent="0.4">
      <c r="K153" s="38">
        <v>151</v>
      </c>
      <c r="L153" s="99">
        <v>-2.4999999999999893</v>
      </c>
    </row>
    <row r="154" spans="11:12" x14ac:dyDescent="0.4">
      <c r="K154" s="38">
        <v>152</v>
      </c>
      <c r="L154" s="99">
        <v>-49.999999999999986</v>
      </c>
    </row>
    <row r="155" spans="11:12" x14ac:dyDescent="0.4">
      <c r="K155" s="38">
        <v>153</v>
      </c>
      <c r="L155" s="99">
        <v>1.4210854715202004E-14</v>
      </c>
    </row>
    <row r="156" spans="11:12" x14ac:dyDescent="0.4">
      <c r="K156" s="38">
        <v>154</v>
      </c>
      <c r="L156" s="99">
        <v>31.900000000000013</v>
      </c>
    </row>
    <row r="157" spans="11:12" x14ac:dyDescent="0.4">
      <c r="K157" s="38">
        <v>155</v>
      </c>
      <c r="L157" s="99">
        <v>28.100000000000012</v>
      </c>
    </row>
    <row r="158" spans="11:12" x14ac:dyDescent="0.4">
      <c r="K158" s="38">
        <v>156</v>
      </c>
      <c r="L158" s="99">
        <v>1.0658141036401503E-14</v>
      </c>
    </row>
    <row r="159" spans="11:12" x14ac:dyDescent="0.4">
      <c r="K159" s="38">
        <v>157</v>
      </c>
      <c r="L159" s="99">
        <v>-55.999999999999986</v>
      </c>
    </row>
    <row r="160" spans="11:12" x14ac:dyDescent="0.4">
      <c r="K160" s="38">
        <v>158</v>
      </c>
      <c r="L160" s="99">
        <v>13.000000000000014</v>
      </c>
    </row>
    <row r="161" spans="11:12" x14ac:dyDescent="0.4">
      <c r="K161" s="38">
        <v>159</v>
      </c>
      <c r="L161" s="99">
        <v>1.4210854715202004E-14</v>
      </c>
    </row>
    <row r="162" spans="11:12" x14ac:dyDescent="0.4">
      <c r="K162" s="38">
        <v>160</v>
      </c>
      <c r="L162" s="99">
        <v>12.400000000000015</v>
      </c>
    </row>
    <row r="163" spans="11:12" x14ac:dyDescent="0.4">
      <c r="K163" s="38">
        <v>161</v>
      </c>
      <c r="L163" s="99">
        <v>49.100000000000016</v>
      </c>
    </row>
    <row r="164" spans="11:12" x14ac:dyDescent="0.4">
      <c r="K164" s="38">
        <v>162</v>
      </c>
      <c r="L164" s="99">
        <v>1.4210854715202004E-14</v>
      </c>
    </row>
    <row r="165" spans="11:12" x14ac:dyDescent="0.4">
      <c r="K165" s="38">
        <v>163</v>
      </c>
      <c r="L165" s="99">
        <v>-60.299999999999983</v>
      </c>
    </row>
    <row r="166" spans="11:12" x14ac:dyDescent="0.4">
      <c r="K166" s="38">
        <v>164</v>
      </c>
      <c r="L166" s="99">
        <v>9.3000000000000114</v>
      </c>
    </row>
    <row r="167" spans="11:12" x14ac:dyDescent="0.4">
      <c r="K167" s="38">
        <v>165</v>
      </c>
      <c r="L167" s="99">
        <v>1.0658141036401503E-14</v>
      </c>
    </row>
    <row r="168" spans="11:12" x14ac:dyDescent="0.4">
      <c r="K168" s="38">
        <v>166</v>
      </c>
      <c r="L168" s="99">
        <v>48.500000000000014</v>
      </c>
    </row>
    <row r="169" spans="11:12" x14ac:dyDescent="0.4">
      <c r="K169" s="38">
        <v>167</v>
      </c>
      <c r="L169" s="99">
        <v>68.000000000000014</v>
      </c>
    </row>
    <row r="170" spans="11:12" x14ac:dyDescent="0.4">
      <c r="K170" s="38">
        <v>168</v>
      </c>
      <c r="L170" s="99">
        <v>1.4210854715202004E-14</v>
      </c>
    </row>
    <row r="171" spans="11:12" x14ac:dyDescent="0.4">
      <c r="K171" s="38">
        <v>169</v>
      </c>
      <c r="L171" s="99">
        <v>-1.4999999999999858</v>
      </c>
    </row>
    <row r="172" spans="11:12" x14ac:dyDescent="0.4">
      <c r="K172" s="38">
        <v>170</v>
      </c>
      <c r="L172" s="99">
        <v>-32.599999999999987</v>
      </c>
    </row>
    <row r="173" spans="11:12" x14ac:dyDescent="0.4">
      <c r="K173" s="38">
        <v>171</v>
      </c>
      <c r="L173" s="99">
        <v>1.4210854715202004E-14</v>
      </c>
    </row>
    <row r="174" spans="11:12" x14ac:dyDescent="0.4">
      <c r="K174" s="38">
        <v>172</v>
      </c>
      <c r="L174" s="99">
        <v>47.400000000000013</v>
      </c>
    </row>
    <row r="175" spans="11:12" x14ac:dyDescent="0.4">
      <c r="K175" s="38">
        <v>173</v>
      </c>
      <c r="L175" s="99">
        <v>52.300000000000011</v>
      </c>
    </row>
    <row r="176" spans="11:12" x14ac:dyDescent="0.4">
      <c r="K176" s="38">
        <v>174</v>
      </c>
      <c r="L176" s="99">
        <v>1.4210854715202004E-14</v>
      </c>
    </row>
    <row r="177" spans="11:12" x14ac:dyDescent="0.4">
      <c r="K177" s="38">
        <v>175</v>
      </c>
      <c r="L177" s="99">
        <v>73.600000000000009</v>
      </c>
    </row>
    <row r="178" spans="11:12" x14ac:dyDescent="0.4">
      <c r="K178" s="38">
        <v>176</v>
      </c>
      <c r="L178" s="99">
        <v>7.3000000000000114</v>
      </c>
    </row>
    <row r="179" spans="11:12" x14ac:dyDescent="0.4">
      <c r="K179" s="38">
        <v>177</v>
      </c>
      <c r="L179" s="99">
        <v>1.1546319456101628E-14</v>
      </c>
    </row>
    <row r="180" spans="11:12" x14ac:dyDescent="0.4">
      <c r="K180" s="38">
        <v>178</v>
      </c>
      <c r="L180" s="99">
        <v>-33.599999999999987</v>
      </c>
    </row>
    <row r="181" spans="11:12" x14ac:dyDescent="0.4">
      <c r="K181" s="38">
        <v>179</v>
      </c>
      <c r="L181" s="99">
        <v>-32.499999999999986</v>
      </c>
    </row>
    <row r="182" spans="11:12" x14ac:dyDescent="0.4">
      <c r="K182" s="38">
        <v>180</v>
      </c>
      <c r="L182" s="99">
        <v>1.4210854715202004E-14</v>
      </c>
    </row>
    <row r="183" spans="11:12" x14ac:dyDescent="0.4">
      <c r="K183" s="38">
        <v>181</v>
      </c>
      <c r="L183" s="99">
        <v>5.4000000000000146</v>
      </c>
    </row>
    <row r="184" spans="11:12" x14ac:dyDescent="0.4">
      <c r="K184" s="38">
        <v>182</v>
      </c>
      <c r="L184" s="99">
        <v>-26.899999999999984</v>
      </c>
    </row>
    <row r="185" spans="11:12" x14ac:dyDescent="0.4">
      <c r="K185" s="38">
        <v>183</v>
      </c>
      <c r="L185" s="99">
        <v>1.4210854715202004E-14</v>
      </c>
    </row>
    <row r="186" spans="11:12" x14ac:dyDescent="0.4">
      <c r="K186" s="38">
        <v>184</v>
      </c>
      <c r="L186" s="99">
        <v>15.100000000000014</v>
      </c>
    </row>
    <row r="187" spans="11:12" x14ac:dyDescent="0.4">
      <c r="K187" s="38">
        <v>185</v>
      </c>
      <c r="L187" s="99">
        <v>-35.199999999999982</v>
      </c>
    </row>
    <row r="188" spans="11:12" x14ac:dyDescent="0.4">
      <c r="K188" s="38">
        <v>186</v>
      </c>
      <c r="L188" s="99">
        <v>2.1316282072803006E-14</v>
      </c>
    </row>
    <row r="189" spans="11:12" x14ac:dyDescent="0.4">
      <c r="K189" s="38">
        <v>187</v>
      </c>
      <c r="L189" s="99">
        <v>-28.199999999999978</v>
      </c>
    </row>
    <row r="190" spans="11:12" x14ac:dyDescent="0.4">
      <c r="K190" s="38">
        <v>188</v>
      </c>
      <c r="L190" s="99">
        <v>-33.499999999999979</v>
      </c>
    </row>
    <row r="191" spans="11:12" x14ac:dyDescent="0.4">
      <c r="K191" s="38">
        <v>189</v>
      </c>
      <c r="L191" s="99">
        <v>2.1316282072803006E-14</v>
      </c>
    </row>
    <row r="192" spans="11:12" x14ac:dyDescent="0.4">
      <c r="K192" s="38">
        <v>190</v>
      </c>
      <c r="L192" s="99">
        <v>-60.899999999999977</v>
      </c>
    </row>
    <row r="193" spans="11:12" x14ac:dyDescent="0.4">
      <c r="K193" s="38">
        <v>191</v>
      </c>
      <c r="L193" s="99">
        <v>-57.399999999999977</v>
      </c>
    </row>
    <row r="194" spans="11:12" x14ac:dyDescent="0.4">
      <c r="K194" s="38">
        <v>192</v>
      </c>
      <c r="L194" s="99">
        <v>2.1316282072803006E-14</v>
      </c>
    </row>
    <row r="195" spans="11:12" x14ac:dyDescent="0.4">
      <c r="K195" s="38">
        <v>193</v>
      </c>
      <c r="L195" s="99">
        <v>-57.699999999999982</v>
      </c>
    </row>
    <row r="196" spans="11:12" x14ac:dyDescent="0.4">
      <c r="K196" s="38">
        <v>194</v>
      </c>
      <c r="L196" s="99">
        <v>-13.799999999999983</v>
      </c>
    </row>
    <row r="197" spans="11:12" x14ac:dyDescent="0.4">
      <c r="K197" s="38">
        <v>195</v>
      </c>
      <c r="L197" s="99">
        <v>1.7763568394002505E-14</v>
      </c>
    </row>
    <row r="198" spans="11:12" x14ac:dyDescent="0.4">
      <c r="K198" s="38">
        <v>196</v>
      </c>
      <c r="L198" s="99">
        <v>-55.499999999999986</v>
      </c>
    </row>
    <row r="199" spans="11:12" x14ac:dyDescent="0.4">
      <c r="K199" s="38">
        <v>197</v>
      </c>
      <c r="L199" s="99">
        <v>1.5000000000000142</v>
      </c>
    </row>
    <row r="200" spans="11:12" x14ac:dyDescent="0.4">
      <c r="K200" s="38">
        <v>198</v>
      </c>
      <c r="L200" s="99">
        <v>1.4210854715202004E-14</v>
      </c>
    </row>
    <row r="201" spans="11:12" x14ac:dyDescent="0.4">
      <c r="K201" s="38">
        <v>199</v>
      </c>
      <c r="L201" s="99">
        <v>46.900000000000013</v>
      </c>
    </row>
    <row r="202" spans="11:12" x14ac:dyDescent="0.4">
      <c r="K202" s="38">
        <v>200</v>
      </c>
      <c r="L202" s="99">
        <v>12.500000000000014</v>
      </c>
    </row>
    <row r="203" spans="11:12" x14ac:dyDescent="0.4">
      <c r="K203" s="38">
        <v>201</v>
      </c>
      <c r="L203" s="99">
        <v>1.4210854715202004E-14</v>
      </c>
    </row>
    <row r="204" spans="11:12" x14ac:dyDescent="0.4">
      <c r="K204" s="38">
        <v>202</v>
      </c>
      <c r="L204" s="99">
        <v>-59.899999999999984</v>
      </c>
    </row>
    <row r="205" spans="11:12" x14ac:dyDescent="0.4">
      <c r="K205" s="38">
        <v>203</v>
      </c>
      <c r="L205" s="99">
        <v>4.4000000000000128</v>
      </c>
    </row>
    <row r="206" spans="11:12" x14ac:dyDescent="0.4">
      <c r="K206" s="38">
        <v>204</v>
      </c>
      <c r="L206" s="99">
        <v>1.2434497875801753E-14</v>
      </c>
    </row>
    <row r="207" spans="11:12" x14ac:dyDescent="0.4">
      <c r="K207" s="38">
        <v>205</v>
      </c>
      <c r="L207" s="99">
        <v>54.500000000000014</v>
      </c>
    </row>
    <row r="208" spans="11:12" x14ac:dyDescent="0.4">
      <c r="K208" s="38">
        <v>206</v>
      </c>
      <c r="L208" s="99">
        <v>-8.9999999999999858</v>
      </c>
    </row>
    <row r="209" spans="11:12" x14ac:dyDescent="0.4">
      <c r="K209" s="38">
        <v>207</v>
      </c>
      <c r="L209" s="99">
        <v>1.4210854715202004E-14</v>
      </c>
    </row>
    <row r="210" spans="11:12" x14ac:dyDescent="0.4">
      <c r="K210" s="38">
        <v>208</v>
      </c>
      <c r="L210" s="99">
        <v>-55.399999999999984</v>
      </c>
    </row>
    <row r="211" spans="11:12" x14ac:dyDescent="0.4">
      <c r="K211" s="38">
        <v>209</v>
      </c>
      <c r="L211" s="99">
        <v>-51.899999999999984</v>
      </c>
    </row>
    <row r="212" spans="11:12" x14ac:dyDescent="0.4">
      <c r="K212" s="38">
        <v>210</v>
      </c>
      <c r="L212" s="99">
        <v>1.4210854715202004E-14</v>
      </c>
    </row>
    <row r="213" spans="11:12" x14ac:dyDescent="0.4">
      <c r="K213" s="38">
        <v>211</v>
      </c>
      <c r="L213" s="99">
        <v>4.1000000000000139</v>
      </c>
    </row>
    <row r="214" spans="11:12" x14ac:dyDescent="0.4">
      <c r="K214" s="38">
        <v>212</v>
      </c>
      <c r="L214" s="99">
        <v>35.200000000000017</v>
      </c>
    </row>
    <row r="215" spans="11:12" x14ac:dyDescent="0.4">
      <c r="K215" s="38">
        <v>213</v>
      </c>
      <c r="L215" s="99">
        <v>1.4210854715202004E-14</v>
      </c>
    </row>
    <row r="216" spans="11:12" x14ac:dyDescent="0.4">
      <c r="K216" s="38">
        <v>214</v>
      </c>
      <c r="L216" s="99">
        <v>-5.199999999999986</v>
      </c>
    </row>
    <row r="217" spans="11:12" x14ac:dyDescent="0.4">
      <c r="K217" s="38">
        <v>215</v>
      </c>
      <c r="L217" s="99">
        <v>-32.29999999999999</v>
      </c>
    </row>
    <row r="218" spans="11:12" x14ac:dyDescent="0.4">
      <c r="K218" s="38">
        <v>216</v>
      </c>
      <c r="L218" s="99">
        <v>7.1054273576010019E-15</v>
      </c>
    </row>
    <row r="219" spans="11:12" x14ac:dyDescent="0.4">
      <c r="K219" s="38">
        <v>217</v>
      </c>
      <c r="L219" s="99">
        <v>30.600000000000009</v>
      </c>
    </row>
    <row r="220" spans="11:12" x14ac:dyDescent="0.4">
      <c r="K220" s="38">
        <v>218</v>
      </c>
      <c r="L220" s="99">
        <v>-10.099999999999994</v>
      </c>
    </row>
    <row r="221" spans="11:12" x14ac:dyDescent="0.4">
      <c r="K221" s="38">
        <v>219</v>
      </c>
      <c r="L221" s="99">
        <v>5.3290705182007514E-15</v>
      </c>
    </row>
    <row r="222" spans="11:12" x14ac:dyDescent="0.4">
      <c r="K222" s="38">
        <v>220</v>
      </c>
      <c r="L222" s="99">
        <v>-28.599999999999994</v>
      </c>
    </row>
    <row r="223" spans="11:12" x14ac:dyDescent="0.4">
      <c r="K223" s="38">
        <v>221</v>
      </c>
      <c r="L223" s="99">
        <v>1.3000000000000043</v>
      </c>
    </row>
    <row r="224" spans="11:12" x14ac:dyDescent="0.4">
      <c r="K224" s="38">
        <v>222</v>
      </c>
      <c r="L224" s="99">
        <v>4.2188474935755949E-15</v>
      </c>
    </row>
    <row r="225" spans="11:12" x14ac:dyDescent="0.4">
      <c r="K225" s="38">
        <v>223</v>
      </c>
      <c r="L225" s="99">
        <v>-26.299999999999997</v>
      </c>
    </row>
    <row r="226" spans="11:12" x14ac:dyDescent="0.4">
      <c r="K226" s="38">
        <v>224</v>
      </c>
      <c r="L226" s="99">
        <v>4.1000000000000014</v>
      </c>
    </row>
    <row r="227" spans="11:12" x14ac:dyDescent="0.4">
      <c r="K227" s="38">
        <v>225</v>
      </c>
      <c r="L227" s="99">
        <v>1.7763568394002505E-15</v>
      </c>
    </row>
    <row r="228" spans="11:12" x14ac:dyDescent="0.4">
      <c r="K228" s="38">
        <v>226</v>
      </c>
      <c r="L228" s="99">
        <v>-39.5</v>
      </c>
    </row>
    <row r="229" spans="11:12" x14ac:dyDescent="0.4">
      <c r="K229" s="38">
        <v>227</v>
      </c>
      <c r="L229" s="99">
        <v>-33.700000000000003</v>
      </c>
    </row>
    <row r="230" spans="11:12" x14ac:dyDescent="0.4">
      <c r="K230" s="38">
        <v>228</v>
      </c>
      <c r="L230" s="99">
        <v>0</v>
      </c>
    </row>
    <row r="231" spans="11:12" x14ac:dyDescent="0.4">
      <c r="K231" s="38">
        <v>229</v>
      </c>
      <c r="L231" s="99">
        <v>4.0999999999999996</v>
      </c>
    </row>
    <row r="232" spans="11:12" x14ac:dyDescent="0.4">
      <c r="K232" s="38">
        <v>230</v>
      </c>
      <c r="L232" s="99">
        <v>-56</v>
      </c>
    </row>
    <row r="233" spans="11:12" x14ac:dyDescent="0.4">
      <c r="K233" s="38">
        <v>231</v>
      </c>
      <c r="L233" s="99">
        <v>0</v>
      </c>
    </row>
    <row r="234" spans="11:12" x14ac:dyDescent="0.4">
      <c r="K234" s="38">
        <v>232</v>
      </c>
      <c r="L234" s="99">
        <v>-21</v>
      </c>
    </row>
    <row r="235" spans="11:12" x14ac:dyDescent="0.4">
      <c r="K235" s="38">
        <v>233</v>
      </c>
      <c r="L235" s="99">
        <v>58</v>
      </c>
    </row>
    <row r="236" spans="11:12" x14ac:dyDescent="0.4">
      <c r="K236" s="38">
        <v>234</v>
      </c>
      <c r="L236" s="99">
        <v>0</v>
      </c>
    </row>
    <row r="237" spans="11:12" x14ac:dyDescent="0.4">
      <c r="K237" s="38">
        <v>235</v>
      </c>
      <c r="L237" s="99">
        <v>-34</v>
      </c>
    </row>
    <row r="238" spans="11:12" x14ac:dyDescent="0.4">
      <c r="K238" s="38">
        <v>236</v>
      </c>
      <c r="L238" s="99">
        <v>-101</v>
      </c>
    </row>
    <row r="239" spans="11:12" x14ac:dyDescent="0.4">
      <c r="K239" s="38">
        <v>237</v>
      </c>
      <c r="L239" s="99">
        <v>0</v>
      </c>
    </row>
    <row r="240" spans="11:12" x14ac:dyDescent="0.4">
      <c r="K240" s="38">
        <v>238</v>
      </c>
      <c r="L240" s="99">
        <v>-13</v>
      </c>
    </row>
    <row r="241" spans="11:12" x14ac:dyDescent="0.4">
      <c r="K241" s="38">
        <v>239</v>
      </c>
      <c r="L241" s="99">
        <v>-92.9</v>
      </c>
    </row>
    <row r="242" spans="11:12" x14ac:dyDescent="0.4">
      <c r="K242" s="38">
        <v>240</v>
      </c>
      <c r="L242" s="99">
        <v>0</v>
      </c>
    </row>
    <row r="243" spans="11:12" x14ac:dyDescent="0.4">
      <c r="K243" s="38">
        <v>241</v>
      </c>
      <c r="L243" s="99">
        <v>-3.1</v>
      </c>
    </row>
    <row r="244" spans="11:12" x14ac:dyDescent="0.4">
      <c r="K244" s="38">
        <v>242</v>
      </c>
      <c r="L244" s="99">
        <v>30.299999999999997</v>
      </c>
    </row>
    <row r="245" spans="11:12" x14ac:dyDescent="0.4">
      <c r="K245" s="38">
        <v>243</v>
      </c>
      <c r="L245" s="99">
        <v>-3.5527136788005009E-15</v>
      </c>
    </row>
    <row r="246" spans="11:12" x14ac:dyDescent="0.4">
      <c r="K246" s="38">
        <v>244</v>
      </c>
      <c r="L246" s="99">
        <v>5.3999999999999968</v>
      </c>
    </row>
    <row r="247" spans="11:12" x14ac:dyDescent="0.4">
      <c r="K247" s="38">
        <v>245</v>
      </c>
      <c r="L247" s="99">
        <v>-29.4</v>
      </c>
    </row>
    <row r="248" spans="11:12" x14ac:dyDescent="0.4">
      <c r="K248" s="38">
        <v>246</v>
      </c>
      <c r="L248" s="99">
        <v>0</v>
      </c>
    </row>
    <row r="249" spans="11:12" x14ac:dyDescent="0.4">
      <c r="K249" s="38">
        <v>247</v>
      </c>
      <c r="L249" s="99">
        <v>-61.2</v>
      </c>
    </row>
    <row r="250" spans="11:12" x14ac:dyDescent="0.4">
      <c r="K250" s="38">
        <v>248</v>
      </c>
      <c r="L250" s="99">
        <v>-9</v>
      </c>
    </row>
    <row r="251" spans="11:12" x14ac:dyDescent="0.4">
      <c r="K251" s="38">
        <v>249</v>
      </c>
      <c r="L251" s="99">
        <v>0</v>
      </c>
    </row>
    <row r="252" spans="11:12" x14ac:dyDescent="0.4">
      <c r="K252" s="38">
        <v>250</v>
      </c>
      <c r="L252" s="99">
        <v>-15.6</v>
      </c>
    </row>
    <row r="253" spans="11:12" x14ac:dyDescent="0.4">
      <c r="K253" s="38">
        <v>251</v>
      </c>
      <c r="L253" s="99">
        <v>-74.3</v>
      </c>
    </row>
    <row r="254" spans="11:12" x14ac:dyDescent="0.4">
      <c r="K254" s="38">
        <v>252</v>
      </c>
      <c r="L254" s="99">
        <v>0</v>
      </c>
    </row>
    <row r="255" spans="11:12" x14ac:dyDescent="0.4">
      <c r="K255" s="38">
        <v>253</v>
      </c>
      <c r="L255" s="99">
        <v>7.7</v>
      </c>
    </row>
    <row r="256" spans="11:12" x14ac:dyDescent="0.4">
      <c r="K256" s="38">
        <v>254</v>
      </c>
      <c r="L256" s="99">
        <v>38.5</v>
      </c>
    </row>
    <row r="257" spans="11:12" x14ac:dyDescent="0.4">
      <c r="K257" s="38">
        <v>255</v>
      </c>
      <c r="L257" s="99">
        <v>0</v>
      </c>
    </row>
    <row r="258" spans="11:12" x14ac:dyDescent="0.4">
      <c r="K258" s="38">
        <v>256</v>
      </c>
      <c r="L258" s="99">
        <v>3.4</v>
      </c>
    </row>
    <row r="259" spans="11:12" x14ac:dyDescent="0.4">
      <c r="K259" s="38">
        <v>257</v>
      </c>
      <c r="L259" s="99">
        <v>-28.3</v>
      </c>
    </row>
    <row r="260" spans="11:12" x14ac:dyDescent="0.4">
      <c r="K260" s="38">
        <v>258</v>
      </c>
      <c r="L260" s="99">
        <v>0</v>
      </c>
    </row>
    <row r="261" spans="11:12" x14ac:dyDescent="0.4">
      <c r="K261" s="38">
        <v>259</v>
      </c>
      <c r="L261" s="99">
        <v>-42.3</v>
      </c>
    </row>
    <row r="262" spans="11:12" x14ac:dyDescent="0.4">
      <c r="K262" s="38">
        <v>260</v>
      </c>
      <c r="L262" s="99">
        <v>-2.5</v>
      </c>
    </row>
    <row r="263" spans="11:12" x14ac:dyDescent="0.4">
      <c r="K263" s="38">
        <v>261</v>
      </c>
      <c r="L263" s="99">
        <v>0</v>
      </c>
    </row>
    <row r="264" spans="11:12" x14ac:dyDescent="0.4">
      <c r="K264" s="38">
        <v>262</v>
      </c>
      <c r="L264" s="99">
        <v>-28.8</v>
      </c>
    </row>
    <row r="265" spans="11:12" x14ac:dyDescent="0.4">
      <c r="K265" s="38">
        <v>263</v>
      </c>
      <c r="L265" s="99">
        <v>-36.4</v>
      </c>
    </row>
    <row r="266" spans="11:12" x14ac:dyDescent="0.4">
      <c r="K266" s="38">
        <v>264</v>
      </c>
      <c r="L266" s="99">
        <v>0</v>
      </c>
    </row>
    <row r="267" spans="11:12" x14ac:dyDescent="0.4">
      <c r="K267" s="38">
        <v>265</v>
      </c>
      <c r="L267" s="99">
        <v>-47</v>
      </c>
    </row>
    <row r="268" spans="11:12" x14ac:dyDescent="0.4">
      <c r="K268" s="38">
        <v>266</v>
      </c>
      <c r="L268" s="99">
        <v>-7.5</v>
      </c>
    </row>
    <row r="269" spans="11:12" x14ac:dyDescent="0.4">
      <c r="K269" s="38">
        <v>267</v>
      </c>
      <c r="L269" s="99">
        <v>0</v>
      </c>
    </row>
    <row r="270" spans="11:12" x14ac:dyDescent="0.4">
      <c r="K270" s="38">
        <v>268</v>
      </c>
      <c r="L270" s="99">
        <v>2.9</v>
      </c>
    </row>
    <row r="271" spans="11:12" x14ac:dyDescent="0.4">
      <c r="K271" s="38">
        <v>269</v>
      </c>
      <c r="L271" s="99">
        <v>32.1</v>
      </c>
    </row>
    <row r="272" spans="11:12" x14ac:dyDescent="0.4">
      <c r="K272" s="38">
        <v>270</v>
      </c>
      <c r="L272" s="99">
        <v>0</v>
      </c>
    </row>
    <row r="273" spans="11:12" x14ac:dyDescent="0.4">
      <c r="K273" s="38">
        <v>271</v>
      </c>
      <c r="L273" s="99">
        <v>-24.8</v>
      </c>
    </row>
    <row r="274" spans="11:12" x14ac:dyDescent="0.4">
      <c r="K274" s="38">
        <v>272</v>
      </c>
      <c r="L274" s="99">
        <v>-82.5</v>
      </c>
    </row>
    <row r="275" spans="11:12" x14ac:dyDescent="0.4">
      <c r="K275" s="38">
        <v>273</v>
      </c>
      <c r="L275" s="99">
        <v>0</v>
      </c>
    </row>
    <row r="276" spans="11:12" x14ac:dyDescent="0.4">
      <c r="K276" s="38">
        <v>274</v>
      </c>
      <c r="L276" s="99">
        <v>30.3</v>
      </c>
    </row>
    <row r="277" spans="11:12" x14ac:dyDescent="0.4">
      <c r="K277" s="38">
        <v>275</v>
      </c>
      <c r="L277" s="99">
        <v>27.5</v>
      </c>
    </row>
    <row r="278" spans="11:12" x14ac:dyDescent="0.4">
      <c r="K278" s="38">
        <v>276</v>
      </c>
      <c r="L278" s="99">
        <v>0</v>
      </c>
    </row>
    <row r="279" spans="11:12" x14ac:dyDescent="0.4">
      <c r="K279" s="38">
        <v>277</v>
      </c>
      <c r="L279" s="99">
        <v>-5.5</v>
      </c>
    </row>
    <row r="280" spans="11:12" x14ac:dyDescent="0.4">
      <c r="K280" s="38">
        <v>278</v>
      </c>
      <c r="L280" s="99">
        <v>-66.599999999999994</v>
      </c>
    </row>
    <row r="281" spans="11:12" x14ac:dyDescent="0.4">
      <c r="K281" s="38">
        <v>279</v>
      </c>
      <c r="L281" s="99">
        <v>0</v>
      </c>
    </row>
    <row r="282" spans="11:12" x14ac:dyDescent="0.4">
      <c r="K282" s="38">
        <v>280</v>
      </c>
      <c r="L282" s="99">
        <v>-32.9</v>
      </c>
    </row>
    <row r="283" spans="11:12" x14ac:dyDescent="0.4">
      <c r="K283" s="38">
        <v>281</v>
      </c>
      <c r="L283" s="99">
        <v>12.5</v>
      </c>
    </row>
    <row r="284" spans="11:12" x14ac:dyDescent="0.4">
      <c r="K284" s="38">
        <v>282</v>
      </c>
      <c r="L284" s="99">
        <v>0</v>
      </c>
    </row>
    <row r="285" spans="11:12" x14ac:dyDescent="0.4">
      <c r="K285" s="38">
        <v>283</v>
      </c>
      <c r="L285" s="99">
        <v>45.1</v>
      </c>
    </row>
    <row r="286" spans="11:12" x14ac:dyDescent="0.4">
      <c r="K286" s="38">
        <v>284</v>
      </c>
      <c r="L286" s="99">
        <v>7.1000000000000014</v>
      </c>
    </row>
    <row r="287" spans="11:12" x14ac:dyDescent="0.4">
      <c r="K287" s="38">
        <v>285</v>
      </c>
      <c r="L287" s="99">
        <v>1.7763568394002505E-15</v>
      </c>
    </row>
    <row r="288" spans="11:12" x14ac:dyDescent="0.4">
      <c r="K288" s="38">
        <v>286</v>
      </c>
      <c r="L288" s="99">
        <v>-56.4</v>
      </c>
    </row>
    <row r="289" spans="11:12" x14ac:dyDescent="0.4">
      <c r="K289" s="38">
        <v>287</v>
      </c>
      <c r="L289" s="99">
        <v>-51.1</v>
      </c>
    </row>
    <row r="290" spans="11:12" x14ac:dyDescent="0.4">
      <c r="K290" s="38">
        <v>288</v>
      </c>
      <c r="L290" s="99">
        <v>0</v>
      </c>
    </row>
    <row r="291" spans="11:12" x14ac:dyDescent="0.4">
      <c r="K291" s="38">
        <v>289</v>
      </c>
      <c r="L291" s="99">
        <v>45.4</v>
      </c>
    </row>
    <row r="292" spans="11:12" x14ac:dyDescent="0.4">
      <c r="K292" s="38">
        <v>290</v>
      </c>
      <c r="L292" s="99">
        <v>37.5</v>
      </c>
    </row>
    <row r="293" spans="11:12" x14ac:dyDescent="0.4">
      <c r="K293" s="38">
        <v>291</v>
      </c>
      <c r="L293" s="99">
        <v>0</v>
      </c>
    </row>
    <row r="294" spans="11:12" x14ac:dyDescent="0.4">
      <c r="K294" s="38">
        <v>292</v>
      </c>
      <c r="L294" s="99">
        <v>-58.7</v>
      </c>
    </row>
    <row r="295" spans="11:12" x14ac:dyDescent="0.4">
      <c r="K295" s="38">
        <v>293</v>
      </c>
      <c r="L295" s="99">
        <v>-59.2</v>
      </c>
    </row>
    <row r="296" spans="11:12" x14ac:dyDescent="0.4">
      <c r="K296" s="38">
        <v>294</v>
      </c>
      <c r="L296" s="99">
        <v>0</v>
      </c>
    </row>
    <row r="297" spans="11:12" x14ac:dyDescent="0.4">
      <c r="K297" s="38">
        <v>295</v>
      </c>
      <c r="L297" s="99">
        <v>6.7</v>
      </c>
    </row>
    <row r="298" spans="11:12" x14ac:dyDescent="0.4">
      <c r="K298" s="38">
        <v>296</v>
      </c>
      <c r="L298" s="99">
        <v>-27.7</v>
      </c>
    </row>
    <row r="299" spans="11:12" x14ac:dyDescent="0.4">
      <c r="K299" s="38">
        <v>297</v>
      </c>
      <c r="L299" s="99">
        <v>0</v>
      </c>
    </row>
    <row r="300" spans="11:12" x14ac:dyDescent="0.4">
      <c r="K300" s="38">
        <v>298</v>
      </c>
      <c r="L300" s="99">
        <v>6.1</v>
      </c>
    </row>
    <row r="301" spans="11:12" x14ac:dyDescent="0.4">
      <c r="K301" s="38">
        <v>299</v>
      </c>
      <c r="L301" s="99">
        <v>32.700000000000003</v>
      </c>
    </row>
    <row r="302" spans="11:12" x14ac:dyDescent="0.4">
      <c r="K302" s="38">
        <v>300</v>
      </c>
      <c r="L302" s="99">
        <v>0</v>
      </c>
    </row>
    <row r="303" spans="11:12" x14ac:dyDescent="0.4">
      <c r="K303" s="38">
        <v>301</v>
      </c>
      <c r="L303" s="99">
        <v>-54.9</v>
      </c>
    </row>
    <row r="304" spans="11:12" x14ac:dyDescent="0.4">
      <c r="K304" s="38">
        <v>302</v>
      </c>
      <c r="L304" s="99">
        <v>-9.1999999999999957</v>
      </c>
    </row>
    <row r="305" spans="11:12" x14ac:dyDescent="0.4">
      <c r="K305" s="38">
        <v>303</v>
      </c>
      <c r="L305" s="99">
        <v>3.5527136788005009E-15</v>
      </c>
    </row>
    <row r="306" spans="11:12" x14ac:dyDescent="0.4">
      <c r="K306" s="38">
        <v>304</v>
      </c>
      <c r="L306" s="99">
        <v>-52.8</v>
      </c>
    </row>
    <row r="307" spans="11:12" x14ac:dyDescent="0.4">
      <c r="K307" s="38">
        <v>305</v>
      </c>
      <c r="L307" s="99">
        <v>-70.900000000000006</v>
      </c>
    </row>
    <row r="308" spans="11:12" x14ac:dyDescent="0.4">
      <c r="K308" s="38">
        <v>306</v>
      </c>
      <c r="L308" s="99">
        <v>0</v>
      </c>
    </row>
    <row r="309" spans="11:12" x14ac:dyDescent="0.4">
      <c r="K309" s="38">
        <v>307</v>
      </c>
      <c r="L309" s="99">
        <v>82.3</v>
      </c>
    </row>
    <row r="310" spans="11:12" x14ac:dyDescent="0.4">
      <c r="K310" s="38">
        <v>308</v>
      </c>
      <c r="L310" s="99">
        <v>25.5</v>
      </c>
    </row>
    <row r="311" spans="11:12" x14ac:dyDescent="0.4">
      <c r="K311" s="38">
        <v>309</v>
      </c>
      <c r="L311" s="99">
        <v>0</v>
      </c>
    </row>
    <row r="312" spans="11:12" x14ac:dyDescent="0.4">
      <c r="K312" s="38">
        <v>310</v>
      </c>
      <c r="L312" s="99">
        <v>22.4</v>
      </c>
    </row>
    <row r="313" spans="11:12" x14ac:dyDescent="0.4">
      <c r="K313" s="38">
        <v>311</v>
      </c>
      <c r="L313" s="99">
        <v>23.5</v>
      </c>
    </row>
    <row r="314" spans="11:12" x14ac:dyDescent="0.4">
      <c r="K314" s="38">
        <v>312</v>
      </c>
      <c r="L314" s="99">
        <v>0</v>
      </c>
    </row>
    <row r="315" spans="11:12" x14ac:dyDescent="0.4">
      <c r="K315" s="38">
        <v>313</v>
      </c>
      <c r="L315" s="99">
        <v>-24.6</v>
      </c>
    </row>
    <row r="316" spans="11:12" x14ac:dyDescent="0.4">
      <c r="K316" s="38">
        <v>314</v>
      </c>
      <c r="L316" s="99">
        <v>-2.2000000000000028</v>
      </c>
    </row>
    <row r="317" spans="11:12" x14ac:dyDescent="0.4">
      <c r="K317" s="38">
        <v>315</v>
      </c>
      <c r="L317" s="99">
        <v>-2.6645352591003757E-15</v>
      </c>
    </row>
    <row r="318" spans="11:12" x14ac:dyDescent="0.4">
      <c r="K318" s="38">
        <v>316</v>
      </c>
      <c r="L318" s="99">
        <v>-5.3000000000000025</v>
      </c>
    </row>
    <row r="319" spans="11:12" x14ac:dyDescent="0.4">
      <c r="K319" s="38">
        <v>317</v>
      </c>
      <c r="L319" s="99">
        <v>76.600000000000009</v>
      </c>
    </row>
    <row r="320" spans="11:12" x14ac:dyDescent="0.4">
      <c r="K320" s="38">
        <v>318</v>
      </c>
      <c r="L320" s="99">
        <v>1.4210854715202004E-14</v>
      </c>
    </row>
    <row r="321" spans="11:12" x14ac:dyDescent="0.4">
      <c r="K321" s="38">
        <v>319</v>
      </c>
      <c r="L321" s="99">
        <v>-12.599999999999985</v>
      </c>
    </row>
    <row r="322" spans="11:12" x14ac:dyDescent="0.4">
      <c r="K322" s="38">
        <v>320</v>
      </c>
      <c r="L322" s="99">
        <v>35.100000000000016</v>
      </c>
    </row>
    <row r="323" spans="11:12" x14ac:dyDescent="0.4">
      <c r="K323" s="38">
        <v>321</v>
      </c>
      <c r="L323" s="99">
        <v>1.4210854715202004E-14</v>
      </c>
    </row>
    <row r="324" spans="11:12" x14ac:dyDescent="0.4">
      <c r="K324" s="38">
        <v>322</v>
      </c>
      <c r="L324" s="99">
        <v>66.200000000000017</v>
      </c>
    </row>
    <row r="325" spans="11:12" x14ac:dyDescent="0.4">
      <c r="K325" s="38">
        <v>323</v>
      </c>
      <c r="L325" s="99">
        <v>57.300000000000018</v>
      </c>
    </row>
    <row r="326" spans="11:12" x14ac:dyDescent="0.4">
      <c r="K326" s="38">
        <v>324</v>
      </c>
      <c r="L326" s="99">
        <v>2.1316282072803006E-14</v>
      </c>
    </row>
    <row r="327" spans="11:12" x14ac:dyDescent="0.4">
      <c r="K327" s="38">
        <v>325</v>
      </c>
      <c r="L327" s="99">
        <v>-35.59999999999998</v>
      </c>
    </row>
    <row r="328" spans="11:12" x14ac:dyDescent="0.4">
      <c r="K328" s="38">
        <v>326</v>
      </c>
      <c r="L328" s="99">
        <v>-38.59999999999998</v>
      </c>
    </row>
    <row r="329" spans="11:12" x14ac:dyDescent="0.4">
      <c r="K329" s="38">
        <v>327</v>
      </c>
      <c r="L329" s="99">
        <v>2.1316282072803006E-14</v>
      </c>
    </row>
    <row r="330" spans="11:12" x14ac:dyDescent="0.4">
      <c r="K330" s="38">
        <v>328</v>
      </c>
      <c r="L330" s="99">
        <v>32.500000000000021</v>
      </c>
    </row>
    <row r="331" spans="11:12" x14ac:dyDescent="0.4">
      <c r="K331" s="38">
        <v>329</v>
      </c>
      <c r="L331" s="99">
        <v>38.600000000000023</v>
      </c>
    </row>
    <row r="332" spans="11:12" x14ac:dyDescent="0.4">
      <c r="K332" s="38">
        <v>330</v>
      </c>
      <c r="L332" s="99">
        <v>2.1316282072803006E-14</v>
      </c>
    </row>
    <row r="333" spans="11:12" x14ac:dyDescent="0.4">
      <c r="K333" s="38">
        <v>331</v>
      </c>
      <c r="L333" s="99">
        <v>-36.799999999999976</v>
      </c>
    </row>
    <row r="334" spans="11:12" x14ac:dyDescent="0.4">
      <c r="K334" s="38">
        <v>332</v>
      </c>
      <c r="L334" s="99">
        <v>1.400000000000027</v>
      </c>
    </row>
    <row r="335" spans="11:12" x14ac:dyDescent="0.4">
      <c r="K335" s="38">
        <v>333</v>
      </c>
      <c r="L335" s="99">
        <v>2.708944180085382E-14</v>
      </c>
    </row>
    <row r="336" spans="11:12" x14ac:dyDescent="0.4">
      <c r="K336" s="38">
        <v>334</v>
      </c>
      <c r="L336" s="99">
        <v>10.000000000000027</v>
      </c>
    </row>
    <row r="337" spans="11:12" x14ac:dyDescent="0.4">
      <c r="K337" s="38">
        <v>335</v>
      </c>
      <c r="L337" s="99">
        <v>-39.699999999999974</v>
      </c>
    </row>
    <row r="338" spans="11:12" x14ac:dyDescent="0.4">
      <c r="K338" s="38">
        <v>336</v>
      </c>
      <c r="L338" s="99">
        <v>2.8421709430404007E-14</v>
      </c>
    </row>
    <row r="339" spans="11:12" x14ac:dyDescent="0.4">
      <c r="K339" s="38">
        <v>337</v>
      </c>
      <c r="L339" s="99">
        <v>42.500000000000028</v>
      </c>
    </row>
    <row r="340" spans="11:12" x14ac:dyDescent="0.4">
      <c r="K340" s="38">
        <v>338</v>
      </c>
      <c r="L340" s="99">
        <v>3.0000000000000284</v>
      </c>
    </row>
    <row r="341" spans="11:12" x14ac:dyDescent="0.4">
      <c r="K341" s="38">
        <v>339</v>
      </c>
      <c r="L341" s="99">
        <v>2.8421709430404007E-14</v>
      </c>
    </row>
    <row r="342" spans="11:12" x14ac:dyDescent="0.4">
      <c r="K342" s="38">
        <v>340</v>
      </c>
      <c r="L342" s="99">
        <v>-6.9999999999999716</v>
      </c>
    </row>
    <row r="343" spans="11:12" x14ac:dyDescent="0.4">
      <c r="K343" s="38">
        <v>341</v>
      </c>
      <c r="L343" s="99">
        <v>-41.799999999999969</v>
      </c>
    </row>
    <row r="344" spans="11:12" x14ac:dyDescent="0.4">
      <c r="K344" s="38">
        <v>342</v>
      </c>
      <c r="L344" s="99">
        <v>2.8421709430404007E-14</v>
      </c>
    </row>
    <row r="345" spans="11:12" x14ac:dyDescent="0.4">
      <c r="K345" s="38">
        <v>343</v>
      </c>
      <c r="L345" s="99">
        <v>-34.199999999999974</v>
      </c>
    </row>
    <row r="346" spans="11:12" x14ac:dyDescent="0.4">
      <c r="K346" s="38">
        <v>344</v>
      </c>
      <c r="L346" s="99">
        <v>0.30000000000002558</v>
      </c>
    </row>
    <row r="347" spans="11:12" x14ac:dyDescent="0.4">
      <c r="K347" s="38">
        <v>345</v>
      </c>
      <c r="L347" s="99">
        <v>2.5590640717609858E-14</v>
      </c>
    </row>
    <row r="348" spans="11:12" x14ac:dyDescent="0.4">
      <c r="K348" s="38">
        <v>346</v>
      </c>
      <c r="L348" s="99">
        <v>-58.499999999999972</v>
      </c>
    </row>
    <row r="349" spans="11:12" x14ac:dyDescent="0.4">
      <c r="K349" s="38">
        <v>347</v>
      </c>
      <c r="L349" s="99">
        <v>-44.999999999999972</v>
      </c>
    </row>
    <row r="350" spans="11:12" x14ac:dyDescent="0.4">
      <c r="K350" s="38">
        <v>348</v>
      </c>
      <c r="L350" s="99">
        <v>2.8421709430404007E-14</v>
      </c>
    </row>
    <row r="351" spans="11:12" x14ac:dyDescent="0.4">
      <c r="K351" s="38">
        <v>349</v>
      </c>
      <c r="L351" s="99">
        <v>-77.999999999999972</v>
      </c>
    </row>
    <row r="352" spans="11:12" x14ac:dyDescent="0.4">
      <c r="K352" s="38">
        <v>350</v>
      </c>
      <c r="L352" s="99">
        <v>-17.599999999999973</v>
      </c>
    </row>
    <row r="353" spans="11:12" x14ac:dyDescent="0.4">
      <c r="K353" s="38">
        <v>351</v>
      </c>
      <c r="L353" s="99">
        <v>2.8421709430404007E-14</v>
      </c>
    </row>
    <row r="354" spans="11:12" x14ac:dyDescent="0.4">
      <c r="K354" s="38">
        <v>352</v>
      </c>
      <c r="L354" s="99">
        <v>2.1000000000000285</v>
      </c>
    </row>
    <row r="355" spans="11:12" x14ac:dyDescent="0.4">
      <c r="K355" s="38">
        <v>353</v>
      </c>
      <c r="L355" s="99">
        <v>30.500000000000028</v>
      </c>
    </row>
    <row r="356" spans="11:12" x14ac:dyDescent="0.4">
      <c r="K356" s="38">
        <v>354</v>
      </c>
      <c r="L356" s="99">
        <v>2.8421709430404007E-14</v>
      </c>
    </row>
    <row r="357" spans="11:12" x14ac:dyDescent="0.4">
      <c r="K357" s="38">
        <v>355</v>
      </c>
      <c r="L357" s="99">
        <v>8.8000000000000291</v>
      </c>
    </row>
    <row r="358" spans="11:12" x14ac:dyDescent="0.4">
      <c r="K358" s="38">
        <v>356</v>
      </c>
      <c r="L358" s="99">
        <v>40.900000000000034</v>
      </c>
    </row>
    <row r="359" spans="11:12" x14ac:dyDescent="0.4">
      <c r="K359" s="38">
        <v>357</v>
      </c>
      <c r="L359" s="99">
        <v>3.5527136788005009E-14</v>
      </c>
    </row>
    <row r="360" spans="11:12" x14ac:dyDescent="0.4">
      <c r="K360" s="38">
        <v>358</v>
      </c>
      <c r="L360" s="99">
        <v>9.6000000000000352</v>
      </c>
    </row>
    <row r="361" spans="11:12" x14ac:dyDescent="0.4">
      <c r="K361" s="38">
        <v>359</v>
      </c>
      <c r="L361" s="99">
        <v>-30.69999999999996</v>
      </c>
    </row>
    <row r="362" spans="11:12" x14ac:dyDescent="0.4">
      <c r="K362" s="38">
        <v>360</v>
      </c>
      <c r="L362" s="99">
        <v>3.907985046680551E-14</v>
      </c>
    </row>
    <row r="363" spans="11:12" x14ac:dyDescent="0.4">
      <c r="K363" s="38">
        <v>361</v>
      </c>
      <c r="L363" s="99">
        <v>-1.299999999999961</v>
      </c>
    </row>
    <row r="364" spans="11:12" x14ac:dyDescent="0.4">
      <c r="K364" s="38">
        <v>362</v>
      </c>
      <c r="L364" s="99">
        <v>25.100000000000037</v>
      </c>
    </row>
    <row r="365" spans="11:12" x14ac:dyDescent="0.4">
      <c r="K365" s="38">
        <v>363</v>
      </c>
      <c r="L365" s="99">
        <v>3.5527136788005009E-14</v>
      </c>
    </row>
    <row r="366" spans="11:12" x14ac:dyDescent="0.4">
      <c r="K366" s="38">
        <v>364</v>
      </c>
      <c r="L366" s="99">
        <v>-65.099999999999966</v>
      </c>
    </row>
    <row r="367" spans="11:12" x14ac:dyDescent="0.4">
      <c r="K367" s="38">
        <v>365</v>
      </c>
      <c r="L367" s="99">
        <v>-9.1999999999999673</v>
      </c>
    </row>
    <row r="368" spans="11:12" x14ac:dyDescent="0.4">
      <c r="K368" s="38">
        <v>366</v>
      </c>
      <c r="L368" s="99">
        <v>3.1974423109204508E-14</v>
      </c>
    </row>
    <row r="369" spans="11:12" x14ac:dyDescent="0.4">
      <c r="K369" s="38">
        <v>367</v>
      </c>
      <c r="L369" s="99">
        <v>31.600000000000033</v>
      </c>
    </row>
    <row r="370" spans="11:12" x14ac:dyDescent="0.4">
      <c r="K370" s="38">
        <v>368</v>
      </c>
      <c r="L370" s="99">
        <v>4.6000000000000334</v>
      </c>
    </row>
    <row r="371" spans="11:12" x14ac:dyDescent="0.4">
      <c r="K371" s="38">
        <v>369</v>
      </c>
      <c r="L371" s="99">
        <v>3.3750779948604759E-14</v>
      </c>
    </row>
    <row r="372" spans="11:12" x14ac:dyDescent="0.4">
      <c r="K372" s="38">
        <v>370</v>
      </c>
      <c r="L372" s="99">
        <v>-43.399999999999963</v>
      </c>
    </row>
    <row r="373" spans="11:12" x14ac:dyDescent="0.4">
      <c r="K373" s="38">
        <v>371</v>
      </c>
      <c r="L373" s="99">
        <v>0.30000000000003979</v>
      </c>
    </row>
    <row r="374" spans="11:12" x14ac:dyDescent="0.4">
      <c r="K374" s="38">
        <v>372</v>
      </c>
      <c r="L374" s="99">
        <v>3.9801495432811862E-14</v>
      </c>
    </row>
    <row r="375" spans="11:12" x14ac:dyDescent="0.4">
      <c r="K375" s="38">
        <v>373</v>
      </c>
      <c r="L375" s="99">
        <v>-31.69999999999996</v>
      </c>
    </row>
    <row r="376" spans="11:12" x14ac:dyDescent="0.4">
      <c r="K376" s="38">
        <v>374</v>
      </c>
      <c r="L376" s="99">
        <v>-34.799999999999962</v>
      </c>
    </row>
    <row r="377" spans="11:12" x14ac:dyDescent="0.4">
      <c r="K377" s="38">
        <v>375</v>
      </c>
      <c r="L377" s="99">
        <v>3.5527136788005009E-14</v>
      </c>
    </row>
    <row r="378" spans="11:12" x14ac:dyDescent="0.4">
      <c r="K378" s="38">
        <v>376</v>
      </c>
      <c r="L378" s="99">
        <v>63.100000000000037</v>
      </c>
    </row>
    <row r="379" spans="11:12" x14ac:dyDescent="0.4">
      <c r="K379" s="38">
        <v>377</v>
      </c>
      <c r="L379" s="99">
        <v>75.30000000000004</v>
      </c>
    </row>
    <row r="380" spans="11:12" x14ac:dyDescent="0.4">
      <c r="K380" s="38">
        <v>378</v>
      </c>
      <c r="L380" s="99">
        <v>4.2632564145606011E-14</v>
      </c>
    </row>
    <row r="381" spans="11:12" x14ac:dyDescent="0.4">
      <c r="K381" s="38">
        <v>379</v>
      </c>
      <c r="L381" s="99">
        <v>-10.499999999999957</v>
      </c>
    </row>
    <row r="382" spans="11:12" x14ac:dyDescent="0.4">
      <c r="K382" s="38">
        <v>380</v>
      </c>
      <c r="L382" s="99">
        <v>35.500000000000043</v>
      </c>
    </row>
    <row r="383" spans="11:12" x14ac:dyDescent="0.4">
      <c r="K383" s="38">
        <v>381</v>
      </c>
      <c r="L383" s="99">
        <v>4.2632564145606011E-14</v>
      </c>
    </row>
    <row r="384" spans="11:12" x14ac:dyDescent="0.4">
      <c r="K384" s="38">
        <v>382</v>
      </c>
      <c r="L384" s="99">
        <v>-57.599999999999959</v>
      </c>
    </row>
    <row r="385" spans="11:12" x14ac:dyDescent="0.4">
      <c r="K385" s="38">
        <v>383</v>
      </c>
      <c r="L385" s="99">
        <v>-4.9999999999999574</v>
      </c>
    </row>
    <row r="386" spans="11:12" x14ac:dyDescent="0.4">
      <c r="K386" s="38">
        <v>384</v>
      </c>
      <c r="L386" s="99">
        <v>4.2632564145606011E-14</v>
      </c>
    </row>
    <row r="387" spans="11:12" x14ac:dyDescent="0.4">
      <c r="K387" s="38">
        <v>385</v>
      </c>
      <c r="L387" s="99">
        <v>-33.299999999999955</v>
      </c>
    </row>
    <row r="388" spans="11:12" x14ac:dyDescent="0.4">
      <c r="K388" s="38">
        <v>386</v>
      </c>
      <c r="L388" s="99">
        <v>-2.6999999999999531</v>
      </c>
    </row>
    <row r="389" spans="11:12" x14ac:dyDescent="0.4">
      <c r="K389" s="38">
        <v>387</v>
      </c>
      <c r="L389" s="99">
        <v>4.7073456244106637E-14</v>
      </c>
    </row>
    <row r="390" spans="11:12" x14ac:dyDescent="0.4">
      <c r="K390" s="38">
        <v>388</v>
      </c>
      <c r="L390" s="99">
        <v>-39.599999999999952</v>
      </c>
    </row>
    <row r="391" spans="11:12" x14ac:dyDescent="0.4">
      <c r="K391" s="38">
        <v>389</v>
      </c>
      <c r="L391" s="99">
        <v>-38.199999999999953</v>
      </c>
    </row>
    <row r="392" spans="11:12" x14ac:dyDescent="0.4">
      <c r="K392" s="38">
        <v>390</v>
      </c>
      <c r="L392" s="99">
        <v>4.9737991503207013E-14</v>
      </c>
    </row>
    <row r="393" spans="11:12" x14ac:dyDescent="0.4">
      <c r="K393" s="38">
        <v>391</v>
      </c>
      <c r="L393" s="99">
        <v>-29.799999999999951</v>
      </c>
    </row>
    <row r="394" spans="11:12" x14ac:dyDescent="0.4">
      <c r="K394" s="38">
        <v>392</v>
      </c>
      <c r="L394" s="99">
        <v>3.200000000000049</v>
      </c>
    </row>
    <row r="395" spans="11:12" x14ac:dyDescent="0.4">
      <c r="K395" s="38">
        <v>393</v>
      </c>
      <c r="L395" s="99">
        <v>4.8849813083506888E-14</v>
      </c>
    </row>
    <row r="396" spans="11:12" x14ac:dyDescent="0.4">
      <c r="K396" s="38">
        <v>394</v>
      </c>
      <c r="L396" s="99">
        <v>-7.299999999999951</v>
      </c>
    </row>
    <row r="397" spans="11:12" x14ac:dyDescent="0.4">
      <c r="K397" s="38">
        <v>395</v>
      </c>
      <c r="L397" s="99">
        <v>58.200000000000045</v>
      </c>
    </row>
    <row r="398" spans="11:12" x14ac:dyDescent="0.4">
      <c r="K398" s="38">
        <v>396</v>
      </c>
      <c r="L398" s="99">
        <v>4.2632564145606011E-14</v>
      </c>
    </row>
    <row r="399" spans="11:12" x14ac:dyDescent="0.4">
      <c r="K399" s="38">
        <v>397</v>
      </c>
      <c r="L399" s="99">
        <v>-35.999999999999957</v>
      </c>
    </row>
    <row r="400" spans="11:12" x14ac:dyDescent="0.4">
      <c r="K400" s="38">
        <v>398</v>
      </c>
      <c r="L400" s="99">
        <v>-34.399999999999956</v>
      </c>
    </row>
    <row r="401" spans="11:12" x14ac:dyDescent="0.4">
      <c r="K401" s="38">
        <v>399</v>
      </c>
      <c r="L401" s="99">
        <v>4.2632564145606011E-14</v>
      </c>
    </row>
    <row r="402" spans="11:12" x14ac:dyDescent="0.4">
      <c r="K402" s="38">
        <v>400</v>
      </c>
      <c r="L402" s="99">
        <v>-59.19999999999996</v>
      </c>
    </row>
    <row r="403" spans="11:12" x14ac:dyDescent="0.4">
      <c r="K403" s="38">
        <v>401</v>
      </c>
      <c r="L403" s="99">
        <v>-59.899999999999963</v>
      </c>
    </row>
    <row r="404" spans="11:12" x14ac:dyDescent="0.4">
      <c r="K404" s="38">
        <v>402</v>
      </c>
      <c r="L404" s="99">
        <v>3.5527136788005009E-14</v>
      </c>
    </row>
    <row r="405" spans="11:12" x14ac:dyDescent="0.4">
      <c r="K405" s="38">
        <v>403</v>
      </c>
      <c r="L405" s="99">
        <v>35.400000000000034</v>
      </c>
    </row>
    <row r="406" spans="11:12" x14ac:dyDescent="0.4">
      <c r="K406" s="38">
        <v>404</v>
      </c>
      <c r="L406" s="99">
        <v>46.100000000000037</v>
      </c>
    </row>
    <row r="407" spans="11:12" x14ac:dyDescent="0.4">
      <c r="K407" s="38">
        <v>405</v>
      </c>
      <c r="L407" s="99">
        <v>3.5527136788005009E-14</v>
      </c>
    </row>
    <row r="408" spans="11:12" x14ac:dyDescent="0.4">
      <c r="K408" s="38">
        <v>406</v>
      </c>
      <c r="L408" s="99">
        <v>42.900000000000034</v>
      </c>
    </row>
    <row r="409" spans="11:12" x14ac:dyDescent="0.4">
      <c r="K409" s="38">
        <v>407</v>
      </c>
      <c r="L409" s="99">
        <v>-13.299999999999969</v>
      </c>
    </row>
    <row r="410" spans="11:12" x14ac:dyDescent="0.4">
      <c r="K410" s="38">
        <v>408</v>
      </c>
      <c r="L410" s="99">
        <v>3.1974423109204508E-14</v>
      </c>
    </row>
    <row r="411" spans="11:12" x14ac:dyDescent="0.4">
      <c r="K411" s="38">
        <v>409</v>
      </c>
      <c r="L411" s="99">
        <v>-36.999999999999972</v>
      </c>
    </row>
    <row r="412" spans="11:12" x14ac:dyDescent="0.4">
      <c r="K412" s="38">
        <v>410</v>
      </c>
      <c r="L412" s="99">
        <v>-43.699999999999974</v>
      </c>
    </row>
    <row r="413" spans="11:12" x14ac:dyDescent="0.4">
      <c r="K413" s="38">
        <v>411</v>
      </c>
      <c r="L413" s="99">
        <v>2.8421709430404007E-14</v>
      </c>
    </row>
    <row r="414" spans="11:12" x14ac:dyDescent="0.4">
      <c r="K414" s="38">
        <v>412</v>
      </c>
      <c r="L414" s="99">
        <v>-57.499999999999972</v>
      </c>
    </row>
    <row r="415" spans="11:12" x14ac:dyDescent="0.4">
      <c r="K415" s="38">
        <v>413</v>
      </c>
      <c r="L415" s="99">
        <v>5.2000000000000313</v>
      </c>
    </row>
    <row r="416" spans="11:12" x14ac:dyDescent="0.4">
      <c r="K416" s="38">
        <v>414</v>
      </c>
      <c r="L416" s="99">
        <v>3.1086244689504383E-14</v>
      </c>
    </row>
    <row r="417" spans="11:12" x14ac:dyDescent="0.4">
      <c r="K417" s="38">
        <v>415</v>
      </c>
      <c r="L417" s="99">
        <v>-43.89999999999997</v>
      </c>
    </row>
    <row r="418" spans="11:12" x14ac:dyDescent="0.4">
      <c r="K418" s="38">
        <v>416</v>
      </c>
      <c r="L418" s="99">
        <v>-35.099999999999966</v>
      </c>
    </row>
    <row r="419" spans="11:12" x14ac:dyDescent="0.4">
      <c r="K419" s="38">
        <v>417</v>
      </c>
      <c r="L419" s="99">
        <v>3.5527136788005009E-14</v>
      </c>
    </row>
    <row r="420" spans="11:12" x14ac:dyDescent="0.4">
      <c r="K420" s="38">
        <v>418</v>
      </c>
      <c r="L420" s="99">
        <v>-0.29999999999996446</v>
      </c>
    </row>
    <row r="421" spans="11:12" x14ac:dyDescent="0.4">
      <c r="K421" s="38">
        <v>419</v>
      </c>
      <c r="L421" s="99">
        <v>-22.899999999999967</v>
      </c>
    </row>
    <row r="422" spans="11:12" x14ac:dyDescent="0.4">
      <c r="K422" s="38">
        <v>420</v>
      </c>
      <c r="L422" s="99">
        <v>3.1974423109204508E-14</v>
      </c>
    </row>
    <row r="423" spans="11:12" x14ac:dyDescent="0.4">
      <c r="K423" s="38">
        <v>421</v>
      </c>
      <c r="L423" s="99">
        <v>-34.299999999999969</v>
      </c>
    </row>
    <row r="424" spans="11:12" x14ac:dyDescent="0.4">
      <c r="K424" s="38">
        <v>422</v>
      </c>
      <c r="L424" s="99">
        <v>-7.0999999999999694</v>
      </c>
    </row>
    <row r="425" spans="11:12" x14ac:dyDescent="0.4">
      <c r="K425" s="38">
        <v>423</v>
      </c>
      <c r="L425" s="99">
        <v>3.0198066269804258E-14</v>
      </c>
    </row>
    <row r="426" spans="11:12" x14ac:dyDescent="0.4">
      <c r="K426" s="38">
        <v>424</v>
      </c>
      <c r="L426" s="99">
        <v>-38.89999999999997</v>
      </c>
    </row>
    <row r="427" spans="11:12" x14ac:dyDescent="0.4">
      <c r="K427" s="38">
        <v>425</v>
      </c>
      <c r="L427" s="99">
        <v>14.60000000000003</v>
      </c>
    </row>
    <row r="428" spans="11:12" x14ac:dyDescent="0.4">
      <c r="K428" s="38">
        <v>426</v>
      </c>
      <c r="L428" s="99">
        <v>3.0198066269804258E-14</v>
      </c>
    </row>
    <row r="429" spans="11:12" x14ac:dyDescent="0.4">
      <c r="K429" s="38">
        <v>427</v>
      </c>
      <c r="L429" s="99">
        <v>30.60000000000003</v>
      </c>
    </row>
    <row r="430" spans="11:12" x14ac:dyDescent="0.4">
      <c r="K430" s="38">
        <v>428</v>
      </c>
      <c r="L430" s="99">
        <v>33.60000000000003</v>
      </c>
    </row>
    <row r="431" spans="11:12" x14ac:dyDescent="0.4">
      <c r="K431" s="38">
        <v>429</v>
      </c>
      <c r="L431" s="99">
        <v>2.8421709430404007E-14</v>
      </c>
    </row>
    <row r="432" spans="11:12" x14ac:dyDescent="0.4">
      <c r="K432" s="38">
        <v>430</v>
      </c>
      <c r="L432" s="99">
        <v>-58.89999999999997</v>
      </c>
    </row>
    <row r="433" spans="11:12" x14ac:dyDescent="0.4">
      <c r="K433" s="38">
        <v>431</v>
      </c>
      <c r="L433" s="99">
        <v>-17.199999999999967</v>
      </c>
    </row>
    <row r="434" spans="11:12" x14ac:dyDescent="0.4">
      <c r="K434" s="38">
        <v>432</v>
      </c>
      <c r="L434" s="99">
        <v>3.1974423109204508E-14</v>
      </c>
    </row>
    <row r="435" spans="11:12" x14ac:dyDescent="0.4">
      <c r="K435" s="38">
        <v>433</v>
      </c>
      <c r="L435" s="99">
        <v>-56.299999999999969</v>
      </c>
    </row>
    <row r="436" spans="11:12" x14ac:dyDescent="0.4">
      <c r="K436" s="38">
        <v>434</v>
      </c>
      <c r="L436" s="99">
        <v>-13.89999999999997</v>
      </c>
    </row>
    <row r="437" spans="11:12" x14ac:dyDescent="0.4">
      <c r="K437" s="38">
        <v>435</v>
      </c>
      <c r="L437" s="99">
        <v>3.0198066269804258E-14</v>
      </c>
    </row>
    <row r="438" spans="11:12" x14ac:dyDescent="0.4">
      <c r="K438" s="38">
        <v>436</v>
      </c>
      <c r="L438" s="99">
        <v>-12.39999999999997</v>
      </c>
    </row>
    <row r="439" spans="11:12" x14ac:dyDescent="0.4">
      <c r="K439" s="38">
        <v>437</v>
      </c>
      <c r="L439" s="99">
        <v>-52.499999999999972</v>
      </c>
    </row>
    <row r="440" spans="11:12" x14ac:dyDescent="0.4">
      <c r="K440" s="38">
        <v>438</v>
      </c>
      <c r="L440" s="99">
        <v>2.8421709430404007E-14</v>
      </c>
    </row>
    <row r="441" spans="11:12" x14ac:dyDescent="0.4">
      <c r="K441" s="38">
        <v>439</v>
      </c>
      <c r="L441" s="99">
        <v>-36.199999999999974</v>
      </c>
    </row>
    <row r="442" spans="11:12" x14ac:dyDescent="0.4">
      <c r="K442" s="38">
        <v>440</v>
      </c>
      <c r="L442" s="99">
        <v>0.20000000000002416</v>
      </c>
    </row>
    <row r="443" spans="11:12" x14ac:dyDescent="0.4">
      <c r="K443" s="38">
        <v>441</v>
      </c>
      <c r="L443" s="99">
        <v>2.4147350785597155E-14</v>
      </c>
    </row>
    <row r="444" spans="11:12" x14ac:dyDescent="0.4">
      <c r="K444" s="38">
        <v>442</v>
      </c>
      <c r="L444" s="99">
        <v>-14.499999999999975</v>
      </c>
    </row>
    <row r="445" spans="11:12" x14ac:dyDescent="0.4">
      <c r="K445" s="38">
        <v>443</v>
      </c>
      <c r="L445" s="99">
        <v>73.500000000000028</v>
      </c>
    </row>
    <row r="446" spans="11:12" x14ac:dyDescent="0.4">
      <c r="K446" s="38">
        <v>444</v>
      </c>
      <c r="L446" s="99">
        <v>2.8421709430404007E-14</v>
      </c>
    </row>
    <row r="447" spans="11:12" x14ac:dyDescent="0.4">
      <c r="K447" s="38">
        <v>445</v>
      </c>
      <c r="L447" s="99">
        <v>-57.39999999999997</v>
      </c>
    </row>
    <row r="448" spans="11:12" x14ac:dyDescent="0.4">
      <c r="K448" s="38">
        <v>446</v>
      </c>
      <c r="L448" s="99">
        <v>-11.39999999999997</v>
      </c>
    </row>
    <row r="449" spans="11:12" x14ac:dyDescent="0.4">
      <c r="K449" s="38">
        <v>447</v>
      </c>
      <c r="L449" s="99">
        <v>3.0198066269804258E-14</v>
      </c>
    </row>
    <row r="450" spans="11:12" x14ac:dyDescent="0.4">
      <c r="K450" s="38">
        <v>448</v>
      </c>
      <c r="L450" s="99">
        <v>34.300000000000026</v>
      </c>
    </row>
    <row r="451" spans="11:12" x14ac:dyDescent="0.4">
      <c r="K451" s="38">
        <v>449</v>
      </c>
      <c r="L451" s="99">
        <v>32.200000000000024</v>
      </c>
    </row>
    <row r="452" spans="11:12" x14ac:dyDescent="0.4">
      <c r="K452" s="38">
        <v>450</v>
      </c>
      <c r="L452" s="99">
        <v>2.1316282072803006E-14</v>
      </c>
    </row>
    <row r="453" spans="11:12" x14ac:dyDescent="0.4">
      <c r="K453" s="38">
        <v>451</v>
      </c>
      <c r="L453" s="99">
        <v>-56.199999999999982</v>
      </c>
    </row>
    <row r="454" spans="11:12" x14ac:dyDescent="0.4">
      <c r="K454" s="38">
        <v>452</v>
      </c>
      <c r="L454" s="99">
        <v>-14.59999999999998</v>
      </c>
    </row>
    <row r="455" spans="11:12" x14ac:dyDescent="0.4">
      <c r="K455" s="38">
        <v>453</v>
      </c>
      <c r="L455" s="99">
        <v>1.9539925233402755E-14</v>
      </c>
    </row>
    <row r="456" spans="11:12" x14ac:dyDescent="0.4">
      <c r="K456" s="38">
        <v>454</v>
      </c>
      <c r="L456" s="99">
        <v>-50.59999999999998</v>
      </c>
    </row>
    <row r="457" spans="11:12" x14ac:dyDescent="0.4">
      <c r="K457" s="38">
        <v>455</v>
      </c>
      <c r="L457" s="99">
        <v>-66.299999999999983</v>
      </c>
    </row>
    <row r="458" spans="11:12" x14ac:dyDescent="0.4">
      <c r="K458" s="38">
        <v>456</v>
      </c>
      <c r="L458" s="99">
        <v>1.4210854715202004E-14</v>
      </c>
    </row>
    <row r="459" spans="11:12" x14ac:dyDescent="0.4">
      <c r="K459" s="38">
        <v>457</v>
      </c>
      <c r="L459" s="99">
        <v>69.600000000000009</v>
      </c>
    </row>
    <row r="460" spans="11:12" x14ac:dyDescent="0.4">
      <c r="K460" s="38">
        <v>458</v>
      </c>
      <c r="L460" s="99">
        <v>59.20000000000001</v>
      </c>
    </row>
    <row r="461" spans="11:12" x14ac:dyDescent="0.4">
      <c r="K461" s="38">
        <v>459</v>
      </c>
      <c r="L461" s="99">
        <v>7.1054273576010019E-15</v>
      </c>
    </row>
    <row r="462" spans="11:12" x14ac:dyDescent="0.4">
      <c r="K462" s="38">
        <v>460</v>
      </c>
      <c r="L462" s="99">
        <v>-18.699999999999992</v>
      </c>
    </row>
    <row r="463" spans="11:12" x14ac:dyDescent="0.4">
      <c r="K463" s="38">
        <v>461</v>
      </c>
      <c r="L463" s="99">
        <v>56.500000000000014</v>
      </c>
    </row>
    <row r="464" spans="11:12" x14ac:dyDescent="0.4">
      <c r="K464" s="38">
        <v>462</v>
      </c>
      <c r="L464" s="99">
        <v>1.4210854715202004E-14</v>
      </c>
    </row>
    <row r="465" spans="11:12" x14ac:dyDescent="0.4">
      <c r="K465" s="38">
        <v>463</v>
      </c>
      <c r="L465" s="99">
        <v>37.400000000000013</v>
      </c>
    </row>
    <row r="466" spans="11:12" x14ac:dyDescent="0.4">
      <c r="K466" s="38">
        <v>464</v>
      </c>
      <c r="L466" s="99">
        <v>6.8000000000000114</v>
      </c>
    </row>
    <row r="467" spans="11:12" x14ac:dyDescent="0.4">
      <c r="K467" s="38">
        <v>465</v>
      </c>
      <c r="L467" s="99">
        <v>1.1546319456101628E-14</v>
      </c>
    </row>
    <row r="468" spans="11:12" x14ac:dyDescent="0.4">
      <c r="K468" s="38">
        <v>466</v>
      </c>
      <c r="L468" s="99">
        <v>-6.0999999999999881</v>
      </c>
    </row>
    <row r="469" spans="11:12" x14ac:dyDescent="0.4">
      <c r="K469" s="38">
        <v>467</v>
      </c>
      <c r="L469" s="99">
        <v>38.70000000000001</v>
      </c>
    </row>
    <row r="470" spans="11:12" x14ac:dyDescent="0.4">
      <c r="K470" s="38">
        <v>468</v>
      </c>
      <c r="L470" s="99">
        <v>7.1054273576010019E-15</v>
      </c>
    </row>
    <row r="471" spans="11:12" x14ac:dyDescent="0.4">
      <c r="K471" s="38">
        <v>469</v>
      </c>
      <c r="L471" s="99">
        <v>62.500000000000007</v>
      </c>
    </row>
    <row r="472" spans="11:12" x14ac:dyDescent="0.4">
      <c r="K472" s="38">
        <v>470</v>
      </c>
      <c r="L472" s="99">
        <v>2.5000000000000071</v>
      </c>
    </row>
    <row r="473" spans="11:12" x14ac:dyDescent="0.4">
      <c r="K473" s="38">
        <v>471</v>
      </c>
      <c r="L473" s="99">
        <v>7.1054273576010019E-15</v>
      </c>
    </row>
    <row r="474" spans="11:12" x14ac:dyDescent="0.4">
      <c r="K474" s="38">
        <v>472</v>
      </c>
      <c r="L474" s="99">
        <v>-37.699999999999996</v>
      </c>
    </row>
    <row r="475" spans="11:12" x14ac:dyDescent="0.4">
      <c r="K475" s="38">
        <v>473</v>
      </c>
      <c r="L475" s="99">
        <v>-47.599999999999994</v>
      </c>
    </row>
    <row r="476" spans="11:12" x14ac:dyDescent="0.4">
      <c r="K476" s="38">
        <v>474</v>
      </c>
      <c r="L476" s="99">
        <v>7.1054273576010019E-15</v>
      </c>
    </row>
    <row r="477" spans="11:12" x14ac:dyDescent="0.4">
      <c r="K477" s="38">
        <v>475</v>
      </c>
      <c r="L477" s="99">
        <v>20.500000000000007</v>
      </c>
    </row>
    <row r="478" spans="11:12" x14ac:dyDescent="0.4">
      <c r="K478" s="38">
        <v>476</v>
      </c>
      <c r="L478" s="99">
        <v>-45.4</v>
      </c>
    </row>
    <row r="479" spans="11:12" x14ac:dyDescent="0.4">
      <c r="K479" s="38">
        <v>477</v>
      </c>
      <c r="L479" s="99">
        <v>0</v>
      </c>
    </row>
    <row r="480" spans="11:12" x14ac:dyDescent="0.4">
      <c r="K480" s="38">
        <v>478</v>
      </c>
      <c r="L480" s="99">
        <v>51.8</v>
      </c>
    </row>
    <row r="481" spans="11:12" x14ac:dyDescent="0.4">
      <c r="K481" s="38">
        <v>479</v>
      </c>
      <c r="L481" s="99">
        <v>59.199999999999996</v>
      </c>
    </row>
    <row r="482" spans="11:12" x14ac:dyDescent="0.4">
      <c r="K482" s="38">
        <v>480</v>
      </c>
      <c r="L482" s="99">
        <v>-7.1054273576010019E-15</v>
      </c>
    </row>
    <row r="483" spans="11:12" x14ac:dyDescent="0.4">
      <c r="K483" s="38">
        <v>481</v>
      </c>
      <c r="L483" s="99">
        <v>-56.900000000000006</v>
      </c>
    </row>
    <row r="484" spans="11:12" x14ac:dyDescent="0.4">
      <c r="K484" s="38">
        <v>482</v>
      </c>
      <c r="L484" s="99">
        <v>-67.7</v>
      </c>
    </row>
    <row r="485" spans="11:12" x14ac:dyDescent="0.4">
      <c r="K485" s="38">
        <v>483</v>
      </c>
      <c r="L485" s="99">
        <v>0</v>
      </c>
    </row>
    <row r="486" spans="11:12" x14ac:dyDescent="0.4">
      <c r="K486" s="38">
        <v>484</v>
      </c>
      <c r="L486" s="99">
        <v>36.299999999999997</v>
      </c>
    </row>
    <row r="487" spans="11:12" x14ac:dyDescent="0.4">
      <c r="K487" s="38">
        <v>485</v>
      </c>
      <c r="L487" s="99">
        <v>-1.5</v>
      </c>
    </row>
    <row r="488" spans="11:12" x14ac:dyDescent="0.4">
      <c r="K488" s="38">
        <v>486</v>
      </c>
      <c r="L488" s="99">
        <v>0</v>
      </c>
    </row>
    <row r="489" spans="11:12" x14ac:dyDescent="0.4">
      <c r="K489" s="38">
        <v>487</v>
      </c>
      <c r="L489" s="99">
        <v>-30.5</v>
      </c>
    </row>
    <row r="490" spans="11:12" x14ac:dyDescent="0.4">
      <c r="K490" s="38">
        <v>488</v>
      </c>
      <c r="L490" s="99">
        <v>9.6000000000000014</v>
      </c>
    </row>
    <row r="491" spans="11:12" x14ac:dyDescent="0.4">
      <c r="K491" s="38">
        <v>489</v>
      </c>
      <c r="L491" s="99">
        <v>1.7763568394002505E-15</v>
      </c>
    </row>
    <row r="492" spans="11:12" x14ac:dyDescent="0.4">
      <c r="K492" s="38">
        <v>490</v>
      </c>
      <c r="L492" s="99">
        <v>44.6</v>
      </c>
    </row>
    <row r="493" spans="11:12" x14ac:dyDescent="0.4">
      <c r="K493" s="38">
        <v>491</v>
      </c>
      <c r="L493" s="99">
        <v>51.800000000000004</v>
      </c>
    </row>
    <row r="494" spans="11:12" x14ac:dyDescent="0.4">
      <c r="K494" s="38">
        <v>492</v>
      </c>
      <c r="L494" s="99">
        <v>7.1054273576010019E-15</v>
      </c>
    </row>
    <row r="495" spans="11:12" x14ac:dyDescent="0.4">
      <c r="K495" s="38">
        <v>493</v>
      </c>
      <c r="L495" s="99">
        <v>-56.099999999999994</v>
      </c>
    </row>
    <row r="496" spans="11:12" x14ac:dyDescent="0.4">
      <c r="K496" s="38">
        <v>494</v>
      </c>
      <c r="L496" s="99">
        <v>15.400000000000006</v>
      </c>
    </row>
    <row r="497" spans="11:12" x14ac:dyDescent="0.4">
      <c r="K497" s="38">
        <v>495</v>
      </c>
      <c r="L497" s="99">
        <v>5.3290705182007514E-15</v>
      </c>
    </row>
    <row r="498" spans="11:12" x14ac:dyDescent="0.4">
      <c r="K498" s="38">
        <v>496</v>
      </c>
      <c r="L498" s="99">
        <v>-16.099999999999994</v>
      </c>
    </row>
    <row r="499" spans="11:12" x14ac:dyDescent="0.4">
      <c r="K499" s="38">
        <v>497</v>
      </c>
      <c r="L499" s="99">
        <v>-61.599999999999994</v>
      </c>
    </row>
    <row r="500" spans="11:12" x14ac:dyDescent="0.4">
      <c r="K500" s="38">
        <v>498</v>
      </c>
      <c r="L500" s="99">
        <v>7.1054273576010019E-15</v>
      </c>
    </row>
    <row r="501" spans="11:12" x14ac:dyDescent="0.4">
      <c r="K501" s="38">
        <v>499</v>
      </c>
      <c r="L501" s="99">
        <v>-58.999999999999993</v>
      </c>
    </row>
    <row r="502" spans="11:12" x14ac:dyDescent="0.4">
      <c r="K502" s="38">
        <v>500</v>
      </c>
      <c r="L502" s="99">
        <v>9.0000000000000071</v>
      </c>
    </row>
    <row r="503" spans="11:12" x14ac:dyDescent="0.4">
      <c r="K503" s="38">
        <v>501</v>
      </c>
      <c r="L503" s="99">
        <v>7.1054273576010019E-15</v>
      </c>
    </row>
    <row r="504" spans="11:12" x14ac:dyDescent="0.4">
      <c r="K504" s="38">
        <v>502</v>
      </c>
      <c r="L504" s="99">
        <v>74.800000000000011</v>
      </c>
    </row>
    <row r="505" spans="11:12" x14ac:dyDescent="0.4">
      <c r="K505" s="38">
        <v>503</v>
      </c>
      <c r="L505" s="99">
        <v>56.000000000000014</v>
      </c>
    </row>
    <row r="506" spans="11:12" x14ac:dyDescent="0.4">
      <c r="K506" s="38">
        <v>504</v>
      </c>
      <c r="L506" s="99">
        <v>1.4210854715202004E-14</v>
      </c>
    </row>
    <row r="507" spans="11:12" x14ac:dyDescent="0.4">
      <c r="K507" s="38">
        <v>505</v>
      </c>
      <c r="L507" s="99">
        <v>-63.399999999999984</v>
      </c>
    </row>
    <row r="508" spans="11:12" x14ac:dyDescent="0.4">
      <c r="K508" s="38">
        <v>506</v>
      </c>
      <c r="L508" s="99">
        <v>-65.199999999999989</v>
      </c>
    </row>
    <row r="509" spans="11:12" x14ac:dyDescent="0.4">
      <c r="K509" s="38">
        <v>507</v>
      </c>
      <c r="L509" s="99">
        <v>1.4210854715202004E-14</v>
      </c>
    </row>
    <row r="510" spans="11:12" x14ac:dyDescent="0.4">
      <c r="K510" s="38">
        <v>508</v>
      </c>
      <c r="L510" s="99">
        <v>-20.299999999999986</v>
      </c>
    </row>
    <row r="511" spans="11:12" x14ac:dyDescent="0.4">
      <c r="K511" s="38">
        <v>509</v>
      </c>
      <c r="L511" s="99">
        <v>-66.399999999999991</v>
      </c>
    </row>
    <row r="512" spans="11:12" x14ac:dyDescent="0.4">
      <c r="K512" s="38">
        <v>510</v>
      </c>
      <c r="L512" s="99">
        <v>1.4210854715202004E-14</v>
      </c>
    </row>
    <row r="513" spans="11:12" x14ac:dyDescent="0.4">
      <c r="K513" s="38">
        <v>511</v>
      </c>
      <c r="L513" s="99">
        <v>4.300000000000014</v>
      </c>
    </row>
    <row r="514" spans="11:12" x14ac:dyDescent="0.4">
      <c r="K514" s="38">
        <v>512</v>
      </c>
      <c r="L514" s="99">
        <v>41.100000000000009</v>
      </c>
    </row>
    <row r="515" spans="11:12" x14ac:dyDescent="0.4">
      <c r="K515" s="38">
        <v>513</v>
      </c>
      <c r="L515" s="99">
        <v>7.1054273576010019E-15</v>
      </c>
    </row>
    <row r="516" spans="11:12" x14ac:dyDescent="0.4">
      <c r="K516" s="38">
        <v>514</v>
      </c>
      <c r="L516" s="99">
        <v>84.4</v>
      </c>
    </row>
    <row r="517" spans="11:12" x14ac:dyDescent="0.4">
      <c r="K517" s="38">
        <v>515</v>
      </c>
      <c r="L517" s="99">
        <v>20.900000000000006</v>
      </c>
    </row>
    <row r="518" spans="11:12" x14ac:dyDescent="0.4">
      <c r="K518" s="38">
        <v>516</v>
      </c>
      <c r="L518" s="99">
        <v>7.1054273576010019E-15</v>
      </c>
    </row>
    <row r="519" spans="11:12" x14ac:dyDescent="0.4">
      <c r="K519" s="38">
        <v>517</v>
      </c>
      <c r="L519" s="99">
        <v>40.600000000000009</v>
      </c>
    </row>
    <row r="520" spans="11:12" x14ac:dyDescent="0.4">
      <c r="K520" s="38">
        <v>518</v>
      </c>
      <c r="L520" s="99">
        <v>42.70000000000001</v>
      </c>
    </row>
    <row r="521" spans="11:12" x14ac:dyDescent="0.4">
      <c r="K521" s="38">
        <v>519</v>
      </c>
      <c r="L521" s="99">
        <v>7.1054273576010019E-15</v>
      </c>
    </row>
    <row r="522" spans="11:12" x14ac:dyDescent="0.4">
      <c r="K522" s="38">
        <v>520</v>
      </c>
      <c r="L522" s="99">
        <v>-57.999999999999993</v>
      </c>
    </row>
    <row r="523" spans="11:12" x14ac:dyDescent="0.4">
      <c r="K523" s="38">
        <v>521</v>
      </c>
      <c r="L523" s="99">
        <v>-1.9999999999999929</v>
      </c>
    </row>
    <row r="524" spans="11:12" x14ac:dyDescent="0.4">
      <c r="K524" s="38">
        <v>522</v>
      </c>
      <c r="L524" s="99">
        <v>7.1054273576010019E-15</v>
      </c>
    </row>
    <row r="525" spans="11:12" x14ac:dyDescent="0.4">
      <c r="K525" s="38">
        <v>523</v>
      </c>
      <c r="L525" s="99">
        <v>36.400000000000006</v>
      </c>
    </row>
    <row r="526" spans="11:12" x14ac:dyDescent="0.4">
      <c r="K526" s="38">
        <v>524</v>
      </c>
      <c r="L526" s="99">
        <v>45.900000000000006</v>
      </c>
    </row>
    <row r="527" spans="11:12" x14ac:dyDescent="0.4">
      <c r="K527" s="38">
        <v>525</v>
      </c>
      <c r="L527" s="99">
        <v>7.1054273576010019E-15</v>
      </c>
    </row>
    <row r="528" spans="11:12" x14ac:dyDescent="0.4">
      <c r="K528" s="38">
        <v>526</v>
      </c>
      <c r="L528" s="99">
        <v>-78.699999999999989</v>
      </c>
    </row>
    <row r="529" spans="11:12" x14ac:dyDescent="0.4">
      <c r="K529" s="38">
        <v>527</v>
      </c>
      <c r="L529" s="99">
        <v>-20.699999999999989</v>
      </c>
    </row>
    <row r="530" spans="11:12" x14ac:dyDescent="0.4">
      <c r="K530" s="38">
        <v>528</v>
      </c>
      <c r="L530" s="99">
        <v>1.0658141036401503E-14</v>
      </c>
    </row>
    <row r="531" spans="11:12" x14ac:dyDescent="0.4">
      <c r="K531" s="38">
        <v>529</v>
      </c>
      <c r="L531" s="99">
        <v>37.400000000000006</v>
      </c>
    </row>
    <row r="532" spans="11:12" x14ac:dyDescent="0.4">
      <c r="K532" s="38">
        <v>530</v>
      </c>
      <c r="L532" s="99">
        <v>-5.5999999999999943</v>
      </c>
    </row>
    <row r="533" spans="11:12" x14ac:dyDescent="0.4">
      <c r="K533" s="38">
        <v>531</v>
      </c>
      <c r="L533" s="99">
        <v>5.3290705182007514E-15</v>
      </c>
    </row>
    <row r="534" spans="11:12" x14ac:dyDescent="0.4">
      <c r="K534" s="38">
        <v>532</v>
      </c>
      <c r="L534" s="99">
        <v>5.3290705182007514E-15</v>
      </c>
    </row>
    <row r="535" spans="11:12" x14ac:dyDescent="0.4">
      <c r="K535" s="38">
        <v>533</v>
      </c>
      <c r="L535" s="99">
        <v>-56.999999999999993</v>
      </c>
    </row>
    <row r="536" spans="11:12" x14ac:dyDescent="0.4">
      <c r="K536" s="38">
        <v>534</v>
      </c>
      <c r="L536" s="99">
        <v>7.1054273576010019E-15</v>
      </c>
    </row>
    <row r="537" spans="11:12" x14ac:dyDescent="0.4">
      <c r="K537" s="38">
        <v>535</v>
      </c>
      <c r="L537" s="99">
        <v>-23.699999999999992</v>
      </c>
    </row>
    <row r="538" spans="11:12" x14ac:dyDescent="0.4">
      <c r="K538" s="38">
        <v>536</v>
      </c>
      <c r="L538" s="99">
        <v>-1.2999999999999936</v>
      </c>
    </row>
    <row r="539" spans="11:12" x14ac:dyDescent="0.4">
      <c r="K539" s="38">
        <v>537</v>
      </c>
      <c r="L539" s="99">
        <v>6.4392935428259079E-15</v>
      </c>
    </row>
    <row r="540" spans="11:12" x14ac:dyDescent="0.4">
      <c r="K540" s="38">
        <v>538</v>
      </c>
      <c r="L540" s="99">
        <v>-2.9999999999999938</v>
      </c>
    </row>
    <row r="541" spans="11:12" x14ac:dyDescent="0.4">
      <c r="K541" s="38">
        <v>539</v>
      </c>
      <c r="L541" s="99">
        <v>43.000000000000007</v>
      </c>
    </row>
    <row r="542" spans="11:12" x14ac:dyDescent="0.4">
      <c r="K542" s="38">
        <v>540</v>
      </c>
      <c r="L542" s="99">
        <v>7.1054273576010019E-15</v>
      </c>
    </row>
    <row r="543" spans="11:12" x14ac:dyDescent="0.4">
      <c r="K543" s="38">
        <v>541</v>
      </c>
      <c r="L543" s="99">
        <v>-35.099999999999994</v>
      </c>
    </row>
    <row r="544" spans="11:12" x14ac:dyDescent="0.4">
      <c r="K544" s="38">
        <v>542</v>
      </c>
      <c r="L544" s="99">
        <v>-5.4999999999999929</v>
      </c>
    </row>
    <row r="545" spans="11:12" x14ac:dyDescent="0.4">
      <c r="K545" s="38">
        <v>543</v>
      </c>
      <c r="L545" s="99">
        <v>7.1054273576010019E-15</v>
      </c>
    </row>
    <row r="546" spans="11:12" x14ac:dyDescent="0.4">
      <c r="K546" s="38">
        <v>544</v>
      </c>
      <c r="L546" s="99">
        <v>-26.999999999999993</v>
      </c>
    </row>
    <row r="547" spans="11:12" x14ac:dyDescent="0.4">
      <c r="K547" s="38">
        <v>545</v>
      </c>
      <c r="L547" s="99">
        <v>6.5000000000000071</v>
      </c>
    </row>
    <row r="548" spans="11:12" x14ac:dyDescent="0.4">
      <c r="K548" s="38">
        <v>546</v>
      </c>
      <c r="L548" s="99">
        <v>7.1054273576010019E-15</v>
      </c>
    </row>
    <row r="549" spans="11:12" x14ac:dyDescent="0.4">
      <c r="K549" s="38">
        <v>547</v>
      </c>
      <c r="L549" s="99">
        <v>49.000000000000007</v>
      </c>
    </row>
    <row r="550" spans="11:12" x14ac:dyDescent="0.4">
      <c r="K550" s="38">
        <v>548</v>
      </c>
      <c r="L550" s="99">
        <v>57.100000000000009</v>
      </c>
    </row>
    <row r="551" spans="11:12" x14ac:dyDescent="0.4">
      <c r="K551" s="38">
        <v>549</v>
      </c>
      <c r="L551" s="99">
        <v>7.1054273576010019E-15</v>
      </c>
    </row>
    <row r="552" spans="11:12" x14ac:dyDescent="0.4">
      <c r="K552" s="38">
        <v>550</v>
      </c>
      <c r="L552" s="99">
        <v>-28.199999999999992</v>
      </c>
    </row>
    <row r="553" spans="11:12" x14ac:dyDescent="0.4">
      <c r="K553" s="38">
        <v>551</v>
      </c>
      <c r="L553" s="99">
        <v>2.2000000000000064</v>
      </c>
    </row>
    <row r="554" spans="11:12" x14ac:dyDescent="0.4">
      <c r="K554" s="38">
        <v>552</v>
      </c>
      <c r="L554" s="99">
        <v>6.2172489379008766E-15</v>
      </c>
    </row>
    <row r="555" spans="11:12" x14ac:dyDescent="0.4">
      <c r="K555" s="38">
        <v>553</v>
      </c>
      <c r="L555" s="99">
        <v>6.1000000000000059</v>
      </c>
    </row>
    <row r="556" spans="11:12" x14ac:dyDescent="0.4">
      <c r="K556" s="38">
        <v>554</v>
      </c>
      <c r="L556" s="99">
        <v>-33.79999999999999</v>
      </c>
    </row>
    <row r="557" spans="11:12" x14ac:dyDescent="0.4">
      <c r="K557" s="38">
        <v>555</v>
      </c>
      <c r="L557" s="99">
        <v>7.1054273576010019E-15</v>
      </c>
    </row>
    <row r="558" spans="11:12" x14ac:dyDescent="0.4">
      <c r="K558" s="38">
        <v>556</v>
      </c>
      <c r="L558" s="99">
        <v>-62.999999999999993</v>
      </c>
    </row>
    <row r="559" spans="11:12" x14ac:dyDescent="0.4">
      <c r="K559" s="38">
        <v>557</v>
      </c>
      <c r="L559" s="99">
        <v>-44.999999999999993</v>
      </c>
    </row>
    <row r="560" spans="11:12" x14ac:dyDescent="0.4">
      <c r="K560" s="38">
        <v>558</v>
      </c>
      <c r="L560" s="99">
        <v>7.1054273576010019E-15</v>
      </c>
    </row>
    <row r="561" spans="11:12" x14ac:dyDescent="0.4">
      <c r="K561" s="38">
        <v>559</v>
      </c>
      <c r="L561" s="99">
        <v>100.9</v>
      </c>
    </row>
    <row r="562" spans="11:12" x14ac:dyDescent="0.4">
      <c r="K562" s="38">
        <v>560</v>
      </c>
      <c r="L562" s="99">
        <v>27.200000000000003</v>
      </c>
    </row>
    <row r="563" spans="11:12" x14ac:dyDescent="0.4">
      <c r="K563" s="38">
        <v>561</v>
      </c>
      <c r="L563" s="99">
        <v>3.5527136788005009E-15</v>
      </c>
    </row>
    <row r="564" spans="11:12" x14ac:dyDescent="0.4">
      <c r="K564" s="38">
        <v>562</v>
      </c>
      <c r="L564" s="99">
        <v>27.100000000000005</v>
      </c>
    </row>
    <row r="565" spans="11:12" x14ac:dyDescent="0.4">
      <c r="K565" s="38">
        <v>563</v>
      </c>
      <c r="L565" s="99">
        <v>31.800000000000004</v>
      </c>
    </row>
    <row r="566" spans="11:12" x14ac:dyDescent="0.4">
      <c r="K566" s="38">
        <v>564</v>
      </c>
      <c r="L566" s="99">
        <v>3.5527136788005009E-15</v>
      </c>
    </row>
    <row r="567" spans="11:12" x14ac:dyDescent="0.4">
      <c r="K567" s="38">
        <v>565</v>
      </c>
      <c r="L567" s="99">
        <v>-0.79999999999999649</v>
      </c>
    </row>
    <row r="568" spans="11:12" x14ac:dyDescent="0.4">
      <c r="K568" s="38">
        <v>566</v>
      </c>
      <c r="L568" s="99">
        <v>23.400000000000002</v>
      </c>
    </row>
    <row r="569" spans="11:12" x14ac:dyDescent="0.4">
      <c r="K569" s="38">
        <v>567</v>
      </c>
      <c r="L569" s="99">
        <v>3.5527136788005009E-15</v>
      </c>
    </row>
    <row r="570" spans="11:12" x14ac:dyDescent="0.4">
      <c r="K570" s="38">
        <v>568</v>
      </c>
      <c r="L570" s="99">
        <v>57.2</v>
      </c>
    </row>
    <row r="571" spans="11:12" x14ac:dyDescent="0.4">
      <c r="K571" s="38">
        <v>569</v>
      </c>
      <c r="L571" s="99">
        <v>69.5</v>
      </c>
    </row>
    <row r="572" spans="11:12" x14ac:dyDescent="0.4">
      <c r="K572" s="38">
        <v>570</v>
      </c>
      <c r="L572" s="99">
        <v>0</v>
      </c>
    </row>
    <row r="573" spans="11:12" x14ac:dyDescent="0.4">
      <c r="K573" s="38">
        <v>571</v>
      </c>
      <c r="L573" s="99">
        <v>-48.7</v>
      </c>
    </row>
    <row r="574" spans="11:12" x14ac:dyDescent="0.4">
      <c r="K574" s="38">
        <v>572</v>
      </c>
      <c r="L574" s="99">
        <v>-37.1</v>
      </c>
    </row>
    <row r="575" spans="11:12" x14ac:dyDescent="0.4">
      <c r="K575" s="38">
        <v>573</v>
      </c>
      <c r="L575" s="99">
        <v>0</v>
      </c>
    </row>
    <row r="576" spans="11:12" x14ac:dyDescent="0.4">
      <c r="K576" s="38">
        <v>574</v>
      </c>
      <c r="L576" s="99">
        <v>29.4</v>
      </c>
    </row>
    <row r="577" spans="11:12" x14ac:dyDescent="0.4">
      <c r="K577" s="38">
        <v>575</v>
      </c>
      <c r="L577" s="99">
        <v>-0.80000000000000071</v>
      </c>
    </row>
    <row r="578" spans="11:12" x14ac:dyDescent="0.4">
      <c r="K578" s="38">
        <v>576</v>
      </c>
      <c r="L578" s="99">
        <v>-6.6613381477509392E-16</v>
      </c>
    </row>
    <row r="579" spans="11:12" x14ac:dyDescent="0.4">
      <c r="K579" s="38">
        <v>577</v>
      </c>
      <c r="L579" s="99">
        <v>79.599999999999994</v>
      </c>
    </row>
    <row r="580" spans="11:12" x14ac:dyDescent="0.4">
      <c r="K580" s="38">
        <v>578</v>
      </c>
      <c r="L580" s="99">
        <v>70.8</v>
      </c>
    </row>
    <row r="581" spans="11:12" x14ac:dyDescent="0.4">
      <c r="K581" s="38">
        <v>579</v>
      </c>
      <c r="L581" s="99">
        <v>0</v>
      </c>
    </row>
    <row r="582" spans="11:12" x14ac:dyDescent="0.4">
      <c r="K582" s="38">
        <v>580</v>
      </c>
      <c r="L582" s="99">
        <v>-55.7</v>
      </c>
    </row>
    <row r="583" spans="11:12" x14ac:dyDescent="0.4">
      <c r="K583" s="38">
        <v>581</v>
      </c>
      <c r="L583" s="99">
        <v>7.6999999999999957</v>
      </c>
    </row>
    <row r="584" spans="11:12" x14ac:dyDescent="0.4">
      <c r="K584" s="38">
        <v>582</v>
      </c>
      <c r="L584" s="99">
        <v>-4.4408920985006262E-15</v>
      </c>
    </row>
    <row r="585" spans="11:12" x14ac:dyDescent="0.4">
      <c r="K585" s="38">
        <v>583</v>
      </c>
      <c r="L585" s="99">
        <v>40.599999999999994</v>
      </c>
    </row>
    <row r="586" spans="11:12" x14ac:dyDescent="0.4">
      <c r="K586" s="38">
        <v>584</v>
      </c>
      <c r="L586" s="99">
        <v>43.599999999999994</v>
      </c>
    </row>
    <row r="587" spans="11:12" x14ac:dyDescent="0.4">
      <c r="K587" s="38">
        <v>585</v>
      </c>
      <c r="L587" s="99">
        <v>-7.1054273576010019E-15</v>
      </c>
    </row>
    <row r="588" spans="11:12" x14ac:dyDescent="0.4">
      <c r="K588" s="38">
        <v>586</v>
      </c>
      <c r="L588" s="99">
        <v>-50.500000000000007</v>
      </c>
    </row>
    <row r="589" spans="11:12" x14ac:dyDescent="0.4">
      <c r="K589" s="38">
        <v>587</v>
      </c>
      <c r="L589" s="99">
        <v>-47.900000000000006</v>
      </c>
    </row>
    <row r="590" spans="11:12" x14ac:dyDescent="0.4">
      <c r="K590" s="38">
        <v>588</v>
      </c>
      <c r="L590" s="99">
        <v>-7.1054273576010019E-15</v>
      </c>
    </row>
    <row r="591" spans="11:12" x14ac:dyDescent="0.4">
      <c r="K591" s="38">
        <v>589</v>
      </c>
      <c r="L591" s="99">
        <v>-41.70000000000001</v>
      </c>
    </row>
    <row r="592" spans="11:12" x14ac:dyDescent="0.4">
      <c r="K592" s="38">
        <v>590</v>
      </c>
      <c r="L592" s="99">
        <v>-0.70000000000000995</v>
      </c>
    </row>
    <row r="593" spans="11:12" x14ac:dyDescent="0.4">
      <c r="K593" s="38">
        <v>591</v>
      </c>
      <c r="L593" s="99">
        <v>-9.9920072216264089E-15</v>
      </c>
    </row>
    <row r="594" spans="11:12" x14ac:dyDescent="0.4">
      <c r="K594" s="38">
        <v>592</v>
      </c>
      <c r="L594" s="99">
        <v>-34.900000000000006</v>
      </c>
    </row>
    <row r="595" spans="11:12" x14ac:dyDescent="0.4">
      <c r="K595" s="38">
        <v>593</v>
      </c>
      <c r="L595" s="99">
        <v>-38.100000000000009</v>
      </c>
    </row>
    <row r="596" spans="11:12" x14ac:dyDescent="0.4">
      <c r="K596" s="38">
        <v>594</v>
      </c>
      <c r="L596" s="99">
        <v>-7.1054273576010019E-15</v>
      </c>
    </row>
    <row r="597" spans="11:12" x14ac:dyDescent="0.4">
      <c r="K597" s="38">
        <v>595</v>
      </c>
      <c r="L597" s="99">
        <v>64.199999999999989</v>
      </c>
    </row>
    <row r="598" spans="11:12" x14ac:dyDescent="0.4">
      <c r="K598" s="38">
        <v>596</v>
      </c>
      <c r="L598" s="99">
        <v>57.999999999999986</v>
      </c>
    </row>
    <row r="599" spans="11:12" x14ac:dyDescent="0.4">
      <c r="K599" s="38">
        <v>597</v>
      </c>
      <c r="L599" s="99">
        <v>-1.4210854715202004E-14</v>
      </c>
    </row>
    <row r="600" spans="11:12" x14ac:dyDescent="0.4">
      <c r="K600" s="38">
        <v>598</v>
      </c>
      <c r="L600" s="99">
        <v>60.299999999999983</v>
      </c>
    </row>
    <row r="601" spans="11:12" x14ac:dyDescent="0.4">
      <c r="K601" s="38">
        <v>599</v>
      </c>
      <c r="L601" s="99">
        <v>-1.7000000000000171</v>
      </c>
    </row>
    <row r="602" spans="11:12" x14ac:dyDescent="0.4">
      <c r="K602" s="38">
        <v>600</v>
      </c>
      <c r="L602" s="99">
        <v>-1.7097434579227411E-14</v>
      </c>
    </row>
    <row r="603" spans="11:12" x14ac:dyDescent="0.4">
      <c r="K603" s="38">
        <v>601</v>
      </c>
      <c r="L603" s="99">
        <v>7.2999999999999829</v>
      </c>
    </row>
    <row r="604" spans="11:12" x14ac:dyDescent="0.4">
      <c r="K604" s="38">
        <v>602</v>
      </c>
      <c r="L604" s="99">
        <v>36.09999999999998</v>
      </c>
    </row>
    <row r="605" spans="11:12" x14ac:dyDescent="0.4">
      <c r="K605" s="38">
        <v>603</v>
      </c>
      <c r="L605" s="99">
        <v>-2.1316282072803006E-14</v>
      </c>
    </row>
    <row r="606" spans="11:12" x14ac:dyDescent="0.4">
      <c r="K606" s="38">
        <v>604</v>
      </c>
      <c r="L606" s="99">
        <v>-41.40000000000002</v>
      </c>
    </row>
    <row r="607" spans="11:12" x14ac:dyDescent="0.4">
      <c r="K607" s="38">
        <v>605</v>
      </c>
      <c r="L607" s="99">
        <v>-48.000000000000021</v>
      </c>
    </row>
    <row r="608" spans="11:12" x14ac:dyDescent="0.4">
      <c r="K608" s="38">
        <v>606</v>
      </c>
      <c r="L608" s="99">
        <v>-2.1316282072803006E-14</v>
      </c>
    </row>
    <row r="609" spans="11:12" x14ac:dyDescent="0.4">
      <c r="K609" s="38">
        <v>607</v>
      </c>
      <c r="L609" s="99">
        <v>31.899999999999977</v>
      </c>
    </row>
    <row r="610" spans="11:12" x14ac:dyDescent="0.4">
      <c r="K610" s="38">
        <v>608</v>
      </c>
      <c r="L610" s="99">
        <v>33.899999999999977</v>
      </c>
    </row>
    <row r="611" spans="11:12" x14ac:dyDescent="0.4">
      <c r="K611" s="38">
        <v>609</v>
      </c>
      <c r="L611" s="99">
        <v>-2.1316282072803006E-14</v>
      </c>
    </row>
    <row r="612" spans="11:12" x14ac:dyDescent="0.4">
      <c r="K612" s="38">
        <v>610</v>
      </c>
      <c r="L612" s="99">
        <v>-11.100000000000021</v>
      </c>
    </row>
    <row r="613" spans="11:12" x14ac:dyDescent="0.4">
      <c r="K613" s="38">
        <v>611</v>
      </c>
      <c r="L613" s="99">
        <v>56.699999999999974</v>
      </c>
    </row>
    <row r="614" spans="11:12" x14ac:dyDescent="0.4">
      <c r="K614" s="38">
        <v>612</v>
      </c>
      <c r="L614" s="99">
        <v>-2.8421709430404007E-14</v>
      </c>
    </row>
    <row r="615" spans="11:12" x14ac:dyDescent="0.4">
      <c r="K615" s="38">
        <v>613</v>
      </c>
      <c r="L615" s="99">
        <v>-24.400000000000027</v>
      </c>
    </row>
    <row r="616" spans="11:12" x14ac:dyDescent="0.4">
      <c r="K616" s="38">
        <v>614</v>
      </c>
      <c r="L616" s="99">
        <v>-25.600000000000026</v>
      </c>
    </row>
    <row r="617" spans="11:12" x14ac:dyDescent="0.4">
      <c r="K617" s="38">
        <v>615</v>
      </c>
      <c r="L617" s="99">
        <v>-2.4868995751603507E-14</v>
      </c>
    </row>
    <row r="618" spans="11:12" x14ac:dyDescent="0.4">
      <c r="K618" s="38">
        <v>616</v>
      </c>
      <c r="L618" s="99">
        <v>-44.600000000000023</v>
      </c>
    </row>
    <row r="619" spans="11:12" x14ac:dyDescent="0.4">
      <c r="K619" s="38">
        <v>617</v>
      </c>
      <c r="L619" s="99">
        <v>-34.90000000000002</v>
      </c>
    </row>
    <row r="620" spans="11:12" x14ac:dyDescent="0.4">
      <c r="K620" s="38">
        <v>618</v>
      </c>
      <c r="L620" s="99">
        <v>-2.1316282072803006E-14</v>
      </c>
    </row>
    <row r="621" spans="11:12" x14ac:dyDescent="0.4">
      <c r="K621" s="38">
        <v>619</v>
      </c>
      <c r="L621" s="99">
        <v>46.09999999999998</v>
      </c>
    </row>
    <row r="622" spans="11:12" x14ac:dyDescent="0.4">
      <c r="K622" s="38">
        <v>620</v>
      </c>
      <c r="L622" s="99">
        <v>54.59999999999998</v>
      </c>
    </row>
    <row r="623" spans="11:12" x14ac:dyDescent="0.4">
      <c r="K623" s="38">
        <v>621</v>
      </c>
      <c r="L623" s="99">
        <v>-2.1316282072803006E-14</v>
      </c>
    </row>
    <row r="624" spans="11:12" x14ac:dyDescent="0.4">
      <c r="K624" s="38">
        <v>622</v>
      </c>
      <c r="L624" s="99">
        <v>56.499999999999979</v>
      </c>
    </row>
    <row r="625" spans="11:12" x14ac:dyDescent="0.4">
      <c r="K625" s="38">
        <v>623</v>
      </c>
      <c r="L625" s="99">
        <v>64.699999999999974</v>
      </c>
    </row>
    <row r="626" spans="11:12" x14ac:dyDescent="0.4">
      <c r="K626" s="38">
        <v>624</v>
      </c>
      <c r="L626" s="99">
        <v>-2.8421709430404007E-14</v>
      </c>
    </row>
    <row r="627" spans="11:12" x14ac:dyDescent="0.4">
      <c r="K627" s="38">
        <v>625</v>
      </c>
      <c r="L627" s="99">
        <v>23.699999999999971</v>
      </c>
    </row>
    <row r="628" spans="11:12" x14ac:dyDescent="0.4">
      <c r="K628" s="38">
        <v>626</v>
      </c>
      <c r="L628" s="99">
        <v>1.4999999999999716</v>
      </c>
    </row>
    <row r="629" spans="11:12" x14ac:dyDescent="0.4">
      <c r="K629" s="38">
        <v>627</v>
      </c>
      <c r="L629" s="99">
        <v>-2.8421709430404007E-14</v>
      </c>
    </row>
    <row r="630" spans="11:12" x14ac:dyDescent="0.4">
      <c r="K630" s="38">
        <v>628</v>
      </c>
      <c r="L630" s="99">
        <v>27.699999999999971</v>
      </c>
    </row>
    <row r="631" spans="11:12" x14ac:dyDescent="0.4">
      <c r="K631" s="38">
        <v>629</v>
      </c>
      <c r="L631" s="99">
        <v>3.3999999999999702</v>
      </c>
    </row>
    <row r="632" spans="11:12" x14ac:dyDescent="0.4">
      <c r="K632" s="38">
        <v>630</v>
      </c>
      <c r="L632" s="99">
        <v>-2.9753977059954195E-14</v>
      </c>
    </row>
    <row r="633" spans="11:12" x14ac:dyDescent="0.4">
      <c r="K633" s="38">
        <v>631</v>
      </c>
      <c r="L633" s="99">
        <v>45.299999999999969</v>
      </c>
    </row>
    <row r="634" spans="11:12" x14ac:dyDescent="0.4">
      <c r="K634" s="38">
        <v>632</v>
      </c>
      <c r="L634" s="99">
        <v>-5.8000000000000327</v>
      </c>
    </row>
    <row r="635" spans="11:12" x14ac:dyDescent="0.4">
      <c r="K635" s="38">
        <v>633</v>
      </c>
      <c r="L635" s="99">
        <v>-3.2862601528904634E-14</v>
      </c>
    </row>
    <row r="636" spans="11:12" x14ac:dyDescent="0.4">
      <c r="K636" s="38">
        <v>634</v>
      </c>
      <c r="L636" s="99">
        <v>8.999999999999968</v>
      </c>
    </row>
    <row r="637" spans="11:12" x14ac:dyDescent="0.4">
      <c r="K637" s="38">
        <v>635</v>
      </c>
      <c r="L637" s="99">
        <v>57.299999999999969</v>
      </c>
    </row>
    <row r="638" spans="11:12" x14ac:dyDescent="0.4">
      <c r="K638" s="38">
        <v>636</v>
      </c>
      <c r="L638" s="99">
        <v>-2.8421709430404007E-14</v>
      </c>
    </row>
    <row r="639" spans="11:12" x14ac:dyDescent="0.4">
      <c r="K639" s="38">
        <v>637</v>
      </c>
      <c r="L639" s="99">
        <v>-56.000000000000028</v>
      </c>
    </row>
    <row r="640" spans="11:12" x14ac:dyDescent="0.4">
      <c r="K640" s="38">
        <v>638</v>
      </c>
      <c r="L640" s="99">
        <v>-50.000000000000028</v>
      </c>
    </row>
    <row r="641" spans="11:12" x14ac:dyDescent="0.4">
      <c r="K641" s="38">
        <v>639</v>
      </c>
      <c r="L641" s="99">
        <v>-2.8421709430404007E-14</v>
      </c>
    </row>
    <row r="642" spans="11:12" x14ac:dyDescent="0.4">
      <c r="K642" s="38">
        <v>640</v>
      </c>
      <c r="L642" s="99">
        <v>-56.200000000000031</v>
      </c>
    </row>
    <row r="643" spans="11:12" x14ac:dyDescent="0.4">
      <c r="K643" s="38">
        <v>641</v>
      </c>
      <c r="L643" s="99">
        <v>11.699999999999974</v>
      </c>
    </row>
    <row r="644" spans="11:12" x14ac:dyDescent="0.4">
      <c r="K644" s="38">
        <v>642</v>
      </c>
      <c r="L644" s="99">
        <v>-2.4868995751603507E-14</v>
      </c>
    </row>
    <row r="645" spans="11:12" x14ac:dyDescent="0.4">
      <c r="K645" s="38">
        <v>643</v>
      </c>
      <c r="L645" s="99">
        <v>-31.800000000000026</v>
      </c>
    </row>
    <row r="646" spans="11:12" x14ac:dyDescent="0.4">
      <c r="K646" s="38">
        <v>644</v>
      </c>
      <c r="L646" s="99">
        <v>-42.700000000000024</v>
      </c>
    </row>
    <row r="647" spans="11:12" x14ac:dyDescent="0.4">
      <c r="K647" s="38">
        <v>645</v>
      </c>
      <c r="L647" s="99">
        <v>-2.1316282072803006E-14</v>
      </c>
    </row>
    <row r="648" spans="11:12" x14ac:dyDescent="0.4">
      <c r="K648" s="38">
        <v>646</v>
      </c>
      <c r="L648" s="99">
        <v>-7.3000000000000211</v>
      </c>
    </row>
    <row r="649" spans="11:12" x14ac:dyDescent="0.4">
      <c r="K649" s="38">
        <v>647</v>
      </c>
      <c r="L649" s="99">
        <v>46.999999999999979</v>
      </c>
    </row>
    <row r="650" spans="11:12" x14ac:dyDescent="0.4">
      <c r="K650" s="38">
        <v>648</v>
      </c>
      <c r="L650" s="99">
        <v>-2.1316282072803006E-14</v>
      </c>
    </row>
    <row r="651" spans="11:12" x14ac:dyDescent="0.4">
      <c r="K651" s="38">
        <v>649</v>
      </c>
      <c r="L651" s="99">
        <v>-14.300000000000022</v>
      </c>
    </row>
    <row r="652" spans="11:12" x14ac:dyDescent="0.4">
      <c r="K652" s="38">
        <v>650</v>
      </c>
      <c r="L652" s="99">
        <v>36.09999999999998</v>
      </c>
    </row>
    <row r="653" spans="11:12" x14ac:dyDescent="0.4">
      <c r="K653" s="38">
        <v>651</v>
      </c>
      <c r="L653" s="99">
        <v>-2.1316282072803006E-14</v>
      </c>
    </row>
    <row r="654" spans="11:12" x14ac:dyDescent="0.4">
      <c r="K654" s="38">
        <v>652</v>
      </c>
      <c r="L654" s="99">
        <v>-60.90000000000002</v>
      </c>
    </row>
    <row r="655" spans="11:12" x14ac:dyDescent="0.4">
      <c r="K655" s="38">
        <v>653</v>
      </c>
      <c r="L655" s="99">
        <v>3.4999999999999858</v>
      </c>
    </row>
    <row r="656" spans="11:12" x14ac:dyDescent="0.4">
      <c r="K656" s="38">
        <v>654</v>
      </c>
      <c r="L656" s="99">
        <v>-1.4210854715202004E-14</v>
      </c>
    </row>
    <row r="657" spans="11:12" x14ac:dyDescent="0.4">
      <c r="K657" s="38">
        <v>655</v>
      </c>
      <c r="L657" s="99">
        <v>67.799999999999983</v>
      </c>
    </row>
    <row r="658" spans="11:12" x14ac:dyDescent="0.4">
      <c r="K658" s="38">
        <v>656</v>
      </c>
      <c r="L658" s="99">
        <v>55.899999999999984</v>
      </c>
    </row>
    <row r="659" spans="11:12" x14ac:dyDescent="0.4">
      <c r="K659" s="38">
        <v>657</v>
      </c>
      <c r="L659" s="99">
        <v>-1.4210854715202004E-14</v>
      </c>
    </row>
    <row r="660" spans="11:12" x14ac:dyDescent="0.4">
      <c r="K660" s="38">
        <v>658</v>
      </c>
      <c r="L660" s="99">
        <v>-14.900000000000015</v>
      </c>
    </row>
    <row r="661" spans="11:12" x14ac:dyDescent="0.4">
      <c r="K661" s="38">
        <v>659</v>
      </c>
      <c r="L661" s="99">
        <v>-51.300000000000011</v>
      </c>
    </row>
    <row r="662" spans="11:12" x14ac:dyDescent="0.4">
      <c r="K662" s="38">
        <v>660</v>
      </c>
      <c r="L662" s="99">
        <v>-1.4210854715202004E-14</v>
      </c>
    </row>
    <row r="663" spans="11:12" x14ac:dyDescent="0.4">
      <c r="K663" s="38">
        <v>661</v>
      </c>
      <c r="L663" s="99">
        <v>-57.700000000000017</v>
      </c>
    </row>
    <row r="664" spans="11:12" x14ac:dyDescent="0.4">
      <c r="K664" s="38">
        <v>662</v>
      </c>
      <c r="L664" s="99">
        <v>-40.100000000000016</v>
      </c>
    </row>
    <row r="665" spans="11:12" x14ac:dyDescent="0.4">
      <c r="K665" s="38">
        <v>663</v>
      </c>
      <c r="L665" s="99">
        <v>-1.4210854715202004E-14</v>
      </c>
    </row>
    <row r="666" spans="11:12" x14ac:dyDescent="0.4">
      <c r="K666" s="38">
        <v>664</v>
      </c>
      <c r="L666" s="99">
        <v>-1.9000000000000141</v>
      </c>
    </row>
    <row r="667" spans="11:12" x14ac:dyDescent="0.4">
      <c r="K667" s="38">
        <v>665</v>
      </c>
      <c r="L667" s="99">
        <v>32.79999999999999</v>
      </c>
    </row>
    <row r="668" spans="11:12" x14ac:dyDescent="0.4">
      <c r="K668" s="38">
        <v>666</v>
      </c>
      <c r="L668" s="99">
        <v>-7.1054273576010019E-15</v>
      </c>
    </row>
    <row r="669" spans="11:12" x14ac:dyDescent="0.4">
      <c r="K669" s="38">
        <v>667</v>
      </c>
      <c r="L669" s="99">
        <v>11.599999999999993</v>
      </c>
    </row>
    <row r="670" spans="11:12" x14ac:dyDescent="0.4">
      <c r="K670" s="38">
        <v>668</v>
      </c>
      <c r="L670" s="99">
        <v>-43.800000000000004</v>
      </c>
    </row>
    <row r="671" spans="11:12" x14ac:dyDescent="0.4">
      <c r="K671" s="38">
        <v>669</v>
      </c>
      <c r="L671" s="99">
        <v>-7.1054273576010019E-15</v>
      </c>
    </row>
    <row r="672" spans="11:12" x14ac:dyDescent="0.4">
      <c r="K672" s="38">
        <v>670</v>
      </c>
      <c r="L672" s="99">
        <v>-1.0000000000000071</v>
      </c>
    </row>
    <row r="673" spans="11:12" x14ac:dyDescent="0.4">
      <c r="K673" s="38">
        <v>671</v>
      </c>
      <c r="L673" s="99">
        <v>-59.000000000000007</v>
      </c>
    </row>
    <row r="674" spans="11:12" x14ac:dyDescent="0.4">
      <c r="K674" s="38">
        <v>672</v>
      </c>
      <c r="L674" s="99">
        <v>-7.1054273576010019E-15</v>
      </c>
    </row>
    <row r="675" spans="11:12" x14ac:dyDescent="0.4">
      <c r="K675" s="38">
        <v>673</v>
      </c>
      <c r="L675" s="99">
        <v>-1.3000000000000071</v>
      </c>
    </row>
    <row r="676" spans="11:12" x14ac:dyDescent="0.4">
      <c r="K676" s="38">
        <v>674</v>
      </c>
      <c r="L676" s="99">
        <v>34.699999999999996</v>
      </c>
    </row>
    <row r="677" spans="11:12" x14ac:dyDescent="0.4">
      <c r="K677" s="38">
        <v>675</v>
      </c>
      <c r="L677" s="99">
        <v>-7.1054273576010019E-15</v>
      </c>
    </row>
    <row r="678" spans="11:12" x14ac:dyDescent="0.4">
      <c r="K678" s="38">
        <v>676</v>
      </c>
      <c r="L678" s="99">
        <v>-7.4000000000000075</v>
      </c>
    </row>
    <row r="679" spans="11:12" x14ac:dyDescent="0.4">
      <c r="K679" s="38">
        <v>677</v>
      </c>
      <c r="L679" s="99">
        <v>-71.100000000000009</v>
      </c>
    </row>
    <row r="680" spans="11:12" x14ac:dyDescent="0.4">
      <c r="K680" s="38">
        <v>678</v>
      </c>
      <c r="L680" s="99">
        <v>-1.4210854715202004E-14</v>
      </c>
    </row>
    <row r="681" spans="11:12" x14ac:dyDescent="0.4">
      <c r="K681" s="38">
        <v>679</v>
      </c>
      <c r="L681" s="99">
        <v>76.999999999999986</v>
      </c>
    </row>
    <row r="682" spans="11:12" x14ac:dyDescent="0.4">
      <c r="K682" s="38">
        <v>680</v>
      </c>
      <c r="L682" s="99">
        <v>-5.0000000000000142</v>
      </c>
    </row>
    <row r="683" spans="11:12" x14ac:dyDescent="0.4">
      <c r="K683" s="38">
        <v>681</v>
      </c>
      <c r="L683" s="99">
        <v>-1.4210854715202004E-14</v>
      </c>
    </row>
    <row r="684" spans="11:12" x14ac:dyDescent="0.4">
      <c r="K684" s="38">
        <v>682</v>
      </c>
      <c r="L684" s="99">
        <v>92.59999999999998</v>
      </c>
    </row>
    <row r="685" spans="11:12" x14ac:dyDescent="0.4">
      <c r="K685" s="38">
        <v>683</v>
      </c>
      <c r="L685" s="99">
        <v>62.299999999999983</v>
      </c>
    </row>
    <row r="686" spans="11:12" x14ac:dyDescent="0.4">
      <c r="K686" s="38">
        <v>684</v>
      </c>
      <c r="L686" s="99">
        <v>-1.4210854715202004E-14</v>
      </c>
    </row>
    <row r="687" spans="11:12" x14ac:dyDescent="0.4">
      <c r="K687" s="38">
        <v>685</v>
      </c>
      <c r="L687" s="99">
        <v>49.699999999999989</v>
      </c>
    </row>
    <row r="688" spans="11:12" x14ac:dyDescent="0.4">
      <c r="K688" s="38">
        <v>686</v>
      </c>
      <c r="L688" s="99">
        <v>38.79999999999999</v>
      </c>
    </row>
    <row r="689" spans="11:12" x14ac:dyDescent="0.4">
      <c r="K689" s="38">
        <v>687</v>
      </c>
      <c r="L689" s="99">
        <v>-7.1054273576010019E-15</v>
      </c>
    </row>
    <row r="690" spans="11:12" x14ac:dyDescent="0.4">
      <c r="K690" s="38">
        <v>688</v>
      </c>
      <c r="L690" s="99">
        <v>-28.400000000000006</v>
      </c>
    </row>
    <row r="691" spans="11:12" x14ac:dyDescent="0.4">
      <c r="K691" s="38">
        <v>689</v>
      </c>
      <c r="L691" s="99">
        <v>57</v>
      </c>
    </row>
    <row r="692" spans="11:12" x14ac:dyDescent="0.4">
      <c r="K692" s="38">
        <v>690</v>
      </c>
      <c r="L692" s="99">
        <v>0</v>
      </c>
    </row>
    <row r="693" spans="11:12" x14ac:dyDescent="0.4">
      <c r="K693" s="38">
        <v>691</v>
      </c>
      <c r="L693" s="99">
        <v>-47.7</v>
      </c>
    </row>
    <row r="694" spans="11:12" x14ac:dyDescent="0.4">
      <c r="K694" s="38">
        <v>692</v>
      </c>
      <c r="L694" s="99">
        <v>-69.300000000000011</v>
      </c>
    </row>
    <row r="695" spans="11:12" x14ac:dyDescent="0.4">
      <c r="K695" s="38">
        <v>693</v>
      </c>
      <c r="L695" s="99">
        <v>-1.4210854715202004E-14</v>
      </c>
    </row>
    <row r="696" spans="11:12" x14ac:dyDescent="0.4">
      <c r="K696" s="38">
        <v>694</v>
      </c>
      <c r="L696" s="99">
        <v>-32.900000000000013</v>
      </c>
    </row>
    <row r="697" spans="11:12" x14ac:dyDescent="0.4">
      <c r="K697" s="38">
        <v>695</v>
      </c>
      <c r="L697" s="99">
        <v>-42.600000000000009</v>
      </c>
    </row>
    <row r="698" spans="11:12" x14ac:dyDescent="0.4">
      <c r="K698" s="38">
        <v>696</v>
      </c>
      <c r="L698" s="99">
        <v>-7.1054273576010019E-15</v>
      </c>
    </row>
    <row r="699" spans="11:12" x14ac:dyDescent="0.4">
      <c r="K699" s="38">
        <v>697</v>
      </c>
      <c r="L699" s="99">
        <v>11.299999999999994</v>
      </c>
    </row>
    <row r="700" spans="11:12" x14ac:dyDescent="0.4">
      <c r="K700" s="38">
        <v>698</v>
      </c>
      <c r="L700" s="99">
        <v>56.3</v>
      </c>
    </row>
    <row r="701" spans="11:12" x14ac:dyDescent="0.4">
      <c r="K701" s="38">
        <v>699</v>
      </c>
      <c r="L701" s="99">
        <v>0</v>
      </c>
    </row>
    <row r="702" spans="11:12" x14ac:dyDescent="0.4">
      <c r="K702" s="38">
        <v>700</v>
      </c>
      <c r="L702" s="99">
        <v>15</v>
      </c>
    </row>
    <row r="703" spans="11:12" x14ac:dyDescent="0.4">
      <c r="K703" s="38">
        <v>701</v>
      </c>
      <c r="L703" s="99">
        <v>60</v>
      </c>
    </row>
    <row r="704" spans="11:12" x14ac:dyDescent="0.4">
      <c r="K704" s="38">
        <v>702</v>
      </c>
      <c r="L704" s="99">
        <v>0</v>
      </c>
    </row>
    <row r="705" spans="11:12" x14ac:dyDescent="0.4">
      <c r="K705" s="38">
        <v>703</v>
      </c>
      <c r="L705" s="99">
        <v>-50.9</v>
      </c>
    </row>
    <row r="706" spans="11:12" x14ac:dyDescent="0.4">
      <c r="K706" s="38">
        <v>704</v>
      </c>
      <c r="L706" s="99">
        <v>1.2000000000000028</v>
      </c>
    </row>
    <row r="707" spans="11:12" x14ac:dyDescent="0.4">
      <c r="K707" s="38">
        <v>705</v>
      </c>
      <c r="L707" s="99">
        <v>2.886579864025407E-15</v>
      </c>
    </row>
    <row r="708" spans="11:12" x14ac:dyDescent="0.4">
      <c r="K708" s="38">
        <v>706</v>
      </c>
      <c r="L708" s="99">
        <v>-10.799999999999997</v>
      </c>
    </row>
    <row r="709" spans="11:12" x14ac:dyDescent="0.4">
      <c r="K709" s="38">
        <v>707</v>
      </c>
      <c r="L709" s="99">
        <v>-52</v>
      </c>
    </row>
    <row r="710" spans="11:12" x14ac:dyDescent="0.4">
      <c r="K710" s="38">
        <v>708</v>
      </c>
      <c r="L710" s="99">
        <v>0</v>
      </c>
    </row>
    <row r="711" spans="11:12" x14ac:dyDescent="0.4">
      <c r="K711" s="38">
        <v>709</v>
      </c>
      <c r="L711" s="99">
        <v>5.3</v>
      </c>
    </row>
    <row r="712" spans="11:12" x14ac:dyDescent="0.4">
      <c r="K712" s="38">
        <v>710</v>
      </c>
      <c r="L712" s="99">
        <v>-26.8</v>
      </c>
    </row>
    <row r="713" spans="11:12" x14ac:dyDescent="0.4">
      <c r="K713" s="38">
        <v>711</v>
      </c>
      <c r="L713" s="99">
        <v>0</v>
      </c>
    </row>
    <row r="714" spans="11:12" x14ac:dyDescent="0.4">
      <c r="K714" s="38">
        <v>712</v>
      </c>
      <c r="L714" s="99">
        <v>9.4</v>
      </c>
    </row>
    <row r="715" spans="11:12" x14ac:dyDescent="0.4">
      <c r="K715" s="38">
        <v>713</v>
      </c>
      <c r="L715" s="99">
        <v>-36.4</v>
      </c>
    </row>
    <row r="716" spans="11:12" x14ac:dyDescent="0.4">
      <c r="K716" s="38">
        <v>714</v>
      </c>
      <c r="L716" s="99">
        <v>0</v>
      </c>
    </row>
    <row r="717" spans="11:12" x14ac:dyDescent="0.4">
      <c r="K717" s="38">
        <v>715</v>
      </c>
      <c r="L717" s="99">
        <v>-2.2999999999999998</v>
      </c>
    </row>
    <row r="718" spans="11:12" x14ac:dyDescent="0.4">
      <c r="K718" s="38">
        <v>716</v>
      </c>
      <c r="L718" s="99">
        <v>-58.9</v>
      </c>
    </row>
    <row r="719" spans="11:12" x14ac:dyDescent="0.4">
      <c r="K719" s="38">
        <v>717</v>
      </c>
      <c r="L719" s="99">
        <v>0</v>
      </c>
    </row>
    <row r="720" spans="11:12" x14ac:dyDescent="0.4">
      <c r="K720" s="38">
        <v>718</v>
      </c>
      <c r="L720" s="99">
        <v>-24.5</v>
      </c>
    </row>
    <row r="721" spans="11:12" x14ac:dyDescent="0.4">
      <c r="K721" s="38">
        <v>719</v>
      </c>
      <c r="L721" s="99">
        <v>56.5</v>
      </c>
    </row>
    <row r="722" spans="11:12" x14ac:dyDescent="0.4">
      <c r="K722" s="38">
        <v>720</v>
      </c>
      <c r="L722" s="99">
        <v>0</v>
      </c>
    </row>
    <row r="723" spans="11:12" x14ac:dyDescent="0.4">
      <c r="K723" s="38">
        <v>721</v>
      </c>
      <c r="L723" s="99">
        <v>39.200000000000003</v>
      </c>
    </row>
    <row r="724" spans="11:12" x14ac:dyDescent="0.4">
      <c r="K724" s="38">
        <v>722</v>
      </c>
      <c r="L724" s="99">
        <v>6.3000000000000043</v>
      </c>
    </row>
    <row r="725" spans="11:12" x14ac:dyDescent="0.4">
      <c r="K725" s="38">
        <v>723</v>
      </c>
      <c r="L725" s="99">
        <v>4.4408920985006262E-15</v>
      </c>
    </row>
    <row r="726" spans="11:12" x14ac:dyDescent="0.4">
      <c r="K726" s="38">
        <v>724</v>
      </c>
      <c r="L726" s="99">
        <v>-51.699999999999996</v>
      </c>
    </row>
    <row r="727" spans="11:12" x14ac:dyDescent="0.4">
      <c r="K727" s="38">
        <v>725</v>
      </c>
      <c r="L727" s="99">
        <v>-38.199999999999996</v>
      </c>
    </row>
    <row r="728" spans="11:12" x14ac:dyDescent="0.4">
      <c r="K728" s="38">
        <v>726</v>
      </c>
      <c r="L728" s="99">
        <v>7.1054273576010019E-15</v>
      </c>
    </row>
    <row r="729" spans="11:12" x14ac:dyDescent="0.4">
      <c r="K729" s="38">
        <v>727</v>
      </c>
      <c r="L729" s="99">
        <v>-61.699999999999996</v>
      </c>
    </row>
    <row r="730" spans="11:12" x14ac:dyDescent="0.4">
      <c r="K730" s="38">
        <v>728</v>
      </c>
      <c r="L730" s="99">
        <v>-91.3</v>
      </c>
    </row>
    <row r="731" spans="11:12" x14ac:dyDescent="0.4">
      <c r="K731" s="38">
        <v>729</v>
      </c>
      <c r="L731" s="99">
        <v>0</v>
      </c>
    </row>
    <row r="732" spans="11:12" x14ac:dyDescent="0.4">
      <c r="K732" s="38">
        <v>730</v>
      </c>
      <c r="L732" s="99">
        <v>41.6</v>
      </c>
    </row>
    <row r="733" spans="11:12" x14ac:dyDescent="0.4">
      <c r="K733" s="38">
        <v>731</v>
      </c>
      <c r="L733" s="99">
        <v>8.7000000000000028</v>
      </c>
    </row>
    <row r="734" spans="11:12" x14ac:dyDescent="0.4">
      <c r="K734" s="38">
        <v>732</v>
      </c>
      <c r="L734" s="99">
        <v>3.5527136788005009E-15</v>
      </c>
    </row>
    <row r="735" spans="11:12" x14ac:dyDescent="0.4">
      <c r="K735" s="38">
        <v>733</v>
      </c>
      <c r="L735" s="99">
        <v>-55.899999999999991</v>
      </c>
    </row>
    <row r="736" spans="11:12" x14ac:dyDescent="0.4">
      <c r="K736" s="38">
        <v>734</v>
      </c>
      <c r="L736" s="99">
        <v>-42.199999999999989</v>
      </c>
    </row>
    <row r="737" spans="11:12" x14ac:dyDescent="0.4">
      <c r="K737" s="38">
        <v>735</v>
      </c>
      <c r="L737" s="99">
        <v>1.4210854715202004E-14</v>
      </c>
    </row>
    <row r="738" spans="11:12" x14ac:dyDescent="0.4">
      <c r="K738" s="38">
        <v>736</v>
      </c>
      <c r="L738" s="99">
        <v>62.500000000000014</v>
      </c>
    </row>
    <row r="739" spans="11:12" x14ac:dyDescent="0.4">
      <c r="K739" s="38">
        <v>737</v>
      </c>
      <c r="L739" s="99">
        <v>5.0000000000000142</v>
      </c>
    </row>
    <row r="740" spans="11:12" x14ac:dyDescent="0.4">
      <c r="K740" s="38">
        <v>738</v>
      </c>
      <c r="L740" s="99">
        <v>1.4210854715202004E-14</v>
      </c>
    </row>
    <row r="741" spans="11:12" x14ac:dyDescent="0.4">
      <c r="K741" s="38">
        <v>739</v>
      </c>
      <c r="L741" s="99">
        <v>-11.999999999999986</v>
      </c>
    </row>
    <row r="742" spans="11:12" x14ac:dyDescent="0.4">
      <c r="K742" s="38">
        <v>740</v>
      </c>
      <c r="L742" s="99">
        <v>65.100000000000009</v>
      </c>
    </row>
    <row r="743" spans="11:12" x14ac:dyDescent="0.4">
      <c r="K743" s="38">
        <v>741</v>
      </c>
      <c r="L743" s="99">
        <v>1.4210854715202004E-14</v>
      </c>
    </row>
    <row r="744" spans="11:12" x14ac:dyDescent="0.4">
      <c r="K744" s="38">
        <v>742</v>
      </c>
      <c r="L744" s="99">
        <v>14.700000000000014</v>
      </c>
    </row>
    <row r="745" spans="11:12" x14ac:dyDescent="0.4">
      <c r="K745" s="38">
        <v>743</v>
      </c>
      <c r="L745" s="99">
        <v>75.200000000000017</v>
      </c>
    </row>
    <row r="746" spans="11:12" x14ac:dyDescent="0.4">
      <c r="K746" s="38">
        <v>744</v>
      </c>
      <c r="L746" s="99">
        <v>1.4210854715202004E-14</v>
      </c>
    </row>
    <row r="747" spans="11:12" x14ac:dyDescent="0.4">
      <c r="K747" s="38">
        <v>745</v>
      </c>
      <c r="L747" s="99">
        <v>12.200000000000014</v>
      </c>
    </row>
    <row r="748" spans="11:12" x14ac:dyDescent="0.4">
      <c r="K748" s="38">
        <v>746</v>
      </c>
      <c r="L748" s="99">
        <v>55.100000000000009</v>
      </c>
    </row>
    <row r="749" spans="11:12" x14ac:dyDescent="0.4">
      <c r="K749" s="38">
        <v>747</v>
      </c>
      <c r="L749" s="99">
        <v>7.1054273576010019E-15</v>
      </c>
    </row>
    <row r="750" spans="11:12" x14ac:dyDescent="0.4">
      <c r="K750" s="38">
        <v>748</v>
      </c>
      <c r="L750" s="99">
        <v>9.0000000000000071</v>
      </c>
    </row>
    <row r="751" spans="11:12" x14ac:dyDescent="0.4">
      <c r="K751" s="38">
        <v>749</v>
      </c>
      <c r="L751" s="99">
        <v>-37.699999999999996</v>
      </c>
    </row>
    <row r="752" spans="11:12" x14ac:dyDescent="0.4">
      <c r="K752" s="38">
        <v>750</v>
      </c>
      <c r="L752" s="99">
        <v>7.1054273576010019E-15</v>
      </c>
    </row>
    <row r="753" spans="11:12" x14ac:dyDescent="0.4">
      <c r="K753" s="38">
        <v>751</v>
      </c>
      <c r="L753" s="99">
        <v>-43.199999999999996</v>
      </c>
    </row>
    <row r="754" spans="11:12" x14ac:dyDescent="0.4">
      <c r="K754" s="38">
        <v>752</v>
      </c>
      <c r="L754" s="99">
        <v>-39.799999999999997</v>
      </c>
    </row>
    <row r="755" spans="11:12" x14ac:dyDescent="0.4">
      <c r="K755" s="38">
        <v>753</v>
      </c>
      <c r="L755" s="99">
        <v>0</v>
      </c>
    </row>
    <row r="756" spans="11:12" x14ac:dyDescent="0.4">
      <c r="K756" s="38">
        <v>754</v>
      </c>
      <c r="L756" s="99">
        <v>-53.3</v>
      </c>
    </row>
    <row r="757" spans="11:12" x14ac:dyDescent="0.4">
      <c r="K757" s="38">
        <v>755</v>
      </c>
      <c r="L757" s="99">
        <v>-61.599999999999994</v>
      </c>
    </row>
    <row r="758" spans="11:12" x14ac:dyDescent="0.4">
      <c r="K758" s="38">
        <v>756</v>
      </c>
      <c r="L758" s="99">
        <v>7.1054273576010019E-15</v>
      </c>
    </row>
  </sheetData>
  <sortState ref="N15:Q27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EF1905-3C86-4998-9679-76919BE589E6}">
  <sheetPr codeName="Sheet7"/>
  <dimension ref="A1:Q165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127</v>
      </c>
      <c r="C1" s="151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2">
        <v>163</v>
      </c>
      <c r="C2" s="153"/>
      <c r="E2" s="62" t="s">
        <v>65</v>
      </c>
      <c r="F2" s="59" t="s">
        <v>21</v>
      </c>
      <c r="G2" s="46">
        <v>219</v>
      </c>
      <c r="H2" s="132">
        <f>IF(B$17=0,0,G2/B$17)</f>
        <v>0.48026315789473684</v>
      </c>
      <c r="I2" s="93">
        <v>9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1901.840490797546</v>
      </c>
      <c r="P2" s="118">
        <v>163</v>
      </c>
      <c r="Q2" s="102">
        <v>310000</v>
      </c>
    </row>
    <row r="3" spans="1:17" x14ac:dyDescent="0.4">
      <c r="A3" s="55" t="s">
        <v>8</v>
      </c>
      <c r="B3" s="154">
        <v>1339</v>
      </c>
      <c r="C3" s="155"/>
      <c r="E3" s="63" t="s">
        <v>66</v>
      </c>
      <c r="F3" s="60" t="s">
        <v>22</v>
      </c>
      <c r="G3" s="47">
        <v>56</v>
      </c>
      <c r="H3" s="133">
        <f>IF(B$17=0,0,G3/B$17)</f>
        <v>0.12280701754385964</v>
      </c>
      <c r="I3" s="94">
        <v>3</v>
      </c>
      <c r="K3" s="38">
        <v>1</v>
      </c>
      <c r="L3" s="99">
        <v>-5.0999999999999996</v>
      </c>
      <c r="N3" s="115" t="s">
        <v>133</v>
      </c>
      <c r="O3" s="122">
        <f t="shared" si="0"/>
        <v>2079.8742138364778</v>
      </c>
      <c r="P3" s="119">
        <v>159</v>
      </c>
      <c r="Q3" s="103">
        <v>330700</v>
      </c>
    </row>
    <row r="4" spans="1:17" x14ac:dyDescent="0.4">
      <c r="A4" s="55" t="s">
        <v>6</v>
      </c>
      <c r="B4" s="156">
        <v>1950.5000000000005</v>
      </c>
      <c r="C4" s="157"/>
      <c r="E4" s="63" t="s">
        <v>67</v>
      </c>
      <c r="F4" s="60" t="s">
        <v>23</v>
      </c>
      <c r="G4" s="47">
        <v>327</v>
      </c>
      <c r="H4" s="133">
        <f>IF(B$17=0,0,G4/B$17)</f>
        <v>0.71710526315789469</v>
      </c>
      <c r="I4" s="94">
        <v>8</v>
      </c>
      <c r="K4" s="38">
        <v>2</v>
      </c>
      <c r="L4" s="99">
        <v>-2.8999999999999995</v>
      </c>
      <c r="N4" s="115" t="s">
        <v>134</v>
      </c>
      <c r="O4" s="122">
        <f t="shared" si="0"/>
        <v>637.74834437086088</v>
      </c>
      <c r="P4" s="119">
        <v>151</v>
      </c>
      <c r="Q4" s="103">
        <v>96300</v>
      </c>
    </row>
    <row r="5" spans="1:17" x14ac:dyDescent="0.4">
      <c r="A5" s="55" t="s">
        <v>7</v>
      </c>
      <c r="B5" s="158">
        <f>IF(B$2=0,0,B$4/B$2)</f>
        <v>11.966257668711659</v>
      </c>
      <c r="C5" s="159"/>
      <c r="E5" s="63" t="s">
        <v>68</v>
      </c>
      <c r="F5" s="60" t="s">
        <v>24</v>
      </c>
      <c r="G5" s="47">
        <v>132</v>
      </c>
      <c r="H5" s="133">
        <f>IF(B$17=0,0,G5/B$17)</f>
        <v>0.28947368421052633</v>
      </c>
      <c r="I5" s="94">
        <v>9</v>
      </c>
      <c r="K5" s="38">
        <v>3</v>
      </c>
      <c r="L5" s="99">
        <v>70.399999999999991</v>
      </c>
      <c r="N5" s="115" t="s">
        <v>135</v>
      </c>
      <c r="O5" s="122">
        <f t="shared" si="0"/>
        <v>2161.1510791366904</v>
      </c>
      <c r="P5" s="119">
        <v>139</v>
      </c>
      <c r="Q5" s="103">
        <v>300400</v>
      </c>
    </row>
    <row r="6" spans="1:17" x14ac:dyDescent="0.4">
      <c r="A6" s="55" t="s">
        <v>1</v>
      </c>
      <c r="B6" s="148">
        <f>IF(B$2=0,0,(B$7*1+B$8*2+B$9*3)/B$2)</f>
        <v>1.7668711656441718</v>
      </c>
      <c r="C6" s="149"/>
      <c r="E6" s="63" t="s">
        <v>69</v>
      </c>
      <c r="F6" s="60" t="s">
        <v>12</v>
      </c>
      <c r="G6" s="47">
        <v>124</v>
      </c>
      <c r="H6" s="133">
        <f>IF(B$17=0,0,G6/B$17)</f>
        <v>0.27192982456140352</v>
      </c>
      <c r="I6" s="94">
        <v>11</v>
      </c>
      <c r="K6" s="38">
        <v>4</v>
      </c>
      <c r="L6" s="99">
        <v>110.5</v>
      </c>
      <c r="N6" s="115" t="s">
        <v>136</v>
      </c>
      <c r="O6" s="122">
        <f t="shared" si="0"/>
        <v>472.35772357723579</v>
      </c>
      <c r="P6" s="119">
        <v>123</v>
      </c>
      <c r="Q6" s="103">
        <v>58100</v>
      </c>
    </row>
    <row r="7" spans="1:17" x14ac:dyDescent="0.4">
      <c r="A7" s="55" t="s">
        <v>2</v>
      </c>
      <c r="B7" s="47">
        <v>77</v>
      </c>
      <c r="C7" s="39">
        <f>IF(B$2=0,0,B7/B$2)</f>
        <v>0.47239263803680981</v>
      </c>
      <c r="E7" s="63" t="s">
        <v>70</v>
      </c>
      <c r="F7" s="60" t="s">
        <v>25</v>
      </c>
      <c r="G7" s="47">
        <v>74</v>
      </c>
      <c r="H7" s="133">
        <f>IF(B$17=0,0,G7/B$17)</f>
        <v>0.16228070175438597</v>
      </c>
      <c r="I7" s="94">
        <v>9</v>
      </c>
      <c r="K7" s="38">
        <v>5</v>
      </c>
      <c r="L7" s="99">
        <v>201.4</v>
      </c>
      <c r="N7" s="116" t="s">
        <v>137</v>
      </c>
      <c r="O7" s="123">
        <f t="shared" si="0"/>
        <v>929.24528301886789</v>
      </c>
      <c r="P7" s="120">
        <v>106</v>
      </c>
      <c r="Q7" s="104">
        <v>98500</v>
      </c>
    </row>
    <row r="8" spans="1:17" x14ac:dyDescent="0.4">
      <c r="A8" s="55" t="s">
        <v>3</v>
      </c>
      <c r="B8" s="47">
        <v>47</v>
      </c>
      <c r="C8" s="39">
        <f>IF(B$2=0,0,B8/B$2)</f>
        <v>0.28834355828220859</v>
      </c>
      <c r="E8" s="63" t="s">
        <v>71</v>
      </c>
      <c r="F8" s="60" t="s">
        <v>26</v>
      </c>
      <c r="G8" s="47">
        <v>39</v>
      </c>
      <c r="H8" s="133">
        <f>IF(B$17=0,0,G8/B$17)</f>
        <v>8.5526315789473686E-2</v>
      </c>
      <c r="I8" s="94">
        <v>7</v>
      </c>
      <c r="K8" s="38">
        <v>6</v>
      </c>
      <c r="L8" s="99">
        <v>232.4</v>
      </c>
      <c r="N8" s="43"/>
      <c r="O8" s="127"/>
      <c r="P8" s="111"/>
      <c r="Q8" s="109"/>
    </row>
    <row r="9" spans="1:17" x14ac:dyDescent="0.4">
      <c r="A9" s="56" t="s">
        <v>4</v>
      </c>
      <c r="B9" s="48">
        <v>39</v>
      </c>
      <c r="C9" s="40">
        <f t="shared" ref="C9" si="1">IF(B$2=0,0,B9/B$2)</f>
        <v>0.2392638036809816</v>
      </c>
      <c r="E9" s="63" t="s">
        <v>72</v>
      </c>
      <c r="F9" s="60" t="s">
        <v>27</v>
      </c>
      <c r="G9" s="47">
        <v>31</v>
      </c>
      <c r="H9" s="133">
        <f>IF(B$17=0,0,G9/B$17)</f>
        <v>6.798245614035088E-2</v>
      </c>
      <c r="I9" s="94">
        <v>6</v>
      </c>
      <c r="K9" s="38">
        <v>7</v>
      </c>
      <c r="L9" s="99">
        <v>256.10000000000002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15</v>
      </c>
      <c r="C10" s="40">
        <f>IF(B$2=0,0,B10/B$2)</f>
        <v>9.202453987730061E-2</v>
      </c>
      <c r="E10" s="63" t="s">
        <v>73</v>
      </c>
      <c r="F10" s="60" t="s">
        <v>28</v>
      </c>
      <c r="G10" s="47">
        <v>252</v>
      </c>
      <c r="H10" s="133">
        <f>IF(B$17=0,0,G10/B$17)</f>
        <v>0.55263157894736847</v>
      </c>
      <c r="I10" s="94">
        <v>7</v>
      </c>
      <c r="K10" s="38">
        <v>8</v>
      </c>
      <c r="L10" s="99">
        <v>285.20000000000005</v>
      </c>
      <c r="N10" s="114" t="s">
        <v>164</v>
      </c>
      <c r="O10" s="124">
        <f>IF(P10=0,0,Q10/P10)</f>
        <v>15.092156862745099</v>
      </c>
      <c r="P10" s="118">
        <v>51</v>
      </c>
      <c r="Q10" s="106">
        <v>769.7</v>
      </c>
    </row>
    <row r="11" spans="1:17" x14ac:dyDescent="0.4">
      <c r="A11" s="56" t="s">
        <v>140</v>
      </c>
      <c r="B11" s="48">
        <v>29</v>
      </c>
      <c r="C11" s="40">
        <f>IF(B$2=0,0,B11/B$2)</f>
        <v>0.17791411042944785</v>
      </c>
      <c r="E11" s="63" t="s">
        <v>74</v>
      </c>
      <c r="F11" s="60" t="s">
        <v>29</v>
      </c>
      <c r="G11" s="47">
        <v>3</v>
      </c>
      <c r="H11" s="133">
        <f>IF(B$17=0,0,G11/B$17)</f>
        <v>6.5789473684210523E-3</v>
      </c>
      <c r="I11" s="94">
        <v>6</v>
      </c>
      <c r="K11" s="38">
        <v>9</v>
      </c>
      <c r="L11" s="99">
        <v>277.90000000000003</v>
      </c>
      <c r="N11" s="115" t="s">
        <v>165</v>
      </c>
      <c r="O11" s="125">
        <f>IF(P11=0,0,Q11/P11)</f>
        <v>9.6020408163265323</v>
      </c>
      <c r="P11" s="119">
        <v>49</v>
      </c>
      <c r="Q11" s="107">
        <v>470.50000000000006</v>
      </c>
    </row>
    <row r="12" spans="1:17" x14ac:dyDescent="0.4">
      <c r="A12" s="57" t="s">
        <v>160</v>
      </c>
      <c r="B12" s="49">
        <v>23</v>
      </c>
      <c r="C12" s="42">
        <f>IF(B$2=0,0,B12/B$2)</f>
        <v>0.1411042944785276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K12" s="38">
        <v>10</v>
      </c>
      <c r="L12" s="99">
        <v>246.20000000000005</v>
      </c>
      <c r="N12" s="116" t="s">
        <v>166</v>
      </c>
      <c r="O12" s="126">
        <f>IF(P12=0,0,Q12/P12)</f>
        <v>11.274603174603177</v>
      </c>
      <c r="P12" s="120">
        <v>63</v>
      </c>
      <c r="Q12" s="108">
        <v>710.30000000000018</v>
      </c>
    </row>
    <row r="13" spans="1:17" x14ac:dyDescent="0.4">
      <c r="A13" s="58" t="s">
        <v>122</v>
      </c>
      <c r="B13" s="50">
        <v>419</v>
      </c>
      <c r="C13" s="44">
        <f>IF(B$3=0,0,B13/B$3)</f>
        <v>0.31292008961911877</v>
      </c>
      <c r="E13" s="63" t="s">
        <v>76</v>
      </c>
      <c r="F13" s="60" t="s">
        <v>31</v>
      </c>
      <c r="G13" s="47">
        <v>1</v>
      </c>
      <c r="H13" s="133">
        <f>IF(B$17=0,0,G13/B$17)</f>
        <v>2.1929824561403508E-3</v>
      </c>
      <c r="I13" s="94">
        <v>8</v>
      </c>
      <c r="K13" s="38">
        <v>11</v>
      </c>
      <c r="L13" s="99">
        <v>333.30000000000007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282</v>
      </c>
      <c r="C14" s="39">
        <f>IF(B$3=0,0,B14/B$3)</f>
        <v>0.210604929051531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371.70000000000005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240</v>
      </c>
      <c r="C15" s="37">
        <f>IF(B$13=0,0,B15/B$13)</f>
        <v>0.57279236276849643</v>
      </c>
      <c r="E15" s="63" t="s">
        <v>78</v>
      </c>
      <c r="F15" s="60" t="s">
        <v>33</v>
      </c>
      <c r="G15" s="47">
        <v>2</v>
      </c>
      <c r="H15" s="133">
        <f>IF(B$17=0,0,G15/B$17)</f>
        <v>4.3859649122807015E-3</v>
      </c>
      <c r="I15" s="94">
        <v>5</v>
      </c>
      <c r="K15" s="38">
        <v>13</v>
      </c>
      <c r="L15" s="99">
        <v>418.90000000000003</v>
      </c>
      <c r="N15" s="114" t="s">
        <v>183</v>
      </c>
      <c r="O15" s="124">
        <f t="shared" ref="O15:O25" si="2">IF(P15=0,0,Q15/P15)</f>
        <v>69.2</v>
      </c>
      <c r="P15" s="118">
        <v>1</v>
      </c>
      <c r="Q15" s="106">
        <v>69.2</v>
      </c>
    </row>
    <row r="16" spans="1:17" x14ac:dyDescent="0.4">
      <c r="A16" s="54" t="s">
        <v>125</v>
      </c>
      <c r="B16" s="46">
        <v>147</v>
      </c>
      <c r="C16" s="37">
        <f>IF(B$14=0,0,B16/B$14)</f>
        <v>0.52127659574468088</v>
      </c>
      <c r="E16" s="63" t="s">
        <v>79</v>
      </c>
      <c r="F16" s="60" t="s">
        <v>34</v>
      </c>
      <c r="G16" s="47">
        <v>12</v>
      </c>
      <c r="H16" s="133">
        <f>IF(B$17=0,0,G16/B$17)</f>
        <v>2.6315789473684209E-2</v>
      </c>
      <c r="I16" s="94">
        <v>7</v>
      </c>
      <c r="K16" s="38">
        <v>14</v>
      </c>
      <c r="L16" s="99">
        <v>473.50000000000006</v>
      </c>
      <c r="N16" s="115" t="s">
        <v>222</v>
      </c>
      <c r="O16" s="125">
        <f t="shared" si="2"/>
        <v>29.599999999999998</v>
      </c>
      <c r="P16" s="119">
        <v>1</v>
      </c>
      <c r="Q16" s="107">
        <v>29.599999999999998</v>
      </c>
    </row>
    <row r="17" spans="1:17" x14ac:dyDescent="0.4">
      <c r="A17" s="54" t="s">
        <v>10</v>
      </c>
      <c r="B17" s="46">
        <f>B19+B18</f>
        <v>456</v>
      </c>
      <c r="C17" s="37">
        <f>IF(B$3=0,0,B17/B$3)</f>
        <v>0.34055265123226286</v>
      </c>
      <c r="E17" s="63" t="s">
        <v>80</v>
      </c>
      <c r="F17" s="60" t="s">
        <v>35</v>
      </c>
      <c r="G17" s="47">
        <v>5</v>
      </c>
      <c r="H17" s="133">
        <f>IF(B$17=0,0,G17/B$17)</f>
        <v>1.0964912280701754E-2</v>
      </c>
      <c r="I17" s="94">
        <v>10</v>
      </c>
      <c r="K17" s="38">
        <v>15</v>
      </c>
      <c r="L17" s="99">
        <v>481.50000000000006</v>
      </c>
      <c r="N17" s="115" t="s">
        <v>129</v>
      </c>
      <c r="O17" s="125">
        <f t="shared" si="2"/>
        <v>27.119672131147546</v>
      </c>
      <c r="P17" s="119">
        <v>61</v>
      </c>
      <c r="Q17" s="107">
        <v>1654.3000000000002</v>
      </c>
    </row>
    <row r="18" spans="1:17" x14ac:dyDescent="0.4">
      <c r="A18" s="55" t="s">
        <v>12</v>
      </c>
      <c r="B18" s="47">
        <v>191</v>
      </c>
      <c r="C18" s="39">
        <f>IF(B$17=0,0,B18/B$17)</f>
        <v>0.41885964912280704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425.50000000000006</v>
      </c>
      <c r="N18" s="115" t="s">
        <v>172</v>
      </c>
      <c r="O18" s="125">
        <f t="shared" si="2"/>
        <v>23.717391304347821</v>
      </c>
      <c r="P18" s="119">
        <v>46</v>
      </c>
      <c r="Q18" s="107">
        <v>1090.9999999999998</v>
      </c>
    </row>
    <row r="19" spans="1:17" x14ac:dyDescent="0.4">
      <c r="A19" s="55" t="s">
        <v>11</v>
      </c>
      <c r="B19" s="47">
        <v>265</v>
      </c>
      <c r="C19" s="39">
        <f>IF(B$17=0,0,B19/B$17)</f>
        <v>0.58114035087719296</v>
      </c>
      <c r="E19" s="63" t="s">
        <v>82</v>
      </c>
      <c r="F19" s="60" t="s">
        <v>37</v>
      </c>
      <c r="G19" s="47">
        <v>12</v>
      </c>
      <c r="H19" s="133">
        <f>IF(B$17=0,0,G19/B$17)</f>
        <v>2.6315789473684209E-2</v>
      </c>
      <c r="I19" s="94">
        <v>8</v>
      </c>
      <c r="K19" s="38">
        <v>17</v>
      </c>
      <c r="L19" s="99">
        <v>427.40000000000003</v>
      </c>
      <c r="N19" s="115" t="s">
        <v>184</v>
      </c>
      <c r="O19" s="125">
        <f t="shared" si="2"/>
        <v>22.99166666666666</v>
      </c>
      <c r="P19" s="119">
        <v>12</v>
      </c>
      <c r="Q19" s="107">
        <v>275.89999999999992</v>
      </c>
    </row>
    <row r="20" spans="1:17" x14ac:dyDescent="0.4">
      <c r="A20" s="55" t="s">
        <v>13</v>
      </c>
      <c r="B20" s="47">
        <v>205</v>
      </c>
      <c r="C20" s="39">
        <f>IF(B$3=0,0,B20/B$3)</f>
        <v>0.1530993278566094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429.3</v>
      </c>
      <c r="N20" s="115" t="s">
        <v>177</v>
      </c>
      <c r="O20" s="125">
        <f t="shared" si="2"/>
        <v>20.172727272727279</v>
      </c>
      <c r="P20" s="119">
        <v>33</v>
      </c>
      <c r="Q20" s="107">
        <v>665.70000000000016</v>
      </c>
    </row>
    <row r="21" spans="1:17" x14ac:dyDescent="0.4">
      <c r="A21" s="55" t="s">
        <v>191</v>
      </c>
      <c r="B21" s="47">
        <v>7</v>
      </c>
      <c r="C21" s="135">
        <v>0</v>
      </c>
      <c r="E21" s="63" t="s">
        <v>84</v>
      </c>
      <c r="F21" s="60" t="s">
        <v>39</v>
      </c>
      <c r="G21" s="47">
        <v>25</v>
      </c>
      <c r="H21" s="133">
        <f>IF(B$17=0,0,G21/B$17)</f>
        <v>5.4824561403508769E-2</v>
      </c>
      <c r="I21" s="94">
        <v>4</v>
      </c>
      <c r="K21" s="38">
        <v>19</v>
      </c>
      <c r="L21" s="99">
        <v>405.40000000000003</v>
      </c>
      <c r="N21" s="115" t="s">
        <v>128</v>
      </c>
      <c r="O21" s="125">
        <f t="shared" si="2"/>
        <v>18.171111111111113</v>
      </c>
      <c r="P21" s="119">
        <v>90</v>
      </c>
      <c r="Q21" s="107">
        <v>1635.4</v>
      </c>
    </row>
    <row r="22" spans="1:17" x14ac:dyDescent="0.4">
      <c r="A22" s="55" t="s">
        <v>192</v>
      </c>
      <c r="B22" s="47">
        <v>39</v>
      </c>
      <c r="C22" s="135">
        <v>9</v>
      </c>
      <c r="E22" s="63" t="s">
        <v>85</v>
      </c>
      <c r="F22" s="60" t="s">
        <v>40</v>
      </c>
      <c r="G22" s="47">
        <v>1</v>
      </c>
      <c r="H22" s="133">
        <f>IF(B$17=0,0,G22/B$17)</f>
        <v>2.1929824561403508E-3</v>
      </c>
      <c r="I22" s="94">
        <v>5</v>
      </c>
      <c r="K22" s="38">
        <v>20</v>
      </c>
      <c r="L22" s="99">
        <v>469.6</v>
      </c>
      <c r="N22" s="115" t="s">
        <v>173</v>
      </c>
      <c r="O22" s="125">
        <f t="shared" si="2"/>
        <v>16.769565217391303</v>
      </c>
      <c r="P22" s="119">
        <v>23</v>
      </c>
      <c r="Q22" s="107">
        <v>385.7</v>
      </c>
    </row>
    <row r="23" spans="1:17" x14ac:dyDescent="0.4">
      <c r="A23" s="55" t="s">
        <v>5</v>
      </c>
      <c r="B23" s="51">
        <f>IF(B$17=0,0,C23/B$17)</f>
        <v>9309.4298245614027</v>
      </c>
      <c r="C23" s="41">
        <v>4245100</v>
      </c>
      <c r="E23" s="63" t="s">
        <v>86</v>
      </c>
      <c r="F23" s="60" t="s">
        <v>41</v>
      </c>
      <c r="G23" s="47">
        <v>4</v>
      </c>
      <c r="H23" s="133">
        <f>IF(B$17=0,0,G23/B$17)</f>
        <v>8.771929824561403E-3</v>
      </c>
      <c r="I23" s="94">
        <v>2</v>
      </c>
      <c r="K23" s="38">
        <v>21</v>
      </c>
      <c r="L23" s="99">
        <v>468.3</v>
      </c>
      <c r="N23" s="115" t="s">
        <v>171</v>
      </c>
      <c r="O23" s="125">
        <f t="shared" si="2"/>
        <v>2.9685185185185161</v>
      </c>
      <c r="P23" s="119">
        <v>54</v>
      </c>
      <c r="Q23" s="107">
        <v>160.29999999999987</v>
      </c>
    </row>
    <row r="24" spans="1:17" x14ac:dyDescent="0.4">
      <c r="A24" s="57" t="s">
        <v>14</v>
      </c>
      <c r="B24" s="52">
        <f>IF(B$20=0,0,C24/B$20)</f>
        <v>-8267.3170731707323</v>
      </c>
      <c r="C24" s="45">
        <v>-1694800</v>
      </c>
      <c r="E24" s="63" t="s">
        <v>87</v>
      </c>
      <c r="F24" s="60" t="s">
        <v>42</v>
      </c>
      <c r="G24" s="47">
        <v>35</v>
      </c>
      <c r="H24" s="133">
        <f>IF(B$17=0,0,G24/B$17)</f>
        <v>7.6754385964912283E-2</v>
      </c>
      <c r="I24" s="94">
        <v>3</v>
      </c>
      <c r="K24" s="38">
        <v>22</v>
      </c>
      <c r="L24" s="99">
        <v>519.20000000000005</v>
      </c>
      <c r="N24" s="115" t="s">
        <v>200</v>
      </c>
      <c r="O24" s="125">
        <f t="shared" si="2"/>
        <v>-13.45</v>
      </c>
      <c r="P24" s="119">
        <v>2</v>
      </c>
      <c r="Q24" s="107">
        <v>-26.9</v>
      </c>
    </row>
    <row r="25" spans="1:17" x14ac:dyDescent="0.4">
      <c r="A25" s="90" t="s">
        <v>142</v>
      </c>
      <c r="B25" s="146">
        <v>7</v>
      </c>
      <c r="C25" s="147"/>
      <c r="E25" s="63" t="s">
        <v>88</v>
      </c>
      <c r="F25" s="60" t="s">
        <v>43</v>
      </c>
      <c r="G25" s="47">
        <v>1</v>
      </c>
      <c r="H25" s="133">
        <f>IF(B$17=0,0,G25/B$17)</f>
        <v>2.1929824561403508E-3</v>
      </c>
      <c r="I25" s="94">
        <v>6</v>
      </c>
      <c r="K25" s="38">
        <v>23</v>
      </c>
      <c r="L25" s="99">
        <v>555.90000000000009</v>
      </c>
      <c r="N25" s="115" t="s">
        <v>223</v>
      </c>
      <c r="O25" s="125">
        <f t="shared" si="2"/>
        <v>-29.566666666666659</v>
      </c>
      <c r="P25" s="119">
        <v>3</v>
      </c>
      <c r="Q25" s="107">
        <v>-88.699999999999974</v>
      </c>
    </row>
    <row r="26" spans="1:17" x14ac:dyDescent="0.4">
      <c r="A26" s="58" t="s">
        <v>152</v>
      </c>
      <c r="B26" s="144">
        <v>116000</v>
      </c>
      <c r="C26" s="145"/>
      <c r="E26" s="63" t="s">
        <v>89</v>
      </c>
      <c r="F26" s="60" t="s">
        <v>44</v>
      </c>
      <c r="G26" s="47">
        <v>1</v>
      </c>
      <c r="H26" s="133">
        <f>IF(B$17=0,0,G26/B$17)</f>
        <v>2.1929824561403508E-3</v>
      </c>
      <c r="I26" s="94">
        <v>3</v>
      </c>
      <c r="K26" s="38">
        <v>24</v>
      </c>
      <c r="L26" s="99">
        <v>592.20000000000005</v>
      </c>
    </row>
    <row r="27" spans="1:17" x14ac:dyDescent="0.4">
      <c r="A27" s="57" t="s">
        <v>143</v>
      </c>
      <c r="B27" s="65">
        <v>1</v>
      </c>
      <c r="C27" s="42">
        <f>IF(B$3=0,0,B27/B$3)</f>
        <v>7.468259895444362E-4</v>
      </c>
      <c r="E27" s="63" t="s">
        <v>90</v>
      </c>
      <c r="F27" s="60" t="s">
        <v>45</v>
      </c>
      <c r="G27" s="47">
        <v>72</v>
      </c>
      <c r="H27" s="133">
        <f>IF(B$17=0,0,G27/B$17)</f>
        <v>0.15789473684210525</v>
      </c>
      <c r="I27" s="94">
        <v>4</v>
      </c>
      <c r="K27" s="38">
        <v>25</v>
      </c>
      <c r="L27" s="99">
        <v>655.20000000000005</v>
      </c>
    </row>
    <row r="28" spans="1:17" x14ac:dyDescent="0.4">
      <c r="E28" s="63" t="s">
        <v>91</v>
      </c>
      <c r="F28" s="60" t="s">
        <v>46</v>
      </c>
      <c r="G28" s="47">
        <v>2</v>
      </c>
      <c r="H28" s="133">
        <f>IF(B$17=0,0,G28/B$17)</f>
        <v>4.3859649122807015E-3</v>
      </c>
      <c r="I28" s="94">
        <v>2</v>
      </c>
      <c r="K28" s="38">
        <v>26</v>
      </c>
      <c r="L28" s="99">
        <v>625.40000000000009</v>
      </c>
    </row>
    <row r="29" spans="1:17" x14ac:dyDescent="0.4">
      <c r="E29" s="63" t="s">
        <v>92</v>
      </c>
      <c r="F29" s="60" t="s">
        <v>47</v>
      </c>
      <c r="G29" s="47">
        <v>11</v>
      </c>
      <c r="H29" s="133">
        <f>IF(B$17=0,0,G29/B$17)</f>
        <v>2.4122807017543858E-2</v>
      </c>
      <c r="I29" s="94">
        <v>3</v>
      </c>
      <c r="K29" s="38">
        <v>27</v>
      </c>
      <c r="L29" s="99">
        <v>596.30000000000007</v>
      </c>
    </row>
    <row r="30" spans="1:17" x14ac:dyDescent="0.4">
      <c r="E30" s="63" t="s">
        <v>93</v>
      </c>
      <c r="F30" s="60" t="s">
        <v>48</v>
      </c>
      <c r="G30" s="47">
        <v>3</v>
      </c>
      <c r="H30" s="133">
        <f>IF(B$17=0,0,G30/B$17)</f>
        <v>6.5789473684210523E-3</v>
      </c>
      <c r="I30" s="94">
        <v>2</v>
      </c>
      <c r="K30" s="38">
        <v>28</v>
      </c>
      <c r="L30" s="99">
        <v>655.6</v>
      </c>
    </row>
    <row r="31" spans="1:17" x14ac:dyDescent="0.4">
      <c r="E31" s="63" t="s">
        <v>94</v>
      </c>
      <c r="F31" s="60" t="s">
        <v>49</v>
      </c>
      <c r="G31" s="47">
        <v>2</v>
      </c>
      <c r="H31" s="133">
        <f>IF(B$17=0,0,G31/B$17)</f>
        <v>4.3859649122807015E-3</v>
      </c>
      <c r="I31" s="94">
        <v>4</v>
      </c>
      <c r="K31" s="38">
        <v>29</v>
      </c>
      <c r="L31" s="99">
        <v>703.1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733.6</v>
      </c>
    </row>
    <row r="33" spans="5:12" x14ac:dyDescent="0.4">
      <c r="E33" s="63" t="s">
        <v>96</v>
      </c>
      <c r="F33" s="60" t="s">
        <v>51</v>
      </c>
      <c r="G33" s="47">
        <v>1</v>
      </c>
      <c r="H33" s="133">
        <f>IF(B$17=0,0,G33/B$17)</f>
        <v>2.1929824561403508E-3</v>
      </c>
      <c r="I33" s="94">
        <v>2</v>
      </c>
      <c r="K33" s="38">
        <v>31</v>
      </c>
      <c r="L33" s="99">
        <v>796.80000000000007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788.30000000000007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850.1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875.4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907.3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976.3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1013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1082.5999999999999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1131.0999999999999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1078.8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1114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1147.5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1151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1208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1203.5999999999999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1212.5999999999999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1264.5</v>
      </c>
    </row>
    <row r="50" spans="5:12" x14ac:dyDescent="0.4">
      <c r="E50" s="63" t="s">
        <v>180</v>
      </c>
      <c r="F50" s="60" t="s">
        <v>181</v>
      </c>
      <c r="G50" s="47">
        <v>16</v>
      </c>
      <c r="H50" s="133">
        <f>IF(B$17=0,0,G50/B$17)</f>
        <v>3.5087719298245612E-2</v>
      </c>
      <c r="I50" s="94">
        <v>2</v>
      </c>
      <c r="K50" s="38">
        <v>48</v>
      </c>
      <c r="L50" s="99">
        <v>1259.3</v>
      </c>
    </row>
    <row r="51" spans="5:12" x14ac:dyDescent="0.4">
      <c r="E51" s="136" t="s">
        <v>245</v>
      </c>
      <c r="F51" s="137" t="s">
        <v>246</v>
      </c>
      <c r="G51" s="48">
        <v>190</v>
      </c>
      <c r="H51" s="138">
        <f>IF(B$17=0,0,G51/B$17)</f>
        <v>0.41666666666666669</v>
      </c>
      <c r="I51" s="139">
        <v>6</v>
      </c>
      <c r="K51" s="38">
        <v>49</v>
      </c>
      <c r="L51" s="99">
        <v>1289.8999999999999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1288.5999999999999</v>
      </c>
    </row>
    <row r="53" spans="5:12" x14ac:dyDescent="0.4">
      <c r="K53" s="38">
        <v>51</v>
      </c>
      <c r="L53" s="99">
        <v>1284.5</v>
      </c>
    </row>
    <row r="54" spans="5:12" x14ac:dyDescent="0.4">
      <c r="K54" s="38">
        <v>52</v>
      </c>
      <c r="L54" s="99">
        <v>1318.2</v>
      </c>
    </row>
    <row r="55" spans="5:12" x14ac:dyDescent="0.4">
      <c r="K55" s="38">
        <v>53</v>
      </c>
      <c r="L55" s="99">
        <v>1374.2</v>
      </c>
    </row>
    <row r="56" spans="5:12" x14ac:dyDescent="0.4">
      <c r="K56" s="38">
        <v>54</v>
      </c>
      <c r="L56" s="99">
        <v>1316.2</v>
      </c>
    </row>
    <row r="57" spans="5:12" x14ac:dyDescent="0.4">
      <c r="K57" s="38">
        <v>55</v>
      </c>
      <c r="L57" s="99">
        <v>1417.2</v>
      </c>
    </row>
    <row r="58" spans="5:12" x14ac:dyDescent="0.4">
      <c r="K58" s="38">
        <v>56</v>
      </c>
      <c r="L58" s="99">
        <v>1510.1000000000001</v>
      </c>
    </row>
    <row r="59" spans="5:12" x14ac:dyDescent="0.4">
      <c r="K59" s="38">
        <v>57</v>
      </c>
      <c r="L59" s="99">
        <v>1479.8000000000002</v>
      </c>
    </row>
    <row r="60" spans="5:12" x14ac:dyDescent="0.4">
      <c r="K60" s="38">
        <v>58</v>
      </c>
      <c r="L60" s="99">
        <v>1509.2000000000003</v>
      </c>
    </row>
    <row r="61" spans="5:12" x14ac:dyDescent="0.4">
      <c r="K61" s="38">
        <v>59</v>
      </c>
      <c r="L61" s="99">
        <v>1518.2000000000003</v>
      </c>
    </row>
    <row r="62" spans="5:12" x14ac:dyDescent="0.4">
      <c r="K62" s="38">
        <v>60</v>
      </c>
      <c r="L62" s="99">
        <v>1549.0000000000002</v>
      </c>
    </row>
    <row r="63" spans="5:12" x14ac:dyDescent="0.4">
      <c r="K63" s="38">
        <v>61</v>
      </c>
      <c r="L63" s="99">
        <v>1585.4000000000003</v>
      </c>
    </row>
    <row r="64" spans="5:12" x14ac:dyDescent="0.4">
      <c r="K64" s="38">
        <v>62</v>
      </c>
      <c r="L64" s="99">
        <v>1624.9000000000003</v>
      </c>
    </row>
    <row r="65" spans="11:12" x14ac:dyDescent="0.4">
      <c r="K65" s="38">
        <v>63</v>
      </c>
      <c r="L65" s="99">
        <v>1654.1000000000004</v>
      </c>
    </row>
    <row r="66" spans="11:12" x14ac:dyDescent="0.4">
      <c r="K66" s="38">
        <v>64</v>
      </c>
      <c r="L66" s="99">
        <v>1629.3000000000004</v>
      </c>
    </row>
    <row r="67" spans="11:12" x14ac:dyDescent="0.4">
      <c r="K67" s="38">
        <v>65</v>
      </c>
      <c r="L67" s="99">
        <v>1626.5000000000005</v>
      </c>
    </row>
    <row r="68" spans="11:12" x14ac:dyDescent="0.4">
      <c r="K68" s="38">
        <v>66</v>
      </c>
      <c r="L68" s="99">
        <v>1565.4000000000005</v>
      </c>
    </row>
    <row r="69" spans="11:12" x14ac:dyDescent="0.4">
      <c r="K69" s="38">
        <v>67</v>
      </c>
      <c r="L69" s="99">
        <v>1610.8000000000006</v>
      </c>
    </row>
    <row r="70" spans="11:12" x14ac:dyDescent="0.4">
      <c r="K70" s="38">
        <v>68</v>
      </c>
      <c r="L70" s="99">
        <v>1572.8000000000006</v>
      </c>
    </row>
    <row r="71" spans="11:12" x14ac:dyDescent="0.4">
      <c r="K71" s="38">
        <v>69</v>
      </c>
      <c r="L71" s="99">
        <v>1572.3000000000006</v>
      </c>
    </row>
    <row r="72" spans="11:12" x14ac:dyDescent="0.4">
      <c r="K72" s="38">
        <v>70</v>
      </c>
      <c r="L72" s="99">
        <v>1598.9000000000005</v>
      </c>
    </row>
    <row r="73" spans="11:12" x14ac:dyDescent="0.4">
      <c r="K73" s="38">
        <v>71</v>
      </c>
      <c r="L73" s="99">
        <v>1644.6000000000006</v>
      </c>
    </row>
    <row r="74" spans="11:12" x14ac:dyDescent="0.4">
      <c r="K74" s="38">
        <v>72</v>
      </c>
      <c r="L74" s="99">
        <v>1587.8000000000006</v>
      </c>
    </row>
    <row r="75" spans="11:12" x14ac:dyDescent="0.4">
      <c r="K75" s="38">
        <v>73</v>
      </c>
      <c r="L75" s="99">
        <v>1588.9000000000005</v>
      </c>
    </row>
    <row r="76" spans="11:12" x14ac:dyDescent="0.4">
      <c r="K76" s="38">
        <v>74</v>
      </c>
      <c r="L76" s="99">
        <v>1553.8000000000006</v>
      </c>
    </row>
    <row r="77" spans="11:12" x14ac:dyDescent="0.4">
      <c r="K77" s="38">
        <v>75</v>
      </c>
      <c r="L77" s="99">
        <v>1496.5000000000007</v>
      </c>
    </row>
    <row r="78" spans="11:12" x14ac:dyDescent="0.4">
      <c r="K78" s="38">
        <v>76</v>
      </c>
      <c r="L78" s="99">
        <v>1535.1000000000006</v>
      </c>
    </row>
    <row r="79" spans="11:12" x14ac:dyDescent="0.4">
      <c r="K79" s="38">
        <v>77</v>
      </c>
      <c r="L79" s="99">
        <v>1496.5000000000007</v>
      </c>
    </row>
    <row r="80" spans="11:12" x14ac:dyDescent="0.4">
      <c r="K80" s="38">
        <v>78</v>
      </c>
      <c r="L80" s="99">
        <v>1534.7000000000007</v>
      </c>
    </row>
    <row r="81" spans="11:12" x14ac:dyDescent="0.4">
      <c r="K81" s="38">
        <v>79</v>
      </c>
      <c r="L81" s="99">
        <v>1485.0000000000007</v>
      </c>
    </row>
    <row r="82" spans="11:12" x14ac:dyDescent="0.4">
      <c r="K82" s="38">
        <v>80</v>
      </c>
      <c r="L82" s="99">
        <v>1482.0000000000007</v>
      </c>
    </row>
    <row r="83" spans="11:12" x14ac:dyDescent="0.4">
      <c r="K83" s="38">
        <v>81</v>
      </c>
      <c r="L83" s="99">
        <v>1523.8000000000006</v>
      </c>
    </row>
    <row r="84" spans="11:12" x14ac:dyDescent="0.4">
      <c r="K84" s="38">
        <v>82</v>
      </c>
      <c r="L84" s="99">
        <v>1552.2000000000007</v>
      </c>
    </row>
    <row r="85" spans="11:12" x14ac:dyDescent="0.4">
      <c r="K85" s="38">
        <v>83</v>
      </c>
      <c r="L85" s="99">
        <v>1511.9000000000008</v>
      </c>
    </row>
    <row r="86" spans="11:12" x14ac:dyDescent="0.4">
      <c r="K86" s="38">
        <v>84</v>
      </c>
      <c r="L86" s="99">
        <v>1510.6000000000008</v>
      </c>
    </row>
    <row r="87" spans="11:12" x14ac:dyDescent="0.4">
      <c r="K87" s="38">
        <v>85</v>
      </c>
      <c r="L87" s="99">
        <v>1566.5000000000009</v>
      </c>
    </row>
    <row r="88" spans="11:12" x14ac:dyDescent="0.4">
      <c r="K88" s="38">
        <v>86</v>
      </c>
      <c r="L88" s="99">
        <v>1610.200000000001</v>
      </c>
    </row>
    <row r="89" spans="11:12" x14ac:dyDescent="0.4">
      <c r="K89" s="38">
        <v>87</v>
      </c>
      <c r="L89" s="99">
        <v>1662.8000000000009</v>
      </c>
    </row>
    <row r="90" spans="11:12" x14ac:dyDescent="0.4">
      <c r="K90" s="38">
        <v>88</v>
      </c>
      <c r="L90" s="99">
        <v>1664.200000000001</v>
      </c>
    </row>
    <row r="91" spans="11:12" x14ac:dyDescent="0.4">
      <c r="K91" s="38">
        <v>89</v>
      </c>
      <c r="L91" s="99">
        <v>1656.900000000001</v>
      </c>
    </row>
    <row r="92" spans="11:12" x14ac:dyDescent="0.4">
      <c r="K92" s="38">
        <v>90</v>
      </c>
      <c r="L92" s="99">
        <v>1620.900000000001</v>
      </c>
    </row>
    <row r="93" spans="11:12" x14ac:dyDescent="0.4">
      <c r="K93" s="38">
        <v>91</v>
      </c>
      <c r="L93" s="99">
        <v>1680.8000000000011</v>
      </c>
    </row>
    <row r="94" spans="11:12" x14ac:dyDescent="0.4">
      <c r="K94" s="38">
        <v>92</v>
      </c>
      <c r="L94" s="99">
        <v>1634.7000000000012</v>
      </c>
    </row>
    <row r="95" spans="11:12" x14ac:dyDescent="0.4">
      <c r="K95" s="38">
        <v>93</v>
      </c>
      <c r="L95" s="99">
        <v>1677.6000000000013</v>
      </c>
    </row>
    <row r="96" spans="11:12" x14ac:dyDescent="0.4">
      <c r="K96" s="38">
        <v>94</v>
      </c>
      <c r="L96" s="99">
        <v>1672.4000000000012</v>
      </c>
    </row>
    <row r="97" spans="11:12" x14ac:dyDescent="0.4">
      <c r="K97" s="38">
        <v>95</v>
      </c>
      <c r="L97" s="99">
        <v>1681.2000000000012</v>
      </c>
    </row>
    <row r="98" spans="11:12" x14ac:dyDescent="0.4">
      <c r="K98" s="38">
        <v>96</v>
      </c>
      <c r="L98" s="99">
        <v>1680.9000000000012</v>
      </c>
    </row>
    <row r="99" spans="11:12" x14ac:dyDescent="0.4">
      <c r="K99" s="38">
        <v>97</v>
      </c>
      <c r="L99" s="99">
        <v>1734.4000000000012</v>
      </c>
    </row>
    <row r="100" spans="11:12" x14ac:dyDescent="0.4">
      <c r="K100" s="38">
        <v>98</v>
      </c>
      <c r="L100" s="99">
        <v>1737.4000000000012</v>
      </c>
    </row>
    <row r="101" spans="11:12" x14ac:dyDescent="0.4">
      <c r="K101" s="38">
        <v>99</v>
      </c>
      <c r="L101" s="99">
        <v>1678.5000000000011</v>
      </c>
    </row>
    <row r="102" spans="11:12" x14ac:dyDescent="0.4">
      <c r="K102" s="38">
        <v>100</v>
      </c>
      <c r="L102" s="99">
        <v>1622.2000000000012</v>
      </c>
    </row>
    <row r="103" spans="11:12" x14ac:dyDescent="0.4">
      <c r="K103" s="38">
        <v>101</v>
      </c>
      <c r="L103" s="99">
        <v>1564.8000000000011</v>
      </c>
    </row>
    <row r="104" spans="11:12" x14ac:dyDescent="0.4">
      <c r="K104" s="38">
        <v>102</v>
      </c>
      <c r="L104" s="99">
        <v>1634.400000000001</v>
      </c>
    </row>
    <row r="105" spans="11:12" x14ac:dyDescent="0.4">
      <c r="K105" s="38">
        <v>103</v>
      </c>
      <c r="L105" s="99">
        <v>1615.700000000001</v>
      </c>
    </row>
    <row r="106" spans="11:12" x14ac:dyDescent="0.4">
      <c r="K106" s="38">
        <v>104</v>
      </c>
      <c r="L106" s="99">
        <v>1653.100000000001</v>
      </c>
    </row>
    <row r="107" spans="11:12" x14ac:dyDescent="0.4">
      <c r="K107" s="38">
        <v>105</v>
      </c>
      <c r="L107" s="99">
        <v>1593.100000000001</v>
      </c>
    </row>
    <row r="108" spans="11:12" x14ac:dyDescent="0.4">
      <c r="K108" s="38">
        <v>106</v>
      </c>
      <c r="L108" s="99">
        <v>1583.200000000001</v>
      </c>
    </row>
    <row r="109" spans="11:12" x14ac:dyDescent="0.4">
      <c r="K109" s="38">
        <v>107</v>
      </c>
      <c r="L109" s="99">
        <v>1517.3000000000009</v>
      </c>
    </row>
    <row r="110" spans="11:12" x14ac:dyDescent="0.4">
      <c r="K110" s="38">
        <v>108</v>
      </c>
      <c r="L110" s="99">
        <v>1569.1000000000008</v>
      </c>
    </row>
    <row r="111" spans="11:12" x14ac:dyDescent="0.4">
      <c r="K111" s="38">
        <v>109</v>
      </c>
      <c r="L111" s="99">
        <v>1512.2000000000007</v>
      </c>
    </row>
    <row r="112" spans="11:12" x14ac:dyDescent="0.4">
      <c r="K112" s="38">
        <v>110</v>
      </c>
      <c r="L112" s="99">
        <v>1513.7000000000007</v>
      </c>
    </row>
    <row r="113" spans="11:12" x14ac:dyDescent="0.4">
      <c r="K113" s="38">
        <v>111</v>
      </c>
      <c r="L113" s="99">
        <v>1461.9000000000008</v>
      </c>
    </row>
    <row r="114" spans="11:12" x14ac:dyDescent="0.4">
      <c r="K114" s="38">
        <v>112</v>
      </c>
      <c r="L114" s="99">
        <v>1405.8000000000009</v>
      </c>
    </row>
    <row r="115" spans="11:12" x14ac:dyDescent="0.4">
      <c r="K115" s="38">
        <v>113</v>
      </c>
      <c r="L115" s="99">
        <v>1346.8000000000009</v>
      </c>
    </row>
    <row r="116" spans="11:12" x14ac:dyDescent="0.4">
      <c r="K116" s="38">
        <v>114</v>
      </c>
      <c r="L116" s="99">
        <v>1351.1000000000008</v>
      </c>
    </row>
    <row r="117" spans="11:12" x14ac:dyDescent="0.4">
      <c r="K117" s="38">
        <v>115</v>
      </c>
      <c r="L117" s="99">
        <v>1435.5000000000009</v>
      </c>
    </row>
    <row r="118" spans="11:12" x14ac:dyDescent="0.4">
      <c r="K118" s="38">
        <v>116</v>
      </c>
      <c r="L118" s="99">
        <v>1471.900000000001</v>
      </c>
    </row>
    <row r="119" spans="11:12" x14ac:dyDescent="0.4">
      <c r="K119" s="38">
        <v>117</v>
      </c>
      <c r="L119" s="99">
        <v>1492.600000000001</v>
      </c>
    </row>
    <row r="120" spans="11:12" x14ac:dyDescent="0.4">
      <c r="K120" s="38">
        <v>118</v>
      </c>
      <c r="L120" s="99">
        <v>1530.0000000000011</v>
      </c>
    </row>
    <row r="121" spans="11:12" x14ac:dyDescent="0.4">
      <c r="K121" s="38">
        <v>119</v>
      </c>
      <c r="L121" s="99">
        <v>1530.0000000000011</v>
      </c>
    </row>
    <row r="122" spans="11:12" x14ac:dyDescent="0.4">
      <c r="K122" s="38">
        <v>120</v>
      </c>
      <c r="L122" s="99">
        <v>1527.0000000000011</v>
      </c>
    </row>
    <row r="123" spans="11:12" x14ac:dyDescent="0.4">
      <c r="K123" s="38">
        <v>121</v>
      </c>
      <c r="L123" s="99">
        <v>1556.600000000001</v>
      </c>
    </row>
    <row r="124" spans="11:12" x14ac:dyDescent="0.4">
      <c r="K124" s="38">
        <v>122</v>
      </c>
      <c r="L124" s="99">
        <v>1590.100000000001</v>
      </c>
    </row>
    <row r="125" spans="11:12" x14ac:dyDescent="0.4">
      <c r="K125" s="38">
        <v>123</v>
      </c>
      <c r="L125" s="99">
        <v>1598.200000000001</v>
      </c>
    </row>
    <row r="126" spans="11:12" x14ac:dyDescent="0.4">
      <c r="K126" s="38">
        <v>124</v>
      </c>
      <c r="L126" s="99">
        <v>1628.600000000001</v>
      </c>
    </row>
    <row r="127" spans="11:12" x14ac:dyDescent="0.4">
      <c r="K127" s="38">
        <v>125</v>
      </c>
      <c r="L127" s="99">
        <v>1565.600000000001</v>
      </c>
    </row>
    <row r="128" spans="11:12" x14ac:dyDescent="0.4">
      <c r="K128" s="38">
        <v>126</v>
      </c>
      <c r="L128" s="99">
        <v>1666.5000000000011</v>
      </c>
    </row>
    <row r="129" spans="11:12" x14ac:dyDescent="0.4">
      <c r="K129" s="38">
        <v>127</v>
      </c>
      <c r="L129" s="99">
        <v>1643.100000000001</v>
      </c>
    </row>
    <row r="130" spans="11:12" x14ac:dyDescent="0.4">
      <c r="K130" s="38">
        <v>128</v>
      </c>
      <c r="L130" s="99">
        <v>1573.600000000001</v>
      </c>
    </row>
    <row r="131" spans="11:12" x14ac:dyDescent="0.4">
      <c r="K131" s="38">
        <v>129</v>
      </c>
      <c r="L131" s="99">
        <v>1603.0000000000011</v>
      </c>
    </row>
    <row r="132" spans="11:12" x14ac:dyDescent="0.4">
      <c r="K132" s="38">
        <v>130</v>
      </c>
      <c r="L132" s="99">
        <v>1682.600000000001</v>
      </c>
    </row>
    <row r="133" spans="11:12" x14ac:dyDescent="0.4">
      <c r="K133" s="38">
        <v>131</v>
      </c>
      <c r="L133" s="99">
        <v>1632.100000000001</v>
      </c>
    </row>
    <row r="134" spans="11:12" x14ac:dyDescent="0.4">
      <c r="K134" s="38">
        <v>132</v>
      </c>
      <c r="L134" s="99">
        <v>1590.400000000001</v>
      </c>
    </row>
    <row r="135" spans="11:12" x14ac:dyDescent="0.4">
      <c r="K135" s="38">
        <v>133</v>
      </c>
      <c r="L135" s="99">
        <v>1555.5000000000009</v>
      </c>
    </row>
    <row r="136" spans="11:12" x14ac:dyDescent="0.4">
      <c r="K136" s="38">
        <v>134</v>
      </c>
      <c r="L136" s="99">
        <v>1549.3000000000009</v>
      </c>
    </row>
    <row r="137" spans="11:12" x14ac:dyDescent="0.4">
      <c r="K137" s="38">
        <v>135</v>
      </c>
      <c r="L137" s="99">
        <v>1609.6000000000008</v>
      </c>
    </row>
    <row r="138" spans="11:12" x14ac:dyDescent="0.4">
      <c r="K138" s="38">
        <v>136</v>
      </c>
      <c r="L138" s="99">
        <v>1638.4000000000008</v>
      </c>
    </row>
    <row r="139" spans="11:12" x14ac:dyDescent="0.4">
      <c r="K139" s="38">
        <v>137</v>
      </c>
      <c r="L139" s="99">
        <v>1631.8000000000009</v>
      </c>
    </row>
    <row r="140" spans="11:12" x14ac:dyDescent="0.4">
      <c r="K140" s="38">
        <v>138</v>
      </c>
      <c r="L140" s="99">
        <v>1633.8000000000009</v>
      </c>
    </row>
    <row r="141" spans="11:12" x14ac:dyDescent="0.4">
      <c r="K141" s="38">
        <v>139</v>
      </c>
      <c r="L141" s="99">
        <v>1701.6000000000008</v>
      </c>
    </row>
    <row r="142" spans="11:12" x14ac:dyDescent="0.4">
      <c r="K142" s="38">
        <v>140</v>
      </c>
      <c r="L142" s="99">
        <v>1700.4000000000008</v>
      </c>
    </row>
    <row r="143" spans="11:12" x14ac:dyDescent="0.4">
      <c r="K143" s="38">
        <v>141</v>
      </c>
      <c r="L143" s="99">
        <v>1724.1000000000008</v>
      </c>
    </row>
    <row r="144" spans="11:12" x14ac:dyDescent="0.4">
      <c r="K144" s="38">
        <v>142</v>
      </c>
      <c r="L144" s="99">
        <v>1751.8000000000009</v>
      </c>
    </row>
    <row r="145" spans="11:12" x14ac:dyDescent="0.4">
      <c r="K145" s="38">
        <v>143</v>
      </c>
      <c r="L145" s="99">
        <v>1797.1000000000008</v>
      </c>
    </row>
    <row r="146" spans="11:12" x14ac:dyDescent="0.4">
      <c r="K146" s="38">
        <v>144</v>
      </c>
      <c r="L146" s="99">
        <v>1806.1000000000008</v>
      </c>
    </row>
    <row r="147" spans="11:12" x14ac:dyDescent="0.4">
      <c r="K147" s="38">
        <v>145</v>
      </c>
      <c r="L147" s="99">
        <v>1774.3000000000009</v>
      </c>
    </row>
    <row r="148" spans="11:12" x14ac:dyDescent="0.4">
      <c r="K148" s="38">
        <v>146</v>
      </c>
      <c r="L148" s="99">
        <v>1767.0000000000009</v>
      </c>
    </row>
    <row r="149" spans="11:12" x14ac:dyDescent="0.4">
      <c r="K149" s="38">
        <v>147</v>
      </c>
      <c r="L149" s="99">
        <v>1763.5000000000009</v>
      </c>
    </row>
    <row r="150" spans="11:12" x14ac:dyDescent="0.4">
      <c r="K150" s="38">
        <v>148</v>
      </c>
      <c r="L150" s="99">
        <v>1727.1000000000008</v>
      </c>
    </row>
    <row r="151" spans="11:12" x14ac:dyDescent="0.4">
      <c r="K151" s="38">
        <v>149</v>
      </c>
      <c r="L151" s="99">
        <v>1744.7000000000007</v>
      </c>
    </row>
    <row r="152" spans="11:12" x14ac:dyDescent="0.4">
      <c r="K152" s="38">
        <v>150</v>
      </c>
      <c r="L152" s="99">
        <v>1788.5000000000007</v>
      </c>
    </row>
    <row r="153" spans="11:12" x14ac:dyDescent="0.4">
      <c r="K153" s="38">
        <v>151</v>
      </c>
      <c r="L153" s="99">
        <v>1847.5000000000007</v>
      </c>
    </row>
    <row r="154" spans="11:12" x14ac:dyDescent="0.4">
      <c r="K154" s="38">
        <v>152</v>
      </c>
      <c r="L154" s="99">
        <v>1812.8000000000006</v>
      </c>
    </row>
    <row r="155" spans="11:12" x14ac:dyDescent="0.4">
      <c r="K155" s="38">
        <v>153</v>
      </c>
      <c r="L155" s="99">
        <v>1805.4000000000005</v>
      </c>
    </row>
    <row r="156" spans="11:12" x14ac:dyDescent="0.4">
      <c r="K156" s="38">
        <v>154</v>
      </c>
      <c r="L156" s="99">
        <v>1855.1000000000006</v>
      </c>
    </row>
    <row r="157" spans="11:12" x14ac:dyDescent="0.4">
      <c r="K157" s="38">
        <v>155</v>
      </c>
      <c r="L157" s="99">
        <v>1940.5000000000007</v>
      </c>
    </row>
    <row r="158" spans="11:12" x14ac:dyDescent="0.4">
      <c r="K158" s="38">
        <v>156</v>
      </c>
      <c r="L158" s="99">
        <v>2009.8000000000006</v>
      </c>
    </row>
    <row r="159" spans="11:12" x14ac:dyDescent="0.4">
      <c r="K159" s="38">
        <v>157</v>
      </c>
      <c r="L159" s="99">
        <v>2024.8000000000006</v>
      </c>
    </row>
    <row r="160" spans="11:12" x14ac:dyDescent="0.4">
      <c r="K160" s="38">
        <v>158</v>
      </c>
      <c r="L160" s="99">
        <v>1973.9000000000005</v>
      </c>
    </row>
    <row r="161" spans="11:12" x14ac:dyDescent="0.4">
      <c r="K161" s="38">
        <v>159</v>
      </c>
      <c r="L161" s="99">
        <v>1932.7000000000005</v>
      </c>
    </row>
    <row r="162" spans="11:12" x14ac:dyDescent="0.4">
      <c r="K162" s="38">
        <v>160</v>
      </c>
      <c r="L162" s="99">
        <v>1899.8000000000004</v>
      </c>
    </row>
    <row r="163" spans="11:12" x14ac:dyDescent="0.4">
      <c r="K163" s="38">
        <v>161</v>
      </c>
      <c r="L163" s="99">
        <v>1913.3000000000004</v>
      </c>
    </row>
    <row r="164" spans="11:12" x14ac:dyDescent="0.4">
      <c r="K164" s="38">
        <v>162</v>
      </c>
      <c r="L164" s="99">
        <v>1955.5000000000005</v>
      </c>
    </row>
    <row r="165" spans="11:12" x14ac:dyDescent="0.4">
      <c r="K165" s="38">
        <v>163</v>
      </c>
      <c r="L165" s="99">
        <v>1950.5000000000005</v>
      </c>
    </row>
  </sheetData>
  <sortState ref="E2:I165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0CE036-D088-4E2B-BE38-C9CC96B4086A}">
  <sheetPr codeName="Sheet9"/>
  <dimension ref="A1:Q136"/>
  <sheetViews>
    <sheetView showGridLines="0" tabSelected="1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128</v>
      </c>
      <c r="C1" s="151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2">
        <v>134</v>
      </c>
      <c r="C2" s="153"/>
      <c r="E2" s="62" t="s">
        <v>65</v>
      </c>
      <c r="F2" s="59" t="s">
        <v>21</v>
      </c>
      <c r="G2" s="46">
        <v>186</v>
      </c>
      <c r="H2" s="132">
        <f>IF(B$17=0,0,G2/B$17)</f>
        <v>0.6262626262626263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151.49253731343285</v>
      </c>
      <c r="P2" s="118">
        <v>134</v>
      </c>
      <c r="Q2" s="102">
        <v>20300</v>
      </c>
    </row>
    <row r="3" spans="1:17" x14ac:dyDescent="0.4">
      <c r="A3" s="55" t="s">
        <v>8</v>
      </c>
      <c r="B3" s="154">
        <v>1099</v>
      </c>
      <c r="C3" s="155"/>
      <c r="E3" s="63" t="s">
        <v>66</v>
      </c>
      <c r="F3" s="60" t="s">
        <v>22</v>
      </c>
      <c r="G3" s="47">
        <v>47</v>
      </c>
      <c r="H3" s="133">
        <f>IF(B$17=0,0,G3/B$17)</f>
        <v>0.15824915824915825</v>
      </c>
      <c r="I3" s="94">
        <v>1</v>
      </c>
      <c r="K3" s="38">
        <v>1</v>
      </c>
      <c r="L3" s="99">
        <v>45.5</v>
      </c>
      <c r="N3" s="115" t="s">
        <v>133</v>
      </c>
      <c r="O3" s="122">
        <f t="shared" si="0"/>
        <v>-2101.5384615384614</v>
      </c>
      <c r="P3" s="119">
        <v>130</v>
      </c>
      <c r="Q3" s="103">
        <v>-273200</v>
      </c>
    </row>
    <row r="4" spans="1:17" x14ac:dyDescent="0.4">
      <c r="A4" s="55" t="s">
        <v>6</v>
      </c>
      <c r="B4" s="156">
        <v>-341.2</v>
      </c>
      <c r="C4" s="157"/>
      <c r="E4" s="63" t="s">
        <v>67</v>
      </c>
      <c r="F4" s="60" t="s">
        <v>23</v>
      </c>
      <c r="G4" s="47">
        <v>227</v>
      </c>
      <c r="H4" s="133">
        <f>IF(B$17=0,0,G4/B$17)</f>
        <v>0.76430976430976427</v>
      </c>
      <c r="I4" s="94">
        <v>6</v>
      </c>
      <c r="K4" s="38">
        <v>2</v>
      </c>
      <c r="L4" s="99">
        <v>6.2999999999999972</v>
      </c>
      <c r="N4" s="115" t="s">
        <v>134</v>
      </c>
      <c r="O4" s="122">
        <f t="shared" si="0"/>
        <v>378.22580645161293</v>
      </c>
      <c r="P4" s="119">
        <v>124</v>
      </c>
      <c r="Q4" s="103">
        <v>46900</v>
      </c>
    </row>
    <row r="5" spans="1:17" x14ac:dyDescent="0.4">
      <c r="A5" s="55" t="s">
        <v>7</v>
      </c>
      <c r="B5" s="158">
        <f>IF(B$2=0,0,B$4/B$2)</f>
        <v>-2.5462686567164177</v>
      </c>
      <c r="C5" s="159"/>
      <c r="E5" s="63" t="s">
        <v>68</v>
      </c>
      <c r="F5" s="60" t="s">
        <v>24</v>
      </c>
      <c r="G5" s="47">
        <v>121</v>
      </c>
      <c r="H5" s="133">
        <f>IF(B$17=0,0,G5/B$17)</f>
        <v>0.40740740740740738</v>
      </c>
      <c r="I5" s="94">
        <v>2</v>
      </c>
      <c r="K5" s="38">
        <v>3</v>
      </c>
      <c r="L5" s="99">
        <v>-47.300000000000004</v>
      </c>
      <c r="N5" s="115" t="s">
        <v>135</v>
      </c>
      <c r="O5" s="122">
        <f t="shared" si="0"/>
        <v>-35.135135135135137</v>
      </c>
      <c r="P5" s="119">
        <v>111</v>
      </c>
      <c r="Q5" s="103">
        <v>-3900</v>
      </c>
    </row>
    <row r="6" spans="1:17" x14ac:dyDescent="0.4">
      <c r="A6" s="55" t="s">
        <v>1</v>
      </c>
      <c r="B6" s="148">
        <f>IF(B$2=0,0,(B$7*1+B$8*2+B$9*3)/B$2)</f>
        <v>2.0746268656716418</v>
      </c>
      <c r="C6" s="149"/>
      <c r="E6" s="63" t="s">
        <v>69</v>
      </c>
      <c r="F6" s="60" t="s">
        <v>12</v>
      </c>
      <c r="G6" s="47">
        <v>103</v>
      </c>
      <c r="H6" s="133">
        <f>IF(B$17=0,0,G6/B$17)</f>
        <v>0.34680134680134678</v>
      </c>
      <c r="I6" s="94">
        <v>5</v>
      </c>
      <c r="K6" s="38">
        <v>4</v>
      </c>
      <c r="L6" s="99">
        <v>13.599999999999994</v>
      </c>
      <c r="N6" s="115" t="s">
        <v>136</v>
      </c>
      <c r="O6" s="122">
        <f t="shared" si="0"/>
        <v>835.71428571428567</v>
      </c>
      <c r="P6" s="119">
        <v>98</v>
      </c>
      <c r="Q6" s="103">
        <v>81900</v>
      </c>
    </row>
    <row r="7" spans="1:17" x14ac:dyDescent="0.4">
      <c r="A7" s="55" t="s">
        <v>2</v>
      </c>
      <c r="B7" s="47">
        <v>36</v>
      </c>
      <c r="C7" s="39">
        <f>IF(B$2=0,0,B7/B$2)</f>
        <v>0.26865671641791045</v>
      </c>
      <c r="E7" s="63" t="s">
        <v>70</v>
      </c>
      <c r="F7" s="60" t="s">
        <v>25</v>
      </c>
      <c r="G7" s="47">
        <v>68</v>
      </c>
      <c r="H7" s="133">
        <f>IF(B$17=0,0,G7/B$17)</f>
        <v>0.22895622895622897</v>
      </c>
      <c r="I7" s="94">
        <v>2</v>
      </c>
      <c r="K7" s="38">
        <v>5</v>
      </c>
      <c r="L7" s="99">
        <v>-16.600000000000005</v>
      </c>
      <c r="N7" s="116" t="s">
        <v>137</v>
      </c>
      <c r="O7" s="123">
        <f t="shared" si="0"/>
        <v>25.842696629213481</v>
      </c>
      <c r="P7" s="120">
        <v>89</v>
      </c>
      <c r="Q7" s="104">
        <v>2300</v>
      </c>
    </row>
    <row r="8" spans="1:17" x14ac:dyDescent="0.4">
      <c r="A8" s="55" t="s">
        <v>3</v>
      </c>
      <c r="B8" s="47">
        <v>52</v>
      </c>
      <c r="C8" s="39">
        <f>IF(B$2=0,0,B8/B$2)</f>
        <v>0.38805970149253732</v>
      </c>
      <c r="E8" s="63" t="s">
        <v>71</v>
      </c>
      <c r="F8" s="60" t="s">
        <v>26</v>
      </c>
      <c r="G8" s="47">
        <v>37</v>
      </c>
      <c r="H8" s="133">
        <f>IF(B$17=0,0,G8/B$17)</f>
        <v>0.12457912457912458</v>
      </c>
      <c r="I8" s="94">
        <v>3</v>
      </c>
      <c r="K8" s="38">
        <v>6</v>
      </c>
      <c r="L8" s="99">
        <v>-14.000000000000005</v>
      </c>
      <c r="N8" s="43"/>
      <c r="O8" s="127"/>
      <c r="P8" s="111"/>
      <c r="Q8" s="109"/>
    </row>
    <row r="9" spans="1:17" x14ac:dyDescent="0.4">
      <c r="A9" s="56" t="s">
        <v>4</v>
      </c>
      <c r="B9" s="48">
        <v>46</v>
      </c>
      <c r="C9" s="40">
        <f t="shared" ref="C9" si="1">IF(B$2=0,0,B9/B$2)</f>
        <v>0.34328358208955223</v>
      </c>
      <c r="E9" s="63" t="s">
        <v>72</v>
      </c>
      <c r="F9" s="60" t="s">
        <v>27</v>
      </c>
      <c r="G9" s="47">
        <v>17</v>
      </c>
      <c r="H9" s="133">
        <f>IF(B$17=0,0,G9/B$17)</f>
        <v>5.7239057239057242E-2</v>
      </c>
      <c r="I9" s="94">
        <v>10</v>
      </c>
      <c r="K9" s="38">
        <v>7</v>
      </c>
      <c r="L9" s="99">
        <v>-45.300000000000004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18</v>
      </c>
      <c r="C10" s="40">
        <f>IF(B$2=0,0,B10/B$2)</f>
        <v>0.13432835820895522</v>
      </c>
      <c r="E10" s="63" t="s">
        <v>73</v>
      </c>
      <c r="F10" s="60" t="s">
        <v>28</v>
      </c>
      <c r="G10" s="47">
        <v>135</v>
      </c>
      <c r="H10" s="133">
        <f>IF(B$17=0,0,G10/B$17)</f>
        <v>0.45454545454545453</v>
      </c>
      <c r="I10" s="94">
        <v>11</v>
      </c>
      <c r="K10" s="38">
        <v>8</v>
      </c>
      <c r="L10" s="99">
        <v>-49.6</v>
      </c>
      <c r="N10" s="114" t="s">
        <v>164</v>
      </c>
      <c r="O10" s="124">
        <f>IF(P10=0,0,Q10/P10)</f>
        <v>-7.3552238805970163</v>
      </c>
      <c r="P10" s="118">
        <v>67</v>
      </c>
      <c r="Q10" s="106">
        <v>-492.80000000000007</v>
      </c>
    </row>
    <row r="11" spans="1:17" x14ac:dyDescent="0.4">
      <c r="A11" s="56" t="s">
        <v>140</v>
      </c>
      <c r="B11" s="48">
        <v>14</v>
      </c>
      <c r="C11" s="40">
        <f>IF(B$2=0,0,B11/B$2)</f>
        <v>0.1044776119402985</v>
      </c>
      <c r="E11" s="63" t="s">
        <v>74</v>
      </c>
      <c r="F11" s="60" t="s">
        <v>29</v>
      </c>
      <c r="G11" s="47">
        <v>2</v>
      </c>
      <c r="H11" s="133">
        <f>IF(B$17=0,0,G11/B$17)</f>
        <v>6.7340067340067337E-3</v>
      </c>
      <c r="I11" s="94">
        <v>5</v>
      </c>
      <c r="K11" s="38">
        <v>9</v>
      </c>
      <c r="L11" s="99">
        <v>-79.5</v>
      </c>
      <c r="N11" s="115" t="s">
        <v>165</v>
      </c>
      <c r="O11" s="125">
        <f>IF(P11=0,0,Q11/P11)</f>
        <v>-0.67999999999999916</v>
      </c>
      <c r="P11" s="119">
        <v>35</v>
      </c>
      <c r="Q11" s="107">
        <v>-23.799999999999969</v>
      </c>
    </row>
    <row r="12" spans="1:17" x14ac:dyDescent="0.4">
      <c r="A12" s="57" t="s">
        <v>160</v>
      </c>
      <c r="B12" s="49">
        <v>9</v>
      </c>
      <c r="C12" s="42">
        <f>IF(B$2=0,0,B12/B$2)</f>
        <v>6.7164179104477612E-2</v>
      </c>
      <c r="E12" s="63" t="s">
        <v>75</v>
      </c>
      <c r="F12" s="60" t="s">
        <v>30</v>
      </c>
      <c r="G12" s="47">
        <v>2</v>
      </c>
      <c r="H12" s="133">
        <f>IF(B$17=0,0,G12/B$17)</f>
        <v>6.7340067340067337E-3</v>
      </c>
      <c r="I12" s="94">
        <v>4</v>
      </c>
      <c r="K12" s="38">
        <v>10</v>
      </c>
      <c r="L12" s="99">
        <v>-80.900000000000006</v>
      </c>
      <c r="N12" s="116" t="s">
        <v>166</v>
      </c>
      <c r="O12" s="126">
        <f>IF(P12=0,0,Q12/P12)</f>
        <v>5.4812499999999993</v>
      </c>
      <c r="P12" s="120">
        <v>32</v>
      </c>
      <c r="Q12" s="108">
        <v>175.39999999999998</v>
      </c>
    </row>
    <row r="13" spans="1:17" x14ac:dyDescent="0.4">
      <c r="A13" s="58" t="s">
        <v>122</v>
      </c>
      <c r="B13" s="50">
        <v>329</v>
      </c>
      <c r="C13" s="44">
        <f>IF(B$3=0,0,B13/B$3)</f>
        <v>0.29936305732484075</v>
      </c>
      <c r="E13" s="63" t="s">
        <v>76</v>
      </c>
      <c r="F13" s="60" t="s">
        <v>31</v>
      </c>
      <c r="G13" s="47">
        <v>3</v>
      </c>
      <c r="H13" s="133">
        <f>IF(B$17=0,0,G13/B$17)</f>
        <v>1.0101010101010102E-2</v>
      </c>
      <c r="I13" s="94">
        <v>4</v>
      </c>
      <c r="K13" s="38">
        <v>11</v>
      </c>
      <c r="L13" s="99">
        <v>-53.100000000000009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193</v>
      </c>
      <c r="C14" s="39">
        <f>IF(B$3=0,0,B14/B$3)</f>
        <v>0.17561419472247497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-56.500000000000007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195</v>
      </c>
      <c r="C15" s="37">
        <f>IF(B$13=0,0,B15/B$13)</f>
        <v>0.59270516717325228</v>
      </c>
      <c r="E15" s="63" t="s">
        <v>78</v>
      </c>
      <c r="F15" s="60" t="s">
        <v>33</v>
      </c>
      <c r="G15" s="47">
        <v>1</v>
      </c>
      <c r="H15" s="133">
        <f>IF(B$17=0,0,G15/B$17)</f>
        <v>3.3670033670033669E-3</v>
      </c>
      <c r="I15" s="94">
        <v>6</v>
      </c>
      <c r="K15" s="38">
        <v>13</v>
      </c>
      <c r="L15" s="99">
        <v>-81.900000000000006</v>
      </c>
      <c r="N15" s="114" t="s">
        <v>184</v>
      </c>
      <c r="O15" s="124">
        <f t="shared" ref="O15:O22" si="2">IF(P15=0,0,Q15/P15)</f>
        <v>19.033333333333335</v>
      </c>
      <c r="P15" s="118">
        <v>9</v>
      </c>
      <c r="Q15" s="106">
        <v>171.3</v>
      </c>
    </row>
    <row r="16" spans="1:17" x14ac:dyDescent="0.4">
      <c r="A16" s="54" t="s">
        <v>125</v>
      </c>
      <c r="B16" s="46">
        <v>57</v>
      </c>
      <c r="C16" s="37">
        <f>IF(B$14=0,0,B16/B$14)</f>
        <v>0.29533678756476683</v>
      </c>
      <c r="E16" s="63" t="s">
        <v>79</v>
      </c>
      <c r="F16" s="60" t="s">
        <v>34</v>
      </c>
      <c r="G16" s="47">
        <v>5</v>
      </c>
      <c r="H16" s="133">
        <f>IF(B$17=0,0,G16/B$17)</f>
        <v>1.6835016835016835E-2</v>
      </c>
      <c r="I16" s="94">
        <v>9</v>
      </c>
      <c r="K16" s="38">
        <v>14</v>
      </c>
      <c r="L16" s="99">
        <v>-25.600000000000009</v>
      </c>
      <c r="N16" s="115" t="s">
        <v>129</v>
      </c>
      <c r="O16" s="125">
        <f t="shared" si="2"/>
        <v>13.619047619047617</v>
      </c>
      <c r="P16" s="119">
        <v>42</v>
      </c>
      <c r="Q16" s="107">
        <v>571.99999999999989</v>
      </c>
    </row>
    <row r="17" spans="1:17" x14ac:dyDescent="0.4">
      <c r="A17" s="54" t="s">
        <v>10</v>
      </c>
      <c r="B17" s="46">
        <f>B19+B18</f>
        <v>297</v>
      </c>
      <c r="C17" s="37">
        <f>IF(B$3=0,0,B17/B$3)</f>
        <v>0.27024567788899001</v>
      </c>
      <c r="E17" s="63" t="s">
        <v>80</v>
      </c>
      <c r="F17" s="60" t="s">
        <v>35</v>
      </c>
      <c r="G17" s="47">
        <v>7</v>
      </c>
      <c r="H17" s="133">
        <f>IF(B$17=0,0,G17/B$17)</f>
        <v>2.3569023569023569E-2</v>
      </c>
      <c r="I17" s="94">
        <v>3</v>
      </c>
      <c r="K17" s="38">
        <v>15</v>
      </c>
      <c r="L17" s="99">
        <v>47.999999999999986</v>
      </c>
      <c r="N17" s="115" t="s">
        <v>173</v>
      </c>
      <c r="O17" s="125">
        <f t="shared" si="2"/>
        <v>9.0374999999999996</v>
      </c>
      <c r="P17" s="119">
        <v>24</v>
      </c>
      <c r="Q17" s="107">
        <v>216.89999999999998</v>
      </c>
    </row>
    <row r="18" spans="1:17" x14ac:dyDescent="0.4">
      <c r="A18" s="55" t="s">
        <v>12</v>
      </c>
      <c r="B18" s="47">
        <v>127</v>
      </c>
      <c r="C18" s="39">
        <f>IF(B$17=0,0,B18/B$17)</f>
        <v>0.42760942760942761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41.699999999999989</v>
      </c>
      <c r="N18" s="115" t="s">
        <v>171</v>
      </c>
      <c r="O18" s="125">
        <f t="shared" si="2"/>
        <v>-0.24736842105262649</v>
      </c>
      <c r="P18" s="119">
        <v>38</v>
      </c>
      <c r="Q18" s="107">
        <v>-9.3999999999998067</v>
      </c>
    </row>
    <row r="19" spans="1:17" x14ac:dyDescent="0.4">
      <c r="A19" s="55" t="s">
        <v>11</v>
      </c>
      <c r="B19" s="47">
        <v>170</v>
      </c>
      <c r="C19" s="39">
        <f>IF(B$17=0,0,B19/B$17)</f>
        <v>0.57239057239057234</v>
      </c>
      <c r="E19" s="63" t="s">
        <v>82</v>
      </c>
      <c r="F19" s="60" t="s">
        <v>37</v>
      </c>
      <c r="G19" s="47">
        <v>9</v>
      </c>
      <c r="H19" s="133">
        <f>IF(B$17=0,0,G19/B$17)</f>
        <v>3.0303030303030304E-2</v>
      </c>
      <c r="I19" s="94">
        <v>5</v>
      </c>
      <c r="K19" s="38">
        <v>17</v>
      </c>
      <c r="L19" s="99">
        <v>94.6</v>
      </c>
      <c r="N19" s="115" t="s">
        <v>172</v>
      </c>
      <c r="O19" s="125">
        <f t="shared" si="2"/>
        <v>-4.3735294117647046</v>
      </c>
      <c r="P19" s="119">
        <v>34</v>
      </c>
      <c r="Q19" s="107">
        <v>-148.69999999999996</v>
      </c>
    </row>
    <row r="20" spans="1:17" x14ac:dyDescent="0.4">
      <c r="A20" s="55" t="s">
        <v>13</v>
      </c>
      <c r="B20" s="47">
        <v>190</v>
      </c>
      <c r="C20" s="39">
        <f>IF(B$3=0,0,B20/B$3)</f>
        <v>0.17288444040036396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116.69999999999999</v>
      </c>
      <c r="N20" s="115" t="s">
        <v>200</v>
      </c>
      <c r="O20" s="125">
        <f t="shared" si="2"/>
        <v>-5.5000000000000018</v>
      </c>
      <c r="P20" s="119">
        <v>2</v>
      </c>
      <c r="Q20" s="107">
        <v>-11.000000000000004</v>
      </c>
    </row>
    <row r="21" spans="1:17" x14ac:dyDescent="0.4">
      <c r="A21" s="55" t="s">
        <v>191</v>
      </c>
      <c r="B21" s="47">
        <v>6</v>
      </c>
      <c r="C21" s="135">
        <v>1</v>
      </c>
      <c r="E21" s="63" t="s">
        <v>84</v>
      </c>
      <c r="F21" s="60" t="s">
        <v>39</v>
      </c>
      <c r="G21" s="47">
        <v>10</v>
      </c>
      <c r="H21" s="133">
        <f>IF(B$17=0,0,G21/B$17)</f>
        <v>3.3670033670033669E-2</v>
      </c>
      <c r="I21" s="94">
        <v>9</v>
      </c>
      <c r="K21" s="38">
        <v>19</v>
      </c>
      <c r="L21" s="99">
        <v>138.79999999999998</v>
      </c>
      <c r="N21" s="115" t="s">
        <v>177</v>
      </c>
      <c r="O21" s="125">
        <f t="shared" si="2"/>
        <v>-6.1827586206896559</v>
      </c>
      <c r="P21" s="119">
        <v>29</v>
      </c>
      <c r="Q21" s="107">
        <v>-179.3</v>
      </c>
    </row>
    <row r="22" spans="1:17" x14ac:dyDescent="0.4">
      <c r="A22" s="55" t="s">
        <v>192</v>
      </c>
      <c r="B22" s="47">
        <v>24</v>
      </c>
      <c r="C22" s="135">
        <v>5</v>
      </c>
      <c r="E22" s="63" t="s">
        <v>85</v>
      </c>
      <c r="F22" s="60" t="s">
        <v>40</v>
      </c>
      <c r="G22" s="47">
        <v>1</v>
      </c>
      <c r="H22" s="133">
        <f>IF(B$17=0,0,G22/B$17)</f>
        <v>3.3670033670033669E-3</v>
      </c>
      <c r="I22" s="94">
        <v>3</v>
      </c>
      <c r="K22" s="38">
        <v>20</v>
      </c>
      <c r="L22" s="99">
        <v>164.49999999999997</v>
      </c>
      <c r="N22" s="115" t="s">
        <v>127</v>
      </c>
      <c r="O22" s="125">
        <f t="shared" si="2"/>
        <v>-18.171111111111113</v>
      </c>
      <c r="P22" s="119">
        <v>90</v>
      </c>
      <c r="Q22" s="107">
        <v>-1635.4</v>
      </c>
    </row>
    <row r="23" spans="1:17" x14ac:dyDescent="0.4">
      <c r="A23" s="55" t="s">
        <v>5</v>
      </c>
      <c r="B23" s="51">
        <f>IF(B$17=0,0,C23/B$17)</f>
        <v>9292.9292929292933</v>
      </c>
      <c r="C23" s="41">
        <v>2760000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204.09999999999997</v>
      </c>
    </row>
    <row r="24" spans="1:17" x14ac:dyDescent="0.4">
      <c r="A24" s="57" t="s">
        <v>14</v>
      </c>
      <c r="B24" s="52">
        <f>IF(B$20=0,0,C24/B$20)</f>
        <v>-7700.5263157894733</v>
      </c>
      <c r="C24" s="45">
        <v>-1463100</v>
      </c>
      <c r="E24" s="63" t="s">
        <v>87</v>
      </c>
      <c r="F24" s="60" t="s">
        <v>42</v>
      </c>
      <c r="G24" s="47">
        <v>15</v>
      </c>
      <c r="H24" s="133">
        <f>IF(B$17=0,0,G24/B$17)</f>
        <v>5.0505050505050504E-2</v>
      </c>
      <c r="I24" s="94">
        <v>7</v>
      </c>
      <c r="K24" s="38">
        <v>22</v>
      </c>
      <c r="L24" s="99">
        <v>239.39999999999998</v>
      </c>
    </row>
    <row r="25" spans="1:17" x14ac:dyDescent="0.4">
      <c r="A25" s="90" t="s">
        <v>142</v>
      </c>
      <c r="B25" s="146">
        <v>7</v>
      </c>
      <c r="C25" s="147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  <c r="K25" s="38">
        <v>23</v>
      </c>
      <c r="L25" s="99">
        <v>245.49999999999997</v>
      </c>
    </row>
    <row r="26" spans="1:17" x14ac:dyDescent="0.4">
      <c r="A26" s="58" t="s">
        <v>152</v>
      </c>
      <c r="B26" s="144">
        <v>107600</v>
      </c>
      <c r="C26" s="145"/>
      <c r="E26" s="63" t="s">
        <v>89</v>
      </c>
      <c r="F26" s="60" t="s">
        <v>44</v>
      </c>
      <c r="G26" s="47">
        <v>1</v>
      </c>
      <c r="H26" s="133">
        <f>IF(B$17=0,0,G26/B$17)</f>
        <v>3.3670033670033669E-3</v>
      </c>
      <c r="I26" s="94">
        <v>2</v>
      </c>
      <c r="K26" s="38">
        <v>24</v>
      </c>
      <c r="L26" s="99">
        <v>240.39999999999998</v>
      </c>
    </row>
    <row r="27" spans="1:17" x14ac:dyDescent="0.4">
      <c r="A27" s="57" t="s">
        <v>143</v>
      </c>
      <c r="B27" s="65">
        <v>5</v>
      </c>
      <c r="C27" s="42">
        <f>IF(B$3=0,0,B27/B$3)</f>
        <v>4.549590536851683E-3</v>
      </c>
      <c r="E27" s="63" t="s">
        <v>90</v>
      </c>
      <c r="F27" s="60" t="s">
        <v>45</v>
      </c>
      <c r="G27" s="47">
        <v>32</v>
      </c>
      <c r="H27" s="133">
        <f>IF(B$17=0,0,G27/B$17)</f>
        <v>0.10774410774410774</v>
      </c>
      <c r="I27" s="94">
        <v>10</v>
      </c>
      <c r="K27" s="38">
        <v>25</v>
      </c>
      <c r="L27" s="99">
        <v>245.59999999999997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237.69999999999996</v>
      </c>
    </row>
    <row r="29" spans="1:17" x14ac:dyDescent="0.4">
      <c r="E29" s="63" t="s">
        <v>92</v>
      </c>
      <c r="F29" s="60" t="s">
        <v>47</v>
      </c>
      <c r="G29" s="47">
        <v>6</v>
      </c>
      <c r="H29" s="133">
        <f>IF(B$17=0,0,G29/B$17)</f>
        <v>2.0202020202020204E-2</v>
      </c>
      <c r="I29" s="94">
        <v>5</v>
      </c>
      <c r="K29" s="38">
        <v>27</v>
      </c>
      <c r="L29" s="99">
        <v>236.69999999999996</v>
      </c>
    </row>
    <row r="30" spans="1:17" x14ac:dyDescent="0.4">
      <c r="E30" s="63" t="s">
        <v>93</v>
      </c>
      <c r="F30" s="60" t="s">
        <v>48</v>
      </c>
      <c r="G30" s="47">
        <v>1</v>
      </c>
      <c r="H30" s="133">
        <f>IF(B$17=0,0,G30/B$17)</f>
        <v>3.3670033670033669E-3</v>
      </c>
      <c r="I30" s="94">
        <v>6</v>
      </c>
      <c r="K30" s="38">
        <v>28</v>
      </c>
      <c r="L30" s="99">
        <v>191.39999999999998</v>
      </c>
    </row>
    <row r="31" spans="1:17" x14ac:dyDescent="0.4">
      <c r="E31" s="63" t="s">
        <v>94</v>
      </c>
      <c r="F31" s="60" t="s">
        <v>49</v>
      </c>
      <c r="G31" s="47">
        <v>1</v>
      </c>
      <c r="H31" s="133">
        <f>IF(B$17=0,0,G31/B$17)</f>
        <v>3.3670033670033669E-3</v>
      </c>
      <c r="I31" s="94">
        <v>6</v>
      </c>
      <c r="K31" s="38">
        <v>29</v>
      </c>
      <c r="L31" s="99">
        <v>182.49999999999997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178.99999999999997</v>
      </c>
    </row>
    <row r="33" spans="5:12" x14ac:dyDescent="0.4">
      <c r="E33" s="63" t="s">
        <v>96</v>
      </c>
      <c r="F33" s="60" t="s">
        <v>51</v>
      </c>
      <c r="G33" s="47">
        <v>1</v>
      </c>
      <c r="H33" s="133">
        <f>IF(B$17=0,0,G33/B$17)</f>
        <v>3.3670033670033669E-3</v>
      </c>
      <c r="I33" s="94">
        <v>1</v>
      </c>
      <c r="K33" s="38">
        <v>31</v>
      </c>
      <c r="L33" s="99">
        <v>186.99999999999997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241.49999999999997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230.89999999999998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235.49999999999997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232.99999999999997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176.99999999999997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189.39999999999998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129.09999999999997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127.59999999999997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174.99999999999997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248.59999999999997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214.99999999999997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230.09999999999997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169.19999999999996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111.49999999999996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55.999999999999957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-3.9000000000000412</v>
      </c>
    </row>
    <row r="50" spans="5:12" x14ac:dyDescent="0.4">
      <c r="E50" s="63" t="s">
        <v>180</v>
      </c>
      <c r="F50" s="60" t="s">
        <v>181</v>
      </c>
      <c r="G50" s="47">
        <v>5</v>
      </c>
      <c r="H50" s="133">
        <f>IF(B$17=0,0,G50/B$17)</f>
        <v>1.6835016835016835E-2</v>
      </c>
      <c r="I50" s="94">
        <v>4</v>
      </c>
      <c r="K50" s="38">
        <v>48</v>
      </c>
      <c r="L50" s="99">
        <v>50.599999999999959</v>
      </c>
    </row>
    <row r="51" spans="5:12" x14ac:dyDescent="0.4">
      <c r="E51" s="136" t="s">
        <v>245</v>
      </c>
      <c r="F51" s="137" t="s">
        <v>246</v>
      </c>
      <c r="G51" s="48">
        <v>126</v>
      </c>
      <c r="H51" s="138">
        <f>IF(B$17=0,0,G51/B$17)</f>
        <v>0.42424242424242425</v>
      </c>
      <c r="I51" s="139">
        <v>5</v>
      </c>
      <c r="K51" s="38">
        <v>49</v>
      </c>
      <c r="L51" s="99">
        <v>-4.8000000000000398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-0.70000000000004015</v>
      </c>
    </row>
    <row r="53" spans="5:12" x14ac:dyDescent="0.4">
      <c r="K53" s="38">
        <v>51</v>
      </c>
      <c r="L53" s="99">
        <v>-29.30000000000004</v>
      </c>
    </row>
    <row r="54" spans="5:12" x14ac:dyDescent="0.4">
      <c r="K54" s="38">
        <v>52</v>
      </c>
      <c r="L54" s="99">
        <v>-55.600000000000037</v>
      </c>
    </row>
    <row r="55" spans="5:12" x14ac:dyDescent="0.4">
      <c r="K55" s="38">
        <v>53</v>
      </c>
      <c r="L55" s="99">
        <v>-95.100000000000037</v>
      </c>
    </row>
    <row r="56" spans="5:12" x14ac:dyDescent="0.4">
      <c r="K56" s="38">
        <v>54</v>
      </c>
      <c r="L56" s="99">
        <v>-91.000000000000043</v>
      </c>
    </row>
    <row r="57" spans="5:12" x14ac:dyDescent="0.4">
      <c r="K57" s="38">
        <v>55</v>
      </c>
      <c r="L57" s="99">
        <v>-12.000000000000043</v>
      </c>
    </row>
    <row r="58" spans="5:12" x14ac:dyDescent="0.4">
      <c r="K58" s="38">
        <v>56</v>
      </c>
      <c r="L58" s="99">
        <v>-46.000000000000043</v>
      </c>
    </row>
    <row r="59" spans="5:12" x14ac:dyDescent="0.4">
      <c r="K59" s="38">
        <v>57</v>
      </c>
      <c r="L59" s="99">
        <v>-59.000000000000043</v>
      </c>
    </row>
    <row r="60" spans="5:12" x14ac:dyDescent="0.4">
      <c r="K60" s="38">
        <v>58</v>
      </c>
      <c r="L60" s="99">
        <v>-62.100000000000044</v>
      </c>
    </row>
    <row r="61" spans="5:12" x14ac:dyDescent="0.4">
      <c r="K61" s="38">
        <v>59</v>
      </c>
      <c r="L61" s="99">
        <v>-56.700000000000045</v>
      </c>
    </row>
    <row r="62" spans="5:12" x14ac:dyDescent="0.4">
      <c r="K62" s="38">
        <v>60</v>
      </c>
      <c r="L62" s="99">
        <v>-117.90000000000005</v>
      </c>
    </row>
    <row r="63" spans="5:12" x14ac:dyDescent="0.4">
      <c r="K63" s="38">
        <v>61</v>
      </c>
      <c r="L63" s="99">
        <v>-89.600000000000051</v>
      </c>
    </row>
    <row r="64" spans="5:12" x14ac:dyDescent="0.4">
      <c r="K64" s="38">
        <v>62</v>
      </c>
      <c r="L64" s="99">
        <v>-97.200000000000045</v>
      </c>
    </row>
    <row r="65" spans="11:12" x14ac:dyDescent="0.4">
      <c r="K65" s="38">
        <v>63</v>
      </c>
      <c r="L65" s="99">
        <v>-144.20000000000005</v>
      </c>
    </row>
    <row r="66" spans="11:12" x14ac:dyDescent="0.4">
      <c r="K66" s="38">
        <v>64</v>
      </c>
      <c r="L66" s="99">
        <v>-141.30000000000004</v>
      </c>
    </row>
    <row r="67" spans="11:12" x14ac:dyDescent="0.4">
      <c r="K67" s="38">
        <v>65</v>
      </c>
      <c r="L67" s="99">
        <v>-111.00000000000004</v>
      </c>
    </row>
    <row r="68" spans="11:12" x14ac:dyDescent="0.4">
      <c r="K68" s="38">
        <v>66</v>
      </c>
      <c r="L68" s="99">
        <v>-116.50000000000004</v>
      </c>
    </row>
    <row r="69" spans="11:12" x14ac:dyDescent="0.4">
      <c r="K69" s="38">
        <v>67</v>
      </c>
      <c r="L69" s="99">
        <v>-149.40000000000003</v>
      </c>
    </row>
    <row r="70" spans="11:12" x14ac:dyDescent="0.4">
      <c r="K70" s="38">
        <v>68</v>
      </c>
      <c r="L70" s="99">
        <v>-104.30000000000004</v>
      </c>
    </row>
    <row r="71" spans="11:12" x14ac:dyDescent="0.4">
      <c r="K71" s="38">
        <v>69</v>
      </c>
      <c r="L71" s="99">
        <v>-58.900000000000041</v>
      </c>
    </row>
    <row r="72" spans="11:12" x14ac:dyDescent="0.4">
      <c r="K72" s="38">
        <v>70</v>
      </c>
      <c r="L72" s="99">
        <v>-117.60000000000005</v>
      </c>
    </row>
    <row r="73" spans="11:12" x14ac:dyDescent="0.4">
      <c r="K73" s="38">
        <v>71</v>
      </c>
      <c r="L73" s="99">
        <v>-110.90000000000005</v>
      </c>
    </row>
    <row r="74" spans="11:12" x14ac:dyDescent="0.4">
      <c r="K74" s="38">
        <v>72</v>
      </c>
      <c r="L74" s="99">
        <v>-104.80000000000005</v>
      </c>
    </row>
    <row r="75" spans="11:12" x14ac:dyDescent="0.4">
      <c r="K75" s="38">
        <v>73</v>
      </c>
      <c r="L75" s="99">
        <v>-157.60000000000005</v>
      </c>
    </row>
    <row r="76" spans="11:12" x14ac:dyDescent="0.4">
      <c r="K76" s="38">
        <v>74</v>
      </c>
      <c r="L76" s="99">
        <v>-75.300000000000054</v>
      </c>
    </row>
    <row r="77" spans="11:12" x14ac:dyDescent="0.4">
      <c r="K77" s="38">
        <v>75</v>
      </c>
      <c r="L77" s="99">
        <v>-52.900000000000055</v>
      </c>
    </row>
    <row r="78" spans="11:12" x14ac:dyDescent="0.4">
      <c r="K78" s="38">
        <v>76</v>
      </c>
      <c r="L78" s="99">
        <v>-77.500000000000057</v>
      </c>
    </row>
    <row r="79" spans="11:12" x14ac:dyDescent="0.4">
      <c r="K79" s="38">
        <v>77</v>
      </c>
      <c r="L79" s="99">
        <v>-82.800000000000054</v>
      </c>
    </row>
    <row r="80" spans="11:12" x14ac:dyDescent="0.4">
      <c r="K80" s="38">
        <v>78</v>
      </c>
      <c r="L80" s="99">
        <v>-95.400000000000048</v>
      </c>
    </row>
    <row r="81" spans="11:12" x14ac:dyDescent="0.4">
      <c r="K81" s="38">
        <v>79</v>
      </c>
      <c r="L81" s="99">
        <v>-29.200000000000045</v>
      </c>
    </row>
    <row r="82" spans="11:12" x14ac:dyDescent="0.4">
      <c r="K82" s="38">
        <v>80</v>
      </c>
      <c r="L82" s="99">
        <v>-64.80000000000004</v>
      </c>
    </row>
    <row r="83" spans="11:12" x14ac:dyDescent="0.4">
      <c r="K83" s="38">
        <v>81</v>
      </c>
      <c r="L83" s="99">
        <v>-101.60000000000004</v>
      </c>
    </row>
    <row r="84" spans="11:12" x14ac:dyDescent="0.4">
      <c r="K84" s="38">
        <v>82</v>
      </c>
      <c r="L84" s="99">
        <v>-91.600000000000037</v>
      </c>
    </row>
    <row r="85" spans="11:12" x14ac:dyDescent="0.4">
      <c r="K85" s="38">
        <v>83</v>
      </c>
      <c r="L85" s="99">
        <v>-49.100000000000037</v>
      </c>
    </row>
    <row r="86" spans="11:12" x14ac:dyDescent="0.4">
      <c r="K86" s="38">
        <v>84</v>
      </c>
      <c r="L86" s="99">
        <v>-56.100000000000037</v>
      </c>
    </row>
    <row r="87" spans="11:12" x14ac:dyDescent="0.4">
      <c r="K87" s="38">
        <v>85</v>
      </c>
      <c r="L87" s="99">
        <v>-90.30000000000004</v>
      </c>
    </row>
    <row r="88" spans="11:12" x14ac:dyDescent="0.4">
      <c r="K88" s="38">
        <v>86</v>
      </c>
      <c r="L88" s="99">
        <v>-148.80000000000004</v>
      </c>
    </row>
    <row r="89" spans="11:12" x14ac:dyDescent="0.4">
      <c r="K89" s="38">
        <v>87</v>
      </c>
      <c r="L89" s="99">
        <v>-226.80000000000004</v>
      </c>
    </row>
    <row r="90" spans="11:12" x14ac:dyDescent="0.4">
      <c r="K90" s="38">
        <v>88</v>
      </c>
      <c r="L90" s="99">
        <v>-218.00000000000003</v>
      </c>
    </row>
    <row r="91" spans="11:12" x14ac:dyDescent="0.4">
      <c r="K91" s="38">
        <v>89</v>
      </c>
      <c r="L91" s="99">
        <v>-208.40000000000003</v>
      </c>
    </row>
    <row r="92" spans="11:12" x14ac:dyDescent="0.4">
      <c r="K92" s="38">
        <v>90</v>
      </c>
      <c r="L92" s="99">
        <v>-273.5</v>
      </c>
    </row>
    <row r="93" spans="11:12" x14ac:dyDescent="0.4">
      <c r="K93" s="38">
        <v>91</v>
      </c>
      <c r="L93" s="99">
        <v>-241.9</v>
      </c>
    </row>
    <row r="94" spans="11:12" x14ac:dyDescent="0.4">
      <c r="K94" s="38">
        <v>92</v>
      </c>
      <c r="L94" s="99">
        <v>-273.60000000000002</v>
      </c>
    </row>
    <row r="95" spans="11:12" x14ac:dyDescent="0.4">
      <c r="K95" s="38">
        <v>93</v>
      </c>
      <c r="L95" s="99">
        <v>-210.50000000000003</v>
      </c>
    </row>
    <row r="96" spans="11:12" x14ac:dyDescent="0.4">
      <c r="K96" s="38">
        <v>94</v>
      </c>
      <c r="L96" s="99">
        <v>-221.00000000000003</v>
      </c>
    </row>
    <row r="97" spans="11:12" x14ac:dyDescent="0.4">
      <c r="K97" s="38">
        <v>95</v>
      </c>
      <c r="L97" s="99">
        <v>-254.3</v>
      </c>
    </row>
    <row r="98" spans="11:12" x14ac:dyDescent="0.4">
      <c r="K98" s="38">
        <v>96</v>
      </c>
      <c r="L98" s="99">
        <v>-293.90000000000003</v>
      </c>
    </row>
    <row r="99" spans="11:12" x14ac:dyDescent="0.4">
      <c r="K99" s="38">
        <v>97</v>
      </c>
      <c r="L99" s="99">
        <v>-323.70000000000005</v>
      </c>
    </row>
    <row r="100" spans="11:12" x14ac:dyDescent="0.4">
      <c r="K100" s="38">
        <v>98</v>
      </c>
      <c r="L100" s="99">
        <v>-382.90000000000003</v>
      </c>
    </row>
    <row r="101" spans="11:12" x14ac:dyDescent="0.4">
      <c r="K101" s="38">
        <v>99</v>
      </c>
      <c r="L101" s="99">
        <v>-347.50000000000006</v>
      </c>
    </row>
    <row r="102" spans="11:12" x14ac:dyDescent="0.4">
      <c r="K102" s="38">
        <v>100</v>
      </c>
      <c r="L102" s="99">
        <v>-405.00000000000006</v>
      </c>
    </row>
    <row r="103" spans="11:12" x14ac:dyDescent="0.4">
      <c r="K103" s="38">
        <v>101</v>
      </c>
      <c r="L103" s="99">
        <v>-377.80000000000007</v>
      </c>
    </row>
    <row r="104" spans="11:12" x14ac:dyDescent="0.4">
      <c r="K104" s="38">
        <v>102</v>
      </c>
      <c r="L104" s="99">
        <v>-414.00000000000006</v>
      </c>
    </row>
    <row r="105" spans="11:12" x14ac:dyDescent="0.4">
      <c r="K105" s="38">
        <v>103</v>
      </c>
      <c r="L105" s="99">
        <v>-428.50000000000006</v>
      </c>
    </row>
    <row r="106" spans="11:12" x14ac:dyDescent="0.4">
      <c r="K106" s="38">
        <v>104</v>
      </c>
      <c r="L106" s="99">
        <v>-438.90000000000003</v>
      </c>
    </row>
    <row r="107" spans="11:12" x14ac:dyDescent="0.4">
      <c r="K107" s="38">
        <v>105</v>
      </c>
      <c r="L107" s="99">
        <v>-363.70000000000005</v>
      </c>
    </row>
    <row r="108" spans="11:12" x14ac:dyDescent="0.4">
      <c r="K108" s="38">
        <v>106</v>
      </c>
      <c r="L108" s="99">
        <v>-394.30000000000007</v>
      </c>
    </row>
    <row r="109" spans="11:12" x14ac:dyDescent="0.4">
      <c r="K109" s="38">
        <v>107</v>
      </c>
      <c r="L109" s="99">
        <v>-349.50000000000006</v>
      </c>
    </row>
    <row r="110" spans="11:12" x14ac:dyDescent="0.4">
      <c r="K110" s="38">
        <v>108</v>
      </c>
      <c r="L110" s="99">
        <v>-287.00000000000006</v>
      </c>
    </row>
    <row r="111" spans="11:12" x14ac:dyDescent="0.4">
      <c r="K111" s="38">
        <v>109</v>
      </c>
      <c r="L111" s="99">
        <v>-324.70000000000005</v>
      </c>
    </row>
    <row r="112" spans="11:12" x14ac:dyDescent="0.4">
      <c r="K112" s="38">
        <v>110</v>
      </c>
      <c r="L112" s="99">
        <v>-304.20000000000005</v>
      </c>
    </row>
    <row r="113" spans="11:12" x14ac:dyDescent="0.4">
      <c r="K113" s="38">
        <v>111</v>
      </c>
      <c r="L113" s="99">
        <v>-296.80000000000007</v>
      </c>
    </row>
    <row r="114" spans="11:12" x14ac:dyDescent="0.4">
      <c r="K114" s="38">
        <v>112</v>
      </c>
      <c r="L114" s="99">
        <v>-307.60000000000008</v>
      </c>
    </row>
    <row r="115" spans="11:12" x14ac:dyDescent="0.4">
      <c r="K115" s="38">
        <v>113</v>
      </c>
      <c r="L115" s="99">
        <v>-323.7000000000001</v>
      </c>
    </row>
    <row r="116" spans="11:12" x14ac:dyDescent="0.4">
      <c r="K116" s="38">
        <v>114</v>
      </c>
      <c r="L116" s="99">
        <v>-248.90000000000009</v>
      </c>
    </row>
    <row r="117" spans="11:12" x14ac:dyDescent="0.4">
      <c r="K117" s="38">
        <v>115</v>
      </c>
      <c r="L117" s="99">
        <v>-327.60000000000008</v>
      </c>
    </row>
    <row r="118" spans="11:12" x14ac:dyDescent="0.4">
      <c r="K118" s="38">
        <v>116</v>
      </c>
      <c r="L118" s="99">
        <v>-316.00000000000006</v>
      </c>
    </row>
    <row r="119" spans="11:12" x14ac:dyDescent="0.4">
      <c r="K119" s="38">
        <v>117</v>
      </c>
      <c r="L119" s="99">
        <v>-313.40000000000003</v>
      </c>
    </row>
    <row r="120" spans="11:12" x14ac:dyDescent="0.4">
      <c r="K120" s="38">
        <v>118</v>
      </c>
      <c r="L120" s="99">
        <v>-324.50000000000006</v>
      </c>
    </row>
    <row r="121" spans="11:12" x14ac:dyDescent="0.4">
      <c r="K121" s="38">
        <v>119</v>
      </c>
      <c r="L121" s="99">
        <v>-346.70000000000005</v>
      </c>
    </row>
    <row r="122" spans="11:12" x14ac:dyDescent="0.4">
      <c r="K122" s="38">
        <v>120</v>
      </c>
      <c r="L122" s="99">
        <v>-371.00000000000006</v>
      </c>
    </row>
    <row r="123" spans="11:12" x14ac:dyDescent="0.4">
      <c r="K123" s="38">
        <v>121</v>
      </c>
      <c r="L123" s="99">
        <v>-422.10000000000008</v>
      </c>
    </row>
    <row r="124" spans="11:12" x14ac:dyDescent="0.4">
      <c r="K124" s="38">
        <v>122</v>
      </c>
      <c r="L124" s="99">
        <v>-478.00000000000006</v>
      </c>
    </row>
    <row r="125" spans="11:12" x14ac:dyDescent="0.4">
      <c r="K125" s="38">
        <v>123</v>
      </c>
      <c r="L125" s="99">
        <v>-426.70000000000005</v>
      </c>
    </row>
    <row r="126" spans="11:12" x14ac:dyDescent="0.4">
      <c r="K126" s="38">
        <v>124</v>
      </c>
      <c r="L126" s="99">
        <v>-484.40000000000003</v>
      </c>
    </row>
    <row r="127" spans="11:12" x14ac:dyDescent="0.4">
      <c r="K127" s="38">
        <v>125</v>
      </c>
      <c r="L127" s="99">
        <v>-449.70000000000005</v>
      </c>
    </row>
    <row r="128" spans="11:12" x14ac:dyDescent="0.4">
      <c r="K128" s="38">
        <v>126</v>
      </c>
      <c r="L128" s="99">
        <v>-438.1</v>
      </c>
    </row>
    <row r="129" spans="11:12" x14ac:dyDescent="0.4">
      <c r="K129" s="38">
        <v>127</v>
      </c>
      <c r="L129" s="99">
        <v>-345.5</v>
      </c>
    </row>
    <row r="130" spans="11:12" x14ac:dyDescent="0.4">
      <c r="K130" s="38">
        <v>128</v>
      </c>
      <c r="L130" s="99">
        <v>-355.2</v>
      </c>
    </row>
    <row r="131" spans="11:12" x14ac:dyDescent="0.4">
      <c r="K131" s="38">
        <v>129</v>
      </c>
      <c r="L131" s="99">
        <v>-310.2</v>
      </c>
    </row>
    <row r="132" spans="11:12" x14ac:dyDescent="0.4">
      <c r="K132" s="38">
        <v>130</v>
      </c>
      <c r="L132" s="99">
        <v>-321</v>
      </c>
    </row>
    <row r="133" spans="11:12" x14ac:dyDescent="0.4">
      <c r="K133" s="38">
        <v>131</v>
      </c>
      <c r="L133" s="99">
        <v>-323.3</v>
      </c>
    </row>
    <row r="134" spans="11:12" x14ac:dyDescent="0.4">
      <c r="K134" s="38">
        <v>132</v>
      </c>
      <c r="L134" s="99">
        <v>-347.8</v>
      </c>
    </row>
    <row r="135" spans="11:12" x14ac:dyDescent="0.4">
      <c r="K135" s="38">
        <v>133</v>
      </c>
      <c r="L135" s="99">
        <v>-403.7</v>
      </c>
    </row>
    <row r="136" spans="11:12" x14ac:dyDescent="0.4">
      <c r="K136" s="38">
        <v>134</v>
      </c>
      <c r="L136" s="99">
        <v>-341.2</v>
      </c>
    </row>
  </sheetData>
  <sortState ref="E2:I136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570E99-6F5D-424E-B072-5E5E98A923FB}">
  <sheetPr codeName="Sheet11"/>
  <dimension ref="A1:Q105"/>
  <sheetViews>
    <sheetView showGridLines="0" zoomScale="99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129</v>
      </c>
      <c r="C1" s="151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2">
        <v>103</v>
      </c>
      <c r="C2" s="153"/>
      <c r="E2" s="62" t="s">
        <v>67</v>
      </c>
      <c r="F2" s="59" t="s">
        <v>23</v>
      </c>
      <c r="G2" s="46">
        <v>187</v>
      </c>
      <c r="H2" s="132">
        <f>IF(B$17=0,0,G2/B$17)</f>
        <v>0.83856502242152464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-2438.8349514563106</v>
      </c>
      <c r="P2" s="118">
        <v>103</v>
      </c>
      <c r="Q2" s="102">
        <v>-251200</v>
      </c>
    </row>
    <row r="3" spans="1:17" x14ac:dyDescent="0.4">
      <c r="A3" s="55" t="s">
        <v>8</v>
      </c>
      <c r="B3" s="154">
        <v>872</v>
      </c>
      <c r="C3" s="155"/>
      <c r="E3" s="63" t="s">
        <v>65</v>
      </c>
      <c r="F3" s="60" t="s">
        <v>21</v>
      </c>
      <c r="G3" s="47">
        <v>122</v>
      </c>
      <c r="H3" s="133">
        <f>IF(B$17=0,0,G3/B$17)</f>
        <v>0.547085201793722</v>
      </c>
      <c r="I3" s="94">
        <v>4</v>
      </c>
      <c r="K3" s="38">
        <v>1</v>
      </c>
      <c r="L3" s="99">
        <v>-40.4</v>
      </c>
      <c r="N3" s="115" t="s">
        <v>133</v>
      </c>
      <c r="O3" s="122">
        <f t="shared" si="0"/>
        <v>-1447.5247524752476</v>
      </c>
      <c r="P3" s="119">
        <v>101</v>
      </c>
      <c r="Q3" s="103">
        <v>-146200</v>
      </c>
    </row>
    <row r="4" spans="1:17" x14ac:dyDescent="0.4">
      <c r="A4" s="55" t="s">
        <v>6</v>
      </c>
      <c r="B4" s="156">
        <v>-1144.9000000000001</v>
      </c>
      <c r="C4" s="157"/>
      <c r="E4" s="63" t="s">
        <v>73</v>
      </c>
      <c r="F4" s="60" t="s">
        <v>28</v>
      </c>
      <c r="G4" s="47">
        <v>89</v>
      </c>
      <c r="H4" s="133">
        <f>IF(B$17=0,0,G4/B$17)</f>
        <v>0.3991031390134529</v>
      </c>
      <c r="I4" s="94">
        <v>13</v>
      </c>
      <c r="K4" s="38">
        <v>2</v>
      </c>
      <c r="L4" s="99">
        <v>-3.3999999999999986</v>
      </c>
      <c r="N4" s="115" t="s">
        <v>134</v>
      </c>
      <c r="O4" s="122">
        <f t="shared" si="0"/>
        <v>-123.15789473684211</v>
      </c>
      <c r="P4" s="119">
        <v>95</v>
      </c>
      <c r="Q4" s="103">
        <v>-11700</v>
      </c>
    </row>
    <row r="5" spans="1:17" x14ac:dyDescent="0.4">
      <c r="A5" s="55" t="s">
        <v>7</v>
      </c>
      <c r="B5" s="158">
        <f>IF(B$2=0,0,B$4/B$2)</f>
        <v>-11.115533980582525</v>
      </c>
      <c r="C5" s="159"/>
      <c r="E5" s="63" t="s">
        <v>245</v>
      </c>
      <c r="F5" s="60" t="s">
        <v>246</v>
      </c>
      <c r="G5" s="47">
        <v>86</v>
      </c>
      <c r="H5" s="133">
        <f>IF(B$17=0,0,G5/B$17)</f>
        <v>0.38565022421524664</v>
      </c>
      <c r="I5" s="94">
        <v>10</v>
      </c>
      <c r="K5" s="38">
        <v>3</v>
      </c>
      <c r="L5" s="99">
        <v>-23.099999999999998</v>
      </c>
      <c r="N5" s="115" t="s">
        <v>135</v>
      </c>
      <c r="O5" s="122">
        <f t="shared" si="0"/>
        <v>-3688.2352941176468</v>
      </c>
      <c r="P5" s="119">
        <v>85</v>
      </c>
      <c r="Q5" s="103">
        <v>-313500</v>
      </c>
    </row>
    <row r="6" spans="1:17" x14ac:dyDescent="0.4">
      <c r="A6" s="55" t="s">
        <v>1</v>
      </c>
      <c r="B6" s="148">
        <f>IF(B$2=0,0,(B$7*1+B$8*2+B$9*3)/B$2)</f>
        <v>2.174757281553398</v>
      </c>
      <c r="C6" s="149"/>
      <c r="E6" s="63" t="s">
        <v>69</v>
      </c>
      <c r="F6" s="60" t="s">
        <v>12</v>
      </c>
      <c r="G6" s="47">
        <v>82</v>
      </c>
      <c r="H6" s="133">
        <f>IF(B$17=0,0,G6/B$17)</f>
        <v>0.36771300448430494</v>
      </c>
      <c r="I6" s="94">
        <v>4</v>
      </c>
      <c r="K6" s="38">
        <v>4</v>
      </c>
      <c r="L6" s="99">
        <v>-31.4</v>
      </c>
      <c r="N6" s="115" t="s">
        <v>136</v>
      </c>
      <c r="O6" s="122">
        <f t="shared" si="0"/>
        <v>-303.84615384615387</v>
      </c>
      <c r="P6" s="119">
        <v>78</v>
      </c>
      <c r="Q6" s="103">
        <v>-23700</v>
      </c>
    </row>
    <row r="7" spans="1:17" x14ac:dyDescent="0.4">
      <c r="A7" s="55" t="s">
        <v>2</v>
      </c>
      <c r="B7" s="47">
        <v>29</v>
      </c>
      <c r="C7" s="39">
        <f>IF(B$2=0,0,B7/B$2)</f>
        <v>0.28155339805825241</v>
      </c>
      <c r="E7" s="63" t="s">
        <v>68</v>
      </c>
      <c r="F7" s="60" t="s">
        <v>24</v>
      </c>
      <c r="G7" s="47">
        <v>70</v>
      </c>
      <c r="H7" s="133">
        <f>IF(B$17=0,0,G7/B$17)</f>
        <v>0.31390134529147984</v>
      </c>
      <c r="I7" s="94">
        <v>6</v>
      </c>
      <c r="K7" s="38">
        <v>5</v>
      </c>
      <c r="L7" s="99">
        <v>-32.199999999999996</v>
      </c>
      <c r="N7" s="116" t="s">
        <v>137</v>
      </c>
      <c r="O7" s="123">
        <f t="shared" si="0"/>
        <v>-452.85714285714283</v>
      </c>
      <c r="P7" s="120">
        <v>70</v>
      </c>
      <c r="Q7" s="104">
        <v>-31700</v>
      </c>
    </row>
    <row r="8" spans="1:17" x14ac:dyDescent="0.4">
      <c r="A8" s="55" t="s">
        <v>3</v>
      </c>
      <c r="B8" s="47">
        <v>27</v>
      </c>
      <c r="C8" s="39">
        <f>IF(B$2=0,0,B8/B$2)</f>
        <v>0.26213592233009708</v>
      </c>
      <c r="E8" s="63" t="s">
        <v>70</v>
      </c>
      <c r="F8" s="60" t="s">
        <v>25</v>
      </c>
      <c r="G8" s="47">
        <v>42</v>
      </c>
      <c r="H8" s="133">
        <f>IF(B$17=0,0,G8/B$17)</f>
        <v>0.18834080717488788</v>
      </c>
      <c r="I8" s="94">
        <v>5</v>
      </c>
      <c r="K8" s="38">
        <v>6</v>
      </c>
      <c r="L8" s="99">
        <v>-58.5</v>
      </c>
      <c r="N8" s="43"/>
      <c r="O8" s="127"/>
      <c r="P8" s="111"/>
      <c r="Q8" s="109"/>
    </row>
    <row r="9" spans="1:17" x14ac:dyDescent="0.4">
      <c r="A9" s="56" t="s">
        <v>4</v>
      </c>
      <c r="B9" s="48">
        <v>47</v>
      </c>
      <c r="C9" s="40">
        <f t="shared" ref="C9" si="1">IF(B$2=0,0,B9/B$2)</f>
        <v>0.4563106796116505</v>
      </c>
      <c r="E9" s="63" t="s">
        <v>71</v>
      </c>
      <c r="F9" s="60" t="s">
        <v>26</v>
      </c>
      <c r="G9" s="47">
        <v>36</v>
      </c>
      <c r="H9" s="133">
        <f>IF(B$17=0,0,G9/B$17)</f>
        <v>0.16143497757847533</v>
      </c>
      <c r="I9" s="94">
        <v>2</v>
      </c>
      <c r="K9" s="38">
        <v>7</v>
      </c>
      <c r="L9" s="99">
        <v>-116.8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19</v>
      </c>
      <c r="C10" s="40">
        <f>IF(B$2=0,0,B10/B$2)</f>
        <v>0.18446601941747573</v>
      </c>
      <c r="E10" s="63" t="s">
        <v>72</v>
      </c>
      <c r="F10" s="60" t="s">
        <v>27</v>
      </c>
      <c r="G10" s="47">
        <v>24</v>
      </c>
      <c r="H10" s="133">
        <f>IF(B$17=0,0,G10/B$17)</f>
        <v>0.10762331838565023</v>
      </c>
      <c r="I10" s="94">
        <v>3</v>
      </c>
      <c r="K10" s="38">
        <v>8</v>
      </c>
      <c r="L10" s="99">
        <v>-79.599999999999994</v>
      </c>
      <c r="N10" s="114" t="s">
        <v>164</v>
      </c>
      <c r="O10" s="124">
        <f>IF(P10=0,0,Q10/P10)</f>
        <v>-16.003333333333327</v>
      </c>
      <c r="P10" s="118">
        <v>30</v>
      </c>
      <c r="Q10" s="106">
        <v>-480.0999999999998</v>
      </c>
    </row>
    <row r="11" spans="1:17" x14ac:dyDescent="0.4">
      <c r="A11" s="56" t="s">
        <v>140</v>
      </c>
      <c r="B11" s="48">
        <v>10</v>
      </c>
      <c r="C11" s="40">
        <f>IF(B$2=0,0,B11/B$2)</f>
        <v>9.7087378640776698E-2</v>
      </c>
      <c r="E11" s="63" t="s">
        <v>90</v>
      </c>
      <c r="F11" s="60" t="s">
        <v>45</v>
      </c>
      <c r="G11" s="47">
        <v>22</v>
      </c>
      <c r="H11" s="133">
        <f>IF(B$17=0,0,G11/B$17)</f>
        <v>9.8654708520179366E-2</v>
      </c>
      <c r="I11" s="94">
        <v>11</v>
      </c>
      <c r="K11" s="38">
        <v>9</v>
      </c>
      <c r="L11" s="99">
        <v>-127.6</v>
      </c>
      <c r="N11" s="115" t="s">
        <v>165</v>
      </c>
      <c r="O11" s="125">
        <f>IF(P11=0,0,Q11/P11)</f>
        <v>-7.5950000000000042</v>
      </c>
      <c r="P11" s="119">
        <v>40</v>
      </c>
      <c r="Q11" s="107">
        <v>-303.80000000000018</v>
      </c>
    </row>
    <row r="12" spans="1:17" x14ac:dyDescent="0.4">
      <c r="A12" s="57" t="s">
        <v>160</v>
      </c>
      <c r="B12" s="49">
        <v>8</v>
      </c>
      <c r="C12" s="42">
        <f>IF(B$2=0,0,B12/B$2)</f>
        <v>7.7669902912621352E-2</v>
      </c>
      <c r="E12" s="63" t="s">
        <v>66</v>
      </c>
      <c r="F12" s="60" t="s">
        <v>22</v>
      </c>
      <c r="G12" s="47">
        <v>20</v>
      </c>
      <c r="H12" s="133">
        <f>IF(B$17=0,0,G12/B$17)</f>
        <v>8.9686098654708515E-2</v>
      </c>
      <c r="I12" s="94">
        <v>7</v>
      </c>
      <c r="K12" s="38">
        <v>10</v>
      </c>
      <c r="L12" s="99">
        <v>-231.39999999999998</v>
      </c>
      <c r="N12" s="116" t="s">
        <v>166</v>
      </c>
      <c r="O12" s="126">
        <f>IF(P12=0,0,Q12/P12)</f>
        <v>-10.939393939393936</v>
      </c>
      <c r="P12" s="120">
        <v>33</v>
      </c>
      <c r="Q12" s="108">
        <v>-360.99999999999989</v>
      </c>
    </row>
    <row r="13" spans="1:17" x14ac:dyDescent="0.4">
      <c r="A13" s="58" t="s">
        <v>122</v>
      </c>
      <c r="B13" s="50">
        <v>235</v>
      </c>
      <c r="C13" s="44">
        <f>IF(B$3=0,0,B13/B$3)</f>
        <v>0.26949541284403672</v>
      </c>
      <c r="E13" s="63" t="s">
        <v>87</v>
      </c>
      <c r="F13" s="60" t="s">
        <v>42</v>
      </c>
      <c r="G13" s="47">
        <v>12</v>
      </c>
      <c r="H13" s="133">
        <f>IF(B$17=0,0,G13/B$17)</f>
        <v>5.3811659192825115E-2</v>
      </c>
      <c r="I13" s="94">
        <v>6</v>
      </c>
      <c r="K13" s="38">
        <v>11</v>
      </c>
      <c r="L13" s="99">
        <v>-305.89999999999998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153</v>
      </c>
      <c r="C14" s="39">
        <f>IF(B$3=0,0,B14/B$3)</f>
        <v>0.17545871559633028</v>
      </c>
      <c r="E14" s="63" t="s">
        <v>79</v>
      </c>
      <c r="F14" s="60" t="s">
        <v>34</v>
      </c>
      <c r="G14" s="47">
        <v>10</v>
      </c>
      <c r="H14" s="133">
        <f>IF(B$17=0,0,G14/B$17)</f>
        <v>4.4843049327354258E-2</v>
      </c>
      <c r="I14" s="94">
        <v>3</v>
      </c>
      <c r="K14" s="38">
        <v>12</v>
      </c>
      <c r="L14" s="99">
        <v>-337.5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125</v>
      </c>
      <c r="C15" s="37">
        <f>IF(B$13=0,0,B15/B$13)</f>
        <v>0.53191489361702127</v>
      </c>
      <c r="E15" s="63" t="s">
        <v>84</v>
      </c>
      <c r="F15" s="60" t="s">
        <v>39</v>
      </c>
      <c r="G15" s="47">
        <v>8</v>
      </c>
      <c r="H15" s="133">
        <f>IF(B$17=0,0,G15/B$17)</f>
        <v>3.5874439461883408E-2</v>
      </c>
      <c r="I15" s="94">
        <v>8</v>
      </c>
      <c r="K15" s="38">
        <v>13</v>
      </c>
      <c r="L15" s="99">
        <v>-369.1</v>
      </c>
      <c r="N15" s="114" t="s">
        <v>271</v>
      </c>
      <c r="O15" s="124">
        <f>IF(P15=0,0,Q15/P15)</f>
        <v>98.949999999999989</v>
      </c>
      <c r="P15" s="118">
        <v>2</v>
      </c>
      <c r="Q15" s="106">
        <v>197.89999999999998</v>
      </c>
    </row>
    <row r="16" spans="1:17" x14ac:dyDescent="0.4">
      <c r="A16" s="54" t="s">
        <v>125</v>
      </c>
      <c r="B16" s="46">
        <v>43</v>
      </c>
      <c r="C16" s="37">
        <f>IF(B$14=0,0,B16/B$14)</f>
        <v>0.28104575163398693</v>
      </c>
      <c r="E16" s="63" t="s">
        <v>82</v>
      </c>
      <c r="F16" s="60" t="s">
        <v>37</v>
      </c>
      <c r="G16" s="47">
        <v>6</v>
      </c>
      <c r="H16" s="133">
        <f>IF(B$17=0,0,G16/B$17)</f>
        <v>2.6905829596412557E-2</v>
      </c>
      <c r="I16" s="94">
        <v>7</v>
      </c>
      <c r="K16" s="38">
        <v>14</v>
      </c>
      <c r="L16" s="99">
        <v>-394.6</v>
      </c>
      <c r="N16" s="115" t="s">
        <v>223</v>
      </c>
      <c r="O16" s="125">
        <f>IF(P16=0,0,Q16/P16)</f>
        <v>42.5</v>
      </c>
      <c r="P16" s="119">
        <v>4</v>
      </c>
      <c r="Q16" s="107">
        <v>170</v>
      </c>
    </row>
    <row r="17" spans="1:17" x14ac:dyDescent="0.4">
      <c r="A17" s="54" t="s">
        <v>10</v>
      </c>
      <c r="B17" s="46">
        <f>B19+B18</f>
        <v>223</v>
      </c>
      <c r="C17" s="37">
        <f>IF(B$3=0,0,B17/B$3)</f>
        <v>0.25573394495412843</v>
      </c>
      <c r="E17" s="63" t="s">
        <v>78</v>
      </c>
      <c r="F17" s="60" t="s">
        <v>33</v>
      </c>
      <c r="G17" s="47">
        <v>4</v>
      </c>
      <c r="H17" s="133">
        <f>IF(B$17=0,0,G17/B$17)</f>
        <v>1.7937219730941704E-2</v>
      </c>
      <c r="I17" s="94">
        <v>2</v>
      </c>
      <c r="K17" s="38">
        <v>15</v>
      </c>
      <c r="L17" s="99">
        <v>-424.5</v>
      </c>
      <c r="N17" s="115" t="s">
        <v>200</v>
      </c>
      <c r="O17" s="125">
        <f>IF(P17=0,0,Q17/P17)</f>
        <v>19.299999999999997</v>
      </c>
      <c r="P17" s="119">
        <v>2</v>
      </c>
      <c r="Q17" s="107">
        <v>38.599999999999994</v>
      </c>
    </row>
    <row r="18" spans="1:17" x14ac:dyDescent="0.4">
      <c r="A18" s="55" t="s">
        <v>12</v>
      </c>
      <c r="B18" s="47">
        <v>101</v>
      </c>
      <c r="C18" s="39">
        <f>IF(B$17=0,0,B18/B$17)</f>
        <v>0.452914798206278</v>
      </c>
      <c r="E18" s="63" t="s">
        <v>75</v>
      </c>
      <c r="F18" s="60" t="s">
        <v>30</v>
      </c>
      <c r="G18" s="47">
        <v>3</v>
      </c>
      <c r="H18" s="133">
        <f>IF(B$17=0,0,G18/B$17)</f>
        <v>1.3452914798206279E-2</v>
      </c>
      <c r="I18" s="94">
        <v>2</v>
      </c>
      <c r="K18" s="38">
        <v>16</v>
      </c>
      <c r="L18" s="99">
        <v>-472</v>
      </c>
      <c r="N18" s="115" t="s">
        <v>177</v>
      </c>
      <c r="O18" s="125">
        <f>IF(P18=0,0,Q18/P18)</f>
        <v>-2.2999999999999989</v>
      </c>
      <c r="P18" s="119">
        <v>26</v>
      </c>
      <c r="Q18" s="107">
        <v>-59.799999999999969</v>
      </c>
    </row>
    <row r="19" spans="1:17" x14ac:dyDescent="0.4">
      <c r="A19" s="55" t="s">
        <v>11</v>
      </c>
      <c r="B19" s="47">
        <v>122</v>
      </c>
      <c r="C19" s="39">
        <f>IF(B$17=0,0,B19/B$17)</f>
        <v>0.547085201793722</v>
      </c>
      <c r="E19" s="63" t="s">
        <v>92</v>
      </c>
      <c r="F19" s="60" t="s">
        <v>47</v>
      </c>
      <c r="G19" s="47">
        <v>3</v>
      </c>
      <c r="H19" s="133">
        <f>IF(B$17=0,0,G19/B$17)</f>
        <v>1.3452914798206279E-2</v>
      </c>
      <c r="I19" s="94">
        <v>8</v>
      </c>
      <c r="K19" s="38">
        <v>17</v>
      </c>
      <c r="L19" s="99">
        <v>-538.29999999999995</v>
      </c>
      <c r="N19" s="115" t="s">
        <v>128</v>
      </c>
      <c r="O19" s="125">
        <f>IF(P19=0,0,Q19/P19)</f>
        <v>-13.619047619047617</v>
      </c>
      <c r="P19" s="119">
        <v>42</v>
      </c>
      <c r="Q19" s="107">
        <v>-571.99999999999989</v>
      </c>
    </row>
    <row r="20" spans="1:17" x14ac:dyDescent="0.4">
      <c r="A20" s="55" t="s">
        <v>13</v>
      </c>
      <c r="B20" s="47">
        <v>163</v>
      </c>
      <c r="C20" s="39">
        <f>IF(B$3=0,0,B20/B$3)</f>
        <v>0.18692660550458715</v>
      </c>
      <c r="E20" s="63" t="s">
        <v>80</v>
      </c>
      <c r="F20" s="60" t="s">
        <v>35</v>
      </c>
      <c r="G20" s="47">
        <v>2</v>
      </c>
      <c r="H20" s="133">
        <f>IF(B$17=0,0,G20/B$17)</f>
        <v>8.9686098654708519E-3</v>
      </c>
      <c r="I20" s="94">
        <v>11</v>
      </c>
      <c r="K20" s="38">
        <v>18</v>
      </c>
      <c r="L20" s="99">
        <v>-537.19999999999993</v>
      </c>
      <c r="N20" s="115" t="s">
        <v>171</v>
      </c>
      <c r="O20" s="125">
        <f>IF(P20=0,0,Q20/P20)</f>
        <v>-18.865624999999994</v>
      </c>
      <c r="P20" s="119">
        <v>32</v>
      </c>
      <c r="Q20" s="107">
        <v>-603.69999999999982</v>
      </c>
    </row>
    <row r="21" spans="1:17" x14ac:dyDescent="0.4">
      <c r="A21" s="55" t="s">
        <v>191</v>
      </c>
      <c r="B21" s="47">
        <v>4</v>
      </c>
      <c r="C21" s="135">
        <v>1</v>
      </c>
      <c r="E21" s="63" t="s">
        <v>88</v>
      </c>
      <c r="F21" s="60" t="s">
        <v>43</v>
      </c>
      <c r="G21" s="47">
        <v>2</v>
      </c>
      <c r="H21" s="133">
        <f>IF(B$17=0,0,G21/B$17)</f>
        <v>8.9686098654708519E-3</v>
      </c>
      <c r="I21" s="94">
        <v>1</v>
      </c>
      <c r="K21" s="38">
        <v>19</v>
      </c>
      <c r="L21" s="99">
        <v>-569.49999999999989</v>
      </c>
      <c r="N21" s="115" t="s">
        <v>173</v>
      </c>
      <c r="O21" s="125">
        <f>IF(P21=0,0,Q21/P21)</f>
        <v>-21.862499999999997</v>
      </c>
      <c r="P21" s="119">
        <v>8</v>
      </c>
      <c r="Q21" s="107">
        <v>-174.89999999999998</v>
      </c>
    </row>
    <row r="22" spans="1:17" x14ac:dyDescent="0.4">
      <c r="A22" s="55" t="s">
        <v>192</v>
      </c>
      <c r="B22" s="47">
        <v>31</v>
      </c>
      <c r="C22" s="135">
        <v>2</v>
      </c>
      <c r="E22" s="63" t="s">
        <v>94</v>
      </c>
      <c r="F22" s="60" t="s">
        <v>49</v>
      </c>
      <c r="G22" s="47">
        <v>2</v>
      </c>
      <c r="H22" s="133">
        <f>IF(B$17=0,0,G22/B$17)</f>
        <v>8.9686098654708519E-3</v>
      </c>
      <c r="I22" s="94">
        <v>1</v>
      </c>
      <c r="K22" s="38">
        <v>20</v>
      </c>
      <c r="L22" s="99">
        <v>-632.99999999999989</v>
      </c>
      <c r="N22" s="115" t="s">
        <v>184</v>
      </c>
      <c r="O22" s="125">
        <f>IF(P22=0,0,Q22/P22)</f>
        <v>-24.44</v>
      </c>
      <c r="P22" s="119">
        <v>5</v>
      </c>
      <c r="Q22" s="107">
        <v>-122.2</v>
      </c>
    </row>
    <row r="23" spans="1:17" x14ac:dyDescent="0.4">
      <c r="A23" s="55" t="s">
        <v>5</v>
      </c>
      <c r="B23" s="51">
        <f>IF(B$17=0,0,C23/B$17)</f>
        <v>8813.4529147982066</v>
      </c>
      <c r="C23" s="41">
        <v>1965400</v>
      </c>
      <c r="E23" s="63" t="s">
        <v>76</v>
      </c>
      <c r="F23" s="60" t="s">
        <v>31</v>
      </c>
      <c r="G23" s="47">
        <v>1</v>
      </c>
      <c r="H23" s="133">
        <f>IF(B$17=0,0,G23/B$17)</f>
        <v>4.4843049327354259E-3</v>
      </c>
      <c r="I23" s="94">
        <v>6</v>
      </c>
      <c r="K23" s="38">
        <v>21</v>
      </c>
      <c r="L23" s="99">
        <v>-629.49999999999989</v>
      </c>
      <c r="N23" s="115" t="s">
        <v>127</v>
      </c>
      <c r="O23" s="125">
        <f>IF(P23=0,0,Q23/P23)</f>
        <v>-27.119672131147549</v>
      </c>
      <c r="P23" s="119">
        <v>61</v>
      </c>
      <c r="Q23" s="107">
        <v>-1654.3000000000004</v>
      </c>
    </row>
    <row r="24" spans="1:17" x14ac:dyDescent="0.4">
      <c r="A24" s="57" t="s">
        <v>14</v>
      </c>
      <c r="B24" s="52">
        <f>IF(B$20=0,0,C24/B$20)</f>
        <v>-9095.0920245398775</v>
      </c>
      <c r="C24" s="45">
        <v>-1482500</v>
      </c>
      <c r="E24" s="63" t="s">
        <v>85</v>
      </c>
      <c r="F24" s="60" t="s">
        <v>40</v>
      </c>
      <c r="G24" s="47">
        <v>1</v>
      </c>
      <c r="H24" s="133">
        <f>IF(B$17=0,0,G24/B$17)</f>
        <v>4.4843049327354259E-3</v>
      </c>
      <c r="I24" s="94">
        <v>2</v>
      </c>
      <c r="K24" s="38">
        <v>22</v>
      </c>
      <c r="L24" s="99">
        <v>-670.19999999999993</v>
      </c>
      <c r="N24" s="115" t="s">
        <v>172</v>
      </c>
      <c r="O24" s="125">
        <f>IF(P24=0,0,Q24/P24)</f>
        <v>-27.262499999999999</v>
      </c>
      <c r="P24" s="119">
        <v>24</v>
      </c>
      <c r="Q24" s="107">
        <v>-654.29999999999995</v>
      </c>
    </row>
    <row r="25" spans="1:17" x14ac:dyDescent="0.4">
      <c r="A25" s="90" t="s">
        <v>142</v>
      </c>
      <c r="B25" s="146">
        <v>7</v>
      </c>
      <c r="C25" s="147"/>
      <c r="E25" s="63" t="s">
        <v>89</v>
      </c>
      <c r="F25" s="60" t="s">
        <v>44</v>
      </c>
      <c r="G25" s="47">
        <v>1</v>
      </c>
      <c r="H25" s="133">
        <f>IF(B$17=0,0,G25/B$17)</f>
        <v>4.4843049327354259E-3</v>
      </c>
      <c r="I25" s="94">
        <v>1</v>
      </c>
      <c r="K25" s="38">
        <v>23</v>
      </c>
      <c r="L25" s="99">
        <v>-737.19999999999993</v>
      </c>
    </row>
    <row r="26" spans="1:17" x14ac:dyDescent="0.4">
      <c r="A26" s="58" t="s">
        <v>152</v>
      </c>
      <c r="B26" s="144">
        <v>96900</v>
      </c>
      <c r="C26" s="145"/>
      <c r="E26" s="63" t="s">
        <v>93</v>
      </c>
      <c r="F26" s="60" t="s">
        <v>48</v>
      </c>
      <c r="G26" s="47">
        <v>1</v>
      </c>
      <c r="H26" s="133">
        <f>IF(B$17=0,0,G26/B$17)</f>
        <v>4.4843049327354259E-3</v>
      </c>
      <c r="I26" s="94">
        <v>4</v>
      </c>
      <c r="K26" s="38">
        <v>24</v>
      </c>
      <c r="L26" s="99">
        <v>-817.09999999999991</v>
      </c>
    </row>
    <row r="27" spans="1:17" x14ac:dyDescent="0.4">
      <c r="A27" s="57" t="s">
        <v>143</v>
      </c>
      <c r="B27" s="65">
        <v>2</v>
      </c>
      <c r="C27" s="42">
        <f>IF(B$3=0,0,B27/B$3)</f>
        <v>2.2935779816513763E-3</v>
      </c>
      <c r="E27" s="63" t="s">
        <v>74</v>
      </c>
      <c r="F27" s="60" t="s">
        <v>29</v>
      </c>
      <c r="G27" s="47">
        <v>0</v>
      </c>
      <c r="H27" s="133">
        <f>IF(B$17=0,0,G27/B$17)</f>
        <v>0</v>
      </c>
      <c r="I27" s="94">
        <v>8</v>
      </c>
      <c r="K27" s="38">
        <v>25</v>
      </c>
      <c r="L27" s="99">
        <v>-783.69999999999993</v>
      </c>
    </row>
    <row r="28" spans="1:17" x14ac:dyDescent="0.4">
      <c r="E28" s="63" t="s">
        <v>77</v>
      </c>
      <c r="F28" s="60" t="s">
        <v>32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-818.49999999999989</v>
      </c>
    </row>
    <row r="29" spans="1:17" x14ac:dyDescent="0.4">
      <c r="E29" s="63" t="s">
        <v>81</v>
      </c>
      <c r="F29" s="60" t="s">
        <v>36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-876.19999999999993</v>
      </c>
    </row>
    <row r="30" spans="1:17" x14ac:dyDescent="0.4">
      <c r="E30" s="63" t="s">
        <v>83</v>
      </c>
      <c r="F30" s="60" t="s">
        <v>38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-931.09999999999991</v>
      </c>
    </row>
    <row r="31" spans="1:17" x14ac:dyDescent="0.4">
      <c r="E31" s="63" t="s">
        <v>86</v>
      </c>
      <c r="F31" s="60" t="s">
        <v>41</v>
      </c>
      <c r="G31" s="47">
        <v>0</v>
      </c>
      <c r="H31" s="133">
        <f>IF(B$17=0,0,G31/B$17)</f>
        <v>0</v>
      </c>
      <c r="I31" s="94">
        <v>4</v>
      </c>
      <c r="K31" s="38">
        <v>29</v>
      </c>
      <c r="L31" s="99">
        <v>-908.69999999999993</v>
      </c>
    </row>
    <row r="32" spans="1:17" x14ac:dyDescent="0.4">
      <c r="E32" s="63" t="s">
        <v>91</v>
      </c>
      <c r="F32" s="60" t="s">
        <v>46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-826.8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-835.69999999999993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-838.69999999999993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-878.19999999999993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3</v>
      </c>
      <c r="K36" s="38">
        <v>34</v>
      </c>
      <c r="L36" s="99">
        <v>-833.19999999999993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-815.59999999999991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-783.49999999999989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-826.89999999999986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  <c r="K40" s="38">
        <v>38</v>
      </c>
      <c r="L40" s="99">
        <v>-829.99999999999989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-786.29999999999984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-820.5999999999998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-859.49999999999977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-828.89999999999975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-787.1999999999997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-744.79999999999973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-784.89999999999975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-738.89999999999975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-740.99999999999977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-699.39999999999975</v>
      </c>
    </row>
    <row r="51" spans="5:12" x14ac:dyDescent="0.4">
      <c r="E51" s="136" t="s">
        <v>180</v>
      </c>
      <c r="F51" s="137" t="s">
        <v>181</v>
      </c>
      <c r="G51" s="48">
        <v>0</v>
      </c>
      <c r="H51" s="138">
        <f>IF(B$17=0,0,G51/B$17)</f>
        <v>0</v>
      </c>
      <c r="I51" s="139">
        <v>7</v>
      </c>
      <c r="K51" s="38">
        <v>49</v>
      </c>
      <c r="L51" s="99">
        <v>-715.0999999999998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-774.29999999999984</v>
      </c>
    </row>
    <row r="53" spans="5:12" x14ac:dyDescent="0.4">
      <c r="K53" s="38">
        <v>51</v>
      </c>
      <c r="L53" s="99">
        <v>-830.79999999999984</v>
      </c>
    </row>
    <row r="54" spans="5:12" x14ac:dyDescent="0.4">
      <c r="K54" s="38">
        <v>52</v>
      </c>
      <c r="L54" s="99">
        <v>-837.5999999999998</v>
      </c>
    </row>
    <row r="55" spans="5:12" x14ac:dyDescent="0.4">
      <c r="K55" s="38">
        <v>53</v>
      </c>
      <c r="L55" s="99">
        <v>-843.69999999999982</v>
      </c>
    </row>
    <row r="56" spans="5:12" x14ac:dyDescent="0.4">
      <c r="K56" s="38">
        <v>54</v>
      </c>
      <c r="L56" s="99">
        <v>-902.89999999999986</v>
      </c>
    </row>
    <row r="57" spans="5:12" x14ac:dyDescent="0.4">
      <c r="K57" s="38">
        <v>55</v>
      </c>
      <c r="L57" s="99">
        <v>-835.19999999999982</v>
      </c>
    </row>
    <row r="58" spans="5:12" x14ac:dyDescent="0.4">
      <c r="K58" s="38">
        <v>56</v>
      </c>
      <c r="L58" s="99">
        <v>-865.69999999999982</v>
      </c>
    </row>
    <row r="59" spans="5:12" x14ac:dyDescent="0.4">
      <c r="K59" s="38">
        <v>57</v>
      </c>
      <c r="L59" s="99">
        <v>-858.49999999999977</v>
      </c>
    </row>
    <row r="60" spans="5:12" x14ac:dyDescent="0.4">
      <c r="K60" s="38">
        <v>58</v>
      </c>
      <c r="L60" s="99">
        <v>-877.29999999999973</v>
      </c>
    </row>
    <row r="61" spans="5:12" x14ac:dyDescent="0.4">
      <c r="K61" s="38">
        <v>59</v>
      </c>
      <c r="L61" s="99">
        <v>-940.6999999999997</v>
      </c>
    </row>
    <row r="62" spans="5:12" x14ac:dyDescent="0.4">
      <c r="K62" s="38">
        <v>60</v>
      </c>
      <c r="L62" s="99">
        <v>-960.99999999999966</v>
      </c>
    </row>
    <row r="63" spans="5:12" x14ac:dyDescent="0.4">
      <c r="K63" s="38">
        <v>61</v>
      </c>
      <c r="L63" s="99">
        <v>-924.1999999999997</v>
      </c>
    </row>
    <row r="64" spans="5:12" x14ac:dyDescent="0.4">
      <c r="K64" s="38">
        <v>62</v>
      </c>
      <c r="L64" s="99">
        <v>-970.09999999999968</v>
      </c>
    </row>
    <row r="65" spans="11:12" x14ac:dyDescent="0.4">
      <c r="K65" s="38">
        <v>63</v>
      </c>
      <c r="L65" s="99">
        <v>-1013.0999999999997</v>
      </c>
    </row>
    <row r="66" spans="11:12" x14ac:dyDescent="0.4">
      <c r="K66" s="38">
        <v>64</v>
      </c>
      <c r="L66" s="99">
        <v>-1056.0999999999997</v>
      </c>
    </row>
    <row r="67" spans="11:12" x14ac:dyDescent="0.4">
      <c r="K67" s="38">
        <v>65</v>
      </c>
      <c r="L67" s="99">
        <v>-1083.0999999999997</v>
      </c>
    </row>
    <row r="68" spans="11:12" x14ac:dyDescent="0.4">
      <c r="K68" s="38">
        <v>66</v>
      </c>
      <c r="L68" s="99">
        <v>-1122.9999999999998</v>
      </c>
    </row>
    <row r="69" spans="11:12" x14ac:dyDescent="0.4">
      <c r="K69" s="38">
        <v>67</v>
      </c>
      <c r="L69" s="99">
        <v>-1123.7999999999997</v>
      </c>
    </row>
    <row r="70" spans="11:12" x14ac:dyDescent="0.4">
      <c r="K70" s="38">
        <v>68</v>
      </c>
      <c r="L70" s="99">
        <v>-1066.5999999999997</v>
      </c>
    </row>
    <row r="71" spans="11:12" x14ac:dyDescent="0.4">
      <c r="K71" s="38">
        <v>69</v>
      </c>
      <c r="L71" s="99">
        <v>-1115.2999999999997</v>
      </c>
    </row>
    <row r="72" spans="11:12" x14ac:dyDescent="0.4">
      <c r="K72" s="38">
        <v>70</v>
      </c>
      <c r="L72" s="99">
        <v>-1170.9999999999998</v>
      </c>
    </row>
    <row r="73" spans="11:12" x14ac:dyDescent="0.4">
      <c r="K73" s="38">
        <v>71</v>
      </c>
      <c r="L73" s="99">
        <v>-1130.3999999999999</v>
      </c>
    </row>
    <row r="74" spans="11:12" x14ac:dyDescent="0.4">
      <c r="K74" s="38">
        <v>72</v>
      </c>
      <c r="L74" s="99">
        <v>-1129.6999999999998</v>
      </c>
    </row>
    <row r="75" spans="11:12" x14ac:dyDescent="0.4">
      <c r="K75" s="38">
        <v>73</v>
      </c>
      <c r="L75" s="99">
        <v>-1091.5999999999999</v>
      </c>
    </row>
    <row r="76" spans="11:12" x14ac:dyDescent="0.4">
      <c r="K76" s="38">
        <v>74</v>
      </c>
      <c r="L76" s="99">
        <v>-1149.5999999999999</v>
      </c>
    </row>
    <row r="77" spans="11:12" x14ac:dyDescent="0.4">
      <c r="K77" s="38">
        <v>75</v>
      </c>
      <c r="L77" s="99">
        <v>-1147.8999999999999</v>
      </c>
    </row>
    <row r="78" spans="11:12" x14ac:dyDescent="0.4">
      <c r="K78" s="38">
        <v>76</v>
      </c>
      <c r="L78" s="99">
        <v>-1183.9999999999998</v>
      </c>
    </row>
    <row r="79" spans="11:12" x14ac:dyDescent="0.4">
      <c r="K79" s="38">
        <v>77</v>
      </c>
      <c r="L79" s="99">
        <v>-1135.9999999999998</v>
      </c>
    </row>
    <row r="80" spans="11:12" x14ac:dyDescent="0.4">
      <c r="K80" s="38">
        <v>78</v>
      </c>
      <c r="L80" s="99">
        <v>-1169.8999999999999</v>
      </c>
    </row>
    <row r="81" spans="11:12" x14ac:dyDescent="0.4">
      <c r="K81" s="38">
        <v>79</v>
      </c>
      <c r="L81" s="99">
        <v>-1226.5999999999999</v>
      </c>
    </row>
    <row r="82" spans="11:12" x14ac:dyDescent="0.4">
      <c r="K82" s="38">
        <v>80</v>
      </c>
      <c r="L82" s="99">
        <v>-1201</v>
      </c>
    </row>
    <row r="83" spans="11:12" x14ac:dyDescent="0.4">
      <c r="K83" s="38">
        <v>81</v>
      </c>
      <c r="L83" s="99">
        <v>-1265.7</v>
      </c>
    </row>
    <row r="84" spans="11:12" x14ac:dyDescent="0.4">
      <c r="K84" s="38">
        <v>82</v>
      </c>
      <c r="L84" s="99">
        <v>-1267.2</v>
      </c>
    </row>
    <row r="85" spans="11:12" x14ac:dyDescent="0.4">
      <c r="K85" s="38">
        <v>83</v>
      </c>
      <c r="L85" s="99">
        <v>-1270.6000000000001</v>
      </c>
    </row>
    <row r="86" spans="11:12" x14ac:dyDescent="0.4">
      <c r="K86" s="38">
        <v>84</v>
      </c>
      <c r="L86" s="99">
        <v>-1264.8000000000002</v>
      </c>
    </row>
    <row r="87" spans="11:12" x14ac:dyDescent="0.4">
      <c r="K87" s="38">
        <v>85</v>
      </c>
      <c r="L87" s="99">
        <v>-1322.1000000000001</v>
      </c>
    </row>
    <row r="88" spans="11:12" x14ac:dyDescent="0.4">
      <c r="K88" s="38">
        <v>86</v>
      </c>
      <c r="L88" s="99">
        <v>-1272.1000000000001</v>
      </c>
    </row>
    <row r="89" spans="11:12" x14ac:dyDescent="0.4">
      <c r="K89" s="38">
        <v>87</v>
      </c>
      <c r="L89" s="99">
        <v>-1283.8000000000002</v>
      </c>
    </row>
    <row r="90" spans="11:12" x14ac:dyDescent="0.4">
      <c r="K90" s="38">
        <v>88</v>
      </c>
      <c r="L90" s="99">
        <v>-1241.1000000000001</v>
      </c>
    </row>
    <row r="91" spans="11:12" x14ac:dyDescent="0.4">
      <c r="K91" s="38">
        <v>89</v>
      </c>
      <c r="L91" s="99">
        <v>-1288.1000000000001</v>
      </c>
    </row>
    <row r="92" spans="11:12" x14ac:dyDescent="0.4">
      <c r="K92" s="38">
        <v>90</v>
      </c>
      <c r="L92" s="99">
        <v>-1324.2</v>
      </c>
    </row>
    <row r="93" spans="11:12" x14ac:dyDescent="0.4">
      <c r="K93" s="38">
        <v>91</v>
      </c>
      <c r="L93" s="99">
        <v>-1253.1000000000001</v>
      </c>
    </row>
    <row r="94" spans="11:12" x14ac:dyDescent="0.4">
      <c r="K94" s="38">
        <v>92</v>
      </c>
      <c r="L94" s="99">
        <v>-1291.9000000000001</v>
      </c>
    </row>
    <row r="95" spans="11:12" x14ac:dyDescent="0.4">
      <c r="K95" s="38">
        <v>93</v>
      </c>
      <c r="L95" s="99">
        <v>-1348.9</v>
      </c>
    </row>
    <row r="96" spans="11:12" x14ac:dyDescent="0.4">
      <c r="K96" s="38">
        <v>94</v>
      </c>
      <c r="L96" s="99">
        <v>-1306.3000000000002</v>
      </c>
    </row>
    <row r="97" spans="11:12" x14ac:dyDescent="0.4">
      <c r="K97" s="38">
        <v>95</v>
      </c>
      <c r="L97" s="99">
        <v>-1362.6000000000001</v>
      </c>
    </row>
    <row r="98" spans="11:12" x14ac:dyDescent="0.4">
      <c r="K98" s="38">
        <v>96</v>
      </c>
      <c r="L98" s="99">
        <v>-1335.8000000000002</v>
      </c>
    </row>
    <row r="99" spans="11:12" x14ac:dyDescent="0.4">
      <c r="K99" s="38">
        <v>97</v>
      </c>
      <c r="L99" s="99">
        <v>-1299.4000000000001</v>
      </c>
    </row>
    <row r="100" spans="11:12" x14ac:dyDescent="0.4">
      <c r="K100" s="38">
        <v>98</v>
      </c>
      <c r="L100" s="99">
        <v>-1305.7</v>
      </c>
    </row>
    <row r="101" spans="11:12" x14ac:dyDescent="0.4">
      <c r="K101" s="38">
        <v>99</v>
      </c>
      <c r="L101" s="99">
        <v>-1267.5</v>
      </c>
    </row>
    <row r="102" spans="11:12" x14ac:dyDescent="0.4">
      <c r="K102" s="38">
        <v>100</v>
      </c>
      <c r="L102" s="99">
        <v>-1255.3</v>
      </c>
    </row>
    <row r="103" spans="11:12" x14ac:dyDescent="0.4">
      <c r="K103" s="38">
        <v>101</v>
      </c>
      <c r="L103" s="99">
        <v>-1246.3</v>
      </c>
    </row>
    <row r="104" spans="11:12" x14ac:dyDescent="0.4">
      <c r="K104" s="38">
        <v>102</v>
      </c>
      <c r="L104" s="99">
        <v>-1206.5</v>
      </c>
    </row>
    <row r="105" spans="11:12" x14ac:dyDescent="0.4">
      <c r="K105" s="38">
        <v>103</v>
      </c>
      <c r="L105" s="99">
        <v>-1144.9000000000001</v>
      </c>
    </row>
  </sheetData>
  <sortState ref="N15:Q24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E04EC6-516C-4752-8C88-DCBFC3E8AAA1}">
  <sheetPr codeName="Sheet13"/>
  <dimension ref="A1:Q98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171</v>
      </c>
      <c r="C1" s="151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2">
        <v>96</v>
      </c>
      <c r="C2" s="153"/>
      <c r="E2" s="62" t="s">
        <v>65</v>
      </c>
      <c r="F2" s="59" t="s">
        <v>21</v>
      </c>
      <c r="G2" s="46">
        <v>124</v>
      </c>
      <c r="H2" s="132">
        <f>IF(B$17=0,0,G2/B$17)</f>
        <v>0.54625550660792954</v>
      </c>
      <c r="I2" s="93">
        <v>5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-365.625</v>
      </c>
      <c r="P2" s="118">
        <v>96</v>
      </c>
      <c r="Q2" s="102">
        <v>-35100</v>
      </c>
    </row>
    <row r="3" spans="1:17" x14ac:dyDescent="0.4">
      <c r="A3" s="55" t="s">
        <v>8</v>
      </c>
      <c r="B3" s="154">
        <v>801</v>
      </c>
      <c r="C3" s="155"/>
      <c r="E3" s="63" t="s">
        <v>66</v>
      </c>
      <c r="F3" s="60" t="s">
        <v>22</v>
      </c>
      <c r="G3" s="47">
        <v>28</v>
      </c>
      <c r="H3" s="133">
        <f>IF(B$17=0,0,G3/B$17)</f>
        <v>0.12334801762114538</v>
      </c>
      <c r="I3" s="94">
        <v>2</v>
      </c>
      <c r="K3" s="38">
        <v>1</v>
      </c>
      <c r="L3" s="99">
        <v>-51.2</v>
      </c>
      <c r="N3" s="115" t="s">
        <v>133</v>
      </c>
      <c r="O3" s="122">
        <f t="shared" si="0"/>
        <v>677.65957446808511</v>
      </c>
      <c r="P3" s="119">
        <v>94</v>
      </c>
      <c r="Q3" s="103">
        <v>63700</v>
      </c>
    </row>
    <row r="4" spans="1:17" x14ac:dyDescent="0.4">
      <c r="A4" s="55" t="s">
        <v>6</v>
      </c>
      <c r="B4" s="156">
        <v>-48.599999999999987</v>
      </c>
      <c r="C4" s="157"/>
      <c r="E4" s="63" t="s">
        <v>67</v>
      </c>
      <c r="F4" s="60" t="s">
        <v>23</v>
      </c>
      <c r="G4" s="47">
        <v>185</v>
      </c>
      <c r="H4" s="133">
        <f>IF(B$17=0,0,G4/B$17)</f>
        <v>0.81497797356828194</v>
      </c>
      <c r="I4" s="94">
        <v>5</v>
      </c>
      <c r="K4" s="38">
        <v>2</v>
      </c>
      <c r="L4" s="99">
        <v>-93.300000000000011</v>
      </c>
      <c r="N4" s="115" t="s">
        <v>134</v>
      </c>
      <c r="O4" s="122">
        <f t="shared" si="0"/>
        <v>1677.6470588235295</v>
      </c>
      <c r="P4" s="119">
        <v>85</v>
      </c>
      <c r="Q4" s="103">
        <v>142600</v>
      </c>
    </row>
    <row r="5" spans="1:17" x14ac:dyDescent="0.4">
      <c r="A5" s="55" t="s">
        <v>7</v>
      </c>
      <c r="B5" s="158">
        <f>IF(B$2=0,0,B$4/B$2)</f>
        <v>-0.50624999999999987</v>
      </c>
      <c r="C5" s="159"/>
      <c r="E5" s="63" t="s">
        <v>68</v>
      </c>
      <c r="F5" s="60" t="s">
        <v>24</v>
      </c>
      <c r="G5" s="47">
        <v>77</v>
      </c>
      <c r="H5" s="133">
        <f>IF(B$17=0,0,G5/B$17)</f>
        <v>0.33920704845814981</v>
      </c>
      <c r="I5" s="94">
        <v>5</v>
      </c>
      <c r="K5" s="38">
        <v>3</v>
      </c>
      <c r="L5" s="99">
        <v>-60.100000000000009</v>
      </c>
      <c r="N5" s="115" t="s">
        <v>135</v>
      </c>
      <c r="O5" s="122">
        <f t="shared" si="0"/>
        <v>58.666666666666664</v>
      </c>
      <c r="P5" s="119">
        <v>75</v>
      </c>
      <c r="Q5" s="103">
        <v>4400</v>
      </c>
    </row>
    <row r="6" spans="1:17" x14ac:dyDescent="0.4">
      <c r="A6" s="55" t="s">
        <v>1</v>
      </c>
      <c r="B6" s="148">
        <f>IF(B$2=0,0,(B$7*1+B$8*2+B$9*3)/B$2)</f>
        <v>2.0520833333333335</v>
      </c>
      <c r="C6" s="149"/>
      <c r="E6" s="63" t="s">
        <v>69</v>
      </c>
      <c r="F6" s="60" t="s">
        <v>12</v>
      </c>
      <c r="G6" s="47">
        <v>67</v>
      </c>
      <c r="H6" s="133">
        <f>IF(B$17=0,0,G6/B$17)</f>
        <v>0.29515418502202645</v>
      </c>
      <c r="I6" s="94">
        <v>10</v>
      </c>
      <c r="K6" s="38">
        <v>4</v>
      </c>
      <c r="L6" s="99">
        <v>-11.300000000000011</v>
      </c>
      <c r="N6" s="115" t="s">
        <v>136</v>
      </c>
      <c r="O6" s="122">
        <f t="shared" si="0"/>
        <v>-1990.909090909091</v>
      </c>
      <c r="P6" s="119">
        <v>66</v>
      </c>
      <c r="Q6" s="103">
        <v>-131400</v>
      </c>
    </row>
    <row r="7" spans="1:17" x14ac:dyDescent="0.4">
      <c r="A7" s="55" t="s">
        <v>2</v>
      </c>
      <c r="B7" s="47">
        <v>29</v>
      </c>
      <c r="C7" s="39">
        <f>IF(B$2=0,0,B7/B$2)</f>
        <v>0.30208333333333331</v>
      </c>
      <c r="E7" s="63" t="s">
        <v>70</v>
      </c>
      <c r="F7" s="60" t="s">
        <v>25</v>
      </c>
      <c r="G7" s="47">
        <v>44</v>
      </c>
      <c r="H7" s="133">
        <f>IF(B$17=0,0,G7/B$17)</f>
        <v>0.19383259911894274</v>
      </c>
      <c r="I7" s="94">
        <v>4</v>
      </c>
      <c r="K7" s="38">
        <v>5</v>
      </c>
      <c r="L7" s="99">
        <v>-36.100000000000009</v>
      </c>
      <c r="N7" s="116" t="s">
        <v>137</v>
      </c>
      <c r="O7" s="123">
        <f t="shared" si="0"/>
        <v>-369.49152542372883</v>
      </c>
      <c r="P7" s="120">
        <v>59</v>
      </c>
      <c r="Q7" s="104">
        <v>-21800</v>
      </c>
    </row>
    <row r="8" spans="1:17" x14ac:dyDescent="0.4">
      <c r="A8" s="55" t="s">
        <v>3</v>
      </c>
      <c r="B8" s="47">
        <v>33</v>
      </c>
      <c r="C8" s="39">
        <f>IF(B$2=0,0,B8/B$2)</f>
        <v>0.34375</v>
      </c>
      <c r="E8" s="63" t="s">
        <v>71</v>
      </c>
      <c r="F8" s="60" t="s">
        <v>26</v>
      </c>
      <c r="G8" s="47">
        <v>25</v>
      </c>
      <c r="H8" s="133">
        <f>IF(B$17=0,0,G8/B$17)</f>
        <v>0.11013215859030837</v>
      </c>
      <c r="I8" s="94">
        <v>5</v>
      </c>
      <c r="K8" s="38">
        <v>6</v>
      </c>
      <c r="L8" s="99">
        <v>9.0999999999999943</v>
      </c>
      <c r="N8" s="43"/>
      <c r="O8" s="127"/>
      <c r="P8" s="111"/>
      <c r="Q8" s="109"/>
    </row>
    <row r="9" spans="1:17" x14ac:dyDescent="0.4">
      <c r="A9" s="56" t="s">
        <v>4</v>
      </c>
      <c r="B9" s="48">
        <v>34</v>
      </c>
      <c r="C9" s="40">
        <f t="shared" ref="C9" si="1">IF(B$2=0,0,B9/B$2)</f>
        <v>0.35416666666666669</v>
      </c>
      <c r="E9" s="63" t="s">
        <v>72</v>
      </c>
      <c r="F9" s="60" t="s">
        <v>27</v>
      </c>
      <c r="G9" s="47">
        <v>14</v>
      </c>
      <c r="H9" s="133">
        <f>IF(B$17=0,0,G9/B$17)</f>
        <v>6.1674008810572688E-2</v>
      </c>
      <c r="I9" s="94">
        <v>9</v>
      </c>
      <c r="K9" s="38">
        <v>7</v>
      </c>
      <c r="L9" s="99">
        <v>-51.300000000000004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11</v>
      </c>
      <c r="C10" s="40">
        <f>IF(B$2=0,0,B10/B$2)</f>
        <v>0.11458333333333333</v>
      </c>
      <c r="E10" s="63" t="s">
        <v>73</v>
      </c>
      <c r="F10" s="60" t="s">
        <v>28</v>
      </c>
      <c r="G10" s="47">
        <v>125</v>
      </c>
      <c r="H10" s="133">
        <f>IF(B$17=0,0,G10/B$17)</f>
        <v>0.5506607929515418</v>
      </c>
      <c r="I10" s="94">
        <v>8</v>
      </c>
      <c r="K10" s="38">
        <v>8</v>
      </c>
      <c r="L10" s="99">
        <v>-1.7000000000000028</v>
      </c>
      <c r="N10" s="114" t="s">
        <v>164</v>
      </c>
      <c r="O10" s="124">
        <f>IF(P10=0,0,Q10/P10)</f>
        <v>1.4119999999999999</v>
      </c>
      <c r="P10" s="118">
        <v>25</v>
      </c>
      <c r="Q10" s="106">
        <v>35.299999999999997</v>
      </c>
    </row>
    <row r="11" spans="1:17" x14ac:dyDescent="0.4">
      <c r="A11" s="56" t="s">
        <v>140</v>
      </c>
      <c r="B11" s="48">
        <v>14</v>
      </c>
      <c r="C11" s="40">
        <f>IF(B$2=0,0,B11/B$2)</f>
        <v>0.14583333333333334</v>
      </c>
      <c r="E11" s="63" t="s">
        <v>74</v>
      </c>
      <c r="F11" s="60" t="s">
        <v>29</v>
      </c>
      <c r="G11" s="47">
        <v>3</v>
      </c>
      <c r="H11" s="133">
        <f>IF(B$17=0,0,G11/B$17)</f>
        <v>1.3215859030837005E-2</v>
      </c>
      <c r="I11" s="94">
        <v>3</v>
      </c>
      <c r="K11" s="38">
        <v>9</v>
      </c>
      <c r="L11" s="99">
        <v>-5.8000000000000025</v>
      </c>
      <c r="N11" s="115" t="s">
        <v>165</v>
      </c>
      <c r="O11" s="125">
        <f>IF(P11=0,0,Q11/P11)</f>
        <v>-0.14722222222222056</v>
      </c>
      <c r="P11" s="119">
        <v>36</v>
      </c>
      <c r="Q11" s="107">
        <v>-5.2999999999999403</v>
      </c>
    </row>
    <row r="12" spans="1:17" x14ac:dyDescent="0.4">
      <c r="A12" s="57" t="s">
        <v>160</v>
      </c>
      <c r="B12" s="49">
        <v>6</v>
      </c>
      <c r="C12" s="42">
        <f>IF(B$2=0,0,B12/B$2)</f>
        <v>6.25E-2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K12" s="38">
        <v>10</v>
      </c>
      <c r="L12" s="99">
        <v>-56.500000000000007</v>
      </c>
      <c r="N12" s="116" t="s">
        <v>166</v>
      </c>
      <c r="O12" s="126">
        <f>IF(P12=0,0,Q12/P12)</f>
        <v>-2.2457142857142856</v>
      </c>
      <c r="P12" s="120">
        <v>35</v>
      </c>
      <c r="Q12" s="108">
        <v>-78.599999999999994</v>
      </c>
    </row>
    <row r="13" spans="1:17" x14ac:dyDescent="0.4">
      <c r="A13" s="58" t="s">
        <v>122</v>
      </c>
      <c r="B13" s="50">
        <v>233</v>
      </c>
      <c r="C13" s="44">
        <f>IF(B$3=0,0,B13/B$3)</f>
        <v>0.2908863920099875</v>
      </c>
      <c r="E13" s="63" t="s">
        <v>76</v>
      </c>
      <c r="F13" s="60" t="s">
        <v>31</v>
      </c>
      <c r="G13" s="47">
        <v>3</v>
      </c>
      <c r="H13" s="133">
        <f>IF(B$17=0,0,G13/B$17)</f>
        <v>1.3215859030837005E-2</v>
      </c>
      <c r="I13" s="94">
        <v>2</v>
      </c>
      <c r="K13" s="38">
        <v>11</v>
      </c>
      <c r="L13" s="99">
        <v>-27.600000000000009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156</v>
      </c>
      <c r="C14" s="39">
        <f>IF(B$3=0,0,B14/B$3)</f>
        <v>0.19475655430711611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-42.900000000000006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131</v>
      </c>
      <c r="C15" s="37">
        <f>IF(B$13=0,0,B15/B$13)</f>
        <v>0.5622317596566524</v>
      </c>
      <c r="E15" s="63" t="s">
        <v>78</v>
      </c>
      <c r="F15" s="60" t="s">
        <v>33</v>
      </c>
      <c r="G15" s="47">
        <v>3</v>
      </c>
      <c r="H15" s="133">
        <f>IF(B$17=0,0,G15/B$17)</f>
        <v>1.3215859030837005E-2</v>
      </c>
      <c r="I15" s="94">
        <v>3</v>
      </c>
      <c r="K15" s="38">
        <v>13</v>
      </c>
      <c r="L15" s="99">
        <v>-58.7</v>
      </c>
      <c r="N15" s="114" t="s">
        <v>129</v>
      </c>
      <c r="O15" s="124">
        <f t="shared" ref="O15:O23" si="2">IF(P15=0,0,Q15/P15)</f>
        <v>18.865624999999991</v>
      </c>
      <c r="P15" s="118">
        <v>32</v>
      </c>
      <c r="Q15" s="106">
        <v>603.6999999999997</v>
      </c>
    </row>
    <row r="16" spans="1:17" x14ac:dyDescent="0.4">
      <c r="A16" s="54" t="s">
        <v>125</v>
      </c>
      <c r="B16" s="46">
        <v>64</v>
      </c>
      <c r="C16" s="37">
        <f>IF(B$14=0,0,B16/B$14)</f>
        <v>0.41025641025641024</v>
      </c>
      <c r="E16" s="63" t="s">
        <v>79</v>
      </c>
      <c r="F16" s="60" t="s">
        <v>34</v>
      </c>
      <c r="G16" s="47">
        <v>9</v>
      </c>
      <c r="H16" s="133">
        <f>IF(B$17=0,0,G16/B$17)</f>
        <v>3.9647577092511016E-2</v>
      </c>
      <c r="I16" s="94">
        <v>4</v>
      </c>
      <c r="K16" s="38">
        <v>14</v>
      </c>
      <c r="L16" s="99">
        <v>-29.400000000000002</v>
      </c>
      <c r="N16" s="115" t="s">
        <v>184</v>
      </c>
      <c r="O16" s="125">
        <f t="shared" si="2"/>
        <v>18.200000000000003</v>
      </c>
      <c r="P16" s="119">
        <v>4</v>
      </c>
      <c r="Q16" s="107">
        <v>72.800000000000011</v>
      </c>
    </row>
    <row r="17" spans="1:17" x14ac:dyDescent="0.4">
      <c r="A17" s="54" t="s">
        <v>10</v>
      </c>
      <c r="B17" s="46">
        <f>B19+B18</f>
        <v>227</v>
      </c>
      <c r="C17" s="37">
        <f>IF(B$3=0,0,B17/B$3)</f>
        <v>0.28339575530586769</v>
      </c>
      <c r="E17" s="63" t="s">
        <v>80</v>
      </c>
      <c r="F17" s="60" t="s">
        <v>35</v>
      </c>
      <c r="G17" s="47">
        <v>4</v>
      </c>
      <c r="H17" s="133">
        <f>IF(B$17=0,0,G17/B$17)</f>
        <v>1.7621145374449341E-2</v>
      </c>
      <c r="I17" s="94">
        <v>5</v>
      </c>
      <c r="K17" s="38">
        <v>15</v>
      </c>
      <c r="L17" s="99">
        <v>-26.3</v>
      </c>
      <c r="N17" s="115" t="s">
        <v>173</v>
      </c>
      <c r="O17" s="125">
        <f t="shared" si="2"/>
        <v>12.777777777777775</v>
      </c>
      <c r="P17" s="119">
        <v>18</v>
      </c>
      <c r="Q17" s="107">
        <v>229.99999999999994</v>
      </c>
    </row>
    <row r="18" spans="1:17" x14ac:dyDescent="0.4">
      <c r="A18" s="55" t="s">
        <v>12</v>
      </c>
      <c r="B18" s="47">
        <v>92</v>
      </c>
      <c r="C18" s="39">
        <f>IF(B$17=0,0,B18/B$17)</f>
        <v>0.40528634361233479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-50.3</v>
      </c>
      <c r="N18" s="115" t="s">
        <v>172</v>
      </c>
      <c r="O18" s="125">
        <f t="shared" si="2"/>
        <v>4.6449999999999996</v>
      </c>
      <c r="P18" s="119">
        <v>20</v>
      </c>
      <c r="Q18" s="107">
        <v>92.899999999999991</v>
      </c>
    </row>
    <row r="19" spans="1:17" x14ac:dyDescent="0.4">
      <c r="A19" s="55" t="s">
        <v>11</v>
      </c>
      <c r="B19" s="47">
        <v>135</v>
      </c>
      <c r="C19" s="39">
        <f>IF(B$17=0,0,B19/B$17)</f>
        <v>0.59471365638766516</v>
      </c>
      <c r="E19" s="63" t="s">
        <v>82</v>
      </c>
      <c r="F19" s="60" t="s">
        <v>37</v>
      </c>
      <c r="G19" s="47">
        <v>8</v>
      </c>
      <c r="H19" s="133">
        <f>IF(B$17=0,0,G19/B$17)</f>
        <v>3.5242290748898682E-2</v>
      </c>
      <c r="I19" s="94">
        <v>3</v>
      </c>
      <c r="K19" s="38">
        <v>17</v>
      </c>
      <c r="L19" s="99">
        <v>-74.3</v>
      </c>
      <c r="N19" s="115" t="s">
        <v>128</v>
      </c>
      <c r="O19" s="125">
        <f t="shared" si="2"/>
        <v>0.24736842105262688</v>
      </c>
      <c r="P19" s="119">
        <v>38</v>
      </c>
      <c r="Q19" s="107">
        <v>9.3999999999998209</v>
      </c>
    </row>
    <row r="20" spans="1:17" x14ac:dyDescent="0.4">
      <c r="A20" s="55" t="s">
        <v>13</v>
      </c>
      <c r="B20" s="47">
        <v>143</v>
      </c>
      <c r="C20" s="39">
        <f>IF(B$3=0,0,B20/B$3)</f>
        <v>0.17852684144818975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-76.099999999999994</v>
      </c>
      <c r="N20" s="115" t="s">
        <v>127</v>
      </c>
      <c r="O20" s="125">
        <f t="shared" si="2"/>
        <v>-2.9685185185185143</v>
      </c>
      <c r="P20" s="119">
        <v>54</v>
      </c>
      <c r="Q20" s="107">
        <v>-160.29999999999978</v>
      </c>
    </row>
    <row r="21" spans="1:17" x14ac:dyDescent="0.4">
      <c r="A21" s="55" t="s">
        <v>191</v>
      </c>
      <c r="B21" s="47">
        <v>6</v>
      </c>
      <c r="C21" s="135">
        <v>0</v>
      </c>
      <c r="E21" s="63" t="s">
        <v>84</v>
      </c>
      <c r="F21" s="60" t="s">
        <v>39</v>
      </c>
      <c r="G21" s="47">
        <v>11</v>
      </c>
      <c r="H21" s="133">
        <f>IF(B$17=0,0,G21/B$17)</f>
        <v>4.8458149779735685E-2</v>
      </c>
      <c r="I21" s="94">
        <v>5</v>
      </c>
      <c r="K21" s="38">
        <v>19</v>
      </c>
      <c r="L21" s="99">
        <v>0.60000000000000853</v>
      </c>
      <c r="N21" s="115" t="s">
        <v>200</v>
      </c>
      <c r="O21" s="125">
        <f t="shared" si="2"/>
        <v>-12.75</v>
      </c>
      <c r="P21" s="119">
        <v>6</v>
      </c>
      <c r="Q21" s="107">
        <v>-76.5</v>
      </c>
    </row>
    <row r="22" spans="1:17" x14ac:dyDescent="0.4">
      <c r="A22" s="55" t="s">
        <v>192</v>
      </c>
      <c r="B22" s="47">
        <v>32</v>
      </c>
      <c r="C22" s="135">
        <v>4</v>
      </c>
      <c r="E22" s="63" t="s">
        <v>85</v>
      </c>
      <c r="F22" s="60" t="s">
        <v>40</v>
      </c>
      <c r="G22" s="47">
        <v>2</v>
      </c>
      <c r="H22" s="133">
        <f>IF(B$17=0,0,G22/B$17)</f>
        <v>8.8105726872246704E-3</v>
      </c>
      <c r="I22" s="94">
        <v>1</v>
      </c>
      <c r="K22" s="38">
        <v>20</v>
      </c>
      <c r="L22" s="99">
        <v>-3.5999999999999917</v>
      </c>
      <c r="N22" s="115" t="s">
        <v>177</v>
      </c>
      <c r="O22" s="125">
        <f t="shared" si="2"/>
        <v>-44.647368421052626</v>
      </c>
      <c r="P22" s="119">
        <v>19</v>
      </c>
      <c r="Q22" s="107">
        <v>-848.3</v>
      </c>
    </row>
    <row r="23" spans="1:17" x14ac:dyDescent="0.4">
      <c r="A23" s="55" t="s">
        <v>5</v>
      </c>
      <c r="B23" s="51">
        <f>IF(B$17=0,0,C23/B$17)</f>
        <v>9990.7488986784138</v>
      </c>
      <c r="C23" s="41">
        <v>2267900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-3.0999999999999917</v>
      </c>
      <c r="N23" s="115" t="s">
        <v>222</v>
      </c>
      <c r="O23" s="125">
        <f t="shared" si="2"/>
        <v>-69.5</v>
      </c>
      <c r="P23" s="119">
        <v>1</v>
      </c>
      <c r="Q23" s="107">
        <v>-69.5</v>
      </c>
    </row>
    <row r="24" spans="1:17" x14ac:dyDescent="0.4">
      <c r="A24" s="57" t="s">
        <v>14</v>
      </c>
      <c r="B24" s="52">
        <f>IF(B$20=0,0,C24/B$20)</f>
        <v>-8548.9510489510485</v>
      </c>
      <c r="C24" s="45">
        <v>-1222500</v>
      </c>
      <c r="E24" s="63" t="s">
        <v>87</v>
      </c>
      <c r="F24" s="60" t="s">
        <v>42</v>
      </c>
      <c r="G24" s="47">
        <v>16</v>
      </c>
      <c r="H24" s="133">
        <f>IF(B$17=0,0,G24/B$17)</f>
        <v>7.0484581497797363E-2</v>
      </c>
      <c r="I24" s="94">
        <v>4</v>
      </c>
      <c r="K24" s="38">
        <v>22</v>
      </c>
      <c r="L24" s="99">
        <v>-17.099999999999991</v>
      </c>
    </row>
    <row r="25" spans="1:17" x14ac:dyDescent="0.4">
      <c r="A25" s="90" t="s">
        <v>142</v>
      </c>
      <c r="B25" s="146">
        <v>8</v>
      </c>
      <c r="C25" s="147"/>
      <c r="E25" s="63" t="s">
        <v>88</v>
      </c>
      <c r="F25" s="60" t="s">
        <v>43</v>
      </c>
      <c r="G25" s="47">
        <v>1</v>
      </c>
      <c r="H25" s="133">
        <f>IF(B$17=0,0,G25/B$17)</f>
        <v>4.4052863436123352E-3</v>
      </c>
      <c r="I25" s="94">
        <v>3</v>
      </c>
      <c r="K25" s="38">
        <v>23</v>
      </c>
      <c r="L25" s="99">
        <v>-55.699999999999989</v>
      </c>
    </row>
    <row r="26" spans="1:17" x14ac:dyDescent="0.4">
      <c r="A26" s="58" t="s">
        <v>152</v>
      </c>
      <c r="B26" s="144">
        <v>96000</v>
      </c>
      <c r="C26" s="145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  <c r="K26" s="38">
        <v>24</v>
      </c>
      <c r="L26" s="99">
        <v>-59.499999999999986</v>
      </c>
    </row>
    <row r="27" spans="1:17" x14ac:dyDescent="0.4">
      <c r="A27" s="57" t="s">
        <v>143</v>
      </c>
      <c r="B27" s="65">
        <v>2</v>
      </c>
      <c r="C27" s="42">
        <f>IF(B$3=0,0,B27/B$3)</f>
        <v>2.4968789013732834E-3</v>
      </c>
      <c r="E27" s="63" t="s">
        <v>90</v>
      </c>
      <c r="F27" s="60" t="s">
        <v>45</v>
      </c>
      <c r="G27" s="47">
        <v>38</v>
      </c>
      <c r="H27" s="133">
        <f>IF(B$17=0,0,G27/B$17)</f>
        <v>0.16740088105726872</v>
      </c>
      <c r="I27" s="94">
        <v>3</v>
      </c>
      <c r="K27" s="38">
        <v>25</v>
      </c>
      <c r="L27" s="99">
        <v>-39.999999999999986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-71.099999999999994</v>
      </c>
    </row>
    <row r="29" spans="1:17" x14ac:dyDescent="0.4">
      <c r="E29" s="63" t="s">
        <v>92</v>
      </c>
      <c r="F29" s="60" t="s">
        <v>47</v>
      </c>
      <c r="G29" s="47">
        <v>6</v>
      </c>
      <c r="H29" s="133">
        <f>IF(B$17=0,0,G29/B$17)</f>
        <v>2.643171806167401E-2</v>
      </c>
      <c r="I29" s="94">
        <v>2</v>
      </c>
      <c r="K29" s="38">
        <v>27</v>
      </c>
      <c r="L29" s="99">
        <v>-66.199999999999989</v>
      </c>
    </row>
    <row r="30" spans="1:17" x14ac:dyDescent="0.4">
      <c r="E30" s="63" t="s">
        <v>93</v>
      </c>
      <c r="F30" s="60" t="s">
        <v>48</v>
      </c>
      <c r="G30" s="47">
        <v>2</v>
      </c>
      <c r="H30" s="133">
        <f>IF(B$17=0,0,G30/B$17)</f>
        <v>8.8105726872246704E-3</v>
      </c>
      <c r="I30" s="94">
        <v>1</v>
      </c>
      <c r="K30" s="38">
        <v>28</v>
      </c>
      <c r="L30" s="99">
        <v>-116.49999999999999</v>
      </c>
    </row>
    <row r="31" spans="1:17" x14ac:dyDescent="0.4">
      <c r="E31" s="63" t="s">
        <v>94</v>
      </c>
      <c r="F31" s="60" t="s">
        <v>49</v>
      </c>
      <c r="G31" s="47">
        <v>1</v>
      </c>
      <c r="H31" s="133">
        <f>IF(B$17=0,0,G31/B$17)</f>
        <v>4.4052863436123352E-3</v>
      </c>
      <c r="I31" s="94">
        <v>3</v>
      </c>
      <c r="K31" s="38">
        <v>29</v>
      </c>
      <c r="L31" s="99">
        <v>-121.79999999999998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-156.19999999999999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-91.899999999999991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-119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-108.9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-56.7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-88.4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-130.69999999999999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-64.099999999999994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-76.599999999999994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-71.3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-65.2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-100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-65.5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-52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8.3999999999999986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-32.5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-6.1000000000000014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-33.1</v>
      </c>
    </row>
    <row r="50" spans="5:12" x14ac:dyDescent="0.4">
      <c r="E50" s="63" t="s">
        <v>180</v>
      </c>
      <c r="F50" s="60" t="s">
        <v>181</v>
      </c>
      <c r="G50" s="47">
        <v>4</v>
      </c>
      <c r="H50" s="133">
        <f>IF(B$17=0,0,G50/B$17)</f>
        <v>1.7621145374449341E-2</v>
      </c>
      <c r="I50" s="94">
        <v>3</v>
      </c>
      <c r="K50" s="38">
        <v>48</v>
      </c>
      <c r="L50" s="99">
        <v>-33.800000000000004</v>
      </c>
    </row>
    <row r="51" spans="5:12" x14ac:dyDescent="0.4">
      <c r="E51" s="136" t="s">
        <v>245</v>
      </c>
      <c r="F51" s="137" t="s">
        <v>246</v>
      </c>
      <c r="G51" s="48">
        <v>86</v>
      </c>
      <c r="H51" s="138">
        <f>IF(B$17=0,0,G51/B$17)</f>
        <v>0.3788546255506608</v>
      </c>
      <c r="I51" s="139">
        <v>11</v>
      </c>
      <c r="K51" s="38">
        <v>49</v>
      </c>
      <c r="L51" s="99">
        <v>-23.100000000000005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-79.300000000000011</v>
      </c>
    </row>
    <row r="53" spans="5:12" x14ac:dyDescent="0.4">
      <c r="K53" s="38">
        <v>51</v>
      </c>
      <c r="L53" s="99">
        <v>-16.600000000000009</v>
      </c>
    </row>
    <row r="54" spans="5:12" x14ac:dyDescent="0.4">
      <c r="K54" s="38">
        <v>52</v>
      </c>
      <c r="L54" s="99">
        <v>18.499999999999993</v>
      </c>
    </row>
    <row r="55" spans="5:12" x14ac:dyDescent="0.4">
      <c r="K55" s="38">
        <v>53</v>
      </c>
      <c r="L55" s="99">
        <v>-4.1000000000000085</v>
      </c>
    </row>
    <row r="56" spans="5:12" x14ac:dyDescent="0.4">
      <c r="K56" s="38">
        <v>54</v>
      </c>
      <c r="L56" s="99">
        <v>13.099999999999991</v>
      </c>
    </row>
    <row r="57" spans="5:12" x14ac:dyDescent="0.4">
      <c r="K57" s="38">
        <v>55</v>
      </c>
      <c r="L57" s="99">
        <v>26.999999999999993</v>
      </c>
    </row>
    <row r="58" spans="5:12" x14ac:dyDescent="0.4">
      <c r="K58" s="38">
        <v>56</v>
      </c>
      <c r="L58" s="99">
        <v>-46.500000000000007</v>
      </c>
    </row>
    <row r="59" spans="5:12" x14ac:dyDescent="0.4">
      <c r="K59" s="38">
        <v>57</v>
      </c>
      <c r="L59" s="99">
        <v>-35.100000000000009</v>
      </c>
    </row>
    <row r="60" spans="5:12" x14ac:dyDescent="0.4">
      <c r="K60" s="38">
        <v>58</v>
      </c>
      <c r="L60" s="99">
        <v>-67.300000000000011</v>
      </c>
    </row>
    <row r="61" spans="5:12" x14ac:dyDescent="0.4">
      <c r="K61" s="38">
        <v>59</v>
      </c>
      <c r="L61" s="99">
        <v>-52.70000000000001</v>
      </c>
    </row>
    <row r="62" spans="5:12" x14ac:dyDescent="0.4">
      <c r="K62" s="38">
        <v>60</v>
      </c>
      <c r="L62" s="99">
        <v>13.599999999999987</v>
      </c>
    </row>
    <row r="63" spans="5:12" x14ac:dyDescent="0.4">
      <c r="K63" s="38">
        <v>61</v>
      </c>
      <c r="L63" s="99">
        <v>-25.100000000000016</v>
      </c>
    </row>
    <row r="64" spans="5:12" x14ac:dyDescent="0.4">
      <c r="K64" s="38">
        <v>62</v>
      </c>
      <c r="L64" s="99">
        <v>-27.600000000000016</v>
      </c>
    </row>
    <row r="65" spans="11:12" x14ac:dyDescent="0.4">
      <c r="K65" s="38">
        <v>63</v>
      </c>
      <c r="L65" s="99">
        <v>19.999999999999986</v>
      </c>
    </row>
    <row r="66" spans="11:12" x14ac:dyDescent="0.4">
      <c r="K66" s="38">
        <v>64</v>
      </c>
      <c r="L66" s="99">
        <v>60.099999999999987</v>
      </c>
    </row>
    <row r="67" spans="11:12" x14ac:dyDescent="0.4">
      <c r="K67" s="38">
        <v>65</v>
      </c>
      <c r="L67" s="99">
        <v>131.6</v>
      </c>
    </row>
    <row r="68" spans="11:12" x14ac:dyDescent="0.4">
      <c r="K68" s="38">
        <v>66</v>
      </c>
      <c r="L68" s="99">
        <v>86.1</v>
      </c>
    </row>
    <row r="69" spans="11:12" x14ac:dyDescent="0.4">
      <c r="K69" s="38">
        <v>67</v>
      </c>
      <c r="L69" s="99">
        <v>154.1</v>
      </c>
    </row>
    <row r="70" spans="11:12" x14ac:dyDescent="0.4">
      <c r="K70" s="38">
        <v>68</v>
      </c>
      <c r="L70" s="99">
        <v>152.29999999999998</v>
      </c>
    </row>
    <row r="71" spans="11:12" x14ac:dyDescent="0.4">
      <c r="K71" s="38">
        <v>69</v>
      </c>
      <c r="L71" s="99">
        <v>106.19999999999999</v>
      </c>
    </row>
    <row r="72" spans="11:12" x14ac:dyDescent="0.4">
      <c r="K72" s="38">
        <v>70</v>
      </c>
      <c r="L72" s="99">
        <v>146.79999999999998</v>
      </c>
    </row>
    <row r="73" spans="11:12" x14ac:dyDescent="0.4">
      <c r="K73" s="38">
        <v>71</v>
      </c>
      <c r="L73" s="99">
        <v>88.799999999999983</v>
      </c>
    </row>
    <row r="74" spans="11:12" x14ac:dyDescent="0.4">
      <c r="K74" s="38">
        <v>72</v>
      </c>
      <c r="L74" s="99">
        <v>98.299999999999983</v>
      </c>
    </row>
    <row r="75" spans="11:12" x14ac:dyDescent="0.4">
      <c r="K75" s="38">
        <v>73</v>
      </c>
      <c r="L75" s="99">
        <v>156.29999999999998</v>
      </c>
    </row>
    <row r="76" spans="11:12" x14ac:dyDescent="0.4">
      <c r="K76" s="38">
        <v>74</v>
      </c>
      <c r="L76" s="99">
        <v>99.299999999999983</v>
      </c>
    </row>
    <row r="77" spans="11:12" x14ac:dyDescent="0.4">
      <c r="K77" s="38">
        <v>75</v>
      </c>
      <c r="L77" s="99">
        <v>145.29999999999998</v>
      </c>
    </row>
    <row r="78" spans="11:12" x14ac:dyDescent="0.4">
      <c r="K78" s="38">
        <v>76</v>
      </c>
      <c r="L78" s="99">
        <v>163.29999999999998</v>
      </c>
    </row>
    <row r="79" spans="11:12" x14ac:dyDescent="0.4">
      <c r="K79" s="38">
        <v>77</v>
      </c>
      <c r="L79" s="99">
        <v>89.59999999999998</v>
      </c>
    </row>
    <row r="80" spans="11:12" x14ac:dyDescent="0.4">
      <c r="K80" s="38">
        <v>78</v>
      </c>
      <c r="L80" s="99">
        <v>94.299999999999983</v>
      </c>
    </row>
    <row r="81" spans="11:12" x14ac:dyDescent="0.4">
      <c r="K81" s="38">
        <v>79</v>
      </c>
      <c r="L81" s="99">
        <v>118.49999999999999</v>
      </c>
    </row>
    <row r="82" spans="11:12" x14ac:dyDescent="0.4">
      <c r="K82" s="38">
        <v>80</v>
      </c>
      <c r="L82" s="99">
        <v>109.69999999999999</v>
      </c>
    </row>
    <row r="83" spans="11:12" x14ac:dyDescent="0.4">
      <c r="K83" s="38">
        <v>81</v>
      </c>
      <c r="L83" s="99">
        <v>173.1</v>
      </c>
    </row>
    <row r="84" spans="11:12" x14ac:dyDescent="0.4">
      <c r="K84" s="38">
        <v>82</v>
      </c>
      <c r="L84" s="99">
        <v>214.1</v>
      </c>
    </row>
    <row r="85" spans="11:12" x14ac:dyDescent="0.4">
      <c r="K85" s="38">
        <v>83</v>
      </c>
      <c r="L85" s="99">
        <v>210.9</v>
      </c>
    </row>
    <row r="86" spans="11:12" x14ac:dyDescent="0.4">
      <c r="K86" s="38">
        <v>84</v>
      </c>
      <c r="L86" s="99">
        <v>275.10000000000002</v>
      </c>
    </row>
    <row r="87" spans="11:12" x14ac:dyDescent="0.4">
      <c r="K87" s="38">
        <v>85</v>
      </c>
      <c r="L87" s="99">
        <v>213.10000000000002</v>
      </c>
    </row>
    <row r="88" spans="11:12" x14ac:dyDescent="0.4">
      <c r="K88" s="38">
        <v>86</v>
      </c>
      <c r="L88" s="99">
        <v>158.50000000000003</v>
      </c>
    </row>
    <row r="89" spans="11:12" x14ac:dyDescent="0.4">
      <c r="K89" s="38">
        <v>87</v>
      </c>
      <c r="L89" s="99">
        <v>102.50000000000003</v>
      </c>
    </row>
    <row r="90" spans="11:12" x14ac:dyDescent="0.4">
      <c r="K90" s="38">
        <v>88</v>
      </c>
      <c r="L90" s="99">
        <v>46.300000000000026</v>
      </c>
    </row>
    <row r="91" spans="11:12" x14ac:dyDescent="0.4">
      <c r="K91" s="38">
        <v>89</v>
      </c>
      <c r="L91" s="99">
        <v>32.000000000000028</v>
      </c>
    </row>
    <row r="92" spans="11:12" x14ac:dyDescent="0.4">
      <c r="K92" s="38">
        <v>90</v>
      </c>
      <c r="L92" s="99">
        <v>1.7000000000000277</v>
      </c>
    </row>
    <row r="93" spans="11:12" x14ac:dyDescent="0.4">
      <c r="K93" s="38">
        <v>91</v>
      </c>
      <c r="L93" s="99">
        <v>-9.1999999999999726</v>
      </c>
    </row>
    <row r="94" spans="11:12" x14ac:dyDescent="0.4">
      <c r="K94" s="38">
        <v>92</v>
      </c>
      <c r="L94" s="99">
        <v>-69.199999999999974</v>
      </c>
    </row>
    <row r="95" spans="11:12" x14ac:dyDescent="0.4">
      <c r="K95" s="38">
        <v>93</v>
      </c>
      <c r="L95" s="99">
        <v>-125.79999999999998</v>
      </c>
    </row>
    <row r="96" spans="11:12" x14ac:dyDescent="0.4">
      <c r="K96" s="38">
        <v>94</v>
      </c>
      <c r="L96" s="99">
        <v>-44.799999999999983</v>
      </c>
    </row>
    <row r="97" spans="11:12" x14ac:dyDescent="0.4">
      <c r="K97" s="38">
        <v>95</v>
      </c>
      <c r="L97" s="99">
        <v>-1.8999999999999844</v>
      </c>
    </row>
    <row r="98" spans="11:12" x14ac:dyDescent="0.4">
      <c r="K98" s="38">
        <v>96</v>
      </c>
      <c r="L98" s="99">
        <v>-48.599999999999987</v>
      </c>
    </row>
  </sheetData>
  <sortState ref="E2:I98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B6A7C-1605-42D0-BC6B-082101DADCA6}">
  <sheetPr codeName="Sheet15"/>
  <dimension ref="A1:Q89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172</v>
      </c>
      <c r="C1" s="151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2">
        <v>87</v>
      </c>
      <c r="C2" s="153"/>
      <c r="E2" s="62" t="s">
        <v>65</v>
      </c>
      <c r="F2" s="59" t="s">
        <v>21</v>
      </c>
      <c r="G2" s="46">
        <v>88</v>
      </c>
      <c r="H2" s="132">
        <f>IF(B$17=0,0,G2/B$17)</f>
        <v>0.34782608695652173</v>
      </c>
      <c r="I2" s="93">
        <v>12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591.9540229885057</v>
      </c>
      <c r="P2" s="118">
        <v>87</v>
      </c>
      <c r="Q2" s="102">
        <v>51500</v>
      </c>
    </row>
    <row r="3" spans="1:17" x14ac:dyDescent="0.4">
      <c r="A3" s="55" t="s">
        <v>8</v>
      </c>
      <c r="B3" s="154">
        <v>733</v>
      </c>
      <c r="C3" s="155"/>
      <c r="E3" s="63" t="s">
        <v>66</v>
      </c>
      <c r="F3" s="60" t="s">
        <v>22</v>
      </c>
      <c r="G3" s="47">
        <v>27</v>
      </c>
      <c r="H3" s="133">
        <f>IF(B$17=0,0,G3/B$17)</f>
        <v>0.1067193675889328</v>
      </c>
      <c r="I3" s="94">
        <v>6</v>
      </c>
      <c r="K3" s="38">
        <v>1</v>
      </c>
      <c r="L3" s="99">
        <v>11.1</v>
      </c>
      <c r="N3" s="115" t="s">
        <v>133</v>
      </c>
      <c r="O3" s="122">
        <f t="shared" si="0"/>
        <v>-1175.8620689655172</v>
      </c>
      <c r="P3" s="119">
        <v>87</v>
      </c>
      <c r="Q3" s="103">
        <v>-102300</v>
      </c>
    </row>
    <row r="4" spans="1:17" x14ac:dyDescent="0.4">
      <c r="A4" s="55" t="s">
        <v>6</v>
      </c>
      <c r="B4" s="156">
        <v>-118.60000000000004</v>
      </c>
      <c r="C4" s="157"/>
      <c r="E4" s="63" t="s">
        <v>67</v>
      </c>
      <c r="F4" s="60" t="s">
        <v>23</v>
      </c>
      <c r="G4" s="47">
        <v>169</v>
      </c>
      <c r="H4" s="133">
        <f>IF(B$17=0,0,G4/B$17)</f>
        <v>0.66798418972332019</v>
      </c>
      <c r="I4" s="94">
        <v>9</v>
      </c>
      <c r="K4" s="38">
        <v>2</v>
      </c>
      <c r="L4" s="99">
        <v>-7.7000000000000011</v>
      </c>
      <c r="N4" s="115" t="s">
        <v>134</v>
      </c>
      <c r="O4" s="122">
        <f t="shared" si="0"/>
        <v>-1442.8571428571429</v>
      </c>
      <c r="P4" s="119">
        <v>77</v>
      </c>
      <c r="Q4" s="103">
        <v>-111100</v>
      </c>
    </row>
    <row r="5" spans="1:17" x14ac:dyDescent="0.4">
      <c r="A5" s="55" t="s">
        <v>7</v>
      </c>
      <c r="B5" s="158">
        <f>IF(B$2=0,0,B$4/B$2)</f>
        <v>-1.3632183908045981</v>
      </c>
      <c r="C5" s="159"/>
      <c r="E5" s="63" t="s">
        <v>68</v>
      </c>
      <c r="F5" s="60" t="s">
        <v>24</v>
      </c>
      <c r="G5" s="47">
        <v>44</v>
      </c>
      <c r="H5" s="133">
        <f>IF(B$17=0,0,G5/B$17)</f>
        <v>0.17391304347826086</v>
      </c>
      <c r="I5" s="94">
        <v>13</v>
      </c>
      <c r="K5" s="38">
        <v>3</v>
      </c>
      <c r="L5" s="99">
        <v>1.7999999999999989</v>
      </c>
      <c r="N5" s="115" t="s">
        <v>135</v>
      </c>
      <c r="O5" s="122">
        <f t="shared" si="0"/>
        <v>1183.7837837837837</v>
      </c>
      <c r="P5" s="119">
        <v>74</v>
      </c>
      <c r="Q5" s="103">
        <v>87600</v>
      </c>
    </row>
    <row r="6" spans="1:17" x14ac:dyDescent="0.4">
      <c r="A6" s="55" t="s">
        <v>1</v>
      </c>
      <c r="B6" s="148">
        <f>IF(B$2=0,0,(B$7*1+B$8*2+B$9*3)/B$2)</f>
        <v>2.0459770114942528</v>
      </c>
      <c r="C6" s="149"/>
      <c r="E6" s="63" t="s">
        <v>69</v>
      </c>
      <c r="F6" s="60" t="s">
        <v>12</v>
      </c>
      <c r="G6" s="47">
        <v>64</v>
      </c>
      <c r="H6" s="133">
        <f>IF(B$17=0,0,G6/B$17)</f>
        <v>0.25296442687747034</v>
      </c>
      <c r="I6" s="94">
        <v>12</v>
      </c>
      <c r="K6" s="38">
        <v>4</v>
      </c>
      <c r="L6" s="99">
        <v>34.9</v>
      </c>
      <c r="N6" s="115" t="s">
        <v>136</v>
      </c>
      <c r="O6" s="122">
        <f t="shared" si="0"/>
        <v>-41.176470588235297</v>
      </c>
      <c r="P6" s="119">
        <v>68</v>
      </c>
      <c r="Q6" s="103">
        <v>-2800</v>
      </c>
    </row>
    <row r="7" spans="1:17" x14ac:dyDescent="0.4">
      <c r="A7" s="55" t="s">
        <v>2</v>
      </c>
      <c r="B7" s="47">
        <v>22</v>
      </c>
      <c r="C7" s="39">
        <f>IF(B$2=0,0,B7/B$2)</f>
        <v>0.25287356321839083</v>
      </c>
      <c r="E7" s="63" t="s">
        <v>70</v>
      </c>
      <c r="F7" s="60" t="s">
        <v>25</v>
      </c>
      <c r="G7" s="47">
        <v>39</v>
      </c>
      <c r="H7" s="133">
        <f>IF(B$17=0,0,G7/B$17)</f>
        <v>0.1541501976284585</v>
      </c>
      <c r="I7" s="94">
        <v>10</v>
      </c>
      <c r="K7" s="38">
        <v>5</v>
      </c>
      <c r="L7" s="99">
        <v>29.4</v>
      </c>
      <c r="N7" s="116" t="s">
        <v>137</v>
      </c>
      <c r="O7" s="123">
        <f t="shared" si="0"/>
        <v>-230.5084745762712</v>
      </c>
      <c r="P7" s="120">
        <v>59</v>
      </c>
      <c r="Q7" s="104">
        <v>-13600</v>
      </c>
    </row>
    <row r="8" spans="1:17" x14ac:dyDescent="0.4">
      <c r="A8" s="55" t="s">
        <v>3</v>
      </c>
      <c r="B8" s="47">
        <v>39</v>
      </c>
      <c r="C8" s="39">
        <f>IF(B$2=0,0,B8/B$2)</f>
        <v>0.44827586206896552</v>
      </c>
      <c r="E8" s="63" t="s">
        <v>71</v>
      </c>
      <c r="F8" s="60" t="s">
        <v>26</v>
      </c>
      <c r="G8" s="47">
        <v>17</v>
      </c>
      <c r="H8" s="133">
        <f>IF(B$17=0,0,G8/B$17)</f>
        <v>6.7193675889328064E-2</v>
      </c>
      <c r="I8" s="94">
        <v>8</v>
      </c>
      <c r="K8" s="38">
        <v>6</v>
      </c>
      <c r="L8" s="99">
        <v>4.2999999999999972</v>
      </c>
      <c r="N8" s="43"/>
      <c r="O8" s="127"/>
      <c r="P8" s="111"/>
      <c r="Q8" s="109"/>
    </row>
    <row r="9" spans="1:17" x14ac:dyDescent="0.4">
      <c r="A9" s="56" t="s">
        <v>4</v>
      </c>
      <c r="B9" s="48">
        <v>26</v>
      </c>
      <c r="C9" s="40">
        <f t="shared" ref="C9" si="1">IF(B$2=0,0,B9/B$2)</f>
        <v>0.2988505747126437</v>
      </c>
      <c r="E9" s="63" t="s">
        <v>72</v>
      </c>
      <c r="F9" s="60" t="s">
        <v>27</v>
      </c>
      <c r="G9" s="47">
        <v>20</v>
      </c>
      <c r="H9" s="133">
        <f>IF(B$17=0,0,G9/B$17)</f>
        <v>7.9051383399209488E-2</v>
      </c>
      <c r="I9" s="94">
        <v>4</v>
      </c>
      <c r="K9" s="38">
        <v>7</v>
      </c>
      <c r="L9" s="99">
        <v>7.7999999999999972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5</v>
      </c>
      <c r="C10" s="40">
        <f>IF(B$2=0,0,B10/B$2)</f>
        <v>5.7471264367816091E-2</v>
      </c>
      <c r="E10" s="63" t="s">
        <v>73</v>
      </c>
      <c r="F10" s="60" t="s">
        <v>28</v>
      </c>
      <c r="G10" s="47">
        <v>144</v>
      </c>
      <c r="H10" s="133">
        <f>IF(B$17=0,0,G10/B$17)</f>
        <v>0.56916996047430835</v>
      </c>
      <c r="I10" s="94">
        <v>6</v>
      </c>
      <c r="K10" s="38">
        <v>8</v>
      </c>
      <c r="L10" s="99">
        <v>-29.5</v>
      </c>
      <c r="N10" s="114" t="s">
        <v>164</v>
      </c>
      <c r="O10" s="124">
        <f>IF(P10=0,0,Q10/P10)</f>
        <v>-5.3000000000000025</v>
      </c>
      <c r="P10" s="118">
        <v>28</v>
      </c>
      <c r="Q10" s="106">
        <v>-148.40000000000006</v>
      </c>
    </row>
    <row r="11" spans="1:17" x14ac:dyDescent="0.4">
      <c r="A11" s="56" t="s">
        <v>140</v>
      </c>
      <c r="B11" s="48">
        <v>9</v>
      </c>
      <c r="C11" s="40">
        <f>IF(B$2=0,0,B11/B$2)</f>
        <v>0.10344827586206896</v>
      </c>
      <c r="E11" s="63" t="s">
        <v>74</v>
      </c>
      <c r="F11" s="60" t="s">
        <v>29</v>
      </c>
      <c r="G11" s="47">
        <v>1</v>
      </c>
      <c r="H11" s="133">
        <f>IF(B$17=0,0,G11/B$17)</f>
        <v>3.952569169960474E-3</v>
      </c>
      <c r="I11" s="94">
        <v>7</v>
      </c>
      <c r="K11" s="38">
        <v>9</v>
      </c>
      <c r="L11" s="99">
        <v>-56.5</v>
      </c>
      <c r="N11" s="115" t="s">
        <v>165</v>
      </c>
      <c r="O11" s="125">
        <f>IF(P11=0,0,Q11/P11)</f>
        <v>3.0346153846153845</v>
      </c>
      <c r="P11" s="119">
        <v>26</v>
      </c>
      <c r="Q11" s="107">
        <v>78.899999999999991</v>
      </c>
    </row>
    <row r="12" spans="1:17" x14ac:dyDescent="0.4">
      <c r="A12" s="57" t="s">
        <v>160</v>
      </c>
      <c r="B12" s="49">
        <v>7</v>
      </c>
      <c r="C12" s="42">
        <f>IF(B$2=0,0,B12/B$2)</f>
        <v>8.0459770114942528E-2</v>
      </c>
      <c r="E12" s="63" t="s">
        <v>75</v>
      </c>
      <c r="F12" s="60" t="s">
        <v>30</v>
      </c>
      <c r="G12" s="47">
        <v>2</v>
      </c>
      <c r="H12" s="133">
        <f>IF(B$17=0,0,G12/B$17)</f>
        <v>7.9051383399209481E-3</v>
      </c>
      <c r="I12" s="94">
        <v>3</v>
      </c>
      <c r="K12" s="38">
        <v>10</v>
      </c>
      <c r="L12" s="99">
        <v>24.200000000000003</v>
      </c>
      <c r="N12" s="116" t="s">
        <v>166</v>
      </c>
      <c r="O12" s="126">
        <f>IF(P12=0,0,Q12/P12)</f>
        <v>-1.4878787878787882</v>
      </c>
      <c r="P12" s="120">
        <v>33</v>
      </c>
      <c r="Q12" s="108">
        <v>-49.100000000000009</v>
      </c>
    </row>
    <row r="13" spans="1:17" x14ac:dyDescent="0.4">
      <c r="A13" s="58" t="s">
        <v>122</v>
      </c>
      <c r="B13" s="50">
        <v>156</v>
      </c>
      <c r="C13" s="44">
        <f>IF(B$3=0,0,B13/B$3)</f>
        <v>0.21282401091405184</v>
      </c>
      <c r="E13" s="63" t="s">
        <v>76</v>
      </c>
      <c r="F13" s="60" t="s">
        <v>31</v>
      </c>
      <c r="G13" s="47">
        <v>1</v>
      </c>
      <c r="H13" s="133">
        <f>IF(B$17=0,0,G13/B$17)</f>
        <v>3.952569169960474E-3</v>
      </c>
      <c r="I13" s="94">
        <v>7</v>
      </c>
      <c r="K13" s="38">
        <v>11</v>
      </c>
      <c r="L13" s="99">
        <v>74.2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214</v>
      </c>
      <c r="C14" s="39">
        <f>IF(B$3=0,0,B14/B$3)</f>
        <v>0.29195088676671216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46.1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87</v>
      </c>
      <c r="C15" s="37">
        <f>IF(B$13=0,0,B15/B$13)</f>
        <v>0.55769230769230771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8</v>
      </c>
      <c r="K15" s="38">
        <v>13</v>
      </c>
      <c r="L15" s="99">
        <v>-3</v>
      </c>
      <c r="N15" s="114" t="s">
        <v>184</v>
      </c>
      <c r="O15" s="124">
        <f t="shared" ref="O15:O23" si="2">IF(P15=0,0,Q15/P15)</f>
        <v>44.424999999999997</v>
      </c>
      <c r="P15" s="118">
        <v>4</v>
      </c>
      <c r="Q15" s="106">
        <v>177.7</v>
      </c>
    </row>
    <row r="16" spans="1:17" x14ac:dyDescent="0.4">
      <c r="A16" s="54" t="s">
        <v>125</v>
      </c>
      <c r="B16" s="46">
        <v>91</v>
      </c>
      <c r="C16" s="37">
        <f>IF(B$14=0,0,B16/B$14)</f>
        <v>0.42523364485981308</v>
      </c>
      <c r="E16" s="63" t="s">
        <v>79</v>
      </c>
      <c r="F16" s="60" t="s">
        <v>34</v>
      </c>
      <c r="G16" s="47">
        <v>4</v>
      </c>
      <c r="H16" s="133">
        <f>IF(B$17=0,0,G16/B$17)</f>
        <v>1.5810276679841896E-2</v>
      </c>
      <c r="I16" s="94">
        <v>10</v>
      </c>
      <c r="K16" s="38">
        <v>14</v>
      </c>
      <c r="L16" s="99">
        <v>-12.3</v>
      </c>
      <c r="N16" s="115" t="s">
        <v>129</v>
      </c>
      <c r="O16" s="125">
        <f t="shared" si="2"/>
        <v>27.262499999999992</v>
      </c>
      <c r="P16" s="119">
        <v>24</v>
      </c>
      <c r="Q16" s="107">
        <v>654.29999999999984</v>
      </c>
    </row>
    <row r="17" spans="1:17" x14ac:dyDescent="0.4">
      <c r="A17" s="54" t="s">
        <v>10</v>
      </c>
      <c r="B17" s="46">
        <f>B19+B18</f>
        <v>253</v>
      </c>
      <c r="C17" s="37">
        <f>IF(B$3=0,0,B17/B$3)</f>
        <v>0.34515688949522511</v>
      </c>
      <c r="E17" s="63" t="s">
        <v>80</v>
      </c>
      <c r="F17" s="60" t="s">
        <v>35</v>
      </c>
      <c r="G17" s="47">
        <v>3</v>
      </c>
      <c r="H17" s="133">
        <f>IF(B$17=0,0,G17/B$17)</f>
        <v>1.1857707509881422E-2</v>
      </c>
      <c r="I17" s="94">
        <v>9</v>
      </c>
      <c r="K17" s="38">
        <v>15</v>
      </c>
      <c r="L17" s="99">
        <v>-80.3</v>
      </c>
      <c r="N17" s="115" t="s">
        <v>173</v>
      </c>
      <c r="O17" s="125">
        <f t="shared" si="2"/>
        <v>6.6333333333333302</v>
      </c>
      <c r="P17" s="119">
        <v>12</v>
      </c>
      <c r="Q17" s="107">
        <v>79.599999999999966</v>
      </c>
    </row>
    <row r="18" spans="1:17" x14ac:dyDescent="0.4">
      <c r="A18" s="55" t="s">
        <v>12</v>
      </c>
      <c r="B18" s="47">
        <v>102</v>
      </c>
      <c r="C18" s="39">
        <f>IF(B$17=0,0,B18/B$17)</f>
        <v>0.40316205533596838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-87.6</v>
      </c>
      <c r="N18" s="115" t="s">
        <v>128</v>
      </c>
      <c r="O18" s="125">
        <f t="shared" si="2"/>
        <v>4.3735294117647054</v>
      </c>
      <c r="P18" s="119">
        <v>34</v>
      </c>
      <c r="Q18" s="107">
        <v>148.69999999999999</v>
      </c>
    </row>
    <row r="19" spans="1:17" x14ac:dyDescent="0.4">
      <c r="A19" s="55" t="s">
        <v>11</v>
      </c>
      <c r="B19" s="47">
        <v>151</v>
      </c>
      <c r="C19" s="39">
        <f>IF(B$17=0,0,B19/B$17)</f>
        <v>0.59683794466403162</v>
      </c>
      <c r="E19" s="63" t="s">
        <v>82</v>
      </c>
      <c r="F19" s="60" t="s">
        <v>37</v>
      </c>
      <c r="G19" s="47">
        <v>9</v>
      </c>
      <c r="H19" s="133">
        <f>IF(B$17=0,0,G19/B$17)</f>
        <v>3.5573122529644272E-2</v>
      </c>
      <c r="I19" s="94">
        <v>2</v>
      </c>
      <c r="K19" s="38">
        <v>17</v>
      </c>
      <c r="L19" s="99">
        <v>-55.099999999999994</v>
      </c>
      <c r="N19" s="115" t="s">
        <v>177</v>
      </c>
      <c r="O19" s="125">
        <f t="shared" si="2"/>
        <v>-0.4666666666666674</v>
      </c>
      <c r="P19" s="119">
        <v>24</v>
      </c>
      <c r="Q19" s="107">
        <v>-11.200000000000017</v>
      </c>
    </row>
    <row r="20" spans="1:17" x14ac:dyDescent="0.4">
      <c r="A20" s="55" t="s">
        <v>13</v>
      </c>
      <c r="B20" s="47">
        <v>100</v>
      </c>
      <c r="C20" s="39">
        <f>IF(B$3=0,0,B20/B$3)</f>
        <v>0.13642564802182811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-28.199999999999996</v>
      </c>
      <c r="N20" s="115" t="s">
        <v>171</v>
      </c>
      <c r="O20" s="125">
        <f t="shared" si="2"/>
        <v>-4.6450000000000005</v>
      </c>
      <c r="P20" s="119">
        <v>20</v>
      </c>
      <c r="Q20" s="107">
        <v>-92.9</v>
      </c>
    </row>
    <row r="21" spans="1:17" x14ac:dyDescent="0.4">
      <c r="A21" s="55" t="s">
        <v>191</v>
      </c>
      <c r="B21" s="47">
        <v>10</v>
      </c>
      <c r="C21" s="135">
        <v>1</v>
      </c>
      <c r="E21" s="63" t="s">
        <v>84</v>
      </c>
      <c r="F21" s="60" t="s">
        <v>39</v>
      </c>
      <c r="G21" s="47">
        <v>18</v>
      </c>
      <c r="H21" s="133">
        <f>IF(B$17=0,0,G21/B$17)</f>
        <v>7.1146245059288543E-2</v>
      </c>
      <c r="I21" s="94">
        <v>2</v>
      </c>
      <c r="K21" s="38">
        <v>19</v>
      </c>
      <c r="L21" s="99">
        <v>29.200000000000003</v>
      </c>
      <c r="N21" s="115" t="s">
        <v>200</v>
      </c>
      <c r="O21" s="125">
        <f t="shared" si="2"/>
        <v>-16.62857142857143</v>
      </c>
      <c r="P21" s="119">
        <v>7</v>
      </c>
      <c r="Q21" s="107">
        <v>-116.40000000000002</v>
      </c>
    </row>
    <row r="22" spans="1:17" x14ac:dyDescent="0.4">
      <c r="A22" s="55" t="s">
        <v>192</v>
      </c>
      <c r="B22" s="47">
        <v>23</v>
      </c>
      <c r="C22" s="135">
        <v>9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  <c r="K22" s="38">
        <v>20</v>
      </c>
      <c r="L22" s="99">
        <v>43</v>
      </c>
      <c r="N22" s="115" t="s">
        <v>127</v>
      </c>
      <c r="O22" s="125">
        <f t="shared" si="2"/>
        <v>-23.717391304347821</v>
      </c>
      <c r="P22" s="119">
        <v>46</v>
      </c>
      <c r="Q22" s="107">
        <v>-1090.9999999999998</v>
      </c>
    </row>
    <row r="23" spans="1:17" x14ac:dyDescent="0.4">
      <c r="A23" s="55" t="s">
        <v>5</v>
      </c>
      <c r="B23" s="51">
        <f>IF(B$17=0,0,C23/B$17)</f>
        <v>6910.276679841897</v>
      </c>
      <c r="C23" s="41">
        <v>1748300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89.9</v>
      </c>
      <c r="N23" s="115" t="s">
        <v>223</v>
      </c>
      <c r="O23" s="125">
        <f t="shared" si="2"/>
        <v>-34.866666666666667</v>
      </c>
      <c r="P23" s="119">
        <v>3</v>
      </c>
      <c r="Q23" s="107">
        <v>-104.6</v>
      </c>
    </row>
    <row r="24" spans="1:17" x14ac:dyDescent="0.4">
      <c r="A24" s="57" t="s">
        <v>14</v>
      </c>
      <c r="B24" s="52">
        <f>IF(B$20=0,0,C24/B$20)</f>
        <v>-8632</v>
      </c>
      <c r="C24" s="45">
        <v>-863200</v>
      </c>
      <c r="E24" s="63" t="s">
        <v>87</v>
      </c>
      <c r="F24" s="60" t="s">
        <v>42</v>
      </c>
      <c r="G24" s="47">
        <v>10</v>
      </c>
      <c r="H24" s="133">
        <f>IF(B$17=0,0,G24/B$17)</f>
        <v>3.9525691699604744E-2</v>
      </c>
      <c r="I24" s="94">
        <v>10</v>
      </c>
      <c r="K24" s="38">
        <v>22</v>
      </c>
      <c r="L24" s="99">
        <v>54.7</v>
      </c>
    </row>
    <row r="25" spans="1:17" x14ac:dyDescent="0.4">
      <c r="A25" s="90" t="s">
        <v>142</v>
      </c>
      <c r="B25" s="146">
        <v>7</v>
      </c>
      <c r="C25" s="147"/>
      <c r="E25" s="63" t="s">
        <v>88</v>
      </c>
      <c r="F25" s="60" t="s">
        <v>43</v>
      </c>
      <c r="G25" s="47">
        <v>1</v>
      </c>
      <c r="H25" s="133">
        <f>IF(B$17=0,0,G25/B$17)</f>
        <v>3.952569169960474E-3</v>
      </c>
      <c r="I25" s="94">
        <v>4</v>
      </c>
      <c r="K25" s="38">
        <v>23</v>
      </c>
      <c r="L25" s="99">
        <v>-5.3999999999999986</v>
      </c>
    </row>
    <row r="26" spans="1:17" x14ac:dyDescent="0.4">
      <c r="A26" s="58" t="s">
        <v>152</v>
      </c>
      <c r="B26" s="144">
        <v>97500</v>
      </c>
      <c r="C26" s="145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  <c r="K26" s="38">
        <v>24</v>
      </c>
      <c r="L26" s="99">
        <v>68.900000000000006</v>
      </c>
    </row>
    <row r="27" spans="1:17" x14ac:dyDescent="0.4">
      <c r="A27" s="57" t="s">
        <v>143</v>
      </c>
      <c r="B27" s="65">
        <v>1</v>
      </c>
      <c r="C27" s="42">
        <f>IF(B$3=0,0,B27/B$3)</f>
        <v>1.364256480218281E-3</v>
      </c>
      <c r="E27" s="63" t="s">
        <v>90</v>
      </c>
      <c r="F27" s="60" t="s">
        <v>45</v>
      </c>
      <c r="G27" s="47">
        <v>19</v>
      </c>
      <c r="H27" s="133">
        <f>IF(B$17=0,0,G27/B$17)</f>
        <v>7.5098814229249009E-2</v>
      </c>
      <c r="I27" s="94">
        <v>12</v>
      </c>
      <c r="K27" s="38">
        <v>25</v>
      </c>
      <c r="L27" s="99">
        <v>30.400000000000006</v>
      </c>
    </row>
    <row r="28" spans="1:17" x14ac:dyDescent="0.4">
      <c r="E28" s="63" t="s">
        <v>91</v>
      </c>
      <c r="F28" s="60" t="s">
        <v>46</v>
      </c>
      <c r="G28" s="47">
        <v>1</v>
      </c>
      <c r="H28" s="133">
        <f>IF(B$17=0,0,G28/B$17)</f>
        <v>3.952569169960474E-3</v>
      </c>
      <c r="I28" s="94">
        <v>3</v>
      </c>
      <c r="K28" s="38">
        <v>26</v>
      </c>
      <c r="L28" s="99">
        <v>32.900000000000006</v>
      </c>
    </row>
    <row r="29" spans="1:17" x14ac:dyDescent="0.4">
      <c r="E29" s="63" t="s">
        <v>92</v>
      </c>
      <c r="F29" s="60" t="s">
        <v>47</v>
      </c>
      <c r="G29" s="47">
        <v>4</v>
      </c>
      <c r="H29" s="133">
        <f>IF(B$17=0,0,G29/B$17)</f>
        <v>1.5810276679841896E-2</v>
      </c>
      <c r="I29" s="94">
        <v>7</v>
      </c>
      <c r="K29" s="38">
        <v>27</v>
      </c>
      <c r="L29" s="99">
        <v>40.400000000000006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  <c r="K30" s="38">
        <v>28</v>
      </c>
      <c r="L30" s="99">
        <v>8.3000000000000043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  <c r="K31" s="38">
        <v>29</v>
      </c>
      <c r="L31" s="99">
        <v>90.800000000000011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63.300000000000011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114.4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76.900000000000006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42.500000000000007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9.8000000000000043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-8.2999999999999972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-9.6999999999999975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30.000000000000007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32.100000000000009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62.800000000000011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37.70000000000001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46.900000000000006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42.300000000000004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-32.999999999999993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-27.999999999999993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-25.299999999999994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12.900000000000009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45.900000000000006</v>
      </c>
    </row>
    <row r="50" spans="5:12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7</v>
      </c>
      <c r="K50" s="38">
        <v>48</v>
      </c>
      <c r="L50" s="99">
        <v>111.4</v>
      </c>
    </row>
    <row r="51" spans="5:12" x14ac:dyDescent="0.4">
      <c r="E51" s="136" t="s">
        <v>245</v>
      </c>
      <c r="F51" s="137" t="s">
        <v>246</v>
      </c>
      <c r="G51" s="48">
        <v>110</v>
      </c>
      <c r="H51" s="138">
        <f>IF(B$17=0,0,G51/B$17)</f>
        <v>0.43478260869565216</v>
      </c>
      <c r="I51" s="139">
        <v>4</v>
      </c>
      <c r="K51" s="38">
        <v>49</v>
      </c>
      <c r="L51" s="99">
        <v>113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106.3</v>
      </c>
    </row>
    <row r="53" spans="5:12" x14ac:dyDescent="0.4">
      <c r="K53" s="38">
        <v>51</v>
      </c>
      <c r="L53" s="99">
        <v>113.39999999999999</v>
      </c>
    </row>
    <row r="54" spans="5:12" x14ac:dyDescent="0.4">
      <c r="K54" s="38">
        <v>52</v>
      </c>
      <c r="L54" s="99">
        <v>98.8</v>
      </c>
    </row>
    <row r="55" spans="5:12" x14ac:dyDescent="0.4">
      <c r="K55" s="38">
        <v>53</v>
      </c>
      <c r="L55" s="99">
        <v>65.199999999999989</v>
      </c>
    </row>
    <row r="56" spans="5:12" x14ac:dyDescent="0.4">
      <c r="K56" s="38">
        <v>54</v>
      </c>
      <c r="L56" s="99">
        <v>55.599999999999987</v>
      </c>
    </row>
    <row r="57" spans="5:12" x14ac:dyDescent="0.4">
      <c r="K57" s="38">
        <v>55</v>
      </c>
      <c r="L57" s="99">
        <v>34.699999999999989</v>
      </c>
    </row>
    <row r="58" spans="5:12" x14ac:dyDescent="0.4">
      <c r="K58" s="38">
        <v>56</v>
      </c>
      <c r="L58" s="99">
        <v>-8.0000000000000142</v>
      </c>
    </row>
    <row r="59" spans="5:12" x14ac:dyDescent="0.4">
      <c r="K59" s="38">
        <v>57</v>
      </c>
      <c r="L59" s="99">
        <v>-6.0000000000000142</v>
      </c>
    </row>
    <row r="60" spans="5:12" x14ac:dyDescent="0.4">
      <c r="K60" s="38">
        <v>58</v>
      </c>
      <c r="L60" s="99">
        <v>-0.40000000000001457</v>
      </c>
    </row>
    <row r="61" spans="5:12" x14ac:dyDescent="0.4">
      <c r="K61" s="38">
        <v>59</v>
      </c>
      <c r="L61" s="99">
        <v>21.999999999999986</v>
      </c>
    </row>
    <row r="62" spans="5:12" x14ac:dyDescent="0.4">
      <c r="K62" s="38">
        <v>60</v>
      </c>
      <c r="L62" s="99">
        <v>66.999999999999986</v>
      </c>
    </row>
    <row r="63" spans="5:12" x14ac:dyDescent="0.4">
      <c r="K63" s="38">
        <v>61</v>
      </c>
      <c r="L63" s="99">
        <v>39.799999999999983</v>
      </c>
    </row>
    <row r="64" spans="5:12" x14ac:dyDescent="0.4">
      <c r="K64" s="38">
        <v>62</v>
      </c>
      <c r="L64" s="99">
        <v>7.9999999999999822</v>
      </c>
    </row>
    <row r="65" spans="11:12" x14ac:dyDescent="0.4">
      <c r="K65" s="38">
        <v>63</v>
      </c>
      <c r="L65" s="99">
        <v>45.09999999999998</v>
      </c>
    </row>
    <row r="66" spans="11:12" x14ac:dyDescent="0.4">
      <c r="K66" s="38">
        <v>64</v>
      </c>
      <c r="L66" s="99">
        <v>45.899999999999977</v>
      </c>
    </row>
    <row r="67" spans="11:12" x14ac:dyDescent="0.4">
      <c r="K67" s="38">
        <v>65</v>
      </c>
      <c r="L67" s="99">
        <v>38.199999999999974</v>
      </c>
    </row>
    <row r="68" spans="11:12" x14ac:dyDescent="0.4">
      <c r="K68" s="38">
        <v>66</v>
      </c>
      <c r="L68" s="99">
        <v>-5.400000000000027</v>
      </c>
    </row>
    <row r="69" spans="11:12" x14ac:dyDescent="0.4">
      <c r="K69" s="38">
        <v>67</v>
      </c>
      <c r="L69" s="99">
        <v>1.8999999999999728</v>
      </c>
    </row>
    <row r="70" spans="11:12" x14ac:dyDescent="0.4">
      <c r="K70" s="38">
        <v>68</v>
      </c>
      <c r="L70" s="99">
        <v>-39.500000000000028</v>
      </c>
    </row>
    <row r="71" spans="11:12" x14ac:dyDescent="0.4">
      <c r="K71" s="38">
        <v>69</v>
      </c>
      <c r="L71" s="99">
        <v>-7.6000000000000298</v>
      </c>
    </row>
    <row r="72" spans="11:12" x14ac:dyDescent="0.4">
      <c r="K72" s="38">
        <v>70</v>
      </c>
      <c r="L72" s="99">
        <v>-32.000000000000028</v>
      </c>
    </row>
    <row r="73" spans="11:12" x14ac:dyDescent="0.4">
      <c r="K73" s="38">
        <v>71</v>
      </c>
      <c r="L73" s="99">
        <v>-76.600000000000023</v>
      </c>
    </row>
    <row r="74" spans="11:12" x14ac:dyDescent="0.4">
      <c r="K74" s="38">
        <v>72</v>
      </c>
      <c r="L74" s="99">
        <v>-68.40000000000002</v>
      </c>
    </row>
    <row r="75" spans="11:12" x14ac:dyDescent="0.4">
      <c r="K75" s="38">
        <v>73</v>
      </c>
      <c r="L75" s="99">
        <v>-129.30000000000001</v>
      </c>
    </row>
    <row r="76" spans="11:12" x14ac:dyDescent="0.4">
      <c r="K76" s="38">
        <v>74</v>
      </c>
      <c r="L76" s="99">
        <v>-61.500000000000014</v>
      </c>
    </row>
    <row r="77" spans="11:12" x14ac:dyDescent="0.4">
      <c r="K77" s="38">
        <v>75</v>
      </c>
      <c r="L77" s="99">
        <v>-76.40000000000002</v>
      </c>
    </row>
    <row r="78" spans="11:12" x14ac:dyDescent="0.4">
      <c r="K78" s="38">
        <v>76</v>
      </c>
      <c r="L78" s="99">
        <v>-36.300000000000018</v>
      </c>
    </row>
    <row r="79" spans="11:12" x14ac:dyDescent="0.4">
      <c r="K79" s="38">
        <v>77</v>
      </c>
      <c r="L79" s="99">
        <v>-37.300000000000018</v>
      </c>
    </row>
    <row r="80" spans="11:12" x14ac:dyDescent="0.4">
      <c r="K80" s="38">
        <v>78</v>
      </c>
      <c r="L80" s="99">
        <v>-38.600000000000016</v>
      </c>
    </row>
    <row r="81" spans="11:12" x14ac:dyDescent="0.4">
      <c r="K81" s="38">
        <v>79</v>
      </c>
      <c r="L81" s="99">
        <v>-67.000000000000014</v>
      </c>
    </row>
    <row r="82" spans="11:12" x14ac:dyDescent="0.4">
      <c r="K82" s="38">
        <v>80</v>
      </c>
      <c r="L82" s="99">
        <v>-114.70000000000002</v>
      </c>
    </row>
    <row r="83" spans="11:12" x14ac:dyDescent="0.4">
      <c r="K83" s="38">
        <v>81</v>
      </c>
      <c r="L83" s="99">
        <v>-115.90000000000002</v>
      </c>
    </row>
    <row r="84" spans="11:12" x14ac:dyDescent="0.4">
      <c r="K84" s="38">
        <v>82</v>
      </c>
      <c r="L84" s="99">
        <v>-110.60000000000002</v>
      </c>
    </row>
    <row r="85" spans="11:12" x14ac:dyDescent="0.4">
      <c r="K85" s="38">
        <v>83</v>
      </c>
      <c r="L85" s="99">
        <v>-101.20000000000002</v>
      </c>
    </row>
    <row r="86" spans="11:12" x14ac:dyDescent="0.4">
      <c r="K86" s="38">
        <v>84</v>
      </c>
      <c r="L86" s="99">
        <v>-162.90000000000003</v>
      </c>
    </row>
    <row r="87" spans="11:12" x14ac:dyDescent="0.4">
      <c r="K87" s="38">
        <v>85</v>
      </c>
      <c r="L87" s="99">
        <v>-121.30000000000004</v>
      </c>
    </row>
    <row r="88" spans="11:12" x14ac:dyDescent="0.4">
      <c r="K88" s="38">
        <v>86</v>
      </c>
      <c r="L88" s="99">
        <v>-133.30000000000004</v>
      </c>
    </row>
    <row r="89" spans="11:12" x14ac:dyDescent="0.4">
      <c r="K89" s="38">
        <v>87</v>
      </c>
      <c r="L89" s="99">
        <v>-118.60000000000004</v>
      </c>
    </row>
  </sheetData>
  <sortState ref="E2:I89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A2A1E-1F92-401C-9DEA-995F1F9147C4}">
  <sheetPr codeName="Sheet1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173</v>
      </c>
      <c r="C1" s="151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2">
        <v>48</v>
      </c>
      <c r="C2" s="153"/>
      <c r="E2" s="62" t="s">
        <v>65</v>
      </c>
      <c r="F2" s="59" t="s">
        <v>21</v>
      </c>
      <c r="G2" s="46">
        <v>52</v>
      </c>
      <c r="H2" s="132">
        <f>IF(B$17=0,0,G2/B$17)</f>
        <v>0.42622950819672129</v>
      </c>
      <c r="I2" s="93">
        <v>11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-2862.5</v>
      </c>
      <c r="P2" s="118">
        <v>48</v>
      </c>
      <c r="Q2" s="102">
        <v>-137400</v>
      </c>
    </row>
    <row r="3" spans="1:17" x14ac:dyDescent="0.4">
      <c r="A3" s="55" t="s">
        <v>8</v>
      </c>
      <c r="B3" s="154">
        <v>415</v>
      </c>
      <c r="C3" s="155"/>
      <c r="E3" s="63" t="s">
        <v>66</v>
      </c>
      <c r="F3" s="60" t="s">
        <v>22</v>
      </c>
      <c r="G3" s="47">
        <v>10</v>
      </c>
      <c r="H3" s="133">
        <f>IF(B$17=0,0,G3/B$17)</f>
        <v>8.1967213114754092E-2</v>
      </c>
      <c r="I3" s="94">
        <v>8</v>
      </c>
      <c r="K3" s="38">
        <v>1</v>
      </c>
      <c r="L3" s="99">
        <v>-82.6</v>
      </c>
      <c r="N3" s="115" t="s">
        <v>133</v>
      </c>
      <c r="O3" s="122">
        <f t="shared" si="0"/>
        <v>2064.5833333333335</v>
      </c>
      <c r="P3" s="119">
        <v>48</v>
      </c>
      <c r="Q3" s="103">
        <v>99100</v>
      </c>
    </row>
    <row r="4" spans="1:17" x14ac:dyDescent="0.4">
      <c r="A4" s="55" t="s">
        <v>6</v>
      </c>
      <c r="B4" s="156">
        <v>-387.7</v>
      </c>
      <c r="C4" s="157"/>
      <c r="E4" s="63" t="s">
        <v>67</v>
      </c>
      <c r="F4" s="60" t="s">
        <v>23</v>
      </c>
      <c r="G4" s="47">
        <v>81</v>
      </c>
      <c r="H4" s="133">
        <f>IF(B$17=0,0,G4/B$17)</f>
        <v>0.66393442622950816</v>
      </c>
      <c r="I4" s="94">
        <v>10</v>
      </c>
      <c r="K4" s="38">
        <v>2</v>
      </c>
      <c r="L4" s="99">
        <v>-122.3</v>
      </c>
      <c r="N4" s="115" t="s">
        <v>134</v>
      </c>
      <c r="O4" s="122">
        <f t="shared" si="0"/>
        <v>-315.55555555555554</v>
      </c>
      <c r="P4" s="119">
        <v>45</v>
      </c>
      <c r="Q4" s="103">
        <v>-14200</v>
      </c>
    </row>
    <row r="5" spans="1:17" x14ac:dyDescent="0.4">
      <c r="A5" s="55" t="s">
        <v>7</v>
      </c>
      <c r="B5" s="158">
        <f>IF(B$2=0,0,B$4/B$2)</f>
        <v>-8.0770833333333325</v>
      </c>
      <c r="C5" s="159"/>
      <c r="E5" s="63" t="s">
        <v>68</v>
      </c>
      <c r="F5" s="60" t="s">
        <v>24</v>
      </c>
      <c r="G5" s="47">
        <v>29</v>
      </c>
      <c r="H5" s="133">
        <f>IF(B$17=0,0,G5/B$17)</f>
        <v>0.23770491803278687</v>
      </c>
      <c r="I5" s="94">
        <v>12</v>
      </c>
      <c r="K5" s="38">
        <v>3</v>
      </c>
      <c r="L5" s="99">
        <v>-149</v>
      </c>
      <c r="N5" s="115" t="s">
        <v>135</v>
      </c>
      <c r="O5" s="122">
        <f t="shared" si="0"/>
        <v>-3778.5714285714284</v>
      </c>
      <c r="P5" s="119">
        <v>42</v>
      </c>
      <c r="Q5" s="103">
        <v>-158700</v>
      </c>
    </row>
    <row r="6" spans="1:17" x14ac:dyDescent="0.4">
      <c r="A6" s="55" t="s">
        <v>1</v>
      </c>
      <c r="B6" s="148">
        <f>IF(B$2=0,0,(B$7*1+B$8*2+B$9*3)/B$2)</f>
        <v>2.1041666666666665</v>
      </c>
      <c r="C6" s="149"/>
      <c r="E6" s="63" t="s">
        <v>69</v>
      </c>
      <c r="F6" s="60" t="s">
        <v>12</v>
      </c>
      <c r="G6" s="47">
        <v>47</v>
      </c>
      <c r="H6" s="133">
        <f>IF(B$17=0,0,G6/B$17)</f>
        <v>0.38524590163934425</v>
      </c>
      <c r="I6" s="94">
        <v>3</v>
      </c>
      <c r="K6" s="38">
        <v>4</v>
      </c>
      <c r="L6" s="99">
        <v>-150.6</v>
      </c>
      <c r="N6" s="115" t="s">
        <v>136</v>
      </c>
      <c r="O6" s="122">
        <f t="shared" si="0"/>
        <v>-668.42105263157896</v>
      </c>
      <c r="P6" s="119">
        <v>38</v>
      </c>
      <c r="Q6" s="103">
        <v>-25400</v>
      </c>
    </row>
    <row r="7" spans="1:17" x14ac:dyDescent="0.4">
      <c r="A7" s="55" t="s">
        <v>2</v>
      </c>
      <c r="B7" s="47">
        <v>14</v>
      </c>
      <c r="C7" s="39">
        <f>IF(B$2=0,0,B7/B$2)</f>
        <v>0.29166666666666669</v>
      </c>
      <c r="E7" s="63" t="s">
        <v>70</v>
      </c>
      <c r="F7" s="60" t="s">
        <v>25</v>
      </c>
      <c r="G7" s="47">
        <v>13</v>
      </c>
      <c r="H7" s="133">
        <f>IF(B$17=0,0,G7/B$17)</f>
        <v>0.10655737704918032</v>
      </c>
      <c r="I7" s="94">
        <v>12</v>
      </c>
      <c r="K7" s="38">
        <v>5</v>
      </c>
      <c r="L7" s="99">
        <v>-184.89999999999998</v>
      </c>
      <c r="N7" s="116" t="s">
        <v>137</v>
      </c>
      <c r="O7" s="123">
        <f t="shared" si="0"/>
        <v>469.44444444444446</v>
      </c>
      <c r="P7" s="120">
        <v>36</v>
      </c>
      <c r="Q7" s="104">
        <v>16900</v>
      </c>
    </row>
    <row r="8" spans="1:17" x14ac:dyDescent="0.4">
      <c r="A8" s="55" t="s">
        <v>3</v>
      </c>
      <c r="B8" s="47">
        <v>15</v>
      </c>
      <c r="C8" s="39">
        <f>IF(B$2=0,0,B8/B$2)</f>
        <v>0.3125</v>
      </c>
      <c r="E8" s="63" t="s">
        <v>71</v>
      </c>
      <c r="F8" s="60" t="s">
        <v>26</v>
      </c>
      <c r="G8" s="47">
        <v>14</v>
      </c>
      <c r="H8" s="133">
        <f>IF(B$17=0,0,G8/B$17)</f>
        <v>0.11475409836065574</v>
      </c>
      <c r="I8" s="94">
        <v>4</v>
      </c>
      <c r="K8" s="38">
        <v>6</v>
      </c>
      <c r="L8" s="99">
        <v>-187.59999999999997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19</v>
      </c>
      <c r="C9" s="40">
        <f t="shared" ref="C9" si="1">IF(B$2=0,0,B9/B$2)</f>
        <v>0.39583333333333331</v>
      </c>
      <c r="E9" s="63" t="s">
        <v>72</v>
      </c>
      <c r="F9" s="60" t="s">
        <v>27</v>
      </c>
      <c r="G9" s="47">
        <v>6</v>
      </c>
      <c r="H9" s="133">
        <f>IF(B$17=0,0,G9/B$17)</f>
        <v>4.9180327868852458E-2</v>
      </c>
      <c r="I9" s="94">
        <v>11</v>
      </c>
      <c r="K9" s="38">
        <v>7</v>
      </c>
      <c r="L9" s="99">
        <v>-216.09999999999997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7</v>
      </c>
      <c r="C10" s="40">
        <f>IF(B$2=0,0,B10/B$2)</f>
        <v>0.14583333333333334</v>
      </c>
      <c r="E10" s="63" t="s">
        <v>73</v>
      </c>
      <c r="F10" s="60" t="s">
        <v>28</v>
      </c>
      <c r="G10" s="47">
        <v>64</v>
      </c>
      <c r="H10" s="133">
        <f>IF(B$17=0,0,G10/B$17)</f>
        <v>0.52459016393442626</v>
      </c>
      <c r="I10" s="94">
        <v>9</v>
      </c>
      <c r="K10" s="38">
        <v>8</v>
      </c>
      <c r="L10" s="99">
        <v>-219.59999999999997</v>
      </c>
      <c r="N10" s="114" t="s">
        <v>164</v>
      </c>
      <c r="O10" s="124">
        <f>IF(P10=0,0,Q10/P10)</f>
        <v>-14.399999999999999</v>
      </c>
      <c r="P10" s="118">
        <v>13</v>
      </c>
      <c r="Q10" s="106">
        <v>-187.2</v>
      </c>
    </row>
    <row r="11" spans="1:17" x14ac:dyDescent="0.4">
      <c r="A11" s="56" t="s">
        <v>140</v>
      </c>
      <c r="B11" s="48">
        <v>3</v>
      </c>
      <c r="C11" s="40">
        <f>IF(B$2=0,0,B11/B$2)</f>
        <v>6.25E-2</v>
      </c>
      <c r="E11" s="63" t="s">
        <v>74</v>
      </c>
      <c r="F11" s="60" t="s">
        <v>29</v>
      </c>
      <c r="G11" s="47">
        <v>3</v>
      </c>
      <c r="H11" s="133">
        <f>IF(B$17=0,0,G11/B$17)</f>
        <v>2.4590163934426229E-2</v>
      </c>
      <c r="I11" s="94">
        <v>1</v>
      </c>
      <c r="K11" s="38">
        <v>9</v>
      </c>
      <c r="L11" s="99">
        <v>-260.59999999999997</v>
      </c>
      <c r="N11" s="115" t="s">
        <v>165</v>
      </c>
      <c r="O11" s="125">
        <f>IF(P11=0,0,Q11/P11)</f>
        <v>-4.9333333333333327</v>
      </c>
      <c r="P11" s="119">
        <v>21</v>
      </c>
      <c r="Q11" s="107">
        <v>-103.6</v>
      </c>
    </row>
    <row r="12" spans="1:17" x14ac:dyDescent="0.4">
      <c r="A12" s="57" t="s">
        <v>160</v>
      </c>
      <c r="B12" s="49">
        <v>2</v>
      </c>
      <c r="C12" s="42">
        <f>IF(B$2=0,0,B12/B$2)</f>
        <v>4.1666666666666664E-2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K12" s="38">
        <v>10</v>
      </c>
      <c r="L12" s="99">
        <v>-318.39999999999998</v>
      </c>
      <c r="N12" s="116" t="s">
        <v>166</v>
      </c>
      <c r="O12" s="126">
        <f>IF(P12=0,0,Q12/P12)</f>
        <v>-6.9214285714285699</v>
      </c>
      <c r="P12" s="120">
        <v>14</v>
      </c>
      <c r="Q12" s="108">
        <v>-96.899999999999977</v>
      </c>
    </row>
    <row r="13" spans="1:17" x14ac:dyDescent="0.4">
      <c r="A13" s="58" t="s">
        <v>122</v>
      </c>
      <c r="B13" s="50">
        <v>92</v>
      </c>
      <c r="C13" s="44">
        <f>IF(B$3=0,0,B13/B$3)</f>
        <v>0.22168674698795179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9</v>
      </c>
      <c r="K13" s="38">
        <v>11</v>
      </c>
      <c r="L13" s="99">
        <v>-325.39999999999998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105</v>
      </c>
      <c r="C14" s="39">
        <f>IF(B$3=0,0,B14/B$3)</f>
        <v>0.25301204819277107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-289.59999999999997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55</v>
      </c>
      <c r="C15" s="37">
        <f>IF(B$13=0,0,B15/B$13)</f>
        <v>0.59782608695652173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8</v>
      </c>
      <c r="K15" s="38">
        <v>13</v>
      </c>
      <c r="L15" s="99">
        <v>-302.59999999999997</v>
      </c>
      <c r="N15" s="114" t="s">
        <v>129</v>
      </c>
      <c r="O15" s="124">
        <f t="shared" ref="O15:O23" si="2">IF(P15=0,0,Q15/P15)</f>
        <v>21.862500000000001</v>
      </c>
      <c r="P15" s="118">
        <v>8</v>
      </c>
      <c r="Q15" s="106">
        <v>174.9</v>
      </c>
    </row>
    <row r="16" spans="1:17" x14ac:dyDescent="0.4">
      <c r="A16" s="54" t="s">
        <v>125</v>
      </c>
      <c r="B16" s="46">
        <v>35</v>
      </c>
      <c r="C16" s="37">
        <f>IF(B$14=0,0,B16/B$14)</f>
        <v>0.33333333333333331</v>
      </c>
      <c r="E16" s="63" t="s">
        <v>79</v>
      </c>
      <c r="F16" s="60" t="s">
        <v>34</v>
      </c>
      <c r="G16" s="47">
        <v>3</v>
      </c>
      <c r="H16" s="133">
        <f>IF(B$17=0,0,G16/B$17)</f>
        <v>2.4590163934426229E-2</v>
      </c>
      <c r="I16" s="94">
        <v>8</v>
      </c>
      <c r="K16" s="38">
        <v>14</v>
      </c>
      <c r="L16" s="99">
        <v>-269.99999999999994</v>
      </c>
      <c r="N16" s="115" t="s">
        <v>172</v>
      </c>
      <c r="O16" s="125">
        <f t="shared" si="2"/>
        <v>-6.633333333333332</v>
      </c>
      <c r="P16" s="119">
        <v>12</v>
      </c>
      <c r="Q16" s="107">
        <v>-79.59999999999998</v>
      </c>
    </row>
    <row r="17" spans="1:17" x14ac:dyDescent="0.4">
      <c r="A17" s="54" t="s">
        <v>10</v>
      </c>
      <c r="B17" s="46">
        <f>B19+B18</f>
        <v>122</v>
      </c>
      <c r="C17" s="37">
        <f>IF(B$3=0,0,B17/B$3)</f>
        <v>0.29397590361445786</v>
      </c>
      <c r="E17" s="63" t="s">
        <v>80</v>
      </c>
      <c r="F17" s="60" t="s">
        <v>35</v>
      </c>
      <c r="G17" s="47">
        <v>2</v>
      </c>
      <c r="H17" s="133">
        <f>IF(B$17=0,0,G17/B$17)</f>
        <v>1.6393442622950821E-2</v>
      </c>
      <c r="I17" s="94">
        <v>7</v>
      </c>
      <c r="K17" s="38">
        <v>15</v>
      </c>
      <c r="L17" s="99">
        <v>-264.59999999999997</v>
      </c>
      <c r="N17" s="115" t="s">
        <v>128</v>
      </c>
      <c r="O17" s="125">
        <f t="shared" si="2"/>
        <v>-9.0374999999999961</v>
      </c>
      <c r="P17" s="119">
        <v>24</v>
      </c>
      <c r="Q17" s="107">
        <v>-216.89999999999992</v>
      </c>
    </row>
    <row r="18" spans="1:17" x14ac:dyDescent="0.4">
      <c r="A18" s="55" t="s">
        <v>12</v>
      </c>
      <c r="B18" s="47">
        <v>62</v>
      </c>
      <c r="C18" s="39">
        <f>IF(B$17=0,0,B18/B$17)</f>
        <v>0.50819672131147542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-292.79999999999995</v>
      </c>
      <c r="N18" s="115" t="s">
        <v>171</v>
      </c>
      <c r="O18" s="125">
        <f t="shared" si="2"/>
        <v>-12.777777777777775</v>
      </c>
      <c r="P18" s="119">
        <v>18</v>
      </c>
      <c r="Q18" s="107">
        <v>-229.99999999999994</v>
      </c>
    </row>
    <row r="19" spans="1:17" x14ac:dyDescent="0.4">
      <c r="A19" s="55" t="s">
        <v>11</v>
      </c>
      <c r="B19" s="47">
        <v>60</v>
      </c>
      <c r="C19" s="39">
        <f>IF(B$17=0,0,B19/B$17)</f>
        <v>0.49180327868852458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11</v>
      </c>
      <c r="K19" s="38">
        <v>17</v>
      </c>
      <c r="L19" s="99">
        <v>-248.89999999999995</v>
      </c>
      <c r="N19" s="115" t="s">
        <v>127</v>
      </c>
      <c r="O19" s="125">
        <f t="shared" si="2"/>
        <v>-16.769565217391303</v>
      </c>
      <c r="P19" s="119">
        <v>23</v>
      </c>
      <c r="Q19" s="107">
        <v>-385.7</v>
      </c>
    </row>
    <row r="20" spans="1:17" x14ac:dyDescent="0.4">
      <c r="A20" s="55" t="s">
        <v>13</v>
      </c>
      <c r="B20" s="47">
        <v>77</v>
      </c>
      <c r="C20" s="39">
        <f>IF(B$3=0,0,B20/B$3)</f>
        <v>0.1855421686746988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-218.99999999999994</v>
      </c>
      <c r="N20" s="115" t="s">
        <v>177</v>
      </c>
      <c r="O20" s="125">
        <f t="shared" si="2"/>
        <v>-22.274999999999999</v>
      </c>
      <c r="P20" s="119">
        <v>8</v>
      </c>
      <c r="Q20" s="107">
        <v>-178.2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84</v>
      </c>
      <c r="F21" s="60" t="s">
        <v>39</v>
      </c>
      <c r="G21" s="47">
        <v>2</v>
      </c>
      <c r="H21" s="133">
        <f>IF(B$17=0,0,G21/B$17)</f>
        <v>1.6393442622950821E-2</v>
      </c>
      <c r="I21" s="94">
        <v>11</v>
      </c>
      <c r="K21" s="38">
        <v>19</v>
      </c>
      <c r="L21" s="99">
        <v>-188.59999999999994</v>
      </c>
      <c r="N21" s="115" t="s">
        <v>200</v>
      </c>
      <c r="O21" s="125">
        <f t="shared" si="2"/>
        <v>-43.1</v>
      </c>
      <c r="P21" s="119">
        <v>1</v>
      </c>
      <c r="Q21" s="107">
        <v>-43.1</v>
      </c>
    </row>
    <row r="22" spans="1:17" x14ac:dyDescent="0.4">
      <c r="A22" s="55" t="s">
        <v>192</v>
      </c>
      <c r="B22" s="47">
        <v>24</v>
      </c>
      <c r="C22" s="135">
        <v>11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  <c r="K22" s="38">
        <v>20</v>
      </c>
      <c r="L22" s="99">
        <v>-182.79999999999993</v>
      </c>
      <c r="N22" s="115" t="s">
        <v>183</v>
      </c>
      <c r="O22" s="125">
        <f t="shared" si="2"/>
        <v>-45.5</v>
      </c>
      <c r="P22" s="119">
        <v>1</v>
      </c>
      <c r="Q22" s="107">
        <v>-45.5</v>
      </c>
    </row>
    <row r="23" spans="1:17" x14ac:dyDescent="0.4">
      <c r="A23" s="55" t="s">
        <v>5</v>
      </c>
      <c r="B23" s="51">
        <f>IF(B$17=0,0,C23/B$17)</f>
        <v>6954.0983606557375</v>
      </c>
      <c r="C23" s="41">
        <v>848400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-203.79999999999993</v>
      </c>
      <c r="N23" s="115" t="s">
        <v>184</v>
      </c>
      <c r="O23" s="125">
        <f t="shared" si="2"/>
        <v>-159</v>
      </c>
      <c r="P23" s="119">
        <v>1</v>
      </c>
      <c r="Q23" s="107">
        <v>-159</v>
      </c>
    </row>
    <row r="24" spans="1:17" x14ac:dyDescent="0.4">
      <c r="A24" s="57" t="s">
        <v>14</v>
      </c>
      <c r="B24" s="52">
        <f>IF(B$20=0,0,C24/B$20)</f>
        <v>-8290.9090909090901</v>
      </c>
      <c r="C24" s="45">
        <v>-638400</v>
      </c>
      <c r="E24" s="63" t="s">
        <v>87</v>
      </c>
      <c r="F24" s="60" t="s">
        <v>42</v>
      </c>
      <c r="G24" s="47">
        <v>5</v>
      </c>
      <c r="H24" s="133">
        <f>IF(B$17=0,0,G24/B$17)</f>
        <v>4.0983606557377046E-2</v>
      </c>
      <c r="I24" s="94">
        <v>9</v>
      </c>
      <c r="K24" s="38">
        <v>22</v>
      </c>
      <c r="L24" s="99">
        <v>-262.49999999999994</v>
      </c>
    </row>
    <row r="25" spans="1:17" x14ac:dyDescent="0.4">
      <c r="A25" s="90" t="s">
        <v>142</v>
      </c>
      <c r="B25" s="146">
        <v>6</v>
      </c>
      <c r="C25" s="147"/>
      <c r="E25" s="63" t="s">
        <v>88</v>
      </c>
      <c r="F25" s="60" t="s">
        <v>43</v>
      </c>
      <c r="G25" s="47">
        <v>1</v>
      </c>
      <c r="H25" s="133">
        <f>IF(B$17=0,0,G25/B$17)</f>
        <v>8.1967213114754103E-3</v>
      </c>
      <c r="I25" s="94">
        <v>2</v>
      </c>
      <c r="K25" s="38">
        <v>23</v>
      </c>
      <c r="L25" s="99">
        <v>-259.09999999999997</v>
      </c>
    </row>
    <row r="26" spans="1:17" x14ac:dyDescent="0.4">
      <c r="A26" s="58" t="s">
        <v>152</v>
      </c>
      <c r="B26" s="144">
        <v>85900</v>
      </c>
      <c r="C26" s="145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  <c r="K26" s="38">
        <v>24</v>
      </c>
      <c r="L26" s="99">
        <v>-287.89999999999998</v>
      </c>
    </row>
    <row r="27" spans="1:17" x14ac:dyDescent="0.4">
      <c r="A27" s="57" t="s">
        <v>143</v>
      </c>
      <c r="B27" s="65">
        <v>2</v>
      </c>
      <c r="C27" s="42">
        <f>IF(B$3=0,0,B27/B$3)</f>
        <v>4.8192771084337354E-3</v>
      </c>
      <c r="E27" s="63" t="s">
        <v>90</v>
      </c>
      <c r="F27" s="60" t="s">
        <v>45</v>
      </c>
      <c r="G27" s="47">
        <v>15</v>
      </c>
      <c r="H27" s="133">
        <f>IF(B$17=0,0,G27/B$17)</f>
        <v>0.12295081967213115</v>
      </c>
      <c r="I27" s="94">
        <v>7</v>
      </c>
      <c r="K27" s="38">
        <v>25</v>
      </c>
      <c r="L27" s="99">
        <v>-344.29999999999995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-285.09999999999997</v>
      </c>
    </row>
    <row r="29" spans="1:17" x14ac:dyDescent="0.4">
      <c r="E29" s="63" t="s">
        <v>92</v>
      </c>
      <c r="F29" s="60" t="s">
        <v>47</v>
      </c>
      <c r="G29" s="47">
        <v>2</v>
      </c>
      <c r="H29" s="133">
        <f>IF(B$17=0,0,G29/B$17)</f>
        <v>1.6393442622950821E-2</v>
      </c>
      <c r="I29" s="94">
        <v>6</v>
      </c>
      <c r="K29" s="38">
        <v>27</v>
      </c>
      <c r="L29" s="99">
        <v>-257.39999999999998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  <c r="K30" s="38">
        <v>28</v>
      </c>
      <c r="L30" s="99">
        <v>-248.2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  <c r="K31" s="38">
        <v>29</v>
      </c>
      <c r="L31" s="99">
        <v>-177.29999999999998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-202.79999999999998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-226.29999999999998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-193.79999999999998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-194.1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-224.6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-224.9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-190.5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-234.4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-211.5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-223.9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-279.89999999999998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-303.59999999999997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-338.7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-289.7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-262.59999999999997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-295.39999999999998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-377.4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-439.7</v>
      </c>
    </row>
    <row r="50" spans="5:12" x14ac:dyDescent="0.4">
      <c r="E50" s="63" t="s">
        <v>180</v>
      </c>
      <c r="F50" s="60" t="s">
        <v>181</v>
      </c>
      <c r="G50" s="47">
        <v>2</v>
      </c>
      <c r="H50" s="133">
        <f>IF(B$17=0,0,G50/B$17)</f>
        <v>1.6393442622950821E-2</v>
      </c>
      <c r="I50" s="94">
        <v>5</v>
      </c>
      <c r="K50" s="38">
        <v>48</v>
      </c>
      <c r="L50" s="99">
        <v>-387.7</v>
      </c>
    </row>
    <row r="51" spans="5:12" x14ac:dyDescent="0.4">
      <c r="E51" s="136" t="s">
        <v>245</v>
      </c>
      <c r="F51" s="137" t="s">
        <v>246</v>
      </c>
      <c r="G51" s="48">
        <v>48</v>
      </c>
      <c r="H51" s="138">
        <f>IF(B$17=0,0,G51/B$17)</f>
        <v>0.39344262295081966</v>
      </c>
      <c r="I51" s="139">
        <v>9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8AF6A-DE81-4056-8EEF-5F5AD150A99F}">
  <sheetPr codeName="Sheet19"/>
  <dimension ref="A1:Q80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177</v>
      </c>
      <c r="C1" s="151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2">
        <v>78</v>
      </c>
      <c r="C2" s="153"/>
      <c r="E2" s="62" t="s">
        <v>65</v>
      </c>
      <c r="F2" s="59" t="s">
        <v>21</v>
      </c>
      <c r="G2" s="46">
        <v>114</v>
      </c>
      <c r="H2" s="132">
        <f>IF(B$17=0,0,G2/B$17)</f>
        <v>0.62983425414364635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873.07692307692309</v>
      </c>
      <c r="P2" s="118">
        <v>78</v>
      </c>
      <c r="Q2" s="102">
        <v>68100</v>
      </c>
    </row>
    <row r="3" spans="1:17" x14ac:dyDescent="0.4">
      <c r="A3" s="55" t="s">
        <v>8</v>
      </c>
      <c r="B3" s="154">
        <v>636</v>
      </c>
      <c r="C3" s="155"/>
      <c r="E3" s="63" t="s">
        <v>67</v>
      </c>
      <c r="F3" s="60" t="s">
        <v>23</v>
      </c>
      <c r="G3" s="47">
        <v>102</v>
      </c>
      <c r="H3" s="133">
        <f>IF(B$17=0,0,G3/B$17)</f>
        <v>0.56353591160220995</v>
      </c>
      <c r="I3" s="94">
        <v>13</v>
      </c>
      <c r="K3" s="38">
        <v>1</v>
      </c>
      <c r="L3" s="99">
        <v>-1.9</v>
      </c>
      <c r="N3" s="115" t="s">
        <v>133</v>
      </c>
      <c r="O3" s="122">
        <f t="shared" si="0"/>
        <v>468</v>
      </c>
      <c r="P3" s="119">
        <v>75</v>
      </c>
      <c r="Q3" s="103">
        <v>35100</v>
      </c>
    </row>
    <row r="4" spans="1:17" x14ac:dyDescent="0.4">
      <c r="A4" s="55" t="s">
        <v>6</v>
      </c>
      <c r="B4" s="156">
        <v>193.39999999999998</v>
      </c>
      <c r="C4" s="157"/>
      <c r="E4" s="63" t="s">
        <v>245</v>
      </c>
      <c r="F4" s="60" t="s">
        <v>246</v>
      </c>
      <c r="G4" s="47">
        <v>80</v>
      </c>
      <c r="H4" s="133">
        <f>IF(B$17=0,0,G4/B$17)</f>
        <v>0.44198895027624308</v>
      </c>
      <c r="I4" s="94">
        <v>3</v>
      </c>
      <c r="K4" s="38">
        <v>2</v>
      </c>
      <c r="L4" s="99">
        <v>30</v>
      </c>
      <c r="N4" s="115" t="s">
        <v>134</v>
      </c>
      <c r="O4" s="122">
        <f t="shared" si="0"/>
        <v>-239.70588235294119</v>
      </c>
      <c r="P4" s="119">
        <v>68</v>
      </c>
      <c r="Q4" s="103">
        <v>-16300</v>
      </c>
    </row>
    <row r="5" spans="1:17" x14ac:dyDescent="0.4">
      <c r="A5" s="55" t="s">
        <v>7</v>
      </c>
      <c r="B5" s="158">
        <f>IF(B$2=0,0,B$4/B$2)</f>
        <v>2.4794871794871791</v>
      </c>
      <c r="C5" s="159"/>
      <c r="E5" s="63" t="s">
        <v>73</v>
      </c>
      <c r="F5" s="60" t="s">
        <v>28</v>
      </c>
      <c r="G5" s="47">
        <v>74</v>
      </c>
      <c r="H5" s="133">
        <f>IF(B$17=0,0,G5/B$17)</f>
        <v>0.40883977900552487</v>
      </c>
      <c r="I5" s="94">
        <v>12</v>
      </c>
      <c r="K5" s="38">
        <v>3</v>
      </c>
      <c r="L5" s="99">
        <v>-10</v>
      </c>
      <c r="N5" s="115" t="s">
        <v>135</v>
      </c>
      <c r="O5" s="122">
        <f t="shared" si="0"/>
        <v>2052.3076923076924</v>
      </c>
      <c r="P5" s="119">
        <v>65</v>
      </c>
      <c r="Q5" s="103">
        <v>133400</v>
      </c>
    </row>
    <row r="6" spans="1:17" x14ac:dyDescent="0.4">
      <c r="A6" s="55" t="s">
        <v>1</v>
      </c>
      <c r="B6" s="148">
        <f>IF(B$2=0,0,(B$7*1+B$8*2+B$9*3)/B$2)</f>
        <v>1.9358974358974359</v>
      </c>
      <c r="C6" s="149"/>
      <c r="E6" s="63" t="s">
        <v>68</v>
      </c>
      <c r="F6" s="60" t="s">
        <v>24</v>
      </c>
      <c r="G6" s="47">
        <v>73</v>
      </c>
      <c r="H6" s="133">
        <f>IF(B$17=0,0,G6/B$17)</f>
        <v>0.40331491712707185</v>
      </c>
      <c r="I6" s="94">
        <v>3</v>
      </c>
      <c r="K6" s="38">
        <v>4</v>
      </c>
      <c r="L6" s="99">
        <v>40</v>
      </c>
      <c r="N6" s="115" t="s">
        <v>136</v>
      </c>
      <c r="O6" s="122">
        <f t="shared" si="0"/>
        <v>-1800</v>
      </c>
      <c r="P6" s="119">
        <v>59</v>
      </c>
      <c r="Q6" s="103">
        <v>-106200</v>
      </c>
    </row>
    <row r="7" spans="1:17" x14ac:dyDescent="0.4">
      <c r="A7" s="55" t="s">
        <v>2</v>
      </c>
      <c r="B7" s="47">
        <v>28</v>
      </c>
      <c r="C7" s="39">
        <f>IF(B$2=0,0,B7/B$2)</f>
        <v>0.35897435897435898</v>
      </c>
      <c r="E7" s="63" t="s">
        <v>69</v>
      </c>
      <c r="F7" s="60" t="s">
        <v>12</v>
      </c>
      <c r="G7" s="47">
        <v>58</v>
      </c>
      <c r="H7" s="133">
        <f>IF(B$17=0,0,G7/B$17)</f>
        <v>0.32044198895027626</v>
      </c>
      <c r="I7" s="94">
        <v>6</v>
      </c>
      <c r="K7" s="38">
        <v>5</v>
      </c>
      <c r="L7" s="99">
        <v>35.4</v>
      </c>
      <c r="N7" s="116" t="s">
        <v>137</v>
      </c>
      <c r="O7" s="123">
        <f t="shared" si="0"/>
        <v>614.58333333333337</v>
      </c>
      <c r="P7" s="120">
        <v>48</v>
      </c>
      <c r="Q7" s="104">
        <v>29500</v>
      </c>
    </row>
    <row r="8" spans="1:17" x14ac:dyDescent="0.4">
      <c r="A8" s="55" t="s">
        <v>3</v>
      </c>
      <c r="B8" s="47">
        <v>27</v>
      </c>
      <c r="C8" s="39">
        <f>IF(B$2=0,0,B8/B$2)</f>
        <v>0.34615384615384615</v>
      </c>
      <c r="E8" s="63" t="s">
        <v>70</v>
      </c>
      <c r="F8" s="60" t="s">
        <v>25</v>
      </c>
      <c r="G8" s="47">
        <v>30</v>
      </c>
      <c r="H8" s="133">
        <f>IF(B$17=0,0,G8/B$17)</f>
        <v>0.16574585635359115</v>
      </c>
      <c r="I8" s="94">
        <v>8</v>
      </c>
      <c r="K8" s="38">
        <v>6</v>
      </c>
      <c r="L8" s="99">
        <v>3.8999999999999986</v>
      </c>
      <c r="N8" s="43"/>
      <c r="O8" s="127"/>
      <c r="P8" s="111"/>
      <c r="Q8" s="109"/>
    </row>
    <row r="9" spans="1:17" x14ac:dyDescent="0.4">
      <c r="A9" s="56" t="s">
        <v>4</v>
      </c>
      <c r="B9" s="48">
        <v>23</v>
      </c>
      <c r="C9" s="40">
        <f t="shared" ref="C9" si="1">IF(B$2=0,0,B9/B$2)</f>
        <v>0.29487179487179488</v>
      </c>
      <c r="E9" s="63" t="s">
        <v>66</v>
      </c>
      <c r="F9" s="60" t="s">
        <v>22</v>
      </c>
      <c r="G9" s="47">
        <v>21</v>
      </c>
      <c r="H9" s="133">
        <f>IF(B$17=0,0,G9/B$17)</f>
        <v>0.11602209944751381</v>
      </c>
      <c r="I9" s="94">
        <v>4</v>
      </c>
      <c r="K9" s="38">
        <v>7</v>
      </c>
      <c r="L9" s="99">
        <v>-30.1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11</v>
      </c>
      <c r="C10" s="40">
        <f>IF(B$2=0,0,B10/B$2)</f>
        <v>0.14102564102564102</v>
      </c>
      <c r="E10" s="63" t="s">
        <v>90</v>
      </c>
      <c r="F10" s="60" t="s">
        <v>45</v>
      </c>
      <c r="G10" s="47">
        <v>21</v>
      </c>
      <c r="H10" s="133">
        <f>IF(B$17=0,0,G10/B$17)</f>
        <v>0.11602209944751381</v>
      </c>
      <c r="I10" s="94">
        <v>8</v>
      </c>
      <c r="K10" s="38">
        <v>8</v>
      </c>
      <c r="L10" s="99">
        <v>-87.1</v>
      </c>
      <c r="N10" s="114" t="s">
        <v>164</v>
      </c>
      <c r="O10" s="124">
        <f>IF(P10=0,0,Q10/P10)</f>
        <v>0.49583333333333268</v>
      </c>
      <c r="P10" s="118">
        <v>24</v>
      </c>
      <c r="Q10" s="106">
        <v>11.899999999999984</v>
      </c>
    </row>
    <row r="11" spans="1:17" x14ac:dyDescent="0.4">
      <c r="A11" s="56" t="s">
        <v>140</v>
      </c>
      <c r="B11" s="48">
        <v>10</v>
      </c>
      <c r="C11" s="40">
        <f>IF(B$2=0,0,B11/B$2)</f>
        <v>0.12820512820512819</v>
      </c>
      <c r="E11" s="63" t="s">
        <v>71</v>
      </c>
      <c r="F11" s="60" t="s">
        <v>26</v>
      </c>
      <c r="G11" s="47">
        <v>12</v>
      </c>
      <c r="H11" s="133">
        <f>IF(B$17=0,0,G11/B$17)</f>
        <v>6.6298342541436461E-2</v>
      </c>
      <c r="I11" s="94">
        <v>9</v>
      </c>
      <c r="K11" s="38">
        <v>9</v>
      </c>
      <c r="L11" s="99">
        <v>-128.6</v>
      </c>
      <c r="N11" s="115" t="s">
        <v>165</v>
      </c>
      <c r="O11" s="125">
        <f>IF(P11=0,0,Q11/P11)</f>
        <v>6.3833333333333337</v>
      </c>
      <c r="P11" s="119">
        <v>30</v>
      </c>
      <c r="Q11" s="107">
        <v>191.5</v>
      </c>
    </row>
    <row r="12" spans="1:17" x14ac:dyDescent="0.4">
      <c r="A12" s="57" t="s">
        <v>160</v>
      </c>
      <c r="B12" s="49">
        <v>5</v>
      </c>
      <c r="C12" s="42">
        <f>IF(B$2=0,0,B12/B$2)</f>
        <v>6.4102564102564097E-2</v>
      </c>
      <c r="E12" s="63" t="s">
        <v>72</v>
      </c>
      <c r="F12" s="60" t="s">
        <v>27</v>
      </c>
      <c r="G12" s="47">
        <v>12</v>
      </c>
      <c r="H12" s="133">
        <f>IF(B$17=0,0,G12/B$17)</f>
        <v>6.6298342541436461E-2</v>
      </c>
      <c r="I12" s="94">
        <v>7</v>
      </c>
      <c r="K12" s="38">
        <v>10</v>
      </c>
      <c r="L12" s="99">
        <v>-183.7</v>
      </c>
      <c r="N12" s="116" t="s">
        <v>166</v>
      </c>
      <c r="O12" s="126">
        <f>IF(P12=0,0,Q12/P12)</f>
        <v>-0.41666666666666713</v>
      </c>
      <c r="P12" s="120">
        <v>24</v>
      </c>
      <c r="Q12" s="108">
        <v>-10.000000000000011</v>
      </c>
    </row>
    <row r="13" spans="1:17" x14ac:dyDescent="0.4">
      <c r="A13" s="58" t="s">
        <v>122</v>
      </c>
      <c r="B13" s="50">
        <v>187</v>
      </c>
      <c r="C13" s="44">
        <f>IF(B$3=0,0,B13/B$3)</f>
        <v>0.29402515723270439</v>
      </c>
      <c r="E13" s="63" t="s">
        <v>87</v>
      </c>
      <c r="F13" s="60" t="s">
        <v>42</v>
      </c>
      <c r="G13" s="47">
        <v>9</v>
      </c>
      <c r="H13" s="133">
        <f>IF(B$17=0,0,G13/B$17)</f>
        <v>4.9723756906077346E-2</v>
      </c>
      <c r="I13" s="94">
        <v>8</v>
      </c>
      <c r="K13" s="38">
        <v>11</v>
      </c>
      <c r="L13" s="99">
        <v>-152.89999999999998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113</v>
      </c>
      <c r="C14" s="39">
        <f>IF(B$3=0,0,B14/B$3)</f>
        <v>0.17767295597484276</v>
      </c>
      <c r="E14" s="63" t="s">
        <v>84</v>
      </c>
      <c r="F14" s="60" t="s">
        <v>39</v>
      </c>
      <c r="G14" s="47">
        <v>7</v>
      </c>
      <c r="H14" s="133">
        <f>IF(B$17=0,0,G14/B$17)</f>
        <v>3.8674033149171269E-2</v>
      </c>
      <c r="I14" s="94">
        <v>7</v>
      </c>
      <c r="K14" s="38">
        <v>12</v>
      </c>
      <c r="L14" s="99">
        <v>-208.09999999999997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114</v>
      </c>
      <c r="C15" s="37">
        <f>IF(B$13=0,0,B15/B$13)</f>
        <v>0.60962566844919786</v>
      </c>
      <c r="E15" s="63" t="s">
        <v>79</v>
      </c>
      <c r="F15" s="60" t="s">
        <v>34</v>
      </c>
      <c r="G15" s="47">
        <v>6</v>
      </c>
      <c r="H15" s="133">
        <f>IF(B$17=0,0,G15/B$17)</f>
        <v>3.3149171270718231E-2</v>
      </c>
      <c r="I15" s="94">
        <v>5</v>
      </c>
      <c r="K15" s="38">
        <v>13</v>
      </c>
      <c r="L15" s="99">
        <v>-209.59999999999997</v>
      </c>
      <c r="N15" s="114" t="s">
        <v>271</v>
      </c>
      <c r="O15" s="124">
        <f>IF(P15=0,0,Q15/P15)</f>
        <v>45.8</v>
      </c>
      <c r="P15" s="118">
        <v>2</v>
      </c>
      <c r="Q15" s="106">
        <v>91.6</v>
      </c>
    </row>
    <row r="16" spans="1:17" x14ac:dyDescent="0.4">
      <c r="A16" s="54" t="s">
        <v>125</v>
      </c>
      <c r="B16" s="46">
        <v>38</v>
      </c>
      <c r="C16" s="37">
        <f>IF(B$14=0,0,B16/B$14)</f>
        <v>0.33628318584070799</v>
      </c>
      <c r="E16" s="63" t="s">
        <v>82</v>
      </c>
      <c r="F16" s="60" t="s">
        <v>37</v>
      </c>
      <c r="G16" s="47">
        <v>6</v>
      </c>
      <c r="H16" s="133">
        <f>IF(B$17=0,0,G16/B$17)</f>
        <v>3.3149171270718231E-2</v>
      </c>
      <c r="I16" s="94">
        <v>4</v>
      </c>
      <c r="K16" s="38">
        <v>14</v>
      </c>
      <c r="L16" s="99">
        <v>-178.49999999999997</v>
      </c>
      <c r="N16" s="115" t="s">
        <v>171</v>
      </c>
      <c r="O16" s="125">
        <f>IF(P16=0,0,Q16/P16)</f>
        <v>44.647368421052633</v>
      </c>
      <c r="P16" s="119">
        <v>19</v>
      </c>
      <c r="Q16" s="107">
        <v>848.30000000000007</v>
      </c>
    </row>
    <row r="17" spans="1:17" x14ac:dyDescent="0.4">
      <c r="A17" s="54" t="s">
        <v>10</v>
      </c>
      <c r="B17" s="46">
        <f>B19+B18</f>
        <v>181</v>
      </c>
      <c r="C17" s="37">
        <f>IF(B$3=0,0,B17/B$3)</f>
        <v>0.28459119496855345</v>
      </c>
      <c r="E17" s="63" t="s">
        <v>92</v>
      </c>
      <c r="F17" s="60" t="s">
        <v>47</v>
      </c>
      <c r="G17" s="47">
        <v>6</v>
      </c>
      <c r="H17" s="133">
        <f>IF(B$17=0,0,G17/B$17)</f>
        <v>3.3149171270718231E-2</v>
      </c>
      <c r="I17" s="94">
        <v>1</v>
      </c>
      <c r="K17" s="38">
        <v>15</v>
      </c>
      <c r="L17" s="99">
        <v>-146.19999999999999</v>
      </c>
      <c r="N17" s="115" t="s">
        <v>173</v>
      </c>
      <c r="O17" s="125">
        <f>IF(P17=0,0,Q17/P17)</f>
        <v>22.275000000000002</v>
      </c>
      <c r="P17" s="119">
        <v>8</v>
      </c>
      <c r="Q17" s="107">
        <v>178.20000000000002</v>
      </c>
    </row>
    <row r="18" spans="1:17" x14ac:dyDescent="0.4">
      <c r="A18" s="55" t="s">
        <v>12</v>
      </c>
      <c r="B18" s="47">
        <v>79</v>
      </c>
      <c r="C18" s="39">
        <f>IF(B$17=0,0,B18/B$17)</f>
        <v>0.43646408839779005</v>
      </c>
      <c r="E18" s="63" t="s">
        <v>80</v>
      </c>
      <c r="F18" s="60" t="s">
        <v>35</v>
      </c>
      <c r="G18" s="47">
        <v>3</v>
      </c>
      <c r="H18" s="133">
        <f>IF(B$17=0,0,G18/B$17)</f>
        <v>1.6574585635359115E-2</v>
      </c>
      <c r="I18" s="94">
        <v>6</v>
      </c>
      <c r="K18" s="38">
        <v>16</v>
      </c>
      <c r="L18" s="99">
        <v>-153.29999999999998</v>
      </c>
      <c r="N18" s="115" t="s">
        <v>128</v>
      </c>
      <c r="O18" s="125">
        <f>IF(P18=0,0,Q18/P18)</f>
        <v>6.1827586206896559</v>
      </c>
      <c r="P18" s="119">
        <v>29</v>
      </c>
      <c r="Q18" s="107">
        <v>179.3</v>
      </c>
    </row>
    <row r="19" spans="1:17" x14ac:dyDescent="0.4">
      <c r="A19" s="55" t="s">
        <v>11</v>
      </c>
      <c r="B19" s="47">
        <v>102</v>
      </c>
      <c r="C19" s="39">
        <f>IF(B$17=0,0,B19/B$17)</f>
        <v>0.56353591160220995</v>
      </c>
      <c r="E19" s="63" t="s">
        <v>86</v>
      </c>
      <c r="F19" s="60" t="s">
        <v>41</v>
      </c>
      <c r="G19" s="47">
        <v>3</v>
      </c>
      <c r="H19" s="133">
        <f>IF(B$17=0,0,G19/B$17)</f>
        <v>1.6574585635359115E-2</v>
      </c>
      <c r="I19" s="94">
        <v>1</v>
      </c>
      <c r="K19" s="38">
        <v>17</v>
      </c>
      <c r="L19" s="99">
        <v>-161.19999999999999</v>
      </c>
      <c r="N19" s="115" t="s">
        <v>184</v>
      </c>
      <c r="O19" s="125">
        <f>IF(P19=0,0,Q19/P19)</f>
        <v>4.8666666666666698</v>
      </c>
      <c r="P19" s="119">
        <v>6</v>
      </c>
      <c r="Q19" s="107">
        <v>29.200000000000017</v>
      </c>
    </row>
    <row r="20" spans="1:17" x14ac:dyDescent="0.4">
      <c r="A20" s="55" t="s">
        <v>13</v>
      </c>
      <c r="B20" s="47">
        <v>93</v>
      </c>
      <c r="C20" s="39">
        <f>IF(B$3=0,0,B20/B$3)</f>
        <v>0.14622641509433962</v>
      </c>
      <c r="E20" s="63" t="s">
        <v>76</v>
      </c>
      <c r="F20" s="60" t="s">
        <v>31</v>
      </c>
      <c r="G20" s="47">
        <v>2</v>
      </c>
      <c r="H20" s="133">
        <f>IF(B$17=0,0,G20/B$17)</f>
        <v>1.1049723756906077E-2</v>
      </c>
      <c r="I20" s="94">
        <v>3</v>
      </c>
      <c r="K20" s="38">
        <v>18</v>
      </c>
      <c r="L20" s="99">
        <v>-159</v>
      </c>
      <c r="N20" s="115" t="s">
        <v>129</v>
      </c>
      <c r="O20" s="125">
        <f>IF(P20=0,0,Q20/P20)</f>
        <v>2.2999999999999998</v>
      </c>
      <c r="P20" s="119">
        <v>26</v>
      </c>
      <c r="Q20" s="107">
        <v>59.79999999999999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78</v>
      </c>
      <c r="F21" s="60" t="s">
        <v>33</v>
      </c>
      <c r="G21" s="47">
        <v>2</v>
      </c>
      <c r="H21" s="133">
        <f>IF(B$17=0,0,G21/B$17)</f>
        <v>1.1049723756906077E-2</v>
      </c>
      <c r="I21" s="94">
        <v>4</v>
      </c>
      <c r="K21" s="38">
        <v>19</v>
      </c>
      <c r="L21" s="99">
        <v>-235.6</v>
      </c>
      <c r="N21" s="115" t="s">
        <v>172</v>
      </c>
      <c r="O21" s="125">
        <f>IF(P21=0,0,Q21/P21)</f>
        <v>0.4666666666666644</v>
      </c>
      <c r="P21" s="119">
        <v>24</v>
      </c>
      <c r="Q21" s="107">
        <v>11.199999999999946</v>
      </c>
    </row>
    <row r="22" spans="1:17" x14ac:dyDescent="0.4">
      <c r="A22" s="55" t="s">
        <v>192</v>
      </c>
      <c r="B22" s="47">
        <v>45</v>
      </c>
      <c r="C22" s="135">
        <v>10</v>
      </c>
      <c r="E22" s="63" t="s">
        <v>91</v>
      </c>
      <c r="F22" s="60" t="s">
        <v>46</v>
      </c>
      <c r="G22" s="47">
        <v>2</v>
      </c>
      <c r="H22" s="133">
        <f>IF(B$17=0,0,G22/B$17)</f>
        <v>1.1049723756906077E-2</v>
      </c>
      <c r="I22" s="94">
        <v>1</v>
      </c>
      <c r="K22" s="38">
        <v>20</v>
      </c>
      <c r="L22" s="99">
        <v>-200.8</v>
      </c>
      <c r="N22" s="115" t="s">
        <v>200</v>
      </c>
      <c r="O22" s="125">
        <f>IF(P22=0,0,Q22/P22)</f>
        <v>-2.4333333333333318</v>
      </c>
      <c r="P22" s="119">
        <v>6</v>
      </c>
      <c r="Q22" s="107">
        <v>-14.599999999999991</v>
      </c>
    </row>
    <row r="23" spans="1:17" x14ac:dyDescent="0.4">
      <c r="A23" s="55" t="s">
        <v>5</v>
      </c>
      <c r="B23" s="51">
        <f>IF(B$17=0,0,C23/B$17)</f>
        <v>8916.5745856353587</v>
      </c>
      <c r="C23" s="41">
        <v>1613900</v>
      </c>
      <c r="E23" s="63" t="s">
        <v>75</v>
      </c>
      <c r="F23" s="60" t="s">
        <v>30</v>
      </c>
      <c r="G23" s="47">
        <v>1</v>
      </c>
      <c r="H23" s="133">
        <f>IF(B$17=0,0,G23/B$17)</f>
        <v>5.5248618784530384E-3</v>
      </c>
      <c r="I23" s="94">
        <v>5</v>
      </c>
      <c r="K23" s="38">
        <v>21</v>
      </c>
      <c r="L23" s="99">
        <v>-188.60000000000002</v>
      </c>
      <c r="N23" s="115" t="s">
        <v>127</v>
      </c>
      <c r="O23" s="125">
        <f>IF(P23=0,0,Q23/P23)</f>
        <v>-20.172727272727279</v>
      </c>
      <c r="P23" s="119">
        <v>33</v>
      </c>
      <c r="Q23" s="107">
        <v>-665.70000000000016</v>
      </c>
    </row>
    <row r="24" spans="1:17" x14ac:dyDescent="0.4">
      <c r="A24" s="57" t="s">
        <v>14</v>
      </c>
      <c r="B24" s="52">
        <f>IF(B$20=0,0,C24/B$20)</f>
        <v>-7161.2903225806449</v>
      </c>
      <c r="C24" s="45">
        <v>-666000</v>
      </c>
      <c r="E24" s="63" t="s">
        <v>93</v>
      </c>
      <c r="F24" s="60" t="s">
        <v>48</v>
      </c>
      <c r="G24" s="47">
        <v>1</v>
      </c>
      <c r="H24" s="133">
        <f>IF(B$17=0,0,G24/B$17)</f>
        <v>5.5248618784530384E-3</v>
      </c>
      <c r="I24" s="94">
        <v>3</v>
      </c>
      <c r="K24" s="38">
        <v>22</v>
      </c>
      <c r="L24" s="99">
        <v>-142.60000000000002</v>
      </c>
      <c r="N24" s="115" t="s">
        <v>183</v>
      </c>
      <c r="O24" s="125">
        <f>IF(P24=0,0,Q24/P24)</f>
        <v>-45.699999999999996</v>
      </c>
      <c r="P24" s="119">
        <v>3</v>
      </c>
      <c r="Q24" s="107">
        <v>-137.1</v>
      </c>
    </row>
    <row r="25" spans="1:17" x14ac:dyDescent="0.4">
      <c r="A25" s="90" t="s">
        <v>142</v>
      </c>
      <c r="B25" s="146">
        <v>8</v>
      </c>
      <c r="C25" s="147"/>
      <c r="E25" s="63" t="s">
        <v>94</v>
      </c>
      <c r="F25" s="60" t="s">
        <v>49</v>
      </c>
      <c r="G25" s="47">
        <v>1</v>
      </c>
      <c r="H25" s="133">
        <f>IF(B$17=0,0,G25/B$17)</f>
        <v>5.5248618784530384E-3</v>
      </c>
      <c r="I25" s="94">
        <v>2</v>
      </c>
      <c r="K25" s="38">
        <v>23</v>
      </c>
      <c r="L25" s="99">
        <v>-145.80000000000001</v>
      </c>
    </row>
    <row r="26" spans="1:17" x14ac:dyDescent="0.4">
      <c r="A26" s="58" t="s">
        <v>152</v>
      </c>
      <c r="B26" s="144">
        <v>103000</v>
      </c>
      <c r="C26" s="145"/>
      <c r="E26" s="63" t="s">
        <v>102</v>
      </c>
      <c r="F26" s="60" t="s">
        <v>57</v>
      </c>
      <c r="G26" s="47">
        <v>1</v>
      </c>
      <c r="H26" s="133">
        <f>IF(B$17=0,0,G26/B$17)</f>
        <v>5.5248618784530384E-3</v>
      </c>
      <c r="I26" s="94">
        <v>1</v>
      </c>
      <c r="K26" s="38">
        <v>24</v>
      </c>
      <c r="L26" s="99">
        <v>-204</v>
      </c>
    </row>
    <row r="27" spans="1:17" x14ac:dyDescent="0.4">
      <c r="A27" s="57" t="s">
        <v>143</v>
      </c>
      <c r="B27" s="65">
        <v>3</v>
      </c>
      <c r="C27" s="42">
        <f>IF(B$3=0,0,B27/B$3)</f>
        <v>4.7169811320754715E-3</v>
      </c>
      <c r="E27" s="63" t="s">
        <v>74</v>
      </c>
      <c r="F27" s="60" t="s">
        <v>29</v>
      </c>
      <c r="G27" s="47">
        <v>0</v>
      </c>
      <c r="H27" s="133">
        <f>IF(B$17=0,0,G27/B$17)</f>
        <v>0</v>
      </c>
      <c r="I27" s="94">
        <v>8</v>
      </c>
      <c r="K27" s="38">
        <v>25</v>
      </c>
      <c r="L27" s="99">
        <v>-151.5</v>
      </c>
    </row>
    <row r="28" spans="1:17" x14ac:dyDescent="0.4">
      <c r="E28" s="63" t="s">
        <v>77</v>
      </c>
      <c r="F28" s="60" t="s">
        <v>32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-115.1</v>
      </c>
    </row>
    <row r="29" spans="1:17" x14ac:dyDescent="0.4">
      <c r="E29" s="63" t="s">
        <v>81</v>
      </c>
      <c r="F29" s="60" t="s">
        <v>36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-27.099999999999994</v>
      </c>
    </row>
    <row r="30" spans="1:17" x14ac:dyDescent="0.4">
      <c r="E30" s="63" t="s">
        <v>83</v>
      </c>
      <c r="F30" s="60" t="s">
        <v>38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7.2000000000000028</v>
      </c>
    </row>
    <row r="31" spans="1:17" x14ac:dyDescent="0.4">
      <c r="E31" s="63" t="s">
        <v>85</v>
      </c>
      <c r="F31" s="60" t="s">
        <v>40</v>
      </c>
      <c r="G31" s="47">
        <v>0</v>
      </c>
      <c r="H31" s="133">
        <f>IF(B$17=0,0,G31/B$17)</f>
        <v>0</v>
      </c>
      <c r="I31" s="94">
        <v>6</v>
      </c>
      <c r="K31" s="38">
        <v>29</v>
      </c>
      <c r="L31" s="99">
        <v>-49</v>
      </c>
    </row>
    <row r="32" spans="1:17" x14ac:dyDescent="0.4">
      <c r="E32" s="63" t="s">
        <v>88</v>
      </c>
      <c r="F32" s="60" t="s">
        <v>43</v>
      </c>
      <c r="G32" s="47">
        <v>0</v>
      </c>
      <c r="H32" s="133">
        <f>IF(B$17=0,0,G32/B$17)</f>
        <v>0</v>
      </c>
      <c r="I32" s="94">
        <v>7</v>
      </c>
      <c r="K32" s="38">
        <v>30</v>
      </c>
      <c r="L32" s="99">
        <v>-99.6</v>
      </c>
    </row>
    <row r="33" spans="5:12" x14ac:dyDescent="0.4">
      <c r="E33" s="63" t="s">
        <v>89</v>
      </c>
      <c r="F33" s="60" t="s">
        <v>44</v>
      </c>
      <c r="G33" s="47">
        <v>0</v>
      </c>
      <c r="H33" s="133">
        <f>IF(B$17=0,0,G33/B$17)</f>
        <v>0</v>
      </c>
      <c r="I33" s="94">
        <v>5</v>
      </c>
      <c r="K33" s="38">
        <v>31</v>
      </c>
      <c r="L33" s="99">
        <v>-54.199999999999996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-92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-107.4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-45.800000000000004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3</v>
      </c>
      <c r="K37" s="38">
        <v>35</v>
      </c>
      <c r="L37" s="99">
        <v>19.399999999999999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85.800000000000011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44.70000000000001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-18.79999999999999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-16.699999999999989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39.300000000000011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96.300000000000011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97.600000000000009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103.10000000000001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96.600000000000009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39.500000000000007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37.300000000000004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71.099999999999994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40.899999999999991</v>
      </c>
    </row>
    <row r="51" spans="5:12" x14ac:dyDescent="0.4">
      <c r="E51" s="136" t="s">
        <v>180</v>
      </c>
      <c r="F51" s="137" t="s">
        <v>181</v>
      </c>
      <c r="G51" s="48">
        <v>0</v>
      </c>
      <c r="H51" s="138">
        <f>IF(B$17=0,0,G51/B$17)</f>
        <v>0</v>
      </c>
      <c r="I51" s="139">
        <v>7</v>
      </c>
      <c r="K51" s="38">
        <v>49</v>
      </c>
      <c r="L51" s="99">
        <v>-29.900000000000006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-26.900000000000006</v>
      </c>
    </row>
    <row r="53" spans="5:12" x14ac:dyDescent="0.4">
      <c r="K53" s="38">
        <v>51</v>
      </c>
      <c r="L53" s="99">
        <v>20.999999999999993</v>
      </c>
    </row>
    <row r="54" spans="5:12" x14ac:dyDescent="0.4">
      <c r="K54" s="38">
        <v>52</v>
      </c>
      <c r="L54" s="99">
        <v>30.699999999999992</v>
      </c>
    </row>
    <row r="55" spans="5:12" x14ac:dyDescent="0.4">
      <c r="K55" s="38">
        <v>53</v>
      </c>
      <c r="L55" s="99">
        <v>76.8</v>
      </c>
    </row>
    <row r="56" spans="5:12" x14ac:dyDescent="0.4">
      <c r="K56" s="38">
        <v>54</v>
      </c>
      <c r="L56" s="99">
        <v>133.30000000000001</v>
      </c>
    </row>
    <row r="57" spans="5:12" x14ac:dyDescent="0.4">
      <c r="K57" s="38">
        <v>55</v>
      </c>
      <c r="L57" s="99">
        <v>181.60000000000002</v>
      </c>
    </row>
    <row r="58" spans="5:12" x14ac:dyDescent="0.4">
      <c r="K58" s="38">
        <v>56</v>
      </c>
      <c r="L58" s="99">
        <v>187.60000000000002</v>
      </c>
    </row>
    <row r="59" spans="5:12" x14ac:dyDescent="0.4">
      <c r="K59" s="38">
        <v>57</v>
      </c>
      <c r="L59" s="99">
        <v>255.50000000000003</v>
      </c>
    </row>
    <row r="60" spans="5:12" x14ac:dyDescent="0.4">
      <c r="K60" s="38">
        <v>58</v>
      </c>
      <c r="L60" s="99">
        <v>244.60000000000002</v>
      </c>
    </row>
    <row r="61" spans="5:12" x14ac:dyDescent="0.4">
      <c r="K61" s="38">
        <v>59</v>
      </c>
      <c r="L61" s="99">
        <v>295</v>
      </c>
    </row>
    <row r="62" spans="5:12" x14ac:dyDescent="0.4">
      <c r="K62" s="38">
        <v>60</v>
      </c>
      <c r="L62" s="99">
        <v>359.4</v>
      </c>
    </row>
    <row r="63" spans="5:12" x14ac:dyDescent="0.4">
      <c r="K63" s="38">
        <v>61</v>
      </c>
      <c r="L63" s="99">
        <v>347.5</v>
      </c>
    </row>
    <row r="64" spans="5:12" x14ac:dyDescent="0.4">
      <c r="K64" s="38">
        <v>62</v>
      </c>
      <c r="L64" s="99">
        <v>345.6</v>
      </c>
    </row>
    <row r="65" spans="11:12" x14ac:dyDescent="0.4">
      <c r="K65" s="38">
        <v>63</v>
      </c>
      <c r="L65" s="99">
        <v>287.60000000000002</v>
      </c>
    </row>
    <row r="66" spans="11:12" x14ac:dyDescent="0.4">
      <c r="K66" s="38">
        <v>64</v>
      </c>
      <c r="L66" s="99">
        <v>323.60000000000002</v>
      </c>
    </row>
    <row r="67" spans="11:12" x14ac:dyDescent="0.4">
      <c r="K67" s="38">
        <v>65</v>
      </c>
      <c r="L67" s="99">
        <v>328.6</v>
      </c>
    </row>
    <row r="68" spans="11:12" x14ac:dyDescent="0.4">
      <c r="K68" s="38">
        <v>66</v>
      </c>
      <c r="L68" s="99">
        <v>307</v>
      </c>
    </row>
    <row r="69" spans="11:12" x14ac:dyDescent="0.4">
      <c r="K69" s="38">
        <v>67</v>
      </c>
      <c r="L69" s="99">
        <v>274.10000000000002</v>
      </c>
    </row>
    <row r="70" spans="11:12" x14ac:dyDescent="0.4">
      <c r="K70" s="38">
        <v>68</v>
      </c>
      <c r="L70" s="99">
        <v>285.40000000000003</v>
      </c>
    </row>
    <row r="71" spans="11:12" x14ac:dyDescent="0.4">
      <c r="K71" s="38">
        <v>69</v>
      </c>
      <c r="L71" s="99">
        <v>330.40000000000003</v>
      </c>
    </row>
    <row r="72" spans="11:12" x14ac:dyDescent="0.4">
      <c r="K72" s="38">
        <v>70</v>
      </c>
      <c r="L72" s="99">
        <v>382.50000000000006</v>
      </c>
    </row>
    <row r="73" spans="11:12" x14ac:dyDescent="0.4">
      <c r="K73" s="38">
        <v>71</v>
      </c>
      <c r="L73" s="99">
        <v>350.40000000000003</v>
      </c>
    </row>
    <row r="74" spans="11:12" x14ac:dyDescent="0.4">
      <c r="K74" s="38">
        <v>72</v>
      </c>
      <c r="L74" s="99">
        <v>304.60000000000002</v>
      </c>
    </row>
    <row r="75" spans="11:12" x14ac:dyDescent="0.4">
      <c r="K75" s="38">
        <v>73</v>
      </c>
      <c r="L75" s="99">
        <v>275</v>
      </c>
    </row>
    <row r="76" spans="11:12" x14ac:dyDescent="0.4">
      <c r="K76" s="38">
        <v>74</v>
      </c>
      <c r="L76" s="99">
        <v>242.1</v>
      </c>
    </row>
    <row r="77" spans="11:12" x14ac:dyDescent="0.4">
      <c r="K77" s="38">
        <v>75</v>
      </c>
      <c r="L77" s="99">
        <v>255.79999999999998</v>
      </c>
    </row>
    <row r="78" spans="11:12" x14ac:dyDescent="0.4">
      <c r="K78" s="38">
        <v>76</v>
      </c>
      <c r="L78" s="99">
        <v>198.29999999999998</v>
      </c>
    </row>
    <row r="79" spans="11:12" x14ac:dyDescent="0.4">
      <c r="K79" s="38">
        <v>77</v>
      </c>
      <c r="L79" s="99">
        <v>201.7</v>
      </c>
    </row>
    <row r="80" spans="11:12" x14ac:dyDescent="0.4">
      <c r="K80" s="38">
        <v>78</v>
      </c>
      <c r="L80" s="99">
        <v>193.39999999999998</v>
      </c>
    </row>
  </sheetData>
  <sortState ref="N15:Q24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998AD-4E79-40DD-B9C9-C1AC0E351ADF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183</v>
      </c>
      <c r="C1" s="151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2">
        <v>3</v>
      </c>
      <c r="C2" s="153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3000</v>
      </c>
      <c r="P2" s="118">
        <v>3</v>
      </c>
      <c r="Q2" s="102">
        <v>9000</v>
      </c>
    </row>
    <row r="3" spans="1:17" x14ac:dyDescent="0.4">
      <c r="A3" s="55" t="s">
        <v>8</v>
      </c>
      <c r="B3" s="154">
        <v>19</v>
      </c>
      <c r="C3" s="155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12</v>
      </c>
      <c r="K3" s="38">
        <v>1</v>
      </c>
      <c r="L3" s="99">
        <v>-14.6</v>
      </c>
      <c r="N3" s="115" t="s">
        <v>133</v>
      </c>
      <c r="O3" s="122">
        <f t="shared" si="0"/>
        <v>2233.3333333333335</v>
      </c>
      <c r="P3" s="119">
        <v>3</v>
      </c>
      <c r="Q3" s="103">
        <v>6700</v>
      </c>
    </row>
    <row r="4" spans="1:17" x14ac:dyDescent="0.4">
      <c r="A4" s="55" t="s">
        <v>6</v>
      </c>
      <c r="B4" s="156">
        <v>61</v>
      </c>
      <c r="C4" s="157"/>
      <c r="E4" s="63" t="s">
        <v>67</v>
      </c>
      <c r="F4" s="60" t="s">
        <v>23</v>
      </c>
      <c r="G4" s="47">
        <v>3</v>
      </c>
      <c r="H4" s="133">
        <f>IF(B$17=0,0,G4/B$17)</f>
        <v>0.6</v>
      </c>
      <c r="I4" s="94">
        <v>11</v>
      </c>
      <c r="K4" s="38">
        <v>2</v>
      </c>
      <c r="L4" s="99">
        <v>22.5</v>
      </c>
      <c r="N4" s="115" t="s">
        <v>134</v>
      </c>
      <c r="O4" s="122">
        <f t="shared" si="0"/>
        <v>-1000</v>
      </c>
      <c r="P4" s="119">
        <v>3</v>
      </c>
      <c r="Q4" s="103">
        <v>-3000</v>
      </c>
    </row>
    <row r="5" spans="1:17" x14ac:dyDescent="0.4">
      <c r="A5" s="55" t="s">
        <v>7</v>
      </c>
      <c r="B5" s="158">
        <f>IF(B$2=0,0,B$4/B$2)</f>
        <v>20.333333333333332</v>
      </c>
      <c r="C5" s="159"/>
      <c r="E5" s="63" t="s">
        <v>68</v>
      </c>
      <c r="F5" s="60" t="s">
        <v>24</v>
      </c>
      <c r="G5" s="47">
        <v>2</v>
      </c>
      <c r="H5" s="133">
        <f>IF(B$17=0,0,G5/B$17)</f>
        <v>0.4</v>
      </c>
      <c r="I5" s="94">
        <v>4</v>
      </c>
      <c r="K5" s="38">
        <v>3</v>
      </c>
      <c r="L5" s="99">
        <v>61</v>
      </c>
      <c r="N5" s="115" t="s">
        <v>135</v>
      </c>
      <c r="O5" s="122">
        <f t="shared" si="0"/>
        <v>6233.333333333333</v>
      </c>
      <c r="P5" s="119">
        <v>3</v>
      </c>
      <c r="Q5" s="103">
        <v>18700</v>
      </c>
    </row>
    <row r="6" spans="1:17" x14ac:dyDescent="0.4">
      <c r="A6" s="55" t="s">
        <v>1</v>
      </c>
      <c r="B6" s="148">
        <f>IF(B$2=0,0,(B$7*1+B$8*2+B$9*3)/B$2)</f>
        <v>1.3333333333333333</v>
      </c>
      <c r="C6" s="149"/>
      <c r="E6" s="63" t="s">
        <v>69</v>
      </c>
      <c r="F6" s="60" t="s">
        <v>12</v>
      </c>
      <c r="G6" s="47">
        <v>1</v>
      </c>
      <c r="H6" s="133">
        <f>IF(B$17=0,0,G6/B$17)</f>
        <v>0.2</v>
      </c>
      <c r="I6" s="94">
        <v>14</v>
      </c>
      <c r="N6" s="115" t="s">
        <v>136</v>
      </c>
      <c r="O6" s="122">
        <f t="shared" si="0"/>
        <v>100</v>
      </c>
      <c r="P6" s="119">
        <v>3</v>
      </c>
      <c r="Q6" s="103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70</v>
      </c>
      <c r="F7" s="60" t="s">
        <v>25</v>
      </c>
      <c r="G7" s="47">
        <v>1</v>
      </c>
      <c r="H7" s="133">
        <f>IF(B$17=0,0,G7/B$17)</f>
        <v>0.2</v>
      </c>
      <c r="I7" s="94">
        <v>3</v>
      </c>
      <c r="N7" s="116" t="s">
        <v>137</v>
      </c>
      <c r="O7" s="123">
        <f t="shared" si="0"/>
        <v>-3566.6666666666665</v>
      </c>
      <c r="P7" s="120">
        <v>3</v>
      </c>
      <c r="Q7" s="104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11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1</v>
      </c>
      <c r="H9" s="133">
        <f>IF(B$17=0,0,G9/B$17)</f>
        <v>0.2</v>
      </c>
      <c r="I9" s="94">
        <v>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3</v>
      </c>
      <c r="H10" s="133">
        <f>IF(B$17=0,0,G10/B$17)</f>
        <v>0.6</v>
      </c>
      <c r="I10" s="94">
        <v>4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N12" s="116" t="s">
        <v>166</v>
      </c>
      <c r="O12" s="126">
        <f>IF(P12=0,0,Q12/P12)</f>
        <v>20.333333333333332</v>
      </c>
      <c r="P12" s="120">
        <v>3</v>
      </c>
      <c r="Q12" s="108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8</v>
      </c>
      <c r="N15" s="114" t="s">
        <v>184</v>
      </c>
      <c r="O15" s="124">
        <f>IF(P15=0,0,Q15/P15)</f>
        <v>69.599999999999994</v>
      </c>
      <c r="P15" s="118">
        <v>1</v>
      </c>
      <c r="Q15" s="106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N16" s="115" t="s">
        <v>177</v>
      </c>
      <c r="O16" s="125">
        <f>IF(P16=0,0,Q16/P16)</f>
        <v>45.699999999999996</v>
      </c>
      <c r="P16" s="119">
        <v>3</v>
      </c>
      <c r="Q16" s="107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12</v>
      </c>
      <c r="N17" s="115" t="s">
        <v>173</v>
      </c>
      <c r="O17" s="125">
        <f>IF(P17=0,0,Q17/P17)</f>
        <v>45.5</v>
      </c>
      <c r="P17" s="119">
        <v>1</v>
      </c>
      <c r="Q17" s="107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127</v>
      </c>
      <c r="O18" s="125">
        <f>IF(P18=0,0,Q18/P18)</f>
        <v>-69.2</v>
      </c>
      <c r="P18" s="119">
        <v>1</v>
      </c>
      <c r="Q18" s="107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11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191</v>
      </c>
      <c r="B21" s="47">
        <v>2</v>
      </c>
      <c r="C21" s="135">
        <v>0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12</v>
      </c>
    </row>
    <row r="22" spans="1:17" x14ac:dyDescent="0.4">
      <c r="A22" s="55" t="s">
        <v>192</v>
      </c>
      <c r="B22" s="47">
        <v>12</v>
      </c>
      <c r="C22" s="135">
        <v>12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87</v>
      </c>
      <c r="F24" s="60" t="s">
        <v>42</v>
      </c>
      <c r="G24" s="47">
        <v>1</v>
      </c>
      <c r="H24" s="133">
        <f>IF(B$17=0,0,G24/B$17)</f>
        <v>0.2</v>
      </c>
      <c r="I24" s="94">
        <v>1</v>
      </c>
    </row>
    <row r="25" spans="1:17" x14ac:dyDescent="0.4">
      <c r="A25" s="90" t="s">
        <v>142</v>
      </c>
      <c r="B25" s="146">
        <v>3</v>
      </c>
      <c r="C25" s="147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4">
        <v>53500</v>
      </c>
      <c r="C26" s="145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2</v>
      </c>
      <c r="H27" s="133">
        <f>IF(B$17=0,0,G27/B$17)</f>
        <v>0.4</v>
      </c>
      <c r="I27" s="94">
        <v>1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7</v>
      </c>
    </row>
    <row r="51" spans="5:9" x14ac:dyDescent="0.4">
      <c r="E51" s="136" t="s">
        <v>245</v>
      </c>
      <c r="F51" s="137" t="s">
        <v>246</v>
      </c>
      <c r="G51" s="48">
        <v>2</v>
      </c>
      <c r="H51" s="138">
        <f>IF(B$17=0,0,G51/B$17)</f>
        <v>0.4</v>
      </c>
      <c r="I51" s="139">
        <v>8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08FD59-71DB-4E3E-8B40-3BCEF451BA0F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184</v>
      </c>
      <c r="C1" s="151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2">
        <v>22</v>
      </c>
      <c r="C2" s="153"/>
      <c r="E2" s="62" t="s">
        <v>65</v>
      </c>
      <c r="F2" s="59" t="s">
        <v>21</v>
      </c>
      <c r="G2" s="46">
        <v>24</v>
      </c>
      <c r="H2" s="132">
        <f>IF(B$17=0,0,G2/B$17)</f>
        <v>0.52173913043478259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-900</v>
      </c>
      <c r="P2" s="118">
        <v>22</v>
      </c>
      <c r="Q2" s="102">
        <v>-19800</v>
      </c>
    </row>
    <row r="3" spans="1:17" x14ac:dyDescent="0.4">
      <c r="A3" s="55" t="s">
        <v>8</v>
      </c>
      <c r="B3" s="154">
        <v>165</v>
      </c>
      <c r="C3" s="155"/>
      <c r="E3" s="63" t="s">
        <v>66</v>
      </c>
      <c r="F3" s="60" t="s">
        <v>22</v>
      </c>
      <c r="G3" s="47">
        <v>2</v>
      </c>
      <c r="H3" s="133">
        <f>IF(B$17=0,0,G3/B$17)</f>
        <v>4.3478260869565216E-2</v>
      </c>
      <c r="I3" s="94">
        <v>11</v>
      </c>
      <c r="K3" s="38">
        <v>1</v>
      </c>
      <c r="L3" s="99">
        <v>-43.7</v>
      </c>
      <c r="N3" s="115" t="s">
        <v>133</v>
      </c>
      <c r="O3" s="122">
        <f t="shared" si="0"/>
        <v>-5186.363636363636</v>
      </c>
      <c r="P3" s="119">
        <v>22</v>
      </c>
      <c r="Q3" s="103">
        <v>-114100</v>
      </c>
    </row>
    <row r="4" spans="1:17" x14ac:dyDescent="0.4">
      <c r="A4" s="55" t="s">
        <v>6</v>
      </c>
      <c r="B4" s="156">
        <v>-264.39999999999998</v>
      </c>
      <c r="C4" s="157"/>
      <c r="E4" s="63" t="s">
        <v>67</v>
      </c>
      <c r="F4" s="60" t="s">
        <v>23</v>
      </c>
      <c r="G4" s="47">
        <v>41</v>
      </c>
      <c r="H4" s="133">
        <f>IF(B$17=0,0,G4/B$17)</f>
        <v>0.89130434782608692</v>
      </c>
      <c r="I4" s="94">
        <v>3</v>
      </c>
      <c r="K4" s="38">
        <v>2</v>
      </c>
      <c r="L4" s="99">
        <v>-76.2</v>
      </c>
      <c r="N4" s="115" t="s">
        <v>134</v>
      </c>
      <c r="O4" s="122">
        <f t="shared" si="0"/>
        <v>-300</v>
      </c>
      <c r="P4" s="119">
        <v>18</v>
      </c>
      <c r="Q4" s="103">
        <v>-5400</v>
      </c>
    </row>
    <row r="5" spans="1:17" x14ac:dyDescent="0.4">
      <c r="A5" s="55" t="s">
        <v>7</v>
      </c>
      <c r="B5" s="158">
        <f>IF(B$2=0,0,B$4/B$2)</f>
        <v>-12.018181818181818</v>
      </c>
      <c r="C5" s="159"/>
      <c r="E5" s="63" t="s">
        <v>68</v>
      </c>
      <c r="F5" s="60" t="s">
        <v>24</v>
      </c>
      <c r="G5" s="47">
        <v>11</v>
      </c>
      <c r="H5" s="133">
        <f>IF(B$17=0,0,G5/B$17)</f>
        <v>0.2391304347826087</v>
      </c>
      <c r="I5" s="94">
        <v>11</v>
      </c>
      <c r="K5" s="38">
        <v>3</v>
      </c>
      <c r="L5" s="99">
        <v>-78.400000000000006</v>
      </c>
      <c r="N5" s="115" t="s">
        <v>135</v>
      </c>
      <c r="O5" s="122">
        <f t="shared" si="0"/>
        <v>-3383.3333333333335</v>
      </c>
      <c r="P5" s="119">
        <v>18</v>
      </c>
      <c r="Q5" s="103">
        <v>-60900</v>
      </c>
    </row>
    <row r="6" spans="1:17" x14ac:dyDescent="0.4">
      <c r="A6" s="55" t="s">
        <v>1</v>
      </c>
      <c r="B6" s="148">
        <f>IF(B$2=0,0,(B$7*1+B$8*2+B$9*3)/B$2)</f>
        <v>2.1818181818181817</v>
      </c>
      <c r="C6" s="149"/>
      <c r="E6" s="63" t="s">
        <v>69</v>
      </c>
      <c r="F6" s="60" t="s">
        <v>12</v>
      </c>
      <c r="G6" s="47">
        <v>14</v>
      </c>
      <c r="H6" s="133">
        <f>IF(B$17=0,0,G6/B$17)</f>
        <v>0.30434782608695654</v>
      </c>
      <c r="I6" s="94">
        <v>9</v>
      </c>
      <c r="K6" s="38">
        <v>4</v>
      </c>
      <c r="L6" s="99">
        <v>-49.800000000000004</v>
      </c>
      <c r="N6" s="115" t="s">
        <v>136</v>
      </c>
      <c r="O6" s="122">
        <f t="shared" si="0"/>
        <v>-243.75</v>
      </c>
      <c r="P6" s="119">
        <v>16</v>
      </c>
      <c r="Q6" s="103">
        <v>-3900</v>
      </c>
    </row>
    <row r="7" spans="1:17" x14ac:dyDescent="0.4">
      <c r="A7" s="55" t="s">
        <v>2</v>
      </c>
      <c r="B7" s="47">
        <v>8</v>
      </c>
      <c r="C7" s="39">
        <f>IF(B$2=0,0,B7/B$2)</f>
        <v>0.36363636363636365</v>
      </c>
      <c r="E7" s="63" t="s">
        <v>70</v>
      </c>
      <c r="F7" s="60" t="s">
        <v>25</v>
      </c>
      <c r="G7" s="47">
        <v>8</v>
      </c>
      <c r="H7" s="133">
        <f>IF(B$17=0,0,G7/B$17)</f>
        <v>0.17391304347826086</v>
      </c>
      <c r="I7" s="94">
        <v>7</v>
      </c>
      <c r="K7" s="38">
        <v>5</v>
      </c>
      <c r="L7" s="99">
        <v>-121</v>
      </c>
      <c r="N7" s="116" t="s">
        <v>137</v>
      </c>
      <c r="O7" s="123">
        <f t="shared" si="0"/>
        <v>-3330.7692307692309</v>
      </c>
      <c r="P7" s="120">
        <v>13</v>
      </c>
      <c r="Q7" s="104">
        <v>-43300</v>
      </c>
    </row>
    <row r="8" spans="1:17" x14ac:dyDescent="0.4">
      <c r="A8" s="55" t="s">
        <v>3</v>
      </c>
      <c r="B8" s="47">
        <v>2</v>
      </c>
      <c r="C8" s="39">
        <f>IF(B$2=0,0,B8/B$2)</f>
        <v>9.0909090909090912E-2</v>
      </c>
      <c r="E8" s="63" t="s">
        <v>71</v>
      </c>
      <c r="F8" s="60" t="s">
        <v>26</v>
      </c>
      <c r="G8" s="47">
        <v>8</v>
      </c>
      <c r="H8" s="133">
        <f>IF(B$17=0,0,G8/B$17)</f>
        <v>0.17391304347826086</v>
      </c>
      <c r="I8" s="94">
        <v>1</v>
      </c>
      <c r="K8" s="38">
        <v>6</v>
      </c>
      <c r="L8" s="99">
        <v>-167</v>
      </c>
      <c r="N8" s="43"/>
      <c r="O8" s="127"/>
      <c r="P8" s="111"/>
      <c r="Q8" s="109"/>
    </row>
    <row r="9" spans="1:17" x14ac:dyDescent="0.4">
      <c r="A9" s="56" t="s">
        <v>4</v>
      </c>
      <c r="B9" s="48">
        <v>12</v>
      </c>
      <c r="C9" s="40">
        <f t="shared" ref="C9" si="1">IF(B$2=0,0,B9/B$2)</f>
        <v>0.54545454545454541</v>
      </c>
      <c r="E9" s="63" t="s">
        <v>72</v>
      </c>
      <c r="F9" s="60" t="s">
        <v>27</v>
      </c>
      <c r="G9" s="47">
        <v>3</v>
      </c>
      <c r="H9" s="133">
        <f>IF(B$17=0,0,G9/B$17)</f>
        <v>6.5217391304347824E-2</v>
      </c>
      <c r="I9" s="94">
        <v>8</v>
      </c>
      <c r="K9" s="38">
        <v>7</v>
      </c>
      <c r="L9" s="99">
        <v>-218.2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7</v>
      </c>
      <c r="C10" s="40">
        <f>IF(B$2=0,0,B10/B$2)</f>
        <v>0.31818181818181818</v>
      </c>
      <c r="E10" s="63" t="s">
        <v>73</v>
      </c>
      <c r="F10" s="60" t="s">
        <v>28</v>
      </c>
      <c r="G10" s="47">
        <v>27</v>
      </c>
      <c r="H10" s="133">
        <f>IF(B$17=0,0,G10/B$17)</f>
        <v>0.58695652173913049</v>
      </c>
      <c r="I10" s="94">
        <v>5</v>
      </c>
      <c r="K10" s="38">
        <v>8</v>
      </c>
      <c r="L10" s="99">
        <v>-170.5</v>
      </c>
      <c r="N10" s="114" t="s">
        <v>164</v>
      </c>
      <c r="O10" s="124">
        <f>IF(P10=0,0,Q10/P10)</f>
        <v>-10.224999999999998</v>
      </c>
      <c r="P10" s="118">
        <v>8</v>
      </c>
      <c r="Q10" s="106">
        <v>-81.799999999999983</v>
      </c>
    </row>
    <row r="11" spans="1:17" x14ac:dyDescent="0.4">
      <c r="A11" s="56" t="s">
        <v>140</v>
      </c>
      <c r="B11" s="48">
        <v>2</v>
      </c>
      <c r="C11" s="40">
        <f>IF(B$2=0,0,B11/B$2)</f>
        <v>9.0909090909090912E-2</v>
      </c>
      <c r="E11" s="63" t="s">
        <v>74</v>
      </c>
      <c r="F11" s="60" t="s">
        <v>29</v>
      </c>
      <c r="G11" s="47">
        <v>1</v>
      </c>
      <c r="H11" s="133">
        <f>IF(B$17=0,0,G11/B$17)</f>
        <v>2.1739130434782608E-2</v>
      </c>
      <c r="I11" s="94">
        <v>2</v>
      </c>
      <c r="K11" s="38">
        <v>9</v>
      </c>
      <c r="L11" s="99">
        <v>-228.1</v>
      </c>
      <c r="N11" s="115" t="s">
        <v>165</v>
      </c>
      <c r="O11" s="125">
        <f>IF(P11=0,0,Q11/P11)</f>
        <v>-11.75</v>
      </c>
      <c r="P11" s="119">
        <v>6</v>
      </c>
      <c r="Q11" s="107">
        <v>-70.5</v>
      </c>
    </row>
    <row r="12" spans="1:17" x14ac:dyDescent="0.4">
      <c r="A12" s="57" t="s">
        <v>160</v>
      </c>
      <c r="B12" s="49">
        <v>3</v>
      </c>
      <c r="C12" s="42">
        <f>IF(B$2=0,0,B12/B$2)</f>
        <v>0.13636363636363635</v>
      </c>
      <c r="E12" s="63" t="s">
        <v>75</v>
      </c>
      <c r="F12" s="60" t="s">
        <v>30</v>
      </c>
      <c r="G12" s="47">
        <v>1</v>
      </c>
      <c r="H12" s="133">
        <f>IF(B$17=0,0,G12/B$17)</f>
        <v>2.1739130434782608E-2</v>
      </c>
      <c r="I12" s="94">
        <v>1</v>
      </c>
      <c r="K12" s="38">
        <v>10</v>
      </c>
      <c r="L12" s="99">
        <v>-197.5</v>
      </c>
      <c r="N12" s="116" t="s">
        <v>166</v>
      </c>
      <c r="O12" s="126">
        <f>IF(P12=0,0,Q12/P12)</f>
        <v>-14.012499999999999</v>
      </c>
      <c r="P12" s="120">
        <v>8</v>
      </c>
      <c r="Q12" s="108">
        <v>-112.1</v>
      </c>
    </row>
    <row r="13" spans="1:17" x14ac:dyDescent="0.4">
      <c r="A13" s="58" t="s">
        <v>122</v>
      </c>
      <c r="B13" s="50">
        <v>38</v>
      </c>
      <c r="C13" s="44">
        <f>IF(B$3=0,0,B13/B$3)</f>
        <v>0.23030303030303031</v>
      </c>
      <c r="E13" s="63" t="s">
        <v>76</v>
      </c>
      <c r="F13" s="60" t="s">
        <v>31</v>
      </c>
      <c r="G13" s="47">
        <v>1</v>
      </c>
      <c r="H13" s="133">
        <f>IF(B$17=0,0,G13/B$17)</f>
        <v>2.1739130434782608E-2</v>
      </c>
      <c r="I13" s="94">
        <v>1</v>
      </c>
      <c r="K13" s="38">
        <v>11</v>
      </c>
      <c r="L13" s="99">
        <v>-161.19999999999999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41</v>
      </c>
      <c r="C14" s="39">
        <f>IF(B$3=0,0,B14/B$3)</f>
        <v>0.24848484848484848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-116.6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25</v>
      </c>
      <c r="C15" s="37">
        <f>IF(B$13=0,0,B15/B$13)</f>
        <v>0.65789473684210531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8</v>
      </c>
      <c r="K15" s="38">
        <v>13</v>
      </c>
      <c r="L15" s="99">
        <v>-144.79999999999998</v>
      </c>
      <c r="N15" s="114" t="s">
        <v>173</v>
      </c>
      <c r="O15" s="124">
        <f t="shared" ref="O15:O23" si="2">IF(P15=0,0,Q15/P15)</f>
        <v>159</v>
      </c>
      <c r="P15" s="118">
        <v>1</v>
      </c>
      <c r="Q15" s="106">
        <v>159</v>
      </c>
    </row>
    <row r="16" spans="1:17" x14ac:dyDescent="0.4">
      <c r="A16" s="54" t="s">
        <v>125</v>
      </c>
      <c r="B16" s="46">
        <v>16</v>
      </c>
      <c r="C16" s="37">
        <f>IF(B$14=0,0,B16/B$14)</f>
        <v>0.3902439024390244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K16" s="38">
        <v>14</v>
      </c>
      <c r="L16" s="99">
        <v>-138.69999999999999</v>
      </c>
      <c r="N16" s="115" t="s">
        <v>129</v>
      </c>
      <c r="O16" s="125">
        <f t="shared" si="2"/>
        <v>24.440000000000005</v>
      </c>
      <c r="P16" s="119">
        <v>5</v>
      </c>
      <c r="Q16" s="107">
        <v>122.20000000000002</v>
      </c>
    </row>
    <row r="17" spans="1:17" x14ac:dyDescent="0.4">
      <c r="A17" s="54" t="s">
        <v>10</v>
      </c>
      <c r="B17" s="46">
        <f>B19+B18</f>
        <v>46</v>
      </c>
      <c r="C17" s="37">
        <f>IF(B$3=0,0,B17/B$3)</f>
        <v>0.27878787878787881</v>
      </c>
      <c r="E17" s="63" t="s">
        <v>80</v>
      </c>
      <c r="F17" s="60" t="s">
        <v>35</v>
      </c>
      <c r="G17" s="47">
        <v>2</v>
      </c>
      <c r="H17" s="133">
        <f>IF(B$17=0,0,G17/B$17)</f>
        <v>4.3478260869565216E-2</v>
      </c>
      <c r="I17" s="94">
        <v>2</v>
      </c>
      <c r="K17" s="38">
        <v>15</v>
      </c>
      <c r="L17" s="99">
        <v>-84.399999999999991</v>
      </c>
      <c r="N17" s="115" t="s">
        <v>177</v>
      </c>
      <c r="O17" s="125">
        <f t="shared" si="2"/>
        <v>-4.8666666666666698</v>
      </c>
      <c r="P17" s="119">
        <v>6</v>
      </c>
      <c r="Q17" s="107">
        <v>-29.200000000000017</v>
      </c>
    </row>
    <row r="18" spans="1:17" x14ac:dyDescent="0.4">
      <c r="A18" s="55" t="s">
        <v>12</v>
      </c>
      <c r="B18" s="47">
        <v>22</v>
      </c>
      <c r="C18" s="39">
        <f>IF(B$17=0,0,B18/B$17)</f>
        <v>0.47826086956521741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-139.79999999999998</v>
      </c>
      <c r="N18" s="115" t="s">
        <v>171</v>
      </c>
      <c r="O18" s="125">
        <f t="shared" si="2"/>
        <v>-18.200000000000003</v>
      </c>
      <c r="P18" s="119">
        <v>4</v>
      </c>
      <c r="Q18" s="107">
        <v>-72.800000000000011</v>
      </c>
    </row>
    <row r="19" spans="1:17" x14ac:dyDescent="0.4">
      <c r="A19" s="55" t="s">
        <v>11</v>
      </c>
      <c r="B19" s="47">
        <v>24</v>
      </c>
      <c r="C19" s="39">
        <f>IF(B$17=0,0,B19/B$17)</f>
        <v>0.52173913043478259</v>
      </c>
      <c r="E19" s="63" t="s">
        <v>82</v>
      </c>
      <c r="F19" s="60" t="s">
        <v>37</v>
      </c>
      <c r="G19" s="47">
        <v>1</v>
      </c>
      <c r="H19" s="133">
        <f>IF(B$17=0,0,G19/B$17)</f>
        <v>2.1739130434782608E-2</v>
      </c>
      <c r="I19" s="94">
        <v>10</v>
      </c>
      <c r="K19" s="38">
        <v>17</v>
      </c>
      <c r="L19" s="99">
        <v>-203.5</v>
      </c>
      <c r="N19" s="115" t="s">
        <v>128</v>
      </c>
      <c r="O19" s="125">
        <f t="shared" si="2"/>
        <v>-19.033333333333331</v>
      </c>
      <c r="P19" s="119">
        <v>9</v>
      </c>
      <c r="Q19" s="107">
        <v>-171.29999999999998</v>
      </c>
    </row>
    <row r="20" spans="1:17" x14ac:dyDescent="0.4">
      <c r="A20" s="55" t="s">
        <v>13</v>
      </c>
      <c r="B20" s="47">
        <v>39</v>
      </c>
      <c r="C20" s="39">
        <f>IF(B$3=0,0,B20/B$3)</f>
        <v>0.23636363636363636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-126.5</v>
      </c>
      <c r="N20" s="115" t="s">
        <v>127</v>
      </c>
      <c r="O20" s="125">
        <f t="shared" si="2"/>
        <v>-22.991666666666671</v>
      </c>
      <c r="P20" s="119">
        <v>12</v>
      </c>
      <c r="Q20" s="107">
        <v>-275.90000000000003</v>
      </c>
    </row>
    <row r="21" spans="1:17" x14ac:dyDescent="0.4">
      <c r="A21" s="55" t="s">
        <v>191</v>
      </c>
      <c r="B21" s="47">
        <v>5</v>
      </c>
      <c r="C21" s="135">
        <v>0</v>
      </c>
      <c r="E21" s="63" t="s">
        <v>84</v>
      </c>
      <c r="F21" s="60" t="s">
        <v>39</v>
      </c>
      <c r="G21" s="47">
        <v>6</v>
      </c>
      <c r="H21" s="133">
        <f>IF(B$17=0,0,G21/B$17)</f>
        <v>0.13043478260869565</v>
      </c>
      <c r="I21" s="94">
        <v>1</v>
      </c>
      <c r="K21" s="38">
        <v>19</v>
      </c>
      <c r="L21" s="99">
        <v>-67.599999999999994</v>
      </c>
      <c r="N21" s="115" t="s">
        <v>172</v>
      </c>
      <c r="O21" s="125">
        <f t="shared" si="2"/>
        <v>-44.424999999999997</v>
      </c>
      <c r="P21" s="119">
        <v>4</v>
      </c>
      <c r="Q21" s="107">
        <v>-177.7</v>
      </c>
    </row>
    <row r="22" spans="1:17" x14ac:dyDescent="0.4">
      <c r="A22" s="55" t="s">
        <v>192</v>
      </c>
      <c r="B22" s="47">
        <v>17</v>
      </c>
      <c r="C22" s="135">
        <v>0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  <c r="K22" s="38">
        <v>20</v>
      </c>
      <c r="L22" s="99">
        <v>-124.1</v>
      </c>
      <c r="N22" s="115" t="s">
        <v>183</v>
      </c>
      <c r="O22" s="125">
        <f t="shared" si="2"/>
        <v>-69.599999999999994</v>
      </c>
      <c r="P22" s="119">
        <v>1</v>
      </c>
      <c r="Q22" s="107">
        <v>-69.599999999999994</v>
      </c>
    </row>
    <row r="23" spans="1:17" x14ac:dyDescent="0.4">
      <c r="A23" s="55" t="s">
        <v>5</v>
      </c>
      <c r="B23" s="51">
        <f>IF(B$17=0,0,C23/B$17)</f>
        <v>8621.7391304347821</v>
      </c>
      <c r="C23" s="41">
        <v>396600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-189.2</v>
      </c>
      <c r="N23" s="115" t="s">
        <v>223</v>
      </c>
      <c r="O23" s="125">
        <f t="shared" si="2"/>
        <v>-138.94999999999999</v>
      </c>
      <c r="P23" s="119">
        <v>2</v>
      </c>
      <c r="Q23" s="107">
        <v>-277.89999999999998</v>
      </c>
    </row>
    <row r="24" spans="1:17" x14ac:dyDescent="0.4">
      <c r="A24" s="57" t="s">
        <v>14</v>
      </c>
      <c r="B24" s="52">
        <f>IF(B$20=0,0,C24/B$20)</f>
        <v>-9879.4871794871797</v>
      </c>
      <c r="C24" s="45">
        <v>-385300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  <c r="K24" s="38">
        <v>22</v>
      </c>
      <c r="L24" s="99">
        <v>-264.39999999999998</v>
      </c>
    </row>
    <row r="25" spans="1:17" x14ac:dyDescent="0.4">
      <c r="A25" s="90" t="s">
        <v>142</v>
      </c>
      <c r="B25" s="146">
        <v>6</v>
      </c>
      <c r="C25" s="147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4">
        <v>92000</v>
      </c>
      <c r="C26" s="145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5</v>
      </c>
      <c r="H27" s="133">
        <f>IF(B$17=0,0,G27/B$17)</f>
        <v>0.10869565217391304</v>
      </c>
      <c r="I27" s="94">
        <v>9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1</v>
      </c>
      <c r="H35" s="133">
        <f>IF(B$17=0,0,G35/B$17)</f>
        <v>2.1739130434782608E-2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7</v>
      </c>
    </row>
    <row r="51" spans="5:9" x14ac:dyDescent="0.4">
      <c r="E51" s="136" t="s">
        <v>245</v>
      </c>
      <c r="F51" s="137" t="s">
        <v>246</v>
      </c>
      <c r="G51" s="48">
        <v>16</v>
      </c>
      <c r="H51" s="138">
        <f>IF(B$17=0,0,G51/B$17)</f>
        <v>0.34782608695652173</v>
      </c>
      <c r="I51" s="139">
        <v>13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BAE825-387E-4D91-9732-D96D33A2F932}">
  <sheetPr codeName="Sheet25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200</v>
      </c>
      <c r="C1" s="151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2">
        <v>13</v>
      </c>
      <c r="C2" s="153"/>
      <c r="E2" s="62" t="s">
        <v>65</v>
      </c>
      <c r="F2" s="59" t="s">
        <v>21</v>
      </c>
      <c r="G2" s="46">
        <v>20</v>
      </c>
      <c r="H2" s="132">
        <f>IF(B$17=0,0,G2/B$17)</f>
        <v>0.44444444444444442</v>
      </c>
      <c r="I2" s="93">
        <v>10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-576.92307692307691</v>
      </c>
      <c r="P2" s="118">
        <v>13</v>
      </c>
      <c r="Q2" s="102">
        <v>-7500</v>
      </c>
    </row>
    <row r="3" spans="1:17" x14ac:dyDescent="0.4">
      <c r="A3" s="55" t="s">
        <v>8</v>
      </c>
      <c r="B3" s="154">
        <v>123</v>
      </c>
      <c r="C3" s="155"/>
      <c r="E3" s="63" t="s">
        <v>66</v>
      </c>
      <c r="F3" s="60" t="s">
        <v>22</v>
      </c>
      <c r="G3" s="47">
        <v>3</v>
      </c>
      <c r="H3" s="133">
        <f>IF(B$17=0,0,G3/B$17)</f>
        <v>6.6666666666666666E-2</v>
      </c>
      <c r="I3" s="94">
        <v>9</v>
      </c>
      <c r="K3" s="38">
        <v>1</v>
      </c>
      <c r="L3" s="99">
        <v>-12.5</v>
      </c>
      <c r="N3" s="115" t="s">
        <v>133</v>
      </c>
      <c r="O3" s="122">
        <f t="shared" si="0"/>
        <v>2746.1538461538462</v>
      </c>
      <c r="P3" s="119">
        <v>13</v>
      </c>
      <c r="Q3" s="103">
        <v>35700</v>
      </c>
    </row>
    <row r="4" spans="1:17" x14ac:dyDescent="0.4">
      <c r="A4" s="55" t="s">
        <v>6</v>
      </c>
      <c r="B4" s="156">
        <v>83.299999999999983</v>
      </c>
      <c r="C4" s="157"/>
      <c r="E4" s="63" t="s">
        <v>67</v>
      </c>
      <c r="F4" s="60" t="s">
        <v>23</v>
      </c>
      <c r="G4" s="47">
        <v>26</v>
      </c>
      <c r="H4" s="133">
        <f>IF(B$17=0,0,G4/B$17)</f>
        <v>0.57777777777777772</v>
      </c>
      <c r="I4" s="94">
        <v>12</v>
      </c>
      <c r="K4" s="38">
        <v>2</v>
      </c>
      <c r="L4" s="99">
        <v>-28.1</v>
      </c>
      <c r="N4" s="115" t="s">
        <v>134</v>
      </c>
      <c r="O4" s="122">
        <f t="shared" si="0"/>
        <v>-6600</v>
      </c>
      <c r="P4" s="119">
        <v>13</v>
      </c>
      <c r="Q4" s="103">
        <v>-85800</v>
      </c>
    </row>
    <row r="5" spans="1:17" x14ac:dyDescent="0.4">
      <c r="A5" s="55" t="s">
        <v>7</v>
      </c>
      <c r="B5" s="158">
        <f>IF(B$2=0,0,B$4/B$2)</f>
        <v>6.4076923076923062</v>
      </c>
      <c r="C5" s="159"/>
      <c r="E5" s="63" t="s">
        <v>68</v>
      </c>
      <c r="F5" s="60" t="s">
        <v>24</v>
      </c>
      <c r="G5" s="47">
        <v>14</v>
      </c>
      <c r="H5" s="133">
        <f>IF(B$17=0,0,G5/B$17)</f>
        <v>0.31111111111111112</v>
      </c>
      <c r="I5" s="94">
        <v>7</v>
      </c>
      <c r="K5" s="38">
        <v>3</v>
      </c>
      <c r="L5" s="99">
        <v>-20.400000000000002</v>
      </c>
      <c r="N5" s="115" t="s">
        <v>135</v>
      </c>
      <c r="O5" s="122">
        <f t="shared" si="0"/>
        <v>-1892.3076923076924</v>
      </c>
      <c r="P5" s="119">
        <v>13</v>
      </c>
      <c r="Q5" s="103">
        <v>-24600</v>
      </c>
    </row>
    <row r="6" spans="1:17" x14ac:dyDescent="0.4">
      <c r="A6" s="55" t="s">
        <v>1</v>
      </c>
      <c r="B6" s="148">
        <f>IF(B$2=0,0,(B$7*1+B$8*2+B$9*3)/B$2)</f>
        <v>1.8461538461538463</v>
      </c>
      <c r="C6" s="149"/>
      <c r="E6" s="63" t="s">
        <v>69</v>
      </c>
      <c r="F6" s="60" t="s">
        <v>12</v>
      </c>
      <c r="G6" s="47">
        <v>18</v>
      </c>
      <c r="H6" s="133">
        <f>IF(B$17=0,0,G6/B$17)</f>
        <v>0.4</v>
      </c>
      <c r="I6" s="94">
        <v>2</v>
      </c>
      <c r="K6" s="38">
        <v>4</v>
      </c>
      <c r="L6" s="99">
        <v>19.399999999999995</v>
      </c>
      <c r="N6" s="115" t="s">
        <v>136</v>
      </c>
      <c r="O6" s="122">
        <f t="shared" si="0"/>
        <v>11945.454545454546</v>
      </c>
      <c r="P6" s="119">
        <v>11</v>
      </c>
      <c r="Q6" s="103">
        <v>131400</v>
      </c>
    </row>
    <row r="7" spans="1:17" x14ac:dyDescent="0.4">
      <c r="A7" s="55" t="s">
        <v>2</v>
      </c>
      <c r="B7" s="47">
        <v>4</v>
      </c>
      <c r="C7" s="39">
        <f>IF(B$2=0,0,B7/B$2)</f>
        <v>0.30769230769230771</v>
      </c>
      <c r="E7" s="63" t="s">
        <v>70</v>
      </c>
      <c r="F7" s="60" t="s">
        <v>25</v>
      </c>
      <c r="G7" s="47">
        <v>6</v>
      </c>
      <c r="H7" s="133">
        <f>IF(B$17=0,0,G7/B$17)</f>
        <v>0.13333333333333333</v>
      </c>
      <c r="I7" s="94">
        <v>11</v>
      </c>
      <c r="K7" s="38">
        <v>5</v>
      </c>
      <c r="L7" s="99">
        <v>-16.100000000000005</v>
      </c>
      <c r="N7" s="116" t="s">
        <v>137</v>
      </c>
      <c r="O7" s="123">
        <f t="shared" si="0"/>
        <v>-590</v>
      </c>
      <c r="P7" s="120">
        <v>10</v>
      </c>
      <c r="Q7" s="104">
        <v>-5900</v>
      </c>
    </row>
    <row r="8" spans="1:17" x14ac:dyDescent="0.4">
      <c r="A8" s="55" t="s">
        <v>3</v>
      </c>
      <c r="B8" s="47">
        <v>7</v>
      </c>
      <c r="C8" s="39">
        <f>IF(B$2=0,0,B8/B$2)</f>
        <v>0.53846153846153844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11</v>
      </c>
      <c r="K8" s="38">
        <v>6</v>
      </c>
      <c r="L8" s="99">
        <v>-16.300000000000004</v>
      </c>
      <c r="N8" s="43"/>
      <c r="O8" s="127"/>
      <c r="P8" s="111"/>
      <c r="Q8" s="109"/>
    </row>
    <row r="9" spans="1:17" x14ac:dyDescent="0.4">
      <c r="A9" s="56" t="s">
        <v>4</v>
      </c>
      <c r="B9" s="48">
        <v>2</v>
      </c>
      <c r="C9" s="40">
        <f t="shared" ref="C9" si="1">IF(B$2=0,0,B9/B$2)</f>
        <v>0.15384615384615385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12</v>
      </c>
      <c r="K9" s="38">
        <v>7</v>
      </c>
      <c r="L9" s="99">
        <v>-25.300000000000004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</v>
      </c>
      <c r="C10" s="40">
        <f>IF(B$2=0,0,B10/B$2)</f>
        <v>7.6923076923076927E-2</v>
      </c>
      <c r="E10" s="63" t="s">
        <v>73</v>
      </c>
      <c r="F10" s="60" t="s">
        <v>28</v>
      </c>
      <c r="G10" s="47">
        <v>32</v>
      </c>
      <c r="H10" s="133">
        <f>IF(B$17=0,0,G10/B$17)</f>
        <v>0.71111111111111114</v>
      </c>
      <c r="I10" s="94">
        <v>3</v>
      </c>
      <c r="K10" s="38">
        <v>8</v>
      </c>
      <c r="L10" s="99">
        <v>9.5999999999999943</v>
      </c>
      <c r="N10" s="114" t="s">
        <v>164</v>
      </c>
      <c r="O10" s="124">
        <f>IF(P10=0,0,Q10/P10)</f>
        <v>-11.200000000000001</v>
      </c>
      <c r="P10" s="118">
        <v>4</v>
      </c>
      <c r="Q10" s="106">
        <v>-44.800000000000004</v>
      </c>
    </row>
    <row r="11" spans="1:17" x14ac:dyDescent="0.4">
      <c r="A11" s="56" t="s">
        <v>140</v>
      </c>
      <c r="B11" s="48">
        <v>1</v>
      </c>
      <c r="C11" s="40">
        <f>IF(B$2=0,0,B11/B$2)</f>
        <v>7.6923076923076927E-2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K11" s="38">
        <v>9</v>
      </c>
      <c r="L11" s="99">
        <v>18.099999999999994</v>
      </c>
      <c r="N11" s="115" t="s">
        <v>165</v>
      </c>
      <c r="O11" s="125">
        <f>IF(P11=0,0,Q11/P11)</f>
        <v>36.299999999999997</v>
      </c>
      <c r="P11" s="119">
        <v>4</v>
      </c>
      <c r="Q11" s="107">
        <v>145.19999999999999</v>
      </c>
    </row>
    <row r="12" spans="1:17" x14ac:dyDescent="0.4">
      <c r="A12" s="57" t="s">
        <v>160</v>
      </c>
      <c r="B12" s="49">
        <v>1</v>
      </c>
      <c r="C12" s="42">
        <f>IF(B$2=0,0,B12/B$2)</f>
        <v>7.6923076923076927E-2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K12" s="38">
        <v>10</v>
      </c>
      <c r="L12" s="99">
        <v>109.39999999999999</v>
      </c>
      <c r="N12" s="116" t="s">
        <v>166</v>
      </c>
      <c r="O12" s="126">
        <f>IF(P12=0,0,Q12/P12)</f>
        <v>-3.4200000000000004</v>
      </c>
      <c r="P12" s="120">
        <v>5</v>
      </c>
      <c r="Q12" s="108">
        <v>-17.100000000000001</v>
      </c>
    </row>
    <row r="13" spans="1:17" x14ac:dyDescent="0.4">
      <c r="A13" s="58" t="s">
        <v>122</v>
      </c>
      <c r="B13" s="50">
        <v>29</v>
      </c>
      <c r="C13" s="44">
        <f>IF(B$3=0,0,B13/B$3)</f>
        <v>0.23577235772357724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9</v>
      </c>
      <c r="K13" s="38">
        <v>11</v>
      </c>
      <c r="L13" s="99">
        <v>100.69999999999999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40</v>
      </c>
      <c r="C14" s="39">
        <f>IF(B$3=0,0,B14/B$3)</f>
        <v>0.32520325203252032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45.599999999999987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20</v>
      </c>
      <c r="C15" s="37">
        <f>IF(B$13=0,0,B15/B$13)</f>
        <v>0.68965517241379315</v>
      </c>
      <c r="E15" s="63" t="s">
        <v>78</v>
      </c>
      <c r="F15" s="60" t="s">
        <v>33</v>
      </c>
      <c r="G15" s="47">
        <v>3</v>
      </c>
      <c r="H15" s="133">
        <f>IF(B$17=0,0,G15/B$17)</f>
        <v>6.6666666666666666E-2</v>
      </c>
      <c r="I15" s="94">
        <v>1</v>
      </c>
      <c r="K15" s="38">
        <v>13</v>
      </c>
      <c r="L15" s="99">
        <v>83.299999999999983</v>
      </c>
      <c r="N15" s="114" t="s">
        <v>173</v>
      </c>
      <c r="O15" s="124">
        <f t="shared" ref="O15:O21" si="2">IF(P15=0,0,Q15/P15)</f>
        <v>43.1</v>
      </c>
      <c r="P15" s="118">
        <v>1</v>
      </c>
      <c r="Q15" s="106">
        <v>43.1</v>
      </c>
    </row>
    <row r="16" spans="1:17" x14ac:dyDescent="0.4">
      <c r="A16" s="54" t="s">
        <v>125</v>
      </c>
      <c r="B16" s="46">
        <v>18</v>
      </c>
      <c r="C16" s="37">
        <f>IF(B$14=0,0,B16/B$14)</f>
        <v>0.45</v>
      </c>
      <c r="E16" s="63" t="s">
        <v>79</v>
      </c>
      <c r="F16" s="60" t="s">
        <v>34</v>
      </c>
      <c r="G16" s="47">
        <v>3</v>
      </c>
      <c r="H16" s="133">
        <f>IF(B$17=0,0,G16/B$17)</f>
        <v>6.6666666666666666E-2</v>
      </c>
      <c r="I16" s="94">
        <v>1</v>
      </c>
      <c r="N16" s="115" t="s">
        <v>172</v>
      </c>
      <c r="O16" s="125">
        <f t="shared" si="2"/>
        <v>16.62857142857143</v>
      </c>
      <c r="P16" s="119">
        <v>7</v>
      </c>
      <c r="Q16" s="107">
        <v>116.4</v>
      </c>
    </row>
    <row r="17" spans="1:17" x14ac:dyDescent="0.4">
      <c r="A17" s="54" t="s">
        <v>10</v>
      </c>
      <c r="B17" s="46">
        <f>B19+B18</f>
        <v>45</v>
      </c>
      <c r="C17" s="37">
        <f>IF(B$3=0,0,B17/B$3)</f>
        <v>0.36585365853658536</v>
      </c>
      <c r="E17" s="63" t="s">
        <v>80</v>
      </c>
      <c r="F17" s="60" t="s">
        <v>35</v>
      </c>
      <c r="G17" s="47">
        <v>1</v>
      </c>
      <c r="H17" s="133">
        <f>IF(B$17=0,0,G17/B$17)</f>
        <v>2.2222222222222223E-2</v>
      </c>
      <c r="I17" s="94">
        <v>4</v>
      </c>
      <c r="N17" s="115" t="s">
        <v>127</v>
      </c>
      <c r="O17" s="125">
        <f t="shared" si="2"/>
        <v>13.45</v>
      </c>
      <c r="P17" s="119">
        <v>2</v>
      </c>
      <c r="Q17" s="107">
        <v>26.9</v>
      </c>
    </row>
    <row r="18" spans="1:17" x14ac:dyDescent="0.4">
      <c r="A18" s="55" t="s">
        <v>12</v>
      </c>
      <c r="B18" s="47">
        <v>28</v>
      </c>
      <c r="C18" s="39">
        <f>IF(B$17=0,0,B18/B$17)</f>
        <v>0.62222222222222223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171</v>
      </c>
      <c r="O18" s="125">
        <f t="shared" si="2"/>
        <v>12.75</v>
      </c>
      <c r="P18" s="119">
        <v>6</v>
      </c>
      <c r="Q18" s="107">
        <v>76.5</v>
      </c>
    </row>
    <row r="19" spans="1:17" x14ac:dyDescent="0.4">
      <c r="A19" s="55" t="s">
        <v>11</v>
      </c>
      <c r="B19" s="47">
        <v>17</v>
      </c>
      <c r="C19" s="39">
        <f>IF(B$17=0,0,B19/B$17)</f>
        <v>0.37777777777777777</v>
      </c>
      <c r="E19" s="63" t="s">
        <v>82</v>
      </c>
      <c r="F19" s="60" t="s">
        <v>37</v>
      </c>
      <c r="G19" s="47">
        <v>1</v>
      </c>
      <c r="H19" s="133">
        <f>IF(B$17=0,0,G19/B$17)</f>
        <v>2.2222222222222223E-2</v>
      </c>
      <c r="I19" s="94">
        <v>9</v>
      </c>
      <c r="N19" s="115" t="s">
        <v>128</v>
      </c>
      <c r="O19" s="125">
        <f t="shared" si="2"/>
        <v>5.5000000000000018</v>
      </c>
      <c r="P19" s="119">
        <v>2</v>
      </c>
      <c r="Q19" s="107">
        <v>11.000000000000004</v>
      </c>
    </row>
    <row r="20" spans="1:17" x14ac:dyDescent="0.4">
      <c r="A20" s="55" t="s">
        <v>13</v>
      </c>
      <c r="B20" s="47">
        <v>21</v>
      </c>
      <c r="C20" s="39">
        <f>IF(B$3=0,0,B20/B$3)</f>
        <v>0.17073170731707318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N20" s="115" t="s">
        <v>177</v>
      </c>
      <c r="O20" s="125">
        <f t="shared" si="2"/>
        <v>2.4333333333333331</v>
      </c>
      <c r="P20" s="119">
        <v>6</v>
      </c>
      <c r="Q20" s="107">
        <v>14.599999999999998</v>
      </c>
    </row>
    <row r="21" spans="1:17" x14ac:dyDescent="0.4">
      <c r="A21" s="55" t="s">
        <v>191</v>
      </c>
      <c r="B21" s="47">
        <v>7</v>
      </c>
      <c r="C21" s="135">
        <v>1</v>
      </c>
      <c r="E21" s="63" t="s">
        <v>84</v>
      </c>
      <c r="F21" s="60" t="s">
        <v>39</v>
      </c>
      <c r="G21" s="47">
        <v>1</v>
      </c>
      <c r="H21" s="133">
        <f>IF(B$17=0,0,G21/B$17)</f>
        <v>2.2222222222222223E-2</v>
      </c>
      <c r="I21" s="94">
        <v>10</v>
      </c>
      <c r="N21" s="115" t="s">
        <v>129</v>
      </c>
      <c r="O21" s="125">
        <f t="shared" si="2"/>
        <v>-19.299999999999997</v>
      </c>
      <c r="P21" s="119">
        <v>2</v>
      </c>
      <c r="Q21" s="107">
        <v>-38.599999999999994</v>
      </c>
    </row>
    <row r="22" spans="1:17" x14ac:dyDescent="0.4">
      <c r="A22" s="55" t="s">
        <v>192</v>
      </c>
      <c r="B22" s="47">
        <v>12</v>
      </c>
      <c r="C22" s="135">
        <v>5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</row>
    <row r="23" spans="1:17" x14ac:dyDescent="0.4">
      <c r="A23" s="55" t="s">
        <v>5</v>
      </c>
      <c r="B23" s="51">
        <f>IF(B$17=0,0,C23/B$17)</f>
        <v>7880</v>
      </c>
      <c r="C23" s="41">
        <v>354600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-8071.4285714285716</v>
      </c>
      <c r="C24" s="45">
        <v>-169500</v>
      </c>
      <c r="E24" s="63" t="s">
        <v>87</v>
      </c>
      <c r="F24" s="60" t="s">
        <v>42</v>
      </c>
      <c r="G24" s="47">
        <v>5</v>
      </c>
      <c r="H24" s="133">
        <f>IF(B$17=0,0,G24/B$17)</f>
        <v>0.1111111111111111</v>
      </c>
      <c r="I24" s="94">
        <v>2</v>
      </c>
    </row>
    <row r="25" spans="1:17" x14ac:dyDescent="0.4">
      <c r="A25" s="90" t="s">
        <v>142</v>
      </c>
      <c r="B25" s="146">
        <v>4</v>
      </c>
      <c r="C25" s="147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4">
        <v>106300</v>
      </c>
      <c r="C26" s="145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7</v>
      </c>
      <c r="H27" s="133">
        <f>IF(B$17=0,0,G27/B$17)</f>
        <v>0.15555555555555556</v>
      </c>
      <c r="I27" s="94">
        <v>5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7</v>
      </c>
    </row>
    <row r="51" spans="5:9" x14ac:dyDescent="0.4">
      <c r="E51" s="136" t="s">
        <v>245</v>
      </c>
      <c r="F51" s="137" t="s">
        <v>246</v>
      </c>
      <c r="G51" s="48">
        <v>14</v>
      </c>
      <c r="H51" s="138">
        <f>IF(B$17=0,0,G51/B$17)</f>
        <v>0.31111111111111112</v>
      </c>
      <c r="I51" s="139">
        <v>14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8E1E61-D65E-46D6-9E37-E176A95FFC70}">
  <sheetPr codeName="Sheet2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222</v>
      </c>
      <c r="C1" s="151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2">
        <v>1</v>
      </c>
      <c r="C2" s="153"/>
      <c r="E2" s="62" t="s">
        <v>65</v>
      </c>
      <c r="F2" s="59" t="s">
        <v>21</v>
      </c>
      <c r="G2" s="46">
        <v>1</v>
      </c>
      <c r="H2" s="132">
        <f>IF(B$17=0,0,G2/B$17)</f>
        <v>0.5</v>
      </c>
      <c r="I2" s="93">
        <v>8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1500</v>
      </c>
      <c r="P2" s="118">
        <v>1</v>
      </c>
      <c r="Q2" s="102">
        <v>1500</v>
      </c>
    </row>
    <row r="3" spans="1:17" x14ac:dyDescent="0.4">
      <c r="A3" s="55" t="s">
        <v>8</v>
      </c>
      <c r="B3" s="154">
        <v>13</v>
      </c>
      <c r="C3" s="155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12</v>
      </c>
      <c r="K3" s="38">
        <v>1</v>
      </c>
      <c r="L3" s="99">
        <v>13.3</v>
      </c>
      <c r="N3" s="115" t="s">
        <v>133</v>
      </c>
      <c r="O3" s="122">
        <f t="shared" si="0"/>
        <v>12500</v>
      </c>
      <c r="P3" s="119">
        <v>1</v>
      </c>
      <c r="Q3" s="103">
        <v>12500</v>
      </c>
    </row>
    <row r="4" spans="1:17" x14ac:dyDescent="0.4">
      <c r="A4" s="55" t="s">
        <v>6</v>
      </c>
      <c r="B4" s="156">
        <v>13.3</v>
      </c>
      <c r="C4" s="157"/>
      <c r="E4" s="63" t="s">
        <v>67</v>
      </c>
      <c r="F4" s="60" t="s">
        <v>23</v>
      </c>
      <c r="G4" s="47">
        <v>3</v>
      </c>
      <c r="H4" s="133">
        <f>IF(B$17=0,0,G4/B$17)</f>
        <v>1.5</v>
      </c>
      <c r="I4" s="94">
        <v>1</v>
      </c>
      <c r="N4" s="115" t="s">
        <v>134</v>
      </c>
      <c r="O4" s="122">
        <f t="shared" si="0"/>
        <v>-14000</v>
      </c>
      <c r="P4" s="119">
        <v>1</v>
      </c>
      <c r="Q4" s="103">
        <v>-14000</v>
      </c>
    </row>
    <row r="5" spans="1:17" x14ac:dyDescent="0.4">
      <c r="A5" s="55" t="s">
        <v>7</v>
      </c>
      <c r="B5" s="158">
        <f>IF(B$2=0,0,B$4/B$2)</f>
        <v>13.3</v>
      </c>
      <c r="C5" s="159"/>
      <c r="E5" s="63" t="s">
        <v>68</v>
      </c>
      <c r="F5" s="60" t="s">
        <v>24</v>
      </c>
      <c r="G5" s="47">
        <v>1</v>
      </c>
      <c r="H5" s="133">
        <f>IF(B$17=0,0,G5/B$17)</f>
        <v>0.5</v>
      </c>
      <c r="I5" s="94">
        <v>1</v>
      </c>
      <c r="N5" s="115" t="s">
        <v>135</v>
      </c>
      <c r="O5" s="122">
        <f t="shared" si="0"/>
        <v>-2800</v>
      </c>
      <c r="P5" s="119">
        <v>1</v>
      </c>
      <c r="Q5" s="103">
        <v>-2800</v>
      </c>
    </row>
    <row r="6" spans="1:17" x14ac:dyDescent="0.4">
      <c r="A6" s="55" t="s">
        <v>1</v>
      </c>
      <c r="B6" s="148">
        <f>IF(B$2=0,0,(B$7*1+B$8*2+B$9*3)/B$2)</f>
        <v>2</v>
      </c>
      <c r="C6" s="149"/>
      <c r="E6" s="63" t="s">
        <v>69</v>
      </c>
      <c r="F6" s="60" t="s">
        <v>12</v>
      </c>
      <c r="G6" s="47">
        <v>1</v>
      </c>
      <c r="H6" s="133">
        <f>IF(B$17=0,0,G6/B$17)</f>
        <v>0.5</v>
      </c>
      <c r="I6" s="94">
        <v>1</v>
      </c>
      <c r="N6" s="115" t="s">
        <v>136</v>
      </c>
      <c r="O6" s="122">
        <f t="shared" si="0"/>
        <v>16100</v>
      </c>
      <c r="P6" s="119">
        <v>1</v>
      </c>
      <c r="Q6" s="103">
        <v>16100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14</v>
      </c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55" t="s">
        <v>3</v>
      </c>
      <c r="B8" s="47">
        <v>1</v>
      </c>
      <c r="C8" s="39">
        <f>IF(B$2=0,0,B8/B$2)</f>
        <v>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11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0</v>
      </c>
      <c r="H10" s="133">
        <f>IF(B$17=0,0,G10/B$17)</f>
        <v>0</v>
      </c>
      <c r="I10" s="94">
        <v>14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13.3</v>
      </c>
      <c r="P11" s="119">
        <v>1</v>
      </c>
      <c r="Q11" s="107">
        <v>13.3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0.23076923076923078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7.6923076923076927E-2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</v>
      </c>
      <c r="C15" s="37">
        <f>IF(B$13=0,0,B15/B$13)</f>
        <v>0.33333333333333331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8</v>
      </c>
      <c r="N15" s="114" t="s">
        <v>171</v>
      </c>
      <c r="O15" s="124">
        <f>IF(P15=0,0,Q15/P15)</f>
        <v>69.5</v>
      </c>
      <c r="P15" s="118">
        <v>1</v>
      </c>
      <c r="Q15" s="106">
        <v>69.5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N16" s="115" t="s">
        <v>127</v>
      </c>
      <c r="O16" s="125">
        <f>IF(P16=0,0,Q16/P16)</f>
        <v>-29.599999999999998</v>
      </c>
      <c r="P16" s="119">
        <v>1</v>
      </c>
      <c r="Q16" s="107">
        <v>-29.599999999999998</v>
      </c>
    </row>
    <row r="17" spans="1:9" x14ac:dyDescent="0.4">
      <c r="A17" s="54" t="s">
        <v>10</v>
      </c>
      <c r="B17" s="46">
        <f>B19+B18</f>
        <v>2</v>
      </c>
      <c r="C17" s="37">
        <f>IF(B$3=0,0,B17/B$3)</f>
        <v>0.15384615384615385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12</v>
      </c>
    </row>
    <row r="18" spans="1:9" x14ac:dyDescent="0.4">
      <c r="A18" s="55" t="s">
        <v>12</v>
      </c>
      <c r="B18" s="47">
        <v>1</v>
      </c>
      <c r="C18" s="39">
        <f>IF(B$17=0,0,B18/B$17)</f>
        <v>0.5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9" x14ac:dyDescent="0.4">
      <c r="A19" s="55" t="s">
        <v>11</v>
      </c>
      <c r="B19" s="47">
        <v>1</v>
      </c>
      <c r="C19" s="39">
        <f>IF(B$17=0,0,B19/B$17)</f>
        <v>0.5</v>
      </c>
      <c r="E19" s="63" t="s">
        <v>82</v>
      </c>
      <c r="F19" s="60" t="s">
        <v>37</v>
      </c>
      <c r="G19" s="47">
        <v>1</v>
      </c>
      <c r="H19" s="133">
        <f>IF(B$17=0,0,G19/B$17)</f>
        <v>0.5</v>
      </c>
      <c r="I19" s="94">
        <v>1</v>
      </c>
    </row>
    <row r="20" spans="1:9" x14ac:dyDescent="0.4">
      <c r="A20" s="55" t="s">
        <v>13</v>
      </c>
      <c r="B20" s="47">
        <v>1</v>
      </c>
      <c r="C20" s="39">
        <f>IF(B$3=0,0,B20/B$3)</f>
        <v>7.6923076923076927E-2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191</v>
      </c>
      <c r="B21" s="47">
        <v>1</v>
      </c>
      <c r="C21" s="135">
        <v>1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12</v>
      </c>
    </row>
    <row r="22" spans="1:9" x14ac:dyDescent="0.4">
      <c r="A22" s="55" t="s">
        <v>192</v>
      </c>
      <c r="B22" s="47">
        <v>7</v>
      </c>
      <c r="C22" s="135">
        <v>5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</row>
    <row r="23" spans="1:9" x14ac:dyDescent="0.4">
      <c r="A23" s="55" t="s">
        <v>5</v>
      </c>
      <c r="B23" s="51">
        <f>IF(B$17=0,0,C23/B$17)</f>
        <v>13800</v>
      </c>
      <c r="C23" s="41">
        <v>27600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9" x14ac:dyDescent="0.4">
      <c r="A24" s="57" t="s">
        <v>14</v>
      </c>
      <c r="B24" s="52">
        <f>IF(B$20=0,0,C24/B$20)</f>
        <v>-12000</v>
      </c>
      <c r="C24" s="45">
        <v>-12000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9" x14ac:dyDescent="0.4">
      <c r="A25" s="90" t="s">
        <v>142</v>
      </c>
      <c r="B25" s="146">
        <v>5</v>
      </c>
      <c r="C25" s="147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9" x14ac:dyDescent="0.4">
      <c r="A26" s="58" t="s">
        <v>152</v>
      </c>
      <c r="B26" s="144">
        <v>48300</v>
      </c>
      <c r="C26" s="145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0</v>
      </c>
      <c r="H27" s="133">
        <f>IF(B$17=0,0,G27/B$17)</f>
        <v>0</v>
      </c>
      <c r="I27" s="94">
        <v>13</v>
      </c>
    </row>
    <row r="28" spans="1:9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9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9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9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</row>
    <row r="32" spans="1:9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7</v>
      </c>
    </row>
    <row r="51" spans="5:9" x14ac:dyDescent="0.4">
      <c r="E51" s="136" t="s">
        <v>245</v>
      </c>
      <c r="F51" s="137" t="s">
        <v>246</v>
      </c>
      <c r="G51" s="48">
        <v>1</v>
      </c>
      <c r="H51" s="138">
        <f>IF(B$17=0,0,G51/B$17)</f>
        <v>0.5</v>
      </c>
      <c r="I51" s="139">
        <v>2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81473-78D5-4742-8C73-2D2C0B035FFD}">
  <sheetPr codeName="Sheet2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223</v>
      </c>
      <c r="C1" s="151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2">
        <v>6</v>
      </c>
      <c r="C2" s="153"/>
      <c r="E2" s="62" t="s">
        <v>65</v>
      </c>
      <c r="F2" s="59" t="s">
        <v>21</v>
      </c>
      <c r="G2" s="46">
        <v>4</v>
      </c>
      <c r="H2" s="132">
        <f>IF(B$17=0,0,G2/B$17)</f>
        <v>0.25</v>
      </c>
      <c r="I2" s="93">
        <v>13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-1083.3333333333333</v>
      </c>
      <c r="P2" s="118">
        <v>6</v>
      </c>
      <c r="Q2" s="102">
        <v>-6500</v>
      </c>
    </row>
    <row r="3" spans="1:17" x14ac:dyDescent="0.4">
      <c r="A3" s="55" t="s">
        <v>8</v>
      </c>
      <c r="B3" s="154">
        <v>46</v>
      </c>
      <c r="C3" s="155"/>
      <c r="E3" s="63" t="s">
        <v>66</v>
      </c>
      <c r="F3" s="60" t="s">
        <v>22</v>
      </c>
      <c r="G3" s="47">
        <v>1</v>
      </c>
      <c r="H3" s="133">
        <f>IF(B$17=0,0,G3/B$17)</f>
        <v>6.25E-2</v>
      </c>
      <c r="I3" s="94">
        <v>10</v>
      </c>
      <c r="K3" s="38">
        <v>1</v>
      </c>
      <c r="L3" s="99">
        <v>-37</v>
      </c>
      <c r="N3" s="115" t="s">
        <v>133</v>
      </c>
      <c r="O3" s="122">
        <f t="shared" si="0"/>
        <v>10800</v>
      </c>
      <c r="P3" s="119">
        <v>6</v>
      </c>
      <c r="Q3" s="103">
        <v>64800</v>
      </c>
    </row>
    <row r="4" spans="1:17" x14ac:dyDescent="0.4">
      <c r="A4" s="55" t="s">
        <v>6</v>
      </c>
      <c r="B4" s="156">
        <v>100.39999999999999</v>
      </c>
      <c r="C4" s="157"/>
      <c r="E4" s="63" t="s">
        <v>67</v>
      </c>
      <c r="F4" s="60" t="s">
        <v>23</v>
      </c>
      <c r="G4" s="47">
        <v>16</v>
      </c>
      <c r="H4" s="133">
        <f>IF(B$17=0,0,G4/B$17)</f>
        <v>1</v>
      </c>
      <c r="I4" s="94">
        <v>2</v>
      </c>
      <c r="K4" s="38">
        <v>2</v>
      </c>
      <c r="L4" s="99">
        <v>-24.7</v>
      </c>
      <c r="N4" s="115" t="s">
        <v>134</v>
      </c>
      <c r="O4" s="122">
        <f t="shared" si="0"/>
        <v>-3000</v>
      </c>
      <c r="P4" s="119">
        <v>5</v>
      </c>
      <c r="Q4" s="103">
        <v>-15000</v>
      </c>
    </row>
    <row r="5" spans="1:17" x14ac:dyDescent="0.4">
      <c r="A5" s="55" t="s">
        <v>7</v>
      </c>
      <c r="B5" s="158">
        <f>IF(B$2=0,0,B$4/B$2)</f>
        <v>16.733333333333331</v>
      </c>
      <c r="C5" s="159"/>
      <c r="E5" s="63" t="s">
        <v>68</v>
      </c>
      <c r="F5" s="60" t="s">
        <v>24</v>
      </c>
      <c r="G5" s="47">
        <v>4</v>
      </c>
      <c r="H5" s="133">
        <f>IF(B$17=0,0,G5/B$17)</f>
        <v>0.25</v>
      </c>
      <c r="I5" s="94">
        <v>10</v>
      </c>
      <c r="K5" s="38">
        <v>3</v>
      </c>
      <c r="L5" s="99">
        <v>14.500000000000004</v>
      </c>
      <c r="N5" s="115" t="s">
        <v>135</v>
      </c>
      <c r="O5" s="122">
        <f t="shared" si="0"/>
        <v>6360</v>
      </c>
      <c r="P5" s="119">
        <v>5</v>
      </c>
      <c r="Q5" s="103">
        <v>31800</v>
      </c>
    </row>
    <row r="6" spans="1:17" x14ac:dyDescent="0.4">
      <c r="A6" s="55" t="s">
        <v>1</v>
      </c>
      <c r="B6" s="148">
        <f>IF(B$2=0,0,(B$7*1+B$8*2+B$9*3)/B$2)</f>
        <v>1.8333333333333333</v>
      </c>
      <c r="C6" s="149"/>
      <c r="E6" s="63" t="s">
        <v>69</v>
      </c>
      <c r="F6" s="60" t="s">
        <v>12</v>
      </c>
      <c r="G6" s="47">
        <v>5</v>
      </c>
      <c r="H6" s="133">
        <f>IF(B$17=0,0,G6/B$17)</f>
        <v>0.3125</v>
      </c>
      <c r="I6" s="94">
        <v>7</v>
      </c>
      <c r="K6" s="38">
        <v>4</v>
      </c>
      <c r="L6" s="99">
        <v>-37.200000000000003</v>
      </c>
      <c r="N6" s="115" t="s">
        <v>136</v>
      </c>
      <c r="O6" s="122">
        <f t="shared" si="0"/>
        <v>-50</v>
      </c>
      <c r="P6" s="119">
        <v>4</v>
      </c>
      <c r="Q6" s="103">
        <v>-200</v>
      </c>
    </row>
    <row r="7" spans="1:17" x14ac:dyDescent="0.4">
      <c r="A7" s="55" t="s">
        <v>2</v>
      </c>
      <c r="B7" s="47">
        <v>3</v>
      </c>
      <c r="C7" s="39">
        <f>IF(B$2=0,0,B7/B$2)</f>
        <v>0.5</v>
      </c>
      <c r="E7" s="63" t="s">
        <v>70</v>
      </c>
      <c r="F7" s="60" t="s">
        <v>25</v>
      </c>
      <c r="G7" s="47">
        <v>1</v>
      </c>
      <c r="H7" s="133">
        <f>IF(B$17=0,0,G7/B$17)</f>
        <v>6.25E-2</v>
      </c>
      <c r="I7" s="94">
        <v>13</v>
      </c>
      <c r="K7" s="38">
        <v>5</v>
      </c>
      <c r="L7" s="99">
        <v>39.899999999999991</v>
      </c>
      <c r="N7" s="116" t="s">
        <v>137</v>
      </c>
      <c r="O7" s="123">
        <f t="shared" si="0"/>
        <v>1833.3333333333333</v>
      </c>
      <c r="P7" s="120">
        <v>3</v>
      </c>
      <c r="Q7" s="104">
        <v>5500</v>
      </c>
    </row>
    <row r="8" spans="1:17" x14ac:dyDescent="0.4">
      <c r="A8" s="55" t="s">
        <v>3</v>
      </c>
      <c r="B8" s="47">
        <v>1</v>
      </c>
      <c r="C8" s="39">
        <f>IF(B$2=0,0,B8/B$2)</f>
        <v>0.16666666666666666</v>
      </c>
      <c r="E8" s="63" t="s">
        <v>71</v>
      </c>
      <c r="F8" s="60" t="s">
        <v>26</v>
      </c>
      <c r="G8" s="47">
        <v>1</v>
      </c>
      <c r="H8" s="133">
        <f>IF(B$17=0,0,G8/B$17)</f>
        <v>6.25E-2</v>
      </c>
      <c r="I8" s="94">
        <v>10</v>
      </c>
      <c r="K8" s="38">
        <v>6</v>
      </c>
      <c r="L8" s="99">
        <v>100.39999999999999</v>
      </c>
      <c r="N8" s="43"/>
      <c r="O8" s="127"/>
      <c r="P8" s="111"/>
      <c r="Q8" s="109"/>
    </row>
    <row r="9" spans="1:17" x14ac:dyDescent="0.4">
      <c r="A9" s="56" t="s">
        <v>4</v>
      </c>
      <c r="B9" s="48">
        <v>2</v>
      </c>
      <c r="C9" s="40">
        <f t="shared" ref="C9" si="1">IF(B$2=0,0,B9/B$2)</f>
        <v>0.33333333333333331</v>
      </c>
      <c r="E9" s="63" t="s">
        <v>72</v>
      </c>
      <c r="F9" s="60" t="s">
        <v>27</v>
      </c>
      <c r="G9" s="47">
        <v>2</v>
      </c>
      <c r="H9" s="133">
        <f>IF(B$17=0,0,G9/B$17)</f>
        <v>0.125</v>
      </c>
      <c r="I9" s="94">
        <v>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14</v>
      </c>
      <c r="H10" s="133">
        <f>IF(B$17=0,0,G10/B$17)</f>
        <v>0.875</v>
      </c>
      <c r="I10" s="94">
        <v>1</v>
      </c>
      <c r="N10" s="114" t="s">
        <v>164</v>
      </c>
      <c r="O10" s="124">
        <f>IF(P10=0,0,Q10/P10)</f>
        <v>-37</v>
      </c>
      <c r="P10" s="118">
        <v>1</v>
      </c>
      <c r="Q10" s="106">
        <v>-37</v>
      </c>
    </row>
    <row r="11" spans="1:17" x14ac:dyDescent="0.4">
      <c r="A11" s="56" t="s">
        <v>140</v>
      </c>
      <c r="B11" s="48">
        <v>2</v>
      </c>
      <c r="C11" s="40">
        <f>IF(B$2=0,0,B11/B$2)</f>
        <v>0.33333333333333331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58.933333333333337</v>
      </c>
      <c r="P11" s="119">
        <v>3</v>
      </c>
      <c r="Q11" s="107">
        <v>176.8</v>
      </c>
    </row>
    <row r="12" spans="1:17" x14ac:dyDescent="0.4">
      <c r="A12" s="57" t="s">
        <v>160</v>
      </c>
      <c r="B12" s="49">
        <v>1</v>
      </c>
      <c r="C12" s="42">
        <f>IF(B$2=0,0,B12/B$2)</f>
        <v>0.16666666666666666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N12" s="116" t="s">
        <v>166</v>
      </c>
      <c r="O12" s="126">
        <f>IF(P12=0,0,Q12/P12)</f>
        <v>-19.700000000000003</v>
      </c>
      <c r="P12" s="120">
        <v>2</v>
      </c>
      <c r="Q12" s="108">
        <v>-39.400000000000006</v>
      </c>
    </row>
    <row r="13" spans="1:17" x14ac:dyDescent="0.4">
      <c r="A13" s="58" t="s">
        <v>122</v>
      </c>
      <c r="B13" s="50">
        <v>7</v>
      </c>
      <c r="C13" s="44">
        <f>IF(B$3=0,0,B13/B$3)</f>
        <v>0.15217391304347827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17</v>
      </c>
      <c r="C14" s="39">
        <f>IF(B$3=0,0,B14/B$3)</f>
        <v>0.36956521739130432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</v>
      </c>
      <c r="C15" s="37">
        <f>IF(B$13=0,0,B15/B$13)</f>
        <v>0.7142857142857143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8</v>
      </c>
      <c r="N15" s="114" t="s">
        <v>184</v>
      </c>
      <c r="O15" s="124">
        <f>IF(P15=0,0,Q15/P15)</f>
        <v>138.94999999999999</v>
      </c>
      <c r="P15" s="118">
        <v>2</v>
      </c>
      <c r="Q15" s="106">
        <v>277.89999999999998</v>
      </c>
    </row>
    <row r="16" spans="1:17" x14ac:dyDescent="0.4">
      <c r="A16" s="54" t="s">
        <v>125</v>
      </c>
      <c r="B16" s="46">
        <v>9</v>
      </c>
      <c r="C16" s="37">
        <f>IF(B$14=0,0,B16/B$14)</f>
        <v>0.52941176470588236</v>
      </c>
      <c r="E16" s="63" t="s">
        <v>79</v>
      </c>
      <c r="F16" s="60" t="s">
        <v>34</v>
      </c>
      <c r="G16" s="47">
        <v>1</v>
      </c>
      <c r="H16" s="133">
        <f>IF(B$17=0,0,G16/B$17)</f>
        <v>6.25E-2</v>
      </c>
      <c r="I16" s="94">
        <v>2</v>
      </c>
      <c r="N16" s="115" t="s">
        <v>172</v>
      </c>
      <c r="O16" s="125">
        <f>IF(P16=0,0,Q16/P16)</f>
        <v>34.866666666666667</v>
      </c>
      <c r="P16" s="119">
        <v>3</v>
      </c>
      <c r="Q16" s="107">
        <v>104.6</v>
      </c>
    </row>
    <row r="17" spans="1:17" x14ac:dyDescent="0.4">
      <c r="A17" s="54" t="s">
        <v>10</v>
      </c>
      <c r="B17" s="46">
        <f>B19+B18</f>
        <v>16</v>
      </c>
      <c r="C17" s="37">
        <f>IF(B$3=0,0,B17/B$3)</f>
        <v>0.34782608695652173</v>
      </c>
      <c r="E17" s="63" t="s">
        <v>80</v>
      </c>
      <c r="F17" s="60" t="s">
        <v>35</v>
      </c>
      <c r="G17" s="47">
        <v>1</v>
      </c>
      <c r="H17" s="133">
        <f>IF(B$17=0,0,G17/B$17)</f>
        <v>6.25E-2</v>
      </c>
      <c r="I17" s="94">
        <v>1</v>
      </c>
      <c r="N17" s="115" t="s">
        <v>127</v>
      </c>
      <c r="O17" s="125">
        <f>IF(P17=0,0,Q17/P17)</f>
        <v>29.566666666666666</v>
      </c>
      <c r="P17" s="119">
        <v>3</v>
      </c>
      <c r="Q17" s="107">
        <v>88.7</v>
      </c>
    </row>
    <row r="18" spans="1:17" x14ac:dyDescent="0.4">
      <c r="A18" s="55" t="s">
        <v>12</v>
      </c>
      <c r="B18" s="47">
        <v>10</v>
      </c>
      <c r="C18" s="39">
        <f>IF(B$17=0,0,B18/B$17)</f>
        <v>0.625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129</v>
      </c>
      <c r="O18" s="125">
        <f>IF(P18=0,0,Q18/P18)</f>
        <v>-42.5</v>
      </c>
      <c r="P18" s="119">
        <v>4</v>
      </c>
      <c r="Q18" s="107">
        <v>-170</v>
      </c>
    </row>
    <row r="19" spans="1:17" x14ac:dyDescent="0.4">
      <c r="A19" s="55" t="s">
        <v>11</v>
      </c>
      <c r="B19" s="47">
        <v>6</v>
      </c>
      <c r="C19" s="39">
        <f>IF(B$17=0,0,B19/B$17)</f>
        <v>0.375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11</v>
      </c>
    </row>
    <row r="20" spans="1:17" x14ac:dyDescent="0.4">
      <c r="A20" s="55" t="s">
        <v>13</v>
      </c>
      <c r="B20" s="47">
        <v>6</v>
      </c>
      <c r="C20" s="39">
        <f>IF(B$3=0,0,B20/B$3)</f>
        <v>0.13043478260869565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191</v>
      </c>
      <c r="B21" s="47">
        <v>4</v>
      </c>
      <c r="C21" s="135">
        <v>2</v>
      </c>
      <c r="E21" s="63" t="s">
        <v>84</v>
      </c>
      <c r="F21" s="60" t="s">
        <v>39</v>
      </c>
      <c r="G21" s="47">
        <v>1</v>
      </c>
      <c r="H21" s="133">
        <f>IF(B$17=0,0,G21/B$17)</f>
        <v>6.25E-2</v>
      </c>
      <c r="I21" s="94">
        <v>3</v>
      </c>
    </row>
    <row r="22" spans="1:17" x14ac:dyDescent="0.4">
      <c r="A22" s="55" t="s">
        <v>192</v>
      </c>
      <c r="B22" s="47">
        <v>16</v>
      </c>
      <c r="C22" s="135">
        <v>11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</row>
    <row r="23" spans="1:17" x14ac:dyDescent="0.4">
      <c r="A23" s="55" t="s">
        <v>5</v>
      </c>
      <c r="B23" s="51">
        <f>IF(B$17=0,0,C23/B$17)</f>
        <v>12143.75</v>
      </c>
      <c r="C23" s="41">
        <v>194300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-10583.333333333334</v>
      </c>
      <c r="C24" s="45">
        <v>-63500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17" x14ac:dyDescent="0.4">
      <c r="A25" s="90" t="s">
        <v>142</v>
      </c>
      <c r="B25" s="146">
        <v>6</v>
      </c>
      <c r="C25" s="147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4">
        <v>92100</v>
      </c>
      <c r="C26" s="145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3</v>
      </c>
      <c r="H27" s="133">
        <f>IF(B$17=0,0,G27/B$17)</f>
        <v>0.1875</v>
      </c>
      <c r="I27" s="94">
        <v>2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2</v>
      </c>
      <c r="H50" s="133">
        <f>IF(B$17=0,0,G50/B$17)</f>
        <v>0.125</v>
      </c>
      <c r="I50" s="94">
        <v>1</v>
      </c>
    </row>
    <row r="51" spans="5:9" x14ac:dyDescent="0.4">
      <c r="E51" s="136" t="s">
        <v>245</v>
      </c>
      <c r="F51" s="137" t="s">
        <v>246</v>
      </c>
      <c r="G51" s="48">
        <v>6</v>
      </c>
      <c r="H51" s="138">
        <f>IF(B$17=0,0,G51/B$17)</f>
        <v>0.375</v>
      </c>
      <c r="I51" s="139">
        <v>12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9367D9-FDC7-4E79-86D6-948490AF2FB6}">
  <sheetPr codeName="Sheet32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271</v>
      </c>
      <c r="C1" s="151"/>
      <c r="E1" s="129" t="s">
        <v>167</v>
      </c>
      <c r="F1" s="143" t="s">
        <v>116</v>
      </c>
      <c r="G1" s="142" t="s">
        <v>117</v>
      </c>
      <c r="H1" s="130" t="s">
        <v>118</v>
      </c>
      <c r="I1" s="143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2">
        <v>2</v>
      </c>
      <c r="C2" s="153"/>
      <c r="E2" s="62" t="s">
        <v>245</v>
      </c>
      <c r="F2" s="59" t="s">
        <v>246</v>
      </c>
      <c r="G2" s="46">
        <v>4</v>
      </c>
      <c r="H2" s="132">
        <f>IF(B$17=0,0,G2/B$17)</f>
        <v>1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-7950</v>
      </c>
      <c r="P2" s="118">
        <v>2</v>
      </c>
      <c r="Q2" s="102">
        <v>-15900</v>
      </c>
    </row>
    <row r="3" spans="1:17" x14ac:dyDescent="0.4">
      <c r="A3" s="55" t="s">
        <v>8</v>
      </c>
      <c r="B3" s="154">
        <v>21</v>
      </c>
      <c r="C3" s="155"/>
      <c r="E3" s="63" t="s">
        <v>73</v>
      </c>
      <c r="F3" s="60" t="s">
        <v>28</v>
      </c>
      <c r="G3" s="47">
        <v>3</v>
      </c>
      <c r="H3" s="133">
        <f>IF(B$17=0,0,G3/B$17)</f>
        <v>0.75</v>
      </c>
      <c r="I3" s="94">
        <v>2</v>
      </c>
      <c r="K3" s="38">
        <v>1</v>
      </c>
      <c r="L3" s="99">
        <v>-43.2</v>
      </c>
      <c r="N3" s="115" t="s">
        <v>133</v>
      </c>
      <c r="O3" s="122">
        <f t="shared" si="0"/>
        <v>-7750</v>
      </c>
      <c r="P3" s="119">
        <v>2</v>
      </c>
      <c r="Q3" s="103">
        <v>-15500</v>
      </c>
    </row>
    <row r="4" spans="1:17" x14ac:dyDescent="0.4">
      <c r="A4" s="55" t="s">
        <v>6</v>
      </c>
      <c r="B4" s="156">
        <v>-96.5</v>
      </c>
      <c r="C4" s="157"/>
      <c r="E4" s="63" t="s">
        <v>67</v>
      </c>
      <c r="F4" s="60" t="s">
        <v>23</v>
      </c>
      <c r="G4" s="47">
        <v>2</v>
      </c>
      <c r="H4" s="133">
        <f>IF(B$17=0,0,G4/B$17)</f>
        <v>0.5</v>
      </c>
      <c r="I4" s="94">
        <v>14</v>
      </c>
      <c r="K4" s="38">
        <v>2</v>
      </c>
      <c r="L4" s="99">
        <v>-96.5</v>
      </c>
      <c r="N4" s="115" t="s">
        <v>134</v>
      </c>
      <c r="O4" s="122">
        <f t="shared" si="0"/>
        <v>-1150</v>
      </c>
      <c r="P4" s="119">
        <v>2</v>
      </c>
      <c r="Q4" s="103">
        <v>-2300</v>
      </c>
    </row>
    <row r="5" spans="1:17" x14ac:dyDescent="0.4">
      <c r="A5" s="55" t="s">
        <v>7</v>
      </c>
      <c r="B5" s="158">
        <f>IF(B$2=0,0,B$4/B$2)</f>
        <v>-48.25</v>
      </c>
      <c r="C5" s="159"/>
      <c r="E5" s="63" t="s">
        <v>65</v>
      </c>
      <c r="F5" s="60" t="s">
        <v>21</v>
      </c>
      <c r="G5" s="47">
        <v>1</v>
      </c>
      <c r="H5" s="133">
        <f>IF(B$17=0,0,G5/B$17)</f>
        <v>0.25</v>
      </c>
      <c r="I5" s="94">
        <v>13</v>
      </c>
      <c r="N5" s="115" t="s">
        <v>135</v>
      </c>
      <c r="O5" s="122">
        <f t="shared" si="0"/>
        <v>-3950</v>
      </c>
      <c r="P5" s="119">
        <v>2</v>
      </c>
      <c r="Q5" s="103">
        <v>-7900</v>
      </c>
    </row>
    <row r="6" spans="1:17" x14ac:dyDescent="0.4">
      <c r="A6" s="55" t="s">
        <v>1</v>
      </c>
      <c r="B6" s="148">
        <f>IF(B$2=0,0,(B$7*1+B$8*2+B$9*3)/B$2)</f>
        <v>3</v>
      </c>
      <c r="C6" s="149"/>
      <c r="E6" s="63" t="s">
        <v>69</v>
      </c>
      <c r="F6" s="60" t="s">
        <v>12</v>
      </c>
      <c r="G6" s="47">
        <v>1</v>
      </c>
      <c r="H6" s="133">
        <f>IF(B$17=0,0,G6/B$17)</f>
        <v>0.25</v>
      </c>
      <c r="I6" s="94">
        <v>13</v>
      </c>
      <c r="N6" s="115" t="s">
        <v>136</v>
      </c>
      <c r="O6" s="122">
        <f t="shared" si="0"/>
        <v>-2100</v>
      </c>
      <c r="P6" s="119">
        <v>2</v>
      </c>
      <c r="Q6" s="103">
        <v>-4200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1</v>
      </c>
      <c r="H7" s="133">
        <f>IF(B$17=0,0,G7/B$17)</f>
        <v>0.25</v>
      </c>
      <c r="I7" s="94">
        <v>1</v>
      </c>
      <c r="N7" s="116" t="s">
        <v>137</v>
      </c>
      <c r="O7" s="123">
        <f t="shared" si="0"/>
        <v>-5350</v>
      </c>
      <c r="P7" s="120">
        <v>2</v>
      </c>
      <c r="Q7" s="104">
        <v>-10700</v>
      </c>
    </row>
    <row r="8" spans="1:17" x14ac:dyDescent="0.4">
      <c r="A8" s="55" t="s">
        <v>3</v>
      </c>
      <c r="B8" s="47">
        <v>0</v>
      </c>
      <c r="C8" s="39">
        <f>IF(B$2=0,0,B8/B$2)</f>
        <v>0</v>
      </c>
      <c r="E8" s="63" t="s">
        <v>66</v>
      </c>
      <c r="F8" s="60" t="s">
        <v>22</v>
      </c>
      <c r="G8" s="47">
        <v>0</v>
      </c>
      <c r="H8" s="133">
        <f>IF(B$17=0,0,G8/B$17)</f>
        <v>0</v>
      </c>
      <c r="I8" s="94">
        <v>12</v>
      </c>
      <c r="N8" s="43"/>
      <c r="O8" s="127"/>
      <c r="P8" s="111"/>
      <c r="Q8" s="109"/>
    </row>
    <row r="9" spans="1:17" x14ac:dyDescent="0.4">
      <c r="A9" s="56" t="s">
        <v>4</v>
      </c>
      <c r="B9" s="48">
        <v>2</v>
      </c>
      <c r="C9" s="40">
        <f t="shared" ref="C9" si="1">IF(B$2=0,0,B9/B$2)</f>
        <v>1</v>
      </c>
      <c r="E9" s="63" t="s">
        <v>68</v>
      </c>
      <c r="F9" s="60" t="s">
        <v>24</v>
      </c>
      <c r="G9" s="47">
        <v>0</v>
      </c>
      <c r="H9" s="133">
        <f>IF(B$17=0,0,G9/B$17)</f>
        <v>0</v>
      </c>
      <c r="I9" s="94">
        <v>14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71</v>
      </c>
      <c r="F10" s="60" t="s">
        <v>26</v>
      </c>
      <c r="G10" s="47">
        <v>0</v>
      </c>
      <c r="H10" s="133">
        <f>IF(B$17=0,0,G10/B$17)</f>
        <v>0</v>
      </c>
      <c r="I10" s="94">
        <v>11</v>
      </c>
      <c r="N10" s="114" t="s">
        <v>164</v>
      </c>
      <c r="O10" s="124">
        <f>IF(P10=0,0,Q10/P10)</f>
        <v>-43.2</v>
      </c>
      <c r="P10" s="118">
        <v>1</v>
      </c>
      <c r="Q10" s="106">
        <v>-43.2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72</v>
      </c>
      <c r="F11" s="60" t="s">
        <v>27</v>
      </c>
      <c r="G11" s="47">
        <v>0</v>
      </c>
      <c r="H11" s="133">
        <f>IF(B$17=0,0,G11/B$17)</f>
        <v>0</v>
      </c>
      <c r="I11" s="94">
        <v>12</v>
      </c>
      <c r="N11" s="115" t="s">
        <v>165</v>
      </c>
      <c r="O11" s="125">
        <f>IF(P11=0,0,Q11/P11)</f>
        <v>-53.3</v>
      </c>
      <c r="P11" s="119">
        <v>1</v>
      </c>
      <c r="Q11" s="107">
        <v>-53.3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74</v>
      </c>
      <c r="F12" s="60" t="s">
        <v>29</v>
      </c>
      <c r="G12" s="47">
        <v>0</v>
      </c>
      <c r="H12" s="133">
        <f>IF(B$17=0,0,G12/B$17)</f>
        <v>0</v>
      </c>
      <c r="I12" s="94">
        <v>8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1</v>
      </c>
      <c r="C13" s="44">
        <f>IF(B$3=0,0,B13/B$3)</f>
        <v>4.7619047619047616E-2</v>
      </c>
      <c r="E13" s="63" t="s">
        <v>75</v>
      </c>
      <c r="F13" s="60" t="s">
        <v>30</v>
      </c>
      <c r="G13" s="47">
        <v>0</v>
      </c>
      <c r="H13" s="133">
        <f>IF(B$17=0,0,G13/B$17)</f>
        <v>0</v>
      </c>
      <c r="I13" s="94">
        <v>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10</v>
      </c>
      <c r="C14" s="39">
        <f>IF(B$3=0,0,B14/B$3)</f>
        <v>0.47619047619047616</v>
      </c>
      <c r="E14" s="63" t="s">
        <v>76</v>
      </c>
      <c r="F14" s="60" t="s">
        <v>31</v>
      </c>
      <c r="G14" s="47">
        <v>0</v>
      </c>
      <c r="H14" s="133">
        <f>IF(B$17=0,0,G14/B$17)</f>
        <v>0</v>
      </c>
      <c r="I14" s="94">
        <v>9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</v>
      </c>
      <c r="C15" s="37">
        <f>IF(B$13=0,0,B15/B$13)</f>
        <v>1</v>
      </c>
      <c r="E15" s="63" t="s">
        <v>77</v>
      </c>
      <c r="F15" s="60" t="s">
        <v>32</v>
      </c>
      <c r="G15" s="47">
        <v>0</v>
      </c>
      <c r="H15" s="133">
        <f>IF(B$17=0,0,G15/B$17)</f>
        <v>0</v>
      </c>
      <c r="I15" s="94">
        <v>1</v>
      </c>
      <c r="N15" s="114" t="s">
        <v>177</v>
      </c>
      <c r="O15" s="124">
        <f>IF(P15=0,0,Q15/P15)</f>
        <v>-45.800000000000004</v>
      </c>
      <c r="P15" s="118">
        <v>2</v>
      </c>
      <c r="Q15" s="106">
        <v>-91.600000000000009</v>
      </c>
    </row>
    <row r="16" spans="1:17" x14ac:dyDescent="0.4">
      <c r="A16" s="54" t="s">
        <v>125</v>
      </c>
      <c r="B16" s="46">
        <v>2</v>
      </c>
      <c r="C16" s="37">
        <f>IF(B$14=0,0,B16/B$14)</f>
        <v>0.2</v>
      </c>
      <c r="E16" s="63" t="s">
        <v>78</v>
      </c>
      <c r="F16" s="60" t="s">
        <v>33</v>
      </c>
      <c r="G16" s="47">
        <v>0</v>
      </c>
      <c r="H16" s="133">
        <f>IF(B$17=0,0,G16/B$17)</f>
        <v>0</v>
      </c>
      <c r="I16" s="94">
        <v>8</v>
      </c>
      <c r="N16" s="115" t="s">
        <v>129</v>
      </c>
      <c r="O16" s="125">
        <f>IF(P16=0,0,Q16/P16)</f>
        <v>-98.95</v>
      </c>
      <c r="P16" s="119">
        <v>2</v>
      </c>
      <c r="Q16" s="107">
        <v>-197.9</v>
      </c>
    </row>
    <row r="17" spans="1:9" x14ac:dyDescent="0.4">
      <c r="A17" s="54" t="s">
        <v>10</v>
      </c>
      <c r="B17" s="46">
        <f>B19+B18</f>
        <v>4</v>
      </c>
      <c r="C17" s="37">
        <f>IF(B$3=0,0,B17/B$3)</f>
        <v>0.19047619047619047</v>
      </c>
      <c r="E17" s="63" t="s">
        <v>79</v>
      </c>
      <c r="F17" s="60" t="s">
        <v>34</v>
      </c>
      <c r="G17" s="47">
        <v>0</v>
      </c>
      <c r="H17" s="133">
        <f>IF(B$17=0,0,G17/B$17)</f>
        <v>0</v>
      </c>
      <c r="I17" s="94">
        <v>11</v>
      </c>
    </row>
    <row r="18" spans="1:9" x14ac:dyDescent="0.4">
      <c r="A18" s="55" t="s">
        <v>12</v>
      </c>
      <c r="B18" s="47">
        <v>1</v>
      </c>
      <c r="C18" s="39">
        <f>IF(B$17=0,0,B18/B$17)</f>
        <v>0.25</v>
      </c>
      <c r="E18" s="63" t="s">
        <v>80</v>
      </c>
      <c r="F18" s="60" t="s">
        <v>35</v>
      </c>
      <c r="G18" s="47">
        <v>0</v>
      </c>
      <c r="H18" s="133">
        <f>IF(B$17=0,0,G18/B$17)</f>
        <v>0</v>
      </c>
      <c r="I18" s="94">
        <v>12</v>
      </c>
    </row>
    <row r="19" spans="1:9" x14ac:dyDescent="0.4">
      <c r="A19" s="55" t="s">
        <v>11</v>
      </c>
      <c r="B19" s="47">
        <v>3</v>
      </c>
      <c r="C19" s="39">
        <f>IF(B$17=0,0,B19/B$17)</f>
        <v>0.75</v>
      </c>
      <c r="E19" s="63" t="s">
        <v>81</v>
      </c>
      <c r="F19" s="60" t="s">
        <v>36</v>
      </c>
      <c r="G19" s="47">
        <v>0</v>
      </c>
      <c r="H19" s="133">
        <f>IF(B$17=0,0,G19/B$17)</f>
        <v>0</v>
      </c>
      <c r="I19" s="94">
        <v>1</v>
      </c>
    </row>
    <row r="20" spans="1:9" x14ac:dyDescent="0.4">
      <c r="A20" s="55" t="s">
        <v>13</v>
      </c>
      <c r="B20" s="47">
        <v>5</v>
      </c>
      <c r="C20" s="39">
        <f>IF(B$3=0,0,B20/B$3)</f>
        <v>0.23809523809523808</v>
      </c>
      <c r="E20" s="63" t="s">
        <v>82</v>
      </c>
      <c r="F20" s="60" t="s">
        <v>37</v>
      </c>
      <c r="G20" s="47">
        <v>0</v>
      </c>
      <c r="H20" s="133">
        <f>IF(B$17=0,0,G20/B$17)</f>
        <v>0</v>
      </c>
      <c r="I20" s="94">
        <v>11</v>
      </c>
    </row>
    <row r="21" spans="1:9" x14ac:dyDescent="0.4">
      <c r="A21" s="55" t="s">
        <v>191</v>
      </c>
      <c r="B21" s="47">
        <v>2</v>
      </c>
      <c r="C21" s="135">
        <v>0</v>
      </c>
      <c r="E21" s="63" t="s">
        <v>83</v>
      </c>
      <c r="F21" s="60" t="s">
        <v>38</v>
      </c>
      <c r="G21" s="47">
        <v>0</v>
      </c>
      <c r="H21" s="133">
        <f>IF(B$17=0,0,G21/B$17)</f>
        <v>0</v>
      </c>
      <c r="I21" s="94">
        <v>1</v>
      </c>
    </row>
    <row r="22" spans="1:9" x14ac:dyDescent="0.4">
      <c r="A22" s="55" t="s">
        <v>192</v>
      </c>
      <c r="B22" s="47">
        <v>7</v>
      </c>
      <c r="C22" s="135">
        <v>0</v>
      </c>
      <c r="E22" s="63" t="s">
        <v>84</v>
      </c>
      <c r="F22" s="60" t="s">
        <v>39</v>
      </c>
      <c r="G22" s="47">
        <v>0</v>
      </c>
      <c r="H22" s="133">
        <f>IF(B$17=0,0,G22/B$17)</f>
        <v>0</v>
      </c>
      <c r="I22" s="94">
        <v>12</v>
      </c>
    </row>
    <row r="23" spans="1:9" x14ac:dyDescent="0.4">
      <c r="A23" s="55" t="s">
        <v>5</v>
      </c>
      <c r="B23" s="51">
        <f>IF(B$17=0,0,C23/B$17)</f>
        <v>4475</v>
      </c>
      <c r="C23" s="41">
        <v>17900</v>
      </c>
      <c r="E23" s="63" t="s">
        <v>85</v>
      </c>
      <c r="F23" s="60" t="s">
        <v>40</v>
      </c>
      <c r="G23" s="47">
        <v>0</v>
      </c>
      <c r="H23" s="133">
        <f>IF(B$17=0,0,G23/B$17)</f>
        <v>0</v>
      </c>
      <c r="I23" s="94">
        <v>6</v>
      </c>
    </row>
    <row r="24" spans="1:9" x14ac:dyDescent="0.4">
      <c r="A24" s="57" t="s">
        <v>14</v>
      </c>
      <c r="B24" s="52">
        <f>IF(B$20=0,0,C24/B$20)</f>
        <v>-6140</v>
      </c>
      <c r="C24" s="45">
        <v>-30700</v>
      </c>
      <c r="E24" s="63" t="s">
        <v>86</v>
      </c>
      <c r="F24" s="60" t="s">
        <v>41</v>
      </c>
      <c r="G24" s="47">
        <v>0</v>
      </c>
      <c r="H24" s="133">
        <f>IF(B$17=0,0,G24/B$17)</f>
        <v>0</v>
      </c>
      <c r="I24" s="94">
        <v>4</v>
      </c>
    </row>
    <row r="25" spans="1:9" x14ac:dyDescent="0.4">
      <c r="A25" s="90" t="s">
        <v>142</v>
      </c>
      <c r="B25" s="146">
        <v>2</v>
      </c>
      <c r="C25" s="147"/>
      <c r="E25" s="63" t="s">
        <v>87</v>
      </c>
      <c r="F25" s="60" t="s">
        <v>42</v>
      </c>
      <c r="G25" s="47">
        <v>0</v>
      </c>
      <c r="H25" s="133">
        <f>IF(B$17=0,0,G25/B$17)</f>
        <v>0</v>
      </c>
      <c r="I25" s="94">
        <v>11</v>
      </c>
    </row>
    <row r="26" spans="1:9" x14ac:dyDescent="0.4">
      <c r="A26" s="58" t="s">
        <v>152</v>
      </c>
      <c r="B26" s="144">
        <v>11800</v>
      </c>
      <c r="C26" s="145"/>
      <c r="E26" s="63" t="s">
        <v>88</v>
      </c>
      <c r="F26" s="60" t="s">
        <v>43</v>
      </c>
      <c r="G26" s="47">
        <v>0</v>
      </c>
      <c r="H26" s="133">
        <f>IF(B$17=0,0,G26/B$17)</f>
        <v>0</v>
      </c>
      <c r="I26" s="94">
        <v>7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89</v>
      </c>
      <c r="F27" s="60" t="s">
        <v>44</v>
      </c>
      <c r="G27" s="47">
        <v>0</v>
      </c>
      <c r="H27" s="133">
        <f>IF(B$17=0,0,G27/B$17)</f>
        <v>0</v>
      </c>
      <c r="I27" s="94">
        <v>5</v>
      </c>
    </row>
    <row r="28" spans="1:9" x14ac:dyDescent="0.4">
      <c r="E28" s="63" t="s">
        <v>90</v>
      </c>
      <c r="F28" s="60" t="s">
        <v>45</v>
      </c>
      <c r="G28" s="47">
        <v>0</v>
      </c>
      <c r="H28" s="133">
        <f>IF(B$17=0,0,G28/B$17)</f>
        <v>0</v>
      </c>
      <c r="I28" s="94">
        <v>13</v>
      </c>
    </row>
    <row r="29" spans="1:9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5</v>
      </c>
    </row>
    <row r="30" spans="1:9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9</v>
      </c>
    </row>
    <row r="31" spans="1:9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7</v>
      </c>
    </row>
    <row r="32" spans="1:9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7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3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180</v>
      </c>
      <c r="F51" s="137" t="s">
        <v>181</v>
      </c>
      <c r="G51" s="48">
        <v>0</v>
      </c>
      <c r="H51" s="138">
        <f>IF(B$17=0,0,G51/B$17)</f>
        <v>0</v>
      </c>
      <c r="I51" s="139">
        <v>7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N15:Q1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0F33C-D428-4018-B0F8-79BF63CFFF1C}">
  <sheetPr codeName="Sheet33"/>
  <dimension ref="A1:Q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271</v>
      </c>
      <c r="B1" s="70" t="s">
        <v>271</v>
      </c>
      <c r="C1" s="70" t="s">
        <v>271</v>
      </c>
      <c r="D1" s="71" t="s">
        <v>271</v>
      </c>
      <c r="E1" s="70" t="s">
        <v>271</v>
      </c>
      <c r="F1" s="70" t="s">
        <v>271</v>
      </c>
      <c r="G1" s="70" t="s">
        <v>271</v>
      </c>
      <c r="H1" s="70" t="s">
        <v>271</v>
      </c>
      <c r="I1" s="70" t="s">
        <v>271</v>
      </c>
      <c r="J1" s="70" t="s">
        <v>271</v>
      </c>
      <c r="K1" s="70" t="s">
        <v>271</v>
      </c>
      <c r="L1" s="70" t="s">
        <v>271</v>
      </c>
      <c r="M1" s="70" t="s">
        <v>271</v>
      </c>
      <c r="N1" s="70" t="s">
        <v>271</v>
      </c>
      <c r="O1" s="70" t="s">
        <v>271</v>
      </c>
      <c r="P1" s="70" t="s">
        <v>271</v>
      </c>
      <c r="Q1" s="70" t="s">
        <v>271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-43.2</v>
      </c>
      <c r="C4" s="66">
        <v>-43.2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0.14285714285714285</v>
      </c>
      <c r="I4" s="68">
        <v>3900</v>
      </c>
      <c r="J4" s="68">
        <v>-3200</v>
      </c>
      <c r="K4" s="67">
        <v>0</v>
      </c>
      <c r="L4" s="67">
        <v>0</v>
      </c>
      <c r="M4" s="67">
        <v>0</v>
      </c>
      <c r="N4" s="67">
        <v>0.2857142857142857</v>
      </c>
      <c r="O4" s="67">
        <v>0</v>
      </c>
      <c r="P4" s="67">
        <v>0.5</v>
      </c>
      <c r="Q4" s="67">
        <v>0</v>
      </c>
    </row>
    <row r="5" spans="1:17" x14ac:dyDescent="0.4">
      <c r="A5" s="69">
        <v>2</v>
      </c>
      <c r="B5" s="66">
        <v>-96.5</v>
      </c>
      <c r="C5" s="66">
        <v>-48.25</v>
      </c>
      <c r="D5" s="71">
        <v>3</v>
      </c>
      <c r="E5" s="67">
        <v>0</v>
      </c>
      <c r="F5" s="67">
        <v>1</v>
      </c>
      <c r="G5" s="67">
        <v>0.19047619047619047</v>
      </c>
      <c r="H5" s="67">
        <v>0.23809523809523808</v>
      </c>
      <c r="I5" s="68">
        <v>4475</v>
      </c>
      <c r="J5" s="68">
        <v>-6140</v>
      </c>
      <c r="K5" s="67">
        <v>0</v>
      </c>
      <c r="L5" s="67">
        <v>0</v>
      </c>
      <c r="M5" s="67">
        <v>4.7619047619047616E-2</v>
      </c>
      <c r="N5" s="67">
        <v>0.47619047619047616</v>
      </c>
      <c r="O5" s="67">
        <v>1</v>
      </c>
      <c r="P5" s="67">
        <v>0.2</v>
      </c>
      <c r="Q5" s="67">
        <v>0.25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4DE34E-BD6F-456E-B520-7F920AB111D7}">
  <sheetPr codeName="Sheet30"/>
  <dimension ref="A1:Q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223</v>
      </c>
      <c r="B1" s="70" t="s">
        <v>223</v>
      </c>
      <c r="C1" s="70" t="s">
        <v>223</v>
      </c>
      <c r="D1" s="71" t="s">
        <v>223</v>
      </c>
      <c r="E1" s="70" t="s">
        <v>223</v>
      </c>
      <c r="F1" s="70" t="s">
        <v>223</v>
      </c>
      <c r="G1" s="70" t="s">
        <v>223</v>
      </c>
      <c r="H1" s="70" t="s">
        <v>223</v>
      </c>
      <c r="I1" s="70" t="s">
        <v>223</v>
      </c>
      <c r="J1" s="70" t="s">
        <v>223</v>
      </c>
      <c r="K1" s="70" t="s">
        <v>223</v>
      </c>
      <c r="L1" s="70" t="s">
        <v>223</v>
      </c>
      <c r="M1" s="70" t="s">
        <v>223</v>
      </c>
      <c r="N1" s="70" t="s">
        <v>223</v>
      </c>
      <c r="O1" s="70" t="s">
        <v>223</v>
      </c>
      <c r="P1" s="70" t="s">
        <v>223</v>
      </c>
      <c r="Q1" s="70" t="s">
        <v>223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-37</v>
      </c>
      <c r="C4" s="66">
        <v>-37</v>
      </c>
      <c r="D4" s="71">
        <v>3</v>
      </c>
      <c r="E4" s="67">
        <v>0</v>
      </c>
      <c r="F4" s="67">
        <v>1</v>
      </c>
      <c r="G4" s="67">
        <v>0.375</v>
      </c>
      <c r="H4" s="67">
        <v>0.375</v>
      </c>
      <c r="I4" s="68">
        <v>8666.6666666666661</v>
      </c>
      <c r="J4" s="68">
        <v>-14000</v>
      </c>
      <c r="K4" s="67">
        <v>0</v>
      </c>
      <c r="L4" s="67">
        <v>0</v>
      </c>
      <c r="M4" s="67">
        <v>0.375</v>
      </c>
      <c r="N4" s="67">
        <v>0.125</v>
      </c>
      <c r="O4" s="67">
        <v>1</v>
      </c>
      <c r="P4" s="67">
        <v>0</v>
      </c>
      <c r="Q4" s="67">
        <v>0.66666666666666663</v>
      </c>
    </row>
    <row r="5" spans="1:17" x14ac:dyDescent="0.4">
      <c r="A5" s="69">
        <v>2</v>
      </c>
      <c r="B5" s="66">
        <v>-24.7</v>
      </c>
      <c r="C5" s="66">
        <v>-12.35</v>
      </c>
      <c r="D5" s="71">
        <v>2.5</v>
      </c>
      <c r="E5" s="67">
        <v>0</v>
      </c>
      <c r="F5" s="67">
        <v>0.5</v>
      </c>
      <c r="G5" s="67">
        <v>0.29411764705882354</v>
      </c>
      <c r="H5" s="67">
        <v>0.23529411764705882</v>
      </c>
      <c r="I5" s="68">
        <v>10600</v>
      </c>
      <c r="J5" s="68">
        <v>-12425</v>
      </c>
      <c r="K5" s="67">
        <v>0</v>
      </c>
      <c r="L5" s="67">
        <v>0</v>
      </c>
      <c r="M5" s="67">
        <v>0.17647058823529413</v>
      </c>
      <c r="N5" s="67">
        <v>0.23529411764705882</v>
      </c>
      <c r="O5" s="67">
        <v>1</v>
      </c>
      <c r="P5" s="67">
        <v>0.25</v>
      </c>
      <c r="Q5" s="67">
        <v>0.6</v>
      </c>
    </row>
    <row r="6" spans="1:17" x14ac:dyDescent="0.4">
      <c r="A6" s="69">
        <v>3</v>
      </c>
      <c r="B6" s="66">
        <v>14.500000000000004</v>
      </c>
      <c r="C6" s="66">
        <v>4.8333333333333348</v>
      </c>
      <c r="D6" s="71">
        <v>2</v>
      </c>
      <c r="E6" s="67">
        <v>0.33333333333333331</v>
      </c>
      <c r="F6" s="67">
        <v>0.33333333333333331</v>
      </c>
      <c r="G6" s="67">
        <v>0.33333333333333331</v>
      </c>
      <c r="H6" s="67">
        <v>0.16666666666666666</v>
      </c>
      <c r="I6" s="68">
        <v>9270</v>
      </c>
      <c r="J6" s="68">
        <v>-11540</v>
      </c>
      <c r="K6" s="67">
        <v>0</v>
      </c>
      <c r="L6" s="67">
        <v>0</v>
      </c>
      <c r="M6" s="67">
        <v>0.13333333333333333</v>
      </c>
      <c r="N6" s="67">
        <v>0.33333333333333331</v>
      </c>
      <c r="O6" s="67">
        <v>0.75</v>
      </c>
      <c r="P6" s="67">
        <v>0.6</v>
      </c>
      <c r="Q6" s="67">
        <v>0.7</v>
      </c>
    </row>
    <row r="7" spans="1:17" x14ac:dyDescent="0.4">
      <c r="A7" s="69">
        <v>4</v>
      </c>
      <c r="B7" s="66">
        <v>-37.200000000000003</v>
      </c>
      <c r="C7" s="66">
        <v>-9.3000000000000007</v>
      </c>
      <c r="D7" s="71">
        <v>2.25</v>
      </c>
      <c r="E7" s="67">
        <v>0.25</v>
      </c>
      <c r="F7" s="67">
        <v>0.5</v>
      </c>
      <c r="G7" s="67">
        <v>0.26315789473684209</v>
      </c>
      <c r="H7" s="67">
        <v>0.15789473684210525</v>
      </c>
      <c r="I7" s="68">
        <v>9270</v>
      </c>
      <c r="J7" s="68">
        <v>-10583.333333333334</v>
      </c>
      <c r="K7" s="67">
        <v>0</v>
      </c>
      <c r="L7" s="67">
        <v>0</v>
      </c>
      <c r="M7" s="67">
        <v>0.13157894736842105</v>
      </c>
      <c r="N7" s="67">
        <v>0.36842105263157893</v>
      </c>
      <c r="O7" s="67">
        <v>0.6</v>
      </c>
      <c r="P7" s="67">
        <v>0.42857142857142855</v>
      </c>
      <c r="Q7" s="67">
        <v>0.7</v>
      </c>
    </row>
    <row r="8" spans="1:17" x14ac:dyDescent="0.4">
      <c r="A8" s="69">
        <v>5</v>
      </c>
      <c r="B8" s="66">
        <v>39.899999999999991</v>
      </c>
      <c r="C8" s="66">
        <v>7.9799999999999986</v>
      </c>
      <c r="D8" s="71">
        <v>2</v>
      </c>
      <c r="E8" s="67">
        <v>0.4</v>
      </c>
      <c r="F8" s="67">
        <v>0.4</v>
      </c>
      <c r="G8" s="67">
        <v>0.30952380952380953</v>
      </c>
      <c r="H8" s="67">
        <v>0.14285714285714285</v>
      </c>
      <c r="I8" s="68">
        <v>11253.846153846154</v>
      </c>
      <c r="J8" s="68">
        <v>-10583.333333333334</v>
      </c>
      <c r="K8" s="67">
        <v>0</v>
      </c>
      <c r="L8" s="67">
        <v>0.2</v>
      </c>
      <c r="M8" s="67">
        <v>0.14285714285714285</v>
      </c>
      <c r="N8" s="67">
        <v>0.38095238095238093</v>
      </c>
      <c r="O8" s="67">
        <v>0.66666666666666663</v>
      </c>
      <c r="P8" s="67">
        <v>0.5</v>
      </c>
      <c r="Q8" s="67">
        <v>0.69230769230769229</v>
      </c>
    </row>
    <row r="9" spans="1:17" x14ac:dyDescent="0.4">
      <c r="A9" s="69">
        <v>6</v>
      </c>
      <c r="B9" s="66">
        <v>100.39999999999999</v>
      </c>
      <c r="C9" s="66">
        <v>16.733333333333331</v>
      </c>
      <c r="D9" s="71">
        <v>1.8333333333333333</v>
      </c>
      <c r="E9" s="67">
        <v>0.5</v>
      </c>
      <c r="F9" s="67">
        <v>0.33333333333333331</v>
      </c>
      <c r="G9" s="67">
        <v>0.34782608695652173</v>
      </c>
      <c r="H9" s="67">
        <v>0.13043478260869565</v>
      </c>
      <c r="I9" s="68">
        <v>12143.75</v>
      </c>
      <c r="J9" s="68">
        <v>-10583.333333333334</v>
      </c>
      <c r="K9" s="67">
        <v>0</v>
      </c>
      <c r="L9" s="67">
        <v>0.33333333333333331</v>
      </c>
      <c r="M9" s="67">
        <v>0.15217391304347827</v>
      </c>
      <c r="N9" s="67">
        <v>0.36956521739130432</v>
      </c>
      <c r="O9" s="67">
        <v>0.7142857142857143</v>
      </c>
      <c r="P9" s="67">
        <v>0.52941176470588236</v>
      </c>
      <c r="Q9" s="67">
        <v>0.625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E6841A-1CA4-41BE-B6B9-393115080833}">
  <sheetPr codeName="Sheet28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222</v>
      </c>
      <c r="B1" s="70" t="s">
        <v>222</v>
      </c>
      <c r="C1" s="70" t="s">
        <v>222</v>
      </c>
      <c r="D1" s="71" t="s">
        <v>222</v>
      </c>
      <c r="E1" s="70" t="s">
        <v>222</v>
      </c>
      <c r="F1" s="70" t="s">
        <v>222</v>
      </c>
      <c r="G1" s="70" t="s">
        <v>222</v>
      </c>
      <c r="H1" s="70" t="s">
        <v>222</v>
      </c>
      <c r="I1" s="70" t="s">
        <v>222</v>
      </c>
      <c r="J1" s="70" t="s">
        <v>222</v>
      </c>
      <c r="K1" s="70" t="s">
        <v>222</v>
      </c>
      <c r="L1" s="70" t="s">
        <v>222</v>
      </c>
      <c r="M1" s="70" t="s">
        <v>222</v>
      </c>
      <c r="N1" s="70" t="s">
        <v>222</v>
      </c>
      <c r="O1" s="70" t="s">
        <v>222</v>
      </c>
      <c r="P1" s="70" t="s">
        <v>222</v>
      </c>
      <c r="Q1" s="70" t="s">
        <v>222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13.3</v>
      </c>
      <c r="C4" s="66">
        <v>13.3</v>
      </c>
      <c r="D4" s="71">
        <v>2</v>
      </c>
      <c r="E4" s="67">
        <v>0</v>
      </c>
      <c r="F4" s="67">
        <v>0</v>
      </c>
      <c r="G4" s="67">
        <v>0.15384615384615385</v>
      </c>
      <c r="H4" s="67">
        <v>7.6923076923076927E-2</v>
      </c>
      <c r="I4" s="68">
        <v>13800</v>
      </c>
      <c r="J4" s="68">
        <v>-12000</v>
      </c>
      <c r="K4" s="67">
        <v>0</v>
      </c>
      <c r="L4" s="67">
        <v>0</v>
      </c>
      <c r="M4" s="67">
        <v>0.23076923076923078</v>
      </c>
      <c r="N4" s="67">
        <v>7.6923076923076927E-2</v>
      </c>
      <c r="O4" s="67">
        <v>0.33333333333333331</v>
      </c>
      <c r="P4" s="67">
        <v>0</v>
      </c>
      <c r="Q4" s="67">
        <v>0.5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099C7D-8208-4643-A876-27ACF1431A69}">
  <sheetPr codeName="Sheet26"/>
  <dimension ref="A1:Q1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200</v>
      </c>
      <c r="B1" s="70" t="s">
        <v>200</v>
      </c>
      <c r="C1" s="70" t="s">
        <v>200</v>
      </c>
      <c r="D1" s="71" t="s">
        <v>200</v>
      </c>
      <c r="E1" s="70" t="s">
        <v>200</v>
      </c>
      <c r="F1" s="70" t="s">
        <v>200</v>
      </c>
      <c r="G1" s="70" t="s">
        <v>200</v>
      </c>
      <c r="H1" s="70" t="s">
        <v>200</v>
      </c>
      <c r="I1" s="70" t="s">
        <v>200</v>
      </c>
      <c r="J1" s="70" t="s">
        <v>200</v>
      </c>
      <c r="K1" s="70" t="s">
        <v>200</v>
      </c>
      <c r="L1" s="70" t="s">
        <v>200</v>
      </c>
      <c r="M1" s="70" t="s">
        <v>200</v>
      </c>
      <c r="N1" s="70" t="s">
        <v>200</v>
      </c>
      <c r="O1" s="70" t="s">
        <v>200</v>
      </c>
      <c r="P1" s="70" t="s">
        <v>200</v>
      </c>
      <c r="Q1" s="70" t="s">
        <v>200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-28.1</v>
      </c>
      <c r="C5" s="66">
        <v>-14.05</v>
      </c>
      <c r="D5" s="71">
        <v>2</v>
      </c>
      <c r="E5" s="67">
        <v>0</v>
      </c>
      <c r="F5" s="67">
        <v>0</v>
      </c>
      <c r="G5" s="67">
        <v>0.17647058823529413</v>
      </c>
      <c r="H5" s="67">
        <v>0.17647058823529413</v>
      </c>
      <c r="I5" s="68">
        <v>10566.666666666666</v>
      </c>
      <c r="J5" s="68">
        <v>-6166.666666666667</v>
      </c>
      <c r="K5" s="67">
        <v>0</v>
      </c>
      <c r="L5" s="67">
        <v>0</v>
      </c>
      <c r="M5" s="67">
        <v>0.17647058823529413</v>
      </c>
      <c r="N5" s="67">
        <v>0.35294117647058826</v>
      </c>
      <c r="O5" s="67">
        <v>0.33333333333333331</v>
      </c>
      <c r="P5" s="67">
        <v>0.33333333333333331</v>
      </c>
      <c r="Q5" s="67">
        <v>0.66666666666666663</v>
      </c>
    </row>
    <row r="6" spans="1:17" x14ac:dyDescent="0.4">
      <c r="A6" s="69">
        <v>3</v>
      </c>
      <c r="B6" s="66">
        <v>-20.400000000000002</v>
      </c>
      <c r="C6" s="66">
        <v>-6.8000000000000007</v>
      </c>
      <c r="D6" s="71">
        <v>2</v>
      </c>
      <c r="E6" s="67">
        <v>0</v>
      </c>
      <c r="F6" s="67">
        <v>0</v>
      </c>
      <c r="G6" s="67">
        <v>0.17857142857142858</v>
      </c>
      <c r="H6" s="67">
        <v>0.17857142857142858</v>
      </c>
      <c r="I6" s="68">
        <v>12340</v>
      </c>
      <c r="J6" s="68">
        <v>-5880</v>
      </c>
      <c r="K6" s="67">
        <v>0</v>
      </c>
      <c r="L6" s="67">
        <v>0</v>
      </c>
      <c r="M6" s="67">
        <v>0.17857142857142858</v>
      </c>
      <c r="N6" s="67">
        <v>0.32142857142857145</v>
      </c>
      <c r="O6" s="67">
        <v>0.4</v>
      </c>
      <c r="P6" s="67">
        <v>0.33333333333333331</v>
      </c>
      <c r="Q6" s="67">
        <v>0.6</v>
      </c>
    </row>
    <row r="7" spans="1:17" x14ac:dyDescent="0.4">
      <c r="A7" s="69">
        <v>4</v>
      </c>
      <c r="B7" s="66">
        <v>19.399999999999995</v>
      </c>
      <c r="C7" s="66">
        <v>4.8499999999999988</v>
      </c>
      <c r="D7" s="71">
        <v>1.75</v>
      </c>
      <c r="E7" s="67">
        <v>0.25</v>
      </c>
      <c r="F7" s="67">
        <v>0</v>
      </c>
      <c r="G7" s="67">
        <v>0.25</v>
      </c>
      <c r="H7" s="67">
        <v>0.16666666666666666</v>
      </c>
      <c r="I7" s="68">
        <v>9555.5555555555547</v>
      </c>
      <c r="J7" s="68">
        <v>-5866.666666666667</v>
      </c>
      <c r="K7" s="67">
        <v>0</v>
      </c>
      <c r="L7" s="67">
        <v>0</v>
      </c>
      <c r="M7" s="67">
        <v>0.30555555555555558</v>
      </c>
      <c r="N7" s="67">
        <v>0.27777777777777779</v>
      </c>
      <c r="O7" s="67">
        <v>0.54545454545454541</v>
      </c>
      <c r="P7" s="67">
        <v>0.3</v>
      </c>
      <c r="Q7" s="67">
        <v>0.66666666666666663</v>
      </c>
    </row>
    <row r="8" spans="1:17" x14ac:dyDescent="0.4">
      <c r="A8" s="69">
        <v>5</v>
      </c>
      <c r="B8" s="66">
        <v>-16.100000000000005</v>
      </c>
      <c r="C8" s="66">
        <v>-3.2200000000000011</v>
      </c>
      <c r="D8" s="71">
        <v>2</v>
      </c>
      <c r="E8" s="67">
        <v>0.2</v>
      </c>
      <c r="F8" s="67">
        <v>0.2</v>
      </c>
      <c r="G8" s="67">
        <v>0.24</v>
      </c>
      <c r="H8" s="67">
        <v>0.2</v>
      </c>
      <c r="I8" s="68">
        <v>8425</v>
      </c>
      <c r="J8" s="68">
        <v>-5420</v>
      </c>
      <c r="K8" s="67">
        <v>0</v>
      </c>
      <c r="L8" s="67">
        <v>0</v>
      </c>
      <c r="M8" s="67">
        <v>0.24</v>
      </c>
      <c r="N8" s="67">
        <v>0.26</v>
      </c>
      <c r="O8" s="67">
        <v>0.58333333333333337</v>
      </c>
      <c r="P8" s="67">
        <v>0.30769230769230771</v>
      </c>
      <c r="Q8" s="67">
        <v>0.58333333333333337</v>
      </c>
    </row>
    <row r="9" spans="1:17" x14ac:dyDescent="0.4">
      <c r="A9" s="69">
        <v>6</v>
      </c>
      <c r="B9" s="66">
        <v>-16.300000000000004</v>
      </c>
      <c r="C9" s="66">
        <v>-2.7166666666666672</v>
      </c>
      <c r="D9" s="71">
        <v>2</v>
      </c>
      <c r="E9" s="67">
        <v>0.16666666666666666</v>
      </c>
      <c r="F9" s="67">
        <v>0.16666666666666666</v>
      </c>
      <c r="G9" s="67">
        <v>0.26229508196721313</v>
      </c>
      <c r="H9" s="67">
        <v>0.18032786885245902</v>
      </c>
      <c r="I9" s="68">
        <v>8043.75</v>
      </c>
      <c r="J9" s="68">
        <v>-6563.636363636364</v>
      </c>
      <c r="K9" s="67">
        <v>0</v>
      </c>
      <c r="L9" s="67">
        <v>0</v>
      </c>
      <c r="M9" s="67">
        <v>0.24590163934426229</v>
      </c>
      <c r="N9" s="67">
        <v>0.24590163934426229</v>
      </c>
      <c r="O9" s="67">
        <v>0.66666666666666663</v>
      </c>
      <c r="P9" s="67">
        <v>0.33333333333333331</v>
      </c>
      <c r="Q9" s="67">
        <v>0.5625</v>
      </c>
    </row>
    <row r="10" spans="1:17" x14ac:dyDescent="0.4">
      <c r="A10" s="69">
        <v>7</v>
      </c>
      <c r="B10" s="66">
        <v>-25.300000000000004</v>
      </c>
      <c r="C10" s="66">
        <v>-3.6142857142857148</v>
      </c>
      <c r="D10" s="71">
        <v>2</v>
      </c>
      <c r="E10" s="67">
        <v>0.14285714285714285</v>
      </c>
      <c r="F10" s="67">
        <v>0.14285714285714285</v>
      </c>
      <c r="G10" s="67">
        <v>0.30434782608695654</v>
      </c>
      <c r="H10" s="67">
        <v>0.17391304347826086</v>
      </c>
      <c r="I10" s="68">
        <v>7438.0952380952385</v>
      </c>
      <c r="J10" s="68">
        <v>-6683.333333333333</v>
      </c>
      <c r="K10" s="67">
        <v>0</v>
      </c>
      <c r="L10" s="67">
        <v>0</v>
      </c>
      <c r="M10" s="67">
        <v>0.24637681159420291</v>
      </c>
      <c r="N10" s="67">
        <v>0.27536231884057971</v>
      </c>
      <c r="O10" s="67">
        <v>0.70588235294117652</v>
      </c>
      <c r="P10" s="67">
        <v>0.42105263157894735</v>
      </c>
      <c r="Q10" s="67">
        <v>0.5714285714285714</v>
      </c>
    </row>
    <row r="11" spans="1:17" x14ac:dyDescent="0.4">
      <c r="A11" s="69">
        <v>8</v>
      </c>
      <c r="B11" s="66">
        <v>9.5999999999999943</v>
      </c>
      <c r="C11" s="66">
        <v>1.1999999999999993</v>
      </c>
      <c r="D11" s="71">
        <v>1.875</v>
      </c>
      <c r="E11" s="67">
        <v>0.25</v>
      </c>
      <c r="F11" s="67">
        <v>0.125</v>
      </c>
      <c r="G11" s="67">
        <v>0.33766233766233766</v>
      </c>
      <c r="H11" s="67">
        <v>0.16883116883116883</v>
      </c>
      <c r="I11" s="68">
        <v>6973.0769230769229</v>
      </c>
      <c r="J11" s="68">
        <v>-6569.2307692307695</v>
      </c>
      <c r="K11" s="67">
        <v>0</v>
      </c>
      <c r="L11" s="67">
        <v>0</v>
      </c>
      <c r="M11" s="67">
        <v>0.23376623376623376</v>
      </c>
      <c r="N11" s="67">
        <v>0.31168831168831168</v>
      </c>
      <c r="O11" s="67">
        <v>0.72222222222222221</v>
      </c>
      <c r="P11" s="67">
        <v>0.5</v>
      </c>
      <c r="Q11" s="67">
        <v>0.57692307692307687</v>
      </c>
    </row>
    <row r="12" spans="1:17" x14ac:dyDescent="0.4">
      <c r="A12" s="69">
        <v>9</v>
      </c>
      <c r="B12" s="66">
        <v>18.099999999999994</v>
      </c>
      <c r="C12" s="66">
        <v>2.0111111111111106</v>
      </c>
      <c r="D12" s="71">
        <v>1.8888888888888888</v>
      </c>
      <c r="E12" s="67">
        <v>0.22222222222222221</v>
      </c>
      <c r="F12" s="67">
        <v>0.1111111111111111</v>
      </c>
      <c r="G12" s="67">
        <v>0.3411764705882353</v>
      </c>
      <c r="H12" s="67">
        <v>0.16470588235294117</v>
      </c>
      <c r="I12" s="68">
        <v>6765.5172413793107</v>
      </c>
      <c r="J12" s="68">
        <v>-6378.5714285714284</v>
      </c>
      <c r="K12" s="67">
        <v>0</v>
      </c>
      <c r="L12" s="67">
        <v>0</v>
      </c>
      <c r="M12" s="67">
        <v>0.23529411764705882</v>
      </c>
      <c r="N12" s="67">
        <v>0.29411764705882354</v>
      </c>
      <c r="O12" s="67">
        <v>0.7</v>
      </c>
      <c r="P12" s="67">
        <v>0.48</v>
      </c>
      <c r="Q12" s="67">
        <v>0.58620689655172409</v>
      </c>
    </row>
    <row r="13" spans="1:17" x14ac:dyDescent="0.4">
      <c r="A13" s="69">
        <v>10</v>
      </c>
      <c r="B13" s="66">
        <v>109.39999999999999</v>
      </c>
      <c r="C13" s="66">
        <v>10.94</v>
      </c>
      <c r="D13" s="71">
        <v>1.8</v>
      </c>
      <c r="E13" s="67">
        <v>0.3</v>
      </c>
      <c r="F13" s="67">
        <v>0.1</v>
      </c>
      <c r="G13" s="67">
        <v>0.38297872340425532</v>
      </c>
      <c r="H13" s="67">
        <v>0.1702127659574468</v>
      </c>
      <c r="I13" s="68">
        <v>7680.5555555555557</v>
      </c>
      <c r="J13" s="68">
        <v>-6831.25</v>
      </c>
      <c r="K13" s="67">
        <v>0</v>
      </c>
      <c r="L13" s="67">
        <v>0.1</v>
      </c>
      <c r="M13" s="67">
        <v>0.24468085106382978</v>
      </c>
      <c r="N13" s="67">
        <v>0.31914893617021278</v>
      </c>
      <c r="O13" s="67">
        <v>0.69565217391304346</v>
      </c>
      <c r="P13" s="67">
        <v>0.53333333333333333</v>
      </c>
      <c r="Q13" s="67">
        <v>0.63888888888888884</v>
      </c>
    </row>
    <row r="14" spans="1:17" x14ac:dyDescent="0.4">
      <c r="A14" s="69">
        <v>11</v>
      </c>
      <c r="B14" s="66">
        <v>100.69999999999999</v>
      </c>
      <c r="C14" s="66">
        <v>9.1545454545454543</v>
      </c>
      <c r="D14" s="71">
        <v>1.8181818181818181</v>
      </c>
      <c r="E14" s="67">
        <v>0.27272727272727271</v>
      </c>
      <c r="F14" s="67">
        <v>9.0909090909090912E-2</v>
      </c>
      <c r="G14" s="67">
        <v>0.38613861386138615</v>
      </c>
      <c r="H14" s="67">
        <v>0.17821782178217821</v>
      </c>
      <c r="I14" s="68">
        <v>7551.2820512820517</v>
      </c>
      <c r="J14" s="68">
        <v>-7388.8888888888887</v>
      </c>
      <c r="K14" s="67">
        <v>0</v>
      </c>
      <c r="L14" s="67">
        <v>9.0909090909090912E-2</v>
      </c>
      <c r="M14" s="67">
        <v>0.22772277227722773</v>
      </c>
      <c r="N14" s="67">
        <v>0.34653465346534651</v>
      </c>
      <c r="O14" s="67">
        <v>0.69565217391304346</v>
      </c>
      <c r="P14" s="67">
        <v>0.51428571428571423</v>
      </c>
      <c r="Q14" s="67">
        <v>0.61538461538461542</v>
      </c>
    </row>
    <row r="15" spans="1:17" x14ac:dyDescent="0.4">
      <c r="A15" s="69">
        <v>12</v>
      </c>
      <c r="B15" s="66">
        <v>45.599999999999987</v>
      </c>
      <c r="C15" s="66">
        <v>3.7999999999999989</v>
      </c>
      <c r="D15" s="71">
        <v>1.9166666666666667</v>
      </c>
      <c r="E15" s="67">
        <v>0.25</v>
      </c>
      <c r="F15" s="67">
        <v>0.16666666666666666</v>
      </c>
      <c r="G15" s="67">
        <v>0.3783783783783784</v>
      </c>
      <c r="H15" s="67">
        <v>0.18018018018018017</v>
      </c>
      <c r="I15" s="68">
        <v>7535.7142857142853</v>
      </c>
      <c r="J15" s="68">
        <v>-8280</v>
      </c>
      <c r="K15" s="67">
        <v>8.3333333333333329E-2</v>
      </c>
      <c r="L15" s="67">
        <v>8.3333333333333329E-2</v>
      </c>
      <c r="M15" s="67">
        <v>0.22522522522522523</v>
      </c>
      <c r="N15" s="67">
        <v>0.34234234234234234</v>
      </c>
      <c r="O15" s="67">
        <v>0.72</v>
      </c>
      <c r="P15" s="67">
        <v>0.47368421052631576</v>
      </c>
      <c r="Q15" s="67">
        <v>0.61904761904761907</v>
      </c>
    </row>
    <row r="16" spans="1:17" x14ac:dyDescent="0.4">
      <c r="A16" s="69">
        <v>13</v>
      </c>
      <c r="B16" s="66">
        <v>83.299999999999983</v>
      </c>
      <c r="C16" s="66">
        <v>6.4076923076923062</v>
      </c>
      <c r="D16" s="71">
        <v>1.8461538461538463</v>
      </c>
      <c r="E16" s="67">
        <v>0.30769230769230771</v>
      </c>
      <c r="F16" s="67">
        <v>0.15384615384615385</v>
      </c>
      <c r="G16" s="67">
        <v>0.36585365853658536</v>
      </c>
      <c r="H16" s="67">
        <v>0.17073170731707318</v>
      </c>
      <c r="I16" s="68">
        <v>7880</v>
      </c>
      <c r="J16" s="68">
        <v>-8071.4285714285716</v>
      </c>
      <c r="K16" s="67">
        <v>7.6923076923076927E-2</v>
      </c>
      <c r="L16" s="67">
        <v>7.6923076923076927E-2</v>
      </c>
      <c r="M16" s="67">
        <v>0.23577235772357724</v>
      </c>
      <c r="N16" s="67">
        <v>0.32520325203252032</v>
      </c>
      <c r="O16" s="67">
        <v>0.68965517241379315</v>
      </c>
      <c r="P16" s="67">
        <v>0.45</v>
      </c>
      <c r="Q16" s="67">
        <v>0.62222222222222223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B5966-FCB5-4685-B78B-9FEF9652A87B}">
  <sheetPr codeName="Sheet24"/>
  <dimension ref="A1:Q2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184</v>
      </c>
      <c r="B1" s="70" t="s">
        <v>184</v>
      </c>
      <c r="C1" s="70" t="s">
        <v>184</v>
      </c>
      <c r="D1" s="71" t="s">
        <v>184</v>
      </c>
      <c r="E1" s="70" t="s">
        <v>184</v>
      </c>
      <c r="F1" s="70" t="s">
        <v>184</v>
      </c>
      <c r="G1" s="70" t="s">
        <v>184</v>
      </c>
      <c r="H1" s="70" t="s">
        <v>184</v>
      </c>
      <c r="I1" s="70" t="s">
        <v>184</v>
      </c>
      <c r="J1" s="70" t="s">
        <v>184</v>
      </c>
      <c r="K1" s="70" t="s">
        <v>184</v>
      </c>
      <c r="L1" s="70" t="s">
        <v>184</v>
      </c>
      <c r="M1" s="70" t="s">
        <v>184</v>
      </c>
      <c r="N1" s="70" t="s">
        <v>184</v>
      </c>
      <c r="O1" s="70" t="s">
        <v>184</v>
      </c>
      <c r="P1" s="70" t="s">
        <v>184</v>
      </c>
      <c r="Q1" s="70" t="s">
        <v>184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  <row r="11" spans="1:17" x14ac:dyDescent="0.4">
      <c r="A11" s="69">
        <v>8</v>
      </c>
      <c r="B11" s="66">
        <v>-170.5</v>
      </c>
      <c r="C11" s="66">
        <v>-21.3125</v>
      </c>
      <c r="D11" s="71">
        <v>2.375</v>
      </c>
      <c r="E11" s="67">
        <v>0.25</v>
      </c>
      <c r="F11" s="67">
        <v>0.625</v>
      </c>
      <c r="G11" s="67">
        <v>0.25</v>
      </c>
      <c r="H11" s="67">
        <v>0.25</v>
      </c>
      <c r="I11" s="68">
        <v>7364.7058823529414</v>
      </c>
      <c r="J11" s="68">
        <v>-8323.5294117647063</v>
      </c>
      <c r="K11" s="67">
        <v>0.125</v>
      </c>
      <c r="L11" s="67">
        <v>0</v>
      </c>
      <c r="M11" s="67">
        <v>0.17647058823529413</v>
      </c>
      <c r="N11" s="67">
        <v>0.22058823529411764</v>
      </c>
      <c r="O11" s="67">
        <v>0.66666666666666663</v>
      </c>
      <c r="P11" s="67">
        <v>0.46666666666666667</v>
      </c>
      <c r="Q11" s="67">
        <v>0.52941176470588236</v>
      </c>
    </row>
    <row r="12" spans="1:17" x14ac:dyDescent="0.4">
      <c r="A12" s="69">
        <v>9</v>
      </c>
      <c r="B12" s="66">
        <v>-228.1</v>
      </c>
      <c r="C12" s="66">
        <v>-25.344444444444445</v>
      </c>
      <c r="D12" s="71">
        <v>2.4444444444444446</v>
      </c>
      <c r="E12" s="67">
        <v>0.22222222222222221</v>
      </c>
      <c r="F12" s="67">
        <v>0.66666666666666663</v>
      </c>
      <c r="G12" s="67">
        <v>0.23076923076923078</v>
      </c>
      <c r="H12" s="67">
        <v>0.26923076923076922</v>
      </c>
      <c r="I12" s="68">
        <v>7072.2222222222226</v>
      </c>
      <c r="J12" s="68">
        <v>-8233.3333333333339</v>
      </c>
      <c r="K12" s="67">
        <v>0.22222222222222221</v>
      </c>
      <c r="L12" s="67">
        <v>0</v>
      </c>
      <c r="M12" s="67">
        <v>0.20512820512820512</v>
      </c>
      <c r="N12" s="67">
        <v>0.20512820512820512</v>
      </c>
      <c r="O12" s="67">
        <v>0.5625</v>
      </c>
      <c r="P12" s="67">
        <v>0.4375</v>
      </c>
      <c r="Q12" s="67">
        <v>0.55555555555555558</v>
      </c>
    </row>
    <row r="13" spans="1:17" x14ac:dyDescent="0.4">
      <c r="A13" s="69">
        <v>10</v>
      </c>
      <c r="B13" s="66">
        <v>-197.5</v>
      </c>
      <c r="C13" s="66">
        <v>-19.75</v>
      </c>
      <c r="D13" s="71">
        <v>2.2999999999999998</v>
      </c>
      <c r="E13" s="67">
        <v>0.3</v>
      </c>
      <c r="F13" s="67">
        <v>0.6</v>
      </c>
      <c r="G13" s="67">
        <v>0.23529411764705882</v>
      </c>
      <c r="H13" s="67">
        <v>0.27058823529411763</v>
      </c>
      <c r="I13" s="68">
        <v>7365</v>
      </c>
      <c r="J13" s="68">
        <v>-7686.95652173913</v>
      </c>
      <c r="K13" s="67">
        <v>0.2</v>
      </c>
      <c r="L13" s="67">
        <v>0</v>
      </c>
      <c r="M13" s="67">
        <v>0.21176470588235294</v>
      </c>
      <c r="N13" s="67">
        <v>0.2</v>
      </c>
      <c r="O13" s="67">
        <v>0.55555555555555558</v>
      </c>
      <c r="P13" s="67">
        <v>0.47058823529411764</v>
      </c>
      <c r="Q13" s="67">
        <v>0.55000000000000004</v>
      </c>
    </row>
    <row r="14" spans="1:17" x14ac:dyDescent="0.4">
      <c r="A14" s="69">
        <v>11</v>
      </c>
      <c r="B14" s="66">
        <v>-161.19999999999999</v>
      </c>
      <c r="C14" s="66">
        <v>-14.654545454545454</v>
      </c>
      <c r="D14" s="71">
        <v>2.1818181818181817</v>
      </c>
      <c r="E14" s="67">
        <v>0.36363636363636365</v>
      </c>
      <c r="F14" s="67">
        <v>0.54545454545454541</v>
      </c>
      <c r="G14" s="67">
        <v>0.25531914893617019</v>
      </c>
      <c r="H14" s="67">
        <v>0.25531914893617019</v>
      </c>
      <c r="I14" s="68">
        <v>7358.333333333333</v>
      </c>
      <c r="J14" s="68">
        <v>-7700</v>
      </c>
      <c r="K14" s="67">
        <v>0.18181818181818182</v>
      </c>
      <c r="L14" s="67">
        <v>0</v>
      </c>
      <c r="M14" s="67">
        <v>0.21276595744680851</v>
      </c>
      <c r="N14" s="67">
        <v>0.21276595744680851</v>
      </c>
      <c r="O14" s="67">
        <v>0.6</v>
      </c>
      <c r="P14" s="67">
        <v>0.45</v>
      </c>
      <c r="Q14" s="67">
        <v>0.45833333333333331</v>
      </c>
    </row>
    <row r="15" spans="1:17" x14ac:dyDescent="0.4">
      <c r="A15" s="69">
        <v>12</v>
      </c>
      <c r="B15" s="66">
        <v>-116.6</v>
      </c>
      <c r="C15" s="66">
        <v>-9.7166666666666668</v>
      </c>
      <c r="D15" s="71">
        <v>2.0833333333333335</v>
      </c>
      <c r="E15" s="67">
        <v>0.41666666666666669</v>
      </c>
      <c r="F15" s="67">
        <v>0.5</v>
      </c>
      <c r="G15" s="67">
        <v>0.26923076923076922</v>
      </c>
      <c r="H15" s="67">
        <v>0.23076923076923078</v>
      </c>
      <c r="I15" s="68">
        <v>7700</v>
      </c>
      <c r="J15" s="68">
        <v>-7700</v>
      </c>
      <c r="K15" s="67">
        <v>0.16666666666666666</v>
      </c>
      <c r="L15" s="67">
        <v>0</v>
      </c>
      <c r="M15" s="67">
        <v>0.23076923076923078</v>
      </c>
      <c r="N15" s="67">
        <v>0.19230769230769232</v>
      </c>
      <c r="O15" s="67">
        <v>0.625</v>
      </c>
      <c r="P15" s="67">
        <v>0.45</v>
      </c>
      <c r="Q15" s="67">
        <v>0.5</v>
      </c>
    </row>
    <row r="16" spans="1:17" x14ac:dyDescent="0.4">
      <c r="A16" s="69">
        <v>13</v>
      </c>
      <c r="B16" s="66">
        <v>-144.79999999999998</v>
      </c>
      <c r="C16" s="66">
        <v>-11.138461538461538</v>
      </c>
      <c r="D16" s="71">
        <v>2.1538461538461537</v>
      </c>
      <c r="E16" s="67">
        <v>0.38461538461538464</v>
      </c>
      <c r="F16" s="67">
        <v>0.53846153846153844</v>
      </c>
      <c r="G16" s="67">
        <v>0.2767857142857143</v>
      </c>
      <c r="H16" s="67">
        <v>0.23214285714285715</v>
      </c>
      <c r="I16" s="68">
        <v>7577.4193548387093</v>
      </c>
      <c r="J16" s="68">
        <v>-8107.6923076923076</v>
      </c>
      <c r="K16" s="67">
        <v>0.15384615384615385</v>
      </c>
      <c r="L16" s="67">
        <v>0</v>
      </c>
      <c r="M16" s="67">
        <v>0.22321428571428573</v>
      </c>
      <c r="N16" s="67">
        <v>0.21428571428571427</v>
      </c>
      <c r="O16" s="67">
        <v>0.64</v>
      </c>
      <c r="P16" s="67">
        <v>0.45833333333333331</v>
      </c>
      <c r="Q16" s="67">
        <v>0.5161290322580645</v>
      </c>
    </row>
    <row r="17" spans="1:17" x14ac:dyDescent="0.4">
      <c r="A17" s="69">
        <v>14</v>
      </c>
      <c r="B17" s="66">
        <v>-138.69999999999999</v>
      </c>
      <c r="C17" s="66">
        <v>-9.9071428571428566</v>
      </c>
      <c r="D17" s="71">
        <v>2.1428571428571428</v>
      </c>
      <c r="E17" s="67">
        <v>0.35714285714285715</v>
      </c>
      <c r="F17" s="67">
        <v>0.5</v>
      </c>
      <c r="G17" s="67">
        <v>0.28813559322033899</v>
      </c>
      <c r="H17" s="67">
        <v>0.22033898305084745</v>
      </c>
      <c r="I17" s="68">
        <v>7494.1176470588234</v>
      </c>
      <c r="J17" s="68">
        <v>-8107.6923076923076</v>
      </c>
      <c r="K17" s="67">
        <v>0.14285714285714285</v>
      </c>
      <c r="L17" s="67">
        <v>0</v>
      </c>
      <c r="M17" s="67">
        <v>0.23728813559322035</v>
      </c>
      <c r="N17" s="67">
        <v>0.21186440677966101</v>
      </c>
      <c r="O17" s="67">
        <v>0.6785714285714286</v>
      </c>
      <c r="P17" s="67">
        <v>0.44</v>
      </c>
      <c r="Q17" s="67">
        <v>0.52941176470588236</v>
      </c>
    </row>
    <row r="18" spans="1:17" x14ac:dyDescent="0.4">
      <c r="A18" s="69">
        <v>15</v>
      </c>
      <c r="B18" s="66">
        <v>-84.399999999999991</v>
      </c>
      <c r="C18" s="66">
        <v>-5.626666666666666</v>
      </c>
      <c r="D18" s="71">
        <v>2.0666666666666669</v>
      </c>
      <c r="E18" s="67">
        <v>0.4</v>
      </c>
      <c r="F18" s="67">
        <v>0.46666666666666667</v>
      </c>
      <c r="G18" s="67">
        <v>0.2857142857142857</v>
      </c>
      <c r="H18" s="67">
        <v>0.21428571428571427</v>
      </c>
      <c r="I18" s="68">
        <v>8300</v>
      </c>
      <c r="J18" s="68">
        <v>-8092.5925925925922</v>
      </c>
      <c r="K18" s="67">
        <v>0.13333333333333333</v>
      </c>
      <c r="L18" s="67">
        <v>0</v>
      </c>
      <c r="M18" s="67">
        <v>0.23015873015873015</v>
      </c>
      <c r="N18" s="67">
        <v>0.21428571428571427</v>
      </c>
      <c r="O18" s="67">
        <v>0.68965517241379315</v>
      </c>
      <c r="P18" s="67">
        <v>0.44444444444444442</v>
      </c>
      <c r="Q18" s="67">
        <v>0.5</v>
      </c>
    </row>
    <row r="19" spans="1:17" x14ac:dyDescent="0.4">
      <c r="A19" s="69">
        <v>16</v>
      </c>
      <c r="B19" s="66">
        <v>-139.79999999999998</v>
      </c>
      <c r="C19" s="66">
        <v>-8.7374999999999989</v>
      </c>
      <c r="D19" s="71">
        <v>2.125</v>
      </c>
      <c r="E19" s="67">
        <v>0.375</v>
      </c>
      <c r="F19" s="67">
        <v>0.5</v>
      </c>
      <c r="G19" s="67">
        <v>0.27611940298507465</v>
      </c>
      <c r="H19" s="67">
        <v>0.22388059701492538</v>
      </c>
      <c r="I19" s="68">
        <v>8135.135135135135</v>
      </c>
      <c r="J19" s="68">
        <v>-8053.333333333333</v>
      </c>
      <c r="K19" s="67">
        <v>0.1875</v>
      </c>
      <c r="L19" s="67">
        <v>0</v>
      </c>
      <c r="M19" s="67">
        <v>0.23880597014925373</v>
      </c>
      <c r="N19" s="67">
        <v>0.20895522388059701</v>
      </c>
      <c r="O19" s="67">
        <v>0.625</v>
      </c>
      <c r="P19" s="67">
        <v>0.42857142857142855</v>
      </c>
      <c r="Q19" s="67">
        <v>0.51351351351351349</v>
      </c>
    </row>
    <row r="20" spans="1:17" x14ac:dyDescent="0.4">
      <c r="A20" s="69">
        <v>17</v>
      </c>
      <c r="B20" s="66">
        <v>-203.5</v>
      </c>
      <c r="C20" s="66">
        <v>-11.970588235294118</v>
      </c>
      <c r="D20" s="71">
        <v>2.1764705882352939</v>
      </c>
      <c r="E20" s="67">
        <v>0.35294117647058826</v>
      </c>
      <c r="F20" s="67">
        <v>0.52941176470588236</v>
      </c>
      <c r="G20" s="67">
        <v>0.26241134751773049</v>
      </c>
      <c r="H20" s="67">
        <v>0.23404255319148937</v>
      </c>
      <c r="I20" s="68">
        <v>8135.135135135135</v>
      </c>
      <c r="J20" s="68">
        <v>-8387.878787878788</v>
      </c>
      <c r="K20" s="67">
        <v>0.23529411764705882</v>
      </c>
      <c r="L20" s="67">
        <v>0</v>
      </c>
      <c r="M20" s="67">
        <v>0.23404255319148937</v>
      </c>
      <c r="N20" s="67">
        <v>0.21985815602836881</v>
      </c>
      <c r="O20" s="67">
        <v>0.60606060606060608</v>
      </c>
      <c r="P20" s="67">
        <v>0.38709677419354838</v>
      </c>
      <c r="Q20" s="67">
        <v>0.51351351351351349</v>
      </c>
    </row>
    <row r="21" spans="1:17" x14ac:dyDescent="0.4">
      <c r="A21" s="69">
        <v>18</v>
      </c>
      <c r="B21" s="66">
        <v>-126.5</v>
      </c>
      <c r="C21" s="66">
        <v>-7.0277777777777777</v>
      </c>
      <c r="D21" s="71">
        <v>2.1111111111111112</v>
      </c>
      <c r="E21" s="67">
        <v>0.3888888888888889</v>
      </c>
      <c r="F21" s="67">
        <v>0.5</v>
      </c>
      <c r="G21" s="67">
        <v>0.2857142857142857</v>
      </c>
      <c r="H21" s="67">
        <v>0.23129251700680273</v>
      </c>
      <c r="I21" s="68">
        <v>8642.8571428571431</v>
      </c>
      <c r="J21" s="68">
        <v>-8376.4705882352937</v>
      </c>
      <c r="K21" s="67">
        <v>0.22222222222222221</v>
      </c>
      <c r="L21" s="67">
        <v>5.5555555555555552E-2</v>
      </c>
      <c r="M21" s="67">
        <v>0.24489795918367346</v>
      </c>
      <c r="N21" s="67">
        <v>0.22448979591836735</v>
      </c>
      <c r="O21" s="67">
        <v>0.63888888888888884</v>
      </c>
      <c r="P21" s="67">
        <v>0.42424242424242425</v>
      </c>
      <c r="Q21" s="67">
        <v>0.47619047619047616</v>
      </c>
    </row>
    <row r="22" spans="1:17" x14ac:dyDescent="0.4">
      <c r="A22" s="69">
        <v>19</v>
      </c>
      <c r="B22" s="66">
        <v>-67.599999999999994</v>
      </c>
      <c r="C22" s="66">
        <v>-3.5578947368421048</v>
      </c>
      <c r="D22" s="71">
        <v>2.0526315789473686</v>
      </c>
      <c r="E22" s="67">
        <v>0.42105263157894735</v>
      </c>
      <c r="F22" s="67">
        <v>0.47368421052631576</v>
      </c>
      <c r="G22" s="67">
        <v>0.29870129870129869</v>
      </c>
      <c r="H22" s="67">
        <v>0.22727272727272727</v>
      </c>
      <c r="I22" s="68">
        <v>8621.7391304347821</v>
      </c>
      <c r="J22" s="68">
        <v>-8285.7142857142862</v>
      </c>
      <c r="K22" s="67">
        <v>0.21052631578947367</v>
      </c>
      <c r="L22" s="67">
        <v>0.10526315789473684</v>
      </c>
      <c r="M22" s="67">
        <v>0.24675324675324675</v>
      </c>
      <c r="N22" s="67">
        <v>0.22727272727272727</v>
      </c>
      <c r="O22" s="67">
        <v>0.65789473684210531</v>
      </c>
      <c r="P22" s="67">
        <v>0.45714285714285713</v>
      </c>
      <c r="Q22" s="67">
        <v>0.47826086956521741</v>
      </c>
    </row>
    <row r="23" spans="1:17" x14ac:dyDescent="0.4">
      <c r="A23" s="69">
        <v>20</v>
      </c>
      <c r="B23" s="66">
        <v>-124.1</v>
      </c>
      <c r="C23" s="66">
        <v>-6.2050000000000001</v>
      </c>
      <c r="D23" s="71">
        <v>2.1</v>
      </c>
      <c r="E23" s="67">
        <v>0.4</v>
      </c>
      <c r="F23" s="67">
        <v>0.5</v>
      </c>
      <c r="G23" s="67">
        <v>0.2929936305732484</v>
      </c>
      <c r="H23" s="67">
        <v>0.22929936305732485</v>
      </c>
      <c r="I23" s="68">
        <v>8621.7391304347821</v>
      </c>
      <c r="J23" s="68">
        <v>-8722.2222222222226</v>
      </c>
      <c r="K23" s="67">
        <v>0.25</v>
      </c>
      <c r="L23" s="67">
        <v>0.1</v>
      </c>
      <c r="M23" s="67">
        <v>0.24203821656050956</v>
      </c>
      <c r="N23" s="67">
        <v>0.24203821656050956</v>
      </c>
      <c r="O23" s="67">
        <v>0.65789473684210531</v>
      </c>
      <c r="P23" s="67">
        <v>0.42105263157894735</v>
      </c>
      <c r="Q23" s="67">
        <v>0.47826086956521741</v>
      </c>
    </row>
    <row r="24" spans="1:17" x14ac:dyDescent="0.4">
      <c r="A24" s="69">
        <v>21</v>
      </c>
      <c r="B24" s="66">
        <v>-189.2</v>
      </c>
      <c r="C24" s="66">
        <v>-9.0095238095238095</v>
      </c>
      <c r="D24" s="71">
        <v>2.1428571428571428</v>
      </c>
      <c r="E24" s="67">
        <v>0.38095238095238093</v>
      </c>
      <c r="F24" s="67">
        <v>0.52380952380952384</v>
      </c>
      <c r="G24" s="67">
        <v>0.2857142857142857</v>
      </c>
      <c r="H24" s="67">
        <v>0.22981366459627328</v>
      </c>
      <c r="I24" s="68">
        <v>8621.7391304347821</v>
      </c>
      <c r="J24" s="68">
        <v>-9124.3243243243251</v>
      </c>
      <c r="K24" s="67">
        <v>0.2857142857142857</v>
      </c>
      <c r="L24" s="67">
        <v>9.5238095238095233E-2</v>
      </c>
      <c r="M24" s="67">
        <v>0.2360248447204969</v>
      </c>
      <c r="N24" s="67">
        <v>0.24223602484472051</v>
      </c>
      <c r="O24" s="67">
        <v>0.65789473684210531</v>
      </c>
      <c r="P24" s="67">
        <v>0.41025641025641024</v>
      </c>
      <c r="Q24" s="67">
        <v>0.47826086956521741</v>
      </c>
    </row>
    <row r="25" spans="1:17" x14ac:dyDescent="0.4">
      <c r="A25" s="69">
        <v>22</v>
      </c>
      <c r="B25" s="66">
        <v>-264.39999999999998</v>
      </c>
      <c r="C25" s="66">
        <v>-12.018181818181818</v>
      </c>
      <c r="D25" s="71">
        <v>2.1818181818181817</v>
      </c>
      <c r="E25" s="67">
        <v>0.36363636363636365</v>
      </c>
      <c r="F25" s="67">
        <v>0.54545454545454541</v>
      </c>
      <c r="G25" s="67">
        <v>0.27878787878787881</v>
      </c>
      <c r="H25" s="67">
        <v>0.23636363636363636</v>
      </c>
      <c r="I25" s="68">
        <v>8621.7391304347821</v>
      </c>
      <c r="J25" s="68">
        <v>-9879.4871794871797</v>
      </c>
      <c r="K25" s="67">
        <v>0.31818181818181818</v>
      </c>
      <c r="L25" s="67">
        <v>9.0909090909090912E-2</v>
      </c>
      <c r="M25" s="67">
        <v>0.23030303030303031</v>
      </c>
      <c r="N25" s="67">
        <v>0.24848484848484848</v>
      </c>
      <c r="O25" s="67">
        <v>0.65789473684210531</v>
      </c>
      <c r="P25" s="67">
        <v>0.3902439024390244</v>
      </c>
      <c r="Q25" s="67">
        <v>0.47826086956521741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A2E37-BAF4-420F-9EDE-807A3DD8FDC3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183</v>
      </c>
      <c r="B1" s="70" t="s">
        <v>183</v>
      </c>
      <c r="C1" s="70" t="s">
        <v>183</v>
      </c>
      <c r="D1" s="71" t="s">
        <v>183</v>
      </c>
      <c r="E1" s="70" t="s">
        <v>183</v>
      </c>
      <c r="F1" s="70" t="s">
        <v>183</v>
      </c>
      <c r="G1" s="70" t="s">
        <v>183</v>
      </c>
      <c r="H1" s="70" t="s">
        <v>183</v>
      </c>
      <c r="I1" s="70" t="s">
        <v>183</v>
      </c>
      <c r="J1" s="70" t="s">
        <v>183</v>
      </c>
      <c r="K1" s="70" t="s">
        <v>183</v>
      </c>
      <c r="L1" s="70" t="s">
        <v>183</v>
      </c>
      <c r="M1" s="70" t="s">
        <v>183</v>
      </c>
      <c r="N1" s="70" t="s">
        <v>183</v>
      </c>
      <c r="O1" s="70" t="s">
        <v>183</v>
      </c>
      <c r="P1" s="70" t="s">
        <v>183</v>
      </c>
      <c r="Q1" s="70" t="s">
        <v>183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61577-4297-4953-ACC7-E0B56DF710BE}">
  <sheetPr codeName="Sheet20"/>
  <dimension ref="A1:Q8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  <row r="19" spans="1:17" x14ac:dyDescent="0.4">
      <c r="A19" s="69">
        <v>16</v>
      </c>
      <c r="B19" s="66">
        <v>-153.29999999999998</v>
      </c>
      <c r="C19" s="66">
        <v>-9.5812499999999989</v>
      </c>
      <c r="D19" s="71">
        <v>2.125</v>
      </c>
      <c r="E19" s="67">
        <v>0.3125</v>
      </c>
      <c r="F19" s="67">
        <v>0.4375</v>
      </c>
      <c r="G19" s="67">
        <v>0.25833333333333336</v>
      </c>
      <c r="H19" s="67">
        <v>0.18333333333333332</v>
      </c>
      <c r="I19" s="68">
        <v>6458.0645161290322</v>
      </c>
      <c r="J19" s="68">
        <v>-7500</v>
      </c>
      <c r="K19" s="67">
        <v>0.1875</v>
      </c>
      <c r="L19" s="67">
        <v>0</v>
      </c>
      <c r="M19" s="67">
        <v>0.18333333333333332</v>
      </c>
      <c r="N19" s="67">
        <v>0.27500000000000002</v>
      </c>
      <c r="O19" s="67">
        <v>0.54545454545454541</v>
      </c>
      <c r="P19" s="67">
        <v>0.39393939393939392</v>
      </c>
      <c r="Q19" s="67">
        <v>0.35483870967741937</v>
      </c>
    </row>
    <row r="20" spans="1:17" x14ac:dyDescent="0.4">
      <c r="A20" s="69">
        <v>17</v>
      </c>
      <c r="B20" s="66">
        <v>-161.19999999999999</v>
      </c>
      <c r="C20" s="66">
        <v>-9.4823529411764707</v>
      </c>
      <c r="D20" s="71">
        <v>2.1176470588235294</v>
      </c>
      <c r="E20" s="67">
        <v>0.29411764705882354</v>
      </c>
      <c r="F20" s="67">
        <v>0.41176470588235292</v>
      </c>
      <c r="G20" s="67">
        <v>0.25190839694656486</v>
      </c>
      <c r="H20" s="67">
        <v>0.20610687022900764</v>
      </c>
      <c r="I20" s="68">
        <v>7036.363636363636</v>
      </c>
      <c r="J20" s="68">
        <v>-7029.6296296296296</v>
      </c>
      <c r="K20" s="67">
        <v>0.17647058823529413</v>
      </c>
      <c r="L20" s="67">
        <v>0</v>
      </c>
      <c r="M20" s="67">
        <v>0.17557251908396945</v>
      </c>
      <c r="N20" s="67">
        <v>0.27480916030534353</v>
      </c>
      <c r="O20" s="67">
        <v>0.52173913043478259</v>
      </c>
      <c r="P20" s="67">
        <v>0.3888888888888889</v>
      </c>
      <c r="Q20" s="67">
        <v>0.39393939393939392</v>
      </c>
    </row>
    <row r="21" spans="1:17" x14ac:dyDescent="0.4">
      <c r="A21" s="69">
        <v>18</v>
      </c>
      <c r="B21" s="66">
        <v>-159</v>
      </c>
      <c r="C21" s="66">
        <v>-8.8333333333333339</v>
      </c>
      <c r="D21" s="71">
        <v>2.1111111111111112</v>
      </c>
      <c r="E21" s="67">
        <v>0.27777777777777779</v>
      </c>
      <c r="F21" s="67">
        <v>0.3888888888888889</v>
      </c>
      <c r="G21" s="67">
        <v>0.24285714285714285</v>
      </c>
      <c r="H21" s="67">
        <v>0.2</v>
      </c>
      <c r="I21" s="68">
        <v>7535.2941176470586</v>
      </c>
      <c r="J21" s="68">
        <v>-6917.8571428571431</v>
      </c>
      <c r="K21" s="67">
        <v>0.16666666666666666</v>
      </c>
      <c r="L21" s="67">
        <v>0</v>
      </c>
      <c r="M21" s="67">
        <v>0.17857142857142858</v>
      </c>
      <c r="N21" s="67">
        <v>0.27142857142857141</v>
      </c>
      <c r="O21" s="67">
        <v>0.52</v>
      </c>
      <c r="P21" s="67">
        <v>0.36842105263157893</v>
      </c>
      <c r="Q21" s="67">
        <v>0.41176470588235292</v>
      </c>
    </row>
    <row r="22" spans="1:17" x14ac:dyDescent="0.4">
      <c r="A22" s="69">
        <v>19</v>
      </c>
      <c r="B22" s="66">
        <v>-235.6</v>
      </c>
      <c r="C22" s="66">
        <v>-12.4</v>
      </c>
      <c r="D22" s="71">
        <v>2.1578947368421053</v>
      </c>
      <c r="E22" s="67">
        <v>0.26315789473684209</v>
      </c>
      <c r="F22" s="67">
        <v>0.42105263157894735</v>
      </c>
      <c r="G22" s="67">
        <v>0.2348993288590604</v>
      </c>
      <c r="H22" s="67">
        <v>0.19463087248322147</v>
      </c>
      <c r="I22" s="68">
        <v>7431.4285714285716</v>
      </c>
      <c r="J22" s="68">
        <v>-7093.1034482758623</v>
      </c>
      <c r="K22" s="67">
        <v>0.21052631578947367</v>
      </c>
      <c r="L22" s="67">
        <v>0</v>
      </c>
      <c r="M22" s="67">
        <v>0.18120805369127516</v>
      </c>
      <c r="N22" s="67">
        <v>0.25503355704697989</v>
      </c>
      <c r="O22" s="67">
        <v>0.51851851851851849</v>
      </c>
      <c r="P22" s="67">
        <v>0.36842105263157893</v>
      </c>
      <c r="Q22" s="67">
        <v>0.4</v>
      </c>
    </row>
    <row r="23" spans="1:17" x14ac:dyDescent="0.4">
      <c r="A23" s="69">
        <v>20</v>
      </c>
      <c r="B23" s="66">
        <v>-200.8</v>
      </c>
      <c r="C23" s="66">
        <v>-10.040000000000001</v>
      </c>
      <c r="D23" s="71">
        <v>2.1</v>
      </c>
      <c r="E23" s="67">
        <v>0.3</v>
      </c>
      <c r="F23" s="67">
        <v>0.4</v>
      </c>
      <c r="G23" s="67">
        <v>0.24683544303797469</v>
      </c>
      <c r="H23" s="67">
        <v>0.18354430379746836</v>
      </c>
      <c r="I23" s="68">
        <v>7369.2307692307695</v>
      </c>
      <c r="J23" s="68">
        <v>-7093.1034482758623</v>
      </c>
      <c r="K23" s="67">
        <v>0.2</v>
      </c>
      <c r="L23" s="67">
        <v>0</v>
      </c>
      <c r="M23" s="67">
        <v>0.17721518987341772</v>
      </c>
      <c r="N23" s="67">
        <v>0.25949367088607594</v>
      </c>
      <c r="O23" s="67">
        <v>0.5357142857142857</v>
      </c>
      <c r="P23" s="67">
        <v>0.41463414634146339</v>
      </c>
      <c r="Q23" s="67">
        <v>0.38461538461538464</v>
      </c>
    </row>
    <row r="24" spans="1:17" x14ac:dyDescent="0.4">
      <c r="A24" s="69">
        <v>21</v>
      </c>
      <c r="B24" s="66">
        <v>-188.60000000000002</v>
      </c>
      <c r="C24" s="66">
        <v>-8.9809523809523828</v>
      </c>
      <c r="D24" s="71">
        <v>2.0952380952380953</v>
      </c>
      <c r="E24" s="67">
        <v>0.2857142857142857</v>
      </c>
      <c r="F24" s="67">
        <v>0.38095238095238093</v>
      </c>
      <c r="G24" s="67">
        <v>0.24848484848484848</v>
      </c>
      <c r="H24" s="67">
        <v>0.17575757575757575</v>
      </c>
      <c r="I24" s="68">
        <v>7512.1951219512193</v>
      </c>
      <c r="J24" s="68">
        <v>-7093.1034482758623</v>
      </c>
      <c r="K24" s="67">
        <v>0.19047619047619047</v>
      </c>
      <c r="L24" s="67">
        <v>0</v>
      </c>
      <c r="M24" s="67">
        <v>0.18181818181818182</v>
      </c>
      <c r="N24" s="67">
        <v>0.24848484848484848</v>
      </c>
      <c r="O24" s="67">
        <v>0.56666666666666665</v>
      </c>
      <c r="P24" s="67">
        <v>0.41463414634146339</v>
      </c>
      <c r="Q24" s="67">
        <v>0.3902439024390244</v>
      </c>
    </row>
    <row r="25" spans="1:17" x14ac:dyDescent="0.4">
      <c r="A25" s="69">
        <v>22</v>
      </c>
      <c r="B25" s="66">
        <v>-142.60000000000002</v>
      </c>
      <c r="C25" s="66">
        <v>-6.4818181818181833</v>
      </c>
      <c r="D25" s="71">
        <v>2.0454545454545454</v>
      </c>
      <c r="E25" s="67">
        <v>0.31818181818181818</v>
      </c>
      <c r="F25" s="67">
        <v>0.36363636363636365</v>
      </c>
      <c r="G25" s="67">
        <v>0.26256983240223464</v>
      </c>
      <c r="H25" s="67">
        <v>0.16759776536312848</v>
      </c>
      <c r="I25" s="68">
        <v>7276.5957446808507</v>
      </c>
      <c r="J25" s="68">
        <v>-7113.333333333333</v>
      </c>
      <c r="K25" s="67">
        <v>0.18181818181818182</v>
      </c>
      <c r="L25" s="67">
        <v>0</v>
      </c>
      <c r="M25" s="67">
        <v>0.18994413407821228</v>
      </c>
      <c r="N25" s="67">
        <v>0.23463687150837989</v>
      </c>
      <c r="O25" s="67">
        <v>0.61764705882352944</v>
      </c>
      <c r="P25" s="67">
        <v>0.40476190476190477</v>
      </c>
      <c r="Q25" s="67">
        <v>0.38297872340425532</v>
      </c>
    </row>
    <row r="26" spans="1:17" x14ac:dyDescent="0.4">
      <c r="A26" s="69">
        <v>23</v>
      </c>
      <c r="B26" s="66">
        <v>-145.80000000000001</v>
      </c>
      <c r="C26" s="66">
        <v>-6.339130434782609</v>
      </c>
      <c r="D26" s="71">
        <v>2.0434782608695654</v>
      </c>
      <c r="E26" s="67">
        <v>0.30434782608695654</v>
      </c>
      <c r="F26" s="67">
        <v>0.34782608695652173</v>
      </c>
      <c r="G26" s="67">
        <v>0.26595744680851063</v>
      </c>
      <c r="H26" s="67">
        <v>0.16489361702127658</v>
      </c>
      <c r="I26" s="68">
        <v>7186</v>
      </c>
      <c r="J26" s="68">
        <v>-7464.5161290322585</v>
      </c>
      <c r="K26" s="67">
        <v>0.17391304347826086</v>
      </c>
      <c r="L26" s="67">
        <v>0</v>
      </c>
      <c r="M26" s="67">
        <v>0.19680851063829788</v>
      </c>
      <c r="N26" s="67">
        <v>0.22872340425531915</v>
      </c>
      <c r="O26" s="67">
        <v>0.64864864864864868</v>
      </c>
      <c r="P26" s="67">
        <v>0.39534883720930231</v>
      </c>
      <c r="Q26" s="67">
        <v>0.38</v>
      </c>
    </row>
    <row r="27" spans="1:17" x14ac:dyDescent="0.4">
      <c r="A27" s="69">
        <v>24</v>
      </c>
      <c r="B27" s="66">
        <v>-204</v>
      </c>
      <c r="C27" s="66">
        <v>-8.5</v>
      </c>
      <c r="D27" s="71">
        <v>2.0833333333333335</v>
      </c>
      <c r="E27" s="67">
        <v>0.29166666666666669</v>
      </c>
      <c r="F27" s="67">
        <v>0.375</v>
      </c>
      <c r="G27" s="67">
        <v>0.26262626262626265</v>
      </c>
      <c r="H27" s="67">
        <v>0.18686868686868688</v>
      </c>
      <c r="I27" s="68">
        <v>7163.4615384615381</v>
      </c>
      <c r="J27" s="68">
        <v>-7291.8918918918916</v>
      </c>
      <c r="K27" s="67">
        <v>0.20833333333333334</v>
      </c>
      <c r="L27" s="67">
        <v>0</v>
      </c>
      <c r="M27" s="67">
        <v>0.20202020202020202</v>
      </c>
      <c r="N27" s="67">
        <v>0.22727272727272727</v>
      </c>
      <c r="O27" s="67">
        <v>0.625</v>
      </c>
      <c r="P27" s="67">
        <v>0.4</v>
      </c>
      <c r="Q27" s="67">
        <v>0.38461538461538464</v>
      </c>
    </row>
    <row r="28" spans="1:17" x14ac:dyDescent="0.4">
      <c r="A28" s="69">
        <v>25</v>
      </c>
      <c r="B28" s="66">
        <v>-151.5</v>
      </c>
      <c r="C28" s="66">
        <v>-6.06</v>
      </c>
      <c r="D28" s="71">
        <v>2.04</v>
      </c>
      <c r="E28" s="67">
        <v>0.32</v>
      </c>
      <c r="F28" s="67">
        <v>0.36</v>
      </c>
      <c r="G28" s="67">
        <v>0.27450980392156865</v>
      </c>
      <c r="H28" s="67">
        <v>0.18137254901960784</v>
      </c>
      <c r="I28" s="68">
        <v>7285.7142857142853</v>
      </c>
      <c r="J28" s="68">
        <v>-7291.8918918918916</v>
      </c>
      <c r="K28" s="67">
        <v>0.2</v>
      </c>
      <c r="L28" s="67">
        <v>0</v>
      </c>
      <c r="M28" s="67">
        <v>0.21568627450980393</v>
      </c>
      <c r="N28" s="67">
        <v>0.22058823529411764</v>
      </c>
      <c r="O28" s="67">
        <v>0.65909090909090906</v>
      </c>
      <c r="P28" s="67">
        <v>0.4</v>
      </c>
      <c r="Q28" s="67">
        <v>0.39285714285714285</v>
      </c>
    </row>
    <row r="29" spans="1:17" x14ac:dyDescent="0.4">
      <c r="A29" s="69">
        <v>26</v>
      </c>
      <c r="B29" s="66">
        <v>-115.1</v>
      </c>
      <c r="C29" s="66">
        <v>-4.4269230769230763</v>
      </c>
      <c r="D29" s="71">
        <v>2</v>
      </c>
      <c r="E29" s="67">
        <v>0.34615384615384615</v>
      </c>
      <c r="F29" s="67">
        <v>0.34615384615384615</v>
      </c>
      <c r="G29" s="67">
        <v>0.27906976744186046</v>
      </c>
      <c r="H29" s="67">
        <v>0.18139534883720931</v>
      </c>
      <c r="I29" s="68">
        <v>7431.666666666667</v>
      </c>
      <c r="J29" s="68">
        <v>-7292.3076923076924</v>
      </c>
      <c r="K29" s="67">
        <v>0.19230769230769232</v>
      </c>
      <c r="L29" s="67">
        <v>0</v>
      </c>
      <c r="M29" s="67">
        <v>0.21395348837209302</v>
      </c>
      <c r="N29" s="67">
        <v>0.21860465116279071</v>
      </c>
      <c r="O29" s="67">
        <v>0.67391304347826086</v>
      </c>
      <c r="P29" s="67">
        <v>0.40425531914893614</v>
      </c>
      <c r="Q29" s="67">
        <v>0.38333333333333336</v>
      </c>
    </row>
    <row r="30" spans="1:17" x14ac:dyDescent="0.4">
      <c r="A30" s="69">
        <v>27</v>
      </c>
      <c r="B30" s="66">
        <v>-27.099999999999994</v>
      </c>
      <c r="C30" s="66">
        <v>-1.0037037037037035</v>
      </c>
      <c r="D30" s="71">
        <v>1.962962962962963</v>
      </c>
      <c r="E30" s="67">
        <v>0.37037037037037035</v>
      </c>
      <c r="F30" s="67">
        <v>0.33333333333333331</v>
      </c>
      <c r="G30" s="67">
        <v>0.29223744292237441</v>
      </c>
      <c r="H30" s="67">
        <v>0.17808219178082191</v>
      </c>
      <c r="I30" s="68">
        <v>7904.6875</v>
      </c>
      <c r="J30" s="68">
        <v>-7292.3076923076924</v>
      </c>
      <c r="K30" s="67">
        <v>0.18518518518518517</v>
      </c>
      <c r="L30" s="67">
        <v>3.7037037037037035E-2</v>
      </c>
      <c r="M30" s="67">
        <v>0.21917808219178081</v>
      </c>
      <c r="N30" s="67">
        <v>0.22374429223744291</v>
      </c>
      <c r="O30" s="67">
        <v>0.6875</v>
      </c>
      <c r="P30" s="67">
        <v>0.42857142857142855</v>
      </c>
      <c r="Q30" s="67">
        <v>0.390625</v>
      </c>
    </row>
    <row r="31" spans="1:17" x14ac:dyDescent="0.4">
      <c r="A31" s="69">
        <v>28</v>
      </c>
      <c r="B31" s="66">
        <v>7.2000000000000028</v>
      </c>
      <c r="C31" s="66">
        <v>0.25714285714285723</v>
      </c>
      <c r="D31" s="71">
        <v>1.9285714285714286</v>
      </c>
      <c r="E31" s="67">
        <v>0.39285714285714285</v>
      </c>
      <c r="F31" s="67">
        <v>0.32142857142857145</v>
      </c>
      <c r="G31" s="67">
        <v>0.29515418502202645</v>
      </c>
      <c r="H31" s="67">
        <v>0.17180616740088106</v>
      </c>
      <c r="I31" s="68">
        <v>7883.5820895522384</v>
      </c>
      <c r="J31" s="68">
        <v>-7292.3076923076924</v>
      </c>
      <c r="K31" s="67">
        <v>0.17857142857142858</v>
      </c>
      <c r="L31" s="67">
        <v>3.5714285714285712E-2</v>
      </c>
      <c r="M31" s="67">
        <v>0.22026431718061673</v>
      </c>
      <c r="N31" s="67">
        <v>0.21585903083700442</v>
      </c>
      <c r="O31" s="67">
        <v>0.7</v>
      </c>
      <c r="P31" s="67">
        <v>0.42857142857142855</v>
      </c>
      <c r="Q31" s="67">
        <v>0.40298507462686567</v>
      </c>
    </row>
    <row r="32" spans="1:17" x14ac:dyDescent="0.4">
      <c r="A32" s="69">
        <v>29</v>
      </c>
      <c r="B32" s="66">
        <v>-49</v>
      </c>
      <c r="C32" s="66">
        <v>-1.6896551724137931</v>
      </c>
      <c r="D32" s="71">
        <v>1.9655172413793103</v>
      </c>
      <c r="E32" s="67">
        <v>0.37931034482758619</v>
      </c>
      <c r="F32" s="67">
        <v>0.34482758620689657</v>
      </c>
      <c r="G32" s="67">
        <v>0.29487179487179488</v>
      </c>
      <c r="H32" s="67">
        <v>0.17948717948717949</v>
      </c>
      <c r="I32" s="68">
        <v>7846.376811594203</v>
      </c>
      <c r="J32" s="68">
        <v>-7771.4285714285716</v>
      </c>
      <c r="K32" s="67">
        <v>0.20689655172413793</v>
      </c>
      <c r="L32" s="67">
        <v>3.4482758620689655E-2</v>
      </c>
      <c r="M32" s="67">
        <v>0.22222222222222221</v>
      </c>
      <c r="N32" s="67">
        <v>0.21367521367521367</v>
      </c>
      <c r="O32" s="67">
        <v>0.69230769230769229</v>
      </c>
      <c r="P32" s="67">
        <v>0.42</v>
      </c>
      <c r="Q32" s="67">
        <v>0.40579710144927539</v>
      </c>
    </row>
    <row r="33" spans="1:17" x14ac:dyDescent="0.4">
      <c r="A33" s="69">
        <v>30</v>
      </c>
      <c r="B33" s="66">
        <v>-99.6</v>
      </c>
      <c r="C33" s="66">
        <v>-3.32</v>
      </c>
      <c r="D33" s="71">
        <v>2</v>
      </c>
      <c r="E33" s="67">
        <v>0.36666666666666664</v>
      </c>
      <c r="F33" s="67">
        <v>0.36666666666666664</v>
      </c>
      <c r="G33" s="67">
        <v>0.28799999999999998</v>
      </c>
      <c r="H33" s="67">
        <v>0.17199999999999999</v>
      </c>
      <c r="I33" s="68">
        <v>7775</v>
      </c>
      <c r="J33" s="68">
        <v>-7769.7674418604647</v>
      </c>
      <c r="K33" s="67">
        <v>0.2</v>
      </c>
      <c r="L33" s="67">
        <v>3.3333333333333333E-2</v>
      </c>
      <c r="M33" s="67">
        <v>0.21199999999999999</v>
      </c>
      <c r="N33" s="67">
        <v>0.22</v>
      </c>
      <c r="O33" s="67">
        <v>0.69811320754716977</v>
      </c>
      <c r="P33" s="67">
        <v>0.4</v>
      </c>
      <c r="Q33" s="67">
        <v>0.43055555555555558</v>
      </c>
    </row>
    <row r="34" spans="1:17" x14ac:dyDescent="0.4">
      <c r="A34" s="69">
        <v>31</v>
      </c>
      <c r="B34" s="66">
        <v>-54.199999999999996</v>
      </c>
      <c r="C34" s="66">
        <v>-1.7483870967741935</v>
      </c>
      <c r="D34" s="71">
        <v>1.967741935483871</v>
      </c>
      <c r="E34" s="67">
        <v>0.38709677419354838</v>
      </c>
      <c r="F34" s="67">
        <v>0.35483870967741937</v>
      </c>
      <c r="G34" s="67">
        <v>0.29296875</v>
      </c>
      <c r="H34" s="67">
        <v>0.16796875</v>
      </c>
      <c r="I34" s="68">
        <v>7889.333333333333</v>
      </c>
      <c r="J34" s="68">
        <v>-7769.7674418604647</v>
      </c>
      <c r="K34" s="67">
        <v>0.19354838709677419</v>
      </c>
      <c r="L34" s="67">
        <v>6.4516129032258063E-2</v>
      </c>
      <c r="M34" s="67">
        <v>0.21484375</v>
      </c>
      <c r="N34" s="67">
        <v>0.21875</v>
      </c>
      <c r="O34" s="67">
        <v>0.70909090909090911</v>
      </c>
      <c r="P34" s="67">
        <v>0.4107142857142857</v>
      </c>
      <c r="Q34" s="67">
        <v>0.41333333333333333</v>
      </c>
    </row>
    <row r="35" spans="1:17" x14ac:dyDescent="0.4">
      <c r="A35" s="69">
        <v>32</v>
      </c>
      <c r="B35" s="66">
        <v>-92</v>
      </c>
      <c r="C35" s="66">
        <v>-2.875</v>
      </c>
      <c r="D35" s="71">
        <v>2</v>
      </c>
      <c r="E35" s="67">
        <v>0.375</v>
      </c>
      <c r="F35" s="67">
        <v>0.375</v>
      </c>
      <c r="G35" s="67">
        <v>0.29056603773584905</v>
      </c>
      <c r="H35" s="67">
        <v>0.17358490566037735</v>
      </c>
      <c r="I35" s="68">
        <v>7803.8961038961043</v>
      </c>
      <c r="J35" s="68">
        <v>-7741.304347826087</v>
      </c>
      <c r="K35" s="67">
        <v>0.1875</v>
      </c>
      <c r="L35" s="67">
        <v>6.25E-2</v>
      </c>
      <c r="M35" s="67">
        <v>0.21509433962264152</v>
      </c>
      <c r="N35" s="67">
        <v>0.21886792452830189</v>
      </c>
      <c r="O35" s="67">
        <v>0.70175438596491224</v>
      </c>
      <c r="P35" s="67">
        <v>0.41379310344827586</v>
      </c>
      <c r="Q35" s="67">
        <v>0.41558441558441561</v>
      </c>
    </row>
    <row r="36" spans="1:17" x14ac:dyDescent="0.4">
      <c r="A36" s="69">
        <v>33</v>
      </c>
      <c r="B36" s="66">
        <v>-107.4</v>
      </c>
      <c r="C36" s="66">
        <v>-3.2545454545454549</v>
      </c>
      <c r="D36" s="71">
        <v>2</v>
      </c>
      <c r="E36" s="67">
        <v>0.36363636363636365</v>
      </c>
      <c r="F36" s="67">
        <v>0.36363636363636365</v>
      </c>
      <c r="G36" s="67">
        <v>0.28832116788321166</v>
      </c>
      <c r="H36" s="67">
        <v>0.17153284671532848</v>
      </c>
      <c r="I36" s="68">
        <v>7783.5443037974683</v>
      </c>
      <c r="J36" s="68">
        <v>-7831.9148936170213</v>
      </c>
      <c r="K36" s="67">
        <v>0.18181818181818182</v>
      </c>
      <c r="L36" s="67">
        <v>6.0606060606060608E-2</v>
      </c>
      <c r="M36" s="67">
        <v>0.21167883211678831</v>
      </c>
      <c r="N36" s="67">
        <v>0.22262773722627738</v>
      </c>
      <c r="O36" s="67">
        <v>0.7068965517241379</v>
      </c>
      <c r="P36" s="67">
        <v>0.39344262295081966</v>
      </c>
      <c r="Q36" s="67">
        <v>0.4050632911392405</v>
      </c>
    </row>
    <row r="37" spans="1:17" x14ac:dyDescent="0.4">
      <c r="A37" s="69">
        <v>34</v>
      </c>
      <c r="B37" s="66">
        <v>-45.800000000000004</v>
      </c>
      <c r="C37" s="66">
        <v>-1.3470588235294119</v>
      </c>
      <c r="D37" s="71">
        <v>1.9705882352941178</v>
      </c>
      <c r="E37" s="67">
        <v>0.38235294117647056</v>
      </c>
      <c r="F37" s="67">
        <v>0.35294117647058826</v>
      </c>
      <c r="G37" s="67">
        <v>0.29328621908127206</v>
      </c>
      <c r="H37" s="67">
        <v>0.16961130742049471</v>
      </c>
      <c r="I37" s="68">
        <v>7945.7831325301204</v>
      </c>
      <c r="J37" s="68">
        <v>-7735.416666666667</v>
      </c>
      <c r="K37" s="67">
        <v>0.17647058823529413</v>
      </c>
      <c r="L37" s="67">
        <v>5.8823529411764705E-2</v>
      </c>
      <c r="M37" s="67">
        <v>0.21201413427561838</v>
      </c>
      <c r="N37" s="67">
        <v>0.22614840989399293</v>
      </c>
      <c r="O37" s="67">
        <v>0.7</v>
      </c>
      <c r="P37" s="67">
        <v>0.390625</v>
      </c>
      <c r="Q37" s="67">
        <v>0.39759036144578314</v>
      </c>
    </row>
    <row r="38" spans="1:17" x14ac:dyDescent="0.4">
      <c r="A38" s="69">
        <v>35</v>
      </c>
      <c r="B38" s="66">
        <v>19.399999999999999</v>
      </c>
      <c r="C38" s="66">
        <v>0.55428571428571427</v>
      </c>
      <c r="D38" s="71">
        <v>1.9428571428571428</v>
      </c>
      <c r="E38" s="67">
        <v>0.4</v>
      </c>
      <c r="F38" s="67">
        <v>0.34285714285714286</v>
      </c>
      <c r="G38" s="67">
        <v>0.2986111111111111</v>
      </c>
      <c r="H38" s="67">
        <v>0.1701388888888889</v>
      </c>
      <c r="I38" s="68">
        <v>8409.3023255813951</v>
      </c>
      <c r="J38" s="68">
        <v>-7822.4489795918371</v>
      </c>
      <c r="K38" s="67">
        <v>0.17142857142857143</v>
      </c>
      <c r="L38" s="67">
        <v>8.5714285714285715E-2</v>
      </c>
      <c r="M38" s="67">
        <v>0.20833333333333334</v>
      </c>
      <c r="N38" s="67">
        <v>0.22569444444444445</v>
      </c>
      <c r="O38" s="67">
        <v>0.7</v>
      </c>
      <c r="P38" s="67">
        <v>0.38461538461538464</v>
      </c>
      <c r="Q38" s="67">
        <v>0.39534883720930231</v>
      </c>
    </row>
    <row r="39" spans="1:17" x14ac:dyDescent="0.4">
      <c r="A39" s="69">
        <v>36</v>
      </c>
      <c r="B39" s="66">
        <v>85.800000000000011</v>
      </c>
      <c r="C39" s="66">
        <v>2.3833333333333337</v>
      </c>
      <c r="D39" s="71">
        <v>1.9166666666666667</v>
      </c>
      <c r="E39" s="67">
        <v>0.41666666666666669</v>
      </c>
      <c r="F39" s="67">
        <v>0.33333333333333331</v>
      </c>
      <c r="G39" s="67">
        <v>0.30132450331125826</v>
      </c>
      <c r="H39" s="67">
        <v>0.16556291390728478</v>
      </c>
      <c r="I39" s="68">
        <v>8735.1648351648346</v>
      </c>
      <c r="J39" s="68">
        <v>-7782</v>
      </c>
      <c r="K39" s="67">
        <v>0.16666666666666666</v>
      </c>
      <c r="L39" s="67">
        <v>8.3333333333333329E-2</v>
      </c>
      <c r="M39" s="67">
        <v>0.2251655629139073</v>
      </c>
      <c r="N39" s="67">
        <v>0.22185430463576158</v>
      </c>
      <c r="O39" s="67">
        <v>0.69117647058823528</v>
      </c>
      <c r="P39" s="67">
        <v>0.37313432835820898</v>
      </c>
      <c r="Q39" s="67">
        <v>0.40659340659340659</v>
      </c>
    </row>
    <row r="40" spans="1:17" x14ac:dyDescent="0.4">
      <c r="A40" s="69">
        <v>37</v>
      </c>
      <c r="B40" s="66">
        <v>44.70000000000001</v>
      </c>
      <c r="C40" s="66">
        <v>1.2081081081081084</v>
      </c>
      <c r="D40" s="71">
        <v>1.9459459459459461</v>
      </c>
      <c r="E40" s="67">
        <v>0.40540540540540543</v>
      </c>
      <c r="F40" s="67">
        <v>0.35135135135135137</v>
      </c>
      <c r="G40" s="67">
        <v>0.29773462783171523</v>
      </c>
      <c r="H40" s="67">
        <v>0.1650485436893204</v>
      </c>
      <c r="I40" s="68">
        <v>8683.6956521739139</v>
      </c>
      <c r="J40" s="68">
        <v>-7680.3921568627447</v>
      </c>
      <c r="K40" s="67">
        <v>0.16216216216216217</v>
      </c>
      <c r="L40" s="67">
        <v>8.1081081081081086E-2</v>
      </c>
      <c r="M40" s="67">
        <v>0.22330097087378642</v>
      </c>
      <c r="N40" s="67">
        <v>0.2168284789644013</v>
      </c>
      <c r="O40" s="67">
        <v>0.69565217391304346</v>
      </c>
      <c r="P40" s="67">
        <v>0.37313432835820898</v>
      </c>
      <c r="Q40" s="67">
        <v>0.41304347826086957</v>
      </c>
    </row>
    <row r="41" spans="1:17" x14ac:dyDescent="0.4">
      <c r="A41" s="69">
        <v>38</v>
      </c>
      <c r="B41" s="66">
        <v>-18.79999999999999</v>
      </c>
      <c r="C41" s="66">
        <v>-0.49473684210526292</v>
      </c>
      <c r="D41" s="71">
        <v>1.9736842105263157</v>
      </c>
      <c r="E41" s="67">
        <v>0.39473684210526316</v>
      </c>
      <c r="F41" s="67">
        <v>0.36842105263157893</v>
      </c>
      <c r="G41" s="67">
        <v>0.29153605015673983</v>
      </c>
      <c r="H41" s="67">
        <v>0.16614420062695925</v>
      </c>
      <c r="I41" s="68">
        <v>8673.1182795698933</v>
      </c>
      <c r="J41" s="68">
        <v>-7664.1509433962265</v>
      </c>
      <c r="K41" s="67">
        <v>0.18421052631578946</v>
      </c>
      <c r="L41" s="67">
        <v>7.8947368421052627E-2</v>
      </c>
      <c r="M41" s="67">
        <v>0.22884012539184953</v>
      </c>
      <c r="N41" s="67">
        <v>0.21316614420062696</v>
      </c>
      <c r="O41" s="67">
        <v>0.67123287671232879</v>
      </c>
      <c r="P41" s="67">
        <v>0.36764705882352944</v>
      </c>
      <c r="Q41" s="67">
        <v>0.41935483870967744</v>
      </c>
    </row>
    <row r="42" spans="1:17" x14ac:dyDescent="0.4">
      <c r="A42" s="69">
        <v>39</v>
      </c>
      <c r="B42" s="66">
        <v>-16.699999999999989</v>
      </c>
      <c r="C42" s="66">
        <v>-0.42820512820512791</v>
      </c>
      <c r="D42" s="71">
        <v>1.9743589743589745</v>
      </c>
      <c r="E42" s="67">
        <v>0.38461538461538464</v>
      </c>
      <c r="F42" s="67">
        <v>0.35897435897435898</v>
      </c>
      <c r="G42" s="67">
        <v>0.29447852760736198</v>
      </c>
      <c r="H42" s="67">
        <v>0.16257668711656442</v>
      </c>
      <c r="I42" s="68">
        <v>8621.875</v>
      </c>
      <c r="J42" s="68">
        <v>-7664.1509433962265</v>
      </c>
      <c r="K42" s="67">
        <v>0.17948717948717949</v>
      </c>
      <c r="L42" s="67">
        <v>7.6923076923076927E-2</v>
      </c>
      <c r="M42" s="67">
        <v>0.23312883435582821</v>
      </c>
      <c r="N42" s="67">
        <v>0.21165644171779141</v>
      </c>
      <c r="O42" s="67">
        <v>0.67105263157894735</v>
      </c>
      <c r="P42" s="67">
        <v>0.37681159420289856</v>
      </c>
      <c r="Q42" s="67">
        <v>0.41666666666666669</v>
      </c>
    </row>
    <row r="43" spans="1:17" x14ac:dyDescent="0.4">
      <c r="A43" s="69">
        <v>40</v>
      </c>
      <c r="B43" s="66">
        <v>39.300000000000011</v>
      </c>
      <c r="C43" s="66">
        <v>0.98250000000000026</v>
      </c>
      <c r="D43" s="71">
        <v>1.95</v>
      </c>
      <c r="E43" s="67">
        <v>0.4</v>
      </c>
      <c r="F43" s="67">
        <v>0.35</v>
      </c>
      <c r="G43" s="67">
        <v>0.3</v>
      </c>
      <c r="H43" s="67">
        <v>0.16060606060606061</v>
      </c>
      <c r="I43" s="68">
        <v>8683.8383838383834</v>
      </c>
      <c r="J43" s="68">
        <v>-7664.1509433962265</v>
      </c>
      <c r="K43" s="67">
        <v>0.17499999999999999</v>
      </c>
      <c r="L43" s="67">
        <v>0.1</v>
      </c>
      <c r="M43" s="67">
        <v>0.23636363636363636</v>
      </c>
      <c r="N43" s="67">
        <v>0.20909090909090908</v>
      </c>
      <c r="O43" s="67">
        <v>0.67948717948717952</v>
      </c>
      <c r="P43" s="67">
        <v>0.37681159420289856</v>
      </c>
      <c r="Q43" s="67">
        <v>0.41414141414141414</v>
      </c>
    </row>
    <row r="44" spans="1:17" x14ac:dyDescent="0.4">
      <c r="A44" s="69">
        <v>41</v>
      </c>
      <c r="B44" s="66">
        <v>96.300000000000011</v>
      </c>
      <c r="C44" s="66">
        <v>2.3487804878048784</v>
      </c>
      <c r="D44" s="71">
        <v>1.9268292682926829</v>
      </c>
      <c r="E44" s="67">
        <v>0.41463414634146339</v>
      </c>
      <c r="F44" s="67">
        <v>0.34146341463414637</v>
      </c>
      <c r="G44" s="67">
        <v>0.30630630630630629</v>
      </c>
      <c r="H44" s="67">
        <v>0.15915915915915915</v>
      </c>
      <c r="I44" s="68">
        <v>8781.3725490196084</v>
      </c>
      <c r="J44" s="68">
        <v>-7664.1509433962265</v>
      </c>
      <c r="K44" s="67">
        <v>0.17073170731707318</v>
      </c>
      <c r="L44" s="67">
        <v>0.12195121951219512</v>
      </c>
      <c r="M44" s="67">
        <v>0.24324324324324326</v>
      </c>
      <c r="N44" s="67">
        <v>0.2072072072072072</v>
      </c>
      <c r="O44" s="67">
        <v>0.69135802469135799</v>
      </c>
      <c r="P44" s="67">
        <v>0.37681159420289856</v>
      </c>
      <c r="Q44" s="67">
        <v>0.40196078431372551</v>
      </c>
    </row>
    <row r="45" spans="1:17" x14ac:dyDescent="0.4">
      <c r="A45" s="69">
        <v>42</v>
      </c>
      <c r="B45" s="66">
        <v>97.600000000000009</v>
      </c>
      <c r="C45" s="66">
        <v>2.323809523809524</v>
      </c>
      <c r="D45" s="71">
        <v>1.9285714285714286</v>
      </c>
      <c r="E45" s="67">
        <v>0.40476190476190477</v>
      </c>
      <c r="F45" s="67">
        <v>0.33333333333333331</v>
      </c>
      <c r="G45" s="67">
        <v>0.30791788856304986</v>
      </c>
      <c r="H45" s="67">
        <v>0.15835777126099707</v>
      </c>
      <c r="I45" s="68">
        <v>8869.5238095238092</v>
      </c>
      <c r="J45" s="68">
        <v>-7670.3703703703704</v>
      </c>
      <c r="K45" s="67">
        <v>0.16666666666666666</v>
      </c>
      <c r="L45" s="67">
        <v>0.11904761904761904</v>
      </c>
      <c r="M45" s="67">
        <v>0.24926686217008798</v>
      </c>
      <c r="N45" s="67">
        <v>0.20527859237536658</v>
      </c>
      <c r="O45" s="67">
        <v>0.69411764705882351</v>
      </c>
      <c r="P45" s="67">
        <v>0.37142857142857144</v>
      </c>
      <c r="Q45" s="67">
        <v>0.41904761904761906</v>
      </c>
    </row>
    <row r="46" spans="1:17" x14ac:dyDescent="0.4">
      <c r="A46" s="69">
        <v>43</v>
      </c>
      <c r="B46" s="66">
        <v>103.10000000000001</v>
      </c>
      <c r="C46" s="66">
        <v>2.3976744186046512</v>
      </c>
      <c r="D46" s="71">
        <v>1.930232558139535</v>
      </c>
      <c r="E46" s="67">
        <v>0.39534883720930231</v>
      </c>
      <c r="F46" s="67">
        <v>0.32558139534883723</v>
      </c>
      <c r="G46" s="67">
        <v>0.30945558739255014</v>
      </c>
      <c r="H46" s="67">
        <v>0.15759312320916904</v>
      </c>
      <c r="I46" s="68">
        <v>8845.3703703703704</v>
      </c>
      <c r="J46" s="68">
        <v>-7749.090909090909</v>
      </c>
      <c r="K46" s="67">
        <v>0.16279069767441862</v>
      </c>
      <c r="L46" s="67">
        <v>0.11627906976744186</v>
      </c>
      <c r="M46" s="67">
        <v>0.25214899713467048</v>
      </c>
      <c r="N46" s="67">
        <v>0.20057306590257878</v>
      </c>
      <c r="O46" s="67">
        <v>0.70454545454545459</v>
      </c>
      <c r="P46" s="67">
        <v>0.37142857142857144</v>
      </c>
      <c r="Q46" s="67">
        <v>0.41666666666666669</v>
      </c>
    </row>
    <row r="47" spans="1:17" x14ac:dyDescent="0.4">
      <c r="A47" s="69">
        <v>44</v>
      </c>
      <c r="B47" s="66">
        <v>96.600000000000009</v>
      </c>
      <c r="C47" s="66">
        <v>2.1954545454545458</v>
      </c>
      <c r="D47" s="71">
        <v>1.9318181818181819</v>
      </c>
      <c r="E47" s="67">
        <v>0.38636363636363635</v>
      </c>
      <c r="F47" s="67">
        <v>0.31818181818181818</v>
      </c>
      <c r="G47" s="67">
        <v>0.30422535211267604</v>
      </c>
      <c r="H47" s="67">
        <v>0.16056338028169015</v>
      </c>
      <c r="I47" s="68">
        <v>8845.3703703703704</v>
      </c>
      <c r="J47" s="68">
        <v>-7591.2280701754389</v>
      </c>
      <c r="K47" s="67">
        <v>0.15909090909090909</v>
      </c>
      <c r="L47" s="67">
        <v>0.11363636363636363</v>
      </c>
      <c r="M47" s="67">
        <v>0.25352112676056338</v>
      </c>
      <c r="N47" s="67">
        <v>0.19718309859154928</v>
      </c>
      <c r="O47" s="67">
        <v>0.68888888888888888</v>
      </c>
      <c r="P47" s="67">
        <v>0.37142857142857144</v>
      </c>
      <c r="Q47" s="67">
        <v>0.41666666666666669</v>
      </c>
    </row>
    <row r="48" spans="1:17" x14ac:dyDescent="0.4">
      <c r="A48" s="69">
        <v>45</v>
      </c>
      <c r="B48" s="66">
        <v>39.500000000000007</v>
      </c>
      <c r="C48" s="66">
        <v>0.87777777777777799</v>
      </c>
      <c r="D48" s="71">
        <v>1.9555555555555555</v>
      </c>
      <c r="E48" s="67">
        <v>0.37777777777777777</v>
      </c>
      <c r="F48" s="67">
        <v>0.33333333333333331</v>
      </c>
      <c r="G48" s="67">
        <v>0.29700272479564033</v>
      </c>
      <c r="H48" s="67">
        <v>0.16621253405994552</v>
      </c>
      <c r="I48" s="68">
        <v>8874.3119266055037</v>
      </c>
      <c r="J48" s="68">
        <v>-7621.311475409836</v>
      </c>
      <c r="K48" s="67">
        <v>0.17777777777777778</v>
      </c>
      <c r="L48" s="67">
        <v>0.1111111111111111</v>
      </c>
      <c r="M48" s="67">
        <v>0.2561307901907357</v>
      </c>
      <c r="N48" s="67">
        <v>0.1907356948228883</v>
      </c>
      <c r="O48" s="67">
        <v>0.67021276595744683</v>
      </c>
      <c r="P48" s="67">
        <v>0.37142857142857144</v>
      </c>
      <c r="Q48" s="67">
        <v>0.41284403669724773</v>
      </c>
    </row>
    <row r="49" spans="1:17" x14ac:dyDescent="0.4">
      <c r="A49" s="69">
        <v>46</v>
      </c>
      <c r="B49" s="66">
        <v>37.300000000000004</v>
      </c>
      <c r="C49" s="66">
        <v>0.8108695652173914</v>
      </c>
      <c r="D49" s="71">
        <v>1.9565217391304348</v>
      </c>
      <c r="E49" s="67">
        <v>0.36956521739130432</v>
      </c>
      <c r="F49" s="67">
        <v>0.32608695652173914</v>
      </c>
      <c r="G49" s="67">
        <v>0.29333333333333333</v>
      </c>
      <c r="H49" s="67">
        <v>0.16266666666666665</v>
      </c>
      <c r="I49" s="68">
        <v>8805.454545454546</v>
      </c>
      <c r="J49" s="68">
        <v>-7621.311475409836</v>
      </c>
      <c r="K49" s="67">
        <v>0.17391304347826086</v>
      </c>
      <c r="L49" s="67">
        <v>0.10869565217391304</v>
      </c>
      <c r="M49" s="67">
        <v>0.25866666666666666</v>
      </c>
      <c r="N49" s="67">
        <v>0.192</v>
      </c>
      <c r="O49" s="67">
        <v>0.65979381443298968</v>
      </c>
      <c r="P49" s="67">
        <v>0.3611111111111111</v>
      </c>
      <c r="Q49" s="67">
        <v>0.40909090909090912</v>
      </c>
    </row>
    <row r="50" spans="1:17" x14ac:dyDescent="0.4">
      <c r="A50" s="69">
        <v>47</v>
      </c>
      <c r="B50" s="66">
        <v>71.099999999999994</v>
      </c>
      <c r="C50" s="66">
        <v>1.5127659574468084</v>
      </c>
      <c r="D50" s="71">
        <v>1.9361702127659575</v>
      </c>
      <c r="E50" s="67">
        <v>0.38297872340425532</v>
      </c>
      <c r="F50" s="67">
        <v>0.31914893617021278</v>
      </c>
      <c r="G50" s="67">
        <v>0.29396325459317585</v>
      </c>
      <c r="H50" s="67">
        <v>0.16010498687664043</v>
      </c>
      <c r="I50" s="68">
        <v>8838.3928571428569</v>
      </c>
      <c r="J50" s="68">
        <v>-7621.311475409836</v>
      </c>
      <c r="K50" s="67">
        <v>0.1702127659574468</v>
      </c>
      <c r="L50" s="67">
        <v>0.10638297872340426</v>
      </c>
      <c r="M50" s="67">
        <v>0.25984251968503935</v>
      </c>
      <c r="N50" s="67">
        <v>0.19160104986876642</v>
      </c>
      <c r="O50" s="67">
        <v>0.66666666666666663</v>
      </c>
      <c r="P50" s="67">
        <v>0.35616438356164382</v>
      </c>
      <c r="Q50" s="67">
        <v>0.41964285714285715</v>
      </c>
    </row>
    <row r="51" spans="1:17" x14ac:dyDescent="0.4">
      <c r="A51" s="69">
        <v>48</v>
      </c>
      <c r="B51" s="66">
        <v>40.899999999999991</v>
      </c>
      <c r="C51" s="66">
        <v>0.85208333333333319</v>
      </c>
      <c r="D51" s="71">
        <v>1.9583333333333333</v>
      </c>
      <c r="E51" s="67">
        <v>0.375</v>
      </c>
      <c r="F51" s="67">
        <v>0.33333333333333331</v>
      </c>
      <c r="G51" s="67">
        <v>0.29591836734693877</v>
      </c>
      <c r="H51" s="67">
        <v>0.16071428571428573</v>
      </c>
      <c r="I51" s="68">
        <v>8723.2758620689656</v>
      </c>
      <c r="J51" s="68">
        <v>-7787.3015873015875</v>
      </c>
      <c r="K51" s="67">
        <v>0.16666666666666666</v>
      </c>
      <c r="L51" s="67">
        <v>0.10416666666666667</v>
      </c>
      <c r="M51" s="67">
        <v>0.26020408163265307</v>
      </c>
      <c r="N51" s="67">
        <v>0.18877551020408162</v>
      </c>
      <c r="O51" s="67">
        <v>0.67647058823529416</v>
      </c>
      <c r="P51" s="67">
        <v>0.35135135135135137</v>
      </c>
      <c r="Q51" s="67">
        <v>0.42241379310344829</v>
      </c>
    </row>
    <row r="52" spans="1:17" x14ac:dyDescent="0.4">
      <c r="A52" s="69">
        <v>49</v>
      </c>
      <c r="B52" s="66">
        <v>-29.900000000000006</v>
      </c>
      <c r="C52" s="66">
        <v>-0.61020408163265316</v>
      </c>
      <c r="D52" s="71">
        <v>1.9795918367346939</v>
      </c>
      <c r="E52" s="67">
        <v>0.36734693877551022</v>
      </c>
      <c r="F52" s="67">
        <v>0.34693877551020408</v>
      </c>
      <c r="G52" s="67">
        <v>0.29219143576826195</v>
      </c>
      <c r="H52" s="67">
        <v>0.16372795969773299</v>
      </c>
      <c r="I52" s="68">
        <v>8723.2758620689656</v>
      </c>
      <c r="J52" s="68">
        <v>-8036.9230769230771</v>
      </c>
      <c r="K52" s="67">
        <v>0.18367346938775511</v>
      </c>
      <c r="L52" s="67">
        <v>0.10204081632653061</v>
      </c>
      <c r="M52" s="67">
        <v>0.26196473551637278</v>
      </c>
      <c r="N52" s="67">
        <v>0.18639798488664988</v>
      </c>
      <c r="O52" s="67">
        <v>0.66346153846153844</v>
      </c>
      <c r="P52" s="67">
        <v>0.35135135135135137</v>
      </c>
      <c r="Q52" s="67">
        <v>0.42241379310344829</v>
      </c>
    </row>
    <row r="53" spans="1:17" x14ac:dyDescent="0.4">
      <c r="A53" s="69">
        <v>50</v>
      </c>
      <c r="B53" s="66">
        <v>-26.900000000000006</v>
      </c>
      <c r="C53" s="66">
        <v>-0.53800000000000014</v>
      </c>
      <c r="D53" s="71">
        <v>1.98</v>
      </c>
      <c r="E53" s="67">
        <v>0.36</v>
      </c>
      <c r="F53" s="67">
        <v>0.34</v>
      </c>
      <c r="G53" s="67">
        <v>0.29484029484029484</v>
      </c>
      <c r="H53" s="67">
        <v>0.16461916461916462</v>
      </c>
      <c r="I53" s="68">
        <v>8586.6666666666661</v>
      </c>
      <c r="J53" s="68">
        <v>-7931.3432835820895</v>
      </c>
      <c r="K53" s="67">
        <v>0.18</v>
      </c>
      <c r="L53" s="67">
        <v>0.1</v>
      </c>
      <c r="M53" s="67">
        <v>0.26289926289926291</v>
      </c>
      <c r="N53" s="67">
        <v>0.1891891891891892</v>
      </c>
      <c r="O53" s="67">
        <v>0.66355140186915884</v>
      </c>
      <c r="P53" s="67">
        <v>0.36363636363636365</v>
      </c>
      <c r="Q53" s="67">
        <v>0.42499999999999999</v>
      </c>
    </row>
    <row r="54" spans="1:17" x14ac:dyDescent="0.4">
      <c r="A54" s="69">
        <v>51</v>
      </c>
      <c r="B54" s="66">
        <v>20.999999999999993</v>
      </c>
      <c r="C54" s="66">
        <v>0.41176470588235281</v>
      </c>
      <c r="D54" s="71">
        <v>1.9607843137254901</v>
      </c>
      <c r="E54" s="67">
        <v>0.37254901960784315</v>
      </c>
      <c r="F54" s="67">
        <v>0.33333333333333331</v>
      </c>
      <c r="G54" s="67">
        <v>0.29879518072289157</v>
      </c>
      <c r="H54" s="67">
        <v>0.16144578313253011</v>
      </c>
      <c r="I54" s="68">
        <v>8587.0967741935492</v>
      </c>
      <c r="J54" s="68">
        <v>-7931.3432835820895</v>
      </c>
      <c r="K54" s="67">
        <v>0.17647058823529413</v>
      </c>
      <c r="L54" s="67">
        <v>9.8039215686274508E-2</v>
      </c>
      <c r="M54" s="67">
        <v>0.26506024096385544</v>
      </c>
      <c r="N54" s="67">
        <v>0.18795180722891566</v>
      </c>
      <c r="O54" s="67">
        <v>0.66363636363636369</v>
      </c>
      <c r="P54" s="67">
        <v>0.37179487179487181</v>
      </c>
      <c r="Q54" s="67">
        <v>0.43548387096774194</v>
      </c>
    </row>
    <row r="55" spans="1:17" x14ac:dyDescent="0.4">
      <c r="A55" s="69">
        <v>52</v>
      </c>
      <c r="B55" s="66">
        <v>30.699999999999992</v>
      </c>
      <c r="C55" s="66">
        <v>0.59038461538461529</v>
      </c>
      <c r="D55" s="71">
        <v>1.9615384615384615</v>
      </c>
      <c r="E55" s="67">
        <v>0.36538461538461536</v>
      </c>
      <c r="F55" s="67">
        <v>0.32692307692307693</v>
      </c>
      <c r="G55" s="67">
        <v>0.30023640661938533</v>
      </c>
      <c r="H55" s="67">
        <v>0.15839243498817968</v>
      </c>
      <c r="I55" s="68">
        <v>8508.6614173228354</v>
      </c>
      <c r="J55" s="68">
        <v>-7931.3432835820895</v>
      </c>
      <c r="K55" s="67">
        <v>0.17307692307692307</v>
      </c>
      <c r="L55" s="67">
        <v>9.6153846153846159E-2</v>
      </c>
      <c r="M55" s="67">
        <v>0.26477541371158392</v>
      </c>
      <c r="N55" s="67">
        <v>0.1867612293144208</v>
      </c>
      <c r="O55" s="67">
        <v>0.6696428571428571</v>
      </c>
      <c r="P55" s="67">
        <v>0.379746835443038</v>
      </c>
      <c r="Q55" s="67">
        <v>0.43307086614173229</v>
      </c>
    </row>
    <row r="56" spans="1:17" x14ac:dyDescent="0.4">
      <c r="A56" s="69">
        <v>53</v>
      </c>
      <c r="B56" s="66">
        <v>76.8</v>
      </c>
      <c r="C56" s="66">
        <v>1.4490566037735848</v>
      </c>
      <c r="D56" s="71">
        <v>1.9433962264150944</v>
      </c>
      <c r="E56" s="67">
        <v>0.37735849056603776</v>
      </c>
      <c r="F56" s="67">
        <v>0.32075471698113206</v>
      </c>
      <c r="G56" s="67">
        <v>0.30162412993039445</v>
      </c>
      <c r="H56" s="67">
        <v>0.1554524361948956</v>
      </c>
      <c r="I56" s="68">
        <v>8553.0769230769238</v>
      </c>
      <c r="J56" s="68">
        <v>-7931.3432835820895</v>
      </c>
      <c r="K56" s="67">
        <v>0.16981132075471697</v>
      </c>
      <c r="L56" s="67">
        <v>9.4339622641509441E-2</v>
      </c>
      <c r="M56" s="67">
        <v>0.26682134570765659</v>
      </c>
      <c r="N56" s="67">
        <v>0.18793503480278423</v>
      </c>
      <c r="O56" s="67">
        <v>0.67826086956521736</v>
      </c>
      <c r="P56" s="67">
        <v>0.37037037037037035</v>
      </c>
      <c r="Q56" s="67">
        <v>0.43076923076923079</v>
      </c>
    </row>
    <row r="57" spans="1:17" x14ac:dyDescent="0.4">
      <c r="A57" s="69">
        <v>54</v>
      </c>
      <c r="B57" s="66">
        <v>133.30000000000001</v>
      </c>
      <c r="C57" s="66">
        <v>2.4685185185185188</v>
      </c>
      <c r="D57" s="71">
        <v>1.9259259259259258</v>
      </c>
      <c r="E57" s="67">
        <v>0.3888888888888889</v>
      </c>
      <c r="F57" s="67">
        <v>0.31481481481481483</v>
      </c>
      <c r="G57" s="67">
        <v>0.30523917995444189</v>
      </c>
      <c r="H57" s="67">
        <v>0.15261958997722094</v>
      </c>
      <c r="I57" s="68">
        <v>8598.507462686568</v>
      </c>
      <c r="J57" s="68">
        <v>-7931.3432835820895</v>
      </c>
      <c r="K57" s="67">
        <v>0.16666666666666666</v>
      </c>
      <c r="L57" s="67">
        <v>0.1111111111111111</v>
      </c>
      <c r="M57" s="67">
        <v>0.27334851936218679</v>
      </c>
      <c r="N57" s="67">
        <v>0.18906605922551253</v>
      </c>
      <c r="O57" s="67">
        <v>0.66666666666666663</v>
      </c>
      <c r="P57" s="67">
        <v>0.37349397590361444</v>
      </c>
      <c r="Q57" s="67">
        <v>0.42537313432835822</v>
      </c>
    </row>
    <row r="58" spans="1:17" x14ac:dyDescent="0.4">
      <c r="A58" s="69">
        <v>55</v>
      </c>
      <c r="B58" s="66">
        <v>181.60000000000002</v>
      </c>
      <c r="C58" s="66">
        <v>3.3018181818181822</v>
      </c>
      <c r="D58" s="71">
        <v>1.9090909090909092</v>
      </c>
      <c r="E58" s="67">
        <v>0.4</v>
      </c>
      <c r="F58" s="67">
        <v>0.30909090909090908</v>
      </c>
      <c r="G58" s="67">
        <v>0.3087248322147651</v>
      </c>
      <c r="H58" s="67">
        <v>0.14988814317673377</v>
      </c>
      <c r="I58" s="68">
        <v>8637.68115942029</v>
      </c>
      <c r="J58" s="68">
        <v>-7931.3432835820895</v>
      </c>
      <c r="K58" s="67">
        <v>0.16363636363636364</v>
      </c>
      <c r="L58" s="67">
        <v>0.12727272727272726</v>
      </c>
      <c r="M58" s="67">
        <v>0.27516778523489932</v>
      </c>
      <c r="N58" s="67">
        <v>0.18791946308724833</v>
      </c>
      <c r="O58" s="67">
        <v>0.67479674796747968</v>
      </c>
      <c r="P58" s="67">
        <v>0.38095238095238093</v>
      </c>
      <c r="Q58" s="67">
        <v>0.42753623188405798</v>
      </c>
    </row>
    <row r="59" spans="1:17" x14ac:dyDescent="0.4">
      <c r="A59" s="69">
        <v>56</v>
      </c>
      <c r="B59" s="66">
        <v>187.60000000000002</v>
      </c>
      <c r="C59" s="66">
        <v>3.3500000000000005</v>
      </c>
      <c r="D59" s="71">
        <v>1.9107142857142858</v>
      </c>
      <c r="E59" s="67">
        <v>0.39285714285714285</v>
      </c>
      <c r="F59" s="67">
        <v>0.30357142857142855</v>
      </c>
      <c r="G59" s="67">
        <v>0.30905077262693159</v>
      </c>
      <c r="H59" s="67">
        <v>0.15231788079470199</v>
      </c>
      <c r="I59" s="68">
        <v>8685.7142857142862</v>
      </c>
      <c r="J59" s="68">
        <v>-7991.304347826087</v>
      </c>
      <c r="K59" s="67">
        <v>0.16071428571428573</v>
      </c>
      <c r="L59" s="67">
        <v>0.125</v>
      </c>
      <c r="M59" s="67">
        <v>0.27593818984547464</v>
      </c>
      <c r="N59" s="67">
        <v>0.18543046357615894</v>
      </c>
      <c r="O59" s="67">
        <v>0.68</v>
      </c>
      <c r="P59" s="67">
        <v>0.38095238095238093</v>
      </c>
      <c r="Q59" s="67">
        <v>0.42142857142857143</v>
      </c>
    </row>
    <row r="60" spans="1:17" x14ac:dyDescent="0.4">
      <c r="A60" s="69">
        <v>57</v>
      </c>
      <c r="B60" s="66">
        <v>255.50000000000003</v>
      </c>
      <c r="C60" s="66">
        <v>4.4824561403508776</v>
      </c>
      <c r="D60" s="71">
        <v>1.8947368421052631</v>
      </c>
      <c r="E60" s="67">
        <v>0.40350877192982454</v>
      </c>
      <c r="F60" s="67">
        <v>0.2982456140350877</v>
      </c>
      <c r="G60" s="67">
        <v>0.31372549019607843</v>
      </c>
      <c r="H60" s="67">
        <v>0.15032679738562091</v>
      </c>
      <c r="I60" s="68">
        <v>8768.75</v>
      </c>
      <c r="J60" s="68">
        <v>-7991.304347826087</v>
      </c>
      <c r="K60" s="67">
        <v>0.15789473684210525</v>
      </c>
      <c r="L60" s="67">
        <v>0.14035087719298245</v>
      </c>
      <c r="M60" s="67">
        <v>0.27886710239651419</v>
      </c>
      <c r="N60" s="67">
        <v>0.18736383442265794</v>
      </c>
      <c r="O60" s="67">
        <v>0.6875</v>
      </c>
      <c r="P60" s="67">
        <v>0.38372093023255816</v>
      </c>
      <c r="Q60" s="67">
        <v>0.43055555555555558</v>
      </c>
    </row>
    <row r="61" spans="1:17" x14ac:dyDescent="0.4">
      <c r="A61" s="69">
        <v>58</v>
      </c>
      <c r="B61" s="66">
        <v>244.60000000000002</v>
      </c>
      <c r="C61" s="66">
        <v>4.2172413793103454</v>
      </c>
      <c r="D61" s="71">
        <v>1.896551724137931</v>
      </c>
      <c r="E61" s="67">
        <v>0.39655172413793105</v>
      </c>
      <c r="F61" s="67">
        <v>0.29310344827586204</v>
      </c>
      <c r="G61" s="67">
        <v>0.30916844349680173</v>
      </c>
      <c r="H61" s="67">
        <v>0.15351812366737741</v>
      </c>
      <c r="I61" s="68">
        <v>8762.0689655172409</v>
      </c>
      <c r="J61" s="68">
        <v>-7793.0555555555557</v>
      </c>
      <c r="K61" s="67">
        <v>0.15517241379310345</v>
      </c>
      <c r="L61" s="67">
        <v>0.13793103448275862</v>
      </c>
      <c r="M61" s="67">
        <v>0.28358208955223879</v>
      </c>
      <c r="N61" s="67">
        <v>0.18550106609808104</v>
      </c>
      <c r="O61" s="67">
        <v>0.66917293233082709</v>
      </c>
      <c r="P61" s="67">
        <v>0.37931034482758619</v>
      </c>
      <c r="Q61" s="67">
        <v>0.43448275862068964</v>
      </c>
    </row>
    <row r="62" spans="1:17" x14ac:dyDescent="0.4">
      <c r="A62" s="69">
        <v>59</v>
      </c>
      <c r="B62" s="66">
        <v>295</v>
      </c>
      <c r="C62" s="66">
        <v>5</v>
      </c>
      <c r="D62" s="71">
        <v>1.8813559322033899</v>
      </c>
      <c r="E62" s="67">
        <v>0.40677966101694918</v>
      </c>
      <c r="F62" s="67">
        <v>0.28813559322033899</v>
      </c>
      <c r="G62" s="67">
        <v>0.30721649484536084</v>
      </c>
      <c r="H62" s="67">
        <v>0.15257731958762888</v>
      </c>
      <c r="I62" s="68">
        <v>8833.5570469798658</v>
      </c>
      <c r="J62" s="68">
        <v>-7635.135135135135</v>
      </c>
      <c r="K62" s="67">
        <v>0.15254237288135594</v>
      </c>
      <c r="L62" s="67">
        <v>0.13559322033898305</v>
      </c>
      <c r="M62" s="67">
        <v>0.2907216494845361</v>
      </c>
      <c r="N62" s="67">
        <v>0.18144329896907216</v>
      </c>
      <c r="O62" s="67">
        <v>0.65957446808510634</v>
      </c>
      <c r="P62" s="67">
        <v>0.375</v>
      </c>
      <c r="Q62" s="67">
        <v>0.44295302013422821</v>
      </c>
    </row>
    <row r="63" spans="1:17" x14ac:dyDescent="0.4">
      <c r="A63" s="69">
        <v>60</v>
      </c>
      <c r="B63" s="66">
        <v>359.4</v>
      </c>
      <c r="C63" s="66">
        <v>5.9899999999999993</v>
      </c>
      <c r="D63" s="71">
        <v>1.8666666666666667</v>
      </c>
      <c r="E63" s="67">
        <v>0.41666666666666669</v>
      </c>
      <c r="F63" s="67">
        <v>0.28333333333333333</v>
      </c>
      <c r="G63" s="67">
        <v>0.30894308943089432</v>
      </c>
      <c r="H63" s="67">
        <v>0.15040650406504066</v>
      </c>
      <c r="I63" s="68">
        <v>8948.0263157894733</v>
      </c>
      <c r="J63" s="68">
        <v>-7635.135135135135</v>
      </c>
      <c r="K63" s="67">
        <v>0.15</v>
      </c>
      <c r="L63" s="67">
        <v>0.15</v>
      </c>
      <c r="M63" s="67">
        <v>0.29065040650406504</v>
      </c>
      <c r="N63" s="67">
        <v>0.17886178861788618</v>
      </c>
      <c r="O63" s="67">
        <v>0.65734265734265729</v>
      </c>
      <c r="P63" s="67">
        <v>0.375</v>
      </c>
      <c r="Q63" s="67">
        <v>0.44736842105263158</v>
      </c>
    </row>
    <row r="64" spans="1:17" x14ac:dyDescent="0.4">
      <c r="A64" s="69">
        <v>61</v>
      </c>
      <c r="B64" s="66">
        <v>347.5</v>
      </c>
      <c r="C64" s="66">
        <v>5.6967213114754101</v>
      </c>
      <c r="D64" s="71">
        <v>1.8688524590163935</v>
      </c>
      <c r="E64" s="67">
        <v>0.4098360655737705</v>
      </c>
      <c r="F64" s="67">
        <v>0.27868852459016391</v>
      </c>
      <c r="G64" s="67">
        <v>0.30645161290322581</v>
      </c>
      <c r="H64" s="67">
        <v>0.14919354838709678</v>
      </c>
      <c r="I64" s="68">
        <v>8948.0263157894733</v>
      </c>
      <c r="J64" s="68">
        <v>-7635.135135135135</v>
      </c>
      <c r="K64" s="67">
        <v>0.14754098360655737</v>
      </c>
      <c r="L64" s="67">
        <v>0.14754098360655737</v>
      </c>
      <c r="M64" s="67">
        <v>0.29032258064516131</v>
      </c>
      <c r="N64" s="67">
        <v>0.18145161290322581</v>
      </c>
      <c r="O64" s="67">
        <v>0.65277777777777779</v>
      </c>
      <c r="P64" s="67">
        <v>0.36666666666666664</v>
      </c>
      <c r="Q64" s="67">
        <v>0.44736842105263158</v>
      </c>
    </row>
    <row r="65" spans="1:17" x14ac:dyDescent="0.4">
      <c r="A65" s="69">
        <v>62</v>
      </c>
      <c r="B65" s="66">
        <v>345.6</v>
      </c>
      <c r="C65" s="66">
        <v>5.5741935483870968</v>
      </c>
      <c r="D65" s="71">
        <v>1.8709677419354838</v>
      </c>
      <c r="E65" s="67">
        <v>0.40322580645161288</v>
      </c>
      <c r="F65" s="67">
        <v>0.27419354838709675</v>
      </c>
      <c r="G65" s="67">
        <v>0.3061630218687873</v>
      </c>
      <c r="H65" s="67">
        <v>0.14910536779324055</v>
      </c>
      <c r="I65" s="68">
        <v>8912.9870129870123</v>
      </c>
      <c r="J65" s="68">
        <v>-7568</v>
      </c>
      <c r="K65" s="67">
        <v>0.14516129032258066</v>
      </c>
      <c r="L65" s="67">
        <v>0.14516129032258066</v>
      </c>
      <c r="M65" s="67">
        <v>0.2922465208747515</v>
      </c>
      <c r="N65" s="67">
        <v>0.17892644135188868</v>
      </c>
      <c r="O65" s="67">
        <v>0.65306122448979587</v>
      </c>
      <c r="P65" s="67">
        <v>0.36666666666666664</v>
      </c>
      <c r="Q65" s="67">
        <v>0.44805194805194803</v>
      </c>
    </row>
    <row r="66" spans="1:17" x14ac:dyDescent="0.4">
      <c r="A66" s="69">
        <v>63</v>
      </c>
      <c r="B66" s="66">
        <v>287.60000000000002</v>
      </c>
      <c r="C66" s="66">
        <v>4.5650793650793657</v>
      </c>
      <c r="D66" s="71">
        <v>1.8888888888888888</v>
      </c>
      <c r="E66" s="67">
        <v>0.3968253968253968</v>
      </c>
      <c r="F66" s="67">
        <v>0.2857142857142857</v>
      </c>
      <c r="G66" s="67">
        <v>0.30078125</v>
      </c>
      <c r="H66" s="67">
        <v>0.1484375</v>
      </c>
      <c r="I66" s="68">
        <v>8912.9870129870123</v>
      </c>
      <c r="J66" s="68">
        <v>-7626.3157894736842</v>
      </c>
      <c r="K66" s="67">
        <v>0.15873015873015872</v>
      </c>
      <c r="L66" s="67">
        <v>0.14285714285714285</v>
      </c>
      <c r="M66" s="67">
        <v>0.29296875</v>
      </c>
      <c r="N66" s="67">
        <v>0.177734375</v>
      </c>
      <c r="O66" s="67">
        <v>0.64</v>
      </c>
      <c r="P66" s="67">
        <v>0.36263736263736263</v>
      </c>
      <c r="Q66" s="67">
        <v>0.44805194805194803</v>
      </c>
    </row>
    <row r="67" spans="1:17" x14ac:dyDescent="0.4">
      <c r="A67" s="69">
        <v>64</v>
      </c>
      <c r="B67" s="66">
        <v>323.60000000000002</v>
      </c>
      <c r="C67" s="66">
        <v>5.0562500000000004</v>
      </c>
      <c r="D67" s="71">
        <v>1.875</v>
      </c>
      <c r="E67" s="67">
        <v>0.40625</v>
      </c>
      <c r="F67" s="67">
        <v>0.28125</v>
      </c>
      <c r="G67" s="67">
        <v>0.30250481695568399</v>
      </c>
      <c r="H67" s="67">
        <v>0.14836223506743737</v>
      </c>
      <c r="I67" s="68">
        <v>8923.5668789808915</v>
      </c>
      <c r="J67" s="68">
        <v>-7553.2467532467535</v>
      </c>
      <c r="K67" s="67">
        <v>0.15625</v>
      </c>
      <c r="L67" s="67">
        <v>0.140625</v>
      </c>
      <c r="M67" s="67">
        <v>0.2947976878612717</v>
      </c>
      <c r="N67" s="67">
        <v>0.17533718689788053</v>
      </c>
      <c r="O67" s="67">
        <v>0.64052287581699341</v>
      </c>
      <c r="P67" s="67">
        <v>0.36263736263736263</v>
      </c>
      <c r="Q67" s="67">
        <v>0.45222929936305734</v>
      </c>
    </row>
    <row r="68" spans="1:17" x14ac:dyDescent="0.4">
      <c r="A68" s="69">
        <v>65</v>
      </c>
      <c r="B68" s="66">
        <v>328.6</v>
      </c>
      <c r="C68" s="66">
        <v>5.0553846153846154</v>
      </c>
      <c r="D68" s="71">
        <v>1.8769230769230769</v>
      </c>
      <c r="E68" s="67">
        <v>0.4</v>
      </c>
      <c r="F68" s="67">
        <v>0.27692307692307694</v>
      </c>
      <c r="G68" s="67">
        <v>0.30285714285714288</v>
      </c>
      <c r="H68" s="67">
        <v>0.15047619047619049</v>
      </c>
      <c r="I68" s="68">
        <v>8937.1069182389929</v>
      </c>
      <c r="J68" s="68">
        <v>-7539.2405063291135</v>
      </c>
      <c r="K68" s="67">
        <v>0.15384615384615385</v>
      </c>
      <c r="L68" s="67">
        <v>0.13846153846153847</v>
      </c>
      <c r="M68" s="67">
        <v>0.29523809523809524</v>
      </c>
      <c r="N68" s="67">
        <v>0.17714285714285713</v>
      </c>
      <c r="O68" s="67">
        <v>0.64516129032258063</v>
      </c>
      <c r="P68" s="67">
        <v>0.35483870967741937</v>
      </c>
      <c r="Q68" s="67">
        <v>0.44654088050314467</v>
      </c>
    </row>
    <row r="69" spans="1:17" x14ac:dyDescent="0.4">
      <c r="A69" s="69">
        <v>66</v>
      </c>
      <c r="B69" s="66">
        <v>307</v>
      </c>
      <c r="C69" s="66">
        <v>4.6515151515151514</v>
      </c>
      <c r="D69" s="71">
        <v>1.8787878787878789</v>
      </c>
      <c r="E69" s="67">
        <v>0.39393939393939392</v>
      </c>
      <c r="F69" s="67">
        <v>0.27272727272727271</v>
      </c>
      <c r="G69" s="67">
        <v>0.29906542056074764</v>
      </c>
      <c r="H69" s="67">
        <v>0.15140186915887852</v>
      </c>
      <c r="I69" s="68">
        <v>8905.625</v>
      </c>
      <c r="J69" s="68">
        <v>-7460.4938271604942</v>
      </c>
      <c r="K69" s="67">
        <v>0.15151515151515152</v>
      </c>
      <c r="L69" s="67">
        <v>0.13636363636363635</v>
      </c>
      <c r="M69" s="67">
        <v>0.29158878504672897</v>
      </c>
      <c r="N69" s="67">
        <v>0.18130841121495328</v>
      </c>
      <c r="O69" s="67">
        <v>0.64102564102564108</v>
      </c>
      <c r="P69" s="67">
        <v>0.35051546391752575</v>
      </c>
      <c r="Q69" s="67">
        <v>0.44374999999999998</v>
      </c>
    </row>
    <row r="70" spans="1:17" x14ac:dyDescent="0.4">
      <c r="A70" s="69">
        <v>67</v>
      </c>
      <c r="B70" s="66">
        <v>274.10000000000002</v>
      </c>
      <c r="C70" s="66">
        <v>4.0910447761194035</v>
      </c>
      <c r="D70" s="71">
        <v>1.8955223880597014</v>
      </c>
      <c r="E70" s="67">
        <v>0.38805970149253732</v>
      </c>
      <c r="F70" s="67">
        <v>0.28358208955223879</v>
      </c>
      <c r="G70" s="67">
        <v>0.29520295202952029</v>
      </c>
      <c r="H70" s="67">
        <v>0.15313653136531366</v>
      </c>
      <c r="I70" s="68">
        <v>8905.625</v>
      </c>
      <c r="J70" s="68">
        <v>-7336.1445783132531</v>
      </c>
      <c r="K70" s="67">
        <v>0.14925373134328357</v>
      </c>
      <c r="L70" s="67">
        <v>0.13432835820895522</v>
      </c>
      <c r="M70" s="67">
        <v>0.28966789667896681</v>
      </c>
      <c r="N70" s="67">
        <v>0.18265682656826568</v>
      </c>
      <c r="O70" s="67">
        <v>0.63694267515923564</v>
      </c>
      <c r="P70" s="67">
        <v>0.34343434343434343</v>
      </c>
      <c r="Q70" s="67">
        <v>0.44374999999999998</v>
      </c>
    </row>
    <row r="71" spans="1:17" x14ac:dyDescent="0.4">
      <c r="A71" s="69">
        <v>68</v>
      </c>
      <c r="B71" s="66">
        <v>285.40000000000003</v>
      </c>
      <c r="C71" s="66">
        <v>4.197058823529412</v>
      </c>
      <c r="D71" s="71">
        <v>1.8970588235294117</v>
      </c>
      <c r="E71" s="67">
        <v>0.38235294117647056</v>
      </c>
      <c r="F71" s="67">
        <v>0.27941176470588236</v>
      </c>
      <c r="G71" s="67">
        <v>0.29454545454545455</v>
      </c>
      <c r="H71" s="67">
        <v>0.15090909090909091</v>
      </c>
      <c r="I71" s="68">
        <v>8905.5555555555547</v>
      </c>
      <c r="J71" s="68">
        <v>-7336.1445783132531</v>
      </c>
      <c r="K71" s="67">
        <v>0.14705882352941177</v>
      </c>
      <c r="L71" s="67">
        <v>0.13235294117647059</v>
      </c>
      <c r="M71" s="67">
        <v>0.29090909090909089</v>
      </c>
      <c r="N71" s="67">
        <v>0.18181818181818182</v>
      </c>
      <c r="O71" s="67">
        <v>0.63749999999999996</v>
      </c>
      <c r="P71" s="67">
        <v>0.34</v>
      </c>
      <c r="Q71" s="67">
        <v>0.43827160493827161</v>
      </c>
    </row>
    <row r="72" spans="1:17" x14ac:dyDescent="0.4">
      <c r="A72" s="69">
        <v>69</v>
      </c>
      <c r="B72" s="66">
        <v>330.40000000000003</v>
      </c>
      <c r="C72" s="66">
        <v>4.7884057971014498</v>
      </c>
      <c r="D72" s="71">
        <v>1.8840579710144927</v>
      </c>
      <c r="E72" s="67">
        <v>0.39130434782608697</v>
      </c>
      <c r="F72" s="67">
        <v>0.27536231884057971</v>
      </c>
      <c r="G72" s="67">
        <v>0.29749103942652327</v>
      </c>
      <c r="H72" s="67">
        <v>0.14874551971326164</v>
      </c>
      <c r="I72" s="68">
        <v>8931.9277108433744</v>
      </c>
      <c r="J72" s="68">
        <v>-7336.1445783132531</v>
      </c>
      <c r="K72" s="67">
        <v>0.14492753623188406</v>
      </c>
      <c r="L72" s="67">
        <v>0.14492753623188406</v>
      </c>
      <c r="M72" s="67">
        <v>0.29569892473118281</v>
      </c>
      <c r="N72" s="67">
        <v>0.17921146953405018</v>
      </c>
      <c r="O72" s="67">
        <v>0.64242424242424245</v>
      </c>
      <c r="P72" s="67">
        <v>0.34</v>
      </c>
      <c r="Q72" s="67">
        <v>0.43975903614457829</v>
      </c>
    </row>
    <row r="73" spans="1:17" x14ac:dyDescent="0.4">
      <c r="A73" s="69">
        <v>70</v>
      </c>
      <c r="B73" s="66">
        <v>382.50000000000006</v>
      </c>
      <c r="C73" s="66">
        <v>5.4642857142857153</v>
      </c>
      <c r="D73" s="71">
        <v>1.8714285714285714</v>
      </c>
      <c r="E73" s="67">
        <v>0.4</v>
      </c>
      <c r="F73" s="67">
        <v>0.27142857142857141</v>
      </c>
      <c r="G73" s="67">
        <v>0.29720279720279719</v>
      </c>
      <c r="H73" s="67">
        <v>0.14685314685314685</v>
      </c>
      <c r="I73" s="68">
        <v>9014.1176470588234</v>
      </c>
      <c r="J73" s="68">
        <v>-7266.666666666667</v>
      </c>
      <c r="K73" s="67">
        <v>0.14285714285714285</v>
      </c>
      <c r="L73" s="67">
        <v>0.14285714285714285</v>
      </c>
      <c r="M73" s="67">
        <v>0.2937062937062937</v>
      </c>
      <c r="N73" s="67">
        <v>0.18356643356643357</v>
      </c>
      <c r="O73" s="67">
        <v>0.6428571428571429</v>
      </c>
      <c r="P73" s="67">
        <v>0.33333333333333331</v>
      </c>
      <c r="Q73" s="67">
        <v>0.44705882352941179</v>
      </c>
    </row>
    <row r="74" spans="1:17" x14ac:dyDescent="0.4">
      <c r="A74" s="69">
        <v>71</v>
      </c>
      <c r="B74" s="66">
        <v>350.40000000000003</v>
      </c>
      <c r="C74" s="66">
        <v>4.9352112676056343</v>
      </c>
      <c r="D74" s="71">
        <v>1.8873239436619718</v>
      </c>
      <c r="E74" s="67">
        <v>0.39436619718309857</v>
      </c>
      <c r="F74" s="67">
        <v>0.28169014084507044</v>
      </c>
      <c r="G74" s="67">
        <v>0.29776247848537007</v>
      </c>
      <c r="H74" s="67">
        <v>0.14802065404475043</v>
      </c>
      <c r="I74" s="68">
        <v>8984.9710982658962</v>
      </c>
      <c r="J74" s="68">
        <v>-7139.5348837209303</v>
      </c>
      <c r="K74" s="67">
        <v>0.14084507042253522</v>
      </c>
      <c r="L74" s="67">
        <v>0.14084507042253522</v>
      </c>
      <c r="M74" s="67">
        <v>0.29432013769363169</v>
      </c>
      <c r="N74" s="67">
        <v>0.18588640275387264</v>
      </c>
      <c r="O74" s="67">
        <v>0.63742690058479534</v>
      </c>
      <c r="P74" s="67">
        <v>0.34259259259259262</v>
      </c>
      <c r="Q74" s="67">
        <v>0.44508670520231214</v>
      </c>
    </row>
    <row r="75" spans="1:17" x14ac:dyDescent="0.4">
      <c r="A75" s="69">
        <v>72</v>
      </c>
      <c r="B75" s="66">
        <v>304.60000000000002</v>
      </c>
      <c r="C75" s="66">
        <v>4.2305555555555561</v>
      </c>
      <c r="D75" s="71">
        <v>1.9027777777777777</v>
      </c>
      <c r="E75" s="67">
        <v>0.3888888888888889</v>
      </c>
      <c r="F75" s="67">
        <v>0.29166666666666669</v>
      </c>
      <c r="G75" s="67">
        <v>0.29471890971039183</v>
      </c>
      <c r="H75" s="67">
        <v>0.14991482112436116</v>
      </c>
      <c r="I75" s="68">
        <v>8984.9710982658962</v>
      </c>
      <c r="J75" s="68">
        <v>-7112.5</v>
      </c>
      <c r="K75" s="67">
        <v>0.1388888888888889</v>
      </c>
      <c r="L75" s="67">
        <v>0.1388888888888889</v>
      </c>
      <c r="M75" s="67">
        <v>0.29131175468483816</v>
      </c>
      <c r="N75" s="67">
        <v>0.18568994889267462</v>
      </c>
      <c r="O75" s="67">
        <v>0.63742690058479534</v>
      </c>
      <c r="P75" s="67">
        <v>0.33944954128440369</v>
      </c>
      <c r="Q75" s="67">
        <v>0.44508670520231214</v>
      </c>
    </row>
    <row r="76" spans="1:17" x14ac:dyDescent="0.4">
      <c r="A76" s="69">
        <v>73</v>
      </c>
      <c r="B76" s="66">
        <v>275</v>
      </c>
      <c r="C76" s="66">
        <v>3.7671232876712328</v>
      </c>
      <c r="D76" s="71">
        <v>1.904109589041096</v>
      </c>
      <c r="E76" s="67">
        <v>0.38356164383561642</v>
      </c>
      <c r="F76" s="67">
        <v>0.28767123287671231</v>
      </c>
      <c r="G76" s="67">
        <v>0.29194630872483224</v>
      </c>
      <c r="H76" s="67">
        <v>0.1476510067114094</v>
      </c>
      <c r="I76" s="68">
        <v>8979.310344827587</v>
      </c>
      <c r="J76" s="68">
        <v>-7112.5</v>
      </c>
      <c r="K76" s="67">
        <v>0.13698630136986301</v>
      </c>
      <c r="L76" s="67">
        <v>0.13698630136986301</v>
      </c>
      <c r="M76" s="67">
        <v>0.29026845637583892</v>
      </c>
      <c r="N76" s="67">
        <v>0.18456375838926176</v>
      </c>
      <c r="O76" s="67">
        <v>0.63583815028901736</v>
      </c>
      <c r="P76" s="67">
        <v>0.33636363636363636</v>
      </c>
      <c r="Q76" s="67">
        <v>0.44252873563218392</v>
      </c>
    </row>
    <row r="77" spans="1:17" x14ac:dyDescent="0.4">
      <c r="A77" s="69">
        <v>74</v>
      </c>
      <c r="B77" s="66">
        <v>242.1</v>
      </c>
      <c r="C77" s="66">
        <v>3.2716216216216214</v>
      </c>
      <c r="D77" s="71">
        <v>1.9189189189189189</v>
      </c>
      <c r="E77" s="67">
        <v>0.3783783783783784</v>
      </c>
      <c r="F77" s="67">
        <v>0.29729729729729731</v>
      </c>
      <c r="G77" s="67">
        <v>0.28855721393034828</v>
      </c>
      <c r="H77" s="67">
        <v>0.14925373134328357</v>
      </c>
      <c r="I77" s="68">
        <v>8979.310344827587</v>
      </c>
      <c r="J77" s="68">
        <v>-7047.7777777777774</v>
      </c>
      <c r="K77" s="67">
        <v>0.13513513513513514</v>
      </c>
      <c r="L77" s="67">
        <v>0.13513513513513514</v>
      </c>
      <c r="M77" s="67">
        <v>0.29021558872305142</v>
      </c>
      <c r="N77" s="67">
        <v>0.18573797678275289</v>
      </c>
      <c r="O77" s="67">
        <v>0.62857142857142856</v>
      </c>
      <c r="P77" s="67">
        <v>0.33035714285714285</v>
      </c>
      <c r="Q77" s="67">
        <v>0.44252873563218392</v>
      </c>
    </row>
    <row r="78" spans="1:17" x14ac:dyDescent="0.4">
      <c r="A78" s="69">
        <v>75</v>
      </c>
      <c r="B78" s="66">
        <v>255.79999999999998</v>
      </c>
      <c r="C78" s="66">
        <v>3.4106666666666663</v>
      </c>
      <c r="D78" s="71">
        <v>1.92</v>
      </c>
      <c r="E78" s="67">
        <v>0.37333333333333335</v>
      </c>
      <c r="F78" s="67">
        <v>0.29333333333333333</v>
      </c>
      <c r="G78" s="67">
        <v>0.28852459016393445</v>
      </c>
      <c r="H78" s="67">
        <v>0.14754098360655737</v>
      </c>
      <c r="I78" s="68">
        <v>8982.954545454546</v>
      </c>
      <c r="J78" s="68">
        <v>-7047.7777777777774</v>
      </c>
      <c r="K78" s="67">
        <v>0.13333333333333333</v>
      </c>
      <c r="L78" s="67">
        <v>0.13333333333333333</v>
      </c>
      <c r="M78" s="67">
        <v>0.29180327868852457</v>
      </c>
      <c r="N78" s="67">
        <v>0.18360655737704917</v>
      </c>
      <c r="O78" s="67">
        <v>0.6292134831460674</v>
      </c>
      <c r="P78" s="67">
        <v>0.33035714285714285</v>
      </c>
      <c r="Q78" s="67">
        <v>0.4375</v>
      </c>
    </row>
    <row r="79" spans="1:17" x14ac:dyDescent="0.4">
      <c r="A79" s="69">
        <v>76</v>
      </c>
      <c r="B79" s="66">
        <v>198.29999999999998</v>
      </c>
      <c r="C79" s="66">
        <v>2.6092105263157892</v>
      </c>
      <c r="D79" s="71">
        <v>1.9342105263157894</v>
      </c>
      <c r="E79" s="67">
        <v>0.36842105263157893</v>
      </c>
      <c r="F79" s="67">
        <v>0.30263157894736842</v>
      </c>
      <c r="G79" s="67">
        <v>0.2861788617886179</v>
      </c>
      <c r="H79" s="67">
        <v>0.14959349593495935</v>
      </c>
      <c r="I79" s="68">
        <v>8982.954545454546</v>
      </c>
      <c r="J79" s="68">
        <v>-7155.434782608696</v>
      </c>
      <c r="K79" s="67">
        <v>0.14473684210526316</v>
      </c>
      <c r="L79" s="67">
        <v>0.13157894736842105</v>
      </c>
      <c r="M79" s="67">
        <v>0.2943089430894309</v>
      </c>
      <c r="N79" s="67">
        <v>0.1821138211382114</v>
      </c>
      <c r="O79" s="67">
        <v>0.61878453038674031</v>
      </c>
      <c r="P79" s="67">
        <v>0.33035714285714285</v>
      </c>
      <c r="Q79" s="67">
        <v>0.4375</v>
      </c>
    </row>
    <row r="80" spans="1:17" x14ac:dyDescent="0.4">
      <c r="A80" s="69">
        <v>77</v>
      </c>
      <c r="B80" s="66">
        <v>201.7</v>
      </c>
      <c r="C80" s="66">
        <v>2.6194805194805193</v>
      </c>
      <c r="D80" s="71">
        <v>1.9350649350649352</v>
      </c>
      <c r="E80" s="67">
        <v>0.36363636363636365</v>
      </c>
      <c r="F80" s="67">
        <v>0.29870129870129869</v>
      </c>
      <c r="G80" s="67">
        <v>0.2861736334405145</v>
      </c>
      <c r="H80" s="67">
        <v>0.14790996784565916</v>
      </c>
      <c r="I80" s="68">
        <v>8989.8876404494385</v>
      </c>
      <c r="J80" s="68">
        <v>-7155.434782608696</v>
      </c>
      <c r="K80" s="67">
        <v>0.14285714285714285</v>
      </c>
      <c r="L80" s="67">
        <v>0.12987012987012986</v>
      </c>
      <c r="M80" s="67">
        <v>0.297427652733119</v>
      </c>
      <c r="N80" s="67">
        <v>0.18006430868167203</v>
      </c>
      <c r="O80" s="67">
        <v>0.61621621621621625</v>
      </c>
      <c r="P80" s="67">
        <v>0.33035714285714285</v>
      </c>
      <c r="Q80" s="67">
        <v>0.43820224719101125</v>
      </c>
    </row>
    <row r="81" spans="1:17" x14ac:dyDescent="0.4">
      <c r="A81" s="69">
        <v>78</v>
      </c>
      <c r="B81" s="66">
        <v>193.39999999999998</v>
      </c>
      <c r="C81" s="66">
        <v>2.4794871794871791</v>
      </c>
      <c r="D81" s="71">
        <v>1.9358974358974359</v>
      </c>
      <c r="E81" s="67">
        <v>0.35897435897435898</v>
      </c>
      <c r="F81" s="67">
        <v>0.29487179487179488</v>
      </c>
      <c r="G81" s="67">
        <v>0.28459119496855345</v>
      </c>
      <c r="H81" s="67">
        <v>0.14622641509433962</v>
      </c>
      <c r="I81" s="68">
        <v>8916.5745856353587</v>
      </c>
      <c r="J81" s="68">
        <v>-7161.2903225806449</v>
      </c>
      <c r="K81" s="67">
        <v>0.14102564102564102</v>
      </c>
      <c r="L81" s="67">
        <v>0.12820512820512819</v>
      </c>
      <c r="M81" s="67">
        <v>0.29402515723270439</v>
      </c>
      <c r="N81" s="67">
        <v>0.17767295597484276</v>
      </c>
      <c r="O81" s="67">
        <v>0.60962566844919786</v>
      </c>
      <c r="P81" s="67">
        <v>0.33628318584070799</v>
      </c>
      <c r="Q81" s="67">
        <v>0.43646408839779005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722A9-E1B5-4EE0-9BE6-BF256DBEB4BB}">
  <sheetPr codeName="Sheet18"/>
  <dimension ref="A1:Q5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  <row r="21" spans="1:17" x14ac:dyDescent="0.4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0.3888888888888889</v>
      </c>
      <c r="G21" s="67">
        <v>0.29518072289156627</v>
      </c>
      <c r="H21" s="67">
        <v>0.2289156626506024</v>
      </c>
      <c r="I21" s="68">
        <v>6236.7346938775509</v>
      </c>
      <c r="J21" s="68">
        <v>-7992.105263157895</v>
      </c>
      <c r="K21" s="67">
        <v>0.1111111111111111</v>
      </c>
      <c r="L21" s="67">
        <v>5.5555555555555552E-2</v>
      </c>
      <c r="M21" s="67">
        <v>0.19277108433734941</v>
      </c>
      <c r="N21" s="67">
        <v>0.2289156626506024</v>
      </c>
      <c r="O21" s="67">
        <v>0.5625</v>
      </c>
      <c r="P21" s="67">
        <v>0.34210526315789475</v>
      </c>
      <c r="Q21" s="67">
        <v>0.48979591836734693</v>
      </c>
    </row>
    <row r="22" spans="1:17" x14ac:dyDescent="0.4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0.36842105263157893</v>
      </c>
      <c r="G22" s="67">
        <v>0.29142857142857143</v>
      </c>
      <c r="H22" s="67">
        <v>0.21714285714285714</v>
      </c>
      <c r="I22" s="68">
        <v>6084.3137254901958</v>
      </c>
      <c r="J22" s="68">
        <v>-7992.105263157895</v>
      </c>
      <c r="K22" s="67">
        <v>0.10526315789473684</v>
      </c>
      <c r="L22" s="67">
        <v>5.2631578947368418E-2</v>
      </c>
      <c r="M22" s="67">
        <v>0.2</v>
      </c>
      <c r="N22" s="67">
        <v>0.22857142857142856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0.35</v>
      </c>
      <c r="G23" s="67">
        <v>0.29411764705882354</v>
      </c>
      <c r="H23" s="67">
        <v>0.21390374331550802</v>
      </c>
      <c r="I23" s="68">
        <v>6392.727272727273</v>
      </c>
      <c r="J23" s="68">
        <v>-7957.5</v>
      </c>
      <c r="K23" s="67">
        <v>0.1</v>
      </c>
      <c r="L23" s="67">
        <v>0.05</v>
      </c>
      <c r="M23" s="67">
        <v>0.20855614973262032</v>
      </c>
      <c r="N23" s="67">
        <v>0.22994652406417113</v>
      </c>
      <c r="O23" s="67">
        <v>0.53846153846153844</v>
      </c>
      <c r="P23" s="67">
        <v>0.34883720930232559</v>
      </c>
      <c r="Q23" s="67">
        <v>0.49090909090909091</v>
      </c>
    </row>
    <row r="24" spans="1:17" x14ac:dyDescent="0.4">
      <c r="A24" s="69">
        <v>21</v>
      </c>
      <c r="B24" s="66">
        <v>-203.79999999999993</v>
      </c>
      <c r="C24" s="66">
        <v>-9.7047619047619005</v>
      </c>
      <c r="D24" s="71">
        <v>2.0952380952380953</v>
      </c>
      <c r="E24" s="67">
        <v>0.23809523809523808</v>
      </c>
      <c r="F24" s="67">
        <v>0.33333333333333331</v>
      </c>
      <c r="G24" s="67">
        <v>0.28865979381443296</v>
      </c>
      <c r="H24" s="67">
        <v>0.21134020618556701</v>
      </c>
      <c r="I24" s="68">
        <v>6416.0714285714284</v>
      </c>
      <c r="J24" s="68">
        <v>-7951.2195121951218</v>
      </c>
      <c r="K24" s="67">
        <v>9.5238095238095233E-2</v>
      </c>
      <c r="L24" s="67">
        <v>4.7619047619047616E-2</v>
      </c>
      <c r="M24" s="67">
        <v>0.21134020618556701</v>
      </c>
      <c r="N24" s="67">
        <v>0.22164948453608246</v>
      </c>
      <c r="O24" s="67">
        <v>0.53658536585365857</v>
      </c>
      <c r="P24" s="67">
        <v>0.34883720930232559</v>
      </c>
      <c r="Q24" s="67">
        <v>0.5</v>
      </c>
    </row>
    <row r="25" spans="1:17" x14ac:dyDescent="0.4">
      <c r="A25" s="69">
        <v>22</v>
      </c>
      <c r="B25" s="66">
        <v>-262.49999999999994</v>
      </c>
      <c r="C25" s="66">
        <v>-11.93181818181818</v>
      </c>
      <c r="D25" s="71">
        <v>2.1363636363636362</v>
      </c>
      <c r="E25" s="67">
        <v>0.22727272727272727</v>
      </c>
      <c r="F25" s="67">
        <v>0.36363636363636365</v>
      </c>
      <c r="G25" s="67">
        <v>0.28499999999999998</v>
      </c>
      <c r="H25" s="67">
        <v>0.215</v>
      </c>
      <c r="I25" s="68">
        <v>6438.5964912280706</v>
      </c>
      <c r="J25" s="68">
        <v>-8441.8604651162786</v>
      </c>
      <c r="K25" s="67">
        <v>0.13636363636363635</v>
      </c>
      <c r="L25" s="67">
        <v>4.5454545454545456E-2</v>
      </c>
      <c r="M25" s="67">
        <v>0.215</v>
      </c>
      <c r="N25" s="67">
        <v>0.22500000000000001</v>
      </c>
      <c r="O25" s="67">
        <v>0.53488372093023251</v>
      </c>
      <c r="P25" s="67">
        <v>0.33333333333333331</v>
      </c>
      <c r="Q25" s="67">
        <v>0.50877192982456143</v>
      </c>
    </row>
    <row r="26" spans="1:17" x14ac:dyDescent="0.4">
      <c r="A26" s="69">
        <v>23</v>
      </c>
      <c r="B26" s="66">
        <v>-259.09999999999997</v>
      </c>
      <c r="C26" s="66">
        <v>-11.265217391304347</v>
      </c>
      <c r="D26" s="71">
        <v>2.1304347826086958</v>
      </c>
      <c r="E26" s="67">
        <v>0.21739130434782608</v>
      </c>
      <c r="F26" s="67">
        <v>0.34782608695652173</v>
      </c>
      <c r="G26" s="67">
        <v>0.28640776699029125</v>
      </c>
      <c r="H26" s="67">
        <v>0.21359223300970873</v>
      </c>
      <c r="I26" s="68">
        <v>6422.0338983050851</v>
      </c>
      <c r="J26" s="68">
        <v>-8295.454545454546</v>
      </c>
      <c r="K26" s="67">
        <v>0.13043478260869565</v>
      </c>
      <c r="L26" s="67">
        <v>4.3478260869565216E-2</v>
      </c>
      <c r="M26" s="67">
        <v>0.20873786407766989</v>
      </c>
      <c r="N26" s="67">
        <v>0.23786407766990292</v>
      </c>
      <c r="O26" s="67">
        <v>0.53488372093023251</v>
      </c>
      <c r="P26" s="67">
        <v>0.32653061224489793</v>
      </c>
      <c r="Q26" s="67">
        <v>0.50847457627118642</v>
      </c>
    </row>
    <row r="27" spans="1:17" x14ac:dyDescent="0.4">
      <c r="A27" s="69">
        <v>24</v>
      </c>
      <c r="B27" s="66">
        <v>-287.89999999999998</v>
      </c>
      <c r="C27" s="66">
        <v>-11.995833333333332</v>
      </c>
      <c r="D27" s="71">
        <v>2.1666666666666665</v>
      </c>
      <c r="E27" s="67">
        <v>0.20833333333333334</v>
      </c>
      <c r="F27" s="67">
        <v>0.375</v>
      </c>
      <c r="G27" s="67">
        <v>0.28837209302325584</v>
      </c>
      <c r="H27" s="67">
        <v>0.21860465116279071</v>
      </c>
      <c r="I27" s="68">
        <v>6398.3870967741932</v>
      </c>
      <c r="J27" s="68">
        <v>-8182.9787234042551</v>
      </c>
      <c r="K27" s="67">
        <v>0.125</v>
      </c>
      <c r="L27" s="67">
        <v>4.1666666666666664E-2</v>
      </c>
      <c r="M27" s="67">
        <v>0.21860465116279071</v>
      </c>
      <c r="N27" s="67">
        <v>0.22790697674418606</v>
      </c>
      <c r="O27" s="67">
        <v>0.55319148936170215</v>
      </c>
      <c r="P27" s="67">
        <v>0.32653061224489793</v>
      </c>
      <c r="Q27" s="67">
        <v>0.5</v>
      </c>
    </row>
    <row r="28" spans="1:17" x14ac:dyDescent="0.4">
      <c r="A28" s="69">
        <v>25</v>
      </c>
      <c r="B28" s="66">
        <v>-344.29999999999995</v>
      </c>
      <c r="C28" s="66">
        <v>-13.771999999999998</v>
      </c>
      <c r="D28" s="71">
        <v>2.2000000000000002</v>
      </c>
      <c r="E28" s="67">
        <v>0.2</v>
      </c>
      <c r="F28" s="67">
        <v>0.4</v>
      </c>
      <c r="G28" s="67">
        <v>0.28378378378378377</v>
      </c>
      <c r="H28" s="67">
        <v>0.22072072072072071</v>
      </c>
      <c r="I28" s="68">
        <v>6344.4444444444443</v>
      </c>
      <c r="J28" s="68">
        <v>-8295.9183673469379</v>
      </c>
      <c r="K28" s="67">
        <v>0.16</v>
      </c>
      <c r="L28" s="67">
        <v>0.04</v>
      </c>
      <c r="M28" s="67">
        <v>0.21621621621621623</v>
      </c>
      <c r="N28" s="67">
        <v>0.22972972972972974</v>
      </c>
      <c r="O28" s="67">
        <v>0.54166666666666663</v>
      </c>
      <c r="P28" s="67">
        <v>0.33333333333333331</v>
      </c>
      <c r="Q28" s="67">
        <v>0.50793650793650791</v>
      </c>
    </row>
    <row r="29" spans="1:17" x14ac:dyDescent="0.4">
      <c r="A29" s="69">
        <v>26</v>
      </c>
      <c r="B29" s="66">
        <v>-285.09999999999997</v>
      </c>
      <c r="C29" s="66">
        <v>-10.965384615384615</v>
      </c>
      <c r="D29" s="71">
        <v>2.1538461538461537</v>
      </c>
      <c r="E29" s="67">
        <v>0.23076923076923078</v>
      </c>
      <c r="F29" s="67">
        <v>0.38461538461538464</v>
      </c>
      <c r="G29" s="67">
        <v>0.29310344827586204</v>
      </c>
      <c r="H29" s="67">
        <v>0.21120689655172414</v>
      </c>
      <c r="I29" s="68">
        <v>6410.2941176470586</v>
      </c>
      <c r="J29" s="68">
        <v>-8295.9183673469379</v>
      </c>
      <c r="K29" s="67">
        <v>0.15384615384615385</v>
      </c>
      <c r="L29" s="67">
        <v>7.6923076923076927E-2</v>
      </c>
      <c r="M29" s="67">
        <v>0.22413793103448276</v>
      </c>
      <c r="N29" s="67">
        <v>0.22413793103448276</v>
      </c>
      <c r="O29" s="67">
        <v>0.57692307692307687</v>
      </c>
      <c r="P29" s="67">
        <v>0.34615384615384615</v>
      </c>
      <c r="Q29" s="67">
        <v>0.51470588235294112</v>
      </c>
    </row>
    <row r="30" spans="1:17" x14ac:dyDescent="0.4">
      <c r="A30" s="69">
        <v>27</v>
      </c>
      <c r="B30" s="66">
        <v>-257.39999999999998</v>
      </c>
      <c r="C30" s="66">
        <v>-9.5333333333333332</v>
      </c>
      <c r="D30" s="71">
        <v>2.1111111111111112</v>
      </c>
      <c r="E30" s="67">
        <v>0.25925925925925924</v>
      </c>
      <c r="F30" s="67">
        <v>0.37037037037037035</v>
      </c>
      <c r="G30" s="67">
        <v>0.29875518672199169</v>
      </c>
      <c r="H30" s="67">
        <v>0.2074688796680498</v>
      </c>
      <c r="I30" s="68">
        <v>6411.1111111111113</v>
      </c>
      <c r="J30" s="68">
        <v>-8208</v>
      </c>
      <c r="K30" s="67">
        <v>0.14814814814814814</v>
      </c>
      <c r="L30" s="67">
        <v>7.407407407407407E-2</v>
      </c>
      <c r="M30" s="67">
        <v>0.23236514522821577</v>
      </c>
      <c r="N30" s="67">
        <v>0.21991701244813278</v>
      </c>
      <c r="O30" s="67">
        <v>0.5892857142857143</v>
      </c>
      <c r="P30" s="67">
        <v>0.33962264150943394</v>
      </c>
      <c r="Q30" s="67">
        <v>0.51388888888888884</v>
      </c>
    </row>
    <row r="31" spans="1:17" x14ac:dyDescent="0.4">
      <c r="A31" s="69">
        <v>28</v>
      </c>
      <c r="B31" s="66">
        <v>-248.2</v>
      </c>
      <c r="C31" s="66">
        <v>-8.8642857142857139</v>
      </c>
      <c r="D31" s="71">
        <v>2.1071428571428572</v>
      </c>
      <c r="E31" s="67">
        <v>0.25</v>
      </c>
      <c r="F31" s="67">
        <v>0.35714285714285715</v>
      </c>
      <c r="G31" s="67">
        <v>0.30399999999999999</v>
      </c>
      <c r="H31" s="67">
        <v>0.2</v>
      </c>
      <c r="I31" s="68">
        <v>6494.7368421052633</v>
      </c>
      <c r="J31" s="68">
        <v>-8208</v>
      </c>
      <c r="K31" s="67">
        <v>0.14285714285714285</v>
      </c>
      <c r="L31" s="67">
        <v>7.1428571428571425E-2</v>
      </c>
      <c r="M31" s="67">
        <v>0.24</v>
      </c>
      <c r="N31" s="67">
        <v>0.224</v>
      </c>
      <c r="O31" s="67">
        <v>0.58333333333333337</v>
      </c>
      <c r="P31" s="67">
        <v>0.35714285714285715</v>
      </c>
      <c r="Q31" s="67">
        <v>0.51315789473684215</v>
      </c>
    </row>
    <row r="32" spans="1:17" x14ac:dyDescent="0.4">
      <c r="A32" s="69">
        <v>29</v>
      </c>
      <c r="B32" s="66">
        <v>-177.29999999999998</v>
      </c>
      <c r="C32" s="66">
        <v>-6.1137931034482751</v>
      </c>
      <c r="D32" s="71">
        <v>2.0689655172413794</v>
      </c>
      <c r="E32" s="67">
        <v>0.27586206896551724</v>
      </c>
      <c r="F32" s="67">
        <v>0.34482758620689657</v>
      </c>
      <c r="G32" s="67">
        <v>0.31395348837209303</v>
      </c>
      <c r="H32" s="67">
        <v>0.19379844961240311</v>
      </c>
      <c r="I32" s="68">
        <v>6746.9135802469136</v>
      </c>
      <c r="J32" s="68">
        <v>-8208</v>
      </c>
      <c r="K32" s="67">
        <v>0.13793103448275862</v>
      </c>
      <c r="L32" s="67">
        <v>6.8965517241379309E-2</v>
      </c>
      <c r="M32" s="67">
        <v>0.24031007751937986</v>
      </c>
      <c r="N32" s="67">
        <v>0.22480620155038761</v>
      </c>
      <c r="O32" s="67">
        <v>0.59677419354838712</v>
      </c>
      <c r="P32" s="67">
        <v>0.34482758620689657</v>
      </c>
      <c r="Q32" s="67">
        <v>0.51851851851851849</v>
      </c>
    </row>
    <row r="33" spans="1:17" x14ac:dyDescent="0.4">
      <c r="A33" s="69">
        <v>30</v>
      </c>
      <c r="B33" s="66">
        <v>-202.79999999999998</v>
      </c>
      <c r="C33" s="66">
        <v>-6.76</v>
      </c>
      <c r="D33" s="71">
        <v>2.0666666666666669</v>
      </c>
      <c r="E33" s="67">
        <v>0.26666666666666666</v>
      </c>
      <c r="F33" s="67">
        <v>0.33333333333333331</v>
      </c>
      <c r="G33" s="67">
        <v>0.30566037735849055</v>
      </c>
      <c r="H33" s="67">
        <v>0.18867924528301888</v>
      </c>
      <c r="I33" s="68">
        <v>6746.9135802469136</v>
      </c>
      <c r="J33" s="68">
        <v>-8208</v>
      </c>
      <c r="K33" s="67">
        <v>0.13333333333333333</v>
      </c>
      <c r="L33" s="67">
        <v>6.6666666666666666E-2</v>
      </c>
      <c r="M33" s="67">
        <v>0.2339622641509434</v>
      </c>
      <c r="N33" s="67">
        <v>0.23018867924528302</v>
      </c>
      <c r="O33" s="67">
        <v>0.59677419354838712</v>
      </c>
      <c r="P33" s="67">
        <v>0.32786885245901637</v>
      </c>
      <c r="Q33" s="67">
        <v>0.51851851851851849</v>
      </c>
    </row>
    <row r="34" spans="1:17" x14ac:dyDescent="0.4">
      <c r="A34" s="69">
        <v>31</v>
      </c>
      <c r="B34" s="66">
        <v>-226.29999999999998</v>
      </c>
      <c r="C34" s="66">
        <v>-7.3</v>
      </c>
      <c r="D34" s="71">
        <v>2.096774193548387</v>
      </c>
      <c r="E34" s="67">
        <v>0.25806451612903225</v>
      </c>
      <c r="F34" s="67">
        <v>0.35483870967741937</v>
      </c>
      <c r="G34" s="67">
        <v>0.30656934306569344</v>
      </c>
      <c r="H34" s="67">
        <v>0.18978102189781021</v>
      </c>
      <c r="I34" s="68">
        <v>6801.1904761904761</v>
      </c>
      <c r="J34" s="68">
        <v>-8353.8461538461543</v>
      </c>
      <c r="K34" s="67">
        <v>0.12903225806451613</v>
      </c>
      <c r="L34" s="67">
        <v>6.4516129032258063E-2</v>
      </c>
      <c r="M34" s="67">
        <v>0.24087591240875914</v>
      </c>
      <c r="N34" s="67">
        <v>0.22992700729927007</v>
      </c>
      <c r="O34" s="67">
        <v>0.60606060606060608</v>
      </c>
      <c r="P34" s="67">
        <v>0.31746031746031744</v>
      </c>
      <c r="Q34" s="67">
        <v>0.51190476190476186</v>
      </c>
    </row>
    <row r="35" spans="1:17" x14ac:dyDescent="0.4">
      <c r="A35" s="69">
        <v>32</v>
      </c>
      <c r="B35" s="66">
        <v>-193.79999999999998</v>
      </c>
      <c r="C35" s="66">
        <v>-6.0562499999999995</v>
      </c>
      <c r="D35" s="71">
        <v>2.0625</v>
      </c>
      <c r="E35" s="67">
        <v>0.28125</v>
      </c>
      <c r="F35" s="67">
        <v>0.34375</v>
      </c>
      <c r="G35" s="67">
        <v>0.30960854092526691</v>
      </c>
      <c r="H35" s="67">
        <v>0.19217081850533807</v>
      </c>
      <c r="I35" s="68">
        <v>6758.6206896551721</v>
      </c>
      <c r="J35" s="68">
        <v>-8177.7777777777774</v>
      </c>
      <c r="K35" s="67">
        <v>0.125</v>
      </c>
      <c r="L35" s="67">
        <v>6.25E-2</v>
      </c>
      <c r="M35" s="67">
        <v>0.23843416370106763</v>
      </c>
      <c r="N35" s="67">
        <v>0.23487544483985764</v>
      </c>
      <c r="O35" s="67">
        <v>0.59701492537313428</v>
      </c>
      <c r="P35" s="67">
        <v>0.33333333333333331</v>
      </c>
      <c r="Q35" s="67">
        <v>0.51724137931034486</v>
      </c>
    </row>
    <row r="36" spans="1:17" x14ac:dyDescent="0.4">
      <c r="A36" s="69">
        <v>33</v>
      </c>
      <c r="B36" s="66">
        <v>-194.1</v>
      </c>
      <c r="C36" s="66">
        <v>-5.8818181818181818</v>
      </c>
      <c r="D36" s="71">
        <v>2.0606060606060606</v>
      </c>
      <c r="E36" s="67">
        <v>0.27272727272727271</v>
      </c>
      <c r="F36" s="67">
        <v>0.33333333333333331</v>
      </c>
      <c r="G36" s="67">
        <v>0.31506849315068491</v>
      </c>
      <c r="H36" s="67">
        <v>0.18493150684931506</v>
      </c>
      <c r="I36" s="68">
        <v>6772.826086956522</v>
      </c>
      <c r="J36" s="68">
        <v>-8177.7777777777774</v>
      </c>
      <c r="K36" s="67">
        <v>0.12121212121212122</v>
      </c>
      <c r="L36" s="67">
        <v>6.0606060606060608E-2</v>
      </c>
      <c r="M36" s="67">
        <v>0.23287671232876711</v>
      </c>
      <c r="N36" s="67">
        <v>0.25</v>
      </c>
      <c r="O36" s="67">
        <v>0.6029411764705882</v>
      </c>
      <c r="P36" s="67">
        <v>0.34246575342465752</v>
      </c>
      <c r="Q36" s="67">
        <v>0.53260869565217395</v>
      </c>
    </row>
    <row r="37" spans="1:17" x14ac:dyDescent="0.4">
      <c r="A37" s="69">
        <v>34</v>
      </c>
      <c r="B37" s="66">
        <v>-224.6</v>
      </c>
      <c r="C37" s="66">
        <v>-6.6058823529411761</v>
      </c>
      <c r="D37" s="71">
        <v>2.0882352941176472</v>
      </c>
      <c r="E37" s="67">
        <v>0.26470588235294118</v>
      </c>
      <c r="F37" s="67">
        <v>0.35294117647058826</v>
      </c>
      <c r="G37" s="67">
        <v>0.30592105263157893</v>
      </c>
      <c r="H37" s="67">
        <v>0.18421052631578946</v>
      </c>
      <c r="I37" s="68">
        <v>6829.0322580645161</v>
      </c>
      <c r="J37" s="68">
        <v>-7957.1428571428569</v>
      </c>
      <c r="K37" s="67">
        <v>0.11764705882352941</v>
      </c>
      <c r="L37" s="67">
        <v>5.8823529411764705E-2</v>
      </c>
      <c r="M37" s="67">
        <v>0.22697368421052633</v>
      </c>
      <c r="N37" s="67">
        <v>0.25</v>
      </c>
      <c r="O37" s="67">
        <v>0.59420289855072461</v>
      </c>
      <c r="P37" s="67">
        <v>0.34210526315789475</v>
      </c>
      <c r="Q37" s="67">
        <v>0.5268817204301075</v>
      </c>
    </row>
    <row r="38" spans="1:17" x14ac:dyDescent="0.4">
      <c r="A38" s="69">
        <v>35</v>
      </c>
      <c r="B38" s="66">
        <v>-224.9</v>
      </c>
      <c r="C38" s="66">
        <v>-6.4257142857142862</v>
      </c>
      <c r="D38" s="71">
        <v>2.0857142857142859</v>
      </c>
      <c r="E38" s="67">
        <v>0.25714285714285712</v>
      </c>
      <c r="F38" s="67">
        <v>0.34285714285714286</v>
      </c>
      <c r="G38" s="67">
        <v>0.30769230769230771</v>
      </c>
      <c r="H38" s="67">
        <v>0.1858974358974359</v>
      </c>
      <c r="I38" s="68">
        <v>6813.541666666667</v>
      </c>
      <c r="J38" s="68">
        <v>-7934.4827586206893</v>
      </c>
      <c r="K38" s="67">
        <v>0.11428571428571428</v>
      </c>
      <c r="L38" s="67">
        <v>5.7142857142857141E-2</v>
      </c>
      <c r="M38" s="67">
        <v>0.22756410256410256</v>
      </c>
      <c r="N38" s="67">
        <v>0.25320512820512819</v>
      </c>
      <c r="O38" s="67">
        <v>0.60563380281690138</v>
      </c>
      <c r="P38" s="67">
        <v>0.34177215189873417</v>
      </c>
      <c r="Q38" s="67">
        <v>0.52083333333333337</v>
      </c>
    </row>
    <row r="39" spans="1:17" x14ac:dyDescent="0.4">
      <c r="A39" s="69">
        <v>36</v>
      </c>
      <c r="B39" s="66">
        <v>-190.5</v>
      </c>
      <c r="C39" s="66">
        <v>-5.291666666666667</v>
      </c>
      <c r="D39" s="71">
        <v>2.0555555555555554</v>
      </c>
      <c r="E39" s="67">
        <v>0.27777777777777779</v>
      </c>
      <c r="F39" s="67">
        <v>0.33333333333333331</v>
      </c>
      <c r="G39" s="67">
        <v>0.30721003134796238</v>
      </c>
      <c r="H39" s="67">
        <v>0.18495297805642633</v>
      </c>
      <c r="I39" s="68">
        <v>6919.3877551020405</v>
      </c>
      <c r="J39" s="68">
        <v>-7866.1016949152545</v>
      </c>
      <c r="K39" s="67">
        <v>0.1111111111111111</v>
      </c>
      <c r="L39" s="67">
        <v>5.5555555555555552E-2</v>
      </c>
      <c r="M39" s="67">
        <v>0.23197492163009403</v>
      </c>
      <c r="N39" s="67">
        <v>0.25391849529780564</v>
      </c>
      <c r="O39" s="67">
        <v>0.60810810810810811</v>
      </c>
      <c r="P39" s="67">
        <v>0.33333333333333331</v>
      </c>
      <c r="Q39" s="67">
        <v>0.52040816326530615</v>
      </c>
    </row>
    <row r="40" spans="1:17" x14ac:dyDescent="0.4">
      <c r="A40" s="69">
        <v>37</v>
      </c>
      <c r="B40" s="66">
        <v>-234.4</v>
      </c>
      <c r="C40" s="66">
        <v>-6.3351351351351353</v>
      </c>
      <c r="D40" s="71">
        <v>2.0810810810810811</v>
      </c>
      <c r="E40" s="67">
        <v>0.27027027027027029</v>
      </c>
      <c r="F40" s="67">
        <v>0.35135135135135137</v>
      </c>
      <c r="G40" s="67">
        <v>0.30182926829268292</v>
      </c>
      <c r="H40" s="67">
        <v>0.18902439024390244</v>
      </c>
      <c r="I40" s="68">
        <v>6966.666666666667</v>
      </c>
      <c r="J40" s="68">
        <v>-7904.8387096774195</v>
      </c>
      <c r="K40" s="67">
        <v>0.10810810810810811</v>
      </c>
      <c r="L40" s="67">
        <v>5.4054054054054057E-2</v>
      </c>
      <c r="M40" s="67">
        <v>0.22865853658536586</v>
      </c>
      <c r="N40" s="67">
        <v>0.25</v>
      </c>
      <c r="O40" s="67">
        <v>0.61333333333333329</v>
      </c>
      <c r="P40" s="67">
        <v>0.32926829268292684</v>
      </c>
      <c r="Q40" s="67">
        <v>0.51515151515151514</v>
      </c>
    </row>
    <row r="41" spans="1:17" x14ac:dyDescent="0.4">
      <c r="A41" s="69">
        <v>38</v>
      </c>
      <c r="B41" s="66">
        <v>-211.5</v>
      </c>
      <c r="C41" s="66">
        <v>-5.5657894736842106</v>
      </c>
      <c r="D41" s="71">
        <v>2.0526315789473686</v>
      </c>
      <c r="E41" s="67">
        <v>0.28947368421052633</v>
      </c>
      <c r="F41" s="67">
        <v>0.34210526315789475</v>
      </c>
      <c r="G41" s="67">
        <v>0.30357142857142855</v>
      </c>
      <c r="H41" s="67">
        <v>0.19047619047619047</v>
      </c>
      <c r="I41" s="68">
        <v>6886.2745098039213</v>
      </c>
      <c r="J41" s="68">
        <v>-7779.6875</v>
      </c>
      <c r="K41" s="67">
        <v>0.10526315789473684</v>
      </c>
      <c r="L41" s="67">
        <v>5.2631578947368418E-2</v>
      </c>
      <c r="M41" s="67">
        <v>0.23511904761904762</v>
      </c>
      <c r="N41" s="67">
        <v>0.25</v>
      </c>
      <c r="O41" s="67">
        <v>0.60759493670886078</v>
      </c>
      <c r="P41" s="67">
        <v>0.33333333333333331</v>
      </c>
      <c r="Q41" s="67">
        <v>0.51960784313725494</v>
      </c>
    </row>
    <row r="42" spans="1:17" x14ac:dyDescent="0.4">
      <c r="A42" s="69">
        <v>39</v>
      </c>
      <c r="B42" s="66">
        <v>-223.9</v>
      </c>
      <c r="C42" s="66">
        <v>-5.7410256410256411</v>
      </c>
      <c r="D42" s="71">
        <v>2.0512820512820511</v>
      </c>
      <c r="E42" s="67">
        <v>0.28205128205128205</v>
      </c>
      <c r="F42" s="67">
        <v>0.33333333333333331</v>
      </c>
      <c r="G42" s="67">
        <v>0.30116959064327486</v>
      </c>
      <c r="H42" s="67">
        <v>0.19005847953216373</v>
      </c>
      <c r="I42" s="68">
        <v>6838.8349514563106</v>
      </c>
      <c r="J42" s="68">
        <v>-7690.7692307692305</v>
      </c>
      <c r="K42" s="67">
        <v>0.10256410256410256</v>
      </c>
      <c r="L42" s="67">
        <v>5.128205128205128E-2</v>
      </c>
      <c r="M42" s="67">
        <v>0.23391812865497075</v>
      </c>
      <c r="N42" s="67">
        <v>0.24853801169590642</v>
      </c>
      <c r="O42" s="67">
        <v>0.6</v>
      </c>
      <c r="P42" s="67">
        <v>0.3411764705882353</v>
      </c>
      <c r="Q42" s="67">
        <v>0.5145631067961165</v>
      </c>
    </row>
    <row r="43" spans="1:17" x14ac:dyDescent="0.4">
      <c r="A43" s="69">
        <v>40</v>
      </c>
      <c r="B43" s="66">
        <v>-279.89999999999998</v>
      </c>
      <c r="C43" s="66">
        <v>-6.9974999999999996</v>
      </c>
      <c r="D43" s="71">
        <v>2.0750000000000002</v>
      </c>
      <c r="E43" s="67">
        <v>0.27500000000000002</v>
      </c>
      <c r="F43" s="67">
        <v>0.35</v>
      </c>
      <c r="G43" s="67">
        <v>0.29682997118155618</v>
      </c>
      <c r="H43" s="67">
        <v>0.1930835734870317</v>
      </c>
      <c r="I43" s="68">
        <v>6838.8349514563106</v>
      </c>
      <c r="J43" s="68">
        <v>-7625.373134328358</v>
      </c>
      <c r="K43" s="67">
        <v>0.125</v>
      </c>
      <c r="L43" s="67">
        <v>0.05</v>
      </c>
      <c r="M43" s="67">
        <v>0.23054755043227665</v>
      </c>
      <c r="N43" s="67">
        <v>0.25360230547550433</v>
      </c>
      <c r="O43" s="67">
        <v>0.6</v>
      </c>
      <c r="P43" s="67">
        <v>0.32954545454545453</v>
      </c>
      <c r="Q43" s="67">
        <v>0.5145631067961165</v>
      </c>
    </row>
    <row r="44" spans="1:17" x14ac:dyDescent="0.4">
      <c r="A44" s="69">
        <v>41</v>
      </c>
      <c r="B44" s="66">
        <v>-303.59999999999997</v>
      </c>
      <c r="C44" s="66">
        <v>-7.4048780487804873</v>
      </c>
      <c r="D44" s="71">
        <v>2.0975609756097562</v>
      </c>
      <c r="E44" s="67">
        <v>0.26829268292682928</v>
      </c>
      <c r="F44" s="67">
        <v>0.36585365853658536</v>
      </c>
      <c r="G44" s="67">
        <v>0.29295774647887324</v>
      </c>
      <c r="H44" s="67">
        <v>0.19154929577464788</v>
      </c>
      <c r="I44" s="68">
        <v>7119.2307692307695</v>
      </c>
      <c r="J44" s="68">
        <v>-7689.7058823529414</v>
      </c>
      <c r="K44" s="67">
        <v>0.12195121951219512</v>
      </c>
      <c r="L44" s="67">
        <v>4.878048780487805E-2</v>
      </c>
      <c r="M44" s="67">
        <v>0.23098591549295774</v>
      </c>
      <c r="N44" s="67">
        <v>0.25352112676056338</v>
      </c>
      <c r="O44" s="67">
        <v>0.59756097560975607</v>
      </c>
      <c r="P44" s="67">
        <v>0.32222222222222224</v>
      </c>
      <c r="Q44" s="67">
        <v>0.51923076923076927</v>
      </c>
    </row>
    <row r="45" spans="1:17" x14ac:dyDescent="0.4">
      <c r="A45" s="69">
        <v>42</v>
      </c>
      <c r="B45" s="66">
        <v>-338.7</v>
      </c>
      <c r="C45" s="66">
        <v>-8.0642857142857132</v>
      </c>
      <c r="D45" s="71">
        <v>2.1190476190476191</v>
      </c>
      <c r="E45" s="67">
        <v>0.26190476190476192</v>
      </c>
      <c r="F45" s="67">
        <v>0.38095238095238093</v>
      </c>
      <c r="G45" s="67">
        <v>0.29201101928374656</v>
      </c>
      <c r="H45" s="67">
        <v>0.1928374655647383</v>
      </c>
      <c r="I45" s="68">
        <v>7135.8490566037735</v>
      </c>
      <c r="J45" s="68">
        <v>-7807.1428571428569</v>
      </c>
      <c r="K45" s="67">
        <v>0.11904761904761904</v>
      </c>
      <c r="L45" s="67">
        <v>4.7619047619047616E-2</v>
      </c>
      <c r="M45" s="67">
        <v>0.22865013774104684</v>
      </c>
      <c r="N45" s="67">
        <v>0.25344352617079891</v>
      </c>
      <c r="O45" s="67">
        <v>0.59036144578313254</v>
      </c>
      <c r="P45" s="67">
        <v>0.32608695652173914</v>
      </c>
      <c r="Q45" s="67">
        <v>0.51886792452830188</v>
      </c>
    </row>
    <row r="46" spans="1:17" x14ac:dyDescent="0.4">
      <c r="A46" s="69">
        <v>43</v>
      </c>
      <c r="B46" s="66">
        <v>-289.7</v>
      </c>
      <c r="C46" s="66">
        <v>-6.7372093023255815</v>
      </c>
      <c r="D46" s="71">
        <v>2.0930232558139537</v>
      </c>
      <c r="E46" s="67">
        <v>0.27906976744186046</v>
      </c>
      <c r="F46" s="67">
        <v>0.37209302325581395</v>
      </c>
      <c r="G46" s="67">
        <v>0.29599999999999999</v>
      </c>
      <c r="H46" s="67">
        <v>0.18666666666666668</v>
      </c>
      <c r="I46" s="68">
        <v>6976.5765765765764</v>
      </c>
      <c r="J46" s="68">
        <v>-7807.1428571428569</v>
      </c>
      <c r="K46" s="67">
        <v>0.11627906976744186</v>
      </c>
      <c r="L46" s="67">
        <v>6.9767441860465115E-2</v>
      </c>
      <c r="M46" s="67">
        <v>0.22933333333333333</v>
      </c>
      <c r="N46" s="67">
        <v>0.26133333333333331</v>
      </c>
      <c r="O46" s="67">
        <v>0.59302325581395354</v>
      </c>
      <c r="P46" s="67">
        <v>0.33673469387755101</v>
      </c>
      <c r="Q46" s="67">
        <v>0.50450450450450446</v>
      </c>
    </row>
    <row r="47" spans="1:17" x14ac:dyDescent="0.4">
      <c r="A47" s="69">
        <v>44</v>
      </c>
      <c r="B47" s="66">
        <v>-262.59999999999997</v>
      </c>
      <c r="C47" s="66">
        <v>-5.9681818181818178</v>
      </c>
      <c r="D47" s="71">
        <v>2.0681818181818183</v>
      </c>
      <c r="E47" s="67">
        <v>0.29545454545454547</v>
      </c>
      <c r="F47" s="67">
        <v>0.36363636363636365</v>
      </c>
      <c r="G47" s="67">
        <v>0.29842931937172773</v>
      </c>
      <c r="H47" s="67">
        <v>0.18586387434554974</v>
      </c>
      <c r="I47" s="68">
        <v>6998.2456140350878</v>
      </c>
      <c r="J47" s="68">
        <v>-7866.1971830985913</v>
      </c>
      <c r="K47" s="67">
        <v>0.11363636363636363</v>
      </c>
      <c r="L47" s="67">
        <v>6.8181818181818177E-2</v>
      </c>
      <c r="M47" s="67">
        <v>0.23036649214659685</v>
      </c>
      <c r="N47" s="67">
        <v>0.25654450261780104</v>
      </c>
      <c r="O47" s="67">
        <v>0.59090909090909094</v>
      </c>
      <c r="P47" s="67">
        <v>0.33673469387755101</v>
      </c>
      <c r="Q47" s="67">
        <v>0.50877192982456143</v>
      </c>
    </row>
    <row r="48" spans="1:17" x14ac:dyDescent="0.4">
      <c r="A48" s="69">
        <v>45</v>
      </c>
      <c r="B48" s="66">
        <v>-295.39999999999998</v>
      </c>
      <c r="C48" s="66">
        <v>-6.5644444444444439</v>
      </c>
      <c r="D48" s="71">
        <v>2.088888888888889</v>
      </c>
      <c r="E48" s="67">
        <v>0.28888888888888886</v>
      </c>
      <c r="F48" s="67">
        <v>0.37777777777777777</v>
      </c>
      <c r="G48" s="67">
        <v>0.29820051413881749</v>
      </c>
      <c r="H48" s="67">
        <v>0.18766066838046272</v>
      </c>
      <c r="I48" s="68">
        <v>6945.6896551724139</v>
      </c>
      <c r="J48" s="68">
        <v>-7787.6712328767126</v>
      </c>
      <c r="K48" s="67">
        <v>0.1111111111111111</v>
      </c>
      <c r="L48" s="67">
        <v>6.6666666666666666E-2</v>
      </c>
      <c r="M48" s="67">
        <v>0.22879177377892032</v>
      </c>
      <c r="N48" s="67">
        <v>0.25449871465295631</v>
      </c>
      <c r="O48" s="67">
        <v>0.5842696629213483</v>
      </c>
      <c r="P48" s="67">
        <v>0.33333333333333331</v>
      </c>
      <c r="Q48" s="67">
        <v>0.50862068965517238</v>
      </c>
    </row>
    <row r="49" spans="1:17" x14ac:dyDescent="0.4">
      <c r="A49" s="69">
        <v>46</v>
      </c>
      <c r="B49" s="66">
        <v>-377.4</v>
      </c>
      <c r="C49" s="66">
        <v>-8.2043478260869556</v>
      </c>
      <c r="D49" s="71">
        <v>2.1086956521739131</v>
      </c>
      <c r="E49" s="67">
        <v>0.28260869565217389</v>
      </c>
      <c r="F49" s="67">
        <v>0.39130434782608697</v>
      </c>
      <c r="G49" s="67">
        <v>0.29367088607594938</v>
      </c>
      <c r="H49" s="67">
        <v>0.189873417721519</v>
      </c>
      <c r="I49" s="68">
        <v>6945.6896551724139</v>
      </c>
      <c r="J49" s="68">
        <v>-8300</v>
      </c>
      <c r="K49" s="67">
        <v>0.13043478260869565</v>
      </c>
      <c r="L49" s="67">
        <v>6.5217391304347824E-2</v>
      </c>
      <c r="M49" s="67">
        <v>0.22531645569620254</v>
      </c>
      <c r="N49" s="67">
        <v>0.25569620253164554</v>
      </c>
      <c r="O49" s="67">
        <v>0.5842696629213483</v>
      </c>
      <c r="P49" s="67">
        <v>0.32673267326732675</v>
      </c>
      <c r="Q49" s="67">
        <v>0.50862068965517238</v>
      </c>
    </row>
    <row r="50" spans="1:17" x14ac:dyDescent="0.4">
      <c r="A50" s="69">
        <v>47</v>
      </c>
      <c r="B50" s="66">
        <v>-439.7</v>
      </c>
      <c r="C50" s="66">
        <v>-9.3553191489361698</v>
      </c>
      <c r="D50" s="71">
        <v>2.1276595744680851</v>
      </c>
      <c r="E50" s="67">
        <v>0.27659574468085107</v>
      </c>
      <c r="F50" s="67">
        <v>0.40425531914893614</v>
      </c>
      <c r="G50" s="67">
        <v>0.28888888888888886</v>
      </c>
      <c r="H50" s="67">
        <v>0.19012345679012346</v>
      </c>
      <c r="I50" s="68">
        <v>6904.2735042735039</v>
      </c>
      <c r="J50" s="68">
        <v>-8290.9090909090901</v>
      </c>
      <c r="K50" s="67">
        <v>0.14893617021276595</v>
      </c>
      <c r="L50" s="67">
        <v>6.3829787234042548E-2</v>
      </c>
      <c r="M50" s="67">
        <v>0.21975308641975308</v>
      </c>
      <c r="N50" s="67">
        <v>0.25185185185185183</v>
      </c>
      <c r="O50" s="67">
        <v>0.5842696629213483</v>
      </c>
      <c r="P50" s="67">
        <v>0.3235294117647059</v>
      </c>
      <c r="Q50" s="67">
        <v>0.51282051282051277</v>
      </c>
    </row>
    <row r="51" spans="1:17" x14ac:dyDescent="0.4">
      <c r="A51" s="69">
        <v>48</v>
      </c>
      <c r="B51" s="66">
        <v>-387.7</v>
      </c>
      <c r="C51" s="66">
        <v>-8.0770833333333325</v>
      </c>
      <c r="D51" s="71">
        <v>2.1041666666666665</v>
      </c>
      <c r="E51" s="67">
        <v>0.29166666666666669</v>
      </c>
      <c r="F51" s="67">
        <v>0.39583333333333331</v>
      </c>
      <c r="G51" s="67">
        <v>0.29397590361445786</v>
      </c>
      <c r="H51" s="67">
        <v>0.1855421686746988</v>
      </c>
      <c r="I51" s="68">
        <v>6954.0983606557375</v>
      </c>
      <c r="J51" s="68">
        <v>-8290.9090909090901</v>
      </c>
      <c r="K51" s="67">
        <v>0.14583333333333334</v>
      </c>
      <c r="L51" s="67">
        <v>6.25E-2</v>
      </c>
      <c r="M51" s="67">
        <v>0.22168674698795179</v>
      </c>
      <c r="N51" s="67">
        <v>0.25301204819277107</v>
      </c>
      <c r="O51" s="67">
        <v>0.59782608695652173</v>
      </c>
      <c r="P51" s="67">
        <v>0.33333333333333331</v>
      </c>
      <c r="Q51" s="67">
        <v>0.50819672131147542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CCEF1-21A6-400A-A518-6F7443C12492}">
  <sheetPr codeName="Sheet16"/>
  <dimension ref="A1:Q9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  <row r="26" spans="1:17" x14ac:dyDescent="0.4">
      <c r="A26" s="69">
        <v>23</v>
      </c>
      <c r="B26" s="66">
        <v>-5.3999999999999986</v>
      </c>
      <c r="C26" s="66">
        <v>-0.23478260869565212</v>
      </c>
      <c r="D26" s="71">
        <v>2.0434782608695654</v>
      </c>
      <c r="E26" s="67">
        <v>0.30434782608695654</v>
      </c>
      <c r="F26" s="67">
        <v>0.34782608695652173</v>
      </c>
      <c r="G26" s="67">
        <v>0.33333333333333331</v>
      </c>
      <c r="H26" s="67">
        <v>0.14285714285714285</v>
      </c>
      <c r="I26" s="68">
        <v>6749.2063492063489</v>
      </c>
      <c r="J26" s="68">
        <v>-8785.1851851851843</v>
      </c>
      <c r="K26" s="67">
        <v>8.6956521739130432E-2</v>
      </c>
      <c r="L26" s="67">
        <v>8.6956521739130432E-2</v>
      </c>
      <c r="M26" s="67">
        <v>0.2275132275132275</v>
      </c>
      <c r="N26" s="67">
        <v>0.3439153439153439</v>
      </c>
      <c r="O26" s="67">
        <v>0.58139534883720934</v>
      </c>
      <c r="P26" s="67">
        <v>0.41538461538461541</v>
      </c>
      <c r="Q26" s="67">
        <v>0.41269841269841268</v>
      </c>
    </row>
    <row r="27" spans="1:17" x14ac:dyDescent="0.4">
      <c r="A27" s="69">
        <v>24</v>
      </c>
      <c r="B27" s="66">
        <v>68.900000000000006</v>
      </c>
      <c r="C27" s="66">
        <v>2.8708333333333336</v>
      </c>
      <c r="D27" s="71">
        <v>2</v>
      </c>
      <c r="E27" s="67">
        <v>0.33333333333333331</v>
      </c>
      <c r="F27" s="67">
        <v>0.33333333333333331</v>
      </c>
      <c r="G27" s="67">
        <v>0.34358974358974359</v>
      </c>
      <c r="H27" s="67">
        <v>0.13846153846153847</v>
      </c>
      <c r="I27" s="68">
        <v>7256.7164179104475</v>
      </c>
      <c r="J27" s="68">
        <v>-8785.1851851851843</v>
      </c>
      <c r="K27" s="67">
        <v>8.3333333333333329E-2</v>
      </c>
      <c r="L27" s="67">
        <v>0.125</v>
      </c>
      <c r="M27" s="67">
        <v>0.23589743589743589</v>
      </c>
      <c r="N27" s="67">
        <v>0.33846153846153848</v>
      </c>
      <c r="O27" s="67">
        <v>0.58695652173913049</v>
      </c>
      <c r="P27" s="67">
        <v>0.42424242424242425</v>
      </c>
      <c r="Q27" s="67">
        <v>0.40298507462686567</v>
      </c>
    </row>
    <row r="28" spans="1:17" x14ac:dyDescent="0.4">
      <c r="A28" s="69">
        <v>25</v>
      </c>
      <c r="B28" s="66">
        <v>30.400000000000006</v>
      </c>
      <c r="C28" s="66">
        <v>1.2160000000000002</v>
      </c>
      <c r="D28" s="71">
        <v>2.04</v>
      </c>
      <c r="E28" s="67">
        <v>0.32</v>
      </c>
      <c r="F28" s="67">
        <v>0.36</v>
      </c>
      <c r="G28" s="67">
        <v>0.3446601941747573</v>
      </c>
      <c r="H28" s="67">
        <v>0.14563106796116504</v>
      </c>
      <c r="I28" s="68">
        <v>7145.070422535211</v>
      </c>
      <c r="J28" s="68">
        <v>-8900</v>
      </c>
      <c r="K28" s="67">
        <v>0.08</v>
      </c>
      <c r="L28" s="67">
        <v>0.12</v>
      </c>
      <c r="M28" s="67">
        <v>0.23300970873786409</v>
      </c>
      <c r="N28" s="67">
        <v>0.3300970873786408</v>
      </c>
      <c r="O28" s="67">
        <v>0.58333333333333337</v>
      </c>
      <c r="P28" s="67">
        <v>0.41176470588235292</v>
      </c>
      <c r="Q28" s="67">
        <v>0.40845070422535212</v>
      </c>
    </row>
    <row r="29" spans="1:17" x14ac:dyDescent="0.4">
      <c r="A29" s="69">
        <v>26</v>
      </c>
      <c r="B29" s="66">
        <v>32.900000000000006</v>
      </c>
      <c r="C29" s="66">
        <v>1.2653846153846156</v>
      </c>
      <c r="D29" s="71">
        <v>2.0384615384615383</v>
      </c>
      <c r="E29" s="67">
        <v>0.30769230769230771</v>
      </c>
      <c r="F29" s="67">
        <v>0.34615384615384615</v>
      </c>
      <c r="G29" s="67">
        <v>0.34579439252336447</v>
      </c>
      <c r="H29" s="67">
        <v>0.14018691588785046</v>
      </c>
      <c r="I29" s="68">
        <v>6987.8378378378375</v>
      </c>
      <c r="J29" s="68">
        <v>-8900</v>
      </c>
      <c r="K29" s="67">
        <v>7.6923076923076927E-2</v>
      </c>
      <c r="L29" s="67">
        <v>0.11538461538461539</v>
      </c>
      <c r="M29" s="67">
        <v>0.23364485981308411</v>
      </c>
      <c r="N29" s="67">
        <v>0.32710280373831774</v>
      </c>
      <c r="O29" s="67">
        <v>0.57999999999999996</v>
      </c>
      <c r="P29" s="67">
        <v>0.41428571428571431</v>
      </c>
      <c r="Q29" s="67">
        <v>0.41891891891891891</v>
      </c>
    </row>
    <row r="30" spans="1:17" x14ac:dyDescent="0.4">
      <c r="A30" s="69">
        <v>27</v>
      </c>
      <c r="B30" s="66">
        <v>40.400000000000006</v>
      </c>
      <c r="C30" s="66">
        <v>1.4962962962962965</v>
      </c>
      <c r="D30" s="71">
        <v>2.0370370370370372</v>
      </c>
      <c r="E30" s="67">
        <v>0.29629629629629628</v>
      </c>
      <c r="F30" s="67">
        <v>0.33333333333333331</v>
      </c>
      <c r="G30" s="67">
        <v>0.34080717488789236</v>
      </c>
      <c r="H30" s="67">
        <v>0.13452914798206278</v>
      </c>
      <c r="I30" s="68">
        <v>7038.1578947368425</v>
      </c>
      <c r="J30" s="68">
        <v>-8900</v>
      </c>
      <c r="K30" s="67">
        <v>7.407407407407407E-2</v>
      </c>
      <c r="L30" s="67">
        <v>0.1111111111111111</v>
      </c>
      <c r="M30" s="67">
        <v>0.22421524663677131</v>
      </c>
      <c r="N30" s="67">
        <v>0.3452914798206278</v>
      </c>
      <c r="O30" s="67">
        <v>0.57999999999999996</v>
      </c>
      <c r="P30" s="67">
        <v>0.40259740259740262</v>
      </c>
      <c r="Q30" s="67">
        <v>0.42105263157894735</v>
      </c>
    </row>
    <row r="31" spans="1:17" x14ac:dyDescent="0.4">
      <c r="A31" s="69">
        <v>28</v>
      </c>
      <c r="B31" s="66">
        <v>8.3000000000000043</v>
      </c>
      <c r="C31" s="66">
        <v>0.2964285714285716</v>
      </c>
      <c r="D31" s="71">
        <v>2.0714285714285716</v>
      </c>
      <c r="E31" s="67">
        <v>0.2857142857142857</v>
      </c>
      <c r="F31" s="67">
        <v>0.35714285714285715</v>
      </c>
      <c r="G31" s="67">
        <v>0.34334763948497854</v>
      </c>
      <c r="H31" s="67">
        <v>0.14592274678111589</v>
      </c>
      <c r="I31" s="68">
        <v>6993.75</v>
      </c>
      <c r="J31" s="68">
        <v>-8932.3529411764703</v>
      </c>
      <c r="K31" s="67">
        <v>7.1428571428571425E-2</v>
      </c>
      <c r="L31" s="67">
        <v>0.10714285714285714</v>
      </c>
      <c r="M31" s="67">
        <v>0.22317596566523606</v>
      </c>
      <c r="N31" s="67">
        <v>0.33476394849785407</v>
      </c>
      <c r="O31" s="67">
        <v>0.57692307692307687</v>
      </c>
      <c r="P31" s="67">
        <v>0.39743589743589741</v>
      </c>
      <c r="Q31" s="67">
        <v>0.41249999999999998</v>
      </c>
    </row>
    <row r="32" spans="1:17" x14ac:dyDescent="0.4">
      <c r="A32" s="69">
        <v>29</v>
      </c>
      <c r="B32" s="66">
        <v>90.800000000000011</v>
      </c>
      <c r="C32" s="66">
        <v>3.1310344827586212</v>
      </c>
      <c r="D32" s="71">
        <v>2.0344827586206895</v>
      </c>
      <c r="E32" s="67">
        <v>0.31034482758620691</v>
      </c>
      <c r="F32" s="67">
        <v>0.34482758620689657</v>
      </c>
      <c r="G32" s="67">
        <v>0.35390946502057613</v>
      </c>
      <c r="H32" s="67">
        <v>0.1440329218106996</v>
      </c>
      <c r="I32" s="68">
        <v>7065.1162790697672</v>
      </c>
      <c r="J32" s="68">
        <v>-8751.4285714285706</v>
      </c>
      <c r="K32" s="67">
        <v>6.8965517241379309E-2</v>
      </c>
      <c r="L32" s="67">
        <v>0.13793103448275862</v>
      </c>
      <c r="M32" s="67">
        <v>0.22633744855967078</v>
      </c>
      <c r="N32" s="67">
        <v>0.34156378600823045</v>
      </c>
      <c r="O32" s="67">
        <v>0.58181818181818179</v>
      </c>
      <c r="P32" s="67">
        <v>0.40963855421686746</v>
      </c>
      <c r="Q32" s="67">
        <v>0.40697674418604651</v>
      </c>
    </row>
    <row r="33" spans="1:17" x14ac:dyDescent="0.4">
      <c r="A33" s="69">
        <v>30</v>
      </c>
      <c r="B33" s="66">
        <v>63.300000000000011</v>
      </c>
      <c r="C33" s="66">
        <v>2.1100000000000003</v>
      </c>
      <c r="D33" s="71">
        <v>2.0666666666666669</v>
      </c>
      <c r="E33" s="67">
        <v>0.3</v>
      </c>
      <c r="F33" s="67">
        <v>0.36666666666666664</v>
      </c>
      <c r="G33" s="67">
        <v>0.34901960784313724</v>
      </c>
      <c r="H33" s="67">
        <v>0.14509803921568629</v>
      </c>
      <c r="I33" s="68">
        <v>7180.8988764044943</v>
      </c>
      <c r="J33" s="68">
        <v>-8851.3513513513517</v>
      </c>
      <c r="K33" s="67">
        <v>6.6666666666666666E-2</v>
      </c>
      <c r="L33" s="67">
        <v>0.13333333333333333</v>
      </c>
      <c r="M33" s="67">
        <v>0.21568627450980393</v>
      </c>
      <c r="N33" s="67">
        <v>0.34509803921568627</v>
      </c>
      <c r="O33" s="67">
        <v>0.58181818181818179</v>
      </c>
      <c r="P33" s="67">
        <v>0.42045454545454547</v>
      </c>
      <c r="Q33" s="67">
        <v>0.4044943820224719</v>
      </c>
    </row>
    <row r="34" spans="1:17" x14ac:dyDescent="0.4">
      <c r="A34" s="69">
        <v>31</v>
      </c>
      <c r="B34" s="66">
        <v>114.4</v>
      </c>
      <c r="C34" s="66">
        <v>3.6903225806451614</v>
      </c>
      <c r="D34" s="71">
        <v>2.032258064516129</v>
      </c>
      <c r="E34" s="67">
        <v>0.32258064516129031</v>
      </c>
      <c r="F34" s="67">
        <v>0.35483870967741937</v>
      </c>
      <c r="G34" s="67">
        <v>0.35114503816793891</v>
      </c>
      <c r="H34" s="67">
        <v>0.14503816793893129</v>
      </c>
      <c r="I34" s="68">
        <v>7370.652173913043</v>
      </c>
      <c r="J34" s="68">
        <v>-8686.8421052631584</v>
      </c>
      <c r="K34" s="67">
        <v>6.4516129032258063E-2</v>
      </c>
      <c r="L34" s="67">
        <v>0.16129032258064516</v>
      </c>
      <c r="M34" s="67">
        <v>0.22137404580152673</v>
      </c>
      <c r="N34" s="67">
        <v>0.33969465648854963</v>
      </c>
      <c r="O34" s="67">
        <v>0.58620689655172409</v>
      </c>
      <c r="P34" s="67">
        <v>0.4157303370786517</v>
      </c>
      <c r="Q34" s="67">
        <v>0.41304347826086957</v>
      </c>
    </row>
    <row r="35" spans="1:17" x14ac:dyDescent="0.4">
      <c r="A35" s="69">
        <v>32</v>
      </c>
      <c r="B35" s="66">
        <v>76.900000000000006</v>
      </c>
      <c r="C35" s="66">
        <v>2.4031250000000002</v>
      </c>
      <c r="D35" s="71">
        <v>2.0625</v>
      </c>
      <c r="E35" s="67">
        <v>0.3125</v>
      </c>
      <c r="F35" s="67">
        <v>0.375</v>
      </c>
      <c r="G35" s="67">
        <v>0.35164835164835168</v>
      </c>
      <c r="H35" s="67">
        <v>0.14285714285714285</v>
      </c>
      <c r="I35" s="68">
        <v>7340.625</v>
      </c>
      <c r="J35" s="68">
        <v>-8612.8205128205136</v>
      </c>
      <c r="K35" s="67">
        <v>6.25E-2</v>
      </c>
      <c r="L35" s="67">
        <v>0.15625</v>
      </c>
      <c r="M35" s="67">
        <v>0.21978021978021978</v>
      </c>
      <c r="N35" s="67">
        <v>0.32600732600732601</v>
      </c>
      <c r="O35" s="67">
        <v>0.58333333333333337</v>
      </c>
      <c r="P35" s="67">
        <v>0.4157303370786517</v>
      </c>
      <c r="Q35" s="67">
        <v>0.40625</v>
      </c>
    </row>
    <row r="36" spans="1:17" x14ac:dyDescent="0.4">
      <c r="A36" s="69">
        <v>33</v>
      </c>
      <c r="B36" s="66">
        <v>42.500000000000007</v>
      </c>
      <c r="C36" s="66">
        <v>1.2878787878787881</v>
      </c>
      <c r="D36" s="71">
        <v>2.0909090909090908</v>
      </c>
      <c r="E36" s="67">
        <v>0.30303030303030304</v>
      </c>
      <c r="F36" s="67">
        <v>0.39393939393939392</v>
      </c>
      <c r="G36" s="67">
        <v>0.3475177304964539</v>
      </c>
      <c r="H36" s="67">
        <v>0.14184397163120568</v>
      </c>
      <c r="I36" s="68">
        <v>7260.2040816326535</v>
      </c>
      <c r="J36" s="68">
        <v>-8495</v>
      </c>
      <c r="K36" s="67">
        <v>6.0606060606060608E-2</v>
      </c>
      <c r="L36" s="67">
        <v>0.15151515151515152</v>
      </c>
      <c r="M36" s="67">
        <v>0.22695035460992907</v>
      </c>
      <c r="N36" s="67">
        <v>0.31914893617021278</v>
      </c>
      <c r="O36" s="67">
        <v>0.578125</v>
      </c>
      <c r="P36" s="67">
        <v>0.41111111111111109</v>
      </c>
      <c r="Q36" s="67">
        <v>0.41836734693877553</v>
      </c>
    </row>
    <row r="37" spans="1:17" x14ac:dyDescent="0.4">
      <c r="A37" s="69">
        <v>34</v>
      </c>
      <c r="B37" s="66">
        <v>9.8000000000000043</v>
      </c>
      <c r="C37" s="66">
        <v>0.2882352941176472</v>
      </c>
      <c r="D37" s="71">
        <v>2.1176470588235294</v>
      </c>
      <c r="E37" s="67">
        <v>0.29411764705882354</v>
      </c>
      <c r="F37" s="67">
        <v>0.41176470588235292</v>
      </c>
      <c r="G37" s="67">
        <v>0.34602076124567471</v>
      </c>
      <c r="H37" s="67">
        <v>0.14878892733564014</v>
      </c>
      <c r="I37" s="68">
        <v>7256</v>
      </c>
      <c r="J37" s="68">
        <v>-8306.9767441860458</v>
      </c>
      <c r="K37" s="67">
        <v>5.8823529411764705E-2</v>
      </c>
      <c r="L37" s="67">
        <v>0.14705882352941177</v>
      </c>
      <c r="M37" s="67">
        <v>0.23183391003460208</v>
      </c>
      <c r="N37" s="67">
        <v>0.31833910034602075</v>
      </c>
      <c r="O37" s="67">
        <v>0.56716417910447758</v>
      </c>
      <c r="P37" s="67">
        <v>0.41304347826086957</v>
      </c>
      <c r="Q37" s="67">
        <v>0.43</v>
      </c>
    </row>
    <row r="38" spans="1:17" x14ac:dyDescent="0.4">
      <c r="A38" s="69">
        <v>35</v>
      </c>
      <c r="B38" s="66">
        <v>-8.2999999999999972</v>
      </c>
      <c r="C38" s="66">
        <v>-0.23714285714285707</v>
      </c>
      <c r="D38" s="71">
        <v>2.1142857142857143</v>
      </c>
      <c r="E38" s="67">
        <v>0.2857142857142857</v>
      </c>
      <c r="F38" s="67">
        <v>0.4</v>
      </c>
      <c r="G38" s="67">
        <v>0.35016835016835018</v>
      </c>
      <c r="H38" s="67">
        <v>0.14814814814814814</v>
      </c>
      <c r="I38" s="68">
        <v>7118.2692307692305</v>
      </c>
      <c r="J38" s="68">
        <v>-8481.818181818182</v>
      </c>
      <c r="K38" s="67">
        <v>5.7142857142857141E-2</v>
      </c>
      <c r="L38" s="67">
        <v>0.14285714285714285</v>
      </c>
      <c r="M38" s="67">
        <v>0.22895622895622897</v>
      </c>
      <c r="N38" s="67">
        <v>0.3164983164983165</v>
      </c>
      <c r="O38" s="67">
        <v>0.55882352941176472</v>
      </c>
      <c r="P38" s="67">
        <v>0.42553191489361702</v>
      </c>
      <c r="Q38" s="67">
        <v>0.44230769230769229</v>
      </c>
    </row>
    <row r="39" spans="1:17" x14ac:dyDescent="0.4">
      <c r="A39" s="69">
        <v>36</v>
      </c>
      <c r="B39" s="66">
        <v>-9.6999999999999975</v>
      </c>
      <c r="C39" s="66">
        <v>-0.26944444444444438</v>
      </c>
      <c r="D39" s="71">
        <v>2.1111111111111112</v>
      </c>
      <c r="E39" s="67">
        <v>0.27777777777777779</v>
      </c>
      <c r="F39" s="67">
        <v>0.3888888888888889</v>
      </c>
      <c r="G39" s="67">
        <v>0.35197368421052633</v>
      </c>
      <c r="H39" s="67">
        <v>0.14473684210526316</v>
      </c>
      <c r="I39" s="68">
        <v>7055.1401869158881</v>
      </c>
      <c r="J39" s="68">
        <v>-8481.818181818182</v>
      </c>
      <c r="K39" s="67">
        <v>5.5555555555555552E-2</v>
      </c>
      <c r="L39" s="67">
        <v>0.1388888888888889</v>
      </c>
      <c r="M39" s="67">
        <v>0.23026315789473684</v>
      </c>
      <c r="N39" s="67">
        <v>0.3125</v>
      </c>
      <c r="O39" s="67">
        <v>0.5714285714285714</v>
      </c>
      <c r="P39" s="67">
        <v>0.42105263157894735</v>
      </c>
      <c r="Q39" s="67">
        <v>0.43925233644859812</v>
      </c>
    </row>
    <row r="40" spans="1:17" x14ac:dyDescent="0.4">
      <c r="A40" s="69">
        <v>37</v>
      </c>
      <c r="B40" s="66">
        <v>30.000000000000007</v>
      </c>
      <c r="C40" s="66">
        <v>0.81081081081081097</v>
      </c>
      <c r="D40" s="71">
        <v>2.0810810810810811</v>
      </c>
      <c r="E40" s="67">
        <v>0.29729729729729731</v>
      </c>
      <c r="F40" s="67">
        <v>0.3783783783783784</v>
      </c>
      <c r="G40" s="67">
        <v>0.35576923076923078</v>
      </c>
      <c r="H40" s="67">
        <v>0.14102564102564102</v>
      </c>
      <c r="I40" s="68">
        <v>7009.9099099099103</v>
      </c>
      <c r="J40" s="68">
        <v>-8481.818181818182</v>
      </c>
      <c r="K40" s="67">
        <v>5.4054054054054057E-2</v>
      </c>
      <c r="L40" s="67">
        <v>0.13513513513513514</v>
      </c>
      <c r="M40" s="67">
        <v>0.23076923076923078</v>
      </c>
      <c r="N40" s="67">
        <v>0.30448717948717946</v>
      </c>
      <c r="O40" s="67">
        <v>0.58333333333333337</v>
      </c>
      <c r="P40" s="67">
        <v>0.42105263157894735</v>
      </c>
      <c r="Q40" s="67">
        <v>0.42342342342342343</v>
      </c>
    </row>
    <row r="41" spans="1:17" x14ac:dyDescent="0.4">
      <c r="A41" s="69">
        <v>38</v>
      </c>
      <c r="B41" s="66">
        <v>32.100000000000009</v>
      </c>
      <c r="C41" s="66">
        <v>0.84473684210526334</v>
      </c>
      <c r="D41" s="71">
        <v>2.0789473684210527</v>
      </c>
      <c r="E41" s="67">
        <v>0.28947368421052633</v>
      </c>
      <c r="F41" s="67">
        <v>0.36842105263157893</v>
      </c>
      <c r="G41" s="67">
        <v>0.3611111111111111</v>
      </c>
      <c r="H41" s="67">
        <v>0.14506172839506173</v>
      </c>
      <c r="I41" s="68">
        <v>6950.4273504273506</v>
      </c>
      <c r="J41" s="68">
        <v>-8706.3829787234044</v>
      </c>
      <c r="K41" s="67">
        <v>5.2631578947368418E-2</v>
      </c>
      <c r="L41" s="67">
        <v>0.13157894736842105</v>
      </c>
      <c r="M41" s="67">
        <v>0.23148148148148148</v>
      </c>
      <c r="N41" s="67">
        <v>0.30246913580246915</v>
      </c>
      <c r="O41" s="67">
        <v>0.58666666666666667</v>
      </c>
      <c r="P41" s="67">
        <v>0.41836734693877553</v>
      </c>
      <c r="Q41" s="67">
        <v>0.42735042735042733</v>
      </c>
    </row>
    <row r="42" spans="1:17" x14ac:dyDescent="0.4">
      <c r="A42" s="69">
        <v>39</v>
      </c>
      <c r="B42" s="66">
        <v>62.800000000000011</v>
      </c>
      <c r="C42" s="66">
        <v>1.6102564102564105</v>
      </c>
      <c r="D42" s="71">
        <v>2.0512820512820511</v>
      </c>
      <c r="E42" s="67">
        <v>0.30769230769230771</v>
      </c>
      <c r="F42" s="67">
        <v>0.35897435897435898</v>
      </c>
      <c r="G42" s="67">
        <v>0.36445783132530118</v>
      </c>
      <c r="H42" s="67">
        <v>0.14156626506024098</v>
      </c>
      <c r="I42" s="68">
        <v>6833.0578512396696</v>
      </c>
      <c r="J42" s="68">
        <v>-8706.3829787234044</v>
      </c>
      <c r="K42" s="67">
        <v>5.128205128205128E-2</v>
      </c>
      <c r="L42" s="67">
        <v>0.12820512820512819</v>
      </c>
      <c r="M42" s="67">
        <v>0.2289156626506024</v>
      </c>
      <c r="N42" s="67">
        <v>0.30120481927710846</v>
      </c>
      <c r="O42" s="67">
        <v>0.59210526315789469</v>
      </c>
      <c r="P42" s="67">
        <v>0.42</v>
      </c>
      <c r="Q42" s="67">
        <v>0.42148760330578511</v>
      </c>
    </row>
    <row r="43" spans="1:17" x14ac:dyDescent="0.4">
      <c r="A43" s="69">
        <v>40</v>
      </c>
      <c r="B43" s="66">
        <v>37.70000000000001</v>
      </c>
      <c r="C43" s="66">
        <v>0.94250000000000023</v>
      </c>
      <c r="D43" s="71">
        <v>2.0750000000000002</v>
      </c>
      <c r="E43" s="67">
        <v>0.3</v>
      </c>
      <c r="F43" s="67">
        <v>0.375</v>
      </c>
      <c r="G43" s="67">
        <v>0.36549707602339182</v>
      </c>
      <c r="H43" s="67">
        <v>0.14035087719298245</v>
      </c>
      <c r="I43" s="68">
        <v>6813.6</v>
      </c>
      <c r="J43" s="68">
        <v>-8858.3333333333339</v>
      </c>
      <c r="K43" s="67">
        <v>0.05</v>
      </c>
      <c r="L43" s="67">
        <v>0.125</v>
      </c>
      <c r="M43" s="67">
        <v>0.23391812865497075</v>
      </c>
      <c r="N43" s="67">
        <v>0.30116959064327486</v>
      </c>
      <c r="O43" s="67">
        <v>0.58750000000000002</v>
      </c>
      <c r="P43" s="67">
        <v>0.41747572815533979</v>
      </c>
      <c r="Q43" s="67">
        <v>0.41599999999999998</v>
      </c>
    </row>
    <row r="44" spans="1:17" x14ac:dyDescent="0.4">
      <c r="A44" s="69">
        <v>41</v>
      </c>
      <c r="B44" s="66">
        <v>46.900000000000006</v>
      </c>
      <c r="C44" s="66">
        <v>1.1439024390243904</v>
      </c>
      <c r="D44" s="71">
        <v>2.0731707317073171</v>
      </c>
      <c r="E44" s="67">
        <v>0.29268292682926828</v>
      </c>
      <c r="F44" s="67">
        <v>0.36585365853658536</v>
      </c>
      <c r="G44" s="67">
        <v>0.36752136752136755</v>
      </c>
      <c r="H44" s="67">
        <v>0.1396011396011396</v>
      </c>
      <c r="I44" s="68">
        <v>6808.5271317829456</v>
      </c>
      <c r="J44" s="68">
        <v>-8834.6938775510207</v>
      </c>
      <c r="K44" s="67">
        <v>4.878048780487805E-2</v>
      </c>
      <c r="L44" s="67">
        <v>0.12195121951219512</v>
      </c>
      <c r="M44" s="67">
        <v>0.23646723646723647</v>
      </c>
      <c r="N44" s="67">
        <v>0.29629629629629628</v>
      </c>
      <c r="O44" s="67">
        <v>0.60240963855421692</v>
      </c>
      <c r="P44" s="67">
        <v>0.41346153846153844</v>
      </c>
      <c r="Q44" s="67">
        <v>0.41860465116279072</v>
      </c>
    </row>
    <row r="45" spans="1:17" x14ac:dyDescent="0.4">
      <c r="A45" s="69">
        <v>42</v>
      </c>
      <c r="B45" s="66">
        <v>42.300000000000004</v>
      </c>
      <c r="C45" s="66">
        <v>1.0071428571428573</v>
      </c>
      <c r="D45" s="71">
        <v>2.0714285714285716</v>
      </c>
      <c r="E45" s="67">
        <v>0.2857142857142857</v>
      </c>
      <c r="F45" s="67">
        <v>0.35714285714285715</v>
      </c>
      <c r="G45" s="67">
        <v>0.36684782608695654</v>
      </c>
      <c r="H45" s="67">
        <v>0.1358695652173913</v>
      </c>
      <c r="I45" s="68">
        <v>6739.2592592592591</v>
      </c>
      <c r="J45" s="68">
        <v>-8898</v>
      </c>
      <c r="K45" s="67">
        <v>4.7619047619047616E-2</v>
      </c>
      <c r="L45" s="67">
        <v>0.11904761904761904</v>
      </c>
      <c r="M45" s="67">
        <v>0.23369565217391305</v>
      </c>
      <c r="N45" s="67">
        <v>0.29891304347826086</v>
      </c>
      <c r="O45" s="67">
        <v>0.59302325581395354</v>
      </c>
      <c r="P45" s="67">
        <v>0.41818181818181815</v>
      </c>
      <c r="Q45" s="67">
        <v>0.42962962962962964</v>
      </c>
    </row>
    <row r="46" spans="1:17" x14ac:dyDescent="0.4">
      <c r="A46" s="69">
        <v>43</v>
      </c>
      <c r="B46" s="66">
        <v>-32.999999999999993</v>
      </c>
      <c r="C46" s="66">
        <v>-0.76744186046511609</v>
      </c>
      <c r="D46" s="71">
        <v>2.0930232558139537</v>
      </c>
      <c r="E46" s="67">
        <v>0.27906976744186046</v>
      </c>
      <c r="F46" s="67">
        <v>0.37209302325581395</v>
      </c>
      <c r="G46" s="67">
        <v>0.36533333333333334</v>
      </c>
      <c r="H46" s="67">
        <v>0.14133333333333334</v>
      </c>
      <c r="I46" s="68">
        <v>6741.6058394160582</v>
      </c>
      <c r="J46" s="68">
        <v>-9500</v>
      </c>
      <c r="K46" s="67">
        <v>6.9767441860465115E-2</v>
      </c>
      <c r="L46" s="67">
        <v>0.11627906976744186</v>
      </c>
      <c r="M46" s="67">
        <v>0.23200000000000001</v>
      </c>
      <c r="N46" s="67">
        <v>0.29866666666666669</v>
      </c>
      <c r="O46" s="67">
        <v>0.5977011494252874</v>
      </c>
      <c r="P46" s="67">
        <v>0.4107142857142857</v>
      </c>
      <c r="Q46" s="67">
        <v>0.43795620437956206</v>
      </c>
    </row>
    <row r="47" spans="1:17" x14ac:dyDescent="0.4">
      <c r="A47" s="69">
        <v>44</v>
      </c>
      <c r="B47" s="66">
        <v>-27.999999999999993</v>
      </c>
      <c r="C47" s="66">
        <v>-0.63636363636363624</v>
      </c>
      <c r="D47" s="71">
        <v>2.0909090909090908</v>
      </c>
      <c r="E47" s="67">
        <v>0.27272727272727271</v>
      </c>
      <c r="F47" s="67">
        <v>0.36363636363636365</v>
      </c>
      <c r="G47" s="67">
        <v>0.36363636363636365</v>
      </c>
      <c r="H47" s="67">
        <v>0.13766233766233765</v>
      </c>
      <c r="I47" s="68">
        <v>6724.2857142857147</v>
      </c>
      <c r="J47" s="68">
        <v>-9500</v>
      </c>
      <c r="K47" s="67">
        <v>6.8181818181818177E-2</v>
      </c>
      <c r="L47" s="67">
        <v>0.11363636363636363</v>
      </c>
      <c r="M47" s="67">
        <v>0.23376623376623376</v>
      </c>
      <c r="N47" s="67">
        <v>0.29350649350649349</v>
      </c>
      <c r="O47" s="67">
        <v>0.6</v>
      </c>
      <c r="P47" s="67">
        <v>0.41592920353982299</v>
      </c>
      <c r="Q47" s="67">
        <v>0.43571428571428572</v>
      </c>
    </row>
    <row r="48" spans="1:17" x14ac:dyDescent="0.4">
      <c r="A48" s="69">
        <v>45</v>
      </c>
      <c r="B48" s="66">
        <v>-25.299999999999994</v>
      </c>
      <c r="C48" s="66">
        <v>-0.56222222222222207</v>
      </c>
      <c r="D48" s="71">
        <v>2.088888888888889</v>
      </c>
      <c r="E48" s="67">
        <v>0.26666666666666666</v>
      </c>
      <c r="F48" s="67">
        <v>0.35555555555555557</v>
      </c>
      <c r="G48" s="67">
        <v>0.36479591836734693</v>
      </c>
      <c r="H48" s="67">
        <v>0.13520408163265307</v>
      </c>
      <c r="I48" s="68">
        <v>6638.4615384615381</v>
      </c>
      <c r="J48" s="68">
        <v>-9500</v>
      </c>
      <c r="K48" s="67">
        <v>6.6666666666666666E-2</v>
      </c>
      <c r="L48" s="67">
        <v>0.1111111111111111</v>
      </c>
      <c r="M48" s="67">
        <v>0.22959183673469388</v>
      </c>
      <c r="N48" s="67">
        <v>0.29336734693877553</v>
      </c>
      <c r="O48" s="67">
        <v>0.6</v>
      </c>
      <c r="P48" s="67">
        <v>0.42608695652173911</v>
      </c>
      <c r="Q48" s="67">
        <v>0.43356643356643354</v>
      </c>
    </row>
    <row r="49" spans="1:17" x14ac:dyDescent="0.4">
      <c r="A49" s="69">
        <v>46</v>
      </c>
      <c r="B49" s="66">
        <v>12.900000000000009</v>
      </c>
      <c r="C49" s="66">
        <v>0.28043478260869587</v>
      </c>
      <c r="D49" s="71">
        <v>2.0652173913043477</v>
      </c>
      <c r="E49" s="67">
        <v>0.28260869565217389</v>
      </c>
      <c r="F49" s="67">
        <v>0.34782608695652173</v>
      </c>
      <c r="G49" s="67">
        <v>0.36724565756823824</v>
      </c>
      <c r="H49" s="67">
        <v>0.13399503722084366</v>
      </c>
      <c r="I49" s="68">
        <v>6645.27027027027</v>
      </c>
      <c r="J49" s="68">
        <v>-9546.2962962962956</v>
      </c>
      <c r="K49" s="67">
        <v>6.5217391304347824E-2</v>
      </c>
      <c r="L49" s="67">
        <v>0.10869565217391304</v>
      </c>
      <c r="M49" s="67">
        <v>0.22580645161290322</v>
      </c>
      <c r="N49" s="67">
        <v>0.29776674937965258</v>
      </c>
      <c r="O49" s="67">
        <v>0.60439560439560436</v>
      </c>
      <c r="P49" s="67">
        <v>0.42499999999999999</v>
      </c>
      <c r="Q49" s="67">
        <v>0.43243243243243246</v>
      </c>
    </row>
    <row r="50" spans="1:17" x14ac:dyDescent="0.4">
      <c r="A50" s="69">
        <v>47</v>
      </c>
      <c r="B50" s="66">
        <v>45.900000000000006</v>
      </c>
      <c r="C50" s="66">
        <v>0.9765957446808512</v>
      </c>
      <c r="D50" s="71">
        <v>2.0425531914893615</v>
      </c>
      <c r="E50" s="67">
        <v>0.2978723404255319</v>
      </c>
      <c r="F50" s="67">
        <v>0.34042553191489361</v>
      </c>
      <c r="G50" s="67">
        <v>0.36407766990291263</v>
      </c>
      <c r="H50" s="67">
        <v>0.13349514563106796</v>
      </c>
      <c r="I50" s="68">
        <v>6696</v>
      </c>
      <c r="J50" s="68">
        <v>-9443.636363636364</v>
      </c>
      <c r="K50" s="67">
        <v>6.3829787234042548E-2</v>
      </c>
      <c r="L50" s="67">
        <v>0.10638297872340426</v>
      </c>
      <c r="M50" s="67">
        <v>0.22330097087378642</v>
      </c>
      <c r="N50" s="67">
        <v>0.30339805825242716</v>
      </c>
      <c r="O50" s="67">
        <v>0.59782608695652173</v>
      </c>
      <c r="P50" s="67">
        <v>0.42399999999999999</v>
      </c>
      <c r="Q50" s="67">
        <v>0.42666666666666669</v>
      </c>
    </row>
    <row r="51" spans="1:17" x14ac:dyDescent="0.4">
      <c r="A51" s="69">
        <v>48</v>
      </c>
      <c r="B51" s="66">
        <v>111.4</v>
      </c>
      <c r="C51" s="66">
        <v>2.3208333333333333</v>
      </c>
      <c r="D51" s="71">
        <v>2.0208333333333335</v>
      </c>
      <c r="E51" s="67">
        <v>0.3125</v>
      </c>
      <c r="F51" s="67">
        <v>0.33333333333333331</v>
      </c>
      <c r="G51" s="67">
        <v>0.36966824644549762</v>
      </c>
      <c r="H51" s="67">
        <v>0.13033175355450238</v>
      </c>
      <c r="I51" s="68">
        <v>6666.0256410256407</v>
      </c>
      <c r="J51" s="68">
        <v>-9443.636363636364</v>
      </c>
      <c r="K51" s="67">
        <v>6.25E-2</v>
      </c>
      <c r="L51" s="67">
        <v>0.125</v>
      </c>
      <c r="M51" s="67">
        <v>0.22274881516587677</v>
      </c>
      <c r="N51" s="67">
        <v>0.30331753554502372</v>
      </c>
      <c r="O51" s="67">
        <v>0.6063829787234043</v>
      </c>
      <c r="P51" s="67">
        <v>0.4296875</v>
      </c>
      <c r="Q51" s="67">
        <v>0.42307692307692307</v>
      </c>
    </row>
    <row r="52" spans="1:17" x14ac:dyDescent="0.4">
      <c r="A52" s="69">
        <v>49</v>
      </c>
      <c r="B52" s="66">
        <v>113</v>
      </c>
      <c r="C52" s="66">
        <v>2.306122448979592</v>
      </c>
      <c r="D52" s="71">
        <v>2.0204081632653059</v>
      </c>
      <c r="E52" s="67">
        <v>0.30612244897959184</v>
      </c>
      <c r="F52" s="67">
        <v>0.32653061224489793</v>
      </c>
      <c r="G52" s="67">
        <v>0.37296037296037299</v>
      </c>
      <c r="H52" s="67">
        <v>0.13053613053613053</v>
      </c>
      <c r="I52" s="68">
        <v>6588.75</v>
      </c>
      <c r="J52" s="68">
        <v>-9412.5</v>
      </c>
      <c r="K52" s="67">
        <v>6.1224489795918366E-2</v>
      </c>
      <c r="L52" s="67">
        <v>0.12244897959183673</v>
      </c>
      <c r="M52" s="67">
        <v>0.21911421911421911</v>
      </c>
      <c r="N52" s="67">
        <v>0.30769230769230771</v>
      </c>
      <c r="O52" s="67">
        <v>0.6063829787234043</v>
      </c>
      <c r="P52" s="67">
        <v>0.43181818181818182</v>
      </c>
      <c r="Q52" s="67">
        <v>0.43125000000000002</v>
      </c>
    </row>
    <row r="53" spans="1:17" x14ac:dyDescent="0.4">
      <c r="A53" s="69">
        <v>50</v>
      </c>
      <c r="B53" s="66">
        <v>106.3</v>
      </c>
      <c r="C53" s="66">
        <v>2.1259999999999999</v>
      </c>
      <c r="D53" s="71">
        <v>2.02</v>
      </c>
      <c r="E53" s="67">
        <v>0.3</v>
      </c>
      <c r="F53" s="67">
        <v>0.32</v>
      </c>
      <c r="G53" s="67">
        <v>0.36842105263157893</v>
      </c>
      <c r="H53" s="67">
        <v>0.13043478260869565</v>
      </c>
      <c r="I53" s="68">
        <v>6597.5155279503106</v>
      </c>
      <c r="J53" s="68">
        <v>-9282.4561403508778</v>
      </c>
      <c r="K53" s="67">
        <v>0.06</v>
      </c>
      <c r="L53" s="67">
        <v>0.12</v>
      </c>
      <c r="M53" s="67">
        <v>0.2219679633867277</v>
      </c>
      <c r="N53" s="67">
        <v>0.30205949656750575</v>
      </c>
      <c r="O53" s="67">
        <v>0.58762886597938147</v>
      </c>
      <c r="P53" s="67">
        <v>0.43181818181818182</v>
      </c>
      <c r="Q53" s="67">
        <v>0.42857142857142855</v>
      </c>
    </row>
    <row r="54" spans="1:17" x14ac:dyDescent="0.4">
      <c r="A54" s="69">
        <v>51</v>
      </c>
      <c r="B54" s="66">
        <v>113.39999999999999</v>
      </c>
      <c r="C54" s="66">
        <v>2.2235294117647055</v>
      </c>
      <c r="D54" s="71">
        <v>2.0196078431372548</v>
      </c>
      <c r="E54" s="67">
        <v>0.29411764705882354</v>
      </c>
      <c r="F54" s="67">
        <v>0.31372549019607843</v>
      </c>
      <c r="G54" s="67">
        <v>0.3724604966139955</v>
      </c>
      <c r="H54" s="67">
        <v>0.12866817155756208</v>
      </c>
      <c r="I54" s="68">
        <v>6523.030303030303</v>
      </c>
      <c r="J54" s="68">
        <v>-9282.4561403508778</v>
      </c>
      <c r="K54" s="67">
        <v>5.8823529411764705E-2</v>
      </c>
      <c r="L54" s="67">
        <v>0.11764705882352941</v>
      </c>
      <c r="M54" s="67">
        <v>0.21896162528216703</v>
      </c>
      <c r="N54" s="67">
        <v>0.30474040632054178</v>
      </c>
      <c r="O54" s="67">
        <v>0.58762886597938147</v>
      </c>
      <c r="P54" s="67">
        <v>0.43703703703703706</v>
      </c>
      <c r="Q54" s="67">
        <v>0.42424242424242425</v>
      </c>
    </row>
    <row r="55" spans="1:17" x14ac:dyDescent="0.4">
      <c r="A55" s="69">
        <v>52</v>
      </c>
      <c r="B55" s="66">
        <v>98.8</v>
      </c>
      <c r="C55" s="66">
        <v>1.9</v>
      </c>
      <c r="D55" s="71">
        <v>2.0192307692307692</v>
      </c>
      <c r="E55" s="67">
        <v>0.28846153846153844</v>
      </c>
      <c r="F55" s="67">
        <v>0.30769230769230771</v>
      </c>
      <c r="G55" s="67">
        <v>0.37333333333333335</v>
      </c>
      <c r="H55" s="67">
        <v>0.13333333333333333</v>
      </c>
      <c r="I55" s="68">
        <v>6516.0714285714284</v>
      </c>
      <c r="J55" s="68">
        <v>-9285</v>
      </c>
      <c r="K55" s="67">
        <v>5.7692307692307696E-2</v>
      </c>
      <c r="L55" s="67">
        <v>0.11538461538461539</v>
      </c>
      <c r="M55" s="67">
        <v>0.22222222222222221</v>
      </c>
      <c r="N55" s="67">
        <v>0.30444444444444446</v>
      </c>
      <c r="O55" s="67">
        <v>0.6</v>
      </c>
      <c r="P55" s="67">
        <v>0.43065693430656932</v>
      </c>
      <c r="Q55" s="67">
        <v>0.42261904761904762</v>
      </c>
    </row>
    <row r="56" spans="1:17" x14ac:dyDescent="0.4">
      <c r="A56" s="69">
        <v>53</v>
      </c>
      <c r="B56" s="66">
        <v>65.199999999999989</v>
      </c>
      <c r="C56" s="66">
        <v>1.2301886792452827</v>
      </c>
      <c r="D56" s="71">
        <v>2.0377358490566038</v>
      </c>
      <c r="E56" s="67">
        <v>0.28301886792452829</v>
      </c>
      <c r="F56" s="67">
        <v>0.32075471698113206</v>
      </c>
      <c r="G56" s="67">
        <v>0.36899563318777295</v>
      </c>
      <c r="H56" s="67">
        <v>0.1331877729257642</v>
      </c>
      <c r="I56" s="68">
        <v>6523.0769230769229</v>
      </c>
      <c r="J56" s="68">
        <v>-9157.377049180328</v>
      </c>
      <c r="K56" s="67">
        <v>5.6603773584905662E-2</v>
      </c>
      <c r="L56" s="67">
        <v>0.11320754716981132</v>
      </c>
      <c r="M56" s="67">
        <v>0.2205240174672489</v>
      </c>
      <c r="N56" s="67">
        <v>0.29912663755458513</v>
      </c>
      <c r="O56" s="67">
        <v>0.59405940594059403</v>
      </c>
      <c r="P56" s="67">
        <v>0.43065693430656932</v>
      </c>
      <c r="Q56" s="67">
        <v>0.42011834319526625</v>
      </c>
    </row>
    <row r="57" spans="1:17" x14ac:dyDescent="0.4">
      <c r="A57" s="69">
        <v>54</v>
      </c>
      <c r="B57" s="66">
        <v>55.599999999999987</v>
      </c>
      <c r="C57" s="66">
        <v>1.0296296296296295</v>
      </c>
      <c r="D57" s="71">
        <v>2.0370370370370372</v>
      </c>
      <c r="E57" s="67">
        <v>0.27777777777777779</v>
      </c>
      <c r="F57" s="67">
        <v>0.31481481481481483</v>
      </c>
      <c r="G57" s="67">
        <v>0.37130801687763715</v>
      </c>
      <c r="H57" s="67">
        <v>0.13291139240506328</v>
      </c>
      <c r="I57" s="68">
        <v>6500.568181818182</v>
      </c>
      <c r="J57" s="68">
        <v>-9374.6031746031749</v>
      </c>
      <c r="K57" s="67">
        <v>5.5555555555555552E-2</v>
      </c>
      <c r="L57" s="67">
        <v>0.1111111111111111</v>
      </c>
      <c r="M57" s="67">
        <v>0.22151898734177214</v>
      </c>
      <c r="N57" s="67">
        <v>0.29535864978902954</v>
      </c>
      <c r="O57" s="67">
        <v>0.59047619047619049</v>
      </c>
      <c r="P57" s="67">
        <v>0.43571428571428572</v>
      </c>
      <c r="Q57" s="67">
        <v>0.42045454545454547</v>
      </c>
    </row>
    <row r="58" spans="1:17" x14ac:dyDescent="0.4">
      <c r="A58" s="69">
        <v>55</v>
      </c>
      <c r="B58" s="66">
        <v>34.699999999999989</v>
      </c>
      <c r="C58" s="66">
        <v>0.63090909090909075</v>
      </c>
      <c r="D58" s="71">
        <v>2.0363636363636362</v>
      </c>
      <c r="E58" s="67">
        <v>0.27272727272727271</v>
      </c>
      <c r="F58" s="67">
        <v>0.30909090909090908</v>
      </c>
      <c r="G58" s="67">
        <v>0.36776859504132231</v>
      </c>
      <c r="H58" s="67">
        <v>0.13016528925619836</v>
      </c>
      <c r="I58" s="68">
        <v>6504.4943820224717</v>
      </c>
      <c r="J58" s="68">
        <v>-9374.6031746031749</v>
      </c>
      <c r="K58" s="67">
        <v>5.4545454545454543E-2</v>
      </c>
      <c r="L58" s="67">
        <v>0.10909090909090909</v>
      </c>
      <c r="M58" s="67">
        <v>0.21694214876033058</v>
      </c>
      <c r="N58" s="67">
        <v>0.29545454545454547</v>
      </c>
      <c r="O58" s="67">
        <v>0.59047619047619049</v>
      </c>
      <c r="P58" s="67">
        <v>0.44055944055944057</v>
      </c>
      <c r="Q58" s="67">
        <v>0.42134831460674155</v>
      </c>
    </row>
    <row r="59" spans="1:17" x14ac:dyDescent="0.4">
      <c r="A59" s="69">
        <v>56</v>
      </c>
      <c r="B59" s="66">
        <v>-8.0000000000000142</v>
      </c>
      <c r="C59" s="66">
        <v>-0.1428571428571431</v>
      </c>
      <c r="D59" s="71">
        <v>2.0535714285714284</v>
      </c>
      <c r="E59" s="67">
        <v>0.26785714285714285</v>
      </c>
      <c r="F59" s="67">
        <v>0.32142857142857145</v>
      </c>
      <c r="G59" s="67">
        <v>0.36456211812627293</v>
      </c>
      <c r="H59" s="67">
        <v>0.13238289205702647</v>
      </c>
      <c r="I59" s="68">
        <v>6535.1955307262569</v>
      </c>
      <c r="J59" s="68">
        <v>-9289.2307692307695</v>
      </c>
      <c r="K59" s="67">
        <v>5.3571428571428568E-2</v>
      </c>
      <c r="L59" s="67">
        <v>0.10714285714285714</v>
      </c>
      <c r="M59" s="67">
        <v>0.21588594704684319</v>
      </c>
      <c r="N59" s="67">
        <v>0.29124236252545826</v>
      </c>
      <c r="O59" s="67">
        <v>0.59433962264150941</v>
      </c>
      <c r="P59" s="67">
        <v>0.44055944055944057</v>
      </c>
      <c r="Q59" s="67">
        <v>0.42458100558659218</v>
      </c>
    </row>
    <row r="60" spans="1:17" x14ac:dyDescent="0.4">
      <c r="A60" s="69">
        <v>57</v>
      </c>
      <c r="B60" s="66">
        <v>-6.0000000000000142</v>
      </c>
      <c r="C60" s="66">
        <v>-0.10526315789473709</v>
      </c>
      <c r="D60" s="71">
        <v>2.0526315789473686</v>
      </c>
      <c r="E60" s="67">
        <v>0.26315789473684209</v>
      </c>
      <c r="F60" s="67">
        <v>0.31578947368421051</v>
      </c>
      <c r="G60" s="67">
        <v>0.36363636363636365</v>
      </c>
      <c r="H60" s="67">
        <v>0.13131313131313133</v>
      </c>
      <c r="I60" s="68">
        <v>6510</v>
      </c>
      <c r="J60" s="68">
        <v>-9289.2307692307695</v>
      </c>
      <c r="K60" s="67">
        <v>5.2631578947368418E-2</v>
      </c>
      <c r="L60" s="67">
        <v>0.10526315789473684</v>
      </c>
      <c r="M60" s="67">
        <v>0.21414141414141413</v>
      </c>
      <c r="N60" s="67">
        <v>0.29090909090909089</v>
      </c>
      <c r="O60" s="67">
        <v>0.59433962264150941</v>
      </c>
      <c r="P60" s="67">
        <v>0.44444444444444442</v>
      </c>
      <c r="Q60" s="67">
        <v>0.42222222222222222</v>
      </c>
    </row>
    <row r="61" spans="1:17" x14ac:dyDescent="0.4">
      <c r="A61" s="69">
        <v>58</v>
      </c>
      <c r="B61" s="66">
        <v>-0.40000000000001457</v>
      </c>
      <c r="C61" s="66">
        <v>-6.8965517241381825E-3</v>
      </c>
      <c r="D61" s="71">
        <v>2.0517241379310347</v>
      </c>
      <c r="E61" s="67">
        <v>0.25862068965517243</v>
      </c>
      <c r="F61" s="67">
        <v>0.31034482758620691</v>
      </c>
      <c r="G61" s="67">
        <v>0.36220472440944884</v>
      </c>
      <c r="H61" s="67">
        <v>0.12992125984251968</v>
      </c>
      <c r="I61" s="68">
        <v>6528.260869565217</v>
      </c>
      <c r="J61" s="68">
        <v>-9269.69696969697</v>
      </c>
      <c r="K61" s="67">
        <v>5.1724137931034482E-2</v>
      </c>
      <c r="L61" s="67">
        <v>0.10344827586206896</v>
      </c>
      <c r="M61" s="67">
        <v>0.22244094488188976</v>
      </c>
      <c r="N61" s="67">
        <v>0.2874015748031496</v>
      </c>
      <c r="O61" s="67">
        <v>0.5752212389380531</v>
      </c>
      <c r="P61" s="67">
        <v>0.43835616438356162</v>
      </c>
      <c r="Q61" s="67">
        <v>0.41847826086956524</v>
      </c>
    </row>
    <row r="62" spans="1:17" x14ac:dyDescent="0.4">
      <c r="A62" s="69">
        <v>59</v>
      </c>
      <c r="B62" s="66">
        <v>21.999999999999986</v>
      </c>
      <c r="C62" s="66">
        <v>0.37288135593220317</v>
      </c>
      <c r="D62" s="71">
        <v>2.0338983050847457</v>
      </c>
      <c r="E62" s="67">
        <v>0.2711864406779661</v>
      </c>
      <c r="F62" s="67">
        <v>0.30508474576271188</v>
      </c>
      <c r="G62" s="67">
        <v>0.36434108527131781</v>
      </c>
      <c r="H62" s="67">
        <v>0.12790697674418605</v>
      </c>
      <c r="I62" s="68">
        <v>6579.255319148936</v>
      </c>
      <c r="J62" s="68">
        <v>-9269.69696969697</v>
      </c>
      <c r="K62" s="67">
        <v>5.0847457627118647E-2</v>
      </c>
      <c r="L62" s="67">
        <v>0.10169491525423729</v>
      </c>
      <c r="M62" s="67">
        <v>0.22093023255813954</v>
      </c>
      <c r="N62" s="67">
        <v>0.28875968992248063</v>
      </c>
      <c r="O62" s="67">
        <v>0.57894736842105265</v>
      </c>
      <c r="P62" s="67">
        <v>0.44295302013422821</v>
      </c>
      <c r="Q62" s="67">
        <v>0.42021276595744683</v>
      </c>
    </row>
    <row r="63" spans="1:17" x14ac:dyDescent="0.4">
      <c r="A63" s="69">
        <v>60</v>
      </c>
      <c r="B63" s="66">
        <v>66.999999999999986</v>
      </c>
      <c r="C63" s="66">
        <v>1.1166666666666665</v>
      </c>
      <c r="D63" s="71">
        <v>2.0166666666666666</v>
      </c>
      <c r="E63" s="67">
        <v>0.28333333333333333</v>
      </c>
      <c r="F63" s="67">
        <v>0.3</v>
      </c>
      <c r="G63" s="67">
        <v>0.36608863198458574</v>
      </c>
      <c r="H63" s="67">
        <v>0.12716763005780346</v>
      </c>
      <c r="I63" s="68">
        <v>6636.3157894736842</v>
      </c>
      <c r="J63" s="68">
        <v>-9269.69696969697</v>
      </c>
      <c r="K63" s="67">
        <v>0.05</v>
      </c>
      <c r="L63" s="67">
        <v>0.11666666666666667</v>
      </c>
      <c r="M63" s="67">
        <v>0.21965317919075145</v>
      </c>
      <c r="N63" s="67">
        <v>0.2928709055876686</v>
      </c>
      <c r="O63" s="67">
        <v>0.57894736842105265</v>
      </c>
      <c r="P63" s="67">
        <v>0.44736842105263158</v>
      </c>
      <c r="Q63" s="67">
        <v>0.42105263157894735</v>
      </c>
    </row>
    <row r="64" spans="1:17" x14ac:dyDescent="0.4">
      <c r="A64" s="69">
        <v>61</v>
      </c>
      <c r="B64" s="66">
        <v>39.799999999999983</v>
      </c>
      <c r="C64" s="66">
        <v>0.65245901639344239</v>
      </c>
      <c r="D64" s="71">
        <v>2.0163934426229506</v>
      </c>
      <c r="E64" s="67">
        <v>0.27868852459016391</v>
      </c>
      <c r="F64" s="67">
        <v>0.29508196721311475</v>
      </c>
      <c r="G64" s="67">
        <v>0.36174242424242425</v>
      </c>
      <c r="H64" s="67">
        <v>0.12878787878787878</v>
      </c>
      <c r="I64" s="68">
        <v>6628.7958115183246</v>
      </c>
      <c r="J64" s="68">
        <v>-9379.4117647058829</v>
      </c>
      <c r="K64" s="67">
        <v>4.9180327868852458E-2</v>
      </c>
      <c r="L64" s="67">
        <v>0.11475409836065574</v>
      </c>
      <c r="M64" s="67">
        <v>0.2178030303030303</v>
      </c>
      <c r="N64" s="67">
        <v>0.29545454545454547</v>
      </c>
      <c r="O64" s="67">
        <v>0.57391304347826089</v>
      </c>
      <c r="P64" s="67">
        <v>0.44230769230769229</v>
      </c>
      <c r="Q64" s="67">
        <v>0.41884816753926701</v>
      </c>
    </row>
    <row r="65" spans="1:17" x14ac:dyDescent="0.4">
      <c r="A65" s="69">
        <v>62</v>
      </c>
      <c r="B65" s="66">
        <v>7.9999999999999822</v>
      </c>
      <c r="C65" s="66">
        <v>0.12903225806451585</v>
      </c>
      <c r="D65" s="71">
        <v>2.032258064516129</v>
      </c>
      <c r="E65" s="67">
        <v>0.27419354838709675</v>
      </c>
      <c r="F65" s="67">
        <v>0.30645161290322581</v>
      </c>
      <c r="G65" s="67">
        <v>0.35887850467289717</v>
      </c>
      <c r="H65" s="67">
        <v>0.12897196261682242</v>
      </c>
      <c r="I65" s="68">
        <v>6635.9375</v>
      </c>
      <c r="J65" s="68">
        <v>-9417.391304347826</v>
      </c>
      <c r="K65" s="67">
        <v>4.8387096774193547E-2</v>
      </c>
      <c r="L65" s="67">
        <v>0.11290322580645161</v>
      </c>
      <c r="M65" s="67">
        <v>0.21869158878504674</v>
      </c>
      <c r="N65" s="67">
        <v>0.29532710280373831</v>
      </c>
      <c r="O65" s="67">
        <v>0.5641025641025641</v>
      </c>
      <c r="P65" s="67">
        <v>0.44303797468354428</v>
      </c>
      <c r="Q65" s="67">
        <v>0.421875</v>
      </c>
    </row>
    <row r="66" spans="1:17" x14ac:dyDescent="0.4">
      <c r="A66" s="69">
        <v>63</v>
      </c>
      <c r="B66" s="66">
        <v>45.09999999999998</v>
      </c>
      <c r="C66" s="66">
        <v>0.71587301587301555</v>
      </c>
      <c r="D66" s="71">
        <v>2.0158730158730158</v>
      </c>
      <c r="E66" s="67">
        <v>0.2857142857142857</v>
      </c>
      <c r="F66" s="67">
        <v>0.30158730158730157</v>
      </c>
      <c r="G66" s="67">
        <v>0.3596330275229358</v>
      </c>
      <c r="H66" s="67">
        <v>0.13027522935779817</v>
      </c>
      <c r="I66" s="68">
        <v>6662.2448979591836</v>
      </c>
      <c r="J66" s="68">
        <v>-9350.7042253521122</v>
      </c>
      <c r="K66" s="67">
        <v>4.7619047619047616E-2</v>
      </c>
      <c r="L66" s="67">
        <v>0.1111111111111111</v>
      </c>
      <c r="M66" s="67">
        <v>0.21834862385321102</v>
      </c>
      <c r="N66" s="67">
        <v>0.29541284403669726</v>
      </c>
      <c r="O66" s="67">
        <v>0.56302521008403361</v>
      </c>
      <c r="P66" s="67">
        <v>0.44099378881987578</v>
      </c>
      <c r="Q66" s="67">
        <v>0.42346938775510207</v>
      </c>
    </row>
    <row r="67" spans="1:17" x14ac:dyDescent="0.4">
      <c r="A67" s="69">
        <v>64</v>
      </c>
      <c r="B67" s="66">
        <v>45.899999999999977</v>
      </c>
      <c r="C67" s="66">
        <v>0.71718749999999964</v>
      </c>
      <c r="D67" s="71">
        <v>2.015625</v>
      </c>
      <c r="E67" s="67">
        <v>0.28125</v>
      </c>
      <c r="F67" s="67">
        <v>0.296875</v>
      </c>
      <c r="G67" s="67">
        <v>0.3579136690647482</v>
      </c>
      <c r="H67" s="67">
        <v>0.12949640287769784</v>
      </c>
      <c r="I67" s="68">
        <v>6665.8291457286432</v>
      </c>
      <c r="J67" s="68">
        <v>-9381.9444444444453</v>
      </c>
      <c r="K67" s="67">
        <v>4.6875E-2</v>
      </c>
      <c r="L67" s="67">
        <v>0.109375</v>
      </c>
      <c r="M67" s="67">
        <v>0.21942446043165467</v>
      </c>
      <c r="N67" s="67">
        <v>0.29136690647482016</v>
      </c>
      <c r="O67" s="67">
        <v>0.56557377049180324</v>
      </c>
      <c r="P67" s="67">
        <v>0.43827160493827161</v>
      </c>
      <c r="Q67" s="67">
        <v>0.42211055276381909</v>
      </c>
    </row>
    <row r="68" spans="1:17" x14ac:dyDescent="0.4">
      <c r="A68" s="69">
        <v>65</v>
      </c>
      <c r="B68" s="66">
        <v>38.199999999999974</v>
      </c>
      <c r="C68" s="66">
        <v>0.58769230769230729</v>
      </c>
      <c r="D68" s="71">
        <v>2.0153846153846153</v>
      </c>
      <c r="E68" s="67">
        <v>0.27692307692307694</v>
      </c>
      <c r="F68" s="67">
        <v>0.29230769230769232</v>
      </c>
      <c r="G68" s="67">
        <v>0.35879218472468916</v>
      </c>
      <c r="H68" s="67">
        <v>0.12966252220248667</v>
      </c>
      <c r="I68" s="68">
        <v>6670.7920792079212</v>
      </c>
      <c r="J68" s="68">
        <v>-9324.6575342465749</v>
      </c>
      <c r="K68" s="67">
        <v>4.6153846153846156E-2</v>
      </c>
      <c r="L68" s="67">
        <v>0.1076923076923077</v>
      </c>
      <c r="M68" s="67">
        <v>0.2202486678507993</v>
      </c>
      <c r="N68" s="67">
        <v>0.29129662522202487</v>
      </c>
      <c r="O68" s="67">
        <v>0.55645161290322576</v>
      </c>
      <c r="P68" s="67">
        <v>0.43902439024390244</v>
      </c>
      <c r="Q68" s="67">
        <v>0.43069306930693069</v>
      </c>
    </row>
    <row r="69" spans="1:17" x14ac:dyDescent="0.4">
      <c r="A69" s="69">
        <v>66</v>
      </c>
      <c r="B69" s="66">
        <v>-5.400000000000027</v>
      </c>
      <c r="C69" s="66">
        <v>-8.1818181818182234E-2</v>
      </c>
      <c r="D69" s="71">
        <v>2.0303030303030303</v>
      </c>
      <c r="E69" s="67">
        <v>0.27272727272727271</v>
      </c>
      <c r="F69" s="67">
        <v>0.30303030303030304</v>
      </c>
      <c r="G69" s="67">
        <v>0.35602094240837695</v>
      </c>
      <c r="H69" s="67">
        <v>0.13263525305410123</v>
      </c>
      <c r="I69" s="68">
        <v>6635.7843137254904</v>
      </c>
      <c r="J69" s="68">
        <v>-9127.6315789473683</v>
      </c>
      <c r="K69" s="67">
        <v>4.5454545454545456E-2</v>
      </c>
      <c r="L69" s="67">
        <v>0.10606060606060606</v>
      </c>
      <c r="M69" s="67">
        <v>0.21989528795811519</v>
      </c>
      <c r="N69" s="67">
        <v>0.29319371727748689</v>
      </c>
      <c r="O69" s="67">
        <v>0.54761904761904767</v>
      </c>
      <c r="P69" s="67">
        <v>0.43452380952380953</v>
      </c>
      <c r="Q69" s="67">
        <v>0.4264705882352941</v>
      </c>
    </row>
    <row r="70" spans="1:17" x14ac:dyDescent="0.4">
      <c r="A70" s="69">
        <v>67</v>
      </c>
      <c r="B70" s="66">
        <v>1.8999999999999728</v>
      </c>
      <c r="C70" s="66">
        <v>2.8358208955223476E-2</v>
      </c>
      <c r="D70" s="71">
        <v>2.0298507462686568</v>
      </c>
      <c r="E70" s="67">
        <v>0.26865671641791045</v>
      </c>
      <c r="F70" s="67">
        <v>0.29850746268656714</v>
      </c>
      <c r="G70" s="67">
        <v>0.35689655172413792</v>
      </c>
      <c r="H70" s="67">
        <v>0.13275862068965516</v>
      </c>
      <c r="I70" s="68">
        <v>6609.6618357487923</v>
      </c>
      <c r="J70" s="68">
        <v>-9035.0649350649346</v>
      </c>
      <c r="K70" s="67">
        <v>4.4776119402985072E-2</v>
      </c>
      <c r="L70" s="67">
        <v>0.1044776119402985</v>
      </c>
      <c r="M70" s="67">
        <v>0.2189655172413793</v>
      </c>
      <c r="N70" s="67">
        <v>0.2982758620689655</v>
      </c>
      <c r="O70" s="67">
        <v>0.55118110236220474</v>
      </c>
      <c r="P70" s="67">
        <v>0.43352601156069365</v>
      </c>
      <c r="Q70" s="67">
        <v>0.42028985507246375</v>
      </c>
    </row>
    <row r="71" spans="1:17" x14ac:dyDescent="0.4">
      <c r="A71" s="69">
        <v>68</v>
      </c>
      <c r="B71" s="66">
        <v>-39.500000000000028</v>
      </c>
      <c r="C71" s="66">
        <v>-0.58088235294117685</v>
      </c>
      <c r="D71" s="71">
        <v>2.0441176470588234</v>
      </c>
      <c r="E71" s="67">
        <v>0.26470588235294118</v>
      </c>
      <c r="F71" s="67">
        <v>0.30882352941176472</v>
      </c>
      <c r="G71" s="67">
        <v>0.35204081632653061</v>
      </c>
      <c r="H71" s="67">
        <v>0.1326530612244898</v>
      </c>
      <c r="I71" s="68">
        <v>6609.6618357487923</v>
      </c>
      <c r="J71" s="68">
        <v>-9073.0769230769238</v>
      </c>
      <c r="K71" s="67">
        <v>4.4117647058823532E-2</v>
      </c>
      <c r="L71" s="67">
        <v>0.10294117647058823</v>
      </c>
      <c r="M71" s="67">
        <v>0.21598639455782312</v>
      </c>
      <c r="N71" s="67">
        <v>0.29421768707482993</v>
      </c>
      <c r="O71" s="67">
        <v>0.55118110236220474</v>
      </c>
      <c r="P71" s="67">
        <v>0.43352601156069365</v>
      </c>
      <c r="Q71" s="67">
        <v>0.42028985507246375</v>
      </c>
    </row>
    <row r="72" spans="1:17" x14ac:dyDescent="0.4">
      <c r="A72" s="69">
        <v>69</v>
      </c>
      <c r="B72" s="66">
        <v>-7.6000000000000298</v>
      </c>
      <c r="C72" s="66">
        <v>-0.11014492753623231</v>
      </c>
      <c r="D72" s="71">
        <v>2.0289855072463769</v>
      </c>
      <c r="E72" s="67">
        <v>0.27536231884057971</v>
      </c>
      <c r="F72" s="67">
        <v>0.30434782608695654</v>
      </c>
      <c r="G72" s="67">
        <v>0.35175879396984927</v>
      </c>
      <c r="H72" s="67">
        <v>0.13400335008375208</v>
      </c>
      <c r="I72" s="68">
        <v>6635.7142857142853</v>
      </c>
      <c r="J72" s="68">
        <v>-8927.5</v>
      </c>
      <c r="K72" s="67">
        <v>4.3478260869565216E-2</v>
      </c>
      <c r="L72" s="67">
        <v>0.10144927536231885</v>
      </c>
      <c r="M72" s="67">
        <v>0.21608040201005024</v>
      </c>
      <c r="N72" s="67">
        <v>0.29145728643216079</v>
      </c>
      <c r="O72" s="67">
        <v>0.55813953488372092</v>
      </c>
      <c r="P72" s="67">
        <v>0.43103448275862066</v>
      </c>
      <c r="Q72" s="67">
        <v>0.41904761904761906</v>
      </c>
    </row>
    <row r="73" spans="1:17" x14ac:dyDescent="0.4">
      <c r="A73" s="69">
        <v>70</v>
      </c>
      <c r="B73" s="66">
        <v>-32.000000000000028</v>
      </c>
      <c r="C73" s="66">
        <v>-0.45714285714285757</v>
      </c>
      <c r="D73" s="71">
        <v>2.0428571428571427</v>
      </c>
      <c r="E73" s="67">
        <v>0.27142857142857141</v>
      </c>
      <c r="F73" s="67">
        <v>0.31428571428571428</v>
      </c>
      <c r="G73" s="67">
        <v>0.35041322314049589</v>
      </c>
      <c r="H73" s="67">
        <v>0.13388429752066117</v>
      </c>
      <c r="I73" s="68">
        <v>6620.7547169811323</v>
      </c>
      <c r="J73" s="68">
        <v>-8912.3456790123455</v>
      </c>
      <c r="K73" s="67">
        <v>4.2857142857142858E-2</v>
      </c>
      <c r="L73" s="67">
        <v>0.1</v>
      </c>
      <c r="M73" s="67">
        <v>0.21818181818181817</v>
      </c>
      <c r="N73" s="67">
        <v>0.28760330578512394</v>
      </c>
      <c r="O73" s="67">
        <v>0.55303030303030298</v>
      </c>
      <c r="P73" s="67">
        <v>0.43103448275862066</v>
      </c>
      <c r="Q73" s="67">
        <v>0.419811320754717</v>
      </c>
    </row>
    <row r="74" spans="1:17" x14ac:dyDescent="0.4">
      <c r="A74" s="69">
        <v>71</v>
      </c>
      <c r="B74" s="66">
        <v>-76.600000000000023</v>
      </c>
      <c r="C74" s="66">
        <v>-1.0788732394366201</v>
      </c>
      <c r="D74" s="71">
        <v>2.056338028169014</v>
      </c>
      <c r="E74" s="67">
        <v>0.26760563380281688</v>
      </c>
      <c r="F74" s="67">
        <v>0.323943661971831</v>
      </c>
      <c r="G74" s="67">
        <v>0.34584013050570961</v>
      </c>
      <c r="H74" s="67">
        <v>0.13703099510603589</v>
      </c>
      <c r="I74" s="68">
        <v>6620.7547169811323</v>
      </c>
      <c r="J74" s="68">
        <v>-8695.2380952380954</v>
      </c>
      <c r="K74" s="67">
        <v>4.2253521126760563E-2</v>
      </c>
      <c r="L74" s="67">
        <v>9.8591549295774641E-2</v>
      </c>
      <c r="M74" s="67">
        <v>0.21533442088091354</v>
      </c>
      <c r="N74" s="67">
        <v>0.28711256117455136</v>
      </c>
      <c r="O74" s="67">
        <v>0.55303030303030298</v>
      </c>
      <c r="P74" s="67">
        <v>0.42613636363636365</v>
      </c>
      <c r="Q74" s="67">
        <v>0.419811320754717</v>
      </c>
    </row>
    <row r="75" spans="1:17" x14ac:dyDescent="0.4">
      <c r="A75" s="69">
        <v>72</v>
      </c>
      <c r="B75" s="66">
        <v>-68.40000000000002</v>
      </c>
      <c r="C75" s="66">
        <v>-0.95000000000000029</v>
      </c>
      <c r="D75" s="71">
        <v>2.0555555555555554</v>
      </c>
      <c r="E75" s="67">
        <v>0.2638888888888889</v>
      </c>
      <c r="F75" s="67">
        <v>0.31944444444444442</v>
      </c>
      <c r="G75" s="67">
        <v>0.34460547504025762</v>
      </c>
      <c r="H75" s="67">
        <v>0.13687600644122383</v>
      </c>
      <c r="I75" s="68">
        <v>6643.4579439252338</v>
      </c>
      <c r="J75" s="68">
        <v>-8638.823529411764</v>
      </c>
      <c r="K75" s="67">
        <v>4.1666666666666664E-2</v>
      </c>
      <c r="L75" s="67">
        <v>9.7222222222222224E-2</v>
      </c>
      <c r="M75" s="67">
        <v>0.214170692431562</v>
      </c>
      <c r="N75" s="67">
        <v>0.28824476650563607</v>
      </c>
      <c r="O75" s="67">
        <v>0.55639097744360899</v>
      </c>
      <c r="P75" s="67">
        <v>0.42458100558659218</v>
      </c>
      <c r="Q75" s="67">
        <v>0.42523364485981308</v>
      </c>
    </row>
    <row r="76" spans="1:17" x14ac:dyDescent="0.4">
      <c r="A76" s="69">
        <v>73</v>
      </c>
      <c r="B76" s="66">
        <v>-129.30000000000001</v>
      </c>
      <c r="C76" s="66">
        <v>-1.7712328767123289</v>
      </c>
      <c r="D76" s="71">
        <v>2.0684931506849313</v>
      </c>
      <c r="E76" s="67">
        <v>0.26027397260273971</v>
      </c>
      <c r="F76" s="67">
        <v>0.32876712328767121</v>
      </c>
      <c r="G76" s="67">
        <v>0.34076433121019106</v>
      </c>
      <c r="H76" s="67">
        <v>0.13853503184713375</v>
      </c>
      <c r="I76" s="68">
        <v>6643.4579439252338</v>
      </c>
      <c r="J76" s="68">
        <v>-8577.0114942528744</v>
      </c>
      <c r="K76" s="67">
        <v>5.4794520547945202E-2</v>
      </c>
      <c r="L76" s="67">
        <v>9.5890410958904104E-2</v>
      </c>
      <c r="M76" s="67">
        <v>0.21178343949044587</v>
      </c>
      <c r="N76" s="67">
        <v>0.28980891719745222</v>
      </c>
      <c r="O76" s="67">
        <v>0.55639097744360899</v>
      </c>
      <c r="P76" s="67">
        <v>0.4175824175824176</v>
      </c>
      <c r="Q76" s="67">
        <v>0.42523364485981308</v>
      </c>
    </row>
    <row r="77" spans="1:17" x14ac:dyDescent="0.4">
      <c r="A77" s="69">
        <v>74</v>
      </c>
      <c r="B77" s="66">
        <v>-61.500000000000014</v>
      </c>
      <c r="C77" s="66">
        <v>-0.83108108108108125</v>
      </c>
      <c r="D77" s="71">
        <v>2.0540540540540539</v>
      </c>
      <c r="E77" s="67">
        <v>0.27027027027027029</v>
      </c>
      <c r="F77" s="67">
        <v>0.32432432432432434</v>
      </c>
      <c r="G77" s="67">
        <v>0.3449367088607595</v>
      </c>
      <c r="H77" s="67">
        <v>0.13765822784810128</v>
      </c>
      <c r="I77" s="68">
        <v>6722.4770642201838</v>
      </c>
      <c r="J77" s="68">
        <v>-8577.0114942528744</v>
      </c>
      <c r="K77" s="67">
        <v>5.4054054054054057E-2</v>
      </c>
      <c r="L77" s="67">
        <v>0.10810810810810811</v>
      </c>
      <c r="M77" s="67">
        <v>0.21202531645569619</v>
      </c>
      <c r="N77" s="67">
        <v>0.29113924050632911</v>
      </c>
      <c r="O77" s="67">
        <v>0.55970149253731338</v>
      </c>
      <c r="P77" s="67">
        <v>0.42391304347826086</v>
      </c>
      <c r="Q77" s="67">
        <v>0.42660550458715596</v>
      </c>
    </row>
    <row r="78" spans="1:17" x14ac:dyDescent="0.4">
      <c r="A78" s="69">
        <v>75</v>
      </c>
      <c r="B78" s="66">
        <v>-76.40000000000002</v>
      </c>
      <c r="C78" s="66">
        <v>-1.0186666666666668</v>
      </c>
      <c r="D78" s="71">
        <v>2.0533333333333332</v>
      </c>
      <c r="E78" s="67">
        <v>0.26666666666666666</v>
      </c>
      <c r="F78" s="67">
        <v>0.32</v>
      </c>
      <c r="G78" s="67">
        <v>0.34267912772585668</v>
      </c>
      <c r="H78" s="67">
        <v>0.13862928348909656</v>
      </c>
      <c r="I78" s="68">
        <v>6727.727272727273</v>
      </c>
      <c r="J78" s="68">
        <v>-8564.0449438202249</v>
      </c>
      <c r="K78" s="67">
        <v>5.3333333333333337E-2</v>
      </c>
      <c r="L78" s="67">
        <v>0.10666666666666667</v>
      </c>
      <c r="M78" s="67">
        <v>0.21339563862928349</v>
      </c>
      <c r="N78" s="67">
        <v>0.28971962616822428</v>
      </c>
      <c r="O78" s="67">
        <v>0.56204379562043794</v>
      </c>
      <c r="P78" s="67">
        <v>0.41935483870967744</v>
      </c>
      <c r="Q78" s="67">
        <v>0.42272727272727273</v>
      </c>
    </row>
    <row r="79" spans="1:17" x14ac:dyDescent="0.4">
      <c r="A79" s="69">
        <v>76</v>
      </c>
      <c r="B79" s="66">
        <v>-36.300000000000018</v>
      </c>
      <c r="C79" s="66">
        <v>-0.47763157894736868</v>
      </c>
      <c r="D79" s="71">
        <v>2.0394736842105261</v>
      </c>
      <c r="E79" s="67">
        <v>0.27631578947368424</v>
      </c>
      <c r="F79" s="67">
        <v>0.31578947368421051</v>
      </c>
      <c r="G79" s="67">
        <v>0.3446153846153846</v>
      </c>
      <c r="H79" s="67">
        <v>0.13846153846153847</v>
      </c>
      <c r="I79" s="68">
        <v>6741.5178571428569</v>
      </c>
      <c r="J79" s="68">
        <v>-8512.2222222222226</v>
      </c>
      <c r="K79" s="67">
        <v>5.2631578947368418E-2</v>
      </c>
      <c r="L79" s="67">
        <v>0.11842105263157894</v>
      </c>
      <c r="M79" s="67">
        <v>0.2153846153846154</v>
      </c>
      <c r="N79" s="67">
        <v>0.28769230769230769</v>
      </c>
      <c r="O79" s="67">
        <v>0.5714285714285714</v>
      </c>
      <c r="P79" s="67">
        <v>0.41711229946524064</v>
      </c>
      <c r="Q79" s="67">
        <v>0.42410714285714285</v>
      </c>
    </row>
    <row r="80" spans="1:17" x14ac:dyDescent="0.4">
      <c r="A80" s="69">
        <v>77</v>
      </c>
      <c r="B80" s="66">
        <v>-37.300000000000018</v>
      </c>
      <c r="C80" s="66">
        <v>-0.48441558441558463</v>
      </c>
      <c r="D80" s="71">
        <v>2.0389610389610389</v>
      </c>
      <c r="E80" s="67">
        <v>0.27272727272727271</v>
      </c>
      <c r="F80" s="67">
        <v>0.31168831168831168</v>
      </c>
      <c r="G80" s="67">
        <v>0.34446130500758726</v>
      </c>
      <c r="H80" s="67">
        <v>0.13960546282245828</v>
      </c>
      <c r="I80" s="68">
        <v>6792.070484581498</v>
      </c>
      <c r="J80" s="68">
        <v>-8579.347826086956</v>
      </c>
      <c r="K80" s="67">
        <v>5.1948051948051951E-2</v>
      </c>
      <c r="L80" s="67">
        <v>0.11688311688311688</v>
      </c>
      <c r="M80" s="67">
        <v>0.21396054628224584</v>
      </c>
      <c r="N80" s="67">
        <v>0.2883156297420334</v>
      </c>
      <c r="O80" s="67">
        <v>0.56737588652482274</v>
      </c>
      <c r="P80" s="67">
        <v>0.42105263157894735</v>
      </c>
      <c r="Q80" s="67">
        <v>0.42290748898678415</v>
      </c>
    </row>
    <row r="81" spans="1:17" x14ac:dyDescent="0.4">
      <c r="A81" s="69">
        <v>78</v>
      </c>
      <c r="B81" s="66">
        <v>-38.600000000000016</v>
      </c>
      <c r="C81" s="66">
        <v>-0.49487179487179506</v>
      </c>
      <c r="D81" s="71">
        <v>2.0384615384615383</v>
      </c>
      <c r="E81" s="67">
        <v>0.26923076923076922</v>
      </c>
      <c r="F81" s="67">
        <v>0.30769230769230771</v>
      </c>
      <c r="G81" s="67">
        <v>0.34384384384384387</v>
      </c>
      <c r="H81" s="67">
        <v>0.13813813813813813</v>
      </c>
      <c r="I81" s="68">
        <v>6775.1091703056773</v>
      </c>
      <c r="J81" s="68">
        <v>-8579.347826086956</v>
      </c>
      <c r="K81" s="67">
        <v>5.128205128205128E-2</v>
      </c>
      <c r="L81" s="67">
        <v>0.11538461538461539</v>
      </c>
      <c r="M81" s="67">
        <v>0.21321321321321321</v>
      </c>
      <c r="N81" s="67">
        <v>0.29129129129129128</v>
      </c>
      <c r="O81" s="67">
        <v>0.56338028169014087</v>
      </c>
      <c r="P81" s="67">
        <v>0.42268041237113402</v>
      </c>
      <c r="Q81" s="67">
        <v>0.42358078602620086</v>
      </c>
    </row>
    <row r="82" spans="1:17" x14ac:dyDescent="0.4">
      <c r="A82" s="69">
        <v>79</v>
      </c>
      <c r="B82" s="66">
        <v>-67.000000000000014</v>
      </c>
      <c r="C82" s="66">
        <v>-0.848101265822785</v>
      </c>
      <c r="D82" s="71">
        <v>2.037974683544304</v>
      </c>
      <c r="E82" s="67">
        <v>0.26582278481012656</v>
      </c>
      <c r="F82" s="67">
        <v>0.30379746835443039</v>
      </c>
      <c r="G82" s="67">
        <v>0.34328358208955223</v>
      </c>
      <c r="H82" s="67">
        <v>0.1373134328358209</v>
      </c>
      <c r="I82" s="68">
        <v>6787.391304347826</v>
      </c>
      <c r="J82" s="68">
        <v>-8579.347826086956</v>
      </c>
      <c r="K82" s="67">
        <v>5.0632911392405063E-2</v>
      </c>
      <c r="L82" s="67">
        <v>0.11392405063291139</v>
      </c>
      <c r="M82" s="67">
        <v>0.21343283582089553</v>
      </c>
      <c r="N82" s="67">
        <v>0.28955223880597014</v>
      </c>
      <c r="O82" s="67">
        <v>0.55944055944055948</v>
      </c>
      <c r="P82" s="67">
        <v>0.42268041237113402</v>
      </c>
      <c r="Q82" s="67">
        <v>0.42173913043478262</v>
      </c>
    </row>
    <row r="83" spans="1:17" x14ac:dyDescent="0.4">
      <c r="A83" s="69">
        <v>80</v>
      </c>
      <c r="B83" s="66">
        <v>-114.70000000000002</v>
      </c>
      <c r="C83" s="66">
        <v>-1.4337500000000003</v>
      </c>
      <c r="D83" s="71">
        <v>2.0499999999999998</v>
      </c>
      <c r="E83" s="67">
        <v>0.26250000000000001</v>
      </c>
      <c r="F83" s="67">
        <v>0.3125</v>
      </c>
      <c r="G83" s="67">
        <v>0.34264705882352942</v>
      </c>
      <c r="H83" s="67">
        <v>0.13970588235294118</v>
      </c>
      <c r="I83" s="68">
        <v>6754.0772532188839</v>
      </c>
      <c r="J83" s="68">
        <v>-8538.9473684210534</v>
      </c>
      <c r="K83" s="67">
        <v>0.05</v>
      </c>
      <c r="L83" s="67">
        <v>0.1125</v>
      </c>
      <c r="M83" s="67">
        <v>0.21029411764705883</v>
      </c>
      <c r="N83" s="67">
        <v>0.29264705882352943</v>
      </c>
      <c r="O83" s="67">
        <v>0.55944055944055948</v>
      </c>
      <c r="P83" s="67">
        <v>0.42713567839195982</v>
      </c>
      <c r="Q83" s="67">
        <v>0.41630901287553645</v>
      </c>
    </row>
    <row r="84" spans="1:17" x14ac:dyDescent="0.4">
      <c r="A84" s="69">
        <v>81</v>
      </c>
      <c r="B84" s="66">
        <v>-115.90000000000002</v>
      </c>
      <c r="C84" s="66">
        <v>-1.4308641975308645</v>
      </c>
      <c r="D84" s="71">
        <v>2.0493827160493829</v>
      </c>
      <c r="E84" s="67">
        <v>0.25925925925925924</v>
      </c>
      <c r="F84" s="67">
        <v>0.30864197530864196</v>
      </c>
      <c r="G84" s="67">
        <v>0.34438040345821325</v>
      </c>
      <c r="H84" s="67">
        <v>0.13832853025936601</v>
      </c>
      <c r="I84" s="68">
        <v>6772.3849372384939</v>
      </c>
      <c r="J84" s="68">
        <v>-8575</v>
      </c>
      <c r="K84" s="67">
        <v>4.9382716049382713E-2</v>
      </c>
      <c r="L84" s="67">
        <v>0.1111111111111111</v>
      </c>
      <c r="M84" s="67">
        <v>0.21037463976945245</v>
      </c>
      <c r="N84" s="67">
        <v>0.29394812680115273</v>
      </c>
      <c r="O84" s="67">
        <v>0.5547945205479452</v>
      </c>
      <c r="P84" s="67">
        <v>0.4264705882352941</v>
      </c>
      <c r="Q84" s="67">
        <v>0.41422594142259417</v>
      </c>
    </row>
    <row r="85" spans="1:17" x14ac:dyDescent="0.4">
      <c r="A85" s="69">
        <v>82</v>
      </c>
      <c r="B85" s="66">
        <v>-110.60000000000002</v>
      </c>
      <c r="C85" s="66">
        <v>-1.3487804878048784</v>
      </c>
      <c r="D85" s="71">
        <v>2.0487804878048781</v>
      </c>
      <c r="E85" s="67">
        <v>0.25609756097560976</v>
      </c>
      <c r="F85" s="67">
        <v>0.3048780487804878</v>
      </c>
      <c r="G85" s="67">
        <v>0.34566145092460882</v>
      </c>
      <c r="H85" s="67">
        <v>0.13940256045519203</v>
      </c>
      <c r="I85" s="68">
        <v>6810.2880658436216</v>
      </c>
      <c r="J85" s="68">
        <v>-8542.8571428571431</v>
      </c>
      <c r="K85" s="67">
        <v>4.878048780487805E-2</v>
      </c>
      <c r="L85" s="67">
        <v>0.10975609756097561</v>
      </c>
      <c r="M85" s="67">
        <v>0.21052631578947367</v>
      </c>
      <c r="N85" s="67">
        <v>0.29445234708392604</v>
      </c>
      <c r="O85" s="67">
        <v>0.55405405405405406</v>
      </c>
      <c r="P85" s="67">
        <v>0.4251207729468599</v>
      </c>
      <c r="Q85" s="67">
        <v>0.41152263374485598</v>
      </c>
    </row>
    <row r="86" spans="1:17" x14ac:dyDescent="0.4">
      <c r="A86" s="69">
        <v>83</v>
      </c>
      <c r="B86" s="66">
        <v>-101.20000000000002</v>
      </c>
      <c r="C86" s="66">
        <v>-1.219277108433735</v>
      </c>
      <c r="D86" s="71">
        <v>2.0481927710843375</v>
      </c>
      <c r="E86" s="67">
        <v>0.25301204819277107</v>
      </c>
      <c r="F86" s="67">
        <v>0.30120481927710846</v>
      </c>
      <c r="G86" s="67">
        <v>0.34696755994358253</v>
      </c>
      <c r="H86" s="67">
        <v>0.1382228490832158</v>
      </c>
      <c r="I86" s="68">
        <v>6806.9105691056911</v>
      </c>
      <c r="J86" s="68">
        <v>-8542.8571428571431</v>
      </c>
      <c r="K86" s="67">
        <v>4.8192771084337352E-2</v>
      </c>
      <c r="L86" s="67">
        <v>0.10843373493975904</v>
      </c>
      <c r="M86" s="67">
        <v>0.21015514809590974</v>
      </c>
      <c r="N86" s="67">
        <v>0.29478138222849082</v>
      </c>
      <c r="O86" s="67">
        <v>0.55704697986577179</v>
      </c>
      <c r="P86" s="67">
        <v>0.42583732057416268</v>
      </c>
      <c r="Q86" s="67">
        <v>0.41056910569105692</v>
      </c>
    </row>
    <row r="87" spans="1:17" x14ac:dyDescent="0.4">
      <c r="A87" s="69">
        <v>84</v>
      </c>
      <c r="B87" s="66">
        <v>-162.90000000000003</v>
      </c>
      <c r="C87" s="66">
        <v>-1.9392857142857147</v>
      </c>
      <c r="D87" s="71">
        <v>2.0595238095238093</v>
      </c>
      <c r="E87" s="67">
        <v>0.25</v>
      </c>
      <c r="F87" s="67">
        <v>0.30952380952380953</v>
      </c>
      <c r="G87" s="67">
        <v>0.34401114206128136</v>
      </c>
      <c r="H87" s="67">
        <v>0.13788300835654596</v>
      </c>
      <c r="I87" s="68">
        <v>6827.9352226720648</v>
      </c>
      <c r="J87" s="68">
        <v>-8638.3838383838392</v>
      </c>
      <c r="K87" s="67">
        <v>5.9523809523809521E-2</v>
      </c>
      <c r="L87" s="67">
        <v>0.10714285714285714</v>
      </c>
      <c r="M87" s="67">
        <v>0.2116991643454039</v>
      </c>
      <c r="N87" s="67">
        <v>0.29247910863509752</v>
      </c>
      <c r="O87" s="67">
        <v>0.55263157894736847</v>
      </c>
      <c r="P87" s="67">
        <v>0.4238095238095238</v>
      </c>
      <c r="Q87" s="67">
        <v>0.40890688259109309</v>
      </c>
    </row>
    <row r="88" spans="1:17" x14ac:dyDescent="0.4">
      <c r="A88" s="69">
        <v>85</v>
      </c>
      <c r="B88" s="66">
        <v>-121.30000000000004</v>
      </c>
      <c r="C88" s="66">
        <v>-1.4270588235294122</v>
      </c>
      <c r="D88" s="71">
        <v>2.0470588235294116</v>
      </c>
      <c r="E88" s="67">
        <v>0.25882352941176473</v>
      </c>
      <c r="F88" s="67">
        <v>0.30588235294117649</v>
      </c>
      <c r="G88" s="67">
        <v>0.34482758620689657</v>
      </c>
      <c r="H88" s="67">
        <v>0.13793103448275862</v>
      </c>
      <c r="I88" s="68">
        <v>6866.4</v>
      </c>
      <c r="J88" s="68">
        <v>-8632</v>
      </c>
      <c r="K88" s="67">
        <v>5.8823529411764705E-2</v>
      </c>
      <c r="L88" s="67">
        <v>0.10588235294117647</v>
      </c>
      <c r="M88" s="67">
        <v>0.21241379310344827</v>
      </c>
      <c r="N88" s="67">
        <v>0.29103448275862071</v>
      </c>
      <c r="O88" s="67">
        <v>0.55194805194805197</v>
      </c>
      <c r="P88" s="67">
        <v>0.42654028436018959</v>
      </c>
      <c r="Q88" s="67">
        <v>0.40400000000000003</v>
      </c>
    </row>
    <row r="89" spans="1:17" x14ac:dyDescent="0.4">
      <c r="A89" s="69">
        <v>86</v>
      </c>
      <c r="B89" s="66">
        <v>-133.30000000000004</v>
      </c>
      <c r="C89" s="66">
        <v>-1.5500000000000005</v>
      </c>
      <c r="D89" s="71">
        <v>2.0465116279069768</v>
      </c>
      <c r="E89" s="67">
        <v>0.2558139534883721</v>
      </c>
      <c r="F89" s="67">
        <v>0.30232558139534882</v>
      </c>
      <c r="G89" s="67">
        <v>0.34430727023319618</v>
      </c>
      <c r="H89" s="67">
        <v>0.13717421124828533</v>
      </c>
      <c r="I89" s="68">
        <v>6886.852589641434</v>
      </c>
      <c r="J89" s="68">
        <v>-8632</v>
      </c>
      <c r="K89" s="67">
        <v>5.8139534883720929E-2</v>
      </c>
      <c r="L89" s="67">
        <v>0.10465116279069768</v>
      </c>
      <c r="M89" s="67">
        <v>0.21262002743484226</v>
      </c>
      <c r="N89" s="67">
        <v>0.29218106995884774</v>
      </c>
      <c r="O89" s="67">
        <v>0.55483870967741933</v>
      </c>
      <c r="P89" s="67">
        <v>0.42253521126760563</v>
      </c>
      <c r="Q89" s="67">
        <v>0.40239043824701193</v>
      </c>
    </row>
    <row r="90" spans="1:17" x14ac:dyDescent="0.4">
      <c r="A90" s="69">
        <v>87</v>
      </c>
      <c r="B90" s="66">
        <v>-118.60000000000004</v>
      </c>
      <c r="C90" s="66">
        <v>-1.3632183908045981</v>
      </c>
      <c r="D90" s="71">
        <v>2.0459770114942528</v>
      </c>
      <c r="E90" s="67">
        <v>0.25287356321839083</v>
      </c>
      <c r="F90" s="67">
        <v>0.2988505747126437</v>
      </c>
      <c r="G90" s="67">
        <v>0.34515688949522511</v>
      </c>
      <c r="H90" s="67">
        <v>0.13642564802182811</v>
      </c>
      <c r="I90" s="68">
        <v>6910.276679841897</v>
      </c>
      <c r="J90" s="68">
        <v>-8632</v>
      </c>
      <c r="K90" s="67">
        <v>5.7471264367816091E-2</v>
      </c>
      <c r="L90" s="67">
        <v>0.10344827586206896</v>
      </c>
      <c r="M90" s="67">
        <v>0.21282401091405184</v>
      </c>
      <c r="N90" s="67">
        <v>0.29195088676671216</v>
      </c>
      <c r="O90" s="67">
        <v>0.55769230769230771</v>
      </c>
      <c r="P90" s="67">
        <v>0.42523364485981308</v>
      </c>
      <c r="Q90" s="67">
        <v>0.40316205533596838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D60C-1DF6-42A7-98C3-66917293191F}">
  <sheetPr codeName="Sheet14"/>
  <dimension ref="A1:Q9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171</v>
      </c>
      <c r="B1" s="70" t="s">
        <v>171</v>
      </c>
      <c r="C1" s="70" t="s">
        <v>171</v>
      </c>
      <c r="D1" s="71" t="s">
        <v>171</v>
      </c>
      <c r="E1" s="70" t="s">
        <v>171</v>
      </c>
      <c r="F1" s="70" t="s">
        <v>171</v>
      </c>
      <c r="G1" s="70" t="s">
        <v>171</v>
      </c>
      <c r="H1" s="70" t="s">
        <v>171</v>
      </c>
      <c r="I1" s="70" t="s">
        <v>171</v>
      </c>
      <c r="J1" s="70" t="s">
        <v>171</v>
      </c>
      <c r="K1" s="70" t="s">
        <v>171</v>
      </c>
      <c r="L1" s="70" t="s">
        <v>171</v>
      </c>
      <c r="M1" s="70" t="s">
        <v>171</v>
      </c>
      <c r="N1" s="70" t="s">
        <v>171</v>
      </c>
      <c r="O1" s="70" t="s">
        <v>171</v>
      </c>
      <c r="P1" s="70" t="s">
        <v>171</v>
      </c>
      <c r="Q1" s="70" t="s">
        <v>171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  <row r="37" spans="1:17" x14ac:dyDescent="0.4">
      <c r="A37" s="69">
        <v>34</v>
      </c>
      <c r="B37" s="66">
        <v>-56.7</v>
      </c>
      <c r="C37" s="66">
        <v>-1.6676470588235295</v>
      </c>
      <c r="D37" s="71">
        <v>2.0882352941176472</v>
      </c>
      <c r="E37" s="67">
        <v>0.26470588235294118</v>
      </c>
      <c r="F37" s="67">
        <v>0.35294117647058826</v>
      </c>
      <c r="G37" s="67">
        <v>0.24914675767918087</v>
      </c>
      <c r="H37" s="67">
        <v>0.16382252559726962</v>
      </c>
      <c r="I37" s="68">
        <v>8586.301369863013</v>
      </c>
      <c r="J37" s="68">
        <v>-7206.25</v>
      </c>
      <c r="K37" s="67">
        <v>2.9411764705882353E-2</v>
      </c>
      <c r="L37" s="67">
        <v>0.11764705882352941</v>
      </c>
      <c r="M37" s="67">
        <v>0.24914675767918087</v>
      </c>
      <c r="N37" s="67">
        <v>0.17406143344709898</v>
      </c>
      <c r="O37" s="67">
        <v>0.57534246575342463</v>
      </c>
      <c r="P37" s="67">
        <v>0.31372549019607843</v>
      </c>
      <c r="Q37" s="67">
        <v>0.35616438356164382</v>
      </c>
    </row>
    <row r="38" spans="1:17" x14ac:dyDescent="0.4">
      <c r="A38" s="69">
        <v>35</v>
      </c>
      <c r="B38" s="66">
        <v>-88.4</v>
      </c>
      <c r="C38" s="66">
        <v>-2.5257142857142858</v>
      </c>
      <c r="D38" s="71">
        <v>2.1142857142857143</v>
      </c>
      <c r="E38" s="67">
        <v>0.25714285714285712</v>
      </c>
      <c r="F38" s="67">
        <v>0.37142857142857144</v>
      </c>
      <c r="G38" s="67">
        <v>0.24749163879598662</v>
      </c>
      <c r="H38" s="67">
        <v>0.16053511705685619</v>
      </c>
      <c r="I38" s="68">
        <v>8487.8378378378384</v>
      </c>
      <c r="J38" s="68">
        <v>-7206.25</v>
      </c>
      <c r="K38" s="67">
        <v>2.8571428571428571E-2</v>
      </c>
      <c r="L38" s="67">
        <v>0.11428571428571428</v>
      </c>
      <c r="M38" s="67">
        <v>0.25083612040133779</v>
      </c>
      <c r="N38" s="67">
        <v>0.1705685618729097</v>
      </c>
      <c r="O38" s="67">
        <v>0.57333333333333336</v>
      </c>
      <c r="P38" s="67">
        <v>0.31372549019607843</v>
      </c>
      <c r="Q38" s="67">
        <v>0.35135135135135137</v>
      </c>
    </row>
    <row r="39" spans="1:17" x14ac:dyDescent="0.4">
      <c r="A39" s="69">
        <v>36</v>
      </c>
      <c r="B39" s="66">
        <v>-130.69999999999999</v>
      </c>
      <c r="C39" s="66">
        <v>-3.6305555555555551</v>
      </c>
      <c r="D39" s="71">
        <v>2.1388888888888888</v>
      </c>
      <c r="E39" s="67">
        <v>0.25</v>
      </c>
      <c r="F39" s="67">
        <v>0.3888888888888889</v>
      </c>
      <c r="G39" s="67">
        <v>0.24104234527687296</v>
      </c>
      <c r="H39" s="67">
        <v>0.15960912052117263</v>
      </c>
      <c r="I39" s="68">
        <v>8487.8378378378384</v>
      </c>
      <c r="J39" s="68">
        <v>-7222.4489795918371</v>
      </c>
      <c r="K39" s="67">
        <v>2.7777777777777776E-2</v>
      </c>
      <c r="L39" s="67">
        <v>0.1111111111111111</v>
      </c>
      <c r="M39" s="67">
        <v>0.24429967426710097</v>
      </c>
      <c r="N39" s="67">
        <v>0.16938110749185667</v>
      </c>
      <c r="O39" s="67">
        <v>0.57333333333333336</v>
      </c>
      <c r="P39" s="67">
        <v>0.30769230769230771</v>
      </c>
      <c r="Q39" s="67">
        <v>0.35135135135135137</v>
      </c>
    </row>
    <row r="40" spans="1:17" x14ac:dyDescent="0.4">
      <c r="A40" s="69">
        <v>37</v>
      </c>
      <c r="B40" s="66">
        <v>-64.099999999999994</v>
      </c>
      <c r="C40" s="66">
        <v>-1.7324324324324323</v>
      </c>
      <c r="D40" s="71">
        <v>2.1081081081081079</v>
      </c>
      <c r="E40" s="67">
        <v>0.27027027027027029</v>
      </c>
      <c r="F40" s="67">
        <v>0.3783783783783784</v>
      </c>
      <c r="G40" s="67">
        <v>0.24281150159744408</v>
      </c>
      <c r="H40" s="67">
        <v>0.15654952076677317</v>
      </c>
      <c r="I40" s="68">
        <v>9001.3157894736851</v>
      </c>
      <c r="J40" s="68">
        <v>-7222.4489795918371</v>
      </c>
      <c r="K40" s="67">
        <v>2.7027027027027029E-2</v>
      </c>
      <c r="L40" s="67">
        <v>0.13513513513513514</v>
      </c>
      <c r="M40" s="67">
        <v>0.24281150159744408</v>
      </c>
      <c r="N40" s="67">
        <v>0.16932907348242812</v>
      </c>
      <c r="O40" s="67">
        <v>0.56578947368421051</v>
      </c>
      <c r="P40" s="67">
        <v>0.32075471698113206</v>
      </c>
      <c r="Q40" s="67">
        <v>0.34210526315789475</v>
      </c>
    </row>
    <row r="41" spans="1:17" x14ac:dyDescent="0.4">
      <c r="A41" s="69">
        <v>38</v>
      </c>
      <c r="B41" s="66">
        <v>-76.599999999999994</v>
      </c>
      <c r="C41" s="66">
        <v>-2.0157894736842104</v>
      </c>
      <c r="D41" s="71">
        <v>2.1052631578947367</v>
      </c>
      <c r="E41" s="67">
        <v>0.26315789473684209</v>
      </c>
      <c r="F41" s="67">
        <v>0.36842105263157893</v>
      </c>
      <c r="G41" s="67">
        <v>0.24374999999999999</v>
      </c>
      <c r="H41" s="67">
        <v>0.15937499999999999</v>
      </c>
      <c r="I41" s="68">
        <v>8955.1282051282051</v>
      </c>
      <c r="J41" s="68">
        <v>-7225.4901960784309</v>
      </c>
      <c r="K41" s="67">
        <v>2.6315789473684209E-2</v>
      </c>
      <c r="L41" s="67">
        <v>0.13157894736842105</v>
      </c>
      <c r="M41" s="67">
        <v>0.24687500000000001</v>
      </c>
      <c r="N41" s="67">
        <v>0.16875000000000001</v>
      </c>
      <c r="O41" s="67">
        <v>0.55696202531645567</v>
      </c>
      <c r="P41" s="67">
        <v>0.31481481481481483</v>
      </c>
      <c r="Q41" s="67">
        <v>0.34615384615384615</v>
      </c>
    </row>
    <row r="42" spans="1:17" x14ac:dyDescent="0.4">
      <c r="A42" s="69">
        <v>39</v>
      </c>
      <c r="B42" s="66">
        <v>-71.3</v>
      </c>
      <c r="C42" s="66">
        <v>-1.8282051282051281</v>
      </c>
      <c r="D42" s="71">
        <v>2.1025641025641026</v>
      </c>
      <c r="E42" s="67">
        <v>0.25641025641025639</v>
      </c>
      <c r="F42" s="67">
        <v>0.35897435897435898</v>
      </c>
      <c r="G42" s="67">
        <v>0.24770642201834864</v>
      </c>
      <c r="H42" s="67">
        <v>0.15596330275229359</v>
      </c>
      <c r="I42" s="68">
        <v>8769.1358024691363</v>
      </c>
      <c r="J42" s="68">
        <v>-7225.4901960784309</v>
      </c>
      <c r="K42" s="67">
        <v>2.564102564102564E-2</v>
      </c>
      <c r="L42" s="67">
        <v>0.12820512820512819</v>
      </c>
      <c r="M42" s="67">
        <v>0.25076452599388377</v>
      </c>
      <c r="N42" s="67">
        <v>0.16819571865443425</v>
      </c>
      <c r="O42" s="67">
        <v>0.57317073170731703</v>
      </c>
      <c r="P42" s="67">
        <v>0.30909090909090908</v>
      </c>
      <c r="Q42" s="67">
        <v>0.34567901234567899</v>
      </c>
    </row>
    <row r="43" spans="1:17" x14ac:dyDescent="0.4">
      <c r="A43" s="69">
        <v>40</v>
      </c>
      <c r="B43" s="66">
        <v>-65.2</v>
      </c>
      <c r="C43" s="66">
        <v>-1.6300000000000001</v>
      </c>
      <c r="D43" s="71">
        <v>2.1</v>
      </c>
      <c r="E43" s="67">
        <v>0.25</v>
      </c>
      <c r="F43" s="67">
        <v>0.35</v>
      </c>
      <c r="G43" s="67">
        <v>0.24850299401197604</v>
      </c>
      <c r="H43" s="67">
        <v>0.15269461077844312</v>
      </c>
      <c r="I43" s="68">
        <v>8744.5783132530123</v>
      </c>
      <c r="J43" s="68">
        <v>-7225.4901960784309</v>
      </c>
      <c r="K43" s="67">
        <v>2.5000000000000001E-2</v>
      </c>
      <c r="L43" s="67">
        <v>0.125</v>
      </c>
      <c r="M43" s="67">
        <v>0.24850299401197604</v>
      </c>
      <c r="N43" s="67">
        <v>0.17065868263473055</v>
      </c>
      <c r="O43" s="67">
        <v>0.5662650602409639</v>
      </c>
      <c r="P43" s="67">
        <v>0.33333333333333331</v>
      </c>
      <c r="Q43" s="67">
        <v>0.33734939759036142</v>
      </c>
    </row>
    <row r="44" spans="1:17" x14ac:dyDescent="0.4">
      <c r="A44" s="69">
        <v>41</v>
      </c>
      <c r="B44" s="66">
        <v>-100</v>
      </c>
      <c r="C44" s="66">
        <v>-2.4390243902439024</v>
      </c>
      <c r="D44" s="71">
        <v>2.1219512195121952</v>
      </c>
      <c r="E44" s="67">
        <v>0.24390243902439024</v>
      </c>
      <c r="F44" s="67">
        <v>0.36585365853658536</v>
      </c>
      <c r="G44" s="67">
        <v>0.24561403508771928</v>
      </c>
      <c r="H44" s="67">
        <v>0.15497076023391812</v>
      </c>
      <c r="I44" s="68">
        <v>8783.3333333333339</v>
      </c>
      <c r="J44" s="68">
        <v>-7277.3584905660373</v>
      </c>
      <c r="K44" s="67">
        <v>2.4390243902439025E-2</v>
      </c>
      <c r="L44" s="67">
        <v>0.12195121951219512</v>
      </c>
      <c r="M44" s="67">
        <v>0.24853801169590642</v>
      </c>
      <c r="N44" s="67">
        <v>0.16959064327485379</v>
      </c>
      <c r="O44" s="67">
        <v>0.56470588235294117</v>
      </c>
      <c r="P44" s="67">
        <v>0.32758620689655171</v>
      </c>
      <c r="Q44" s="67">
        <v>0.34523809523809523</v>
      </c>
    </row>
    <row r="45" spans="1:17" x14ac:dyDescent="0.4">
      <c r="A45" s="69">
        <v>42</v>
      </c>
      <c r="B45" s="66">
        <v>-65.5</v>
      </c>
      <c r="C45" s="66">
        <v>-1.5595238095238095</v>
      </c>
      <c r="D45" s="71">
        <v>2.0952380952380953</v>
      </c>
      <c r="E45" s="67">
        <v>0.26190476190476192</v>
      </c>
      <c r="F45" s="67">
        <v>0.35714285714285715</v>
      </c>
      <c r="G45" s="67">
        <v>0.24645892351274787</v>
      </c>
      <c r="H45" s="67">
        <v>0.15297450424929179</v>
      </c>
      <c r="I45" s="68">
        <v>9121.8390804597693</v>
      </c>
      <c r="J45" s="68">
        <v>-7290.7407407407409</v>
      </c>
      <c r="K45" s="67">
        <v>2.3809523809523808E-2</v>
      </c>
      <c r="L45" s="67">
        <v>0.11904761904761904</v>
      </c>
      <c r="M45" s="67">
        <v>0.25495750708215298</v>
      </c>
      <c r="N45" s="67">
        <v>0.1643059490084986</v>
      </c>
      <c r="O45" s="67">
        <v>0.56666666666666665</v>
      </c>
      <c r="P45" s="67">
        <v>0.32758620689655171</v>
      </c>
      <c r="Q45" s="67">
        <v>0.35632183908045978</v>
      </c>
    </row>
    <row r="46" spans="1:17" x14ac:dyDescent="0.4">
      <c r="A46" s="69">
        <v>43</v>
      </c>
      <c r="B46" s="66">
        <v>-52</v>
      </c>
      <c r="C46" s="66">
        <v>-1.2093023255813953</v>
      </c>
      <c r="D46" s="71">
        <v>2.0930232558139537</v>
      </c>
      <c r="E46" s="67">
        <v>0.2558139534883721</v>
      </c>
      <c r="F46" s="67">
        <v>0.34883720930232559</v>
      </c>
      <c r="G46" s="67">
        <v>0.24929971988795518</v>
      </c>
      <c r="H46" s="67">
        <v>0.15126050420168066</v>
      </c>
      <c r="I46" s="68">
        <v>9119.1011235955048</v>
      </c>
      <c r="J46" s="68">
        <v>-7290.7407407407409</v>
      </c>
      <c r="K46" s="67">
        <v>2.3255813953488372E-2</v>
      </c>
      <c r="L46" s="67">
        <v>0.11627906976744186</v>
      </c>
      <c r="M46" s="67">
        <v>0.25490196078431371</v>
      </c>
      <c r="N46" s="67">
        <v>0.16806722689075632</v>
      </c>
      <c r="O46" s="67">
        <v>0.5714285714285714</v>
      </c>
      <c r="P46" s="67">
        <v>0.33333333333333331</v>
      </c>
      <c r="Q46" s="67">
        <v>0.3595505617977528</v>
      </c>
    </row>
    <row r="47" spans="1:17" x14ac:dyDescent="0.4">
      <c r="A47" s="69">
        <v>44</v>
      </c>
      <c r="B47" s="66">
        <v>8.3999999999999986</v>
      </c>
      <c r="C47" s="66">
        <v>0.19090909090909089</v>
      </c>
      <c r="D47" s="71">
        <v>2.0681818181818183</v>
      </c>
      <c r="E47" s="67">
        <v>0.27272727272727271</v>
      </c>
      <c r="F47" s="67">
        <v>0.34090909090909088</v>
      </c>
      <c r="G47" s="67">
        <v>0.2541436464088398</v>
      </c>
      <c r="H47" s="67">
        <v>0.15193370165745856</v>
      </c>
      <c r="I47" s="68">
        <v>9278.2608695652179</v>
      </c>
      <c r="J47" s="68">
        <v>-7205.454545454545</v>
      </c>
      <c r="K47" s="67">
        <v>2.2727272727272728E-2</v>
      </c>
      <c r="L47" s="67">
        <v>0.13636363636363635</v>
      </c>
      <c r="M47" s="67">
        <v>0.25966850828729282</v>
      </c>
      <c r="N47" s="67">
        <v>0.16574585635359115</v>
      </c>
      <c r="O47" s="67">
        <v>0.58510638297872342</v>
      </c>
      <c r="P47" s="67">
        <v>0.33333333333333331</v>
      </c>
      <c r="Q47" s="67">
        <v>0.34782608695652173</v>
      </c>
    </row>
    <row r="48" spans="1:17" x14ac:dyDescent="0.4">
      <c r="A48" s="69">
        <v>45</v>
      </c>
      <c r="B48" s="66">
        <v>-32.5</v>
      </c>
      <c r="C48" s="66">
        <v>-0.72222222222222221</v>
      </c>
      <c r="D48" s="71">
        <v>2.088888888888889</v>
      </c>
      <c r="E48" s="67">
        <v>0.26666666666666666</v>
      </c>
      <c r="F48" s="67">
        <v>0.35555555555555557</v>
      </c>
      <c r="G48" s="67">
        <v>0.25067385444743934</v>
      </c>
      <c r="H48" s="67">
        <v>0.15633423180592992</v>
      </c>
      <c r="I48" s="68">
        <v>9264.5161290322576</v>
      </c>
      <c r="J48" s="68">
        <v>-7098.2758620689656</v>
      </c>
      <c r="K48" s="67">
        <v>2.2222222222222223E-2</v>
      </c>
      <c r="L48" s="67">
        <v>0.13333333333333333</v>
      </c>
      <c r="M48" s="67">
        <v>0.26145552560646901</v>
      </c>
      <c r="N48" s="67">
        <v>0.16172506738544473</v>
      </c>
      <c r="O48" s="67">
        <v>0.57731958762886593</v>
      </c>
      <c r="P48" s="67">
        <v>0.33333333333333331</v>
      </c>
      <c r="Q48" s="67">
        <v>0.35483870967741937</v>
      </c>
    </row>
    <row r="49" spans="1:17" x14ac:dyDescent="0.4">
      <c r="A49" s="69">
        <v>46</v>
      </c>
      <c r="B49" s="66">
        <v>-6.1000000000000014</v>
      </c>
      <c r="C49" s="66">
        <v>-0.13260869565217395</v>
      </c>
      <c r="D49" s="71">
        <v>2.0652173913043477</v>
      </c>
      <c r="E49" s="67">
        <v>0.28260869565217389</v>
      </c>
      <c r="F49" s="67">
        <v>0.34782608695652173</v>
      </c>
      <c r="G49" s="67">
        <v>0.24934383202099739</v>
      </c>
      <c r="H49" s="67">
        <v>0.15748031496062992</v>
      </c>
      <c r="I49" s="68">
        <v>9300</v>
      </c>
      <c r="J49" s="68">
        <v>-7016.666666666667</v>
      </c>
      <c r="K49" s="67">
        <v>2.1739130434782608E-2</v>
      </c>
      <c r="L49" s="67">
        <v>0.13043478260869565</v>
      </c>
      <c r="M49" s="67">
        <v>0.2572178477690289</v>
      </c>
      <c r="N49" s="67">
        <v>0.16535433070866143</v>
      </c>
      <c r="O49" s="67">
        <v>0.58163265306122447</v>
      </c>
      <c r="P49" s="67">
        <v>0.33333333333333331</v>
      </c>
      <c r="Q49" s="67">
        <v>0.35789473684210527</v>
      </c>
    </row>
    <row r="50" spans="1:17" x14ac:dyDescent="0.4">
      <c r="A50" s="69">
        <v>47</v>
      </c>
      <c r="B50" s="66">
        <v>-33.1</v>
      </c>
      <c r="C50" s="66">
        <v>-0.70425531914893624</v>
      </c>
      <c r="D50" s="71">
        <v>2.0851063829787235</v>
      </c>
      <c r="E50" s="67">
        <v>0.27659574468085107</v>
      </c>
      <c r="F50" s="67">
        <v>0.36170212765957449</v>
      </c>
      <c r="G50" s="67">
        <v>0.25125628140703515</v>
      </c>
      <c r="H50" s="67">
        <v>0.15577889447236182</v>
      </c>
      <c r="I50" s="68">
        <v>9392</v>
      </c>
      <c r="J50" s="68">
        <v>-7070.9677419354839</v>
      </c>
      <c r="K50" s="67">
        <v>2.1276595744680851E-2</v>
      </c>
      <c r="L50" s="67">
        <v>0.1276595744680851</v>
      </c>
      <c r="M50" s="67">
        <v>0.25879396984924624</v>
      </c>
      <c r="N50" s="67">
        <v>0.17085427135678391</v>
      </c>
      <c r="O50" s="67">
        <v>0.57281553398058249</v>
      </c>
      <c r="P50" s="67">
        <v>0.35294117647058826</v>
      </c>
      <c r="Q50" s="67">
        <v>0.37</v>
      </c>
    </row>
    <row r="51" spans="1:17" x14ac:dyDescent="0.4">
      <c r="A51" s="69">
        <v>48</v>
      </c>
      <c r="B51" s="66">
        <v>-33.800000000000004</v>
      </c>
      <c r="C51" s="66">
        <v>-0.70416666666666672</v>
      </c>
      <c r="D51" s="71">
        <v>2.0833333333333335</v>
      </c>
      <c r="E51" s="67">
        <v>0.27083333333333331</v>
      </c>
      <c r="F51" s="67">
        <v>0.35416666666666669</v>
      </c>
      <c r="G51" s="67">
        <v>0.25247524752475248</v>
      </c>
      <c r="H51" s="67">
        <v>0.15346534653465346</v>
      </c>
      <c r="I51" s="68">
        <v>9400.9803921568619</v>
      </c>
      <c r="J51" s="68">
        <v>-7070.9677419354839</v>
      </c>
      <c r="K51" s="67">
        <v>2.0833333333333332E-2</v>
      </c>
      <c r="L51" s="67">
        <v>0.125</v>
      </c>
      <c r="M51" s="67">
        <v>0.26237623762376239</v>
      </c>
      <c r="N51" s="67">
        <v>0.16831683168316833</v>
      </c>
      <c r="O51" s="67">
        <v>0.57547169811320753</v>
      </c>
      <c r="P51" s="67">
        <v>0.35294117647058826</v>
      </c>
      <c r="Q51" s="67">
        <v>0.37254901960784315</v>
      </c>
    </row>
    <row r="52" spans="1:17" x14ac:dyDescent="0.4">
      <c r="A52" s="69">
        <v>49</v>
      </c>
      <c r="B52" s="66">
        <v>-23.100000000000005</v>
      </c>
      <c r="C52" s="66">
        <v>-0.47142857142857153</v>
      </c>
      <c r="D52" s="71">
        <v>2.0816326530612246</v>
      </c>
      <c r="E52" s="67">
        <v>0.26530612244897961</v>
      </c>
      <c r="F52" s="67">
        <v>0.34693877551020408</v>
      </c>
      <c r="G52" s="67">
        <v>0.25423728813559321</v>
      </c>
      <c r="H52" s="67">
        <v>0.15254237288135594</v>
      </c>
      <c r="I52" s="68">
        <v>9396.1904761904771</v>
      </c>
      <c r="J52" s="68">
        <v>-7085.7142857142853</v>
      </c>
      <c r="K52" s="67">
        <v>2.0408163265306121E-2</v>
      </c>
      <c r="L52" s="67">
        <v>0.12244897959183673</v>
      </c>
      <c r="M52" s="67">
        <v>0.25907990314769974</v>
      </c>
      <c r="N52" s="67">
        <v>0.16949152542372881</v>
      </c>
      <c r="O52" s="67">
        <v>0.57943925233644855</v>
      </c>
      <c r="P52" s="67">
        <v>0.35714285714285715</v>
      </c>
      <c r="Q52" s="67">
        <v>0.39047619047619048</v>
      </c>
    </row>
    <row r="53" spans="1:17" x14ac:dyDescent="0.4">
      <c r="A53" s="69">
        <v>50</v>
      </c>
      <c r="B53" s="66">
        <v>-79.300000000000011</v>
      </c>
      <c r="C53" s="66">
        <v>-1.5860000000000003</v>
      </c>
      <c r="D53" s="71">
        <v>2.1</v>
      </c>
      <c r="E53" s="67">
        <v>0.26</v>
      </c>
      <c r="F53" s="67">
        <v>0.36</v>
      </c>
      <c r="G53" s="67">
        <v>0.24882629107981222</v>
      </c>
      <c r="H53" s="67">
        <v>0.15258215962441316</v>
      </c>
      <c r="I53" s="68">
        <v>9334.9056603773588</v>
      </c>
      <c r="J53" s="68">
        <v>-7267.6923076923076</v>
      </c>
      <c r="K53" s="67">
        <v>0.04</v>
      </c>
      <c r="L53" s="67">
        <v>0.12</v>
      </c>
      <c r="M53" s="67">
        <v>0.25352112676056338</v>
      </c>
      <c r="N53" s="67">
        <v>0.17840375586854459</v>
      </c>
      <c r="O53" s="67">
        <v>0.57407407407407407</v>
      </c>
      <c r="P53" s="67">
        <v>0.34210526315789475</v>
      </c>
      <c r="Q53" s="67">
        <v>0.3867924528301887</v>
      </c>
    </row>
    <row r="54" spans="1:17" x14ac:dyDescent="0.4">
      <c r="A54" s="69">
        <v>51</v>
      </c>
      <c r="B54" s="66">
        <v>-16.600000000000009</v>
      </c>
      <c r="C54" s="66">
        <v>-0.32549019607843155</v>
      </c>
      <c r="D54" s="71">
        <v>2.0784313725490198</v>
      </c>
      <c r="E54" s="67">
        <v>0.27450980392156865</v>
      </c>
      <c r="F54" s="67">
        <v>0.35294117647058826</v>
      </c>
      <c r="G54" s="67">
        <v>0.25231481481481483</v>
      </c>
      <c r="H54" s="67">
        <v>0.15509259259259259</v>
      </c>
      <c r="I54" s="68">
        <v>9573.3944954128438</v>
      </c>
      <c r="J54" s="68">
        <v>-7189.5522388059699</v>
      </c>
      <c r="K54" s="67">
        <v>3.9215686274509803E-2</v>
      </c>
      <c r="L54" s="67">
        <v>0.13725490196078433</v>
      </c>
      <c r="M54" s="67">
        <v>0.25925925925925924</v>
      </c>
      <c r="N54" s="67">
        <v>0.17592592592592593</v>
      </c>
      <c r="O54" s="67">
        <v>0.5803571428571429</v>
      </c>
      <c r="P54" s="67">
        <v>0.34210526315789475</v>
      </c>
      <c r="Q54" s="67">
        <v>0.39449541284403672</v>
      </c>
    </row>
    <row r="55" spans="1:17" x14ac:dyDescent="0.4">
      <c r="A55" s="69">
        <v>52</v>
      </c>
      <c r="B55" s="66">
        <v>18.499999999999993</v>
      </c>
      <c r="C55" s="66">
        <v>0.35576923076923062</v>
      </c>
      <c r="D55" s="71">
        <v>2.0576923076923075</v>
      </c>
      <c r="E55" s="67">
        <v>0.28846153846153844</v>
      </c>
      <c r="F55" s="67">
        <v>0.34615384615384615</v>
      </c>
      <c r="G55" s="67">
        <v>0.25623582766439912</v>
      </c>
      <c r="H55" s="67">
        <v>0.15873015873015872</v>
      </c>
      <c r="I55" s="68">
        <v>9616.8141592920347</v>
      </c>
      <c r="J55" s="68">
        <v>-7332.8571428571431</v>
      </c>
      <c r="K55" s="67">
        <v>3.8461538461538464E-2</v>
      </c>
      <c r="L55" s="67">
        <v>0.13461538461538461</v>
      </c>
      <c r="M55" s="67">
        <v>0.26303854875283444</v>
      </c>
      <c r="N55" s="67">
        <v>0.17460317460317459</v>
      </c>
      <c r="O55" s="67">
        <v>0.57758620689655171</v>
      </c>
      <c r="P55" s="67">
        <v>0.35064935064935066</v>
      </c>
      <c r="Q55" s="67">
        <v>0.39823008849557523</v>
      </c>
    </row>
    <row r="56" spans="1:17" x14ac:dyDescent="0.4">
      <c r="A56" s="69">
        <v>53</v>
      </c>
      <c r="B56" s="66">
        <v>-4.1000000000000085</v>
      </c>
      <c r="C56" s="66">
        <v>-7.7358490566037899E-2</v>
      </c>
      <c r="D56" s="71">
        <v>2.0754716981132075</v>
      </c>
      <c r="E56" s="67">
        <v>0.28301886792452829</v>
      </c>
      <c r="F56" s="67">
        <v>0.35849056603773582</v>
      </c>
      <c r="G56" s="67">
        <v>0.25389755011135856</v>
      </c>
      <c r="H56" s="67">
        <v>0.15812917594654788</v>
      </c>
      <c r="I56" s="68">
        <v>9578.9473684210534</v>
      </c>
      <c r="J56" s="68">
        <v>-7243.6619718309857</v>
      </c>
      <c r="K56" s="67">
        <v>3.7735849056603772E-2</v>
      </c>
      <c r="L56" s="67">
        <v>0.13207547169811321</v>
      </c>
      <c r="M56" s="67">
        <v>0.26280623608017817</v>
      </c>
      <c r="N56" s="67">
        <v>0.17594654788418709</v>
      </c>
      <c r="O56" s="67">
        <v>0.57627118644067798</v>
      </c>
      <c r="P56" s="67">
        <v>0.34177215189873417</v>
      </c>
      <c r="Q56" s="67">
        <v>0.40350877192982454</v>
      </c>
    </row>
    <row r="57" spans="1:17" x14ac:dyDescent="0.4">
      <c r="A57" s="69">
        <v>54</v>
      </c>
      <c r="B57" s="66">
        <v>13.099999999999991</v>
      </c>
      <c r="C57" s="66">
        <v>0.24259259259259242</v>
      </c>
      <c r="D57" s="71">
        <v>2.074074074074074</v>
      </c>
      <c r="E57" s="67">
        <v>0.27777777777777779</v>
      </c>
      <c r="F57" s="67">
        <v>0.35185185185185186</v>
      </c>
      <c r="G57" s="67">
        <v>0.25934065934065936</v>
      </c>
      <c r="H57" s="67">
        <v>0.16043956043956045</v>
      </c>
      <c r="I57" s="68">
        <v>9636.4406779661022</v>
      </c>
      <c r="J57" s="68">
        <v>-7427.3972602739723</v>
      </c>
      <c r="K57" s="67">
        <v>3.7037037037037035E-2</v>
      </c>
      <c r="L57" s="67">
        <v>0.12962962962962962</v>
      </c>
      <c r="M57" s="67">
        <v>0.2725274725274725</v>
      </c>
      <c r="N57" s="67">
        <v>0.17362637362637362</v>
      </c>
      <c r="O57" s="67">
        <v>0.58064516129032262</v>
      </c>
      <c r="P57" s="67">
        <v>0.34177215189873417</v>
      </c>
      <c r="Q57" s="67">
        <v>0.4152542372881356</v>
      </c>
    </row>
    <row r="58" spans="1:17" x14ac:dyDescent="0.4">
      <c r="A58" s="69">
        <v>55</v>
      </c>
      <c r="B58" s="66">
        <v>26.999999999999993</v>
      </c>
      <c r="C58" s="66">
        <v>0.4909090909090908</v>
      </c>
      <c r="D58" s="71">
        <v>2.0727272727272728</v>
      </c>
      <c r="E58" s="67">
        <v>0.27272727272727271</v>
      </c>
      <c r="F58" s="67">
        <v>0.34545454545454546</v>
      </c>
      <c r="G58" s="67">
        <v>0.26236559139784948</v>
      </c>
      <c r="H58" s="67">
        <v>0.15698924731182795</v>
      </c>
      <c r="I58" s="68">
        <v>9560.6557377049176</v>
      </c>
      <c r="J58" s="68">
        <v>-7427.3972602739723</v>
      </c>
      <c r="K58" s="67">
        <v>3.6363636363636362E-2</v>
      </c>
      <c r="L58" s="67">
        <v>0.12727272727272726</v>
      </c>
      <c r="M58" s="67">
        <v>0.27526881720430108</v>
      </c>
      <c r="N58" s="67">
        <v>0.17204301075268819</v>
      </c>
      <c r="O58" s="67">
        <v>0.5859375</v>
      </c>
      <c r="P58" s="67">
        <v>0.33750000000000002</v>
      </c>
      <c r="Q58" s="67">
        <v>0.40163934426229508</v>
      </c>
    </row>
    <row r="59" spans="1:17" x14ac:dyDescent="0.4">
      <c r="A59" s="69">
        <v>56</v>
      </c>
      <c r="B59" s="66">
        <v>-46.500000000000007</v>
      </c>
      <c r="C59" s="66">
        <v>-0.83035714285714302</v>
      </c>
      <c r="D59" s="71">
        <v>2.0892857142857144</v>
      </c>
      <c r="E59" s="67">
        <v>0.26785714285714285</v>
      </c>
      <c r="F59" s="67">
        <v>0.35714285714285715</v>
      </c>
      <c r="G59" s="67">
        <v>0.26012793176972282</v>
      </c>
      <c r="H59" s="67">
        <v>0.15991471215351813</v>
      </c>
      <c r="I59" s="68">
        <v>9560.6557377049176</v>
      </c>
      <c r="J59" s="68">
        <v>-7709.333333333333</v>
      </c>
      <c r="K59" s="67">
        <v>5.3571428571428568E-2</v>
      </c>
      <c r="L59" s="67">
        <v>0.125</v>
      </c>
      <c r="M59" s="67">
        <v>0.27505330490405117</v>
      </c>
      <c r="N59" s="67">
        <v>0.17270788912579957</v>
      </c>
      <c r="O59" s="67">
        <v>0.58139534883720934</v>
      </c>
      <c r="P59" s="67">
        <v>0.33333333333333331</v>
      </c>
      <c r="Q59" s="67">
        <v>0.40163934426229508</v>
      </c>
    </row>
    <row r="60" spans="1:17" x14ac:dyDescent="0.4">
      <c r="A60" s="69">
        <v>57</v>
      </c>
      <c r="B60" s="66">
        <v>-35.100000000000009</v>
      </c>
      <c r="C60" s="66">
        <v>-0.61578947368421066</v>
      </c>
      <c r="D60" s="71">
        <v>2.0877192982456139</v>
      </c>
      <c r="E60" s="67">
        <v>0.26315789473684209</v>
      </c>
      <c r="F60" s="67">
        <v>0.35087719298245612</v>
      </c>
      <c r="G60" s="67">
        <v>0.26160337552742619</v>
      </c>
      <c r="H60" s="67">
        <v>0.16033755274261605</v>
      </c>
      <c r="I60" s="68">
        <v>9567.7419354838712</v>
      </c>
      <c r="J60" s="68">
        <v>-7760.5263157894733</v>
      </c>
      <c r="K60" s="67">
        <v>5.2631578947368418E-2</v>
      </c>
      <c r="L60" s="67">
        <v>0.12280701754385964</v>
      </c>
      <c r="M60" s="67">
        <v>0.27637130801687765</v>
      </c>
      <c r="N60" s="67">
        <v>0.17088607594936708</v>
      </c>
      <c r="O60" s="67">
        <v>0.58778625954198471</v>
      </c>
      <c r="P60" s="67">
        <v>0.33333333333333331</v>
      </c>
      <c r="Q60" s="67">
        <v>0.41129032258064518</v>
      </c>
    </row>
    <row r="61" spans="1:17" x14ac:dyDescent="0.4">
      <c r="A61" s="69">
        <v>58</v>
      </c>
      <c r="B61" s="66">
        <v>-67.300000000000011</v>
      </c>
      <c r="C61" s="66">
        <v>-1.1603448275862072</v>
      </c>
      <c r="D61" s="71">
        <v>2.103448275862069</v>
      </c>
      <c r="E61" s="67">
        <v>0.25862068965517243</v>
      </c>
      <c r="F61" s="67">
        <v>0.36206896551724138</v>
      </c>
      <c r="G61" s="67">
        <v>0.25933609958506226</v>
      </c>
      <c r="H61" s="67">
        <v>0.15767634854771784</v>
      </c>
      <c r="I61" s="68">
        <v>9512</v>
      </c>
      <c r="J61" s="68">
        <v>-7760.5263157894733</v>
      </c>
      <c r="K61" s="67">
        <v>5.1724137931034482E-2</v>
      </c>
      <c r="L61" s="67">
        <v>0.1206896551724138</v>
      </c>
      <c r="M61" s="67">
        <v>0.27385892116182575</v>
      </c>
      <c r="N61" s="67">
        <v>0.17012448132780084</v>
      </c>
      <c r="O61" s="67">
        <v>0.58333333333333337</v>
      </c>
      <c r="P61" s="67">
        <v>0.34146341463414637</v>
      </c>
      <c r="Q61" s="67">
        <v>0.40799999999999997</v>
      </c>
    </row>
    <row r="62" spans="1:17" x14ac:dyDescent="0.4">
      <c r="A62" s="69">
        <v>59</v>
      </c>
      <c r="B62" s="66">
        <v>-52.70000000000001</v>
      </c>
      <c r="C62" s="66">
        <v>-0.89322033898305098</v>
      </c>
      <c r="D62" s="71">
        <v>2.1016949152542375</v>
      </c>
      <c r="E62" s="67">
        <v>0.25423728813559321</v>
      </c>
      <c r="F62" s="67">
        <v>0.3559322033898305</v>
      </c>
      <c r="G62" s="67">
        <v>0.25971370143149286</v>
      </c>
      <c r="H62" s="67">
        <v>0.15746421267893659</v>
      </c>
      <c r="I62" s="68">
        <v>9598.4251968503941</v>
      </c>
      <c r="J62" s="68">
        <v>-7815.5844155844152</v>
      </c>
      <c r="K62" s="67">
        <v>5.0847457627118647E-2</v>
      </c>
      <c r="L62" s="67">
        <v>0.11864406779661017</v>
      </c>
      <c r="M62" s="67">
        <v>0.27198364008179959</v>
      </c>
      <c r="N62" s="67">
        <v>0.17177914110429449</v>
      </c>
      <c r="O62" s="67">
        <v>0.5864661654135338</v>
      </c>
      <c r="P62" s="67">
        <v>0.34523809523809523</v>
      </c>
      <c r="Q62" s="67">
        <v>0.40157480314960631</v>
      </c>
    </row>
    <row r="63" spans="1:17" x14ac:dyDescent="0.4">
      <c r="A63" s="69">
        <v>60</v>
      </c>
      <c r="B63" s="66">
        <v>13.599999999999987</v>
      </c>
      <c r="C63" s="66">
        <v>0.22666666666666646</v>
      </c>
      <c r="D63" s="71">
        <v>2.0833333333333335</v>
      </c>
      <c r="E63" s="67">
        <v>0.26666666666666666</v>
      </c>
      <c r="F63" s="67">
        <v>0.35</v>
      </c>
      <c r="G63" s="67">
        <v>0.26534653465346536</v>
      </c>
      <c r="H63" s="67">
        <v>0.15445544554455445</v>
      </c>
      <c r="I63" s="68">
        <v>9640.2985074626868</v>
      </c>
      <c r="J63" s="68">
        <v>-7814.1025641025644</v>
      </c>
      <c r="K63" s="67">
        <v>0.05</v>
      </c>
      <c r="L63" s="67">
        <v>0.11666666666666667</v>
      </c>
      <c r="M63" s="67">
        <v>0.26732673267326734</v>
      </c>
      <c r="N63" s="67">
        <v>0.17821782178217821</v>
      </c>
      <c r="O63" s="67">
        <v>0.58518518518518514</v>
      </c>
      <c r="P63" s="67">
        <v>0.36666666666666664</v>
      </c>
      <c r="Q63" s="67">
        <v>0.41791044776119401</v>
      </c>
    </row>
    <row r="64" spans="1:17" x14ac:dyDescent="0.4">
      <c r="A64" s="69">
        <v>61</v>
      </c>
      <c r="B64" s="66">
        <v>-25.100000000000016</v>
      </c>
      <c r="C64" s="66">
        <v>-0.41147540983606584</v>
      </c>
      <c r="D64" s="71">
        <v>2.098360655737705</v>
      </c>
      <c r="E64" s="67">
        <v>0.26229508196721313</v>
      </c>
      <c r="F64" s="67">
        <v>0.36065573770491804</v>
      </c>
      <c r="G64" s="67">
        <v>0.26848249027237353</v>
      </c>
      <c r="H64" s="67">
        <v>0.15953307392996108</v>
      </c>
      <c r="I64" s="68">
        <v>9544.927536231884</v>
      </c>
      <c r="J64" s="68">
        <v>-7900</v>
      </c>
      <c r="K64" s="67">
        <v>4.9180327868852458E-2</v>
      </c>
      <c r="L64" s="67">
        <v>0.11475409836065574</v>
      </c>
      <c r="M64" s="67">
        <v>0.2723735408560311</v>
      </c>
      <c r="N64" s="67">
        <v>0.18093385214007782</v>
      </c>
      <c r="O64" s="67">
        <v>0.59285714285714286</v>
      </c>
      <c r="P64" s="67">
        <v>0.35483870967741937</v>
      </c>
      <c r="Q64" s="67">
        <v>0.40579710144927539</v>
      </c>
    </row>
    <row r="65" spans="1:17" x14ac:dyDescent="0.4">
      <c r="A65" s="69">
        <v>62</v>
      </c>
      <c r="B65" s="66">
        <v>-27.600000000000016</v>
      </c>
      <c r="C65" s="66">
        <v>-0.44516129032258089</v>
      </c>
      <c r="D65" s="71">
        <v>2.096774193548387</v>
      </c>
      <c r="E65" s="67">
        <v>0.25806451612903225</v>
      </c>
      <c r="F65" s="67">
        <v>0.35483870967741937</v>
      </c>
      <c r="G65" s="67">
        <v>0.26782273603082851</v>
      </c>
      <c r="H65" s="67">
        <v>0.15799614643545279</v>
      </c>
      <c r="I65" s="68">
        <v>9533.8129496402871</v>
      </c>
      <c r="J65" s="68">
        <v>-7900</v>
      </c>
      <c r="K65" s="67">
        <v>4.8387096774193547E-2</v>
      </c>
      <c r="L65" s="67">
        <v>0.11290322580645161</v>
      </c>
      <c r="M65" s="67">
        <v>0.26974951830443161</v>
      </c>
      <c r="N65" s="67">
        <v>0.1811175337186898</v>
      </c>
      <c r="O65" s="67">
        <v>0.59285714285714286</v>
      </c>
      <c r="P65" s="67">
        <v>0.36170212765957449</v>
      </c>
      <c r="Q65" s="67">
        <v>0.40287769784172661</v>
      </c>
    </row>
    <row r="66" spans="1:17" x14ac:dyDescent="0.4">
      <c r="A66" s="69">
        <v>63</v>
      </c>
      <c r="B66" s="66">
        <v>19.999999999999986</v>
      </c>
      <c r="C66" s="66">
        <v>0.31746031746031722</v>
      </c>
      <c r="D66" s="71">
        <v>2.0793650793650795</v>
      </c>
      <c r="E66" s="67">
        <v>0.26984126984126983</v>
      </c>
      <c r="F66" s="67">
        <v>0.34920634920634919</v>
      </c>
      <c r="G66" s="67">
        <v>0.27221172022684309</v>
      </c>
      <c r="H66" s="67">
        <v>0.16068052930056712</v>
      </c>
      <c r="I66" s="68">
        <v>9534.0277777777774</v>
      </c>
      <c r="J66" s="68">
        <v>-7834.1176470588234</v>
      </c>
      <c r="K66" s="67">
        <v>4.7619047619047616E-2</v>
      </c>
      <c r="L66" s="67">
        <v>0.1111111111111111</v>
      </c>
      <c r="M66" s="67">
        <v>0.27221172022684309</v>
      </c>
      <c r="N66" s="67">
        <v>0.18147448015122875</v>
      </c>
      <c r="O66" s="67">
        <v>0.59027777777777779</v>
      </c>
      <c r="P66" s="67">
        <v>0.375</v>
      </c>
      <c r="Q66" s="67">
        <v>0.40972222222222221</v>
      </c>
    </row>
    <row r="67" spans="1:17" x14ac:dyDescent="0.4">
      <c r="A67" s="69">
        <v>64</v>
      </c>
      <c r="B67" s="66">
        <v>60.099999999999987</v>
      </c>
      <c r="C67" s="66">
        <v>0.9390624999999998</v>
      </c>
      <c r="D67" s="71">
        <v>2.0625</v>
      </c>
      <c r="E67" s="67">
        <v>0.28125</v>
      </c>
      <c r="F67" s="67">
        <v>0.34375</v>
      </c>
      <c r="G67" s="67">
        <v>0.27339449541284405</v>
      </c>
      <c r="H67" s="67">
        <v>0.16146788990825689</v>
      </c>
      <c r="I67" s="68">
        <v>9625.5033557046972</v>
      </c>
      <c r="J67" s="68">
        <v>-7707.954545454545</v>
      </c>
      <c r="K67" s="67">
        <v>4.6875E-2</v>
      </c>
      <c r="L67" s="67">
        <v>0.109375</v>
      </c>
      <c r="M67" s="67">
        <v>0.27339449541284405</v>
      </c>
      <c r="N67" s="67">
        <v>0.1853211009174312</v>
      </c>
      <c r="O67" s="67">
        <v>0.58389261744966447</v>
      </c>
      <c r="P67" s="67">
        <v>0.38613861386138615</v>
      </c>
      <c r="Q67" s="67">
        <v>0.41610738255033558</v>
      </c>
    </row>
    <row r="68" spans="1:17" x14ac:dyDescent="0.4">
      <c r="A68" s="69">
        <v>65</v>
      </c>
      <c r="B68" s="66">
        <v>131.6</v>
      </c>
      <c r="C68" s="66">
        <v>2.0246153846153847</v>
      </c>
      <c r="D68" s="71">
        <v>2.046153846153846</v>
      </c>
      <c r="E68" s="67">
        <v>0.29230769230769232</v>
      </c>
      <c r="F68" s="67">
        <v>0.33846153846153848</v>
      </c>
      <c r="G68" s="67">
        <v>0.27617328519855594</v>
      </c>
      <c r="H68" s="67">
        <v>0.16064981949458484</v>
      </c>
      <c r="I68" s="68">
        <v>9700.6535947712418</v>
      </c>
      <c r="J68" s="68">
        <v>-7643.8202247191011</v>
      </c>
      <c r="K68" s="67">
        <v>4.6153846153846156E-2</v>
      </c>
      <c r="L68" s="67">
        <v>0.12307692307692308</v>
      </c>
      <c r="M68" s="67">
        <v>0.27978339350180503</v>
      </c>
      <c r="N68" s="67">
        <v>0.18592057761732853</v>
      </c>
      <c r="O68" s="67">
        <v>0.58064516129032262</v>
      </c>
      <c r="P68" s="67">
        <v>0.38834951456310679</v>
      </c>
      <c r="Q68" s="67">
        <v>0.42483660130718953</v>
      </c>
    </row>
    <row r="69" spans="1:17" x14ac:dyDescent="0.4">
      <c r="A69" s="69">
        <v>66</v>
      </c>
      <c r="B69" s="66">
        <v>86.1</v>
      </c>
      <c r="C69" s="66">
        <v>1.3045454545454545</v>
      </c>
      <c r="D69" s="71">
        <v>2.0606060606060606</v>
      </c>
      <c r="E69" s="67">
        <v>0.2878787878787879</v>
      </c>
      <c r="F69" s="67">
        <v>0.34848484848484851</v>
      </c>
      <c r="G69" s="67">
        <v>0.27886323268206037</v>
      </c>
      <c r="H69" s="67">
        <v>0.16341030195381884</v>
      </c>
      <c r="I69" s="68">
        <v>9550.3184713375795</v>
      </c>
      <c r="J69" s="68">
        <v>-7795.652173913043</v>
      </c>
      <c r="K69" s="67">
        <v>4.5454545454545456E-2</v>
      </c>
      <c r="L69" s="67">
        <v>0.12121212121212122</v>
      </c>
      <c r="M69" s="67">
        <v>0.28063943161634103</v>
      </c>
      <c r="N69" s="67">
        <v>0.18650088809946713</v>
      </c>
      <c r="O69" s="67">
        <v>0.58227848101265822</v>
      </c>
      <c r="P69" s="67">
        <v>0.39047619047619048</v>
      </c>
      <c r="Q69" s="67">
        <v>0.42675159235668791</v>
      </c>
    </row>
    <row r="70" spans="1:17" x14ac:dyDescent="0.4">
      <c r="A70" s="69">
        <v>67</v>
      </c>
      <c r="B70" s="66">
        <v>154.1</v>
      </c>
      <c r="C70" s="66">
        <v>2.2999999999999998</v>
      </c>
      <c r="D70" s="71">
        <v>2.044776119402985</v>
      </c>
      <c r="E70" s="67">
        <v>0.29850746268656714</v>
      </c>
      <c r="F70" s="67">
        <v>0.34328358208955223</v>
      </c>
      <c r="G70" s="67">
        <v>0.28021015761821366</v>
      </c>
      <c r="H70" s="67">
        <v>0.16462346760070051</v>
      </c>
      <c r="I70" s="68">
        <v>9796.25</v>
      </c>
      <c r="J70" s="68">
        <v>-7773.4042553191493</v>
      </c>
      <c r="K70" s="67">
        <v>4.4776119402985072E-2</v>
      </c>
      <c r="L70" s="67">
        <v>0.13432835820895522</v>
      </c>
      <c r="M70" s="67">
        <v>0.28021015761821366</v>
      </c>
      <c r="N70" s="67">
        <v>0.18563922942206654</v>
      </c>
      <c r="O70" s="67">
        <v>0.58750000000000002</v>
      </c>
      <c r="P70" s="67">
        <v>0.39622641509433965</v>
      </c>
      <c r="Q70" s="67">
        <v>0.43125000000000002</v>
      </c>
    </row>
    <row r="71" spans="1:17" x14ac:dyDescent="0.4">
      <c r="A71" s="69">
        <v>68</v>
      </c>
      <c r="B71" s="66">
        <v>152.29999999999998</v>
      </c>
      <c r="C71" s="66">
        <v>2.2397058823529408</v>
      </c>
      <c r="D71" s="71">
        <v>2.0441176470588234</v>
      </c>
      <c r="E71" s="67">
        <v>0.29411764705882354</v>
      </c>
      <c r="F71" s="67">
        <v>0.33823529411764708</v>
      </c>
      <c r="G71" s="67">
        <v>0.2795138888888889</v>
      </c>
      <c r="H71" s="67">
        <v>0.16493055555555555</v>
      </c>
      <c r="I71" s="68">
        <v>9809.9378881987577</v>
      </c>
      <c r="J71" s="68">
        <v>-7775.7894736842109</v>
      </c>
      <c r="K71" s="67">
        <v>4.4117647058823532E-2</v>
      </c>
      <c r="L71" s="67">
        <v>0.13235294117647059</v>
      </c>
      <c r="M71" s="67">
        <v>0.2795138888888889</v>
      </c>
      <c r="N71" s="67">
        <v>0.1857638888888889</v>
      </c>
      <c r="O71" s="67">
        <v>0.59006211180124224</v>
      </c>
      <c r="P71" s="67">
        <v>0.3925233644859813</v>
      </c>
      <c r="Q71" s="67">
        <v>0.43478260869565216</v>
      </c>
    </row>
    <row r="72" spans="1:17" x14ac:dyDescent="0.4">
      <c r="A72" s="69">
        <v>69</v>
      </c>
      <c r="B72" s="66">
        <v>106.19999999999999</v>
      </c>
      <c r="C72" s="66">
        <v>1.5391304347826085</v>
      </c>
      <c r="D72" s="71">
        <v>2.0579710144927534</v>
      </c>
      <c r="E72" s="67">
        <v>0.28985507246376813</v>
      </c>
      <c r="F72" s="67">
        <v>0.34782608695652173</v>
      </c>
      <c r="G72" s="67">
        <v>0.27796610169491526</v>
      </c>
      <c r="H72" s="67">
        <v>0.16271186440677965</v>
      </c>
      <c r="I72" s="68">
        <v>9756.707317073171</v>
      </c>
      <c r="J72" s="68">
        <v>-7819.791666666667</v>
      </c>
      <c r="K72" s="67">
        <v>4.3478260869565216E-2</v>
      </c>
      <c r="L72" s="67">
        <v>0.13043478260869565</v>
      </c>
      <c r="M72" s="67">
        <v>0.27796610169491526</v>
      </c>
      <c r="N72" s="67">
        <v>0.1864406779661017</v>
      </c>
      <c r="O72" s="67">
        <v>0.58536585365853655</v>
      </c>
      <c r="P72" s="67">
        <v>0.4</v>
      </c>
      <c r="Q72" s="67">
        <v>0.43292682926829268</v>
      </c>
    </row>
    <row r="73" spans="1:17" x14ac:dyDescent="0.4">
      <c r="A73" s="69">
        <v>70</v>
      </c>
      <c r="B73" s="66">
        <v>146.79999999999998</v>
      </c>
      <c r="C73" s="66">
        <v>2.097142857142857</v>
      </c>
      <c r="D73" s="71">
        <v>2.0428571428571427</v>
      </c>
      <c r="E73" s="67">
        <v>0.3</v>
      </c>
      <c r="F73" s="67">
        <v>0.34285714285714286</v>
      </c>
      <c r="G73" s="67">
        <v>0.2797319932998325</v>
      </c>
      <c r="H73" s="67">
        <v>0.1624790619765494</v>
      </c>
      <c r="I73" s="68">
        <v>9797.0059880239514</v>
      </c>
      <c r="J73" s="68">
        <v>-7779.3814432989693</v>
      </c>
      <c r="K73" s="67">
        <v>4.2857142857142858E-2</v>
      </c>
      <c r="L73" s="67">
        <v>0.12857142857142856</v>
      </c>
      <c r="M73" s="67">
        <v>0.27805695142378561</v>
      </c>
      <c r="N73" s="67">
        <v>0.18592964824120603</v>
      </c>
      <c r="O73" s="67">
        <v>0.59036144578313254</v>
      </c>
      <c r="P73" s="67">
        <v>0.40540540540540543</v>
      </c>
      <c r="Q73" s="67">
        <v>0.43712574850299402</v>
      </c>
    </row>
    <row r="74" spans="1:17" x14ac:dyDescent="0.4">
      <c r="A74" s="69">
        <v>71</v>
      </c>
      <c r="B74" s="66">
        <v>88.799999999999983</v>
      </c>
      <c r="C74" s="66">
        <v>1.2507042253521123</v>
      </c>
      <c r="D74" s="71">
        <v>2.056338028169014</v>
      </c>
      <c r="E74" s="67">
        <v>0.29577464788732394</v>
      </c>
      <c r="F74" s="67">
        <v>0.352112676056338</v>
      </c>
      <c r="G74" s="67">
        <v>0.27787021630615638</v>
      </c>
      <c r="H74" s="67">
        <v>0.16638935108153077</v>
      </c>
      <c r="I74" s="68">
        <v>9797.0059880239514</v>
      </c>
      <c r="J74" s="68">
        <v>-7806</v>
      </c>
      <c r="K74" s="67">
        <v>5.6338028169014086E-2</v>
      </c>
      <c r="L74" s="67">
        <v>0.12676056338028169</v>
      </c>
      <c r="M74" s="67">
        <v>0.28286189683860236</v>
      </c>
      <c r="N74" s="67">
        <v>0.18469217970049917</v>
      </c>
      <c r="O74" s="67">
        <v>0.57647058823529407</v>
      </c>
      <c r="P74" s="67">
        <v>0.40540540540540543</v>
      </c>
      <c r="Q74" s="67">
        <v>0.43712574850299402</v>
      </c>
    </row>
    <row r="75" spans="1:17" x14ac:dyDescent="0.4">
      <c r="A75" s="69">
        <v>72</v>
      </c>
      <c r="B75" s="66">
        <v>98.299999999999983</v>
      </c>
      <c r="C75" s="66">
        <v>1.3652777777777776</v>
      </c>
      <c r="D75" s="71">
        <v>2.0555555555555554</v>
      </c>
      <c r="E75" s="67">
        <v>0.29166666666666669</v>
      </c>
      <c r="F75" s="67">
        <v>0.34722222222222221</v>
      </c>
      <c r="G75" s="67">
        <v>0.27941176470588236</v>
      </c>
      <c r="H75" s="67">
        <v>0.16666666666666666</v>
      </c>
      <c r="I75" s="68">
        <v>9761.9883040935674</v>
      </c>
      <c r="J75" s="68">
        <v>-7748.0392156862745</v>
      </c>
      <c r="K75" s="67">
        <v>5.5555555555555552E-2</v>
      </c>
      <c r="L75" s="67">
        <v>0.125</v>
      </c>
      <c r="M75" s="67">
        <v>0.28431372549019607</v>
      </c>
      <c r="N75" s="67">
        <v>0.184640522875817</v>
      </c>
      <c r="O75" s="67">
        <v>0.58045977011494254</v>
      </c>
      <c r="P75" s="67">
        <v>0.40707964601769914</v>
      </c>
      <c r="Q75" s="67">
        <v>0.43274853801169588</v>
      </c>
    </row>
    <row r="76" spans="1:17" x14ac:dyDescent="0.4">
      <c r="A76" s="69">
        <v>73</v>
      </c>
      <c r="B76" s="66">
        <v>156.29999999999998</v>
      </c>
      <c r="C76" s="66">
        <v>2.1410958904109587</v>
      </c>
      <c r="D76" s="71">
        <v>2.0410958904109591</v>
      </c>
      <c r="E76" s="67">
        <v>0.30136986301369861</v>
      </c>
      <c r="F76" s="67">
        <v>0.34246575342465752</v>
      </c>
      <c r="G76" s="67">
        <v>0.27993527508090615</v>
      </c>
      <c r="H76" s="67">
        <v>0.16828478964401294</v>
      </c>
      <c r="I76" s="68">
        <v>9926.5895953757226</v>
      </c>
      <c r="J76" s="68">
        <v>-7724.0384615384619</v>
      </c>
      <c r="K76" s="67">
        <v>5.4794520547945202E-2</v>
      </c>
      <c r="L76" s="67">
        <v>0.13698630136986301</v>
      </c>
      <c r="M76" s="67">
        <v>0.28478964401294499</v>
      </c>
      <c r="N76" s="67">
        <v>0.18608414239482202</v>
      </c>
      <c r="O76" s="67">
        <v>0.58522727272727271</v>
      </c>
      <c r="P76" s="67">
        <v>0.4</v>
      </c>
      <c r="Q76" s="67">
        <v>0.43352601156069365</v>
      </c>
    </row>
    <row r="77" spans="1:17" x14ac:dyDescent="0.4">
      <c r="A77" s="69">
        <v>74</v>
      </c>
      <c r="B77" s="66">
        <v>99.299999999999983</v>
      </c>
      <c r="C77" s="66">
        <v>1.3418918918918916</v>
      </c>
      <c r="D77" s="71">
        <v>2.0540540540540539</v>
      </c>
      <c r="E77" s="67">
        <v>0.29729729729729731</v>
      </c>
      <c r="F77" s="67">
        <v>0.35135135135135137</v>
      </c>
      <c r="G77" s="67">
        <v>0.27858293075684382</v>
      </c>
      <c r="H77" s="67">
        <v>0.17230273752012881</v>
      </c>
      <c r="I77" s="68">
        <v>9926.5895953757226</v>
      </c>
      <c r="J77" s="68">
        <v>-7843.9252336448599</v>
      </c>
      <c r="K77" s="67">
        <v>6.7567567567567571E-2</v>
      </c>
      <c r="L77" s="67">
        <v>0.13513513513513514</v>
      </c>
      <c r="M77" s="67">
        <v>0.28341384863123992</v>
      </c>
      <c r="N77" s="67">
        <v>0.18840579710144928</v>
      </c>
      <c r="O77" s="67">
        <v>0.58522727272727271</v>
      </c>
      <c r="P77" s="67">
        <v>0.39316239316239315</v>
      </c>
      <c r="Q77" s="67">
        <v>0.43352601156069365</v>
      </c>
    </row>
    <row r="78" spans="1:17" x14ac:dyDescent="0.4">
      <c r="A78" s="69">
        <v>75</v>
      </c>
      <c r="B78" s="66">
        <v>145.29999999999998</v>
      </c>
      <c r="C78" s="66">
        <v>1.9373333333333331</v>
      </c>
      <c r="D78" s="71">
        <v>2.04</v>
      </c>
      <c r="E78" s="67">
        <v>0.30666666666666664</v>
      </c>
      <c r="F78" s="67">
        <v>0.34666666666666668</v>
      </c>
      <c r="G78" s="67">
        <v>0.28298887122416533</v>
      </c>
      <c r="H78" s="67">
        <v>0.17170111287758347</v>
      </c>
      <c r="I78" s="68">
        <v>9939.8876404494385</v>
      </c>
      <c r="J78" s="68">
        <v>-7845.3703703703704</v>
      </c>
      <c r="K78" s="67">
        <v>6.6666666666666666E-2</v>
      </c>
      <c r="L78" s="67">
        <v>0.13333333333333333</v>
      </c>
      <c r="M78" s="67">
        <v>0.2861685214626391</v>
      </c>
      <c r="N78" s="67">
        <v>0.18759936406995231</v>
      </c>
      <c r="O78" s="67">
        <v>0.58888888888888891</v>
      </c>
      <c r="P78" s="67">
        <v>0.39830508474576271</v>
      </c>
      <c r="Q78" s="67">
        <v>0.42696629213483145</v>
      </c>
    </row>
    <row r="79" spans="1:17" x14ac:dyDescent="0.4">
      <c r="A79" s="69">
        <v>76</v>
      </c>
      <c r="B79" s="66">
        <v>163.29999999999998</v>
      </c>
      <c r="C79" s="66">
        <v>2.1486842105263158</v>
      </c>
      <c r="D79" s="71">
        <v>2.0394736842105261</v>
      </c>
      <c r="E79" s="67">
        <v>0.30263157894736842</v>
      </c>
      <c r="F79" s="67">
        <v>0.34210526315789475</v>
      </c>
      <c r="G79" s="67">
        <v>0.28322784810126583</v>
      </c>
      <c r="H79" s="67">
        <v>0.17088607594936708</v>
      </c>
      <c r="I79" s="68">
        <v>10018.435754189944</v>
      </c>
      <c r="J79" s="68">
        <v>-7845.3703703703704</v>
      </c>
      <c r="K79" s="67">
        <v>6.5789473684210523E-2</v>
      </c>
      <c r="L79" s="67">
        <v>0.13157894736842105</v>
      </c>
      <c r="M79" s="67">
        <v>0.2848101265822785</v>
      </c>
      <c r="N79" s="67">
        <v>0.18829113924050633</v>
      </c>
      <c r="O79" s="67">
        <v>0.58888888888888891</v>
      </c>
      <c r="P79" s="67">
        <v>0.40336134453781514</v>
      </c>
      <c r="Q79" s="67">
        <v>0.42458100558659218</v>
      </c>
    </row>
    <row r="80" spans="1:17" x14ac:dyDescent="0.4">
      <c r="A80" s="69">
        <v>77</v>
      </c>
      <c r="B80" s="66">
        <v>89.59999999999998</v>
      </c>
      <c r="C80" s="66">
        <v>1.1636363636363634</v>
      </c>
      <c r="D80" s="71">
        <v>2.051948051948052</v>
      </c>
      <c r="E80" s="67">
        <v>0.29870129870129869</v>
      </c>
      <c r="F80" s="67">
        <v>0.35064935064935066</v>
      </c>
      <c r="G80" s="67">
        <v>0.28081123244929795</v>
      </c>
      <c r="H80" s="67">
        <v>0.17628705148205928</v>
      </c>
      <c r="I80" s="68">
        <v>10062.777777777777</v>
      </c>
      <c r="J80" s="68">
        <v>-8037.1681415929206</v>
      </c>
      <c r="K80" s="67">
        <v>7.792207792207792E-2</v>
      </c>
      <c r="L80" s="67">
        <v>0.12987012987012986</v>
      </c>
      <c r="M80" s="67">
        <v>0.28549141965678626</v>
      </c>
      <c r="N80" s="67">
        <v>0.19188767550702029</v>
      </c>
      <c r="O80" s="67">
        <v>0.57923497267759561</v>
      </c>
      <c r="P80" s="67">
        <v>0.3983739837398374</v>
      </c>
      <c r="Q80" s="67">
        <v>0.42222222222222222</v>
      </c>
    </row>
    <row r="81" spans="1:17" x14ac:dyDescent="0.4">
      <c r="A81" s="69">
        <v>78</v>
      </c>
      <c r="B81" s="66">
        <v>94.299999999999983</v>
      </c>
      <c r="C81" s="66">
        <v>1.2089743589743587</v>
      </c>
      <c r="D81" s="71">
        <v>2.0512820512820511</v>
      </c>
      <c r="E81" s="67">
        <v>0.29487179487179488</v>
      </c>
      <c r="F81" s="67">
        <v>0.34615384615384615</v>
      </c>
      <c r="G81" s="67">
        <v>0.28240740740740738</v>
      </c>
      <c r="H81" s="67">
        <v>0.17592592592592593</v>
      </c>
      <c r="I81" s="68">
        <v>10057.92349726776</v>
      </c>
      <c r="J81" s="68">
        <v>-8107.0175438596489</v>
      </c>
      <c r="K81" s="67">
        <v>7.6923076923076927E-2</v>
      </c>
      <c r="L81" s="67">
        <v>0.12820512820512819</v>
      </c>
      <c r="M81" s="67">
        <v>0.28858024691358025</v>
      </c>
      <c r="N81" s="67">
        <v>0.19135802469135801</v>
      </c>
      <c r="O81" s="67">
        <v>0.58288770053475936</v>
      </c>
      <c r="P81" s="67">
        <v>0.39516129032258063</v>
      </c>
      <c r="Q81" s="67">
        <v>0.42076502732240439</v>
      </c>
    </row>
    <row r="82" spans="1:17" x14ac:dyDescent="0.4">
      <c r="A82" s="69">
        <v>79</v>
      </c>
      <c r="B82" s="66">
        <v>118.49999999999999</v>
      </c>
      <c r="C82" s="66">
        <v>1.4999999999999998</v>
      </c>
      <c r="D82" s="71">
        <v>2.037974683544304</v>
      </c>
      <c r="E82" s="67">
        <v>0.30379746835443039</v>
      </c>
      <c r="F82" s="67">
        <v>0.34177215189873417</v>
      </c>
      <c r="G82" s="67">
        <v>0.28376327769347498</v>
      </c>
      <c r="H82" s="67">
        <v>0.17754172989377845</v>
      </c>
      <c r="I82" s="68">
        <v>9977.5401069518721</v>
      </c>
      <c r="J82" s="68">
        <v>-8087.1794871794873</v>
      </c>
      <c r="K82" s="67">
        <v>7.5949367088607597E-2</v>
      </c>
      <c r="L82" s="67">
        <v>0.12658227848101267</v>
      </c>
      <c r="M82" s="67">
        <v>0.2898330804248862</v>
      </c>
      <c r="N82" s="67">
        <v>0.19423368740515934</v>
      </c>
      <c r="O82" s="67">
        <v>0.5759162303664922</v>
      </c>
      <c r="P82" s="67">
        <v>0.40625</v>
      </c>
      <c r="Q82" s="67">
        <v>0.42245989304812837</v>
      </c>
    </row>
    <row r="83" spans="1:17" x14ac:dyDescent="0.4">
      <c r="A83" s="69">
        <v>80</v>
      </c>
      <c r="B83" s="66">
        <v>109.69999999999999</v>
      </c>
      <c r="C83" s="66">
        <v>1.3712499999999999</v>
      </c>
      <c r="D83" s="71">
        <v>2.0375000000000001</v>
      </c>
      <c r="E83" s="67">
        <v>0.3</v>
      </c>
      <c r="F83" s="67">
        <v>0.33750000000000002</v>
      </c>
      <c r="G83" s="67">
        <v>0.28313253012048195</v>
      </c>
      <c r="H83" s="67">
        <v>0.17771084337349397</v>
      </c>
      <c r="I83" s="68">
        <v>9967.021276595744</v>
      </c>
      <c r="J83" s="68">
        <v>-8059.3220338983047</v>
      </c>
      <c r="K83" s="67">
        <v>7.4999999999999997E-2</v>
      </c>
      <c r="L83" s="67">
        <v>0.125</v>
      </c>
      <c r="M83" s="67">
        <v>0.29066265060240964</v>
      </c>
      <c r="N83" s="67">
        <v>0.19427710843373494</v>
      </c>
      <c r="O83" s="67">
        <v>0.57512953367875652</v>
      </c>
      <c r="P83" s="67">
        <v>0.40310077519379844</v>
      </c>
      <c r="Q83" s="67">
        <v>0.42021276595744683</v>
      </c>
    </row>
    <row r="84" spans="1:17" x14ac:dyDescent="0.4">
      <c r="A84" s="69">
        <v>81</v>
      </c>
      <c r="B84" s="66">
        <v>173.1</v>
      </c>
      <c r="C84" s="66">
        <v>2.1370370370370368</v>
      </c>
      <c r="D84" s="71">
        <v>2.0246913580246915</v>
      </c>
      <c r="E84" s="67">
        <v>0.30864197530864196</v>
      </c>
      <c r="F84" s="67">
        <v>0.33333333333333331</v>
      </c>
      <c r="G84" s="67">
        <v>0.28464977645305511</v>
      </c>
      <c r="H84" s="67">
        <v>0.17585692995529062</v>
      </c>
      <c r="I84" s="68">
        <v>10089.005235602095</v>
      </c>
      <c r="J84" s="68">
        <v>-8059.3220338983047</v>
      </c>
      <c r="K84" s="67">
        <v>7.407407407407407E-2</v>
      </c>
      <c r="L84" s="67">
        <v>0.13580246913580246</v>
      </c>
      <c r="M84" s="67">
        <v>0.29210134128166915</v>
      </c>
      <c r="N84" s="67">
        <v>0.19374068554396423</v>
      </c>
      <c r="O84" s="67">
        <v>0.57653061224489799</v>
      </c>
      <c r="P84" s="67">
        <v>0.40769230769230769</v>
      </c>
      <c r="Q84" s="67">
        <v>0.42408376963350786</v>
      </c>
    </row>
    <row r="85" spans="1:17" x14ac:dyDescent="0.4">
      <c r="A85" s="69">
        <v>82</v>
      </c>
      <c r="B85" s="66">
        <v>214.1</v>
      </c>
      <c r="C85" s="66">
        <v>2.6109756097560974</v>
      </c>
      <c r="D85" s="71">
        <v>2.0121951219512195</v>
      </c>
      <c r="E85" s="67">
        <v>0.31707317073170732</v>
      </c>
      <c r="F85" s="67">
        <v>0.32926829268292684</v>
      </c>
      <c r="G85" s="67">
        <v>0.28592375366568917</v>
      </c>
      <c r="H85" s="67">
        <v>0.1744868035190616</v>
      </c>
      <c r="I85" s="68">
        <v>10080</v>
      </c>
      <c r="J85" s="68">
        <v>-8092.4369747899163</v>
      </c>
      <c r="K85" s="67">
        <v>7.3170731707317069E-2</v>
      </c>
      <c r="L85" s="67">
        <v>0.13414634146341464</v>
      </c>
      <c r="M85" s="67">
        <v>0.29472140762463345</v>
      </c>
      <c r="N85" s="67">
        <v>0.1906158357771261</v>
      </c>
      <c r="O85" s="67">
        <v>0.57213930348258701</v>
      </c>
      <c r="P85" s="67">
        <v>0.40769230769230769</v>
      </c>
      <c r="Q85" s="67">
        <v>0.41538461538461541</v>
      </c>
    </row>
    <row r="86" spans="1:17" x14ac:dyDescent="0.4">
      <c r="A86" s="69">
        <v>83</v>
      </c>
      <c r="B86" s="66">
        <v>210.9</v>
      </c>
      <c r="C86" s="66">
        <v>2.5409638554216869</v>
      </c>
      <c r="D86" s="71">
        <v>2.0120481927710845</v>
      </c>
      <c r="E86" s="67">
        <v>0.31325301204819278</v>
      </c>
      <c r="F86" s="67">
        <v>0.3253012048192771</v>
      </c>
      <c r="G86" s="67">
        <v>0.28592162554426703</v>
      </c>
      <c r="H86" s="67">
        <v>0.17271407837445574</v>
      </c>
      <c r="I86" s="68">
        <v>10031.472081218275</v>
      </c>
      <c r="J86" s="68">
        <v>-8092.4369747899163</v>
      </c>
      <c r="K86" s="67">
        <v>7.2289156626506021E-2</v>
      </c>
      <c r="L86" s="67">
        <v>0.13253012048192772</v>
      </c>
      <c r="M86" s="67">
        <v>0.2960812772133527</v>
      </c>
      <c r="N86" s="67">
        <v>0.19013062409288825</v>
      </c>
      <c r="O86" s="67">
        <v>0.57352941176470584</v>
      </c>
      <c r="P86" s="67">
        <v>0.40458015267175573</v>
      </c>
      <c r="Q86" s="67">
        <v>0.41116751269035534</v>
      </c>
    </row>
    <row r="87" spans="1:17" x14ac:dyDescent="0.4">
      <c r="A87" s="69">
        <v>84</v>
      </c>
      <c r="B87" s="66">
        <v>275.10000000000002</v>
      </c>
      <c r="C87" s="66">
        <v>3.2750000000000004</v>
      </c>
      <c r="D87" s="71">
        <v>2</v>
      </c>
      <c r="E87" s="67">
        <v>0.32142857142857145</v>
      </c>
      <c r="F87" s="67">
        <v>0.32142857142857145</v>
      </c>
      <c r="G87" s="67">
        <v>0.28898426323319026</v>
      </c>
      <c r="H87" s="67">
        <v>0.17024320457796852</v>
      </c>
      <c r="I87" s="68">
        <v>10054.455445544554</v>
      </c>
      <c r="J87" s="68">
        <v>-8092.4369747899163</v>
      </c>
      <c r="K87" s="67">
        <v>7.1428571428571425E-2</v>
      </c>
      <c r="L87" s="67">
        <v>0.14285714285714285</v>
      </c>
      <c r="M87" s="67">
        <v>0.29327610872675253</v>
      </c>
      <c r="N87" s="67">
        <v>0.19170243204577969</v>
      </c>
      <c r="O87" s="67">
        <v>0.57560975609756093</v>
      </c>
      <c r="P87" s="67">
        <v>0.41791044776119401</v>
      </c>
      <c r="Q87" s="67">
        <v>0.40594059405940597</v>
      </c>
    </row>
    <row r="88" spans="1:17" x14ac:dyDescent="0.4">
      <c r="A88" s="69">
        <v>85</v>
      </c>
      <c r="B88" s="66">
        <v>213.10000000000002</v>
      </c>
      <c r="C88" s="66">
        <v>2.507058823529412</v>
      </c>
      <c r="D88" s="71">
        <v>2.0117647058823529</v>
      </c>
      <c r="E88" s="67">
        <v>0.31764705882352939</v>
      </c>
      <c r="F88" s="67">
        <v>0.32941176470588235</v>
      </c>
      <c r="G88" s="67">
        <v>0.2867231638418079</v>
      </c>
      <c r="H88" s="67">
        <v>0.16949152542372881</v>
      </c>
      <c r="I88" s="68">
        <v>10064.039408866995</v>
      </c>
      <c r="J88" s="68">
        <v>-8291.6666666666661</v>
      </c>
      <c r="K88" s="67">
        <v>8.2352941176470587E-2</v>
      </c>
      <c r="L88" s="67">
        <v>0.14117647058823529</v>
      </c>
      <c r="M88" s="67">
        <v>0.2923728813559322</v>
      </c>
      <c r="N88" s="67">
        <v>0.18926553672316385</v>
      </c>
      <c r="O88" s="67">
        <v>0.5748792270531401</v>
      </c>
      <c r="P88" s="67">
        <v>0.41791044776119401</v>
      </c>
      <c r="Q88" s="67">
        <v>0.40886699507389163</v>
      </c>
    </row>
    <row r="89" spans="1:17" x14ac:dyDescent="0.4">
      <c r="A89" s="69">
        <v>86</v>
      </c>
      <c r="B89" s="66">
        <v>158.50000000000003</v>
      </c>
      <c r="C89" s="66">
        <v>1.8430232558139539</v>
      </c>
      <c r="D89" s="71">
        <v>2.0232558139534884</v>
      </c>
      <c r="E89" s="67">
        <v>0.31395348837209303</v>
      </c>
      <c r="F89" s="67">
        <v>0.33720930232558138</v>
      </c>
      <c r="G89" s="67">
        <v>0.28491620111731841</v>
      </c>
      <c r="H89" s="67">
        <v>0.1717877094972067</v>
      </c>
      <c r="I89" s="68">
        <v>10033.823529411764</v>
      </c>
      <c r="J89" s="68">
        <v>-8311.3821138211388</v>
      </c>
      <c r="K89" s="67">
        <v>8.1395348837209308E-2</v>
      </c>
      <c r="L89" s="67">
        <v>0.13953488372093023</v>
      </c>
      <c r="M89" s="67">
        <v>0.29329608938547486</v>
      </c>
      <c r="N89" s="67">
        <v>0.18854748603351956</v>
      </c>
      <c r="O89" s="67">
        <v>0.56666666666666665</v>
      </c>
      <c r="P89" s="67">
        <v>0.42222222222222222</v>
      </c>
      <c r="Q89" s="67">
        <v>0.40686274509803921</v>
      </c>
    </row>
    <row r="90" spans="1:17" x14ac:dyDescent="0.4">
      <c r="A90" s="69">
        <v>87</v>
      </c>
      <c r="B90" s="66">
        <v>102.50000000000003</v>
      </c>
      <c r="C90" s="66">
        <v>1.1781609195402303</v>
      </c>
      <c r="D90" s="71">
        <v>2.0344827586206895</v>
      </c>
      <c r="E90" s="67">
        <v>0.31034482758620691</v>
      </c>
      <c r="F90" s="67">
        <v>0.34482758620689657</v>
      </c>
      <c r="G90" s="67">
        <v>0.28254847645429365</v>
      </c>
      <c r="H90" s="67">
        <v>0.17313019390581719</v>
      </c>
      <c r="I90" s="68">
        <v>10033.823529411764</v>
      </c>
      <c r="J90" s="68">
        <v>-8434.4</v>
      </c>
      <c r="K90" s="67">
        <v>9.1954022988505746E-2</v>
      </c>
      <c r="L90" s="67">
        <v>0.13793103448275862</v>
      </c>
      <c r="M90" s="67">
        <v>0.29224376731301938</v>
      </c>
      <c r="N90" s="67">
        <v>0.18975069252077562</v>
      </c>
      <c r="O90" s="67">
        <v>0.56398104265402849</v>
      </c>
      <c r="P90" s="67">
        <v>0.41605839416058393</v>
      </c>
      <c r="Q90" s="67">
        <v>0.40686274509803921</v>
      </c>
    </row>
    <row r="91" spans="1:17" x14ac:dyDescent="0.4">
      <c r="A91" s="69">
        <v>88</v>
      </c>
      <c r="B91" s="66">
        <v>46.300000000000026</v>
      </c>
      <c r="C91" s="66">
        <v>0.52613636363636396</v>
      </c>
      <c r="D91" s="71">
        <v>2.0454545454545454</v>
      </c>
      <c r="E91" s="67">
        <v>0.30681818181818182</v>
      </c>
      <c r="F91" s="67">
        <v>0.35227272727272729</v>
      </c>
      <c r="G91" s="67">
        <v>0.28159340659340659</v>
      </c>
      <c r="H91" s="67">
        <v>0.17445054945054944</v>
      </c>
      <c r="I91" s="68">
        <v>10010.731707317073</v>
      </c>
      <c r="J91" s="68">
        <v>-8534.645669291338</v>
      </c>
      <c r="K91" s="67">
        <v>0.10227272727272728</v>
      </c>
      <c r="L91" s="67">
        <v>0.13636363636363635</v>
      </c>
      <c r="M91" s="67">
        <v>0.29120879120879123</v>
      </c>
      <c r="N91" s="67">
        <v>0.18818681318681318</v>
      </c>
      <c r="O91" s="67">
        <v>0.56603773584905659</v>
      </c>
      <c r="P91" s="67">
        <v>0.41605839416058393</v>
      </c>
      <c r="Q91" s="67">
        <v>0.40975609756097559</v>
      </c>
    </row>
    <row r="92" spans="1:17" x14ac:dyDescent="0.4">
      <c r="A92" s="69">
        <v>89</v>
      </c>
      <c r="B92" s="66">
        <v>32.000000000000028</v>
      </c>
      <c r="C92" s="66">
        <v>0.35955056179775313</v>
      </c>
      <c r="D92" s="71">
        <v>2.0449438202247192</v>
      </c>
      <c r="E92" s="67">
        <v>0.30337078651685395</v>
      </c>
      <c r="F92" s="67">
        <v>0.34831460674157305</v>
      </c>
      <c r="G92" s="67">
        <v>0.28360215053763443</v>
      </c>
      <c r="H92" s="67">
        <v>0.17473118279569894</v>
      </c>
      <c r="I92" s="68">
        <v>9831.2796208530799</v>
      </c>
      <c r="J92" s="68">
        <v>-8504.6153846153848</v>
      </c>
      <c r="K92" s="67">
        <v>0.10112359550561797</v>
      </c>
      <c r="L92" s="67">
        <v>0.1348314606741573</v>
      </c>
      <c r="M92" s="67">
        <v>0.29166666666666669</v>
      </c>
      <c r="N92" s="67">
        <v>0.18817204301075269</v>
      </c>
      <c r="O92" s="67">
        <v>0.56221198156682028</v>
      </c>
      <c r="P92" s="67">
        <v>0.41428571428571431</v>
      </c>
      <c r="Q92" s="67">
        <v>0.41232227488151657</v>
      </c>
    </row>
    <row r="93" spans="1:17" x14ac:dyDescent="0.4">
      <c r="A93" s="69">
        <v>90</v>
      </c>
      <c r="B93" s="66">
        <v>1.7000000000000277</v>
      </c>
      <c r="C93" s="66">
        <v>1.8888888888889198E-2</v>
      </c>
      <c r="D93" s="71">
        <v>2.0444444444444443</v>
      </c>
      <c r="E93" s="67">
        <v>0.3</v>
      </c>
      <c r="F93" s="67">
        <v>0.34444444444444444</v>
      </c>
      <c r="G93" s="67">
        <v>0.28249336870026526</v>
      </c>
      <c r="H93" s="67">
        <v>0.17506631299734748</v>
      </c>
      <c r="I93" s="68">
        <v>9828.1690140845076</v>
      </c>
      <c r="J93" s="68">
        <v>-8572.7272727272721</v>
      </c>
      <c r="K93" s="67">
        <v>0.1</v>
      </c>
      <c r="L93" s="67">
        <v>0.13333333333333333</v>
      </c>
      <c r="M93" s="67">
        <v>0.29045092838196285</v>
      </c>
      <c r="N93" s="67">
        <v>0.18965517241379309</v>
      </c>
      <c r="O93" s="67">
        <v>0.56164383561643838</v>
      </c>
      <c r="P93" s="67">
        <v>0.41258741258741261</v>
      </c>
      <c r="Q93" s="67">
        <v>0.41314553990610331</v>
      </c>
    </row>
    <row r="94" spans="1:17" x14ac:dyDescent="0.4">
      <c r="A94" s="69">
        <v>91</v>
      </c>
      <c r="B94" s="66">
        <v>-9.1999999999999726</v>
      </c>
      <c r="C94" s="66">
        <v>-0.1010989010989008</v>
      </c>
      <c r="D94" s="71">
        <v>2.0439560439560438</v>
      </c>
      <c r="E94" s="67">
        <v>0.2967032967032967</v>
      </c>
      <c r="F94" s="67">
        <v>0.34065934065934067</v>
      </c>
      <c r="G94" s="67">
        <v>0.28252299605781866</v>
      </c>
      <c r="H94" s="67">
        <v>0.1773981603153745</v>
      </c>
      <c r="I94" s="68">
        <v>9848.3720930232557</v>
      </c>
      <c r="J94" s="68">
        <v>-8548.1481481481478</v>
      </c>
      <c r="K94" s="67">
        <v>9.8901098901098897E-2</v>
      </c>
      <c r="L94" s="67">
        <v>0.13186813186813187</v>
      </c>
      <c r="M94" s="67">
        <v>0.29040735873850199</v>
      </c>
      <c r="N94" s="67">
        <v>0.18922470433639949</v>
      </c>
      <c r="O94" s="67">
        <v>0.56561085972850678</v>
      </c>
      <c r="P94" s="67">
        <v>0.40972222222222221</v>
      </c>
      <c r="Q94" s="67">
        <v>0.413953488372093</v>
      </c>
    </row>
    <row r="95" spans="1:17" x14ac:dyDescent="0.4">
      <c r="A95" s="69">
        <v>92</v>
      </c>
      <c r="B95" s="66">
        <v>-69.199999999999974</v>
      </c>
      <c r="C95" s="66">
        <v>-0.75217391304347803</v>
      </c>
      <c r="D95" s="71">
        <v>2.0543478260869565</v>
      </c>
      <c r="E95" s="67">
        <v>0.29347826086956524</v>
      </c>
      <c r="F95" s="67">
        <v>0.34782608695652173</v>
      </c>
      <c r="G95" s="67">
        <v>0.28088426527958388</v>
      </c>
      <c r="H95" s="67">
        <v>0.17685305591677503</v>
      </c>
      <c r="I95" s="68">
        <v>9812.0370370370365</v>
      </c>
      <c r="J95" s="68">
        <v>-8544.1176470588234</v>
      </c>
      <c r="K95" s="67">
        <v>0.10869565217391304</v>
      </c>
      <c r="L95" s="67">
        <v>0.13043478260869565</v>
      </c>
      <c r="M95" s="67">
        <v>0.28998699609882966</v>
      </c>
      <c r="N95" s="67">
        <v>0.19115734720416125</v>
      </c>
      <c r="O95" s="67">
        <v>0.5605381165919282</v>
      </c>
      <c r="P95" s="67">
        <v>0.40816326530612246</v>
      </c>
      <c r="Q95" s="67">
        <v>0.41203703703703703</v>
      </c>
    </row>
    <row r="96" spans="1:17" x14ac:dyDescent="0.4">
      <c r="A96" s="69">
        <v>93</v>
      </c>
      <c r="B96" s="66">
        <v>-125.79999999999998</v>
      </c>
      <c r="C96" s="66">
        <v>-1.3526881720430106</v>
      </c>
      <c r="D96" s="71">
        <v>2.064516129032258</v>
      </c>
      <c r="E96" s="67">
        <v>0.29032258064516131</v>
      </c>
      <c r="F96" s="67">
        <v>0.35483870967741937</v>
      </c>
      <c r="G96" s="67">
        <v>0.27963917525773196</v>
      </c>
      <c r="H96" s="67">
        <v>0.17912371134020619</v>
      </c>
      <c r="I96" s="68">
        <v>9790.7834101382487</v>
      </c>
      <c r="J96" s="68">
        <v>-8467.625899280576</v>
      </c>
      <c r="K96" s="67">
        <v>0.11827956989247312</v>
      </c>
      <c r="L96" s="67">
        <v>0.12903225806451613</v>
      </c>
      <c r="M96" s="67">
        <v>0.29123711340206188</v>
      </c>
      <c r="N96" s="67">
        <v>0.19072164948453607</v>
      </c>
      <c r="O96" s="67">
        <v>0.55752212389380529</v>
      </c>
      <c r="P96" s="67">
        <v>0.40540540540540543</v>
      </c>
      <c r="Q96" s="67">
        <v>0.41013824884792627</v>
      </c>
    </row>
    <row r="97" spans="1:17" x14ac:dyDescent="0.4">
      <c r="A97" s="69">
        <v>94</v>
      </c>
      <c r="B97" s="66">
        <v>-44.799999999999983</v>
      </c>
      <c r="C97" s="66">
        <v>-0.47659574468085086</v>
      </c>
      <c r="D97" s="71">
        <v>2.0531914893617023</v>
      </c>
      <c r="E97" s="67">
        <v>0.2978723404255319</v>
      </c>
      <c r="F97" s="67">
        <v>0.35106382978723405</v>
      </c>
      <c r="G97" s="67">
        <v>0.28241335044929394</v>
      </c>
      <c r="H97" s="67">
        <v>0.17843388960205392</v>
      </c>
      <c r="I97" s="68">
        <v>9930</v>
      </c>
      <c r="J97" s="68">
        <v>-8467.625899280576</v>
      </c>
      <c r="K97" s="67">
        <v>0.11702127659574468</v>
      </c>
      <c r="L97" s="67">
        <v>0.13829787234042554</v>
      </c>
      <c r="M97" s="67">
        <v>0.29396662387676509</v>
      </c>
      <c r="N97" s="67">
        <v>0.18998716302952504</v>
      </c>
      <c r="O97" s="67">
        <v>0.5633187772925764</v>
      </c>
      <c r="P97" s="67">
        <v>0.40540540540540543</v>
      </c>
      <c r="Q97" s="67">
        <v>0.40909090909090912</v>
      </c>
    </row>
    <row r="98" spans="1:17" x14ac:dyDescent="0.4">
      <c r="A98" s="69">
        <v>95</v>
      </c>
      <c r="B98" s="66">
        <v>-1.8999999999999844</v>
      </c>
      <c r="C98" s="66">
        <v>-1.9999999999999834E-2</v>
      </c>
      <c r="D98" s="71">
        <v>2.0421052631578949</v>
      </c>
      <c r="E98" s="67">
        <v>0.30526315789473685</v>
      </c>
      <c r="F98" s="67">
        <v>0.3473684210526316</v>
      </c>
      <c r="G98" s="67">
        <v>0.28517110266159695</v>
      </c>
      <c r="H98" s="67">
        <v>0.17870722433460076</v>
      </c>
      <c r="I98" s="68">
        <v>9938.6666666666661</v>
      </c>
      <c r="J98" s="68">
        <v>-8431.9148936170204</v>
      </c>
      <c r="K98" s="67">
        <v>0.11578947368421053</v>
      </c>
      <c r="L98" s="67">
        <v>0.14736842105263157</v>
      </c>
      <c r="M98" s="67">
        <v>0.29404309252217997</v>
      </c>
      <c r="N98" s="67">
        <v>0.1926489226869455</v>
      </c>
      <c r="O98" s="67">
        <v>0.56465517241379315</v>
      </c>
      <c r="P98" s="67">
        <v>0.40789473684210525</v>
      </c>
      <c r="Q98" s="67">
        <v>0.40888888888888891</v>
      </c>
    </row>
    <row r="99" spans="1:17" x14ac:dyDescent="0.4">
      <c r="A99" s="69">
        <v>96</v>
      </c>
      <c r="B99" s="66">
        <v>-48.599999999999987</v>
      </c>
      <c r="C99" s="66">
        <v>-0.50624999999999987</v>
      </c>
      <c r="D99" s="71">
        <v>2.0520833333333335</v>
      </c>
      <c r="E99" s="67">
        <v>0.30208333333333331</v>
      </c>
      <c r="F99" s="67">
        <v>0.35416666666666669</v>
      </c>
      <c r="G99" s="67">
        <v>0.28339575530586769</v>
      </c>
      <c r="H99" s="67">
        <v>0.17852684144818975</v>
      </c>
      <c r="I99" s="68">
        <v>9990.7488986784138</v>
      </c>
      <c r="J99" s="68">
        <v>-8548.9510489510485</v>
      </c>
      <c r="K99" s="67">
        <v>0.11458333333333333</v>
      </c>
      <c r="L99" s="67">
        <v>0.14583333333333334</v>
      </c>
      <c r="M99" s="67">
        <v>0.2908863920099875</v>
      </c>
      <c r="N99" s="67">
        <v>0.19475655430711611</v>
      </c>
      <c r="O99" s="67">
        <v>0.5622317596566524</v>
      </c>
      <c r="P99" s="67">
        <v>0.41025641025641024</v>
      </c>
      <c r="Q99" s="67">
        <v>0.40528634361233479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CCA12-830C-4BD8-9B6F-A44D921E18D5}">
  <sheetPr codeName="Sheet12"/>
  <dimension ref="A1:Q10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  <row r="26" spans="1:17" x14ac:dyDescent="0.4">
      <c r="A26" s="69">
        <v>23</v>
      </c>
      <c r="B26" s="66">
        <v>-737.19999999999993</v>
      </c>
      <c r="C26" s="66">
        <v>-32.052173913043475</v>
      </c>
      <c r="D26" s="71">
        <v>2.5652173913043477</v>
      </c>
      <c r="E26" s="67">
        <v>8.6956521739130432E-2</v>
      </c>
      <c r="F26" s="67">
        <v>0.65217391304347827</v>
      </c>
      <c r="G26" s="67">
        <v>0.18324607329842932</v>
      </c>
      <c r="H26" s="67">
        <v>0.21989528795811519</v>
      </c>
      <c r="I26" s="68">
        <v>7302.8571428571431</v>
      </c>
      <c r="J26" s="68">
        <v>-9802.3809523809523</v>
      </c>
      <c r="K26" s="67">
        <v>0.2608695652173913</v>
      </c>
      <c r="L26" s="67">
        <v>0</v>
      </c>
      <c r="M26" s="67">
        <v>0.2356020942408377</v>
      </c>
      <c r="N26" s="67">
        <v>0.11518324607329843</v>
      </c>
      <c r="O26" s="67">
        <v>0.46666666666666667</v>
      </c>
      <c r="P26" s="67">
        <v>0.18181818181818182</v>
      </c>
      <c r="Q26" s="67">
        <v>0.48571428571428571</v>
      </c>
    </row>
    <row r="27" spans="1:17" x14ac:dyDescent="0.4">
      <c r="A27" s="69">
        <v>24</v>
      </c>
      <c r="B27" s="66">
        <v>-817.09999999999991</v>
      </c>
      <c r="C27" s="66">
        <v>-34.045833333333327</v>
      </c>
      <c r="D27" s="71">
        <v>2.5833333333333335</v>
      </c>
      <c r="E27" s="67">
        <v>8.3333333333333329E-2</v>
      </c>
      <c r="F27" s="67">
        <v>0.66666666666666663</v>
      </c>
      <c r="G27" s="67">
        <v>0.18181818181818182</v>
      </c>
      <c r="H27" s="67">
        <v>0.21717171717171718</v>
      </c>
      <c r="I27" s="68">
        <v>7600</v>
      </c>
      <c r="J27" s="68">
        <v>-10690.697674418605</v>
      </c>
      <c r="K27" s="67">
        <v>0.29166666666666669</v>
      </c>
      <c r="L27" s="67">
        <v>0</v>
      </c>
      <c r="M27" s="67">
        <v>0.23737373737373738</v>
      </c>
      <c r="N27" s="67">
        <v>0.11616161616161616</v>
      </c>
      <c r="O27" s="67">
        <v>0.46808510638297873</v>
      </c>
      <c r="P27" s="67">
        <v>0.17391304347826086</v>
      </c>
      <c r="Q27" s="67">
        <v>0.47222222222222221</v>
      </c>
    </row>
    <row r="28" spans="1:17" x14ac:dyDescent="0.4">
      <c r="A28" s="69">
        <v>25</v>
      </c>
      <c r="B28" s="66">
        <v>-783.69999999999993</v>
      </c>
      <c r="C28" s="66">
        <v>-31.347999999999999</v>
      </c>
      <c r="D28" s="71">
        <v>2.52</v>
      </c>
      <c r="E28" s="67">
        <v>0.12</v>
      </c>
      <c r="F28" s="67">
        <v>0.64</v>
      </c>
      <c r="G28" s="67">
        <v>0.1941747572815534</v>
      </c>
      <c r="H28" s="67">
        <v>0.21844660194174756</v>
      </c>
      <c r="I28" s="68">
        <v>7672.5</v>
      </c>
      <c r="J28" s="68">
        <v>-10695.555555555555</v>
      </c>
      <c r="K28" s="67">
        <v>0.28000000000000003</v>
      </c>
      <c r="L28" s="67">
        <v>0</v>
      </c>
      <c r="M28" s="67">
        <v>0.24757281553398058</v>
      </c>
      <c r="N28" s="67">
        <v>0.11165048543689321</v>
      </c>
      <c r="O28" s="67">
        <v>0.49019607843137253</v>
      </c>
      <c r="P28" s="67">
        <v>0.17391304347826086</v>
      </c>
      <c r="Q28" s="67">
        <v>0.5</v>
      </c>
    </row>
    <row r="29" spans="1:17" x14ac:dyDescent="0.4">
      <c r="A29" s="69">
        <v>26</v>
      </c>
      <c r="B29" s="66">
        <v>-818.49999999999989</v>
      </c>
      <c r="C29" s="66">
        <v>-31.480769230769226</v>
      </c>
      <c r="D29" s="71">
        <v>2.5384615384615383</v>
      </c>
      <c r="E29" s="67">
        <v>0.11538461538461539</v>
      </c>
      <c r="F29" s="67">
        <v>0.65384615384615385</v>
      </c>
      <c r="G29" s="67">
        <v>0.19339622641509435</v>
      </c>
      <c r="H29" s="67">
        <v>0.22641509433962265</v>
      </c>
      <c r="I29" s="68">
        <v>7680.4878048780483</v>
      </c>
      <c r="J29" s="68">
        <v>-10462.5</v>
      </c>
      <c r="K29" s="67">
        <v>0.26923076923076922</v>
      </c>
      <c r="L29" s="67">
        <v>0</v>
      </c>
      <c r="M29" s="67">
        <v>0.24528301886792453</v>
      </c>
      <c r="N29" s="67">
        <v>0.12264150943396226</v>
      </c>
      <c r="O29" s="67">
        <v>0.5</v>
      </c>
      <c r="P29" s="67">
        <v>0.15384615384615385</v>
      </c>
      <c r="Q29" s="67">
        <v>0.51219512195121952</v>
      </c>
    </row>
    <row r="30" spans="1:17" x14ac:dyDescent="0.4">
      <c r="A30" s="69">
        <v>27</v>
      </c>
      <c r="B30" s="66">
        <v>-876.19999999999993</v>
      </c>
      <c r="C30" s="66">
        <v>-32.451851851851849</v>
      </c>
      <c r="D30" s="71">
        <v>2.5555555555555554</v>
      </c>
      <c r="E30" s="67">
        <v>0.1111111111111111</v>
      </c>
      <c r="F30" s="67">
        <v>0.66666666666666663</v>
      </c>
      <c r="G30" s="67">
        <v>0.18468468468468469</v>
      </c>
      <c r="H30" s="67">
        <v>0.22972972972972974</v>
      </c>
      <c r="I30" s="68">
        <v>7680.4878048780483</v>
      </c>
      <c r="J30" s="68">
        <v>-10100</v>
      </c>
      <c r="K30" s="67">
        <v>0.29629629629629628</v>
      </c>
      <c r="L30" s="67">
        <v>0</v>
      </c>
      <c r="M30" s="67">
        <v>0.24324324324324326</v>
      </c>
      <c r="N30" s="67">
        <v>0.13513513513513514</v>
      </c>
      <c r="O30" s="67">
        <v>0.48148148148148145</v>
      </c>
      <c r="P30" s="67">
        <v>0.13333333333333333</v>
      </c>
      <c r="Q30" s="67">
        <v>0.51219512195121952</v>
      </c>
    </row>
    <row r="31" spans="1:17" x14ac:dyDescent="0.4">
      <c r="A31" s="69">
        <v>28</v>
      </c>
      <c r="B31" s="66">
        <v>-931.09999999999991</v>
      </c>
      <c r="C31" s="66">
        <v>-33.253571428571426</v>
      </c>
      <c r="D31" s="71">
        <v>2.5714285714285716</v>
      </c>
      <c r="E31" s="67">
        <v>0.10714285714285714</v>
      </c>
      <c r="F31" s="67">
        <v>0.6785714285714286</v>
      </c>
      <c r="G31" s="67">
        <v>0.1774891774891775</v>
      </c>
      <c r="H31" s="67">
        <v>0.22077922077922077</v>
      </c>
      <c r="I31" s="68">
        <v>7680.4878048780483</v>
      </c>
      <c r="J31" s="68">
        <v>-10100</v>
      </c>
      <c r="K31" s="67">
        <v>0.2857142857142857</v>
      </c>
      <c r="L31" s="67">
        <v>0</v>
      </c>
      <c r="M31" s="67">
        <v>0.23809523809523808</v>
      </c>
      <c r="N31" s="67">
        <v>0.12987012987012986</v>
      </c>
      <c r="O31" s="67">
        <v>0.47272727272727272</v>
      </c>
      <c r="P31" s="67">
        <v>0.13333333333333333</v>
      </c>
      <c r="Q31" s="67">
        <v>0.51219512195121952</v>
      </c>
    </row>
    <row r="32" spans="1:17" x14ac:dyDescent="0.4">
      <c r="A32" s="69">
        <v>29</v>
      </c>
      <c r="B32" s="66">
        <v>-908.69999999999993</v>
      </c>
      <c r="C32" s="66">
        <v>-31.334482758620688</v>
      </c>
      <c r="D32" s="71">
        <v>2.5172413793103448</v>
      </c>
      <c r="E32" s="67">
        <v>0.13793103448275862</v>
      </c>
      <c r="F32" s="67">
        <v>0.65517241379310343</v>
      </c>
      <c r="G32" s="67">
        <v>0.1875</v>
      </c>
      <c r="H32" s="67">
        <v>0.22083333333333333</v>
      </c>
      <c r="I32" s="68">
        <v>7648.8888888888887</v>
      </c>
      <c r="J32" s="68">
        <v>-9890.566037735849</v>
      </c>
      <c r="K32" s="67">
        <v>0.27586206896551724</v>
      </c>
      <c r="L32" s="67">
        <v>0</v>
      </c>
      <c r="M32" s="67">
        <v>0.24583333333333332</v>
      </c>
      <c r="N32" s="67">
        <v>0.125</v>
      </c>
      <c r="O32" s="67">
        <v>0.47457627118644069</v>
      </c>
      <c r="P32" s="67">
        <v>0.13333333333333333</v>
      </c>
      <c r="Q32" s="67">
        <v>0.55555555555555558</v>
      </c>
    </row>
    <row r="33" spans="1:17" x14ac:dyDescent="0.4">
      <c r="A33" s="69">
        <v>30</v>
      </c>
      <c r="B33" s="66">
        <v>-826.8</v>
      </c>
      <c r="C33" s="66">
        <v>-27.56</v>
      </c>
      <c r="D33" s="71">
        <v>2.4666666666666668</v>
      </c>
      <c r="E33" s="67">
        <v>0.16666666666666666</v>
      </c>
      <c r="F33" s="67">
        <v>0.6333333333333333</v>
      </c>
      <c r="G33" s="67">
        <v>0.19678714859437751</v>
      </c>
      <c r="H33" s="67">
        <v>0.21285140562248997</v>
      </c>
      <c r="I33" s="68">
        <v>8695.9183673469379</v>
      </c>
      <c r="J33" s="68">
        <v>-9890.566037735849</v>
      </c>
      <c r="K33" s="67">
        <v>0.26666666666666666</v>
      </c>
      <c r="L33" s="67">
        <v>3.3333333333333333E-2</v>
      </c>
      <c r="M33" s="67">
        <v>0.24899598393574296</v>
      </c>
      <c r="N33" s="67">
        <v>0.12449799196787148</v>
      </c>
      <c r="O33" s="67">
        <v>0.5</v>
      </c>
      <c r="P33" s="67">
        <v>0.12903225806451613</v>
      </c>
      <c r="Q33" s="67">
        <v>0.53061224489795922</v>
      </c>
    </row>
    <row r="34" spans="1:17" x14ac:dyDescent="0.4">
      <c r="A34" s="69">
        <v>31</v>
      </c>
      <c r="B34" s="66">
        <v>-835.69999999999993</v>
      </c>
      <c r="C34" s="66">
        <v>-26.958064516129031</v>
      </c>
      <c r="D34" s="71">
        <v>2.4516129032258065</v>
      </c>
      <c r="E34" s="67">
        <v>0.16129032258064516</v>
      </c>
      <c r="F34" s="67">
        <v>0.61290322580645162</v>
      </c>
      <c r="G34" s="67">
        <v>0.19607843137254902</v>
      </c>
      <c r="H34" s="67">
        <v>0.20784313725490197</v>
      </c>
      <c r="I34" s="68">
        <v>8564</v>
      </c>
      <c r="J34" s="68">
        <v>-9890.566037735849</v>
      </c>
      <c r="K34" s="67">
        <v>0.25806451612903225</v>
      </c>
      <c r="L34" s="67">
        <v>3.2258064516129031E-2</v>
      </c>
      <c r="M34" s="67">
        <v>0.24705882352941178</v>
      </c>
      <c r="N34" s="67">
        <v>0.12549019607843137</v>
      </c>
      <c r="O34" s="67">
        <v>0.49206349206349204</v>
      </c>
      <c r="P34" s="67">
        <v>0.15625</v>
      </c>
      <c r="Q34" s="67">
        <v>0.54</v>
      </c>
    </row>
    <row r="35" spans="1:17" x14ac:dyDescent="0.4">
      <c r="A35" s="69">
        <v>32</v>
      </c>
      <c r="B35" s="66">
        <v>-838.69999999999993</v>
      </c>
      <c r="C35" s="66">
        <v>-26.209374999999998</v>
      </c>
      <c r="D35" s="71">
        <v>2.4375</v>
      </c>
      <c r="E35" s="67">
        <v>0.15625</v>
      </c>
      <c r="F35" s="67">
        <v>0.59375</v>
      </c>
      <c r="G35" s="67">
        <v>0.19548872180451127</v>
      </c>
      <c r="H35" s="67">
        <v>0.19924812030075187</v>
      </c>
      <c r="I35" s="68">
        <v>8513.461538461539</v>
      </c>
      <c r="J35" s="68">
        <v>-9890.566037735849</v>
      </c>
      <c r="K35" s="67">
        <v>0.25</v>
      </c>
      <c r="L35" s="67">
        <v>3.125E-2</v>
      </c>
      <c r="M35" s="67">
        <v>0.24436090225563908</v>
      </c>
      <c r="N35" s="67">
        <v>0.13909774436090225</v>
      </c>
      <c r="O35" s="67">
        <v>0.47692307692307695</v>
      </c>
      <c r="P35" s="67">
        <v>0.1891891891891892</v>
      </c>
      <c r="Q35" s="67">
        <v>0.51923076923076927</v>
      </c>
    </row>
    <row r="36" spans="1:17" x14ac:dyDescent="0.4">
      <c r="A36" s="69">
        <v>33</v>
      </c>
      <c r="B36" s="66">
        <v>-878.19999999999993</v>
      </c>
      <c r="C36" s="66">
        <v>-26.61212121212121</v>
      </c>
      <c r="D36" s="71">
        <v>2.4545454545454546</v>
      </c>
      <c r="E36" s="67">
        <v>0.15151515151515152</v>
      </c>
      <c r="F36" s="67">
        <v>0.60606060606060608</v>
      </c>
      <c r="G36" s="67">
        <v>0.19708029197080293</v>
      </c>
      <c r="H36" s="67">
        <v>0.19708029197080293</v>
      </c>
      <c r="I36" s="68">
        <v>8348.1481481481478</v>
      </c>
      <c r="J36" s="68">
        <v>-9922.2222222222226</v>
      </c>
      <c r="K36" s="67">
        <v>0.24242424242424243</v>
      </c>
      <c r="L36" s="67">
        <v>3.0303030303030304E-2</v>
      </c>
      <c r="M36" s="67">
        <v>0.24087591240875914</v>
      </c>
      <c r="N36" s="67">
        <v>0.145985401459854</v>
      </c>
      <c r="O36" s="67">
        <v>0.46969696969696972</v>
      </c>
      <c r="P36" s="67">
        <v>0.17499999999999999</v>
      </c>
      <c r="Q36" s="67">
        <v>0.53703703703703709</v>
      </c>
    </row>
    <row r="37" spans="1:17" x14ac:dyDescent="0.4">
      <c r="A37" s="69">
        <v>34</v>
      </c>
      <c r="B37" s="66">
        <v>-833.19999999999993</v>
      </c>
      <c r="C37" s="66">
        <v>-24.505882352941175</v>
      </c>
      <c r="D37" s="71">
        <v>2.4117647058823528</v>
      </c>
      <c r="E37" s="67">
        <v>0.17647058823529413</v>
      </c>
      <c r="F37" s="67">
        <v>0.58823529411764708</v>
      </c>
      <c r="G37" s="67">
        <v>0.20143884892086331</v>
      </c>
      <c r="H37" s="67">
        <v>0.19424460431654678</v>
      </c>
      <c r="I37" s="68">
        <v>8514.2857142857138</v>
      </c>
      <c r="J37" s="68">
        <v>-9922.2222222222226</v>
      </c>
      <c r="K37" s="67">
        <v>0.23529411764705882</v>
      </c>
      <c r="L37" s="67">
        <v>5.8823529411764705E-2</v>
      </c>
      <c r="M37" s="67">
        <v>0.24820143884892087</v>
      </c>
      <c r="N37" s="67">
        <v>0.14388489208633093</v>
      </c>
      <c r="O37" s="67">
        <v>0.47826086956521741</v>
      </c>
      <c r="P37" s="67">
        <v>0.17499999999999999</v>
      </c>
      <c r="Q37" s="67">
        <v>0.5357142857142857</v>
      </c>
    </row>
    <row r="38" spans="1:17" x14ac:dyDescent="0.4">
      <c r="A38" s="69">
        <v>35</v>
      </c>
      <c r="B38" s="66">
        <v>-815.59999999999991</v>
      </c>
      <c r="C38" s="66">
        <v>-23.302857142857139</v>
      </c>
      <c r="D38" s="71">
        <v>2.4</v>
      </c>
      <c r="E38" s="67">
        <v>0.17142857142857143</v>
      </c>
      <c r="F38" s="67">
        <v>0.5714285714285714</v>
      </c>
      <c r="G38" s="67">
        <v>0.20494699646643111</v>
      </c>
      <c r="H38" s="67">
        <v>0.19434628975265017</v>
      </c>
      <c r="I38" s="68">
        <v>8679.310344827587</v>
      </c>
      <c r="J38" s="68">
        <v>-9960</v>
      </c>
      <c r="K38" s="67">
        <v>0.22857142857142856</v>
      </c>
      <c r="L38" s="67">
        <v>5.7142857142857141E-2</v>
      </c>
      <c r="M38" s="67">
        <v>0.25088339222614842</v>
      </c>
      <c r="N38" s="67">
        <v>0.14487632508833923</v>
      </c>
      <c r="O38" s="67">
        <v>0.49295774647887325</v>
      </c>
      <c r="P38" s="67">
        <v>0.17073170731707318</v>
      </c>
      <c r="Q38" s="67">
        <v>0.51724137931034486</v>
      </c>
    </row>
    <row r="39" spans="1:17" x14ac:dyDescent="0.4">
      <c r="A39" s="69">
        <v>36</v>
      </c>
      <c r="B39" s="66">
        <v>-783.49999999999989</v>
      </c>
      <c r="C39" s="66">
        <v>-21.763888888888886</v>
      </c>
      <c r="D39" s="71">
        <v>2.3611111111111112</v>
      </c>
      <c r="E39" s="67">
        <v>0.19444444444444445</v>
      </c>
      <c r="F39" s="67">
        <v>0.55555555555555558</v>
      </c>
      <c r="G39" s="67">
        <v>0.21232876712328766</v>
      </c>
      <c r="H39" s="67">
        <v>0.19178082191780821</v>
      </c>
      <c r="I39" s="68">
        <v>8551.6129032258068</v>
      </c>
      <c r="J39" s="68">
        <v>-9875</v>
      </c>
      <c r="K39" s="67">
        <v>0.22222222222222221</v>
      </c>
      <c r="L39" s="67">
        <v>5.5555555555555552E-2</v>
      </c>
      <c r="M39" s="67">
        <v>0.25342465753424659</v>
      </c>
      <c r="N39" s="67">
        <v>0.14726027397260275</v>
      </c>
      <c r="O39" s="67">
        <v>0.51351351351351349</v>
      </c>
      <c r="P39" s="67">
        <v>0.18604651162790697</v>
      </c>
      <c r="Q39" s="67">
        <v>0.5</v>
      </c>
    </row>
    <row r="40" spans="1:17" x14ac:dyDescent="0.4">
      <c r="A40" s="69">
        <v>37</v>
      </c>
      <c r="B40" s="66">
        <v>-826.89999999999986</v>
      </c>
      <c r="C40" s="66">
        <v>-22.348648648648645</v>
      </c>
      <c r="D40" s="71">
        <v>2.3783783783783785</v>
      </c>
      <c r="E40" s="67">
        <v>0.1891891891891892</v>
      </c>
      <c r="F40" s="67">
        <v>0.56756756756756754</v>
      </c>
      <c r="G40" s="67">
        <v>0.21</v>
      </c>
      <c r="H40" s="67">
        <v>0.19333333333333333</v>
      </c>
      <c r="I40" s="68">
        <v>8457.1428571428569</v>
      </c>
      <c r="J40" s="68">
        <v>-9810.3448275862065</v>
      </c>
      <c r="K40" s="67">
        <v>0.21621621621621623</v>
      </c>
      <c r="L40" s="67">
        <v>5.4054054054054057E-2</v>
      </c>
      <c r="M40" s="67">
        <v>0.24666666666666667</v>
      </c>
      <c r="N40" s="67">
        <v>0.14666666666666667</v>
      </c>
      <c r="O40" s="67">
        <v>0.51351351351351349</v>
      </c>
      <c r="P40" s="67">
        <v>0.18181818181818182</v>
      </c>
      <c r="Q40" s="67">
        <v>0.49206349206349204</v>
      </c>
    </row>
    <row r="41" spans="1:17" x14ac:dyDescent="0.4">
      <c r="A41" s="69">
        <v>38</v>
      </c>
      <c r="B41" s="66">
        <v>-829.99999999999989</v>
      </c>
      <c r="C41" s="66">
        <v>-21.84210526315789</v>
      </c>
      <c r="D41" s="71">
        <v>2.3684210526315788</v>
      </c>
      <c r="E41" s="67">
        <v>0.18421052631578946</v>
      </c>
      <c r="F41" s="67">
        <v>0.55263157894736847</v>
      </c>
      <c r="G41" s="67">
        <v>0.21035598705501618</v>
      </c>
      <c r="H41" s="67">
        <v>0.1941747572815534</v>
      </c>
      <c r="I41" s="68">
        <v>8566.1538461538457</v>
      </c>
      <c r="J41" s="68">
        <v>-9846.6666666666661</v>
      </c>
      <c r="K41" s="67">
        <v>0.21052631578947367</v>
      </c>
      <c r="L41" s="67">
        <v>5.2631578947368418E-2</v>
      </c>
      <c r="M41" s="67">
        <v>0.24919093851132687</v>
      </c>
      <c r="N41" s="67">
        <v>0.14563106796116504</v>
      </c>
      <c r="O41" s="67">
        <v>0.50649350649350644</v>
      </c>
      <c r="P41" s="67">
        <v>0.2</v>
      </c>
      <c r="Q41" s="67">
        <v>0.50769230769230766</v>
      </c>
    </row>
    <row r="42" spans="1:17" x14ac:dyDescent="0.4">
      <c r="A42" s="69">
        <v>39</v>
      </c>
      <c r="B42" s="66">
        <v>-786.29999999999984</v>
      </c>
      <c r="C42" s="66">
        <v>-20.161538461538459</v>
      </c>
      <c r="D42" s="71">
        <v>2.3333333333333335</v>
      </c>
      <c r="E42" s="67">
        <v>0.20512820512820512</v>
      </c>
      <c r="F42" s="67">
        <v>0.53846153846153844</v>
      </c>
      <c r="G42" s="67">
        <v>0.21766561514195584</v>
      </c>
      <c r="H42" s="67">
        <v>0.19242902208201892</v>
      </c>
      <c r="I42" s="68">
        <v>8724.63768115942</v>
      </c>
      <c r="J42" s="68">
        <v>-9816.3934426229516</v>
      </c>
      <c r="K42" s="67">
        <v>0.20512820512820512</v>
      </c>
      <c r="L42" s="67">
        <v>5.128205128205128E-2</v>
      </c>
      <c r="M42" s="67">
        <v>0.24921135646687698</v>
      </c>
      <c r="N42" s="67">
        <v>0.14826498422712933</v>
      </c>
      <c r="O42" s="67">
        <v>0.51898734177215189</v>
      </c>
      <c r="P42" s="67">
        <v>0.21276595744680851</v>
      </c>
      <c r="Q42" s="67">
        <v>0.49275362318840582</v>
      </c>
    </row>
    <row r="43" spans="1:17" x14ac:dyDescent="0.4">
      <c r="A43" s="69">
        <v>40</v>
      </c>
      <c r="B43" s="66">
        <v>-820.5999999999998</v>
      </c>
      <c r="C43" s="66">
        <v>-20.514999999999993</v>
      </c>
      <c r="D43" s="71">
        <v>2.35</v>
      </c>
      <c r="E43" s="67">
        <v>0.2</v>
      </c>
      <c r="F43" s="67">
        <v>0.55000000000000004</v>
      </c>
      <c r="G43" s="67">
        <v>0.21362229102167182</v>
      </c>
      <c r="H43" s="67">
        <v>0.19504643962848298</v>
      </c>
      <c r="I43" s="68">
        <v>8724.63768115942</v>
      </c>
      <c r="J43" s="68">
        <v>-9663.4920634920636</v>
      </c>
      <c r="K43" s="67">
        <v>0.2</v>
      </c>
      <c r="L43" s="67">
        <v>0.05</v>
      </c>
      <c r="M43" s="67">
        <v>0.25077399380804954</v>
      </c>
      <c r="N43" s="67">
        <v>0.15170278637770898</v>
      </c>
      <c r="O43" s="67">
        <v>0.50617283950617287</v>
      </c>
      <c r="P43" s="67">
        <v>0.20408163265306123</v>
      </c>
      <c r="Q43" s="67">
        <v>0.49275362318840582</v>
      </c>
    </row>
    <row r="44" spans="1:17" x14ac:dyDescent="0.4">
      <c r="A44" s="69">
        <v>41</v>
      </c>
      <c r="B44" s="66">
        <v>-859.49999999999977</v>
      </c>
      <c r="C44" s="66">
        <v>-20.963414634146336</v>
      </c>
      <c r="D44" s="71">
        <v>2.3658536585365852</v>
      </c>
      <c r="E44" s="67">
        <v>0.1951219512195122</v>
      </c>
      <c r="F44" s="67">
        <v>0.56097560975609762</v>
      </c>
      <c r="G44" s="67">
        <v>0.21212121212121213</v>
      </c>
      <c r="H44" s="67">
        <v>0.19696969696969696</v>
      </c>
      <c r="I44" s="68">
        <v>8714.2857142857138</v>
      </c>
      <c r="J44" s="68">
        <v>-9587.6923076923085</v>
      </c>
      <c r="K44" s="67">
        <v>0.1951219512195122</v>
      </c>
      <c r="L44" s="67">
        <v>4.878048780487805E-2</v>
      </c>
      <c r="M44" s="67">
        <v>0.24848484848484848</v>
      </c>
      <c r="N44" s="67">
        <v>0.15151515151515152</v>
      </c>
      <c r="O44" s="67">
        <v>0.51219512195121952</v>
      </c>
      <c r="P44" s="67">
        <v>0.2</v>
      </c>
      <c r="Q44" s="67">
        <v>0.48571428571428571</v>
      </c>
    </row>
    <row r="45" spans="1:17" x14ac:dyDescent="0.4">
      <c r="A45" s="69">
        <v>42</v>
      </c>
      <c r="B45" s="66">
        <v>-828.89999999999975</v>
      </c>
      <c r="C45" s="66">
        <v>-19.73571428571428</v>
      </c>
      <c r="D45" s="71">
        <v>2.3333333333333335</v>
      </c>
      <c r="E45" s="67">
        <v>0.21428571428571427</v>
      </c>
      <c r="F45" s="67">
        <v>0.54761904761904767</v>
      </c>
      <c r="G45" s="67">
        <v>0.21301775147928995</v>
      </c>
      <c r="H45" s="67">
        <v>0.19526627218934911</v>
      </c>
      <c r="I45" s="68">
        <v>8750</v>
      </c>
      <c r="J45" s="68">
        <v>-9530.30303030303</v>
      </c>
      <c r="K45" s="67">
        <v>0.19047619047619047</v>
      </c>
      <c r="L45" s="67">
        <v>4.7619047619047616E-2</v>
      </c>
      <c r="M45" s="67">
        <v>0.24852071005917159</v>
      </c>
      <c r="N45" s="67">
        <v>0.15384615384615385</v>
      </c>
      <c r="O45" s="67">
        <v>0.52380952380952384</v>
      </c>
      <c r="P45" s="67">
        <v>0.19230769230769232</v>
      </c>
      <c r="Q45" s="67">
        <v>0.5</v>
      </c>
    </row>
    <row r="46" spans="1:17" x14ac:dyDescent="0.4">
      <c r="A46" s="69">
        <v>43</v>
      </c>
      <c r="B46" s="66">
        <v>-787.1999999999997</v>
      </c>
      <c r="C46" s="66">
        <v>-18.306976744186041</v>
      </c>
      <c r="D46" s="71">
        <v>2.3023255813953489</v>
      </c>
      <c r="E46" s="67">
        <v>0.23255813953488372</v>
      </c>
      <c r="F46" s="67">
        <v>0.53488372093023251</v>
      </c>
      <c r="G46" s="67">
        <v>0.21511627906976744</v>
      </c>
      <c r="H46" s="67">
        <v>0.19186046511627908</v>
      </c>
      <c r="I46" s="68">
        <v>8890.54054054054</v>
      </c>
      <c r="J46" s="68">
        <v>-9530.30303030303</v>
      </c>
      <c r="K46" s="67">
        <v>0.18604651162790697</v>
      </c>
      <c r="L46" s="67">
        <v>6.9767441860465115E-2</v>
      </c>
      <c r="M46" s="67">
        <v>0.24709302325581395</v>
      </c>
      <c r="N46" s="67">
        <v>0.15697674418604651</v>
      </c>
      <c r="O46" s="67">
        <v>0.52941176470588236</v>
      </c>
      <c r="P46" s="67">
        <v>0.20370370370370369</v>
      </c>
      <c r="Q46" s="67">
        <v>0.48648648648648651</v>
      </c>
    </row>
    <row r="47" spans="1:17" x14ac:dyDescent="0.4">
      <c r="A47" s="69">
        <v>44</v>
      </c>
      <c r="B47" s="66">
        <v>-744.79999999999973</v>
      </c>
      <c r="C47" s="66">
        <v>-16.927272727272722</v>
      </c>
      <c r="D47" s="71">
        <v>2.2727272727272729</v>
      </c>
      <c r="E47" s="67">
        <v>0.25</v>
      </c>
      <c r="F47" s="67">
        <v>0.52272727272727271</v>
      </c>
      <c r="G47" s="67">
        <v>0.22033898305084745</v>
      </c>
      <c r="H47" s="67">
        <v>0.19491525423728814</v>
      </c>
      <c r="I47" s="68">
        <v>8953.8461538461543</v>
      </c>
      <c r="J47" s="68">
        <v>-9349.2753623188401</v>
      </c>
      <c r="K47" s="67">
        <v>0.18181818181818182</v>
      </c>
      <c r="L47" s="67">
        <v>9.0909090909090912E-2</v>
      </c>
      <c r="M47" s="67">
        <v>0.25423728813559321</v>
      </c>
      <c r="N47" s="67">
        <v>0.15819209039548024</v>
      </c>
      <c r="O47" s="67">
        <v>0.53333333333333333</v>
      </c>
      <c r="P47" s="67">
        <v>0.19642857142857142</v>
      </c>
      <c r="Q47" s="67">
        <v>0.5</v>
      </c>
    </row>
    <row r="48" spans="1:17" x14ac:dyDescent="0.4">
      <c r="A48" s="69">
        <v>45</v>
      </c>
      <c r="B48" s="66">
        <v>-784.89999999999975</v>
      </c>
      <c r="C48" s="66">
        <v>-17.442222222222217</v>
      </c>
      <c r="D48" s="71">
        <v>2.2888888888888888</v>
      </c>
      <c r="E48" s="67">
        <v>0.24444444444444444</v>
      </c>
      <c r="F48" s="67">
        <v>0.53333333333333333</v>
      </c>
      <c r="G48" s="67">
        <v>0.21944444444444444</v>
      </c>
      <c r="H48" s="67">
        <v>0.2</v>
      </c>
      <c r="I48" s="68">
        <v>8865.8227848101269</v>
      </c>
      <c r="J48" s="68">
        <v>-9261.1111111111113</v>
      </c>
      <c r="K48" s="67">
        <v>0.17777777777777778</v>
      </c>
      <c r="L48" s="67">
        <v>8.8888888888888892E-2</v>
      </c>
      <c r="M48" s="67">
        <v>0.25555555555555554</v>
      </c>
      <c r="N48" s="67">
        <v>0.15833333333333333</v>
      </c>
      <c r="O48" s="67">
        <v>0.53260869565217395</v>
      </c>
      <c r="P48" s="67">
        <v>0.19298245614035087</v>
      </c>
      <c r="Q48" s="67">
        <v>0.49367088607594939</v>
      </c>
    </row>
    <row r="49" spans="1:17" x14ac:dyDescent="0.4">
      <c r="A49" s="69">
        <v>46</v>
      </c>
      <c r="B49" s="66">
        <v>-738.89999999999975</v>
      </c>
      <c r="C49" s="66">
        <v>-16.063043478260862</v>
      </c>
      <c r="D49" s="71">
        <v>2.2608695652173911</v>
      </c>
      <c r="E49" s="67">
        <v>0.2608695652173913</v>
      </c>
      <c r="F49" s="67">
        <v>0.52173913043478259</v>
      </c>
      <c r="G49" s="67">
        <v>0.22191780821917809</v>
      </c>
      <c r="H49" s="67">
        <v>0.19726027397260273</v>
      </c>
      <c r="I49" s="68">
        <v>9091.3580246913589</v>
      </c>
      <c r="J49" s="68">
        <v>-9261.1111111111113</v>
      </c>
      <c r="K49" s="67">
        <v>0.17391304347826086</v>
      </c>
      <c r="L49" s="67">
        <v>0.10869565217391304</v>
      </c>
      <c r="M49" s="67">
        <v>0.25479452054794521</v>
      </c>
      <c r="N49" s="67">
        <v>0.15890410958904111</v>
      </c>
      <c r="O49" s="67">
        <v>0.5376344086021505</v>
      </c>
      <c r="P49" s="67">
        <v>0.20689655172413793</v>
      </c>
      <c r="Q49" s="67">
        <v>0.48148148148148145</v>
      </c>
    </row>
    <row r="50" spans="1:17" x14ac:dyDescent="0.4">
      <c r="A50" s="69">
        <v>47</v>
      </c>
      <c r="B50" s="66">
        <v>-740.99999999999977</v>
      </c>
      <c r="C50" s="66">
        <v>-15.765957446808505</v>
      </c>
      <c r="D50" s="71">
        <v>2.2553191489361701</v>
      </c>
      <c r="E50" s="67">
        <v>0.25531914893617019</v>
      </c>
      <c r="F50" s="67">
        <v>0.51063829787234039</v>
      </c>
      <c r="G50" s="67">
        <v>0.21983914209115282</v>
      </c>
      <c r="H50" s="67">
        <v>0.19839142091152814</v>
      </c>
      <c r="I50" s="68">
        <v>9126.8292682926822</v>
      </c>
      <c r="J50" s="68">
        <v>-9081.0810810810817</v>
      </c>
      <c r="K50" s="67">
        <v>0.1702127659574468</v>
      </c>
      <c r="L50" s="67">
        <v>0.10638297872340426</v>
      </c>
      <c r="M50" s="67">
        <v>0.26005361930294907</v>
      </c>
      <c r="N50" s="67">
        <v>0.15549597855227881</v>
      </c>
      <c r="O50" s="67">
        <v>0.52577319587628868</v>
      </c>
      <c r="P50" s="67">
        <v>0.20689655172413793</v>
      </c>
      <c r="Q50" s="67">
        <v>0.48780487804878048</v>
      </c>
    </row>
    <row r="51" spans="1:17" x14ac:dyDescent="0.4">
      <c r="A51" s="69">
        <v>48</v>
      </c>
      <c r="B51" s="66">
        <v>-699.39999999999975</v>
      </c>
      <c r="C51" s="66">
        <v>-14.570833333333328</v>
      </c>
      <c r="D51" s="71">
        <v>2.2291666666666665</v>
      </c>
      <c r="E51" s="67">
        <v>0.27083333333333331</v>
      </c>
      <c r="F51" s="67">
        <v>0.5</v>
      </c>
      <c r="G51" s="67">
        <v>0.22105263157894736</v>
      </c>
      <c r="H51" s="67">
        <v>0.19473684210526315</v>
      </c>
      <c r="I51" s="68">
        <v>9145.2380952380954</v>
      </c>
      <c r="J51" s="68">
        <v>-9081.0810810810817</v>
      </c>
      <c r="K51" s="67">
        <v>0.16666666666666666</v>
      </c>
      <c r="L51" s="67">
        <v>0.125</v>
      </c>
      <c r="M51" s="67">
        <v>0.25526315789473686</v>
      </c>
      <c r="N51" s="67">
        <v>0.15526315789473685</v>
      </c>
      <c r="O51" s="67">
        <v>0.52577319587628868</v>
      </c>
      <c r="P51" s="67">
        <v>0.22033898305084745</v>
      </c>
      <c r="Q51" s="67">
        <v>0.48809523809523808</v>
      </c>
    </row>
    <row r="52" spans="1:17" x14ac:dyDescent="0.4">
      <c r="A52" s="69">
        <v>49</v>
      </c>
      <c r="B52" s="66">
        <v>-715.0999999999998</v>
      </c>
      <c r="C52" s="66">
        <v>-14.593877551020404</v>
      </c>
      <c r="D52" s="71">
        <v>2.2244897959183674</v>
      </c>
      <c r="E52" s="67">
        <v>0.26530612244897961</v>
      </c>
      <c r="F52" s="67">
        <v>0.48979591836734693</v>
      </c>
      <c r="G52" s="67">
        <v>0.22474747474747475</v>
      </c>
      <c r="H52" s="67">
        <v>0.19191919191919191</v>
      </c>
      <c r="I52" s="68">
        <v>9132.5842696629206</v>
      </c>
      <c r="J52" s="68">
        <v>-9038.1578947368416</v>
      </c>
      <c r="K52" s="67">
        <v>0.16326530612244897</v>
      </c>
      <c r="L52" s="67">
        <v>0.12244897959183673</v>
      </c>
      <c r="M52" s="67">
        <v>0.26010101010101011</v>
      </c>
      <c r="N52" s="67">
        <v>0.15404040404040403</v>
      </c>
      <c r="O52" s="67">
        <v>0.52427184466019416</v>
      </c>
      <c r="P52" s="67">
        <v>0.22950819672131148</v>
      </c>
      <c r="Q52" s="67">
        <v>0.4943820224719101</v>
      </c>
    </row>
    <row r="53" spans="1:17" x14ac:dyDescent="0.4">
      <c r="A53" s="69">
        <v>50</v>
      </c>
      <c r="B53" s="66">
        <v>-774.29999999999984</v>
      </c>
      <c r="C53" s="66">
        <v>-15.485999999999997</v>
      </c>
      <c r="D53" s="71">
        <v>2.2400000000000002</v>
      </c>
      <c r="E53" s="67">
        <v>0.26</v>
      </c>
      <c r="F53" s="67">
        <v>0.5</v>
      </c>
      <c r="G53" s="67">
        <v>0.22167487684729065</v>
      </c>
      <c r="H53" s="67">
        <v>0.19458128078817735</v>
      </c>
      <c r="I53" s="68">
        <v>9074.4444444444453</v>
      </c>
      <c r="J53" s="68">
        <v>-8943.0379746835442</v>
      </c>
      <c r="K53" s="67">
        <v>0.18</v>
      </c>
      <c r="L53" s="67">
        <v>0.12</v>
      </c>
      <c r="M53" s="67">
        <v>0.2536945812807882</v>
      </c>
      <c r="N53" s="67">
        <v>0.15270935960591134</v>
      </c>
      <c r="O53" s="67">
        <v>0.52427184466019416</v>
      </c>
      <c r="P53" s="67">
        <v>0.24193548387096775</v>
      </c>
      <c r="Q53" s="67">
        <v>0.48888888888888887</v>
      </c>
    </row>
    <row r="54" spans="1:17" x14ac:dyDescent="0.4">
      <c r="A54" s="69">
        <v>51</v>
      </c>
      <c r="B54" s="66">
        <v>-830.79999999999984</v>
      </c>
      <c r="C54" s="66">
        <v>-16.290196078431368</v>
      </c>
      <c r="D54" s="71">
        <v>2.2549019607843137</v>
      </c>
      <c r="E54" s="67">
        <v>0.25490196078431371</v>
      </c>
      <c r="F54" s="67">
        <v>0.50980392156862742</v>
      </c>
      <c r="G54" s="67">
        <v>0.22168674698795179</v>
      </c>
      <c r="H54" s="67">
        <v>0.19759036144578312</v>
      </c>
      <c r="I54" s="68">
        <v>8998.9130434782601</v>
      </c>
      <c r="J54" s="68">
        <v>-8996.3414634146338</v>
      </c>
      <c r="K54" s="67">
        <v>0.19607843137254902</v>
      </c>
      <c r="L54" s="67">
        <v>0.11764705882352941</v>
      </c>
      <c r="M54" s="67">
        <v>0.25542168674698795</v>
      </c>
      <c r="N54" s="67">
        <v>0.15421686746987953</v>
      </c>
      <c r="O54" s="67">
        <v>0.51886792452830188</v>
      </c>
      <c r="P54" s="67">
        <v>0.234375</v>
      </c>
      <c r="Q54" s="67">
        <v>0.4891304347826087</v>
      </c>
    </row>
    <row r="55" spans="1:17" x14ac:dyDescent="0.4">
      <c r="A55" s="69">
        <v>52</v>
      </c>
      <c r="B55" s="66">
        <v>-837.5999999999998</v>
      </c>
      <c r="C55" s="66">
        <v>-16.107692307692304</v>
      </c>
      <c r="D55" s="71">
        <v>2.25</v>
      </c>
      <c r="E55" s="67">
        <v>0.25</v>
      </c>
      <c r="F55" s="67">
        <v>0.5</v>
      </c>
      <c r="G55" s="67">
        <v>0.22405660377358491</v>
      </c>
      <c r="H55" s="67">
        <v>0.19811320754716982</v>
      </c>
      <c r="I55" s="68">
        <v>9006.3157894736851</v>
      </c>
      <c r="J55" s="68">
        <v>-9016.6666666666661</v>
      </c>
      <c r="K55" s="67">
        <v>0.19230769230769232</v>
      </c>
      <c r="L55" s="67">
        <v>0.11538461538461539</v>
      </c>
      <c r="M55" s="67">
        <v>0.25471698113207547</v>
      </c>
      <c r="N55" s="67">
        <v>0.15566037735849056</v>
      </c>
      <c r="O55" s="67">
        <v>0.51851851851851849</v>
      </c>
      <c r="P55" s="67">
        <v>0.25757575757575757</v>
      </c>
      <c r="Q55" s="67">
        <v>0.48421052631578948</v>
      </c>
    </row>
    <row r="56" spans="1:17" x14ac:dyDescent="0.4">
      <c r="A56" s="69">
        <v>53</v>
      </c>
      <c r="B56" s="66">
        <v>-843.69999999999982</v>
      </c>
      <c r="C56" s="66">
        <v>-15.918867924528298</v>
      </c>
      <c r="D56" s="71">
        <v>2.2452830188679247</v>
      </c>
      <c r="E56" s="67">
        <v>0.24528301886792453</v>
      </c>
      <c r="F56" s="67">
        <v>0.49056603773584906</v>
      </c>
      <c r="G56" s="67">
        <v>0.22401847575057737</v>
      </c>
      <c r="H56" s="67">
        <v>0.19861431870669746</v>
      </c>
      <c r="I56" s="68">
        <v>8926.8041237113393</v>
      </c>
      <c r="J56" s="68">
        <v>-8963.9534883720935</v>
      </c>
      <c r="K56" s="67">
        <v>0.18867924528301888</v>
      </c>
      <c r="L56" s="67">
        <v>0.11320754716981132</v>
      </c>
      <c r="M56" s="67">
        <v>0.25173210161662818</v>
      </c>
      <c r="N56" s="67">
        <v>0.15704387990762125</v>
      </c>
      <c r="O56" s="67">
        <v>0.52293577981651373</v>
      </c>
      <c r="P56" s="67">
        <v>0.25</v>
      </c>
      <c r="Q56" s="67">
        <v>0.47422680412371132</v>
      </c>
    </row>
    <row r="57" spans="1:17" x14ac:dyDescent="0.4">
      <c r="A57" s="69">
        <v>54</v>
      </c>
      <c r="B57" s="66">
        <v>-902.89999999999986</v>
      </c>
      <c r="C57" s="66">
        <v>-16.720370370370368</v>
      </c>
      <c r="D57" s="71">
        <v>2.2592592592592591</v>
      </c>
      <c r="E57" s="67">
        <v>0.24074074074074073</v>
      </c>
      <c r="F57" s="67">
        <v>0.5</v>
      </c>
      <c r="G57" s="67">
        <v>0.22247706422018348</v>
      </c>
      <c r="H57" s="67">
        <v>0.20412844036697247</v>
      </c>
      <c r="I57" s="68">
        <v>8926.8041237113393</v>
      </c>
      <c r="J57" s="68">
        <v>-9068.5393258426975</v>
      </c>
      <c r="K57" s="67">
        <v>0.20370370370370369</v>
      </c>
      <c r="L57" s="67">
        <v>0.1111111111111111</v>
      </c>
      <c r="M57" s="67">
        <v>0.25</v>
      </c>
      <c r="N57" s="67">
        <v>0.15825688073394495</v>
      </c>
      <c r="O57" s="67">
        <v>0.52293577981651373</v>
      </c>
      <c r="P57" s="67">
        <v>0.24637681159420291</v>
      </c>
      <c r="Q57" s="67">
        <v>0.47422680412371132</v>
      </c>
    </row>
    <row r="58" spans="1:17" x14ac:dyDescent="0.4">
      <c r="A58" s="69">
        <v>55</v>
      </c>
      <c r="B58" s="66">
        <v>-835.19999999999982</v>
      </c>
      <c r="C58" s="66">
        <v>-15.185454545454542</v>
      </c>
      <c r="D58" s="71">
        <v>2.2363636363636363</v>
      </c>
      <c r="E58" s="67">
        <v>0.25454545454545452</v>
      </c>
      <c r="F58" s="67">
        <v>0.49090909090909091</v>
      </c>
      <c r="G58" s="67">
        <v>0.22902494331065759</v>
      </c>
      <c r="H58" s="67">
        <v>0.20181405895691609</v>
      </c>
      <c r="I58" s="68">
        <v>8911.8811881188121</v>
      </c>
      <c r="J58" s="68">
        <v>-9068.5393258426975</v>
      </c>
      <c r="K58" s="67">
        <v>0.2</v>
      </c>
      <c r="L58" s="67">
        <v>0.12727272727272726</v>
      </c>
      <c r="M58" s="67">
        <v>0.25396825396825395</v>
      </c>
      <c r="N58" s="67">
        <v>0.15646258503401361</v>
      </c>
      <c r="O58" s="67">
        <v>0.5267857142857143</v>
      </c>
      <c r="P58" s="67">
        <v>0.24637681159420291</v>
      </c>
      <c r="Q58" s="67">
        <v>0.46534653465346537</v>
      </c>
    </row>
    <row r="59" spans="1:17" x14ac:dyDescent="0.4">
      <c r="A59" s="69">
        <v>56</v>
      </c>
      <c r="B59" s="66">
        <v>-865.69999999999982</v>
      </c>
      <c r="C59" s="66">
        <v>-15.458928571428569</v>
      </c>
      <c r="D59" s="71">
        <v>2.25</v>
      </c>
      <c r="E59" s="67">
        <v>0.25</v>
      </c>
      <c r="F59" s="67">
        <v>0.5</v>
      </c>
      <c r="G59" s="67">
        <v>0.22538293216630198</v>
      </c>
      <c r="H59" s="67">
        <v>0.19693654266958424</v>
      </c>
      <c r="I59" s="68">
        <v>8971.8446601941741</v>
      </c>
      <c r="J59" s="68">
        <v>-8996.6666666666661</v>
      </c>
      <c r="K59" s="67">
        <v>0.19642857142857142</v>
      </c>
      <c r="L59" s="67">
        <v>0.125</v>
      </c>
      <c r="M59" s="67">
        <v>0.25601750547045954</v>
      </c>
      <c r="N59" s="67">
        <v>0.15536105032822758</v>
      </c>
      <c r="O59" s="67">
        <v>0.51282051282051277</v>
      </c>
      <c r="P59" s="67">
        <v>0.23943661971830985</v>
      </c>
      <c r="Q59" s="67">
        <v>0.47572815533980584</v>
      </c>
    </row>
    <row r="60" spans="1:17" x14ac:dyDescent="0.4">
      <c r="A60" s="69">
        <v>57</v>
      </c>
      <c r="B60" s="66">
        <v>-858.49999999999977</v>
      </c>
      <c r="C60" s="66">
        <v>-15.061403508771926</v>
      </c>
      <c r="D60" s="71">
        <v>2.2456140350877192</v>
      </c>
      <c r="E60" s="67">
        <v>0.24561403508771928</v>
      </c>
      <c r="F60" s="67">
        <v>0.49122807017543857</v>
      </c>
      <c r="G60" s="67">
        <v>0.22698072805139186</v>
      </c>
      <c r="H60" s="67">
        <v>0.19486081370449679</v>
      </c>
      <c r="I60" s="68">
        <v>9033.9622641509432</v>
      </c>
      <c r="J60" s="68">
        <v>-9095.6043956043959</v>
      </c>
      <c r="K60" s="67">
        <v>0.19298245614035087</v>
      </c>
      <c r="L60" s="67">
        <v>0.12280701754385964</v>
      </c>
      <c r="M60" s="67">
        <v>0.2569593147751606</v>
      </c>
      <c r="N60" s="67">
        <v>0.15631691648822268</v>
      </c>
      <c r="O60" s="67">
        <v>0.51666666666666672</v>
      </c>
      <c r="P60" s="67">
        <v>0.24657534246575341</v>
      </c>
      <c r="Q60" s="67">
        <v>0.48113207547169812</v>
      </c>
    </row>
    <row r="61" spans="1:17" x14ac:dyDescent="0.4">
      <c r="A61" s="69">
        <v>58</v>
      </c>
      <c r="B61" s="66">
        <v>-877.29999999999973</v>
      </c>
      <c r="C61" s="66">
        <v>-15.125862068965512</v>
      </c>
      <c r="D61" s="71">
        <v>2.2413793103448274</v>
      </c>
      <c r="E61" s="67">
        <v>0.2413793103448276</v>
      </c>
      <c r="F61" s="67">
        <v>0.48275862068965519</v>
      </c>
      <c r="G61" s="67">
        <v>0.22669491525423729</v>
      </c>
      <c r="H61" s="67">
        <v>0.19279661016949154</v>
      </c>
      <c r="I61" s="68">
        <v>8998.1308411214959</v>
      </c>
      <c r="J61" s="68">
        <v>-9095.6043956043959</v>
      </c>
      <c r="K61" s="67">
        <v>0.18965517241379309</v>
      </c>
      <c r="L61" s="67">
        <v>0.1206896551724138</v>
      </c>
      <c r="M61" s="67">
        <v>0.26059322033898308</v>
      </c>
      <c r="N61" s="67">
        <v>0.15466101694915255</v>
      </c>
      <c r="O61" s="67">
        <v>0.51219512195121952</v>
      </c>
      <c r="P61" s="67">
        <v>0.24657534246575341</v>
      </c>
      <c r="Q61" s="67">
        <v>0.47663551401869159</v>
      </c>
    </row>
    <row r="62" spans="1:17" x14ac:dyDescent="0.4">
      <c r="A62" s="69">
        <v>59</v>
      </c>
      <c r="B62" s="66">
        <v>-940.6999999999997</v>
      </c>
      <c r="C62" s="66">
        <v>-15.944067796610165</v>
      </c>
      <c r="D62" s="71">
        <v>2.2542372881355934</v>
      </c>
      <c r="E62" s="67">
        <v>0.23728813559322035</v>
      </c>
      <c r="F62" s="67">
        <v>0.49152542372881358</v>
      </c>
      <c r="G62" s="67">
        <v>0.22641509433962265</v>
      </c>
      <c r="H62" s="67">
        <v>0.19287211740041929</v>
      </c>
      <c r="I62" s="68">
        <v>9025.9259259259252</v>
      </c>
      <c r="J62" s="68">
        <v>-9518.4782608695659</v>
      </c>
      <c r="K62" s="67">
        <v>0.20338983050847459</v>
      </c>
      <c r="L62" s="67">
        <v>0.11864406779661017</v>
      </c>
      <c r="M62" s="67">
        <v>0.25995807127882598</v>
      </c>
      <c r="N62" s="67">
        <v>0.15513626834381553</v>
      </c>
      <c r="O62" s="67">
        <v>0.5161290322580645</v>
      </c>
      <c r="P62" s="67">
        <v>0.24324324324324326</v>
      </c>
      <c r="Q62" s="67">
        <v>0.47222222222222221</v>
      </c>
    </row>
    <row r="63" spans="1:17" x14ac:dyDescent="0.4">
      <c r="A63" s="69">
        <v>60</v>
      </c>
      <c r="B63" s="66">
        <v>-960.99999999999966</v>
      </c>
      <c r="C63" s="66">
        <v>-16.016666666666662</v>
      </c>
      <c r="D63" s="71">
        <v>2.25</v>
      </c>
      <c r="E63" s="67">
        <v>0.23333333333333334</v>
      </c>
      <c r="F63" s="67">
        <v>0.48333333333333334</v>
      </c>
      <c r="G63" s="67">
        <v>0.22810590631364563</v>
      </c>
      <c r="H63" s="67">
        <v>0.19144602851323828</v>
      </c>
      <c r="I63" s="68">
        <v>8980.3571428571431</v>
      </c>
      <c r="J63" s="68">
        <v>-9602.1276595744675</v>
      </c>
      <c r="K63" s="67">
        <v>0.2</v>
      </c>
      <c r="L63" s="67">
        <v>0.11666666666666667</v>
      </c>
      <c r="M63" s="67">
        <v>0.26069246435845211</v>
      </c>
      <c r="N63" s="67">
        <v>0.15885947046843177</v>
      </c>
      <c r="O63" s="67">
        <v>0.515625</v>
      </c>
      <c r="P63" s="67">
        <v>0.24358974358974358</v>
      </c>
      <c r="Q63" s="67">
        <v>0.49107142857142855</v>
      </c>
    </row>
    <row r="64" spans="1:17" x14ac:dyDescent="0.4">
      <c r="A64" s="69">
        <v>61</v>
      </c>
      <c r="B64" s="66">
        <v>-924.1999999999997</v>
      </c>
      <c r="C64" s="66">
        <v>-15.150819672131142</v>
      </c>
      <c r="D64" s="71">
        <v>2.2295081967213113</v>
      </c>
      <c r="E64" s="67">
        <v>0.24590163934426229</v>
      </c>
      <c r="F64" s="67">
        <v>0.47540983606557374</v>
      </c>
      <c r="G64" s="67">
        <v>0.2289156626506024</v>
      </c>
      <c r="H64" s="67">
        <v>0.19277108433734941</v>
      </c>
      <c r="I64" s="68">
        <v>9149.1228070175439</v>
      </c>
      <c r="J64" s="68">
        <v>-9593.75</v>
      </c>
      <c r="K64" s="67">
        <v>0.19672131147540983</v>
      </c>
      <c r="L64" s="67">
        <v>0.11475409836065574</v>
      </c>
      <c r="M64" s="67">
        <v>0.26506024096385544</v>
      </c>
      <c r="N64" s="67">
        <v>0.16265060240963855</v>
      </c>
      <c r="O64" s="67">
        <v>0.51515151515151514</v>
      </c>
      <c r="P64" s="67">
        <v>0.23456790123456789</v>
      </c>
      <c r="Q64" s="67">
        <v>0.49122807017543857</v>
      </c>
    </row>
    <row r="65" spans="1:17" x14ac:dyDescent="0.4">
      <c r="A65" s="69">
        <v>62</v>
      </c>
      <c r="B65" s="66">
        <v>-970.09999999999968</v>
      </c>
      <c r="C65" s="66">
        <v>-15.646774193548382</v>
      </c>
      <c r="D65" s="71">
        <v>2.2419354838709675</v>
      </c>
      <c r="E65" s="67">
        <v>0.24193548387096775</v>
      </c>
      <c r="F65" s="67">
        <v>0.4838709677419355</v>
      </c>
      <c r="G65" s="67">
        <v>0.22593320235756384</v>
      </c>
      <c r="H65" s="67">
        <v>0.19646365422396855</v>
      </c>
      <c r="I65" s="68">
        <v>9173.9130434782601</v>
      </c>
      <c r="J65" s="68">
        <v>-9394</v>
      </c>
      <c r="K65" s="67">
        <v>0.19354838709677419</v>
      </c>
      <c r="L65" s="67">
        <v>0.11290322580645161</v>
      </c>
      <c r="M65" s="67">
        <v>0.26719056974459726</v>
      </c>
      <c r="N65" s="67">
        <v>0.16502946954813361</v>
      </c>
      <c r="O65" s="67">
        <v>0.50735294117647056</v>
      </c>
      <c r="P65" s="67">
        <v>0.22619047619047619</v>
      </c>
      <c r="Q65" s="67">
        <v>0.4956521739130435</v>
      </c>
    </row>
    <row r="66" spans="1:17" x14ac:dyDescent="0.4">
      <c r="A66" s="69">
        <v>63</v>
      </c>
      <c r="B66" s="66">
        <v>-1013.0999999999997</v>
      </c>
      <c r="C66" s="66">
        <v>-16.080952380952375</v>
      </c>
      <c r="D66" s="71">
        <v>2.253968253968254</v>
      </c>
      <c r="E66" s="67">
        <v>0.23809523809523808</v>
      </c>
      <c r="F66" s="67">
        <v>0.49206349206349204</v>
      </c>
      <c r="G66" s="67">
        <v>0.22605363984674329</v>
      </c>
      <c r="H66" s="67">
        <v>0.19731800766283525</v>
      </c>
      <c r="I66" s="68">
        <v>9178.8135593220341</v>
      </c>
      <c r="J66" s="68">
        <v>-9572.8155339805817</v>
      </c>
      <c r="K66" s="67">
        <v>0.19047619047619047</v>
      </c>
      <c r="L66" s="67">
        <v>0.1111111111111111</v>
      </c>
      <c r="M66" s="67">
        <v>0.26819923371647508</v>
      </c>
      <c r="N66" s="67">
        <v>0.16475095785440613</v>
      </c>
      <c r="O66" s="67">
        <v>0.5</v>
      </c>
      <c r="P66" s="67">
        <v>0.23255813953488372</v>
      </c>
      <c r="Q66" s="67">
        <v>0.5</v>
      </c>
    </row>
    <row r="67" spans="1:17" x14ac:dyDescent="0.4">
      <c r="A67" s="69">
        <v>64</v>
      </c>
      <c r="B67" s="66">
        <v>-1056.0999999999997</v>
      </c>
      <c r="C67" s="66">
        <v>-16.501562499999995</v>
      </c>
      <c r="D67" s="71">
        <v>2.265625</v>
      </c>
      <c r="E67" s="67">
        <v>0.234375</v>
      </c>
      <c r="F67" s="67">
        <v>0.5</v>
      </c>
      <c r="G67" s="67">
        <v>0.22641509433962265</v>
      </c>
      <c r="H67" s="67">
        <v>0.19622641509433963</v>
      </c>
      <c r="I67" s="68">
        <v>9125.8333333333339</v>
      </c>
      <c r="J67" s="68">
        <v>-9557.6923076923085</v>
      </c>
      <c r="K67" s="67">
        <v>0.1875</v>
      </c>
      <c r="L67" s="67">
        <v>0.109375</v>
      </c>
      <c r="M67" s="67">
        <v>0.26981132075471698</v>
      </c>
      <c r="N67" s="67">
        <v>0.16226415094339622</v>
      </c>
      <c r="O67" s="67">
        <v>0.49650349650349651</v>
      </c>
      <c r="P67" s="67">
        <v>0.23255813953488372</v>
      </c>
      <c r="Q67" s="67">
        <v>0.5</v>
      </c>
    </row>
    <row r="68" spans="1:17" x14ac:dyDescent="0.4">
      <c r="A68" s="69">
        <v>65</v>
      </c>
      <c r="B68" s="66">
        <v>-1083.0999999999997</v>
      </c>
      <c r="C68" s="66">
        <v>-16.663076923076918</v>
      </c>
      <c r="D68" s="71">
        <v>2.2769230769230768</v>
      </c>
      <c r="E68" s="67">
        <v>0.23076923076923078</v>
      </c>
      <c r="F68" s="67">
        <v>0.50769230769230766</v>
      </c>
      <c r="G68" s="67">
        <v>0.22574626865671643</v>
      </c>
      <c r="H68" s="67">
        <v>0.19589552238805971</v>
      </c>
      <c r="I68" s="68">
        <v>9066.9421487603304</v>
      </c>
      <c r="J68" s="68">
        <v>-9580.9523809523816</v>
      </c>
      <c r="K68" s="67">
        <v>0.18461538461538463</v>
      </c>
      <c r="L68" s="67">
        <v>0.1076923076923077</v>
      </c>
      <c r="M68" s="67">
        <v>0.26865671641791045</v>
      </c>
      <c r="N68" s="67">
        <v>0.16604477611940299</v>
      </c>
      <c r="O68" s="67">
        <v>0.49305555555555558</v>
      </c>
      <c r="P68" s="67">
        <v>0.23595505617977527</v>
      </c>
      <c r="Q68" s="67">
        <v>0.49586776859504134</v>
      </c>
    </row>
    <row r="69" spans="1:17" x14ac:dyDescent="0.4">
      <c r="A69" s="69">
        <v>66</v>
      </c>
      <c r="B69" s="66">
        <v>-1122.9999999999998</v>
      </c>
      <c r="C69" s="66">
        <v>-17.015151515151512</v>
      </c>
      <c r="D69" s="71">
        <v>2.2878787878787881</v>
      </c>
      <c r="E69" s="67">
        <v>0.22727272727272727</v>
      </c>
      <c r="F69" s="67">
        <v>0.51515151515151514</v>
      </c>
      <c r="G69" s="67">
        <v>0.22324723247232472</v>
      </c>
      <c r="H69" s="67">
        <v>0.19557195571955718</v>
      </c>
      <c r="I69" s="68">
        <v>9066.9421487603304</v>
      </c>
      <c r="J69" s="68">
        <v>-9527.3584905660373</v>
      </c>
      <c r="K69" s="67">
        <v>0.18181818181818182</v>
      </c>
      <c r="L69" s="67">
        <v>0.10606060606060606</v>
      </c>
      <c r="M69" s="67">
        <v>0.26568265682656828</v>
      </c>
      <c r="N69" s="67">
        <v>0.16605166051660517</v>
      </c>
      <c r="O69" s="67">
        <v>0.49305555555555558</v>
      </c>
      <c r="P69" s="67">
        <v>0.23333333333333334</v>
      </c>
      <c r="Q69" s="67">
        <v>0.49586776859504134</v>
      </c>
    </row>
    <row r="70" spans="1:17" x14ac:dyDescent="0.4">
      <c r="A70" s="69">
        <v>67</v>
      </c>
      <c r="B70" s="66">
        <v>-1123.7999999999997</v>
      </c>
      <c r="C70" s="66">
        <v>-16.773134328358204</v>
      </c>
      <c r="D70" s="71">
        <v>2.283582089552239</v>
      </c>
      <c r="E70" s="67">
        <v>0.22388059701492538</v>
      </c>
      <c r="F70" s="67">
        <v>0.5074626865671642</v>
      </c>
      <c r="G70" s="67">
        <v>0.22603978300180833</v>
      </c>
      <c r="H70" s="67">
        <v>0.19349005424954793</v>
      </c>
      <c r="I70" s="68">
        <v>8896.7999999999993</v>
      </c>
      <c r="J70" s="68">
        <v>-9513.0841121495323</v>
      </c>
      <c r="K70" s="67">
        <v>0.17910447761194029</v>
      </c>
      <c r="L70" s="67">
        <v>0.1044776119402985</v>
      </c>
      <c r="M70" s="67">
        <v>0.26763110307414106</v>
      </c>
      <c r="N70" s="67">
        <v>0.16636528028933092</v>
      </c>
      <c r="O70" s="67">
        <v>0.5</v>
      </c>
      <c r="P70" s="67">
        <v>0.22826086956521738</v>
      </c>
      <c r="Q70" s="67">
        <v>0.48799999999999999</v>
      </c>
    </row>
    <row r="71" spans="1:17" x14ac:dyDescent="0.4">
      <c r="A71" s="69">
        <v>68</v>
      </c>
      <c r="B71" s="66">
        <v>-1066.5999999999997</v>
      </c>
      <c r="C71" s="66">
        <v>-15.685294117647054</v>
      </c>
      <c r="D71" s="71">
        <v>2.2647058823529411</v>
      </c>
      <c r="E71" s="67">
        <v>0.23529411764705882</v>
      </c>
      <c r="F71" s="67">
        <v>0.5</v>
      </c>
      <c r="G71" s="67">
        <v>0.23131672597864769</v>
      </c>
      <c r="H71" s="67">
        <v>0.19039145907473309</v>
      </c>
      <c r="I71" s="68">
        <v>8890.7692307692305</v>
      </c>
      <c r="J71" s="68">
        <v>-9513.0841121495323</v>
      </c>
      <c r="K71" s="67">
        <v>0.17647058823529413</v>
      </c>
      <c r="L71" s="67">
        <v>0.11764705882352941</v>
      </c>
      <c r="M71" s="67">
        <v>0.27224199288256229</v>
      </c>
      <c r="N71" s="67">
        <v>0.16370106761565836</v>
      </c>
      <c r="O71" s="67">
        <v>0.5163398692810458</v>
      </c>
      <c r="P71" s="67">
        <v>0.22826086956521738</v>
      </c>
      <c r="Q71" s="67">
        <v>0.47692307692307695</v>
      </c>
    </row>
    <row r="72" spans="1:17" x14ac:dyDescent="0.4">
      <c r="A72" s="69">
        <v>69</v>
      </c>
      <c r="B72" s="66">
        <v>-1115.2999999999997</v>
      </c>
      <c r="C72" s="66">
        <v>-16.163768115942027</v>
      </c>
      <c r="D72" s="71">
        <v>2.2753623188405796</v>
      </c>
      <c r="E72" s="67">
        <v>0.2318840579710145</v>
      </c>
      <c r="F72" s="67">
        <v>0.50724637681159424</v>
      </c>
      <c r="G72" s="67">
        <v>0.22902097902097901</v>
      </c>
      <c r="H72" s="67">
        <v>0.19230769230769232</v>
      </c>
      <c r="I72" s="68">
        <v>8883.9694656488555</v>
      </c>
      <c r="J72" s="68">
        <v>-9505.454545454546</v>
      </c>
      <c r="K72" s="67">
        <v>0.17391304347826086</v>
      </c>
      <c r="L72" s="67">
        <v>0.11594202898550725</v>
      </c>
      <c r="M72" s="67">
        <v>0.27272727272727271</v>
      </c>
      <c r="N72" s="67">
        <v>0.16433566433566432</v>
      </c>
      <c r="O72" s="67">
        <v>0.51282051282051277</v>
      </c>
      <c r="P72" s="67">
        <v>0.22340425531914893</v>
      </c>
      <c r="Q72" s="67">
        <v>0.47328244274809161</v>
      </c>
    </row>
    <row r="73" spans="1:17" x14ac:dyDescent="0.4">
      <c r="A73" s="69">
        <v>70</v>
      </c>
      <c r="B73" s="66">
        <v>-1170.9999999999998</v>
      </c>
      <c r="C73" s="66">
        <v>-16.728571428571424</v>
      </c>
      <c r="D73" s="71">
        <v>2.2857142857142856</v>
      </c>
      <c r="E73" s="67">
        <v>0.22857142857142856</v>
      </c>
      <c r="F73" s="67">
        <v>0.51428571428571423</v>
      </c>
      <c r="G73" s="67">
        <v>0.22797927461139897</v>
      </c>
      <c r="H73" s="67">
        <v>0.19170984455958548</v>
      </c>
      <c r="I73" s="68">
        <v>8856.060606060606</v>
      </c>
      <c r="J73" s="68">
        <v>-9466.6666666666661</v>
      </c>
      <c r="K73" s="67">
        <v>0.18571428571428572</v>
      </c>
      <c r="L73" s="67">
        <v>0.11428571428571428</v>
      </c>
      <c r="M73" s="67">
        <v>0.27461139896373055</v>
      </c>
      <c r="N73" s="67">
        <v>0.16407599309153714</v>
      </c>
      <c r="O73" s="67">
        <v>0.50943396226415094</v>
      </c>
      <c r="P73" s="67">
        <v>0.22105263157894736</v>
      </c>
      <c r="Q73" s="67">
        <v>0.46969696969696972</v>
      </c>
    </row>
    <row r="74" spans="1:17" x14ac:dyDescent="0.4">
      <c r="A74" s="69">
        <v>71</v>
      </c>
      <c r="B74" s="66">
        <v>-1130.3999999999999</v>
      </c>
      <c r="C74" s="66">
        <v>-15.921126760563379</v>
      </c>
      <c r="D74" s="71">
        <v>2.267605633802817</v>
      </c>
      <c r="E74" s="67">
        <v>0.23943661971830985</v>
      </c>
      <c r="F74" s="67">
        <v>0.50704225352112675</v>
      </c>
      <c r="G74" s="67">
        <v>0.22920203735144312</v>
      </c>
      <c r="H74" s="67">
        <v>0.19015280135823429</v>
      </c>
      <c r="I74" s="68">
        <v>8875.5555555555547</v>
      </c>
      <c r="J74" s="68">
        <v>-9428.5714285714294</v>
      </c>
      <c r="K74" s="67">
        <v>0.18309859154929578</v>
      </c>
      <c r="L74" s="67">
        <v>0.11267605633802817</v>
      </c>
      <c r="M74" s="67">
        <v>0.27843803056027167</v>
      </c>
      <c r="N74" s="67">
        <v>0.16298811544991512</v>
      </c>
      <c r="O74" s="67">
        <v>0.51219512195121952</v>
      </c>
      <c r="P74" s="67">
        <v>0.21875</v>
      </c>
      <c r="Q74" s="67">
        <v>0.46666666666666667</v>
      </c>
    </row>
    <row r="75" spans="1:17" x14ac:dyDescent="0.4">
      <c r="A75" s="69">
        <v>72</v>
      </c>
      <c r="B75" s="66">
        <v>-1129.6999999999998</v>
      </c>
      <c r="C75" s="66">
        <v>-15.690277777777775</v>
      </c>
      <c r="D75" s="71">
        <v>2.2638888888888888</v>
      </c>
      <c r="E75" s="67">
        <v>0.2361111111111111</v>
      </c>
      <c r="F75" s="67">
        <v>0.5</v>
      </c>
      <c r="G75" s="67">
        <v>0.23</v>
      </c>
      <c r="H75" s="67">
        <v>0.19</v>
      </c>
      <c r="I75" s="68">
        <v>8834.0579710144921</v>
      </c>
      <c r="J75" s="68">
        <v>-9398.2456140350878</v>
      </c>
      <c r="K75" s="67">
        <v>0.18055555555555555</v>
      </c>
      <c r="L75" s="67">
        <v>0.1111111111111111</v>
      </c>
      <c r="M75" s="67">
        <v>0.27666666666666667</v>
      </c>
      <c r="N75" s="67">
        <v>0.16333333333333333</v>
      </c>
      <c r="O75" s="67">
        <v>0.51807228915662651</v>
      </c>
      <c r="P75" s="67">
        <v>0.22448979591836735</v>
      </c>
      <c r="Q75" s="67">
        <v>0.46376811594202899</v>
      </c>
    </row>
    <row r="76" spans="1:17" x14ac:dyDescent="0.4">
      <c r="A76" s="69">
        <v>73</v>
      </c>
      <c r="B76" s="66">
        <v>-1091.5999999999999</v>
      </c>
      <c r="C76" s="66">
        <v>-14.953424657534246</v>
      </c>
      <c r="D76" s="71">
        <v>2.2465753424657535</v>
      </c>
      <c r="E76" s="67">
        <v>0.24657534246575341</v>
      </c>
      <c r="F76" s="67">
        <v>0.49315068493150682</v>
      </c>
      <c r="G76" s="67">
        <v>0.23393739703459637</v>
      </c>
      <c r="H76" s="67">
        <v>0.19110378912685339</v>
      </c>
      <c r="I76" s="68">
        <v>8873.9436619718308</v>
      </c>
      <c r="J76" s="68">
        <v>-9408.6206896551721</v>
      </c>
      <c r="K76" s="67">
        <v>0.17808219178082191</v>
      </c>
      <c r="L76" s="67">
        <v>0.1095890410958904</v>
      </c>
      <c r="M76" s="67">
        <v>0.28171334431630973</v>
      </c>
      <c r="N76" s="67">
        <v>0.16144975288303129</v>
      </c>
      <c r="O76" s="67">
        <v>0.52631578947368418</v>
      </c>
      <c r="P76" s="67">
        <v>0.22448979591836735</v>
      </c>
      <c r="Q76" s="67">
        <v>0.46478873239436619</v>
      </c>
    </row>
    <row r="77" spans="1:17" x14ac:dyDescent="0.4">
      <c r="A77" s="69">
        <v>74</v>
      </c>
      <c r="B77" s="66">
        <v>-1149.5999999999999</v>
      </c>
      <c r="C77" s="66">
        <v>-15.535135135135134</v>
      </c>
      <c r="D77" s="71">
        <v>2.2567567567567566</v>
      </c>
      <c r="E77" s="67">
        <v>0.24324324324324326</v>
      </c>
      <c r="F77" s="67">
        <v>0.5</v>
      </c>
      <c r="G77" s="67">
        <v>0.233387358184765</v>
      </c>
      <c r="H77" s="67">
        <v>0.19286871961102106</v>
      </c>
      <c r="I77" s="68">
        <v>8872.9166666666661</v>
      </c>
      <c r="J77" s="68">
        <v>-9433.6134453781506</v>
      </c>
      <c r="K77" s="67">
        <v>0.1891891891891892</v>
      </c>
      <c r="L77" s="67">
        <v>0.10810810810810811</v>
      </c>
      <c r="M77" s="67">
        <v>0.28200972447325767</v>
      </c>
      <c r="N77" s="67">
        <v>0.15883306320907617</v>
      </c>
      <c r="O77" s="67">
        <v>0.52298850574712641</v>
      </c>
      <c r="P77" s="67">
        <v>0.22448979591836735</v>
      </c>
      <c r="Q77" s="67">
        <v>0.46527777777777779</v>
      </c>
    </row>
    <row r="78" spans="1:17" x14ac:dyDescent="0.4">
      <c r="A78" s="69">
        <v>75</v>
      </c>
      <c r="B78" s="66">
        <v>-1147.8999999999999</v>
      </c>
      <c r="C78" s="66">
        <v>-15.305333333333332</v>
      </c>
      <c r="D78" s="71">
        <v>2.2533333333333334</v>
      </c>
      <c r="E78" s="67">
        <v>0.24</v>
      </c>
      <c r="F78" s="67">
        <v>0.49333333333333335</v>
      </c>
      <c r="G78" s="67">
        <v>0.23162939297124602</v>
      </c>
      <c r="H78" s="67">
        <v>0.19169329073482427</v>
      </c>
      <c r="I78" s="68">
        <v>9032.4137931034475</v>
      </c>
      <c r="J78" s="68">
        <v>-9365.8333333333339</v>
      </c>
      <c r="K78" s="67">
        <v>0.18666666666666668</v>
      </c>
      <c r="L78" s="67">
        <v>0.10666666666666667</v>
      </c>
      <c r="M78" s="67">
        <v>0.28434504792332266</v>
      </c>
      <c r="N78" s="67">
        <v>0.15654952076677317</v>
      </c>
      <c r="O78" s="67">
        <v>0.5112359550561798</v>
      </c>
      <c r="P78" s="67">
        <v>0.22448979591836735</v>
      </c>
      <c r="Q78" s="67">
        <v>0.46206896551724136</v>
      </c>
    </row>
    <row r="79" spans="1:17" x14ac:dyDescent="0.4">
      <c r="A79" s="69">
        <v>76</v>
      </c>
      <c r="B79" s="66">
        <v>-1183.9999999999998</v>
      </c>
      <c r="C79" s="66">
        <v>-15.57894736842105</v>
      </c>
      <c r="D79" s="71">
        <v>2.263157894736842</v>
      </c>
      <c r="E79" s="67">
        <v>0.23684210526315788</v>
      </c>
      <c r="F79" s="67">
        <v>0.5</v>
      </c>
      <c r="G79" s="67">
        <v>0.23064770932069512</v>
      </c>
      <c r="H79" s="67">
        <v>0.19273301737756715</v>
      </c>
      <c r="I79" s="68">
        <v>8984.2465753424658</v>
      </c>
      <c r="J79" s="68">
        <v>-9299.1803278688531</v>
      </c>
      <c r="K79" s="67">
        <v>0.18421052631578946</v>
      </c>
      <c r="L79" s="67">
        <v>0.10526315789473684</v>
      </c>
      <c r="M79" s="67">
        <v>0.28120063191153238</v>
      </c>
      <c r="N79" s="67">
        <v>0.15797788309636651</v>
      </c>
      <c r="O79" s="67">
        <v>0.5112359550561798</v>
      </c>
      <c r="P79" s="67">
        <v>0.23</v>
      </c>
      <c r="Q79" s="67">
        <v>0.4589041095890411</v>
      </c>
    </row>
    <row r="80" spans="1:17" x14ac:dyDescent="0.4">
      <c r="A80" s="69">
        <v>77</v>
      </c>
      <c r="B80" s="66">
        <v>-1135.9999999999998</v>
      </c>
      <c r="C80" s="66">
        <v>-14.753246753246751</v>
      </c>
      <c r="D80" s="71">
        <v>2.2467532467532467</v>
      </c>
      <c r="E80" s="67">
        <v>0.24675324675324675</v>
      </c>
      <c r="F80" s="67">
        <v>0.4935064935064935</v>
      </c>
      <c r="G80" s="67">
        <v>0.23556942277691106</v>
      </c>
      <c r="H80" s="67">
        <v>0.19188767550702029</v>
      </c>
      <c r="I80" s="68">
        <v>8934.4370860927156</v>
      </c>
      <c r="J80" s="68">
        <v>-9255.2845528455291</v>
      </c>
      <c r="K80" s="67">
        <v>0.18181818181818182</v>
      </c>
      <c r="L80" s="67">
        <v>0.1038961038961039</v>
      </c>
      <c r="M80" s="67">
        <v>0.28237129485179407</v>
      </c>
      <c r="N80" s="67">
        <v>0.15600624024960999</v>
      </c>
      <c r="O80" s="67">
        <v>0.51933701657458564</v>
      </c>
      <c r="P80" s="67">
        <v>0.23</v>
      </c>
      <c r="Q80" s="67">
        <v>0.45695364238410596</v>
      </c>
    </row>
    <row r="81" spans="1:17" x14ac:dyDescent="0.4">
      <c r="A81" s="69">
        <v>78</v>
      </c>
      <c r="B81" s="66">
        <v>-1169.8999999999999</v>
      </c>
      <c r="C81" s="66">
        <v>-14.998717948717948</v>
      </c>
      <c r="D81" s="71">
        <v>2.2564102564102564</v>
      </c>
      <c r="E81" s="67">
        <v>0.24358974358974358</v>
      </c>
      <c r="F81" s="67">
        <v>0.5</v>
      </c>
      <c r="G81" s="67">
        <v>0.23538461538461539</v>
      </c>
      <c r="H81" s="67">
        <v>0.19076923076923077</v>
      </c>
      <c r="I81" s="68">
        <v>8882.3529411764703</v>
      </c>
      <c r="J81" s="68">
        <v>-9277.4193548387102</v>
      </c>
      <c r="K81" s="67">
        <v>0.17948717948717949</v>
      </c>
      <c r="L81" s="67">
        <v>0.10256410256410256</v>
      </c>
      <c r="M81" s="67">
        <v>0.28153846153846152</v>
      </c>
      <c r="N81" s="67">
        <v>0.15538461538461537</v>
      </c>
      <c r="O81" s="67">
        <v>0.51912568306010931</v>
      </c>
      <c r="P81" s="67">
        <v>0.23762376237623761</v>
      </c>
      <c r="Q81" s="67">
        <v>0.45751633986928103</v>
      </c>
    </row>
    <row r="82" spans="1:17" x14ac:dyDescent="0.4">
      <c r="A82" s="69">
        <v>79</v>
      </c>
      <c r="B82" s="66">
        <v>-1226.5999999999999</v>
      </c>
      <c r="C82" s="66">
        <v>-15.526582278481012</v>
      </c>
      <c r="D82" s="71">
        <v>2.2658227848101267</v>
      </c>
      <c r="E82" s="67">
        <v>0.24050632911392406</v>
      </c>
      <c r="F82" s="67">
        <v>0.50632911392405067</v>
      </c>
      <c r="G82" s="67">
        <v>0.23404255319148937</v>
      </c>
      <c r="H82" s="67">
        <v>0.19300911854103345</v>
      </c>
      <c r="I82" s="68">
        <v>8833.1168831168834</v>
      </c>
      <c r="J82" s="68">
        <v>-9254.3307086614168</v>
      </c>
      <c r="K82" s="67">
        <v>0.189873417721519</v>
      </c>
      <c r="L82" s="67">
        <v>0.10126582278481013</v>
      </c>
      <c r="M82" s="67">
        <v>0.27811550151975684</v>
      </c>
      <c r="N82" s="67">
        <v>0.15501519756838905</v>
      </c>
      <c r="O82" s="67">
        <v>0.51912568306010931</v>
      </c>
      <c r="P82" s="67">
        <v>0.23529411764705882</v>
      </c>
      <c r="Q82" s="67">
        <v>0.45454545454545453</v>
      </c>
    </row>
    <row r="83" spans="1:17" x14ac:dyDescent="0.4">
      <c r="A83" s="69">
        <v>80</v>
      </c>
      <c r="B83" s="66">
        <v>-1201</v>
      </c>
      <c r="C83" s="66">
        <v>-15.012499999999999</v>
      </c>
      <c r="D83" s="71">
        <v>2.25</v>
      </c>
      <c r="E83" s="67">
        <v>0.25</v>
      </c>
      <c r="F83" s="67">
        <v>0.5</v>
      </c>
      <c r="G83" s="67">
        <v>0.23423423423423423</v>
      </c>
      <c r="H83" s="67">
        <v>0.19219219219219219</v>
      </c>
      <c r="I83" s="68">
        <v>8818.5897435897441</v>
      </c>
      <c r="J83" s="68">
        <v>-9244.53125</v>
      </c>
      <c r="K83" s="67">
        <v>0.1875</v>
      </c>
      <c r="L83" s="67">
        <v>0.1</v>
      </c>
      <c r="M83" s="67">
        <v>0.27777777777777779</v>
      </c>
      <c r="N83" s="67">
        <v>0.15915915915915915</v>
      </c>
      <c r="O83" s="67">
        <v>0.51891891891891895</v>
      </c>
      <c r="P83" s="67">
        <v>0.23584905660377359</v>
      </c>
      <c r="Q83" s="67">
        <v>0.45512820512820512</v>
      </c>
    </row>
    <row r="84" spans="1:17" x14ac:dyDescent="0.4">
      <c r="A84" s="69">
        <v>81</v>
      </c>
      <c r="B84" s="66">
        <v>-1265.7</v>
      </c>
      <c r="C84" s="66">
        <v>-15.625925925925927</v>
      </c>
      <c r="D84" s="71">
        <v>2.2592592592592591</v>
      </c>
      <c r="E84" s="67">
        <v>0.24691358024691357</v>
      </c>
      <c r="F84" s="67">
        <v>0.50617283950617287</v>
      </c>
      <c r="G84" s="67">
        <v>0.2314540059347181</v>
      </c>
      <c r="H84" s="67">
        <v>0.19287833827893175</v>
      </c>
      <c r="I84" s="68">
        <v>8818.5897435897441</v>
      </c>
      <c r="J84" s="68">
        <v>-9243.8461538461543</v>
      </c>
      <c r="K84" s="67">
        <v>0.19753086419753085</v>
      </c>
      <c r="L84" s="67">
        <v>9.8765432098765427E-2</v>
      </c>
      <c r="M84" s="67">
        <v>0.27448071216617209</v>
      </c>
      <c r="N84" s="67">
        <v>0.16172106824925817</v>
      </c>
      <c r="O84" s="67">
        <v>0.51891891891891895</v>
      </c>
      <c r="P84" s="67">
        <v>0.22935779816513763</v>
      </c>
      <c r="Q84" s="67">
        <v>0.45512820512820512</v>
      </c>
    </row>
    <row r="85" spans="1:17" x14ac:dyDescent="0.4">
      <c r="A85" s="69">
        <v>82</v>
      </c>
      <c r="B85" s="66">
        <v>-1267.2</v>
      </c>
      <c r="C85" s="66">
        <v>-15.453658536585367</v>
      </c>
      <c r="D85" s="71">
        <v>2.2560975609756095</v>
      </c>
      <c r="E85" s="67">
        <v>0.24390243902439024</v>
      </c>
      <c r="F85" s="67">
        <v>0.5</v>
      </c>
      <c r="G85" s="67">
        <v>0.23065693430656933</v>
      </c>
      <c r="H85" s="67">
        <v>0.19270072992700729</v>
      </c>
      <c r="I85" s="68">
        <v>8856.32911392405</v>
      </c>
      <c r="J85" s="68">
        <v>-9184.0909090909099</v>
      </c>
      <c r="K85" s="67">
        <v>0.1951219512195122</v>
      </c>
      <c r="L85" s="67">
        <v>9.7560975609756101E-2</v>
      </c>
      <c r="M85" s="67">
        <v>0.27299270072992698</v>
      </c>
      <c r="N85" s="67">
        <v>0.1635036496350365</v>
      </c>
      <c r="O85" s="67">
        <v>0.52406417112299464</v>
      </c>
      <c r="P85" s="67">
        <v>0.22321428571428573</v>
      </c>
      <c r="Q85" s="67">
        <v>0.45569620253164556</v>
      </c>
    </row>
    <row r="86" spans="1:17" x14ac:dyDescent="0.4">
      <c r="A86" s="69">
        <v>83</v>
      </c>
      <c r="B86" s="66">
        <v>-1270.6000000000001</v>
      </c>
      <c r="C86" s="66">
        <v>-15.308433734939761</v>
      </c>
      <c r="D86" s="71">
        <v>2.2530120481927711</v>
      </c>
      <c r="E86" s="67">
        <v>0.24096385542168675</v>
      </c>
      <c r="F86" s="67">
        <v>0.49397590361445781</v>
      </c>
      <c r="G86" s="67">
        <v>0.23088023088023088</v>
      </c>
      <c r="H86" s="67">
        <v>0.19336219336219337</v>
      </c>
      <c r="I86" s="68">
        <v>8826.25</v>
      </c>
      <c r="J86" s="68">
        <v>-9076.8656716417918</v>
      </c>
      <c r="K86" s="67">
        <v>0.19277108433734941</v>
      </c>
      <c r="L86" s="67">
        <v>9.6385542168674704E-2</v>
      </c>
      <c r="M86" s="67">
        <v>0.27272727272727271</v>
      </c>
      <c r="N86" s="67">
        <v>0.16450216450216451</v>
      </c>
      <c r="O86" s="67">
        <v>0.52380952380952384</v>
      </c>
      <c r="P86" s="67">
        <v>0.22807017543859648</v>
      </c>
      <c r="Q86" s="67">
        <v>0.45624999999999999</v>
      </c>
    </row>
    <row r="87" spans="1:17" x14ac:dyDescent="0.4">
      <c r="A87" s="69">
        <v>84</v>
      </c>
      <c r="B87" s="66">
        <v>-1264.8000000000002</v>
      </c>
      <c r="C87" s="66">
        <v>-15.057142857142859</v>
      </c>
      <c r="D87" s="71">
        <v>2.25</v>
      </c>
      <c r="E87" s="67">
        <v>0.23809523809523808</v>
      </c>
      <c r="F87" s="67">
        <v>0.48809523809523808</v>
      </c>
      <c r="G87" s="67">
        <v>0.23229461756373937</v>
      </c>
      <c r="H87" s="67">
        <v>0.19263456090651557</v>
      </c>
      <c r="I87" s="68">
        <v>8782.3170731707323</v>
      </c>
      <c r="J87" s="68">
        <v>-9042.6470588235297</v>
      </c>
      <c r="K87" s="67">
        <v>0.19047619047619047</v>
      </c>
      <c r="L87" s="67">
        <v>9.5238095238095233E-2</v>
      </c>
      <c r="M87" s="67">
        <v>0.27620396600566571</v>
      </c>
      <c r="N87" s="67">
        <v>0.1643059490084986</v>
      </c>
      <c r="O87" s="67">
        <v>0.52820512820512822</v>
      </c>
      <c r="P87" s="67">
        <v>0.22413793103448276</v>
      </c>
      <c r="Q87" s="67">
        <v>0.45731707317073172</v>
      </c>
    </row>
    <row r="88" spans="1:17" x14ac:dyDescent="0.4">
      <c r="A88" s="69">
        <v>85</v>
      </c>
      <c r="B88" s="66">
        <v>-1322.1000000000001</v>
      </c>
      <c r="C88" s="66">
        <v>-15.554117647058826</v>
      </c>
      <c r="D88" s="71">
        <v>2.2588235294117647</v>
      </c>
      <c r="E88" s="67">
        <v>0.23529411764705882</v>
      </c>
      <c r="F88" s="67">
        <v>0.49411764705882355</v>
      </c>
      <c r="G88" s="67">
        <v>0.23109243697478993</v>
      </c>
      <c r="H88" s="67">
        <v>0.19467787114845939</v>
      </c>
      <c r="I88" s="68">
        <v>8761.2121212121219</v>
      </c>
      <c r="J88" s="68">
        <v>-9028.0575539568345</v>
      </c>
      <c r="K88" s="67">
        <v>0.2</v>
      </c>
      <c r="L88" s="67">
        <v>9.4117647058823528E-2</v>
      </c>
      <c r="M88" s="67">
        <v>0.27591036414565828</v>
      </c>
      <c r="N88" s="67">
        <v>0.1638655462184874</v>
      </c>
      <c r="O88" s="67">
        <v>0.52284263959390864</v>
      </c>
      <c r="P88" s="67">
        <v>0.23076923076923078</v>
      </c>
      <c r="Q88" s="67">
        <v>0.46060606060606063</v>
      </c>
    </row>
    <row r="89" spans="1:17" x14ac:dyDescent="0.4">
      <c r="A89" s="69">
        <v>86</v>
      </c>
      <c r="B89" s="66">
        <v>-1272.1000000000001</v>
      </c>
      <c r="C89" s="66">
        <v>-14.791860465116281</v>
      </c>
      <c r="D89" s="71">
        <v>2.2441860465116279</v>
      </c>
      <c r="E89" s="67">
        <v>0.2441860465116279</v>
      </c>
      <c r="F89" s="67">
        <v>0.48837209302325579</v>
      </c>
      <c r="G89" s="67">
        <v>0.23472222222222222</v>
      </c>
      <c r="H89" s="67">
        <v>0.19583333333333333</v>
      </c>
      <c r="I89" s="68">
        <v>8861.538461538461</v>
      </c>
      <c r="J89" s="68">
        <v>-9070.2127659574471</v>
      </c>
      <c r="K89" s="67">
        <v>0.19767441860465115</v>
      </c>
      <c r="L89" s="67">
        <v>0.10465116279069768</v>
      </c>
      <c r="M89" s="67">
        <v>0.27638888888888891</v>
      </c>
      <c r="N89" s="67">
        <v>0.16666666666666666</v>
      </c>
      <c r="O89" s="67">
        <v>0.52763819095477382</v>
      </c>
      <c r="P89" s="67">
        <v>0.24166666666666667</v>
      </c>
      <c r="Q89" s="67">
        <v>0.44970414201183434</v>
      </c>
    </row>
    <row r="90" spans="1:17" x14ac:dyDescent="0.4">
      <c r="A90" s="69">
        <v>87</v>
      </c>
      <c r="B90" s="66">
        <v>-1283.8000000000002</v>
      </c>
      <c r="C90" s="66">
        <v>-14.756321839080462</v>
      </c>
      <c r="D90" s="71">
        <v>2.2413793103448274</v>
      </c>
      <c r="E90" s="67">
        <v>0.2413793103448276</v>
      </c>
      <c r="F90" s="67">
        <v>0.48275862068965519</v>
      </c>
      <c r="G90" s="67">
        <v>0.23415977961432508</v>
      </c>
      <c r="H90" s="67">
        <v>0.19421487603305784</v>
      </c>
      <c r="I90" s="68">
        <v>8877.6470588235297</v>
      </c>
      <c r="J90" s="68">
        <v>-9070.2127659574471</v>
      </c>
      <c r="K90" s="67">
        <v>0.19540229885057472</v>
      </c>
      <c r="L90" s="67">
        <v>0.10344827586206896</v>
      </c>
      <c r="M90" s="67">
        <v>0.27961432506887052</v>
      </c>
      <c r="N90" s="67">
        <v>0.16528925619834711</v>
      </c>
      <c r="O90" s="67">
        <v>0.52216748768472909</v>
      </c>
      <c r="P90" s="67">
        <v>0.24166666666666667</v>
      </c>
      <c r="Q90" s="67">
        <v>0.44705882352941179</v>
      </c>
    </row>
    <row r="91" spans="1:17" x14ac:dyDescent="0.4">
      <c r="A91" s="69">
        <v>88</v>
      </c>
      <c r="B91" s="66">
        <v>-1241.1000000000001</v>
      </c>
      <c r="C91" s="66">
        <v>-14.103409090909093</v>
      </c>
      <c r="D91" s="71">
        <v>2.2272727272727271</v>
      </c>
      <c r="E91" s="67">
        <v>0.25</v>
      </c>
      <c r="F91" s="67">
        <v>0.47727272727272729</v>
      </c>
      <c r="G91" s="67">
        <v>0.23777173913043478</v>
      </c>
      <c r="H91" s="67">
        <v>0.19429347826086957</v>
      </c>
      <c r="I91" s="68">
        <v>8818.2857142857138</v>
      </c>
      <c r="J91" s="68">
        <v>-9054.545454545454</v>
      </c>
      <c r="K91" s="67">
        <v>0.19318181818181818</v>
      </c>
      <c r="L91" s="67">
        <v>0.10227272727272728</v>
      </c>
      <c r="M91" s="67">
        <v>0.28396739130434784</v>
      </c>
      <c r="N91" s="67">
        <v>0.16440217391304349</v>
      </c>
      <c r="O91" s="67">
        <v>0.52153110047846885</v>
      </c>
      <c r="P91" s="67">
        <v>0.24793388429752067</v>
      </c>
      <c r="Q91" s="67">
        <v>0.43428571428571427</v>
      </c>
    </row>
    <row r="92" spans="1:17" x14ac:dyDescent="0.4">
      <c r="A92" s="69">
        <v>89</v>
      </c>
      <c r="B92" s="66">
        <v>-1288.1000000000001</v>
      </c>
      <c r="C92" s="66">
        <v>-14.47303370786517</v>
      </c>
      <c r="D92" s="71">
        <v>2.2359550561797752</v>
      </c>
      <c r="E92" s="67">
        <v>0.24719101123595505</v>
      </c>
      <c r="F92" s="67">
        <v>0.48314606741573035</v>
      </c>
      <c r="G92" s="67">
        <v>0.23790322580645162</v>
      </c>
      <c r="H92" s="67">
        <v>0.19489247311827956</v>
      </c>
      <c r="I92" s="68">
        <v>8809.0395480225998</v>
      </c>
      <c r="J92" s="68">
        <v>-9233.1034482758623</v>
      </c>
      <c r="K92" s="67">
        <v>0.19101123595505617</v>
      </c>
      <c r="L92" s="67">
        <v>0.10112359550561797</v>
      </c>
      <c r="M92" s="67">
        <v>0.28629032258064518</v>
      </c>
      <c r="N92" s="67">
        <v>0.16263440860215053</v>
      </c>
      <c r="O92" s="67">
        <v>0.52112676056338025</v>
      </c>
      <c r="P92" s="67">
        <v>0.24793388429752067</v>
      </c>
      <c r="Q92" s="67">
        <v>0.42937853107344631</v>
      </c>
    </row>
    <row r="93" spans="1:17" x14ac:dyDescent="0.4">
      <c r="A93" s="69">
        <v>90</v>
      </c>
      <c r="B93" s="66">
        <v>-1324.2</v>
      </c>
      <c r="C93" s="66">
        <v>-14.713333333333335</v>
      </c>
      <c r="D93" s="71">
        <v>2.2444444444444445</v>
      </c>
      <c r="E93" s="67">
        <v>0.24444444444444444</v>
      </c>
      <c r="F93" s="67">
        <v>0.48888888888888887</v>
      </c>
      <c r="G93" s="67">
        <v>0.2381578947368421</v>
      </c>
      <c r="H93" s="67">
        <v>0.19210526315789472</v>
      </c>
      <c r="I93" s="68">
        <v>8701.1049723756914</v>
      </c>
      <c r="J93" s="68">
        <v>-9189.7260273972606</v>
      </c>
      <c r="K93" s="67">
        <v>0.18888888888888888</v>
      </c>
      <c r="L93" s="67">
        <v>0.1</v>
      </c>
      <c r="M93" s="67">
        <v>0.28026315789473683</v>
      </c>
      <c r="N93" s="67">
        <v>0.16052631578947368</v>
      </c>
      <c r="O93" s="67">
        <v>0.52112676056338025</v>
      </c>
      <c r="P93" s="67">
        <v>0.25409836065573771</v>
      </c>
      <c r="Q93" s="67">
        <v>0.43093922651933703</v>
      </c>
    </row>
    <row r="94" spans="1:17" x14ac:dyDescent="0.4">
      <c r="A94" s="69">
        <v>91</v>
      </c>
      <c r="B94" s="66">
        <v>-1253.1000000000001</v>
      </c>
      <c r="C94" s="66">
        <v>-13.770329670329671</v>
      </c>
      <c r="D94" s="71">
        <v>2.2307692307692308</v>
      </c>
      <c r="E94" s="67">
        <v>0.25274725274725274</v>
      </c>
      <c r="F94" s="67">
        <v>0.48351648351648352</v>
      </c>
      <c r="G94" s="67">
        <v>0.24119947848761408</v>
      </c>
      <c r="H94" s="67">
        <v>0.19035202086049544</v>
      </c>
      <c r="I94" s="68">
        <v>8782.7027027027034</v>
      </c>
      <c r="J94" s="68">
        <v>-9189.7260273972606</v>
      </c>
      <c r="K94" s="67">
        <v>0.18681318681318682</v>
      </c>
      <c r="L94" s="67">
        <v>0.10989010989010989</v>
      </c>
      <c r="M94" s="67">
        <v>0.28031290743155152</v>
      </c>
      <c r="N94" s="67">
        <v>0.16166883963494133</v>
      </c>
      <c r="O94" s="67">
        <v>0.52093023255813953</v>
      </c>
      <c r="P94" s="67">
        <v>0.25</v>
      </c>
      <c r="Q94" s="67">
        <v>0.42702702702702705</v>
      </c>
    </row>
    <row r="95" spans="1:17" x14ac:dyDescent="0.4">
      <c r="A95" s="69">
        <v>92</v>
      </c>
      <c r="B95" s="66">
        <v>-1291.9000000000001</v>
      </c>
      <c r="C95" s="66">
        <v>-14.042391304347827</v>
      </c>
      <c r="D95" s="71">
        <v>2.2391304347826089</v>
      </c>
      <c r="E95" s="67">
        <v>0.25</v>
      </c>
      <c r="F95" s="67">
        <v>0.4891304347826087</v>
      </c>
      <c r="G95" s="67">
        <v>0.24289405684754523</v>
      </c>
      <c r="H95" s="67">
        <v>0.18992248062015504</v>
      </c>
      <c r="I95" s="68">
        <v>8755.3191489361707</v>
      </c>
      <c r="J95" s="68">
        <v>-9236.0544217687075</v>
      </c>
      <c r="K95" s="67">
        <v>0.18478260869565216</v>
      </c>
      <c r="L95" s="67">
        <v>0.10869565217391304</v>
      </c>
      <c r="M95" s="67">
        <v>0.27777777777777779</v>
      </c>
      <c r="N95" s="67">
        <v>0.16020671834625322</v>
      </c>
      <c r="O95" s="67">
        <v>0.52093023255813953</v>
      </c>
      <c r="P95" s="67">
        <v>0.25</v>
      </c>
      <c r="Q95" s="67">
        <v>0.42553191489361702</v>
      </c>
    </row>
    <row r="96" spans="1:17" x14ac:dyDescent="0.4">
      <c r="A96" s="69">
        <v>93</v>
      </c>
      <c r="B96" s="66">
        <v>-1348.9</v>
      </c>
      <c r="C96" s="66">
        <v>-14.504301075268819</v>
      </c>
      <c r="D96" s="71">
        <v>2.247311827956989</v>
      </c>
      <c r="E96" s="67">
        <v>0.24731182795698925</v>
      </c>
      <c r="F96" s="67">
        <v>0.4946236559139785</v>
      </c>
      <c r="G96" s="67">
        <v>0.2416452442159383</v>
      </c>
      <c r="H96" s="67">
        <v>0.18894601542416453</v>
      </c>
      <c r="I96" s="68">
        <v>8755.3191489361707</v>
      </c>
      <c r="J96" s="68">
        <v>-9236.0544217687075</v>
      </c>
      <c r="K96" s="67">
        <v>0.19354838709677419</v>
      </c>
      <c r="L96" s="67">
        <v>0.10752688172043011</v>
      </c>
      <c r="M96" s="67">
        <v>0.2763496143958869</v>
      </c>
      <c r="N96" s="67">
        <v>0.15938303341902313</v>
      </c>
      <c r="O96" s="67">
        <v>0.52093023255813953</v>
      </c>
      <c r="P96" s="67">
        <v>0.25</v>
      </c>
      <c r="Q96" s="67">
        <v>0.42553191489361702</v>
      </c>
    </row>
    <row r="97" spans="1:17" x14ac:dyDescent="0.4">
      <c r="A97" s="69">
        <v>94</v>
      </c>
      <c r="B97" s="66">
        <v>-1306.3000000000002</v>
      </c>
      <c r="C97" s="66">
        <v>-13.8968085106383</v>
      </c>
      <c r="D97" s="71">
        <v>2.2340425531914891</v>
      </c>
      <c r="E97" s="67">
        <v>0.25531914893617019</v>
      </c>
      <c r="F97" s="67">
        <v>0.48936170212765956</v>
      </c>
      <c r="G97" s="67">
        <v>0.24585987261146497</v>
      </c>
      <c r="H97" s="67">
        <v>0.18726114649681527</v>
      </c>
      <c r="I97" s="68">
        <v>8661.1398963730571</v>
      </c>
      <c r="J97" s="68">
        <v>-9236.0544217687075</v>
      </c>
      <c r="K97" s="67">
        <v>0.19148936170212766</v>
      </c>
      <c r="L97" s="67">
        <v>0.10638297872340426</v>
      </c>
      <c r="M97" s="67">
        <v>0.27643312101910827</v>
      </c>
      <c r="N97" s="67">
        <v>0.16305732484076432</v>
      </c>
      <c r="O97" s="67">
        <v>0.52073732718894006</v>
      </c>
      <c r="P97" s="67">
        <v>0.265625</v>
      </c>
      <c r="Q97" s="67">
        <v>0.42487046632124353</v>
      </c>
    </row>
    <row r="98" spans="1:17" x14ac:dyDescent="0.4">
      <c r="A98" s="69">
        <v>95</v>
      </c>
      <c r="B98" s="66">
        <v>-1362.6000000000001</v>
      </c>
      <c r="C98" s="66">
        <v>-14.343157894736844</v>
      </c>
      <c r="D98" s="71">
        <v>2.2421052631578946</v>
      </c>
      <c r="E98" s="67">
        <v>0.25263157894736843</v>
      </c>
      <c r="F98" s="67">
        <v>0.49473684210526314</v>
      </c>
      <c r="G98" s="67">
        <v>0.24464060529634299</v>
      </c>
      <c r="H98" s="67">
        <v>0.19167717528373265</v>
      </c>
      <c r="I98" s="68">
        <v>8643.2989690721643</v>
      </c>
      <c r="J98" s="68">
        <v>-9165.78947368421</v>
      </c>
      <c r="K98" s="67">
        <v>0.2</v>
      </c>
      <c r="L98" s="67">
        <v>0.10526315789473684</v>
      </c>
      <c r="M98" s="67">
        <v>0.27490542244640603</v>
      </c>
      <c r="N98" s="67">
        <v>0.16393442622950818</v>
      </c>
      <c r="O98" s="67">
        <v>0.52293577981651373</v>
      </c>
      <c r="P98" s="67">
        <v>0.26153846153846155</v>
      </c>
      <c r="Q98" s="67">
        <v>0.42268041237113402</v>
      </c>
    </row>
    <row r="99" spans="1:17" x14ac:dyDescent="0.4">
      <c r="A99" s="69">
        <v>96</v>
      </c>
      <c r="B99" s="66">
        <v>-1335.8000000000002</v>
      </c>
      <c r="C99" s="66">
        <v>-13.914583333333335</v>
      </c>
      <c r="D99" s="71">
        <v>2.2291666666666665</v>
      </c>
      <c r="E99" s="67">
        <v>0.26041666666666669</v>
      </c>
      <c r="F99" s="67">
        <v>0.48958333333333331</v>
      </c>
      <c r="G99" s="67">
        <v>0.2456359102244389</v>
      </c>
      <c r="H99" s="67">
        <v>0.19201995012468828</v>
      </c>
      <c r="I99" s="68">
        <v>8740.1015228426404</v>
      </c>
      <c r="J99" s="68">
        <v>-9226.6233766233763</v>
      </c>
      <c r="K99" s="67">
        <v>0.19791666666666666</v>
      </c>
      <c r="L99" s="67">
        <v>0.10416666666666667</v>
      </c>
      <c r="M99" s="67">
        <v>0.27306733167082292</v>
      </c>
      <c r="N99" s="67">
        <v>0.16583541147132169</v>
      </c>
      <c r="O99" s="67">
        <v>0.52511415525114158</v>
      </c>
      <c r="P99" s="67">
        <v>0.26315789473684209</v>
      </c>
      <c r="Q99" s="67">
        <v>0.42131979695431471</v>
      </c>
    </row>
    <row r="100" spans="1:17" x14ac:dyDescent="0.4">
      <c r="A100" s="69">
        <v>97</v>
      </c>
      <c r="B100" s="66">
        <v>-1299.4000000000001</v>
      </c>
      <c r="C100" s="66">
        <v>-13.395876288659794</v>
      </c>
      <c r="D100" s="71">
        <v>2.2164948453608249</v>
      </c>
      <c r="E100" s="67">
        <v>0.26804123711340205</v>
      </c>
      <c r="F100" s="67">
        <v>0.4845360824742268</v>
      </c>
      <c r="G100" s="67">
        <v>0.24752475247524752</v>
      </c>
      <c r="H100" s="67">
        <v>0.1905940594059406</v>
      </c>
      <c r="I100" s="68">
        <v>8715</v>
      </c>
      <c r="J100" s="68">
        <v>-9226.6233766233763</v>
      </c>
      <c r="K100" s="67">
        <v>0.19587628865979381</v>
      </c>
      <c r="L100" s="67">
        <v>0.10309278350515463</v>
      </c>
      <c r="M100" s="67">
        <v>0.27103960396039606</v>
      </c>
      <c r="N100" s="67">
        <v>0.16831683168316833</v>
      </c>
      <c r="O100" s="67">
        <v>0.52511415525114158</v>
      </c>
      <c r="P100" s="67">
        <v>0.27205882352941174</v>
      </c>
      <c r="Q100" s="67">
        <v>0.43</v>
      </c>
    </row>
    <row r="101" spans="1:17" x14ac:dyDescent="0.4">
      <c r="A101" s="69">
        <v>98</v>
      </c>
      <c r="B101" s="66">
        <v>-1305.7</v>
      </c>
      <c r="C101" s="66">
        <v>-13.323469387755102</v>
      </c>
      <c r="D101" s="71">
        <v>2.2142857142857144</v>
      </c>
      <c r="E101" s="67">
        <v>0.26530612244897961</v>
      </c>
      <c r="F101" s="67">
        <v>0.47959183673469385</v>
      </c>
      <c r="G101" s="67">
        <v>0.24725943970767356</v>
      </c>
      <c r="H101" s="67">
        <v>0.1900121802679659</v>
      </c>
      <c r="I101" s="68">
        <v>8733.9901477832518</v>
      </c>
      <c r="J101" s="68">
        <v>-9167.3076923076915</v>
      </c>
      <c r="K101" s="67">
        <v>0.19387755102040816</v>
      </c>
      <c r="L101" s="67">
        <v>0.10204081632653061</v>
      </c>
      <c r="M101" s="67">
        <v>0.27161997563946405</v>
      </c>
      <c r="N101" s="67">
        <v>0.17052375152253349</v>
      </c>
      <c r="O101" s="67">
        <v>0.52017937219730936</v>
      </c>
      <c r="P101" s="67">
        <v>0.27857142857142858</v>
      </c>
      <c r="Q101" s="67">
        <v>0.43842364532019706</v>
      </c>
    </row>
    <row r="102" spans="1:17" x14ac:dyDescent="0.4">
      <c r="A102" s="69">
        <v>99</v>
      </c>
      <c r="B102" s="66">
        <v>-1267.5</v>
      </c>
      <c r="C102" s="66">
        <v>-12.803030303030303</v>
      </c>
      <c r="D102" s="71">
        <v>2.202020202020202</v>
      </c>
      <c r="E102" s="67">
        <v>0.27272727272727271</v>
      </c>
      <c r="F102" s="67">
        <v>0.47474747474747475</v>
      </c>
      <c r="G102" s="67">
        <v>0.24849215922798554</v>
      </c>
      <c r="H102" s="67">
        <v>0.1881785283474065</v>
      </c>
      <c r="I102" s="68">
        <v>8741.2621359223303</v>
      </c>
      <c r="J102" s="68">
        <v>-9167.3076923076915</v>
      </c>
      <c r="K102" s="67">
        <v>0.19191919191919191</v>
      </c>
      <c r="L102" s="67">
        <v>0.10101010101010101</v>
      </c>
      <c r="M102" s="67">
        <v>0.27382388419782872</v>
      </c>
      <c r="N102" s="67">
        <v>0.17008443908323281</v>
      </c>
      <c r="O102" s="67">
        <v>0.51982378854625555</v>
      </c>
      <c r="P102" s="67">
        <v>0.27659574468085107</v>
      </c>
      <c r="Q102" s="67">
        <v>0.44660194174757284</v>
      </c>
    </row>
    <row r="103" spans="1:17" x14ac:dyDescent="0.4">
      <c r="A103" s="69">
        <v>100</v>
      </c>
      <c r="B103" s="66">
        <v>-1255.3</v>
      </c>
      <c r="C103" s="66">
        <v>-12.552999999999999</v>
      </c>
      <c r="D103" s="71">
        <v>2.2000000000000002</v>
      </c>
      <c r="E103" s="67">
        <v>0.27</v>
      </c>
      <c r="F103" s="67">
        <v>0.47</v>
      </c>
      <c r="G103" s="67">
        <v>0.24910607866507747</v>
      </c>
      <c r="H103" s="67">
        <v>0.18712753277711561</v>
      </c>
      <c r="I103" s="68">
        <v>8788.0382775119615</v>
      </c>
      <c r="J103" s="68">
        <v>-9115.2866242038217</v>
      </c>
      <c r="K103" s="67">
        <v>0.19</v>
      </c>
      <c r="L103" s="67">
        <v>0.1</v>
      </c>
      <c r="M103" s="67">
        <v>0.27413587604290823</v>
      </c>
      <c r="N103" s="67">
        <v>0.17401668653158522</v>
      </c>
      <c r="O103" s="67">
        <v>0.52173913043478259</v>
      </c>
      <c r="P103" s="67">
        <v>0.27397260273972601</v>
      </c>
      <c r="Q103" s="67">
        <v>0.44497607655502391</v>
      </c>
    </row>
    <row r="104" spans="1:17" x14ac:dyDescent="0.4">
      <c r="A104" s="69">
        <v>101</v>
      </c>
      <c r="B104" s="66">
        <v>-1246.3</v>
      </c>
      <c r="C104" s="66">
        <v>-12.339603960396039</v>
      </c>
      <c r="D104" s="71">
        <v>2.1980198019801982</v>
      </c>
      <c r="E104" s="67">
        <v>0.26732673267326734</v>
      </c>
      <c r="F104" s="67">
        <v>0.46534653465346537</v>
      </c>
      <c r="G104" s="67">
        <v>0.25146886016451236</v>
      </c>
      <c r="H104" s="67">
        <v>0.18683901292596944</v>
      </c>
      <c r="I104" s="68">
        <v>8814.0186915887843</v>
      </c>
      <c r="J104" s="68">
        <v>-9200</v>
      </c>
      <c r="K104" s="67">
        <v>0.18811881188118812</v>
      </c>
      <c r="L104" s="67">
        <v>9.9009900990099015E-2</v>
      </c>
      <c r="M104" s="67">
        <v>0.27262044653348999</v>
      </c>
      <c r="N104" s="67">
        <v>0.1762632197414806</v>
      </c>
      <c r="O104" s="67">
        <v>0.52586206896551724</v>
      </c>
      <c r="P104" s="67">
        <v>0.28000000000000003</v>
      </c>
      <c r="Q104" s="67">
        <v>0.44859813084112149</v>
      </c>
    </row>
    <row r="105" spans="1:17" x14ac:dyDescent="0.4">
      <c r="A105" s="69">
        <v>102</v>
      </c>
      <c r="B105" s="66">
        <v>-1206.5</v>
      </c>
      <c r="C105" s="66">
        <v>-11.828431372549019</v>
      </c>
      <c r="D105" s="71">
        <v>2.1862745098039214</v>
      </c>
      <c r="E105" s="67">
        <v>0.27450980392156865</v>
      </c>
      <c r="F105" s="67">
        <v>0.46078431372549017</v>
      </c>
      <c r="G105" s="67">
        <v>0.25407925407925408</v>
      </c>
      <c r="H105" s="67">
        <v>0.18648018648018649</v>
      </c>
      <c r="I105" s="68">
        <v>8779.3577981651379</v>
      </c>
      <c r="J105" s="68">
        <v>-9166.875</v>
      </c>
      <c r="K105" s="67">
        <v>0.18627450980392157</v>
      </c>
      <c r="L105" s="67">
        <v>9.8039215686274508E-2</v>
      </c>
      <c r="M105" s="67">
        <v>0.27272727272727271</v>
      </c>
      <c r="N105" s="67">
        <v>0.17482517482517482</v>
      </c>
      <c r="O105" s="67">
        <v>0.52991452991452992</v>
      </c>
      <c r="P105" s="67">
        <v>0.28000000000000003</v>
      </c>
      <c r="Q105" s="67">
        <v>0.45871559633027525</v>
      </c>
    </row>
    <row r="106" spans="1:17" x14ac:dyDescent="0.4">
      <c r="A106" s="69">
        <v>103</v>
      </c>
      <c r="B106" s="66">
        <v>-1144.9000000000001</v>
      </c>
      <c r="C106" s="66">
        <v>-11.115533980582525</v>
      </c>
      <c r="D106" s="71">
        <v>2.174757281553398</v>
      </c>
      <c r="E106" s="67">
        <v>0.28155339805825241</v>
      </c>
      <c r="F106" s="67">
        <v>0.4563106796116505</v>
      </c>
      <c r="G106" s="67">
        <v>0.25573394495412843</v>
      </c>
      <c r="H106" s="67">
        <v>0.18692660550458715</v>
      </c>
      <c r="I106" s="68">
        <v>8813.4529147982066</v>
      </c>
      <c r="J106" s="68">
        <v>-9095.0920245398775</v>
      </c>
      <c r="K106" s="67">
        <v>0.18446601941747573</v>
      </c>
      <c r="L106" s="67">
        <v>9.7087378640776698E-2</v>
      </c>
      <c r="M106" s="67">
        <v>0.26949541284403672</v>
      </c>
      <c r="N106" s="67">
        <v>0.17545871559633028</v>
      </c>
      <c r="O106" s="67">
        <v>0.53191489361702127</v>
      </c>
      <c r="P106" s="67">
        <v>0.28104575163398693</v>
      </c>
      <c r="Q106" s="67">
        <v>0.452914798206278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C4C01B-7214-4720-A6B0-6935F5C0CCDB}">
  <sheetPr codeName="Sheet10"/>
  <dimension ref="A1:Q13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  <row r="54" spans="1:17" x14ac:dyDescent="0.4">
      <c r="A54" s="69">
        <v>51</v>
      </c>
      <c r="B54" s="66">
        <v>-29.30000000000004</v>
      </c>
      <c r="C54" s="66">
        <v>-0.57450980392156936</v>
      </c>
      <c r="D54" s="71">
        <v>2.0392156862745097</v>
      </c>
      <c r="E54" s="67">
        <v>0.27450980392156865</v>
      </c>
      <c r="F54" s="67">
        <v>0.31372549019607843</v>
      </c>
      <c r="G54" s="67">
        <v>0.28205128205128205</v>
      </c>
      <c r="H54" s="67">
        <v>0.16783216783216784</v>
      </c>
      <c r="I54" s="68">
        <v>9096.6942148760336</v>
      </c>
      <c r="J54" s="68">
        <v>-7466.666666666667</v>
      </c>
      <c r="K54" s="67">
        <v>0.13725490196078433</v>
      </c>
      <c r="L54" s="67">
        <v>7.8431372549019607E-2</v>
      </c>
      <c r="M54" s="67">
        <v>0.27738927738927738</v>
      </c>
      <c r="N54" s="67">
        <v>0.17249417249417248</v>
      </c>
      <c r="O54" s="67">
        <v>0.6386554621848739</v>
      </c>
      <c r="P54" s="67">
        <v>0.22972972972972974</v>
      </c>
      <c r="Q54" s="67">
        <v>0.39669421487603307</v>
      </c>
    </row>
    <row r="55" spans="1:17" x14ac:dyDescent="0.4">
      <c r="A55" s="69">
        <v>52</v>
      </c>
      <c r="B55" s="66">
        <v>-55.600000000000037</v>
      </c>
      <c r="C55" s="66">
        <v>-1.0692307692307699</v>
      </c>
      <c r="D55" s="71">
        <v>2.0576923076923075</v>
      </c>
      <c r="E55" s="67">
        <v>0.26923076923076922</v>
      </c>
      <c r="F55" s="67">
        <v>0.32692307692307693</v>
      </c>
      <c r="G55" s="67">
        <v>0.27853881278538811</v>
      </c>
      <c r="H55" s="67">
        <v>0.17351598173515981</v>
      </c>
      <c r="I55" s="68">
        <v>9120.4918032786882</v>
      </c>
      <c r="J55" s="68">
        <v>-7260.5263157894733</v>
      </c>
      <c r="K55" s="67">
        <v>0.13461538461538461</v>
      </c>
      <c r="L55" s="67">
        <v>7.6923076923076927E-2</v>
      </c>
      <c r="M55" s="67">
        <v>0.27397260273972601</v>
      </c>
      <c r="N55" s="67">
        <v>0.17123287671232876</v>
      </c>
      <c r="O55" s="67">
        <v>0.6333333333333333</v>
      </c>
      <c r="P55" s="67">
        <v>0.24</v>
      </c>
      <c r="Q55" s="67">
        <v>0.39344262295081966</v>
      </c>
    </row>
    <row r="56" spans="1:17" x14ac:dyDescent="0.4">
      <c r="A56" s="69">
        <v>53</v>
      </c>
      <c r="B56" s="66">
        <v>-95.100000000000037</v>
      </c>
      <c r="C56" s="66">
        <v>-1.79433962264151</v>
      </c>
      <c r="D56" s="71">
        <v>2.0754716981132075</v>
      </c>
      <c r="E56" s="67">
        <v>0.26415094339622641</v>
      </c>
      <c r="F56" s="67">
        <v>0.33962264150943394</v>
      </c>
      <c r="G56" s="67">
        <v>0.27777777777777779</v>
      </c>
      <c r="H56" s="67">
        <v>0.17333333333333334</v>
      </c>
      <c r="I56" s="68">
        <v>9042.4</v>
      </c>
      <c r="J56" s="68">
        <v>-7275.6410256410254</v>
      </c>
      <c r="K56" s="67">
        <v>0.13207547169811321</v>
      </c>
      <c r="L56" s="67">
        <v>7.5471698113207544E-2</v>
      </c>
      <c r="M56" s="67">
        <v>0.27111111111111114</v>
      </c>
      <c r="N56" s="67">
        <v>0.17333333333333334</v>
      </c>
      <c r="O56" s="67">
        <v>0.62295081967213117</v>
      </c>
      <c r="P56" s="67">
        <v>0.25641025641025639</v>
      </c>
      <c r="Q56" s="67">
        <v>0.4</v>
      </c>
    </row>
    <row r="57" spans="1:17" x14ac:dyDescent="0.4">
      <c r="A57" s="69">
        <v>54</v>
      </c>
      <c r="B57" s="66">
        <v>-91.000000000000043</v>
      </c>
      <c r="C57" s="66">
        <v>-1.685185185185186</v>
      </c>
      <c r="D57" s="71">
        <v>2.074074074074074</v>
      </c>
      <c r="E57" s="67">
        <v>0.25925925925925924</v>
      </c>
      <c r="F57" s="67">
        <v>0.33333333333333331</v>
      </c>
      <c r="G57" s="67">
        <v>0.27571115973741794</v>
      </c>
      <c r="H57" s="67">
        <v>0.17286652078774617</v>
      </c>
      <c r="I57" s="68">
        <v>9097.6190476190477</v>
      </c>
      <c r="J57" s="68">
        <v>-7232.9113924050635</v>
      </c>
      <c r="K57" s="67">
        <v>0.12962962962962962</v>
      </c>
      <c r="L57" s="67">
        <v>7.407407407407407E-2</v>
      </c>
      <c r="M57" s="67">
        <v>0.26695842450765866</v>
      </c>
      <c r="N57" s="67">
        <v>0.17505470459518599</v>
      </c>
      <c r="O57" s="67">
        <v>0.62295081967213117</v>
      </c>
      <c r="P57" s="67">
        <v>0.26250000000000001</v>
      </c>
      <c r="Q57" s="67">
        <v>0.40476190476190477</v>
      </c>
    </row>
    <row r="58" spans="1:17" x14ac:dyDescent="0.4">
      <c r="A58" s="69">
        <v>55</v>
      </c>
      <c r="B58" s="66">
        <v>-12.000000000000043</v>
      </c>
      <c r="C58" s="66">
        <v>-0.21818181818181895</v>
      </c>
      <c r="D58" s="71">
        <v>2.0545454545454547</v>
      </c>
      <c r="E58" s="67">
        <v>0.27272727272727271</v>
      </c>
      <c r="F58" s="67">
        <v>0.32727272727272727</v>
      </c>
      <c r="G58" s="67">
        <v>0.28448275862068967</v>
      </c>
      <c r="H58" s="67">
        <v>0.17025862068965517</v>
      </c>
      <c r="I58" s="68">
        <v>9156.060606060606</v>
      </c>
      <c r="J58" s="68">
        <v>-7232.9113924050635</v>
      </c>
      <c r="K58" s="67">
        <v>0.12727272727272726</v>
      </c>
      <c r="L58" s="67">
        <v>9.0909090909090912E-2</v>
      </c>
      <c r="M58" s="67">
        <v>0.27155172413793105</v>
      </c>
      <c r="N58" s="67">
        <v>0.1788793103448276</v>
      </c>
      <c r="O58" s="67">
        <v>0.63492063492063489</v>
      </c>
      <c r="P58" s="67">
        <v>0.27710843373493976</v>
      </c>
      <c r="Q58" s="67">
        <v>0.40909090909090912</v>
      </c>
    </row>
    <row r="59" spans="1:17" x14ac:dyDescent="0.4">
      <c r="A59" s="69">
        <v>56</v>
      </c>
      <c r="B59" s="66">
        <v>-46.000000000000043</v>
      </c>
      <c r="C59" s="66">
        <v>-0.82142857142857217</v>
      </c>
      <c r="D59" s="71">
        <v>2.0535714285714284</v>
      </c>
      <c r="E59" s="67">
        <v>0.26785714285714285</v>
      </c>
      <c r="F59" s="67">
        <v>0.32142857142857145</v>
      </c>
      <c r="G59" s="67">
        <v>0.28358208955223879</v>
      </c>
      <c r="H59" s="67">
        <v>0.17057569296375266</v>
      </c>
      <c r="I59" s="68">
        <v>9177.4436090225572</v>
      </c>
      <c r="J59" s="68">
        <v>-7292.5</v>
      </c>
      <c r="K59" s="67">
        <v>0.125</v>
      </c>
      <c r="L59" s="67">
        <v>8.9285714285714288E-2</v>
      </c>
      <c r="M59" s="67">
        <v>0.27078891257995735</v>
      </c>
      <c r="N59" s="67">
        <v>0.17697228144989338</v>
      </c>
      <c r="O59" s="67">
        <v>0.62992125984251968</v>
      </c>
      <c r="P59" s="67">
        <v>0.27710843373493976</v>
      </c>
      <c r="Q59" s="67">
        <v>0.41353383458646614</v>
      </c>
    </row>
    <row r="60" spans="1:17" x14ac:dyDescent="0.4">
      <c r="A60" s="69">
        <v>57</v>
      </c>
      <c r="B60" s="66">
        <v>-59.000000000000043</v>
      </c>
      <c r="C60" s="66">
        <v>-1.0350877192982464</v>
      </c>
      <c r="D60" s="71">
        <v>2.0526315789473686</v>
      </c>
      <c r="E60" s="67">
        <v>0.26315789473684209</v>
      </c>
      <c r="F60" s="67">
        <v>0.31578947368421051</v>
      </c>
      <c r="G60" s="67">
        <v>0.28361344537815125</v>
      </c>
      <c r="H60" s="67">
        <v>0.17016806722689076</v>
      </c>
      <c r="I60" s="68">
        <v>9160</v>
      </c>
      <c r="J60" s="68">
        <v>-7424.691358024691</v>
      </c>
      <c r="K60" s="67">
        <v>0.12280701754385964</v>
      </c>
      <c r="L60" s="67">
        <v>8.771929824561403E-2</v>
      </c>
      <c r="M60" s="67">
        <v>0.27100840336134452</v>
      </c>
      <c r="N60" s="67">
        <v>0.18067226890756302</v>
      </c>
      <c r="O60" s="67">
        <v>0.62790697674418605</v>
      </c>
      <c r="P60" s="67">
        <v>0.27906976744186046</v>
      </c>
      <c r="Q60" s="67">
        <v>0.4148148148148148</v>
      </c>
    </row>
    <row r="61" spans="1:17" x14ac:dyDescent="0.4">
      <c r="A61" s="69">
        <v>58</v>
      </c>
      <c r="B61" s="66">
        <v>-62.100000000000044</v>
      </c>
      <c r="C61" s="66">
        <v>-1.0706896551724145</v>
      </c>
      <c r="D61" s="71">
        <v>2.0517241379310347</v>
      </c>
      <c r="E61" s="67">
        <v>0.25862068965517243</v>
      </c>
      <c r="F61" s="67">
        <v>0.31034482758620691</v>
      </c>
      <c r="G61" s="67">
        <v>0.28099173553719009</v>
      </c>
      <c r="H61" s="67">
        <v>0.16735537190082644</v>
      </c>
      <c r="I61" s="68">
        <v>9180.8823529411766</v>
      </c>
      <c r="J61" s="68">
        <v>-7424.691358024691</v>
      </c>
      <c r="K61" s="67">
        <v>0.1206896551724138</v>
      </c>
      <c r="L61" s="67">
        <v>8.6206896551724144E-2</v>
      </c>
      <c r="M61" s="67">
        <v>0.26859504132231404</v>
      </c>
      <c r="N61" s="67">
        <v>0.17975206611570249</v>
      </c>
      <c r="O61" s="67">
        <v>0.63076923076923075</v>
      </c>
      <c r="P61" s="67">
        <v>0.27586206896551724</v>
      </c>
      <c r="Q61" s="67">
        <v>0.41176470588235292</v>
      </c>
    </row>
    <row r="62" spans="1:17" x14ac:dyDescent="0.4">
      <c r="A62" s="69">
        <v>59</v>
      </c>
      <c r="B62" s="66">
        <v>-56.700000000000045</v>
      </c>
      <c r="C62" s="66">
        <v>-0.9610169491525431</v>
      </c>
      <c r="D62" s="71">
        <v>2.0508474576271185</v>
      </c>
      <c r="E62" s="67">
        <v>0.25423728813559321</v>
      </c>
      <c r="F62" s="67">
        <v>0.30508474576271188</v>
      </c>
      <c r="G62" s="67">
        <v>0.28367346938775512</v>
      </c>
      <c r="H62" s="67">
        <v>0.1653061224489796</v>
      </c>
      <c r="I62" s="68">
        <v>9092.0863309352517</v>
      </c>
      <c r="J62" s="68">
        <v>-7424.691358024691</v>
      </c>
      <c r="K62" s="67">
        <v>0.11864406779661017</v>
      </c>
      <c r="L62" s="67">
        <v>8.4745762711864403E-2</v>
      </c>
      <c r="M62" s="67">
        <v>0.27551020408163263</v>
      </c>
      <c r="N62" s="67">
        <v>0.17959183673469387</v>
      </c>
      <c r="O62" s="67">
        <v>0.62962962962962965</v>
      </c>
      <c r="P62" s="67">
        <v>0.27272727272727271</v>
      </c>
      <c r="Q62" s="67">
        <v>0.40287769784172661</v>
      </c>
    </row>
    <row r="63" spans="1:17" x14ac:dyDescent="0.4">
      <c r="A63" s="69">
        <v>60</v>
      </c>
      <c r="B63" s="66">
        <v>-117.90000000000005</v>
      </c>
      <c r="C63" s="66">
        <v>-1.9650000000000007</v>
      </c>
      <c r="D63" s="71">
        <v>2.0666666666666669</v>
      </c>
      <c r="E63" s="67">
        <v>0.25</v>
      </c>
      <c r="F63" s="67">
        <v>0.31666666666666665</v>
      </c>
      <c r="G63" s="67">
        <v>0.28080808080808078</v>
      </c>
      <c r="H63" s="67">
        <v>0.16969696969696971</v>
      </c>
      <c r="I63" s="68">
        <v>9092.0863309352517</v>
      </c>
      <c r="J63" s="68">
        <v>-7411.9047619047615</v>
      </c>
      <c r="K63" s="67">
        <v>0.13333333333333333</v>
      </c>
      <c r="L63" s="67">
        <v>8.3333333333333329E-2</v>
      </c>
      <c r="M63" s="67">
        <v>0.27272727272727271</v>
      </c>
      <c r="N63" s="67">
        <v>0.18383838383838383</v>
      </c>
      <c r="O63" s="67">
        <v>0.62962962962962965</v>
      </c>
      <c r="P63" s="67">
        <v>0.26373626373626374</v>
      </c>
      <c r="Q63" s="67">
        <v>0.40287769784172661</v>
      </c>
    </row>
    <row r="64" spans="1:17" x14ac:dyDescent="0.4">
      <c r="A64" s="69">
        <v>61</v>
      </c>
      <c r="B64" s="66">
        <v>-89.600000000000051</v>
      </c>
      <c r="C64" s="66">
        <v>-1.4688524590163943</v>
      </c>
      <c r="D64" s="71">
        <v>2.0491803278688523</v>
      </c>
      <c r="E64" s="67">
        <v>0.26229508196721313</v>
      </c>
      <c r="F64" s="67">
        <v>0.31147540983606559</v>
      </c>
      <c r="G64" s="67">
        <v>0.28143712574850299</v>
      </c>
      <c r="H64" s="67">
        <v>0.17165668662674652</v>
      </c>
      <c r="I64" s="68">
        <v>9090.7801418439722</v>
      </c>
      <c r="J64" s="68">
        <v>-7300</v>
      </c>
      <c r="K64" s="67">
        <v>0.13114754098360656</v>
      </c>
      <c r="L64" s="67">
        <v>8.1967213114754092E-2</v>
      </c>
      <c r="M64" s="67">
        <v>0.27145708582834333</v>
      </c>
      <c r="N64" s="67">
        <v>0.18762475049900199</v>
      </c>
      <c r="O64" s="67">
        <v>0.625</v>
      </c>
      <c r="P64" s="67">
        <v>0.27659574468085107</v>
      </c>
      <c r="Q64" s="67">
        <v>0.40425531914893614</v>
      </c>
    </row>
    <row r="65" spans="1:17" x14ac:dyDescent="0.4">
      <c r="A65" s="69">
        <v>62</v>
      </c>
      <c r="B65" s="66">
        <v>-97.200000000000045</v>
      </c>
      <c r="C65" s="66">
        <v>-1.5677419354838718</v>
      </c>
      <c r="D65" s="71">
        <v>2.0483870967741935</v>
      </c>
      <c r="E65" s="67">
        <v>0.25806451612903225</v>
      </c>
      <c r="F65" s="67">
        <v>0.30645161290322581</v>
      </c>
      <c r="G65" s="67">
        <v>0.2803921568627451</v>
      </c>
      <c r="H65" s="67">
        <v>0.17450980392156862</v>
      </c>
      <c r="I65" s="68">
        <v>9083.9160839160832</v>
      </c>
      <c r="J65" s="68">
        <v>-7253.9325842696626</v>
      </c>
      <c r="K65" s="67">
        <v>0.12903225806451613</v>
      </c>
      <c r="L65" s="67">
        <v>8.0645161290322578E-2</v>
      </c>
      <c r="M65" s="67">
        <v>0.26862745098039215</v>
      </c>
      <c r="N65" s="67">
        <v>0.19607843137254902</v>
      </c>
      <c r="O65" s="67">
        <v>0.62773722627737227</v>
      </c>
      <c r="P65" s="67">
        <v>0.27</v>
      </c>
      <c r="Q65" s="67">
        <v>0.40559440559440557</v>
      </c>
    </row>
    <row r="66" spans="1:17" x14ac:dyDescent="0.4">
      <c r="A66" s="69">
        <v>63</v>
      </c>
      <c r="B66" s="66">
        <v>-144.20000000000005</v>
      </c>
      <c r="C66" s="66">
        <v>-2.2888888888888896</v>
      </c>
      <c r="D66" s="71">
        <v>2.0634920634920637</v>
      </c>
      <c r="E66" s="67">
        <v>0.25396825396825395</v>
      </c>
      <c r="F66" s="67">
        <v>0.31746031746031744</v>
      </c>
      <c r="G66" s="67">
        <v>0.2813102119460501</v>
      </c>
      <c r="H66" s="67">
        <v>0.17726396917148363</v>
      </c>
      <c r="I66" s="68">
        <v>9008.2191780821922</v>
      </c>
      <c r="J66" s="68">
        <v>-7291.304347826087</v>
      </c>
      <c r="K66" s="67">
        <v>0.12698412698412698</v>
      </c>
      <c r="L66" s="67">
        <v>7.9365079365079361E-2</v>
      </c>
      <c r="M66" s="67">
        <v>0.27360308285163776</v>
      </c>
      <c r="N66" s="67">
        <v>0.19845857418111754</v>
      </c>
      <c r="O66" s="67">
        <v>0.61971830985915488</v>
      </c>
      <c r="P66" s="67">
        <v>0.27184466019417475</v>
      </c>
      <c r="Q66" s="67">
        <v>0.41095890410958902</v>
      </c>
    </row>
    <row r="67" spans="1:17" x14ac:dyDescent="0.4">
      <c r="A67" s="69">
        <v>64</v>
      </c>
      <c r="B67" s="66">
        <v>-141.30000000000004</v>
      </c>
      <c r="C67" s="66">
        <v>-2.2078125000000006</v>
      </c>
      <c r="D67" s="71">
        <v>2.0625</v>
      </c>
      <c r="E67" s="67">
        <v>0.25</v>
      </c>
      <c r="F67" s="67">
        <v>0.3125</v>
      </c>
      <c r="G67" s="67">
        <v>0.28544423440453687</v>
      </c>
      <c r="H67" s="67">
        <v>0.17958412098298676</v>
      </c>
      <c r="I67" s="68">
        <v>8917.2185430463578</v>
      </c>
      <c r="J67" s="68">
        <v>-7351.5789473684208</v>
      </c>
      <c r="K67" s="67">
        <v>0.125</v>
      </c>
      <c r="L67" s="67">
        <v>7.8125E-2</v>
      </c>
      <c r="M67" s="67">
        <v>0.27599243856332706</v>
      </c>
      <c r="N67" s="67">
        <v>0.19848771266540643</v>
      </c>
      <c r="O67" s="67">
        <v>0.63013698630136983</v>
      </c>
      <c r="P67" s="67">
        <v>0.27619047619047621</v>
      </c>
      <c r="Q67" s="67">
        <v>0.39735099337748342</v>
      </c>
    </row>
    <row r="68" spans="1:17" x14ac:dyDescent="0.4">
      <c r="A68" s="69">
        <v>65</v>
      </c>
      <c r="B68" s="66">
        <v>-111.00000000000004</v>
      </c>
      <c r="C68" s="66">
        <v>-1.7076923076923083</v>
      </c>
      <c r="D68" s="71">
        <v>2.046153846153846</v>
      </c>
      <c r="E68" s="67">
        <v>0.26153846153846155</v>
      </c>
      <c r="F68" s="67">
        <v>0.30769230769230771</v>
      </c>
      <c r="G68" s="67">
        <v>0.28650646950092423</v>
      </c>
      <c r="H68" s="67">
        <v>0.17744916820702403</v>
      </c>
      <c r="I68" s="68">
        <v>8889.032258064517</v>
      </c>
      <c r="J68" s="68">
        <v>-7290.625</v>
      </c>
      <c r="K68" s="67">
        <v>0.12307692307692308</v>
      </c>
      <c r="L68" s="67">
        <v>7.6923076923076927E-2</v>
      </c>
      <c r="M68" s="67">
        <v>0.27726432532347506</v>
      </c>
      <c r="N68" s="67">
        <v>0.1977818853974122</v>
      </c>
      <c r="O68" s="67">
        <v>0.6333333333333333</v>
      </c>
      <c r="P68" s="67">
        <v>0.28037383177570091</v>
      </c>
      <c r="Q68" s="67">
        <v>0.3935483870967742</v>
      </c>
    </row>
    <row r="69" spans="1:17" x14ac:dyDescent="0.4">
      <c r="A69" s="69">
        <v>66</v>
      </c>
      <c r="B69" s="66">
        <v>-116.50000000000004</v>
      </c>
      <c r="C69" s="66">
        <v>-1.7651515151515158</v>
      </c>
      <c r="D69" s="71">
        <v>2.0454545454545454</v>
      </c>
      <c r="E69" s="67">
        <v>0.25757575757575757</v>
      </c>
      <c r="F69" s="67">
        <v>0.30303030303030304</v>
      </c>
      <c r="G69" s="67">
        <v>0.28519195612431442</v>
      </c>
      <c r="H69" s="67">
        <v>0.1773308957952468</v>
      </c>
      <c r="I69" s="68">
        <v>8883.3333333333339</v>
      </c>
      <c r="J69" s="68">
        <v>-7275.2577319587626</v>
      </c>
      <c r="K69" s="67">
        <v>0.12121212121212122</v>
      </c>
      <c r="L69" s="67">
        <v>7.575757575757576E-2</v>
      </c>
      <c r="M69" s="67">
        <v>0.27422303473491771</v>
      </c>
      <c r="N69" s="67">
        <v>0.19744058500914077</v>
      </c>
      <c r="O69" s="67">
        <v>0.6333333333333333</v>
      </c>
      <c r="P69" s="67">
        <v>0.27777777777777779</v>
      </c>
      <c r="Q69" s="67">
        <v>0.39743589743589741</v>
      </c>
    </row>
    <row r="70" spans="1:17" x14ac:dyDescent="0.4">
      <c r="A70" s="69">
        <v>67</v>
      </c>
      <c r="B70" s="66">
        <v>-149.40000000000003</v>
      </c>
      <c r="C70" s="66">
        <v>-2.2298507462686574</v>
      </c>
      <c r="D70" s="71">
        <v>2.0597014925373136</v>
      </c>
      <c r="E70" s="67">
        <v>0.2537313432835821</v>
      </c>
      <c r="F70" s="67">
        <v>0.31343283582089554</v>
      </c>
      <c r="G70" s="67">
        <v>0.2851985559566787</v>
      </c>
      <c r="H70" s="67">
        <v>0.17689530685920576</v>
      </c>
      <c r="I70" s="68">
        <v>8836.0759493670885</v>
      </c>
      <c r="J70" s="68">
        <v>-7266.3265306122448</v>
      </c>
      <c r="K70" s="67">
        <v>0.11940298507462686</v>
      </c>
      <c r="L70" s="67">
        <v>7.4626865671641784E-2</v>
      </c>
      <c r="M70" s="67">
        <v>0.27797833935018051</v>
      </c>
      <c r="N70" s="67">
        <v>0.1967509025270758</v>
      </c>
      <c r="O70" s="67">
        <v>0.62987012987012991</v>
      </c>
      <c r="P70" s="67">
        <v>0.27522935779816515</v>
      </c>
      <c r="Q70" s="67">
        <v>0.39873417721518989</v>
      </c>
    </row>
    <row r="71" spans="1:17" x14ac:dyDescent="0.4">
      <c r="A71" s="69">
        <v>68</v>
      </c>
      <c r="B71" s="66">
        <v>-104.30000000000004</v>
      </c>
      <c r="C71" s="66">
        <v>-1.5338235294117653</v>
      </c>
      <c r="D71" s="71">
        <v>2.0441176470588234</v>
      </c>
      <c r="E71" s="67">
        <v>0.26470588235294118</v>
      </c>
      <c r="F71" s="67">
        <v>0.30882352941176472</v>
      </c>
      <c r="G71" s="67">
        <v>0.28877005347593582</v>
      </c>
      <c r="H71" s="67">
        <v>0.17647058823529413</v>
      </c>
      <c r="I71" s="68">
        <v>8803.7037037037044</v>
      </c>
      <c r="J71" s="68">
        <v>-7273.7373737373737</v>
      </c>
      <c r="K71" s="67">
        <v>0.11764705882352941</v>
      </c>
      <c r="L71" s="67">
        <v>7.3529411764705885E-2</v>
      </c>
      <c r="M71" s="67">
        <v>0.28163992869875221</v>
      </c>
      <c r="N71" s="67">
        <v>0.19607843137254902</v>
      </c>
      <c r="O71" s="67">
        <v>0.63291139240506333</v>
      </c>
      <c r="P71" s="67">
        <v>0.27272727272727271</v>
      </c>
      <c r="Q71" s="67">
        <v>0.39506172839506171</v>
      </c>
    </row>
    <row r="72" spans="1:17" x14ac:dyDescent="0.4">
      <c r="A72" s="69">
        <v>69</v>
      </c>
      <c r="B72" s="66">
        <v>-58.900000000000041</v>
      </c>
      <c r="C72" s="66">
        <v>-0.85362318840579765</v>
      </c>
      <c r="D72" s="71">
        <v>2.0289855072463769</v>
      </c>
      <c r="E72" s="67">
        <v>0.27536231884057971</v>
      </c>
      <c r="F72" s="67">
        <v>0.30434782608695654</v>
      </c>
      <c r="G72" s="67">
        <v>0.29195804195804198</v>
      </c>
      <c r="H72" s="67">
        <v>0.17307692307692307</v>
      </c>
      <c r="I72" s="68">
        <v>8741.9161676646709</v>
      </c>
      <c r="J72" s="68">
        <v>-7273.7373737373737</v>
      </c>
      <c r="K72" s="67">
        <v>0.11594202898550725</v>
      </c>
      <c r="L72" s="67">
        <v>7.2463768115942032E-2</v>
      </c>
      <c r="M72" s="67">
        <v>0.28146853146853146</v>
      </c>
      <c r="N72" s="67">
        <v>0.19405594405594406</v>
      </c>
      <c r="O72" s="67">
        <v>0.63975155279503104</v>
      </c>
      <c r="P72" s="67">
        <v>0.27927927927927926</v>
      </c>
      <c r="Q72" s="67">
        <v>0.39520958083832336</v>
      </c>
    </row>
    <row r="73" spans="1:17" x14ac:dyDescent="0.4">
      <c r="A73" s="69">
        <v>70</v>
      </c>
      <c r="B73" s="66">
        <v>-117.60000000000005</v>
      </c>
      <c r="C73" s="66">
        <v>-1.6800000000000008</v>
      </c>
      <c r="D73" s="71">
        <v>2.0428571428571427</v>
      </c>
      <c r="E73" s="67">
        <v>0.27142857142857141</v>
      </c>
      <c r="F73" s="67">
        <v>0.31428571428571428</v>
      </c>
      <c r="G73" s="67">
        <v>0.29037800687285226</v>
      </c>
      <c r="H73" s="67">
        <v>0.17525773195876287</v>
      </c>
      <c r="I73" s="68">
        <v>8718.9349112426044</v>
      </c>
      <c r="J73" s="68">
        <v>-7451.9607843137255</v>
      </c>
      <c r="K73" s="67">
        <v>0.12857142857142856</v>
      </c>
      <c r="L73" s="67">
        <v>7.1428571428571425E-2</v>
      </c>
      <c r="M73" s="67">
        <v>0.27835051546391754</v>
      </c>
      <c r="N73" s="67">
        <v>0.19415807560137457</v>
      </c>
      <c r="O73" s="67">
        <v>0.64197530864197527</v>
      </c>
      <c r="P73" s="67">
        <v>0.2831858407079646</v>
      </c>
      <c r="Q73" s="67">
        <v>0.39053254437869822</v>
      </c>
    </row>
    <row r="74" spans="1:17" x14ac:dyDescent="0.4">
      <c r="A74" s="69">
        <v>71</v>
      </c>
      <c r="B74" s="66">
        <v>-110.90000000000005</v>
      </c>
      <c r="C74" s="66">
        <v>-1.5619718309859161</v>
      </c>
      <c r="D74" s="71">
        <v>2.0422535211267605</v>
      </c>
      <c r="E74" s="67">
        <v>0.26760563380281688</v>
      </c>
      <c r="F74" s="67">
        <v>0.30985915492957744</v>
      </c>
      <c r="G74" s="67">
        <v>0.28934010152284262</v>
      </c>
      <c r="H74" s="67">
        <v>0.17428087986463622</v>
      </c>
      <c r="I74" s="68">
        <v>8745.0292397660814</v>
      </c>
      <c r="J74" s="68">
        <v>-7454.3689320388348</v>
      </c>
      <c r="K74" s="67">
        <v>0.12676056338028169</v>
      </c>
      <c r="L74" s="67">
        <v>7.0422535211267609E-2</v>
      </c>
      <c r="M74" s="67">
        <v>0.27580372250423013</v>
      </c>
      <c r="N74" s="67">
        <v>0.19289340101522842</v>
      </c>
      <c r="O74" s="67">
        <v>0.64417177914110424</v>
      </c>
      <c r="P74" s="67">
        <v>0.2807017543859649</v>
      </c>
      <c r="Q74" s="67">
        <v>0.391812865497076</v>
      </c>
    </row>
    <row r="75" spans="1:17" x14ac:dyDescent="0.4">
      <c r="A75" s="69">
        <v>72</v>
      </c>
      <c r="B75" s="66">
        <v>-104.80000000000005</v>
      </c>
      <c r="C75" s="66">
        <v>-1.4555555555555564</v>
      </c>
      <c r="D75" s="71">
        <v>2.0416666666666665</v>
      </c>
      <c r="E75" s="67">
        <v>0.2638888888888889</v>
      </c>
      <c r="F75" s="67">
        <v>0.30555555555555558</v>
      </c>
      <c r="G75" s="67">
        <v>0.28929765886287623</v>
      </c>
      <c r="H75" s="67">
        <v>0.17224080267558528</v>
      </c>
      <c r="I75" s="68">
        <v>8750.2890173410397</v>
      </c>
      <c r="J75" s="68">
        <v>-7454.3689320388348</v>
      </c>
      <c r="K75" s="67">
        <v>0.125</v>
      </c>
      <c r="L75" s="67">
        <v>6.9444444444444448E-2</v>
      </c>
      <c r="M75" s="67">
        <v>0.27591973244147155</v>
      </c>
      <c r="N75" s="67">
        <v>0.19230769230769232</v>
      </c>
      <c r="O75" s="67">
        <v>0.64848484848484844</v>
      </c>
      <c r="P75" s="67">
        <v>0.27826086956521739</v>
      </c>
      <c r="Q75" s="67">
        <v>0.39306358381502893</v>
      </c>
    </row>
    <row r="76" spans="1:17" x14ac:dyDescent="0.4">
      <c r="A76" s="69">
        <v>73</v>
      </c>
      <c r="B76" s="66">
        <v>-157.60000000000005</v>
      </c>
      <c r="C76" s="66">
        <v>-2.158904109589042</v>
      </c>
      <c r="D76" s="71">
        <v>2.0547945205479454</v>
      </c>
      <c r="E76" s="67">
        <v>0.26027397260273971</v>
      </c>
      <c r="F76" s="67">
        <v>0.31506849315068491</v>
      </c>
      <c r="G76" s="67">
        <v>0.28547854785478549</v>
      </c>
      <c r="H76" s="67">
        <v>0.17161716171617161</v>
      </c>
      <c r="I76" s="68">
        <v>8750.2890173410397</v>
      </c>
      <c r="J76" s="68">
        <v>-7432.6923076923076</v>
      </c>
      <c r="K76" s="67">
        <v>0.12328767123287671</v>
      </c>
      <c r="L76" s="67">
        <v>6.8493150684931503E-2</v>
      </c>
      <c r="M76" s="67">
        <v>0.27722772277227725</v>
      </c>
      <c r="N76" s="67">
        <v>0.19141914191419143</v>
      </c>
      <c r="O76" s="67">
        <v>0.63690476190476186</v>
      </c>
      <c r="P76" s="67">
        <v>0.27586206896551724</v>
      </c>
      <c r="Q76" s="67">
        <v>0.39306358381502893</v>
      </c>
    </row>
    <row r="77" spans="1:17" x14ac:dyDescent="0.4">
      <c r="A77" s="69">
        <v>74</v>
      </c>
      <c r="B77" s="66">
        <v>-75.300000000000054</v>
      </c>
      <c r="C77" s="66">
        <v>-1.0175675675675684</v>
      </c>
      <c r="D77" s="71">
        <v>2.0405405405405403</v>
      </c>
      <c r="E77" s="67">
        <v>0.27027027027027029</v>
      </c>
      <c r="F77" s="67">
        <v>0.3108108108108108</v>
      </c>
      <c r="G77" s="67">
        <v>0.2903752039151713</v>
      </c>
      <c r="H77" s="67">
        <v>0.1729200652528548</v>
      </c>
      <c r="I77" s="68">
        <v>8886.5168539325841</v>
      </c>
      <c r="J77" s="68">
        <v>-7383.9622641509432</v>
      </c>
      <c r="K77" s="67">
        <v>0.12162162162162163</v>
      </c>
      <c r="L77" s="67">
        <v>8.1081081081081086E-2</v>
      </c>
      <c r="M77" s="67">
        <v>0.28221859706362151</v>
      </c>
      <c r="N77" s="67">
        <v>0.18923327895595432</v>
      </c>
      <c r="O77" s="67">
        <v>0.64739884393063585</v>
      </c>
      <c r="P77" s="67">
        <v>0.27586206896551724</v>
      </c>
      <c r="Q77" s="67">
        <v>0.398876404494382</v>
      </c>
    </row>
    <row r="78" spans="1:17" x14ac:dyDescent="0.4">
      <c r="A78" s="69">
        <v>75</v>
      </c>
      <c r="B78" s="66">
        <v>-52.900000000000055</v>
      </c>
      <c r="C78" s="66">
        <v>-0.70533333333333403</v>
      </c>
      <c r="D78" s="71">
        <v>2.0266666666666668</v>
      </c>
      <c r="E78" s="67">
        <v>0.28000000000000003</v>
      </c>
      <c r="F78" s="67">
        <v>0.30666666666666664</v>
      </c>
      <c r="G78" s="67">
        <v>0.29099678456591638</v>
      </c>
      <c r="H78" s="67">
        <v>0.17524115755627009</v>
      </c>
      <c r="I78" s="68">
        <v>8938.1215469613253</v>
      </c>
      <c r="J78" s="68">
        <v>-7408.2568807339449</v>
      </c>
      <c r="K78" s="67">
        <v>0.12</v>
      </c>
      <c r="L78" s="67">
        <v>0.08</v>
      </c>
      <c r="M78" s="67">
        <v>0.28295819935691319</v>
      </c>
      <c r="N78" s="67">
        <v>0.19292604501607716</v>
      </c>
      <c r="O78" s="67">
        <v>0.64204545454545459</v>
      </c>
      <c r="P78" s="67">
        <v>0.28333333333333333</v>
      </c>
      <c r="Q78" s="67">
        <v>0.39779005524861877</v>
      </c>
    </row>
    <row r="79" spans="1:17" x14ac:dyDescent="0.4">
      <c r="A79" s="69">
        <v>76</v>
      </c>
      <c r="B79" s="66">
        <v>-77.500000000000057</v>
      </c>
      <c r="C79" s="66">
        <v>-1.0197368421052639</v>
      </c>
      <c r="D79" s="71">
        <v>2.0394736842105261</v>
      </c>
      <c r="E79" s="67">
        <v>0.27631578947368424</v>
      </c>
      <c r="F79" s="67">
        <v>0.31578947368421051</v>
      </c>
      <c r="G79" s="67">
        <v>0.29318541996830427</v>
      </c>
      <c r="H79" s="67">
        <v>0.17274167987321712</v>
      </c>
      <c r="I79" s="68">
        <v>8856.7567567567567</v>
      </c>
      <c r="J79" s="68">
        <v>-7408.2568807339449</v>
      </c>
      <c r="K79" s="67">
        <v>0.11842105263157894</v>
      </c>
      <c r="L79" s="67">
        <v>7.8947368421052627E-2</v>
      </c>
      <c r="M79" s="67">
        <v>0.28367670364500791</v>
      </c>
      <c r="N79" s="67">
        <v>0.19334389857369255</v>
      </c>
      <c r="O79" s="67">
        <v>0.64245810055865926</v>
      </c>
      <c r="P79" s="67">
        <v>0.28688524590163933</v>
      </c>
      <c r="Q79" s="67">
        <v>0.39459459459459462</v>
      </c>
    </row>
    <row r="80" spans="1:17" x14ac:dyDescent="0.4">
      <c r="A80" s="69">
        <v>77</v>
      </c>
      <c r="B80" s="66">
        <v>-82.800000000000054</v>
      </c>
      <c r="C80" s="66">
        <v>-1.0753246753246761</v>
      </c>
      <c r="D80" s="71">
        <v>2.0389610389610389</v>
      </c>
      <c r="E80" s="67">
        <v>0.27272727272727271</v>
      </c>
      <c r="F80" s="67">
        <v>0.31168831168831168</v>
      </c>
      <c r="G80" s="67">
        <v>0.29218749999999999</v>
      </c>
      <c r="H80" s="67">
        <v>0.17499999999999999</v>
      </c>
      <c r="I80" s="68">
        <v>8997.3262032085568</v>
      </c>
      <c r="J80" s="68">
        <v>-7440.1785714285716</v>
      </c>
      <c r="K80" s="67">
        <v>0.11688311688311688</v>
      </c>
      <c r="L80" s="67">
        <v>7.792207792207792E-2</v>
      </c>
      <c r="M80" s="67">
        <v>0.28437499999999999</v>
      </c>
      <c r="N80" s="67">
        <v>0.19375000000000001</v>
      </c>
      <c r="O80" s="67">
        <v>0.6428571428571429</v>
      </c>
      <c r="P80" s="67">
        <v>0.28225806451612906</v>
      </c>
      <c r="Q80" s="67">
        <v>0.40106951871657753</v>
      </c>
    </row>
    <row r="81" spans="1:17" x14ac:dyDescent="0.4">
      <c r="A81" s="69">
        <v>78</v>
      </c>
      <c r="B81" s="66">
        <v>-95.400000000000048</v>
      </c>
      <c r="C81" s="66">
        <v>-1.2230769230769236</v>
      </c>
      <c r="D81" s="71">
        <v>2.0384615384615383</v>
      </c>
      <c r="E81" s="67">
        <v>0.26923076923076922</v>
      </c>
      <c r="F81" s="67">
        <v>0.30769230769230771</v>
      </c>
      <c r="G81" s="67">
        <v>0.29339477726574503</v>
      </c>
      <c r="H81" s="67">
        <v>0.17204301075268819</v>
      </c>
      <c r="I81" s="68">
        <v>8919.8952879581157</v>
      </c>
      <c r="J81" s="68">
        <v>-7440.1785714285716</v>
      </c>
      <c r="K81" s="67">
        <v>0.11538461538461539</v>
      </c>
      <c r="L81" s="67">
        <v>7.6923076923076927E-2</v>
      </c>
      <c r="M81" s="67">
        <v>0.2857142857142857</v>
      </c>
      <c r="N81" s="67">
        <v>0.19662058371735791</v>
      </c>
      <c r="O81" s="67">
        <v>0.64516129032258063</v>
      </c>
      <c r="P81" s="67">
        <v>0.28125</v>
      </c>
      <c r="Q81" s="67">
        <v>0.39790575916230364</v>
      </c>
    </row>
    <row r="82" spans="1:17" x14ac:dyDescent="0.4">
      <c r="A82" s="69">
        <v>79</v>
      </c>
      <c r="B82" s="66">
        <v>-29.200000000000045</v>
      </c>
      <c r="C82" s="66">
        <v>-0.36962025316455754</v>
      </c>
      <c r="D82" s="71">
        <v>2.0253164556962027</v>
      </c>
      <c r="E82" s="67">
        <v>0.27848101265822783</v>
      </c>
      <c r="F82" s="67">
        <v>0.30379746835443039</v>
      </c>
      <c r="G82" s="67">
        <v>0.29528158295281581</v>
      </c>
      <c r="H82" s="67">
        <v>0.17047184170471841</v>
      </c>
      <c r="I82" s="68">
        <v>8977.8350515463917</v>
      </c>
      <c r="J82" s="68">
        <v>-7440.1785714285716</v>
      </c>
      <c r="K82" s="67">
        <v>0.11392405063291139</v>
      </c>
      <c r="L82" s="67">
        <v>8.8607594936708861E-2</v>
      </c>
      <c r="M82" s="67">
        <v>0.28767123287671231</v>
      </c>
      <c r="N82" s="67">
        <v>0.19634703196347031</v>
      </c>
      <c r="O82" s="67">
        <v>0.64021164021164023</v>
      </c>
      <c r="P82" s="67">
        <v>0.2868217054263566</v>
      </c>
      <c r="Q82" s="67">
        <v>0.40206185567010311</v>
      </c>
    </row>
    <row r="83" spans="1:17" x14ac:dyDescent="0.4">
      <c r="A83" s="69">
        <v>80</v>
      </c>
      <c r="B83" s="66">
        <v>-64.80000000000004</v>
      </c>
      <c r="C83" s="66">
        <v>-0.8100000000000005</v>
      </c>
      <c r="D83" s="71">
        <v>2.0375000000000001</v>
      </c>
      <c r="E83" s="67">
        <v>0.27500000000000002</v>
      </c>
      <c r="F83" s="67">
        <v>0.3125</v>
      </c>
      <c r="G83" s="67">
        <v>0.29341317365269459</v>
      </c>
      <c r="H83" s="67">
        <v>0.17065868263473055</v>
      </c>
      <c r="I83" s="68">
        <v>9039.2857142857138</v>
      </c>
      <c r="J83" s="68">
        <v>-7464.0350877192986</v>
      </c>
      <c r="K83" s="67">
        <v>0.1125</v>
      </c>
      <c r="L83" s="67">
        <v>8.7499999999999994E-2</v>
      </c>
      <c r="M83" s="67">
        <v>0.28742514970059879</v>
      </c>
      <c r="N83" s="67">
        <v>0.19610778443113772</v>
      </c>
      <c r="O83" s="67">
        <v>0.640625</v>
      </c>
      <c r="P83" s="67">
        <v>0.28244274809160308</v>
      </c>
      <c r="Q83" s="67">
        <v>0.40306122448979592</v>
      </c>
    </row>
    <row r="84" spans="1:17" x14ac:dyDescent="0.4">
      <c r="A84" s="69">
        <v>81</v>
      </c>
      <c r="B84" s="66">
        <v>-101.60000000000004</v>
      </c>
      <c r="C84" s="66">
        <v>-1.2543209876543215</v>
      </c>
      <c r="D84" s="71">
        <v>2.0493827160493829</v>
      </c>
      <c r="E84" s="67">
        <v>0.27160493827160492</v>
      </c>
      <c r="F84" s="67">
        <v>0.32098765432098764</v>
      </c>
      <c r="G84" s="67">
        <v>0.29185185185185186</v>
      </c>
      <c r="H84" s="67">
        <v>0.17037037037037037</v>
      </c>
      <c r="I84" s="68">
        <v>8999.4923857868016</v>
      </c>
      <c r="J84" s="68">
        <v>-7416.521739130435</v>
      </c>
      <c r="K84" s="67">
        <v>0.1111111111111111</v>
      </c>
      <c r="L84" s="67">
        <v>8.6419753086419748E-2</v>
      </c>
      <c r="M84" s="67">
        <v>0.28444444444444444</v>
      </c>
      <c r="N84" s="67">
        <v>0.19555555555555557</v>
      </c>
      <c r="O84" s="67">
        <v>0.640625</v>
      </c>
      <c r="P84" s="67">
        <v>0.28030303030303028</v>
      </c>
      <c r="Q84" s="67">
        <v>0.40609137055837563</v>
      </c>
    </row>
    <row r="85" spans="1:17" x14ac:dyDescent="0.4">
      <c r="A85" s="69">
        <v>82</v>
      </c>
      <c r="B85" s="66">
        <v>-91.600000000000037</v>
      </c>
      <c r="C85" s="66">
        <v>-1.1170731707317079</v>
      </c>
      <c r="D85" s="71">
        <v>2.0487804878048781</v>
      </c>
      <c r="E85" s="67">
        <v>0.26829268292682928</v>
      </c>
      <c r="F85" s="67">
        <v>0.31707317073170732</v>
      </c>
      <c r="G85" s="67">
        <v>0.29136163982430452</v>
      </c>
      <c r="H85" s="67">
        <v>0.16837481698389459</v>
      </c>
      <c r="I85" s="68">
        <v>8974.3718592964833</v>
      </c>
      <c r="J85" s="68">
        <v>-7416.521739130435</v>
      </c>
      <c r="K85" s="67">
        <v>0.10975609756097561</v>
      </c>
      <c r="L85" s="67">
        <v>8.5365853658536592E-2</v>
      </c>
      <c r="M85" s="67">
        <v>0.28550512445095166</v>
      </c>
      <c r="N85" s="67">
        <v>0.19619326500732065</v>
      </c>
      <c r="O85" s="67">
        <v>0.64102564102564108</v>
      </c>
      <c r="P85" s="67">
        <v>0.27611940298507465</v>
      </c>
      <c r="Q85" s="67">
        <v>0.40703517587939697</v>
      </c>
    </row>
    <row r="86" spans="1:17" x14ac:dyDescent="0.4">
      <c r="A86" s="69">
        <v>83</v>
      </c>
      <c r="B86" s="66">
        <v>-49.100000000000037</v>
      </c>
      <c r="C86" s="66">
        <v>-0.59156626506024146</v>
      </c>
      <c r="D86" s="71">
        <v>2.036144578313253</v>
      </c>
      <c r="E86" s="67">
        <v>0.27710843373493976</v>
      </c>
      <c r="F86" s="67">
        <v>0.31325301204819278</v>
      </c>
      <c r="G86" s="67">
        <v>0.29088277858176553</v>
      </c>
      <c r="H86" s="67">
        <v>0.16642547033285093</v>
      </c>
      <c r="I86" s="68">
        <v>9062.1890547263683</v>
      </c>
      <c r="J86" s="68">
        <v>-7416.521739130435</v>
      </c>
      <c r="K86" s="67">
        <v>0.10843373493975904</v>
      </c>
      <c r="L86" s="67">
        <v>8.4337349397590355E-2</v>
      </c>
      <c r="M86" s="67">
        <v>0.28364688856729375</v>
      </c>
      <c r="N86" s="67">
        <v>0.19536903039073805</v>
      </c>
      <c r="O86" s="67">
        <v>0.6428571428571429</v>
      </c>
      <c r="P86" s="67">
        <v>0.27407407407407408</v>
      </c>
      <c r="Q86" s="67">
        <v>0.4079601990049751</v>
      </c>
    </row>
    <row r="87" spans="1:17" x14ac:dyDescent="0.4">
      <c r="A87" s="69">
        <v>84</v>
      </c>
      <c r="B87" s="66">
        <v>-56.100000000000037</v>
      </c>
      <c r="C87" s="66">
        <v>-0.66785714285714326</v>
      </c>
      <c r="D87" s="71">
        <v>2.0357142857142856</v>
      </c>
      <c r="E87" s="67">
        <v>0.27380952380952384</v>
      </c>
      <c r="F87" s="67">
        <v>0.30952380952380953</v>
      </c>
      <c r="G87" s="67">
        <v>0.29041487839771102</v>
      </c>
      <c r="H87" s="67">
        <v>0.16595135908440631</v>
      </c>
      <c r="I87" s="68">
        <v>9057.6354679802953</v>
      </c>
      <c r="J87" s="68">
        <v>-7375</v>
      </c>
      <c r="K87" s="67">
        <v>0.10714285714285714</v>
      </c>
      <c r="L87" s="67">
        <v>8.3333333333333329E-2</v>
      </c>
      <c r="M87" s="67">
        <v>0.2832618025751073</v>
      </c>
      <c r="N87" s="67">
        <v>0.19599427753934193</v>
      </c>
      <c r="O87" s="67">
        <v>0.64141414141414144</v>
      </c>
      <c r="P87" s="67">
        <v>0.27737226277372262</v>
      </c>
      <c r="Q87" s="67">
        <v>0.4039408866995074</v>
      </c>
    </row>
    <row r="88" spans="1:17" x14ac:dyDescent="0.4">
      <c r="A88" s="69">
        <v>85</v>
      </c>
      <c r="B88" s="66">
        <v>-90.30000000000004</v>
      </c>
      <c r="C88" s="66">
        <v>-1.0623529411764712</v>
      </c>
      <c r="D88" s="71">
        <v>2.0470588235294116</v>
      </c>
      <c r="E88" s="67">
        <v>0.27058823529411763</v>
      </c>
      <c r="F88" s="67">
        <v>0.31764705882352939</v>
      </c>
      <c r="G88" s="67">
        <v>0.29014084507042254</v>
      </c>
      <c r="H88" s="67">
        <v>0.1647887323943662</v>
      </c>
      <c r="I88" s="68">
        <v>9119.9029126213591</v>
      </c>
      <c r="J88" s="68">
        <v>-7517.0940170940175</v>
      </c>
      <c r="K88" s="67">
        <v>0.10588235294117647</v>
      </c>
      <c r="L88" s="67">
        <v>8.2352941176470587E-2</v>
      </c>
      <c r="M88" s="67">
        <v>0.28309859154929579</v>
      </c>
      <c r="N88" s="67">
        <v>0.19577464788732393</v>
      </c>
      <c r="O88" s="67">
        <v>0.63681592039800994</v>
      </c>
      <c r="P88" s="67">
        <v>0.28776978417266186</v>
      </c>
      <c r="Q88" s="67">
        <v>0.41262135922330095</v>
      </c>
    </row>
    <row r="89" spans="1:17" x14ac:dyDescent="0.4">
      <c r="A89" s="69">
        <v>86</v>
      </c>
      <c r="B89" s="66">
        <v>-148.80000000000004</v>
      </c>
      <c r="C89" s="66">
        <v>-1.7302325581395352</v>
      </c>
      <c r="D89" s="71">
        <v>2.058139534883721</v>
      </c>
      <c r="E89" s="67">
        <v>0.26744186046511625</v>
      </c>
      <c r="F89" s="67">
        <v>0.32558139534883723</v>
      </c>
      <c r="G89" s="67">
        <v>0.28851540616246496</v>
      </c>
      <c r="H89" s="67">
        <v>0.16666666666666666</v>
      </c>
      <c r="I89" s="68">
        <v>9119.9029126213591</v>
      </c>
      <c r="J89" s="68">
        <v>-7642.8571428571431</v>
      </c>
      <c r="K89" s="67">
        <v>0.11627906976744186</v>
      </c>
      <c r="L89" s="67">
        <v>8.1395348837209308E-2</v>
      </c>
      <c r="M89" s="67">
        <v>0.28431372549019607</v>
      </c>
      <c r="N89" s="67">
        <v>0.19467787114845939</v>
      </c>
      <c r="O89" s="67">
        <v>0.63054187192118227</v>
      </c>
      <c r="P89" s="67">
        <v>0.28776978417266186</v>
      </c>
      <c r="Q89" s="67">
        <v>0.41262135922330095</v>
      </c>
    </row>
    <row r="90" spans="1:17" x14ac:dyDescent="0.4">
      <c r="A90" s="69">
        <v>87</v>
      </c>
      <c r="B90" s="66">
        <v>-226.80000000000004</v>
      </c>
      <c r="C90" s="66">
        <v>-2.6068965517241383</v>
      </c>
      <c r="D90" s="71">
        <v>2.0689655172413794</v>
      </c>
      <c r="E90" s="67">
        <v>0.26436781609195403</v>
      </c>
      <c r="F90" s="67">
        <v>0.33333333333333331</v>
      </c>
      <c r="G90" s="67">
        <v>0.28650904033379693</v>
      </c>
      <c r="H90" s="67">
        <v>0.16968011126564672</v>
      </c>
      <c r="I90" s="68">
        <v>9119.9029126213591</v>
      </c>
      <c r="J90" s="68">
        <v>-7897.5409836065573</v>
      </c>
      <c r="K90" s="67">
        <v>0.12643678160919541</v>
      </c>
      <c r="L90" s="67">
        <v>8.0459770114942528E-2</v>
      </c>
      <c r="M90" s="67">
        <v>0.28650904033379693</v>
      </c>
      <c r="N90" s="67">
        <v>0.19471488178025034</v>
      </c>
      <c r="O90" s="67">
        <v>0.62135922330097082</v>
      </c>
      <c r="P90" s="67">
        <v>0.2857142857142857</v>
      </c>
      <c r="Q90" s="67">
        <v>0.41262135922330095</v>
      </c>
    </row>
    <row r="91" spans="1:17" x14ac:dyDescent="0.4">
      <c r="A91" s="69">
        <v>88</v>
      </c>
      <c r="B91" s="66">
        <v>-218.00000000000003</v>
      </c>
      <c r="C91" s="66">
        <v>-2.4772727272727275</v>
      </c>
      <c r="D91" s="71">
        <v>2.0681818181818183</v>
      </c>
      <c r="E91" s="67">
        <v>0.26136363636363635</v>
      </c>
      <c r="F91" s="67">
        <v>0.32954545454545453</v>
      </c>
      <c r="G91" s="67">
        <v>0.28708791208791207</v>
      </c>
      <c r="H91" s="67">
        <v>0.16895604395604397</v>
      </c>
      <c r="I91" s="68">
        <v>9083.7320574162677</v>
      </c>
      <c r="J91" s="68">
        <v>-7849.5934959349597</v>
      </c>
      <c r="K91" s="67">
        <v>0.125</v>
      </c>
      <c r="L91" s="67">
        <v>7.9545454545454544E-2</v>
      </c>
      <c r="M91" s="67">
        <v>0.28708791208791207</v>
      </c>
      <c r="N91" s="67">
        <v>0.19368131868131869</v>
      </c>
      <c r="O91" s="67">
        <v>0.61722488038277512</v>
      </c>
      <c r="P91" s="67">
        <v>0.29078014184397161</v>
      </c>
      <c r="Q91" s="67">
        <v>0.41148325358851673</v>
      </c>
    </row>
    <row r="92" spans="1:17" x14ac:dyDescent="0.4">
      <c r="A92" s="69">
        <v>89</v>
      </c>
      <c r="B92" s="66">
        <v>-208.40000000000003</v>
      </c>
      <c r="C92" s="66">
        <v>-2.3415730337078657</v>
      </c>
      <c r="D92" s="71">
        <v>2.0674157303370788</v>
      </c>
      <c r="E92" s="67">
        <v>0.25842696629213485</v>
      </c>
      <c r="F92" s="67">
        <v>0.3258426966292135</v>
      </c>
      <c r="G92" s="67">
        <v>0.28668478260869568</v>
      </c>
      <c r="H92" s="67">
        <v>0.16983695652173914</v>
      </c>
      <c r="I92" s="68">
        <v>9090.995260663507</v>
      </c>
      <c r="J92" s="68">
        <v>-7771.2</v>
      </c>
      <c r="K92" s="67">
        <v>0.12359550561797752</v>
      </c>
      <c r="L92" s="67">
        <v>7.8651685393258425E-2</v>
      </c>
      <c r="M92" s="67">
        <v>0.28940217391304346</v>
      </c>
      <c r="N92" s="67">
        <v>0.19429347826086957</v>
      </c>
      <c r="O92" s="67">
        <v>0.61502347417840375</v>
      </c>
      <c r="P92" s="67">
        <v>0.28671328671328672</v>
      </c>
      <c r="Q92" s="67">
        <v>0.41232227488151657</v>
      </c>
    </row>
    <row r="93" spans="1:17" x14ac:dyDescent="0.4">
      <c r="A93" s="69">
        <v>90</v>
      </c>
      <c r="B93" s="66">
        <v>-273.5</v>
      </c>
      <c r="C93" s="66">
        <v>-3.0388888888888888</v>
      </c>
      <c r="D93" s="71">
        <v>2.0777777777777779</v>
      </c>
      <c r="E93" s="67">
        <v>0.25555555555555554</v>
      </c>
      <c r="F93" s="67">
        <v>0.33333333333333331</v>
      </c>
      <c r="G93" s="67">
        <v>0.28322147651006713</v>
      </c>
      <c r="H93" s="67">
        <v>0.17046979865771811</v>
      </c>
      <c r="I93" s="68">
        <v>9090.995260663507</v>
      </c>
      <c r="J93" s="68">
        <v>-7837.7952755905508</v>
      </c>
      <c r="K93" s="67">
        <v>0.13333333333333333</v>
      </c>
      <c r="L93" s="67">
        <v>7.7777777777777779E-2</v>
      </c>
      <c r="M93" s="67">
        <v>0.28859060402684567</v>
      </c>
      <c r="N93" s="67">
        <v>0.19463087248322147</v>
      </c>
      <c r="O93" s="67">
        <v>0.6093023255813953</v>
      </c>
      <c r="P93" s="67">
        <v>0.28275862068965518</v>
      </c>
      <c r="Q93" s="67">
        <v>0.41232227488151657</v>
      </c>
    </row>
    <row r="94" spans="1:17" x14ac:dyDescent="0.4">
      <c r="A94" s="69">
        <v>91</v>
      </c>
      <c r="B94" s="66">
        <v>-241.9</v>
      </c>
      <c r="C94" s="66">
        <v>-2.6582417582417581</v>
      </c>
      <c r="D94" s="71">
        <v>2.0659340659340661</v>
      </c>
      <c r="E94" s="67">
        <v>0.26373626373626374</v>
      </c>
      <c r="F94" s="67">
        <v>0.32967032967032966</v>
      </c>
      <c r="G94" s="67">
        <v>0.28346456692913385</v>
      </c>
      <c r="H94" s="67">
        <v>0.16929133858267717</v>
      </c>
      <c r="I94" s="68">
        <v>9094.4444444444453</v>
      </c>
      <c r="J94" s="68">
        <v>-7871.3178294573645</v>
      </c>
      <c r="K94" s="67">
        <v>0.13186813186813187</v>
      </c>
      <c r="L94" s="67">
        <v>7.6923076923076927E-2</v>
      </c>
      <c r="M94" s="67">
        <v>0.28871391076115488</v>
      </c>
      <c r="N94" s="67">
        <v>0.19553805774278216</v>
      </c>
      <c r="O94" s="67">
        <v>0.61363636363636365</v>
      </c>
      <c r="P94" s="67">
        <v>0.27516778523489932</v>
      </c>
      <c r="Q94" s="67">
        <v>0.42129629629629628</v>
      </c>
    </row>
    <row r="95" spans="1:17" x14ac:dyDescent="0.4">
      <c r="A95" s="69">
        <v>92</v>
      </c>
      <c r="B95" s="66">
        <v>-273.60000000000002</v>
      </c>
      <c r="C95" s="66">
        <v>-2.973913043478261</v>
      </c>
      <c r="D95" s="71">
        <v>2.0760869565217392</v>
      </c>
      <c r="E95" s="67">
        <v>0.2608695652173913</v>
      </c>
      <c r="F95" s="67">
        <v>0.33695652173913043</v>
      </c>
      <c r="G95" s="67">
        <v>0.2814526588845655</v>
      </c>
      <c r="H95" s="67">
        <v>0.16861219195849547</v>
      </c>
      <c r="I95" s="68">
        <v>9089.4009216589857</v>
      </c>
      <c r="J95" s="68">
        <v>-7840.7692307692305</v>
      </c>
      <c r="K95" s="67">
        <v>0.13043478260869565</v>
      </c>
      <c r="L95" s="67">
        <v>7.6086956521739135E-2</v>
      </c>
      <c r="M95" s="67">
        <v>0.28793774319066145</v>
      </c>
      <c r="N95" s="67">
        <v>0.19455252918287938</v>
      </c>
      <c r="O95" s="67">
        <v>0.61261261261261257</v>
      </c>
      <c r="P95" s="67">
        <v>0.27333333333333332</v>
      </c>
      <c r="Q95" s="67">
        <v>0.42396313364055299</v>
      </c>
    </row>
    <row r="96" spans="1:17" x14ac:dyDescent="0.4">
      <c r="A96" s="69">
        <v>93</v>
      </c>
      <c r="B96" s="66">
        <v>-210.50000000000003</v>
      </c>
      <c r="C96" s="66">
        <v>-2.263440860215054</v>
      </c>
      <c r="D96" s="71">
        <v>2.064516129032258</v>
      </c>
      <c r="E96" s="67">
        <v>0.26881720430107525</v>
      </c>
      <c r="F96" s="67">
        <v>0.33333333333333331</v>
      </c>
      <c r="G96" s="67">
        <v>0.28149100257069409</v>
      </c>
      <c r="H96" s="67">
        <v>0.16709511568123395</v>
      </c>
      <c r="I96" s="68">
        <v>9262.1004566210049</v>
      </c>
      <c r="J96" s="68">
        <v>-7840.7692307692305</v>
      </c>
      <c r="K96" s="67">
        <v>0.12903225806451613</v>
      </c>
      <c r="L96" s="67">
        <v>8.6021505376344093E-2</v>
      </c>
      <c r="M96" s="67">
        <v>0.2879177377892031</v>
      </c>
      <c r="N96" s="67">
        <v>0.19280205655526991</v>
      </c>
      <c r="O96" s="67">
        <v>0.6116071428571429</v>
      </c>
      <c r="P96" s="67">
        <v>0.27333333333333332</v>
      </c>
      <c r="Q96" s="67">
        <v>0.42009132420091322</v>
      </c>
    </row>
    <row r="97" spans="1:17" x14ac:dyDescent="0.4">
      <c r="A97" s="69">
        <v>94</v>
      </c>
      <c r="B97" s="66">
        <v>-221.00000000000003</v>
      </c>
      <c r="C97" s="66">
        <v>-2.3510638297872344</v>
      </c>
      <c r="D97" s="71">
        <v>2.0638297872340425</v>
      </c>
      <c r="E97" s="67">
        <v>0.26595744680851063</v>
      </c>
      <c r="F97" s="67">
        <v>0.32978723404255317</v>
      </c>
      <c r="G97" s="67">
        <v>0.28030303030303028</v>
      </c>
      <c r="H97" s="67">
        <v>0.1691919191919192</v>
      </c>
      <c r="I97" s="68">
        <v>9233.7837837837833</v>
      </c>
      <c r="J97" s="68">
        <v>-7811.940298507463</v>
      </c>
      <c r="K97" s="67">
        <v>0.1276595744680851</v>
      </c>
      <c r="L97" s="67">
        <v>8.5106382978723402E-2</v>
      </c>
      <c r="M97" s="67">
        <v>0.2878787878787879</v>
      </c>
      <c r="N97" s="67">
        <v>0.19065656565656566</v>
      </c>
      <c r="O97" s="67">
        <v>0.60964912280701755</v>
      </c>
      <c r="P97" s="67">
        <v>0.27152317880794702</v>
      </c>
      <c r="Q97" s="67">
        <v>0.4144144144144144</v>
      </c>
    </row>
    <row r="98" spans="1:17" x14ac:dyDescent="0.4">
      <c r="A98" s="69">
        <v>95</v>
      </c>
      <c r="B98" s="66">
        <v>-254.3</v>
      </c>
      <c r="C98" s="66">
        <v>-2.6768421052631579</v>
      </c>
      <c r="D98" s="71">
        <v>2.0736842105263156</v>
      </c>
      <c r="E98" s="67">
        <v>0.26315789473684209</v>
      </c>
      <c r="F98" s="67">
        <v>0.33684210526315789</v>
      </c>
      <c r="G98" s="67">
        <v>0.28035043804755944</v>
      </c>
      <c r="H98" s="67">
        <v>0.16896120150187735</v>
      </c>
      <c r="I98" s="68">
        <v>9174.5535714285706</v>
      </c>
      <c r="J98" s="68">
        <v>-7842.9629629629626</v>
      </c>
      <c r="K98" s="67">
        <v>0.12631578947368421</v>
      </c>
      <c r="L98" s="67">
        <v>8.4210526315789472E-2</v>
      </c>
      <c r="M98" s="67">
        <v>0.28660826032540676</v>
      </c>
      <c r="N98" s="67">
        <v>0.19274092615769711</v>
      </c>
      <c r="O98" s="67">
        <v>0.611353711790393</v>
      </c>
      <c r="P98" s="67">
        <v>0.27272727272727271</v>
      </c>
      <c r="Q98" s="67">
        <v>0.41964285714285715</v>
      </c>
    </row>
    <row r="99" spans="1:17" x14ac:dyDescent="0.4">
      <c r="A99" s="69">
        <v>96</v>
      </c>
      <c r="B99" s="66">
        <v>-293.90000000000003</v>
      </c>
      <c r="C99" s="66">
        <v>-3.0614583333333338</v>
      </c>
      <c r="D99" s="71">
        <v>2.0833333333333335</v>
      </c>
      <c r="E99" s="67">
        <v>0.26041666666666669</v>
      </c>
      <c r="F99" s="67">
        <v>0.34375</v>
      </c>
      <c r="G99" s="67">
        <v>0.27901234567901234</v>
      </c>
      <c r="H99" s="67">
        <v>0.1728395061728395</v>
      </c>
      <c r="I99" s="68">
        <v>9164.1592920353978</v>
      </c>
      <c r="J99" s="68">
        <v>-7732.8571428571431</v>
      </c>
      <c r="K99" s="67">
        <v>0.125</v>
      </c>
      <c r="L99" s="67">
        <v>8.3333333333333329E-2</v>
      </c>
      <c r="M99" s="67">
        <v>0.29012345679012347</v>
      </c>
      <c r="N99" s="67">
        <v>0.19012345679012346</v>
      </c>
      <c r="O99" s="67">
        <v>0.60425531914893615</v>
      </c>
      <c r="P99" s="67">
        <v>0.27272727272727271</v>
      </c>
      <c r="Q99" s="67">
        <v>0.4247787610619469</v>
      </c>
    </row>
    <row r="100" spans="1:17" x14ac:dyDescent="0.4">
      <c r="A100" s="69">
        <v>97</v>
      </c>
      <c r="B100" s="66">
        <v>-323.70000000000005</v>
      </c>
      <c r="C100" s="66">
        <v>-3.3371134020618562</v>
      </c>
      <c r="D100" s="71">
        <v>2.0927835051546393</v>
      </c>
      <c r="E100" s="67">
        <v>0.25773195876288657</v>
      </c>
      <c r="F100" s="67">
        <v>0.35051546391752575</v>
      </c>
      <c r="G100" s="67">
        <v>0.2783882783882784</v>
      </c>
      <c r="H100" s="67">
        <v>0.17460317460317459</v>
      </c>
      <c r="I100" s="68">
        <v>9118.4210526315783</v>
      </c>
      <c r="J100" s="68">
        <v>-7655.9440559440563</v>
      </c>
      <c r="K100" s="67">
        <v>0.12371134020618557</v>
      </c>
      <c r="L100" s="67">
        <v>8.247422680412371E-2</v>
      </c>
      <c r="M100" s="67">
        <v>0.2893772893772894</v>
      </c>
      <c r="N100" s="67">
        <v>0.19047619047619047</v>
      </c>
      <c r="O100" s="67">
        <v>0.6033755274261603</v>
      </c>
      <c r="P100" s="67">
        <v>0.27564102564102566</v>
      </c>
      <c r="Q100" s="67">
        <v>0.42543859649122806</v>
      </c>
    </row>
    <row r="101" spans="1:17" x14ac:dyDescent="0.4">
      <c r="A101" s="69">
        <v>98</v>
      </c>
      <c r="B101" s="66">
        <v>-382.90000000000003</v>
      </c>
      <c r="C101" s="66">
        <v>-3.9071428571428575</v>
      </c>
      <c r="D101" s="71">
        <v>2.1020408163265305</v>
      </c>
      <c r="E101" s="67">
        <v>0.25510204081632654</v>
      </c>
      <c r="F101" s="67">
        <v>0.35714285714285715</v>
      </c>
      <c r="G101" s="67">
        <v>0.27636363636363637</v>
      </c>
      <c r="H101" s="67">
        <v>0.17454545454545456</v>
      </c>
      <c r="I101" s="68">
        <v>9118.4210526315783</v>
      </c>
      <c r="J101" s="68">
        <v>-7686.1111111111113</v>
      </c>
      <c r="K101" s="67">
        <v>0.1326530612244898</v>
      </c>
      <c r="L101" s="67">
        <v>8.1632653061224483E-2</v>
      </c>
      <c r="M101" s="67">
        <v>0.29090909090909089</v>
      </c>
      <c r="N101" s="67">
        <v>0.18909090909090909</v>
      </c>
      <c r="O101" s="67">
        <v>0.59583333333333333</v>
      </c>
      <c r="P101" s="67">
        <v>0.27564102564102566</v>
      </c>
      <c r="Q101" s="67">
        <v>0.42543859649122806</v>
      </c>
    </row>
    <row r="102" spans="1:17" x14ac:dyDescent="0.4">
      <c r="A102" s="69">
        <v>99</v>
      </c>
      <c r="B102" s="66">
        <v>-347.50000000000006</v>
      </c>
      <c r="C102" s="66">
        <v>-3.5101010101010108</v>
      </c>
      <c r="D102" s="71">
        <v>2.0909090909090908</v>
      </c>
      <c r="E102" s="67">
        <v>0.26262626262626265</v>
      </c>
      <c r="F102" s="67">
        <v>0.35353535353535354</v>
      </c>
      <c r="G102" s="67">
        <v>0.27697841726618705</v>
      </c>
      <c r="H102" s="67">
        <v>0.17386091127098321</v>
      </c>
      <c r="I102" s="68">
        <v>9155.8441558441555</v>
      </c>
      <c r="J102" s="68">
        <v>-7666.2068965517237</v>
      </c>
      <c r="K102" s="67">
        <v>0.13131313131313133</v>
      </c>
      <c r="L102" s="67">
        <v>8.0808080808080815E-2</v>
      </c>
      <c r="M102" s="67">
        <v>0.29136690647482016</v>
      </c>
      <c r="N102" s="67">
        <v>0.18705035971223022</v>
      </c>
      <c r="O102" s="67">
        <v>0.60082304526748975</v>
      </c>
      <c r="P102" s="67">
        <v>0.27564102564102566</v>
      </c>
      <c r="Q102" s="67">
        <v>0.42857142857142855</v>
      </c>
    </row>
    <row r="103" spans="1:17" x14ac:dyDescent="0.4">
      <c r="A103" s="69">
        <v>100</v>
      </c>
      <c r="B103" s="66">
        <v>-405.00000000000006</v>
      </c>
      <c r="C103" s="66">
        <v>-4.0500000000000007</v>
      </c>
      <c r="D103" s="71">
        <v>2.1</v>
      </c>
      <c r="E103" s="67">
        <v>0.26</v>
      </c>
      <c r="F103" s="67">
        <v>0.36</v>
      </c>
      <c r="G103" s="67">
        <v>0.27500000000000002</v>
      </c>
      <c r="H103" s="67">
        <v>0.1738095238095238</v>
      </c>
      <c r="I103" s="68">
        <v>9155.8441558441555</v>
      </c>
      <c r="J103" s="68">
        <v>-7736.9863013698632</v>
      </c>
      <c r="K103" s="67">
        <v>0.14000000000000001</v>
      </c>
      <c r="L103" s="67">
        <v>0.08</v>
      </c>
      <c r="M103" s="67">
        <v>0.29166666666666669</v>
      </c>
      <c r="N103" s="67">
        <v>0.18571428571428572</v>
      </c>
      <c r="O103" s="67">
        <v>0.59591836734693882</v>
      </c>
      <c r="P103" s="67">
        <v>0.27564102564102566</v>
      </c>
      <c r="Q103" s="67">
        <v>0.42857142857142855</v>
      </c>
    </row>
    <row r="104" spans="1:17" x14ac:dyDescent="0.4">
      <c r="A104" s="69">
        <v>101</v>
      </c>
      <c r="B104" s="66">
        <v>-377.80000000000007</v>
      </c>
      <c r="C104" s="66">
        <v>-3.7405940594059413</v>
      </c>
      <c r="D104" s="71">
        <v>2.0891089108910892</v>
      </c>
      <c r="E104" s="67">
        <v>0.26732673267326734</v>
      </c>
      <c r="F104" s="67">
        <v>0.35643564356435642</v>
      </c>
      <c r="G104" s="67">
        <v>0.27423167848699764</v>
      </c>
      <c r="H104" s="67">
        <v>0.17375886524822695</v>
      </c>
      <c r="I104" s="68">
        <v>9168.1034482758623</v>
      </c>
      <c r="J104" s="68">
        <v>-7697.9591836734689</v>
      </c>
      <c r="K104" s="67">
        <v>0.13861386138613863</v>
      </c>
      <c r="L104" s="67">
        <v>7.9207920792079209E-2</v>
      </c>
      <c r="M104" s="67">
        <v>0.29078014184397161</v>
      </c>
      <c r="N104" s="67">
        <v>0.18439716312056736</v>
      </c>
      <c r="O104" s="67">
        <v>0.59756097560975607</v>
      </c>
      <c r="P104" s="67">
        <v>0.27564102564102566</v>
      </c>
      <c r="Q104" s="67">
        <v>0.43103448275862066</v>
      </c>
    </row>
    <row r="105" spans="1:17" x14ac:dyDescent="0.4">
      <c r="A105" s="69">
        <v>102</v>
      </c>
      <c r="B105" s="66">
        <v>-414.00000000000006</v>
      </c>
      <c r="C105" s="66">
        <v>-4.0588235294117654</v>
      </c>
      <c r="D105" s="71">
        <v>2.0980392156862746</v>
      </c>
      <c r="E105" s="67">
        <v>0.26470588235294118</v>
      </c>
      <c r="F105" s="67">
        <v>0.36274509803921567</v>
      </c>
      <c r="G105" s="67">
        <v>0.27304550758459745</v>
      </c>
      <c r="H105" s="67">
        <v>0.1750291715285881</v>
      </c>
      <c r="I105" s="68">
        <v>9169.2307692307695</v>
      </c>
      <c r="J105" s="68">
        <v>-7688.666666666667</v>
      </c>
      <c r="K105" s="67">
        <v>0.13725490196078433</v>
      </c>
      <c r="L105" s="67">
        <v>7.8431372549019607E-2</v>
      </c>
      <c r="M105" s="67">
        <v>0.2893815635939323</v>
      </c>
      <c r="N105" s="67">
        <v>0.18319719953325556</v>
      </c>
      <c r="O105" s="67">
        <v>0.59677419354838712</v>
      </c>
      <c r="P105" s="67">
        <v>0.28025477707006369</v>
      </c>
      <c r="Q105" s="67">
        <v>0.43162393162393164</v>
      </c>
    </row>
    <row r="106" spans="1:17" x14ac:dyDescent="0.4">
      <c r="A106" s="69">
        <v>103</v>
      </c>
      <c r="B106" s="66">
        <v>-428.50000000000006</v>
      </c>
      <c r="C106" s="66">
        <v>-4.1601941747572821</v>
      </c>
      <c r="D106" s="71">
        <v>2.0970873786407767</v>
      </c>
      <c r="E106" s="67">
        <v>0.26213592233009708</v>
      </c>
      <c r="F106" s="67">
        <v>0.35922330097087379</v>
      </c>
      <c r="G106" s="67">
        <v>0.27177700348432055</v>
      </c>
      <c r="H106" s="67">
        <v>0.17421602787456447</v>
      </c>
      <c r="I106" s="68">
        <v>9169.2307692307695</v>
      </c>
      <c r="J106" s="68">
        <v>-7688.666666666667</v>
      </c>
      <c r="K106" s="67">
        <v>0.13592233009708737</v>
      </c>
      <c r="L106" s="67">
        <v>7.7669902912621352E-2</v>
      </c>
      <c r="M106" s="67">
        <v>0.28919860627177701</v>
      </c>
      <c r="N106" s="67">
        <v>0.18234610917537747</v>
      </c>
      <c r="O106" s="67">
        <v>0.59437751004016059</v>
      </c>
      <c r="P106" s="67">
        <v>0.28025477707006369</v>
      </c>
      <c r="Q106" s="67">
        <v>0.43162393162393164</v>
      </c>
    </row>
    <row r="107" spans="1:17" x14ac:dyDescent="0.4">
      <c r="A107" s="69">
        <v>104</v>
      </c>
      <c r="B107" s="66">
        <v>-438.90000000000003</v>
      </c>
      <c r="C107" s="66">
        <v>-4.220192307692308</v>
      </c>
      <c r="D107" s="71">
        <v>2.0961538461538463</v>
      </c>
      <c r="E107" s="67">
        <v>0.25961538461538464</v>
      </c>
      <c r="F107" s="67">
        <v>0.35576923076923078</v>
      </c>
      <c r="G107" s="67">
        <v>0.27095292766934559</v>
      </c>
      <c r="H107" s="67">
        <v>0.17451205510907003</v>
      </c>
      <c r="I107" s="68">
        <v>9158.0508474576272</v>
      </c>
      <c r="J107" s="68">
        <v>-7663.8157894736842</v>
      </c>
      <c r="K107" s="67">
        <v>0.13461538461538461</v>
      </c>
      <c r="L107" s="67">
        <v>7.6923076923076927E-2</v>
      </c>
      <c r="M107" s="67">
        <v>0.29161882893226176</v>
      </c>
      <c r="N107" s="67">
        <v>0.18025258323765786</v>
      </c>
      <c r="O107" s="67">
        <v>0.59055118110236215</v>
      </c>
      <c r="P107" s="67">
        <v>0.28025477707006369</v>
      </c>
      <c r="Q107" s="67">
        <v>0.42796610169491528</v>
      </c>
    </row>
    <row r="108" spans="1:17" x14ac:dyDescent="0.4">
      <c r="A108" s="69">
        <v>105</v>
      </c>
      <c r="B108" s="66">
        <v>-363.70000000000005</v>
      </c>
      <c r="C108" s="66">
        <v>-3.4638095238095241</v>
      </c>
      <c r="D108" s="71">
        <v>2.0857142857142859</v>
      </c>
      <c r="E108" s="67">
        <v>0.26666666666666666</v>
      </c>
      <c r="F108" s="67">
        <v>0.35238095238095241</v>
      </c>
      <c r="G108" s="67">
        <v>0.27386363636363636</v>
      </c>
      <c r="H108" s="67">
        <v>0.17272727272727273</v>
      </c>
      <c r="I108" s="68">
        <v>9197.0954356846469</v>
      </c>
      <c r="J108" s="68">
        <v>-7663.8157894736842</v>
      </c>
      <c r="K108" s="67">
        <v>0.13333333333333333</v>
      </c>
      <c r="L108" s="67">
        <v>8.5714285714285715E-2</v>
      </c>
      <c r="M108" s="67">
        <v>0.29659090909090907</v>
      </c>
      <c r="N108" s="67">
        <v>0.17840909090909091</v>
      </c>
      <c r="O108" s="67">
        <v>0.5938697318007663</v>
      </c>
      <c r="P108" s="67">
        <v>0.28025477707006369</v>
      </c>
      <c r="Q108" s="67">
        <v>0.42738589211618255</v>
      </c>
    </row>
    <row r="109" spans="1:17" x14ac:dyDescent="0.4">
      <c r="A109" s="69">
        <v>106</v>
      </c>
      <c r="B109" s="66">
        <v>-394.30000000000007</v>
      </c>
      <c r="C109" s="66">
        <v>-3.7198113207547174</v>
      </c>
      <c r="D109" s="71">
        <v>2.0943396226415096</v>
      </c>
      <c r="E109" s="67">
        <v>0.26415094339622641</v>
      </c>
      <c r="F109" s="67">
        <v>0.35849056603773582</v>
      </c>
      <c r="G109" s="67">
        <v>0.27221597300337458</v>
      </c>
      <c r="H109" s="67">
        <v>0.17210348706411699</v>
      </c>
      <c r="I109" s="68">
        <v>9208.6776859504134</v>
      </c>
      <c r="J109" s="68">
        <v>-7664.0522875816996</v>
      </c>
      <c r="K109" s="67">
        <v>0.13207547169811321</v>
      </c>
      <c r="L109" s="67">
        <v>8.4905660377358486E-2</v>
      </c>
      <c r="M109" s="67">
        <v>0.29471316085489313</v>
      </c>
      <c r="N109" s="67">
        <v>0.18110236220472442</v>
      </c>
      <c r="O109" s="67">
        <v>0.59160305343511455</v>
      </c>
      <c r="P109" s="67">
        <v>0.27950310559006208</v>
      </c>
      <c r="Q109" s="67">
        <v>0.42561983471074383</v>
      </c>
    </row>
    <row r="110" spans="1:17" x14ac:dyDescent="0.4">
      <c r="A110" s="69">
        <v>107</v>
      </c>
      <c r="B110" s="66">
        <v>-349.50000000000006</v>
      </c>
      <c r="C110" s="66">
        <v>-3.2663551401869166</v>
      </c>
      <c r="D110" s="71">
        <v>2.0841121495327104</v>
      </c>
      <c r="E110" s="67">
        <v>0.27102803738317754</v>
      </c>
      <c r="F110" s="67">
        <v>0.35514018691588783</v>
      </c>
      <c r="G110" s="67">
        <v>0.27282850779510021</v>
      </c>
      <c r="H110" s="67">
        <v>0.17260579064587972</v>
      </c>
      <c r="I110" s="68">
        <v>9241.6326530612241</v>
      </c>
      <c r="J110" s="68">
        <v>-7641.9354838709678</v>
      </c>
      <c r="K110" s="67">
        <v>0.13084112149532709</v>
      </c>
      <c r="L110" s="67">
        <v>8.4112149532710276E-2</v>
      </c>
      <c r="M110" s="67">
        <v>0.29398663697104677</v>
      </c>
      <c r="N110" s="67">
        <v>0.18262806236080179</v>
      </c>
      <c r="O110" s="67">
        <v>0.59090909090909094</v>
      </c>
      <c r="P110" s="67">
        <v>0.28658536585365851</v>
      </c>
      <c r="Q110" s="67">
        <v>0.42448979591836733</v>
      </c>
    </row>
    <row r="111" spans="1:17" x14ac:dyDescent="0.4">
      <c r="A111" s="69">
        <v>108</v>
      </c>
      <c r="B111" s="66">
        <v>-287.00000000000006</v>
      </c>
      <c r="C111" s="66">
        <v>-2.6574074074074079</v>
      </c>
      <c r="D111" s="71">
        <v>2.074074074074074</v>
      </c>
      <c r="E111" s="67">
        <v>0.27777777777777779</v>
      </c>
      <c r="F111" s="67">
        <v>0.35185185185185186</v>
      </c>
      <c r="G111" s="67">
        <v>0.27464008859357697</v>
      </c>
      <c r="H111" s="67">
        <v>0.1716500553709856</v>
      </c>
      <c r="I111" s="68">
        <v>9291.1290322580644</v>
      </c>
      <c r="J111" s="68">
        <v>-7641.9354838709678</v>
      </c>
      <c r="K111" s="67">
        <v>0.12962962962962962</v>
      </c>
      <c r="L111" s="67">
        <v>9.2592592592592587E-2</v>
      </c>
      <c r="M111" s="67">
        <v>0.29457364341085274</v>
      </c>
      <c r="N111" s="67">
        <v>0.18272425249169436</v>
      </c>
      <c r="O111" s="67">
        <v>0.59398496240601506</v>
      </c>
      <c r="P111" s="67">
        <v>0.29090909090909089</v>
      </c>
      <c r="Q111" s="67">
        <v>0.42741935483870969</v>
      </c>
    </row>
    <row r="112" spans="1:17" x14ac:dyDescent="0.4">
      <c r="A112" s="69">
        <v>109</v>
      </c>
      <c r="B112" s="66">
        <v>-324.70000000000005</v>
      </c>
      <c r="C112" s="66">
        <v>-2.978899082568808</v>
      </c>
      <c r="D112" s="71">
        <v>2.0825688073394497</v>
      </c>
      <c r="E112" s="67">
        <v>0.27522935779816515</v>
      </c>
      <c r="F112" s="67">
        <v>0.3577981651376147</v>
      </c>
      <c r="G112" s="67">
        <v>0.27491785323110624</v>
      </c>
      <c r="H112" s="67">
        <v>0.17305585980284777</v>
      </c>
      <c r="I112" s="68">
        <v>9252.1912350597613</v>
      </c>
      <c r="J112" s="68">
        <v>-7618.9873417721519</v>
      </c>
      <c r="K112" s="67">
        <v>0.12844036697247707</v>
      </c>
      <c r="L112" s="67">
        <v>9.1743119266055051E-2</v>
      </c>
      <c r="M112" s="67">
        <v>0.29463307776560788</v>
      </c>
      <c r="N112" s="67">
        <v>0.18400876232201532</v>
      </c>
      <c r="O112" s="67">
        <v>0.59107806691449816</v>
      </c>
      <c r="P112" s="67">
        <v>0.29761904761904762</v>
      </c>
      <c r="Q112" s="67">
        <v>0.42231075697211157</v>
      </c>
    </row>
    <row r="113" spans="1:17" x14ac:dyDescent="0.4">
      <c r="A113" s="69">
        <v>110</v>
      </c>
      <c r="B113" s="66">
        <v>-304.20000000000005</v>
      </c>
      <c r="C113" s="66">
        <v>-2.7654545454545461</v>
      </c>
      <c r="D113" s="71">
        <v>2.081818181818182</v>
      </c>
      <c r="E113" s="67">
        <v>0.27272727272727271</v>
      </c>
      <c r="F113" s="67">
        <v>0.35454545454545455</v>
      </c>
      <c r="G113" s="67">
        <v>0.27529923830250275</v>
      </c>
      <c r="H113" s="67">
        <v>0.17192600652883569</v>
      </c>
      <c r="I113" s="68">
        <v>9258.1027667984181</v>
      </c>
      <c r="J113" s="68">
        <v>-7618.9873417721519</v>
      </c>
      <c r="K113" s="67">
        <v>0.12727272727272726</v>
      </c>
      <c r="L113" s="67">
        <v>9.0909090909090912E-2</v>
      </c>
      <c r="M113" s="67">
        <v>0.29488574537540807</v>
      </c>
      <c r="N113" s="67">
        <v>0.18280739934711643</v>
      </c>
      <c r="O113" s="67">
        <v>0.59409594095940954</v>
      </c>
      <c r="P113" s="67">
        <v>0.29761904761904762</v>
      </c>
      <c r="Q113" s="67">
        <v>0.42292490118577075</v>
      </c>
    </row>
    <row r="114" spans="1:17" x14ac:dyDescent="0.4">
      <c r="A114" s="69">
        <v>111</v>
      </c>
      <c r="B114" s="66">
        <v>-296.80000000000007</v>
      </c>
      <c r="C114" s="66">
        <v>-2.6738738738738745</v>
      </c>
      <c r="D114" s="71">
        <v>2.0810810810810811</v>
      </c>
      <c r="E114" s="67">
        <v>0.27027027027027029</v>
      </c>
      <c r="F114" s="67">
        <v>0.35135135135135137</v>
      </c>
      <c r="G114" s="67">
        <v>0.27548806941431669</v>
      </c>
      <c r="H114" s="67">
        <v>0.17136659436008678</v>
      </c>
      <c r="I114" s="68">
        <v>9246.8503937007881</v>
      </c>
      <c r="J114" s="68">
        <v>-7618.9873417721519</v>
      </c>
      <c r="K114" s="67">
        <v>0.12612612612612611</v>
      </c>
      <c r="L114" s="67">
        <v>9.0090090090090086E-2</v>
      </c>
      <c r="M114" s="67">
        <v>0.29609544468546639</v>
      </c>
      <c r="N114" s="67">
        <v>0.1822125813449024</v>
      </c>
      <c r="O114" s="67">
        <v>0.59340659340659341</v>
      </c>
      <c r="P114" s="67">
        <v>0.29761904761904762</v>
      </c>
      <c r="Q114" s="67">
        <v>0.42125984251968501</v>
      </c>
    </row>
    <row r="115" spans="1:17" x14ac:dyDescent="0.4">
      <c r="A115" s="69">
        <v>112</v>
      </c>
      <c r="B115" s="66">
        <v>-307.60000000000008</v>
      </c>
      <c r="C115" s="66">
        <v>-2.7464285714285723</v>
      </c>
      <c r="D115" s="71">
        <v>2.0803571428571428</v>
      </c>
      <c r="E115" s="67">
        <v>0.26785714285714285</v>
      </c>
      <c r="F115" s="67">
        <v>0.3482142857142857</v>
      </c>
      <c r="G115" s="67">
        <v>0.27400215749730311</v>
      </c>
      <c r="H115" s="67">
        <v>0.17152103559870549</v>
      </c>
      <c r="I115" s="68">
        <v>9246.8503937007881</v>
      </c>
      <c r="J115" s="68">
        <v>-7586.1635220125791</v>
      </c>
      <c r="K115" s="67">
        <v>0.125</v>
      </c>
      <c r="L115" s="67">
        <v>8.9285714285714288E-2</v>
      </c>
      <c r="M115" s="67">
        <v>0.29557713052858686</v>
      </c>
      <c r="N115" s="67">
        <v>0.18122977346278318</v>
      </c>
      <c r="O115" s="67">
        <v>0.59124087591240881</v>
      </c>
      <c r="P115" s="67">
        <v>0.29761904761904762</v>
      </c>
      <c r="Q115" s="67">
        <v>0.42125984251968501</v>
      </c>
    </row>
    <row r="116" spans="1:17" x14ac:dyDescent="0.4">
      <c r="A116" s="69">
        <v>113</v>
      </c>
      <c r="B116" s="66">
        <v>-323.7000000000001</v>
      </c>
      <c r="C116" s="66">
        <v>-2.8646017699115052</v>
      </c>
      <c r="D116" s="71">
        <v>2.0796460176991149</v>
      </c>
      <c r="E116" s="67">
        <v>0.26548672566371684</v>
      </c>
      <c r="F116" s="67">
        <v>0.34513274336283184</v>
      </c>
      <c r="G116" s="67">
        <v>0.27136752136752135</v>
      </c>
      <c r="H116" s="67">
        <v>0.17094017094017094</v>
      </c>
      <c r="I116" s="68">
        <v>9246.8503937007881</v>
      </c>
      <c r="J116" s="68">
        <v>-7563.125</v>
      </c>
      <c r="K116" s="67">
        <v>0.12389380530973451</v>
      </c>
      <c r="L116" s="67">
        <v>8.8495575221238937E-2</v>
      </c>
      <c r="M116" s="67">
        <v>0.29594017094017094</v>
      </c>
      <c r="N116" s="67">
        <v>0.18162393162393162</v>
      </c>
      <c r="O116" s="67">
        <v>0.58483754512635377</v>
      </c>
      <c r="P116" s="67">
        <v>0.29411764705882354</v>
      </c>
      <c r="Q116" s="67">
        <v>0.42125984251968501</v>
      </c>
    </row>
    <row r="117" spans="1:17" x14ac:dyDescent="0.4">
      <c r="A117" s="69">
        <v>114</v>
      </c>
      <c r="B117" s="66">
        <v>-248.90000000000009</v>
      </c>
      <c r="C117" s="66">
        <v>-2.183333333333334</v>
      </c>
      <c r="D117" s="71">
        <v>2.0701754385964914</v>
      </c>
      <c r="E117" s="67">
        <v>0.27192982456140352</v>
      </c>
      <c r="F117" s="67">
        <v>0.34210526315789475</v>
      </c>
      <c r="G117" s="67">
        <v>0.27417640807651433</v>
      </c>
      <c r="H117" s="67">
        <v>0.17003188097768332</v>
      </c>
      <c r="I117" s="68">
        <v>9304.2635658914733</v>
      </c>
      <c r="J117" s="68">
        <v>-7563.125</v>
      </c>
      <c r="K117" s="67">
        <v>0.12280701754385964</v>
      </c>
      <c r="L117" s="67">
        <v>9.6491228070175433E-2</v>
      </c>
      <c r="M117" s="67">
        <v>0.29755579171094582</v>
      </c>
      <c r="N117" s="67">
        <v>0.18172157279489903</v>
      </c>
      <c r="O117" s="67">
        <v>0.5892857142857143</v>
      </c>
      <c r="P117" s="67">
        <v>0.2982456140350877</v>
      </c>
      <c r="Q117" s="67">
        <v>0.4263565891472868</v>
      </c>
    </row>
    <row r="118" spans="1:17" x14ac:dyDescent="0.4">
      <c r="A118" s="69">
        <v>115</v>
      </c>
      <c r="B118" s="66">
        <v>-327.60000000000008</v>
      </c>
      <c r="C118" s="66">
        <v>-2.8486956521739137</v>
      </c>
      <c r="D118" s="71">
        <v>2.0782608695652174</v>
      </c>
      <c r="E118" s="67">
        <v>0.26956521739130435</v>
      </c>
      <c r="F118" s="67">
        <v>0.34782608695652173</v>
      </c>
      <c r="G118" s="67">
        <v>0.27243928194297784</v>
      </c>
      <c r="H118" s="67">
        <v>0.17212249208025343</v>
      </c>
      <c r="I118" s="68">
        <v>9304.2635658914733</v>
      </c>
      <c r="J118" s="68">
        <v>-7741.1042944785277</v>
      </c>
      <c r="K118" s="67">
        <v>0.13043478260869565</v>
      </c>
      <c r="L118" s="67">
        <v>9.5652173913043481E-2</v>
      </c>
      <c r="M118" s="67">
        <v>0.29778247096092925</v>
      </c>
      <c r="N118" s="67">
        <v>0.18057022175290391</v>
      </c>
      <c r="O118" s="67">
        <v>0.58510638297872342</v>
      </c>
      <c r="P118" s="67">
        <v>0.2982456140350877</v>
      </c>
      <c r="Q118" s="67">
        <v>0.4263565891472868</v>
      </c>
    </row>
    <row r="119" spans="1:17" x14ac:dyDescent="0.4">
      <c r="A119" s="69">
        <v>116</v>
      </c>
      <c r="B119" s="66">
        <v>-316.00000000000006</v>
      </c>
      <c r="C119" s="66">
        <v>-2.7241379310344831</v>
      </c>
      <c r="D119" s="71">
        <v>2.0775862068965516</v>
      </c>
      <c r="E119" s="67">
        <v>0.26724137931034481</v>
      </c>
      <c r="F119" s="67">
        <v>0.34482758620689657</v>
      </c>
      <c r="G119" s="67">
        <v>0.27272727272727271</v>
      </c>
      <c r="H119" s="67">
        <v>0.17136886102403343</v>
      </c>
      <c r="I119" s="68">
        <v>9297.318007662836</v>
      </c>
      <c r="J119" s="68">
        <v>-7742.6829268292686</v>
      </c>
      <c r="K119" s="67">
        <v>0.12931034482758622</v>
      </c>
      <c r="L119" s="67">
        <v>9.4827586206896547E-2</v>
      </c>
      <c r="M119" s="67">
        <v>0.2988505747126437</v>
      </c>
      <c r="N119" s="67">
        <v>0.18077324973876699</v>
      </c>
      <c r="O119" s="67">
        <v>0.58391608391608396</v>
      </c>
      <c r="P119" s="67">
        <v>0.30057803468208094</v>
      </c>
      <c r="Q119" s="67">
        <v>0.42145593869731801</v>
      </c>
    </row>
    <row r="120" spans="1:17" x14ac:dyDescent="0.4">
      <c r="A120" s="69">
        <v>117</v>
      </c>
      <c r="B120" s="66">
        <v>-313.40000000000003</v>
      </c>
      <c r="C120" s="66">
        <v>-2.6786324786324789</v>
      </c>
      <c r="D120" s="71">
        <v>2.0769230769230771</v>
      </c>
      <c r="E120" s="67">
        <v>0.26495726495726496</v>
      </c>
      <c r="F120" s="67">
        <v>0.34188034188034189</v>
      </c>
      <c r="G120" s="67">
        <v>0.27253886010362693</v>
      </c>
      <c r="H120" s="67">
        <v>0.16994818652849741</v>
      </c>
      <c r="I120" s="68">
        <v>9302.6615969581744</v>
      </c>
      <c r="J120" s="68">
        <v>-7742.6829268292686</v>
      </c>
      <c r="K120" s="67">
        <v>0.12820512820512819</v>
      </c>
      <c r="L120" s="67">
        <v>9.4017094017094016E-2</v>
      </c>
      <c r="M120" s="67">
        <v>0.30051813471502592</v>
      </c>
      <c r="N120" s="67">
        <v>0.18031088082901556</v>
      </c>
      <c r="O120" s="67">
        <v>0.58275862068965523</v>
      </c>
      <c r="P120" s="67">
        <v>0.2988505747126437</v>
      </c>
      <c r="Q120" s="67">
        <v>0.4220532319391635</v>
      </c>
    </row>
    <row r="121" spans="1:17" x14ac:dyDescent="0.4">
      <c r="A121" s="69">
        <v>118</v>
      </c>
      <c r="B121" s="66">
        <v>-324.50000000000006</v>
      </c>
      <c r="C121" s="66">
        <v>-2.7500000000000004</v>
      </c>
      <c r="D121" s="71">
        <v>2.0762711864406778</v>
      </c>
      <c r="E121" s="67">
        <v>0.26271186440677968</v>
      </c>
      <c r="F121" s="67">
        <v>0.33898305084745761</v>
      </c>
      <c r="G121" s="67">
        <v>0.27132579650565264</v>
      </c>
      <c r="H121" s="67">
        <v>0.16957862281603289</v>
      </c>
      <c r="I121" s="68">
        <v>9312.878787878788</v>
      </c>
      <c r="J121" s="68">
        <v>-7744.242424242424</v>
      </c>
      <c r="K121" s="67">
        <v>0.1271186440677966</v>
      </c>
      <c r="L121" s="67">
        <v>9.3220338983050849E-2</v>
      </c>
      <c r="M121" s="67">
        <v>0.30010277492291881</v>
      </c>
      <c r="N121" s="67">
        <v>0.17985611510791366</v>
      </c>
      <c r="O121" s="67">
        <v>0.57876712328767121</v>
      </c>
      <c r="P121" s="67">
        <v>0.29714285714285715</v>
      </c>
      <c r="Q121" s="67">
        <v>0.42045454545454547</v>
      </c>
    </row>
    <row r="122" spans="1:17" x14ac:dyDescent="0.4">
      <c r="A122" s="69">
        <v>119</v>
      </c>
      <c r="B122" s="66">
        <v>-346.70000000000005</v>
      </c>
      <c r="C122" s="66">
        <v>-2.9134453781512608</v>
      </c>
      <c r="D122" s="71">
        <v>2.0840336134453783</v>
      </c>
      <c r="E122" s="67">
        <v>0.26050420168067229</v>
      </c>
      <c r="F122" s="67">
        <v>0.34453781512605042</v>
      </c>
      <c r="G122" s="67">
        <v>0.27235772357723576</v>
      </c>
      <c r="H122" s="67">
        <v>0.16971544715447154</v>
      </c>
      <c r="I122" s="68">
        <v>9262.686567164179</v>
      </c>
      <c r="J122" s="68">
        <v>-7754.4910179640719</v>
      </c>
      <c r="K122" s="67">
        <v>0.12605042016806722</v>
      </c>
      <c r="L122" s="67">
        <v>9.2436974789915971E-2</v>
      </c>
      <c r="M122" s="67">
        <v>0.30081300813008133</v>
      </c>
      <c r="N122" s="67">
        <v>0.18292682926829268</v>
      </c>
      <c r="O122" s="67">
        <v>0.58108108108108103</v>
      </c>
      <c r="P122" s="67">
        <v>0.28888888888888886</v>
      </c>
      <c r="Q122" s="67">
        <v>0.42164179104477612</v>
      </c>
    </row>
    <row r="123" spans="1:17" x14ac:dyDescent="0.4">
      <c r="A123" s="69">
        <v>120</v>
      </c>
      <c r="B123" s="66">
        <v>-371.00000000000006</v>
      </c>
      <c r="C123" s="66">
        <v>-3.0916666666666672</v>
      </c>
      <c r="D123" s="71">
        <v>2.0916666666666668</v>
      </c>
      <c r="E123" s="67">
        <v>0.25833333333333336</v>
      </c>
      <c r="F123" s="67">
        <v>0.35</v>
      </c>
      <c r="G123" s="67">
        <v>0.27116935483870969</v>
      </c>
      <c r="H123" s="67">
        <v>0.16935483870967741</v>
      </c>
      <c r="I123" s="68">
        <v>9272.8624535315994</v>
      </c>
      <c r="J123" s="68">
        <v>-7739.2857142857147</v>
      </c>
      <c r="K123" s="67">
        <v>0.125</v>
      </c>
      <c r="L123" s="67">
        <v>9.166666666666666E-2</v>
      </c>
      <c r="M123" s="67">
        <v>0.30141129032258063</v>
      </c>
      <c r="N123" s="67">
        <v>0.18245967741935484</v>
      </c>
      <c r="O123" s="67">
        <v>0.57859531772575246</v>
      </c>
      <c r="P123" s="67">
        <v>0.287292817679558</v>
      </c>
      <c r="Q123" s="67">
        <v>0.42379182156133827</v>
      </c>
    </row>
    <row r="124" spans="1:17" x14ac:dyDescent="0.4">
      <c r="A124" s="69">
        <v>121</v>
      </c>
      <c r="B124" s="66">
        <v>-422.10000000000008</v>
      </c>
      <c r="C124" s="66">
        <v>-3.4884297520661165</v>
      </c>
      <c r="D124" s="71">
        <v>2.0991735537190084</v>
      </c>
      <c r="E124" s="67">
        <v>0.256198347107438</v>
      </c>
      <c r="F124" s="67">
        <v>0.35537190082644626</v>
      </c>
      <c r="G124" s="67">
        <v>0.26965174129353237</v>
      </c>
      <c r="H124" s="67">
        <v>0.17014925373134329</v>
      </c>
      <c r="I124" s="68">
        <v>9253.1365313653132</v>
      </c>
      <c r="J124" s="68">
        <v>-7776.6081871345032</v>
      </c>
      <c r="K124" s="67">
        <v>0.12396694214876033</v>
      </c>
      <c r="L124" s="67">
        <v>9.0909090909090912E-2</v>
      </c>
      <c r="M124" s="67">
        <v>0.30149253731343284</v>
      </c>
      <c r="N124" s="67">
        <v>0.18009950248756218</v>
      </c>
      <c r="O124" s="67">
        <v>0.57755775577557755</v>
      </c>
      <c r="P124" s="67">
        <v>0.287292817679558</v>
      </c>
      <c r="Q124" s="67">
        <v>0.42435424354243545</v>
      </c>
    </row>
    <row r="125" spans="1:17" x14ac:dyDescent="0.4">
      <c r="A125" s="69">
        <v>122</v>
      </c>
      <c r="B125" s="66">
        <v>-478.00000000000006</v>
      </c>
      <c r="C125" s="66">
        <v>-3.9180327868852465</v>
      </c>
      <c r="D125" s="71">
        <v>2.1065573770491803</v>
      </c>
      <c r="E125" s="67">
        <v>0.25409836065573771</v>
      </c>
      <c r="F125" s="67">
        <v>0.36065573770491804</v>
      </c>
      <c r="G125" s="67">
        <v>0.26858275520317143</v>
      </c>
      <c r="H125" s="67">
        <v>0.17145688800792863</v>
      </c>
      <c r="I125" s="68">
        <v>9253.1365313653132</v>
      </c>
      <c r="J125" s="68">
        <v>-7825.4335260115604</v>
      </c>
      <c r="K125" s="67">
        <v>0.13114754098360656</v>
      </c>
      <c r="L125" s="67">
        <v>9.0163934426229511E-2</v>
      </c>
      <c r="M125" s="67">
        <v>0.30029732408325072</v>
      </c>
      <c r="N125" s="67">
        <v>0.17938553022794845</v>
      </c>
      <c r="O125" s="67">
        <v>0.57755775577557755</v>
      </c>
      <c r="P125" s="67">
        <v>0.287292817679558</v>
      </c>
      <c r="Q125" s="67">
        <v>0.42435424354243545</v>
      </c>
    </row>
    <row r="126" spans="1:17" x14ac:dyDescent="0.4">
      <c r="A126" s="69">
        <v>123</v>
      </c>
      <c r="B126" s="66">
        <v>-426.70000000000005</v>
      </c>
      <c r="C126" s="66">
        <v>-3.4691056910569111</v>
      </c>
      <c r="D126" s="71">
        <v>2.0975609756097562</v>
      </c>
      <c r="E126" s="67">
        <v>0.26016260162601629</v>
      </c>
      <c r="F126" s="67">
        <v>0.35772357723577236</v>
      </c>
      <c r="G126" s="67">
        <v>0.26987242394504418</v>
      </c>
      <c r="H126" s="67">
        <v>0.1717369970559372</v>
      </c>
      <c r="I126" s="68">
        <v>9285.454545454546</v>
      </c>
      <c r="J126" s="68">
        <v>-7819.4285714285716</v>
      </c>
      <c r="K126" s="67">
        <v>0.13008130081300814</v>
      </c>
      <c r="L126" s="67">
        <v>8.943089430894309E-2</v>
      </c>
      <c r="M126" s="67">
        <v>0.3012757605495584</v>
      </c>
      <c r="N126" s="67">
        <v>0.17958783120706576</v>
      </c>
      <c r="O126" s="67">
        <v>0.57654723127035834</v>
      </c>
      <c r="P126" s="67">
        <v>0.2896174863387978</v>
      </c>
      <c r="Q126" s="67">
        <v>0.42181818181818181</v>
      </c>
    </row>
    <row r="127" spans="1:17" x14ac:dyDescent="0.4">
      <c r="A127" s="69">
        <v>124</v>
      </c>
      <c r="B127" s="66">
        <v>-484.40000000000003</v>
      </c>
      <c r="C127" s="66">
        <v>-3.9064516129032261</v>
      </c>
      <c r="D127" s="71">
        <v>2.1048387096774195</v>
      </c>
      <c r="E127" s="67">
        <v>0.25806451612903225</v>
      </c>
      <c r="F127" s="67">
        <v>0.36290322580645162</v>
      </c>
      <c r="G127" s="67">
        <v>0.26777020447906524</v>
      </c>
      <c r="H127" s="67">
        <v>0.1733203505355404</v>
      </c>
      <c r="I127" s="68">
        <v>9285.454545454546</v>
      </c>
      <c r="J127" s="68">
        <v>-7806.7415730337079</v>
      </c>
      <c r="K127" s="67">
        <v>0.13709677419354838</v>
      </c>
      <c r="L127" s="67">
        <v>8.8709677419354843E-2</v>
      </c>
      <c r="M127" s="67">
        <v>0.29892891918208375</v>
      </c>
      <c r="N127" s="67">
        <v>0.17818889970788704</v>
      </c>
      <c r="O127" s="67">
        <v>0.57654723127035834</v>
      </c>
      <c r="P127" s="67">
        <v>0.2896174863387978</v>
      </c>
      <c r="Q127" s="67">
        <v>0.42181818181818181</v>
      </c>
    </row>
    <row r="128" spans="1:17" x14ac:dyDescent="0.4">
      <c r="A128" s="69">
        <v>125</v>
      </c>
      <c r="B128" s="66">
        <v>-449.70000000000005</v>
      </c>
      <c r="C128" s="66">
        <v>-3.5976000000000004</v>
      </c>
      <c r="D128" s="71">
        <v>2.0960000000000001</v>
      </c>
      <c r="E128" s="67">
        <v>0.26400000000000001</v>
      </c>
      <c r="F128" s="67">
        <v>0.36</v>
      </c>
      <c r="G128" s="67">
        <v>0.2688588007736944</v>
      </c>
      <c r="H128" s="67">
        <v>0.17214700193423599</v>
      </c>
      <c r="I128" s="68">
        <v>9251.7985611510794</v>
      </c>
      <c r="J128" s="68">
        <v>-7806.7415730337079</v>
      </c>
      <c r="K128" s="67">
        <v>0.13600000000000001</v>
      </c>
      <c r="L128" s="67">
        <v>8.7999999999999995E-2</v>
      </c>
      <c r="M128" s="67">
        <v>0.29980657640232106</v>
      </c>
      <c r="N128" s="67">
        <v>0.17794970986460348</v>
      </c>
      <c r="O128" s="67">
        <v>0.58064516129032262</v>
      </c>
      <c r="P128" s="67">
        <v>0.28804347826086957</v>
      </c>
      <c r="Q128" s="67">
        <v>0.42446043165467628</v>
      </c>
    </row>
    <row r="129" spans="1:17" x14ac:dyDescent="0.4">
      <c r="A129" s="69">
        <v>126</v>
      </c>
      <c r="B129" s="66">
        <v>-438.1</v>
      </c>
      <c r="C129" s="66">
        <v>-3.4769841269841271</v>
      </c>
      <c r="D129" s="71">
        <v>2.0952380952380953</v>
      </c>
      <c r="E129" s="67">
        <v>0.26190476190476192</v>
      </c>
      <c r="F129" s="67">
        <v>0.35714285714285715</v>
      </c>
      <c r="G129" s="67">
        <v>0.2687140115163148</v>
      </c>
      <c r="H129" s="67">
        <v>0.17082533589251439</v>
      </c>
      <c r="I129" s="68">
        <v>9241.7857142857138</v>
      </c>
      <c r="J129" s="68">
        <v>-7806.7415730337079</v>
      </c>
      <c r="K129" s="67">
        <v>0.13492063492063491</v>
      </c>
      <c r="L129" s="67">
        <v>8.7301587301587297E-2</v>
      </c>
      <c r="M129" s="67">
        <v>0.29942418426103645</v>
      </c>
      <c r="N129" s="67">
        <v>0.1765834932821497</v>
      </c>
      <c r="O129" s="67">
        <v>0.58333333333333337</v>
      </c>
      <c r="P129" s="67">
        <v>0.28804347826086957</v>
      </c>
      <c r="Q129" s="67">
        <v>0.42499999999999999</v>
      </c>
    </row>
    <row r="130" spans="1:17" x14ac:dyDescent="0.4">
      <c r="A130" s="69">
        <v>127</v>
      </c>
      <c r="B130" s="66">
        <v>-345.5</v>
      </c>
      <c r="C130" s="66">
        <v>-2.7204724409448819</v>
      </c>
      <c r="D130" s="71">
        <v>2.0866141732283463</v>
      </c>
      <c r="E130" s="67">
        <v>0.26771653543307089</v>
      </c>
      <c r="F130" s="67">
        <v>0.3543307086614173</v>
      </c>
      <c r="G130" s="67">
        <v>0.27186311787072243</v>
      </c>
      <c r="H130" s="67">
        <v>0.17015209125475286</v>
      </c>
      <c r="I130" s="68">
        <v>9320.279720279721</v>
      </c>
      <c r="J130" s="68">
        <v>-7768.7150837988829</v>
      </c>
      <c r="K130" s="67">
        <v>0.13385826771653545</v>
      </c>
      <c r="L130" s="67">
        <v>9.4488188976377951E-2</v>
      </c>
      <c r="M130" s="67">
        <v>0.30133079847908745</v>
      </c>
      <c r="N130" s="67">
        <v>0.17680608365019013</v>
      </c>
      <c r="O130" s="67">
        <v>0.58675078864353314</v>
      </c>
      <c r="P130" s="67">
        <v>0.29569892473118281</v>
      </c>
      <c r="Q130" s="67">
        <v>0.42307692307692307</v>
      </c>
    </row>
    <row r="131" spans="1:17" x14ac:dyDescent="0.4">
      <c r="A131" s="69">
        <v>128</v>
      </c>
      <c r="B131" s="66">
        <v>-355.2</v>
      </c>
      <c r="C131" s="66">
        <v>-2.7749999999999999</v>
      </c>
      <c r="D131" s="71">
        <v>2.0859375</v>
      </c>
      <c r="E131" s="67">
        <v>0.265625</v>
      </c>
      <c r="F131" s="67">
        <v>0.3515625</v>
      </c>
      <c r="G131" s="67">
        <v>0.27101038715769593</v>
      </c>
      <c r="H131" s="67">
        <v>0.16997167138810199</v>
      </c>
      <c r="I131" s="68">
        <v>9301.7421602787454</v>
      </c>
      <c r="J131" s="68">
        <v>-7768.333333333333</v>
      </c>
      <c r="K131" s="67">
        <v>0.1328125</v>
      </c>
      <c r="L131" s="67">
        <v>9.375E-2</v>
      </c>
      <c r="M131" s="67">
        <v>0.3002832861189802</v>
      </c>
      <c r="N131" s="67">
        <v>0.17658168083097261</v>
      </c>
      <c r="O131" s="67">
        <v>0.58805031446540879</v>
      </c>
      <c r="P131" s="67">
        <v>0.29411764705882354</v>
      </c>
      <c r="Q131" s="67">
        <v>0.42508710801393729</v>
      </c>
    </row>
    <row r="132" spans="1:17" x14ac:dyDescent="0.4">
      <c r="A132" s="69">
        <v>129</v>
      </c>
      <c r="B132" s="66">
        <v>-310.2</v>
      </c>
      <c r="C132" s="66">
        <v>-2.4046511627906977</v>
      </c>
      <c r="D132" s="71">
        <v>2.0775193798449614</v>
      </c>
      <c r="E132" s="67">
        <v>0.27131782945736432</v>
      </c>
      <c r="F132" s="67">
        <v>0.34883720930232559</v>
      </c>
      <c r="G132" s="67">
        <v>0.27272727272727271</v>
      </c>
      <c r="H132" s="67">
        <v>0.1696344892221181</v>
      </c>
      <c r="I132" s="68">
        <v>9275.94501718213</v>
      </c>
      <c r="J132" s="68">
        <v>-7754.1436464088401</v>
      </c>
      <c r="K132" s="67">
        <v>0.13178294573643412</v>
      </c>
      <c r="L132" s="67">
        <v>0.10077519379844961</v>
      </c>
      <c r="M132" s="67">
        <v>0.30178069353327086</v>
      </c>
      <c r="N132" s="67">
        <v>0.17619493908153702</v>
      </c>
      <c r="O132" s="67">
        <v>0.59316770186335399</v>
      </c>
      <c r="P132" s="67">
        <v>0.29255319148936171</v>
      </c>
      <c r="Q132" s="67">
        <v>0.42268041237113402</v>
      </c>
    </row>
    <row r="133" spans="1:17" x14ac:dyDescent="0.4">
      <c r="A133" s="69">
        <v>130</v>
      </c>
      <c r="B133" s="66">
        <v>-321</v>
      </c>
      <c r="C133" s="66">
        <v>-2.4692307692307693</v>
      </c>
      <c r="D133" s="71">
        <v>2.0769230769230771</v>
      </c>
      <c r="E133" s="67">
        <v>0.26923076923076922</v>
      </c>
      <c r="F133" s="67">
        <v>0.34615384615384615</v>
      </c>
      <c r="G133" s="67">
        <v>0.27298050139275765</v>
      </c>
      <c r="H133" s="67">
        <v>0.17270194986072424</v>
      </c>
      <c r="I133" s="68">
        <v>9268.7074829931971</v>
      </c>
      <c r="J133" s="68">
        <v>-7647.8494623655915</v>
      </c>
      <c r="K133" s="67">
        <v>0.13076923076923078</v>
      </c>
      <c r="L133" s="67">
        <v>0.1</v>
      </c>
      <c r="M133" s="67">
        <v>0.30083565459610029</v>
      </c>
      <c r="N133" s="67">
        <v>0.17548746518105848</v>
      </c>
      <c r="O133" s="67">
        <v>0.59567901234567899</v>
      </c>
      <c r="P133" s="67">
        <v>0.29629629629629628</v>
      </c>
      <c r="Q133" s="67">
        <v>0.42857142857142855</v>
      </c>
    </row>
    <row r="134" spans="1:17" x14ac:dyDescent="0.4">
      <c r="A134" s="69">
        <v>131</v>
      </c>
      <c r="B134" s="66">
        <v>-323.3</v>
      </c>
      <c r="C134" s="66">
        <v>-2.4679389312977098</v>
      </c>
      <c r="D134" s="71">
        <v>2.0763358778625953</v>
      </c>
      <c r="E134" s="67">
        <v>0.26717557251908397</v>
      </c>
      <c r="F134" s="67">
        <v>0.34351145038167941</v>
      </c>
      <c r="G134" s="67">
        <v>0.272140221402214</v>
      </c>
      <c r="H134" s="67">
        <v>0.17158671586715868</v>
      </c>
      <c r="I134" s="68">
        <v>9240.6779661016953</v>
      </c>
      <c r="J134" s="68">
        <v>-7647.8494623655915</v>
      </c>
      <c r="K134" s="67">
        <v>0.12977099236641221</v>
      </c>
      <c r="L134" s="67">
        <v>9.9236641221374045E-2</v>
      </c>
      <c r="M134" s="67">
        <v>0.2988929889298893</v>
      </c>
      <c r="N134" s="67">
        <v>0.17619926199261993</v>
      </c>
      <c r="O134" s="67">
        <v>0.59567901234567899</v>
      </c>
      <c r="P134" s="67">
        <v>0.29842931937172773</v>
      </c>
      <c r="Q134" s="67">
        <v>0.42711864406779659</v>
      </c>
    </row>
    <row r="135" spans="1:17" x14ac:dyDescent="0.4">
      <c r="A135" s="69">
        <v>132</v>
      </c>
      <c r="B135" s="66">
        <v>-347.8</v>
      </c>
      <c r="C135" s="66">
        <v>-2.6348484848484848</v>
      </c>
      <c r="D135" s="71">
        <v>2.0757575757575757</v>
      </c>
      <c r="E135" s="67">
        <v>0.26515151515151514</v>
      </c>
      <c r="F135" s="67">
        <v>0.34090909090909088</v>
      </c>
      <c r="G135" s="67">
        <v>0.27138914443422263</v>
      </c>
      <c r="H135" s="67">
        <v>0.17203311867525298</v>
      </c>
      <c r="I135" s="68">
        <v>9240.6779661016953</v>
      </c>
      <c r="J135" s="68">
        <v>-7671.1229946524063</v>
      </c>
      <c r="K135" s="67">
        <v>0.12878787878787878</v>
      </c>
      <c r="L135" s="67">
        <v>9.8484848484848481E-2</v>
      </c>
      <c r="M135" s="67">
        <v>0.29806807727690893</v>
      </c>
      <c r="N135" s="67">
        <v>0.17571297148114076</v>
      </c>
      <c r="O135" s="67">
        <v>0.59567901234567899</v>
      </c>
      <c r="P135" s="67">
        <v>0.29842931937172773</v>
      </c>
      <c r="Q135" s="67">
        <v>0.42711864406779659</v>
      </c>
    </row>
    <row r="136" spans="1:17" x14ac:dyDescent="0.4">
      <c r="A136" s="69">
        <v>133</v>
      </c>
      <c r="B136" s="66">
        <v>-403.7</v>
      </c>
      <c r="C136" s="66">
        <v>-3.0353383458646617</v>
      </c>
      <c r="D136" s="71">
        <v>2.0827067669172932</v>
      </c>
      <c r="E136" s="67">
        <v>0.26315789473684209</v>
      </c>
      <c r="F136" s="67">
        <v>0.34586466165413532</v>
      </c>
      <c r="G136" s="67">
        <v>0.26965265082266909</v>
      </c>
      <c r="H136" s="67">
        <v>0.17367458866544791</v>
      </c>
      <c r="I136" s="68">
        <v>9240.6779661016953</v>
      </c>
      <c r="J136" s="68">
        <v>-7700.5263157894733</v>
      </c>
      <c r="K136" s="67">
        <v>0.13533834586466165</v>
      </c>
      <c r="L136" s="67">
        <v>9.7744360902255634E-2</v>
      </c>
      <c r="M136" s="67">
        <v>0.29798903107861058</v>
      </c>
      <c r="N136" s="67">
        <v>0.17550274223034734</v>
      </c>
      <c r="O136" s="67">
        <v>0.59202453987730064</v>
      </c>
      <c r="P136" s="67">
        <v>0.296875</v>
      </c>
      <c r="Q136" s="67">
        <v>0.42711864406779659</v>
      </c>
    </row>
    <row r="137" spans="1:17" x14ac:dyDescent="0.4">
      <c r="A137" s="69">
        <v>134</v>
      </c>
      <c r="B137" s="66">
        <v>-341.2</v>
      </c>
      <c r="C137" s="66">
        <v>-2.5462686567164177</v>
      </c>
      <c r="D137" s="71">
        <v>2.0746268656716418</v>
      </c>
      <c r="E137" s="67">
        <v>0.26865671641791045</v>
      </c>
      <c r="F137" s="67">
        <v>0.34328358208955223</v>
      </c>
      <c r="G137" s="67">
        <v>0.27024567788899001</v>
      </c>
      <c r="H137" s="67">
        <v>0.17288444040036396</v>
      </c>
      <c r="I137" s="68">
        <v>9292.9292929292933</v>
      </c>
      <c r="J137" s="68">
        <v>-7700.5263157894733</v>
      </c>
      <c r="K137" s="67">
        <v>0.13432835820895522</v>
      </c>
      <c r="L137" s="67">
        <v>0.1044776119402985</v>
      </c>
      <c r="M137" s="67">
        <v>0.29936305732484075</v>
      </c>
      <c r="N137" s="67">
        <v>0.17561419472247497</v>
      </c>
      <c r="O137" s="67">
        <v>0.59270516717325228</v>
      </c>
      <c r="P137" s="67">
        <v>0.29533678756476683</v>
      </c>
      <c r="Q137" s="67">
        <v>0.42760942760942761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9CC82A-ED2E-4B31-B847-95951A37F7C4}">
  <sheetPr codeName="Sheet8"/>
  <dimension ref="A1:Q16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0.12</v>
      </c>
      <c r="G53" s="67">
        <v>0.41624365482233505</v>
      </c>
      <c r="H53" s="67">
        <v>0.14467005076142131</v>
      </c>
      <c r="I53" s="68">
        <v>9251.2195121951227</v>
      </c>
      <c r="J53" s="68">
        <v>-7889.4736842105267</v>
      </c>
      <c r="K53" s="67">
        <v>0.02</v>
      </c>
      <c r="L53" s="67">
        <v>0.22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0.11764705882352941</v>
      </c>
      <c r="G54" s="67">
        <v>0.41687344913151364</v>
      </c>
      <c r="H54" s="67">
        <v>0.14392059553349876</v>
      </c>
      <c r="I54" s="68">
        <v>9112.5</v>
      </c>
      <c r="J54" s="68">
        <v>-7960.3448275862065</v>
      </c>
      <c r="K54" s="67">
        <v>1.9607843137254902E-2</v>
      </c>
      <c r="L54" s="67">
        <v>0.21568627450980393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0.11538461538461539</v>
      </c>
      <c r="G55" s="67">
        <v>0.41445783132530123</v>
      </c>
      <c r="H55" s="67">
        <v>0.14216867469879518</v>
      </c>
      <c r="I55" s="68">
        <v>9091.2790697674427</v>
      </c>
      <c r="J55" s="68">
        <v>-7961.0169491525421</v>
      </c>
      <c r="K55" s="67">
        <v>1.9230769230769232E-2</v>
      </c>
      <c r="L55" s="67">
        <v>0.21153846153846154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  <row r="56" spans="1:17" x14ac:dyDescent="0.4">
      <c r="A56" s="69">
        <v>53</v>
      </c>
      <c r="B56" s="66">
        <v>1374.2</v>
      </c>
      <c r="C56" s="66">
        <v>25.928301886792454</v>
      </c>
      <c r="D56" s="71">
        <v>1.4905660377358489</v>
      </c>
      <c r="E56" s="67">
        <v>0.62264150943396224</v>
      </c>
      <c r="F56" s="67">
        <v>0.11320754716981132</v>
      </c>
      <c r="G56" s="67">
        <v>0.41706161137440756</v>
      </c>
      <c r="H56" s="67">
        <v>0.13981042654028436</v>
      </c>
      <c r="I56" s="68">
        <v>9131.818181818182</v>
      </c>
      <c r="J56" s="68">
        <v>-7961.0169491525421</v>
      </c>
      <c r="K56" s="67">
        <v>1.8867924528301886E-2</v>
      </c>
      <c r="L56" s="67">
        <v>0.22641509433962265</v>
      </c>
      <c r="M56" s="67">
        <v>0.33175355450236965</v>
      </c>
      <c r="N56" s="67">
        <v>0.24881516587677724</v>
      </c>
      <c r="O56" s="67">
        <v>0.6428571428571429</v>
      </c>
      <c r="P56" s="67">
        <v>0.56190476190476191</v>
      </c>
      <c r="Q56" s="67">
        <v>0.39204545454545453</v>
      </c>
    </row>
    <row r="57" spans="1:17" x14ac:dyDescent="0.4">
      <c r="A57" s="69">
        <v>54</v>
      </c>
      <c r="B57" s="66">
        <v>1316.2</v>
      </c>
      <c r="C57" s="66">
        <v>24.374074074074073</v>
      </c>
      <c r="D57" s="71">
        <v>1.5185185185185186</v>
      </c>
      <c r="E57" s="67">
        <v>0.61111111111111116</v>
      </c>
      <c r="F57" s="67">
        <v>0.12962962962962962</v>
      </c>
      <c r="G57" s="67">
        <v>0.41025641025641024</v>
      </c>
      <c r="H57" s="67">
        <v>0.14219114219114218</v>
      </c>
      <c r="I57" s="68">
        <v>9131.818181818182</v>
      </c>
      <c r="J57" s="68">
        <v>-7873.7704918032787</v>
      </c>
      <c r="K57" s="67">
        <v>3.7037037037037035E-2</v>
      </c>
      <c r="L57" s="67">
        <v>0.22222222222222221</v>
      </c>
      <c r="M57" s="67">
        <v>0.32867132867132864</v>
      </c>
      <c r="N57" s="67">
        <v>0.24475524475524477</v>
      </c>
      <c r="O57" s="67">
        <v>0.63829787234042556</v>
      </c>
      <c r="P57" s="67">
        <v>0.56190476190476191</v>
      </c>
      <c r="Q57" s="67">
        <v>0.39204545454545453</v>
      </c>
    </row>
    <row r="58" spans="1:17" x14ac:dyDescent="0.4">
      <c r="A58" s="69">
        <v>55</v>
      </c>
      <c r="B58" s="66">
        <v>1417.2</v>
      </c>
      <c r="C58" s="66">
        <v>25.767272727272729</v>
      </c>
      <c r="D58" s="71">
        <v>1.509090909090909</v>
      </c>
      <c r="E58" s="67">
        <v>0.61818181818181817</v>
      </c>
      <c r="F58" s="67">
        <v>0.12727272727272726</v>
      </c>
      <c r="G58" s="67">
        <v>0.41474654377880182</v>
      </c>
      <c r="H58" s="67">
        <v>0.14055299539170507</v>
      </c>
      <c r="I58" s="68">
        <v>9417.7777777777774</v>
      </c>
      <c r="J58" s="68">
        <v>-7873.7704918032787</v>
      </c>
      <c r="K58" s="67">
        <v>3.6363636363636362E-2</v>
      </c>
      <c r="L58" s="67">
        <v>0.23636363636363636</v>
      </c>
      <c r="M58" s="67">
        <v>0.33179723502304148</v>
      </c>
      <c r="N58" s="67">
        <v>0.24193548387096775</v>
      </c>
      <c r="O58" s="67">
        <v>0.64583333333333337</v>
      </c>
      <c r="P58" s="67">
        <v>0.56190476190476191</v>
      </c>
      <c r="Q58" s="67">
        <v>0.39444444444444443</v>
      </c>
    </row>
    <row r="59" spans="1:17" x14ac:dyDescent="0.4">
      <c r="A59" s="69">
        <v>56</v>
      </c>
      <c r="B59" s="66">
        <v>1510.1000000000001</v>
      </c>
      <c r="C59" s="66">
        <v>26.966071428571432</v>
      </c>
      <c r="D59" s="71">
        <v>1.5</v>
      </c>
      <c r="E59" s="67">
        <v>0.625</v>
      </c>
      <c r="F59" s="67">
        <v>0.125</v>
      </c>
      <c r="G59" s="67">
        <v>0.41723356009070295</v>
      </c>
      <c r="H59" s="67">
        <v>0.14058956916099774</v>
      </c>
      <c r="I59" s="68">
        <v>9617.391304347826</v>
      </c>
      <c r="J59" s="68">
        <v>-7875.8064516129034</v>
      </c>
      <c r="K59" s="67">
        <v>3.5714285714285712E-2</v>
      </c>
      <c r="L59" s="67">
        <v>0.25</v>
      </c>
      <c r="M59" s="67">
        <v>0.33333333333333331</v>
      </c>
      <c r="N59" s="67">
        <v>0.23809523809523808</v>
      </c>
      <c r="O59" s="67">
        <v>0.6462585034013606</v>
      </c>
      <c r="P59" s="67">
        <v>0.56190476190476191</v>
      </c>
      <c r="Q59" s="67">
        <v>0.40217391304347827</v>
      </c>
    </row>
    <row r="60" spans="1:17" x14ac:dyDescent="0.4">
      <c r="A60" s="69">
        <v>57</v>
      </c>
      <c r="B60" s="66">
        <v>1479.8000000000002</v>
      </c>
      <c r="C60" s="66">
        <v>25.961403508771934</v>
      </c>
      <c r="D60" s="71">
        <v>1.5263157894736843</v>
      </c>
      <c r="E60" s="67">
        <v>0.61403508771929827</v>
      </c>
      <c r="F60" s="67">
        <v>0.14035087719298245</v>
      </c>
      <c r="G60" s="67">
        <v>0.41425389755011138</v>
      </c>
      <c r="H60" s="67">
        <v>0.14031180400890869</v>
      </c>
      <c r="I60" s="68">
        <v>9576.8817204301067</v>
      </c>
      <c r="J60" s="68">
        <v>-7877.7777777777774</v>
      </c>
      <c r="K60" s="67">
        <v>3.5087719298245612E-2</v>
      </c>
      <c r="L60" s="67">
        <v>0.24561403508771928</v>
      </c>
      <c r="M60" s="67">
        <v>0.33407572383073497</v>
      </c>
      <c r="N60" s="67">
        <v>0.23830734966592429</v>
      </c>
      <c r="O60" s="67">
        <v>0.64</v>
      </c>
      <c r="P60" s="67">
        <v>0.56074766355140182</v>
      </c>
      <c r="Q60" s="67">
        <v>0.40322580645161288</v>
      </c>
    </row>
    <row r="61" spans="1:17" x14ac:dyDescent="0.4">
      <c r="A61" s="69">
        <v>58</v>
      </c>
      <c r="B61" s="66">
        <v>1509.2000000000003</v>
      </c>
      <c r="C61" s="66">
        <v>26.020689655172418</v>
      </c>
      <c r="D61" s="71">
        <v>1.5172413793103448</v>
      </c>
      <c r="E61" s="67">
        <v>0.62068965517241381</v>
      </c>
      <c r="F61" s="67">
        <v>0.13793103448275862</v>
      </c>
      <c r="G61" s="67">
        <v>0.41318681318681316</v>
      </c>
      <c r="H61" s="67">
        <v>0.14065934065934066</v>
      </c>
      <c r="I61" s="68">
        <v>9556.9148936170204</v>
      </c>
      <c r="J61" s="68">
        <v>-7785.9375</v>
      </c>
      <c r="K61" s="67">
        <v>3.4482758620689655E-2</v>
      </c>
      <c r="L61" s="67">
        <v>0.2413793103448276</v>
      </c>
      <c r="M61" s="67">
        <v>0.33186813186813185</v>
      </c>
      <c r="N61" s="67">
        <v>0.23956043956043957</v>
      </c>
      <c r="O61" s="67">
        <v>0.64238410596026485</v>
      </c>
      <c r="P61" s="67">
        <v>0.55963302752293576</v>
      </c>
      <c r="Q61" s="67">
        <v>0.40425531914893614</v>
      </c>
    </row>
    <row r="62" spans="1:17" x14ac:dyDescent="0.4">
      <c r="A62" s="69">
        <v>59</v>
      </c>
      <c r="B62" s="66">
        <v>1518.2000000000003</v>
      </c>
      <c r="C62" s="66">
        <v>25.732203389830513</v>
      </c>
      <c r="D62" s="71">
        <v>1.5254237288135593</v>
      </c>
      <c r="E62" s="67">
        <v>0.61016949152542377</v>
      </c>
      <c r="F62" s="67">
        <v>0.13559322033898305</v>
      </c>
      <c r="G62" s="67">
        <v>0.41304347826086957</v>
      </c>
      <c r="H62" s="67">
        <v>0.1391304347826087</v>
      </c>
      <c r="I62" s="68">
        <v>9561.5789473684217</v>
      </c>
      <c r="J62" s="68">
        <v>-7785.9375</v>
      </c>
      <c r="K62" s="67">
        <v>3.3898305084745763E-2</v>
      </c>
      <c r="L62" s="67">
        <v>0.23728813559322035</v>
      </c>
      <c r="M62" s="67">
        <v>0.32826086956521738</v>
      </c>
      <c r="N62" s="67">
        <v>0.2391304347826087</v>
      </c>
      <c r="O62" s="67">
        <v>0.64238410596026485</v>
      </c>
      <c r="P62" s="67">
        <v>0.5636363636363636</v>
      </c>
      <c r="Q62" s="67">
        <v>0.40526315789473683</v>
      </c>
    </row>
    <row r="63" spans="1:17" x14ac:dyDescent="0.4">
      <c r="A63" s="69">
        <v>60</v>
      </c>
      <c r="B63" s="66">
        <v>1549.0000000000002</v>
      </c>
      <c r="C63" s="66">
        <v>25.81666666666667</v>
      </c>
      <c r="D63" s="71">
        <v>1.5166666666666666</v>
      </c>
      <c r="E63" s="67">
        <v>0.6166666666666667</v>
      </c>
      <c r="F63" s="67">
        <v>0.13333333333333333</v>
      </c>
      <c r="G63" s="67">
        <v>0.41188959660297242</v>
      </c>
      <c r="H63" s="67">
        <v>0.13800424628450106</v>
      </c>
      <c r="I63" s="68">
        <v>9523.1958762886607</v>
      </c>
      <c r="J63" s="68">
        <v>-7740</v>
      </c>
      <c r="K63" s="67">
        <v>3.3333333333333333E-2</v>
      </c>
      <c r="L63" s="67">
        <v>0.23333333333333334</v>
      </c>
      <c r="M63" s="67">
        <v>0.32696390658174096</v>
      </c>
      <c r="N63" s="67">
        <v>0.24203821656050956</v>
      </c>
      <c r="O63" s="67">
        <v>0.63636363636363635</v>
      </c>
      <c r="P63" s="67">
        <v>0.57017543859649122</v>
      </c>
      <c r="Q63" s="67">
        <v>0.40206185567010311</v>
      </c>
    </row>
    <row r="64" spans="1:17" x14ac:dyDescent="0.4">
      <c r="A64" s="69">
        <v>61</v>
      </c>
      <c r="B64" s="66">
        <v>1585.4000000000003</v>
      </c>
      <c r="C64" s="66">
        <v>25.990163934426235</v>
      </c>
      <c r="D64" s="71">
        <v>1.5081967213114753</v>
      </c>
      <c r="E64" s="67">
        <v>0.62295081967213117</v>
      </c>
      <c r="F64" s="67">
        <v>0.13114754098360656</v>
      </c>
      <c r="G64" s="67">
        <v>0.41249999999999998</v>
      </c>
      <c r="H64" s="67">
        <v>0.13541666666666666</v>
      </c>
      <c r="I64" s="68">
        <v>9479.2929292929293</v>
      </c>
      <c r="J64" s="68">
        <v>-7740</v>
      </c>
      <c r="K64" s="67">
        <v>3.2786885245901641E-2</v>
      </c>
      <c r="L64" s="67">
        <v>0.22950819672131148</v>
      </c>
      <c r="M64" s="67">
        <v>0.33124999999999999</v>
      </c>
      <c r="N64" s="67">
        <v>0.23958333333333334</v>
      </c>
      <c r="O64" s="67">
        <v>0.62893081761006286</v>
      </c>
      <c r="P64" s="67">
        <v>0.57391304347826089</v>
      </c>
      <c r="Q64" s="67">
        <v>0.39898989898989901</v>
      </c>
    </row>
    <row r="65" spans="1:17" x14ac:dyDescent="0.4">
      <c r="A65" s="69">
        <v>62</v>
      </c>
      <c r="B65" s="66">
        <v>1624.9000000000003</v>
      </c>
      <c r="C65" s="66">
        <v>26.208064516129038</v>
      </c>
      <c r="D65" s="71">
        <v>1.5</v>
      </c>
      <c r="E65" s="67">
        <v>0.62903225806451613</v>
      </c>
      <c r="F65" s="67">
        <v>0.12903225806451613</v>
      </c>
      <c r="G65" s="67">
        <v>0.41308793456032722</v>
      </c>
      <c r="H65" s="67">
        <v>0.13701431492842536</v>
      </c>
      <c r="I65" s="68">
        <v>9495.5445544554459</v>
      </c>
      <c r="J65" s="68">
        <v>-7634.3283582089553</v>
      </c>
      <c r="K65" s="67">
        <v>3.2258064516129031E-2</v>
      </c>
      <c r="L65" s="67">
        <v>0.22580645161290322</v>
      </c>
      <c r="M65" s="67">
        <v>0.33537832310838445</v>
      </c>
      <c r="N65" s="67">
        <v>0.24130879345603273</v>
      </c>
      <c r="O65" s="67">
        <v>0.63414634146341464</v>
      </c>
      <c r="P65" s="67">
        <v>0.55932203389830504</v>
      </c>
      <c r="Q65" s="67">
        <v>0.39603960396039606</v>
      </c>
    </row>
    <row r="66" spans="1:17" x14ac:dyDescent="0.4">
      <c r="A66" s="69">
        <v>63</v>
      </c>
      <c r="B66" s="66">
        <v>1654.1000000000004</v>
      </c>
      <c r="C66" s="66">
        <v>26.25555555555556</v>
      </c>
      <c r="D66" s="71">
        <v>1.4920634920634921</v>
      </c>
      <c r="E66" s="67">
        <v>0.63492063492063489</v>
      </c>
      <c r="F66" s="67">
        <v>0.12698412698412698</v>
      </c>
      <c r="G66" s="67">
        <v>0.4088176352705411</v>
      </c>
      <c r="H66" s="67">
        <v>0.13827655310621242</v>
      </c>
      <c r="I66" s="68">
        <v>9479.4117647058829</v>
      </c>
      <c r="J66" s="68">
        <v>-7488.405797101449</v>
      </c>
      <c r="K66" s="67">
        <v>3.1746031746031744E-2</v>
      </c>
      <c r="L66" s="67">
        <v>0.22222222222222221</v>
      </c>
      <c r="M66" s="67">
        <v>0.33466933867735471</v>
      </c>
      <c r="N66" s="67">
        <v>0.24048096192384769</v>
      </c>
      <c r="O66" s="67">
        <v>0.6347305389221557</v>
      </c>
      <c r="P66" s="67">
        <v>0.55000000000000004</v>
      </c>
      <c r="Q66" s="67">
        <v>0.39215686274509803</v>
      </c>
    </row>
    <row r="67" spans="1:17" x14ac:dyDescent="0.4">
      <c r="A67" s="69">
        <v>64</v>
      </c>
      <c r="B67" s="66">
        <v>1629.3000000000004</v>
      </c>
      <c r="C67" s="66">
        <v>25.457812500000006</v>
      </c>
      <c r="D67" s="71">
        <v>1.5</v>
      </c>
      <c r="E67" s="67">
        <v>0.625</v>
      </c>
      <c r="F67" s="67">
        <v>0.125</v>
      </c>
      <c r="G67" s="67">
        <v>0.40471512770137524</v>
      </c>
      <c r="H67" s="67">
        <v>0.13948919449901767</v>
      </c>
      <c r="I67" s="68">
        <v>9418.9320388349515</v>
      </c>
      <c r="J67" s="68">
        <v>-7467.6056338028166</v>
      </c>
      <c r="K67" s="67">
        <v>3.125E-2</v>
      </c>
      <c r="L67" s="67">
        <v>0.21875</v>
      </c>
      <c r="M67" s="67">
        <v>0.33202357563850687</v>
      </c>
      <c r="N67" s="67">
        <v>0.24361493123772102</v>
      </c>
      <c r="O67" s="67">
        <v>0.62721893491124259</v>
      </c>
      <c r="P67" s="67">
        <v>0.54838709677419351</v>
      </c>
      <c r="Q67" s="67">
        <v>0.38834951456310679</v>
      </c>
    </row>
    <row r="68" spans="1:17" x14ac:dyDescent="0.4">
      <c r="A68" s="69">
        <v>65</v>
      </c>
      <c r="B68" s="66">
        <v>1626.5000000000005</v>
      </c>
      <c r="C68" s="66">
        <v>25.023076923076928</v>
      </c>
      <c r="D68" s="71">
        <v>1.5076923076923077</v>
      </c>
      <c r="E68" s="67">
        <v>0.61538461538461542</v>
      </c>
      <c r="F68" s="67">
        <v>0.12307692307692308</v>
      </c>
      <c r="G68" s="67">
        <v>0.40115163147792704</v>
      </c>
      <c r="H68" s="67">
        <v>0.14011516314779271</v>
      </c>
      <c r="I68" s="68">
        <v>9417.7033492822975</v>
      </c>
      <c r="J68" s="68">
        <v>-7619.178082191781</v>
      </c>
      <c r="K68" s="67">
        <v>3.0769230769230771E-2</v>
      </c>
      <c r="L68" s="67">
        <v>0.2153846153846154</v>
      </c>
      <c r="M68" s="67">
        <v>0.33013435700575816</v>
      </c>
      <c r="N68" s="67">
        <v>0.2456813819577735</v>
      </c>
      <c r="O68" s="67">
        <v>0.62209302325581395</v>
      </c>
      <c r="P68" s="67">
        <v>0.546875</v>
      </c>
      <c r="Q68" s="67">
        <v>0.39712918660287083</v>
      </c>
    </row>
    <row r="69" spans="1:17" x14ac:dyDescent="0.4">
      <c r="A69" s="69">
        <v>66</v>
      </c>
      <c r="B69" s="66">
        <v>1565.4000000000005</v>
      </c>
      <c r="C69" s="66">
        <v>23.718181818181826</v>
      </c>
      <c r="D69" s="71">
        <v>1.5303030303030303</v>
      </c>
      <c r="E69" s="67">
        <v>0.60606060606060608</v>
      </c>
      <c r="F69" s="67">
        <v>0.13636363636363635</v>
      </c>
      <c r="G69" s="67">
        <v>0.40227703984819735</v>
      </c>
      <c r="H69" s="67">
        <v>0.14231499051233396</v>
      </c>
      <c r="I69" s="68">
        <v>9373.5849056603765</v>
      </c>
      <c r="J69" s="68">
        <v>-8162.666666666667</v>
      </c>
      <c r="K69" s="67">
        <v>4.5454545454545456E-2</v>
      </c>
      <c r="L69" s="67">
        <v>0.21212121212121213</v>
      </c>
      <c r="M69" s="67">
        <v>0.33206831119544594</v>
      </c>
      <c r="N69" s="67">
        <v>0.24478178368121442</v>
      </c>
      <c r="O69" s="67">
        <v>0.62285714285714289</v>
      </c>
      <c r="P69" s="67">
        <v>0.54263565891472865</v>
      </c>
      <c r="Q69" s="67">
        <v>0.40094339622641512</v>
      </c>
    </row>
    <row r="70" spans="1:17" x14ac:dyDescent="0.4">
      <c r="A70" s="69">
        <v>67</v>
      </c>
      <c r="B70" s="66">
        <v>1610.8000000000006</v>
      </c>
      <c r="C70" s="66">
        <v>24.041791044776129</v>
      </c>
      <c r="D70" s="71">
        <v>1.5223880597014925</v>
      </c>
      <c r="E70" s="67">
        <v>0.61194029850746268</v>
      </c>
      <c r="F70" s="67">
        <v>0.13432835820895522</v>
      </c>
      <c r="G70" s="67">
        <v>0.40262172284644193</v>
      </c>
      <c r="H70" s="67">
        <v>0.1404494382022472</v>
      </c>
      <c r="I70" s="68">
        <v>9379.0697674418607</v>
      </c>
      <c r="J70" s="68">
        <v>-8162.666666666667</v>
      </c>
      <c r="K70" s="67">
        <v>4.4776119402985072E-2</v>
      </c>
      <c r="L70" s="67">
        <v>0.20895522388059701</v>
      </c>
      <c r="M70" s="67">
        <v>0.33146067415730335</v>
      </c>
      <c r="N70" s="67">
        <v>0.24531835205992508</v>
      </c>
      <c r="O70" s="67">
        <v>0.6271186440677966</v>
      </c>
      <c r="P70" s="67">
        <v>0.5419847328244275</v>
      </c>
      <c r="Q70" s="67">
        <v>0.40465116279069768</v>
      </c>
    </row>
    <row r="71" spans="1:17" x14ac:dyDescent="0.4">
      <c r="A71" s="69">
        <v>68</v>
      </c>
      <c r="B71" s="66">
        <v>1572.8000000000006</v>
      </c>
      <c r="C71" s="66">
        <v>23.129411764705893</v>
      </c>
      <c r="D71" s="71">
        <v>1.5441176470588236</v>
      </c>
      <c r="E71" s="67">
        <v>0.6029411764705882</v>
      </c>
      <c r="F71" s="67">
        <v>0.14705882352941177</v>
      </c>
      <c r="G71" s="67">
        <v>0.39926062846580407</v>
      </c>
      <c r="H71" s="67">
        <v>0.14417744916820702</v>
      </c>
      <c r="I71" s="68">
        <v>9372.6851851851843</v>
      </c>
      <c r="J71" s="68">
        <v>-8152.5641025641025</v>
      </c>
      <c r="K71" s="67">
        <v>4.4117647058823532E-2</v>
      </c>
      <c r="L71" s="67">
        <v>0.20588235294117646</v>
      </c>
      <c r="M71" s="67">
        <v>0.33086876155268025</v>
      </c>
      <c r="N71" s="67">
        <v>0.24399260628465805</v>
      </c>
      <c r="O71" s="67">
        <v>0.62011173184357538</v>
      </c>
      <c r="P71" s="67">
        <v>0.53787878787878785</v>
      </c>
      <c r="Q71" s="67">
        <v>0.40277777777777779</v>
      </c>
    </row>
    <row r="72" spans="1:17" x14ac:dyDescent="0.4">
      <c r="A72" s="69">
        <v>69</v>
      </c>
      <c r="B72" s="66">
        <v>1572.3000000000006</v>
      </c>
      <c r="C72" s="66">
        <v>22.786956521739139</v>
      </c>
      <c r="D72" s="71">
        <v>1.5507246376811594</v>
      </c>
      <c r="E72" s="67">
        <v>0.59420289855072461</v>
      </c>
      <c r="F72" s="67">
        <v>0.14492753623188406</v>
      </c>
      <c r="G72" s="67">
        <v>0.39745916515426499</v>
      </c>
      <c r="H72" s="67">
        <v>0.14700544464609799</v>
      </c>
      <c r="I72" s="68">
        <v>9390.4109589041091</v>
      </c>
      <c r="J72" s="68">
        <v>-8043.2098765432102</v>
      </c>
      <c r="K72" s="67">
        <v>4.3478260869565216E-2</v>
      </c>
      <c r="L72" s="67">
        <v>0.20289855072463769</v>
      </c>
      <c r="M72" s="67">
        <v>0.33030852994555354</v>
      </c>
      <c r="N72" s="67">
        <v>0.24319419237749546</v>
      </c>
      <c r="O72" s="67">
        <v>0.61538461538461542</v>
      </c>
      <c r="P72" s="67">
        <v>0.53731343283582089</v>
      </c>
      <c r="Q72" s="67">
        <v>0.40182648401826482</v>
      </c>
    </row>
    <row r="73" spans="1:17" x14ac:dyDescent="0.4">
      <c r="A73" s="69">
        <v>70</v>
      </c>
      <c r="B73" s="66">
        <v>1598.9000000000005</v>
      </c>
      <c r="C73" s="66">
        <v>22.84142857142858</v>
      </c>
      <c r="D73" s="71">
        <v>1.5428571428571429</v>
      </c>
      <c r="E73" s="67">
        <v>0.6</v>
      </c>
      <c r="F73" s="67">
        <v>0.14285714285714285</v>
      </c>
      <c r="G73" s="67">
        <v>0.39784946236559138</v>
      </c>
      <c r="H73" s="67">
        <v>0.14516129032258066</v>
      </c>
      <c r="I73" s="68">
        <v>9341.8918918918916</v>
      </c>
      <c r="J73" s="68">
        <v>-8043.2098765432102</v>
      </c>
      <c r="K73" s="67">
        <v>4.2857142857142858E-2</v>
      </c>
      <c r="L73" s="67">
        <v>0.2</v>
      </c>
      <c r="M73" s="67">
        <v>0.32974910394265233</v>
      </c>
      <c r="N73" s="67">
        <v>0.24731182795698925</v>
      </c>
      <c r="O73" s="67">
        <v>0.61956521739130432</v>
      </c>
      <c r="P73" s="67">
        <v>0.52898550724637683</v>
      </c>
      <c r="Q73" s="67">
        <v>0.40090090090090091</v>
      </c>
    </row>
    <row r="74" spans="1:17" x14ac:dyDescent="0.4">
      <c r="A74" s="69">
        <v>71</v>
      </c>
      <c r="B74" s="66">
        <v>1644.6000000000006</v>
      </c>
      <c r="C74" s="66">
        <v>23.163380281690149</v>
      </c>
      <c r="D74" s="71">
        <v>1.5352112676056338</v>
      </c>
      <c r="E74" s="67">
        <v>0.60563380281690138</v>
      </c>
      <c r="F74" s="67">
        <v>0.14084507042253522</v>
      </c>
      <c r="G74" s="67">
        <v>0.3985890652557319</v>
      </c>
      <c r="H74" s="67">
        <v>0.14638447971781304</v>
      </c>
      <c r="I74" s="68">
        <v>9378.7610619469033</v>
      </c>
      <c r="J74" s="68">
        <v>-7969.8795180722891</v>
      </c>
      <c r="K74" s="67">
        <v>4.2253521126760563E-2</v>
      </c>
      <c r="L74" s="67">
        <v>0.19718309859154928</v>
      </c>
      <c r="M74" s="67">
        <v>0.33156966490299822</v>
      </c>
      <c r="N74" s="67">
        <v>0.24514991181657847</v>
      </c>
      <c r="O74" s="67">
        <v>0.62234042553191493</v>
      </c>
      <c r="P74" s="67">
        <v>0.53237410071942448</v>
      </c>
      <c r="Q74" s="67">
        <v>0.41150442477876104</v>
      </c>
    </row>
    <row r="75" spans="1:17" x14ac:dyDescent="0.4">
      <c r="A75" s="69">
        <v>72</v>
      </c>
      <c r="B75" s="66">
        <v>1587.8000000000006</v>
      </c>
      <c r="C75" s="66">
        <v>22.052777777777788</v>
      </c>
      <c r="D75" s="71">
        <v>1.5555555555555556</v>
      </c>
      <c r="E75" s="67">
        <v>0.59722222222222221</v>
      </c>
      <c r="F75" s="67">
        <v>0.15277777777777779</v>
      </c>
      <c r="G75" s="67">
        <v>0.39721254355400698</v>
      </c>
      <c r="H75" s="67">
        <v>0.1480836236933798</v>
      </c>
      <c r="I75" s="68">
        <v>9339.0350877192977</v>
      </c>
      <c r="J75" s="68">
        <v>-8017.6470588235297</v>
      </c>
      <c r="K75" s="67">
        <v>5.5555555555555552E-2</v>
      </c>
      <c r="L75" s="67">
        <v>0.19444444444444445</v>
      </c>
      <c r="M75" s="67">
        <v>0.32752613240418116</v>
      </c>
      <c r="N75" s="67">
        <v>0.24738675958188153</v>
      </c>
      <c r="O75" s="67">
        <v>0.62234042553191493</v>
      </c>
      <c r="P75" s="67">
        <v>0.53521126760563376</v>
      </c>
      <c r="Q75" s="67">
        <v>0.40789473684210525</v>
      </c>
    </row>
    <row r="76" spans="1:17" x14ac:dyDescent="0.4">
      <c r="A76" s="69">
        <v>73</v>
      </c>
      <c r="B76" s="66">
        <v>1588.9000000000005</v>
      </c>
      <c r="C76" s="66">
        <v>21.765753424657543</v>
      </c>
      <c r="D76" s="71">
        <v>1.5616438356164384</v>
      </c>
      <c r="E76" s="67">
        <v>0.58904109589041098</v>
      </c>
      <c r="F76" s="67">
        <v>0.15068493150684931</v>
      </c>
      <c r="G76" s="67">
        <v>0.39451114922813035</v>
      </c>
      <c r="H76" s="67">
        <v>0.14579759862778729</v>
      </c>
      <c r="I76" s="68">
        <v>9301.7391304347821</v>
      </c>
      <c r="J76" s="68">
        <v>-8017.6470588235297</v>
      </c>
      <c r="K76" s="67">
        <v>5.4794520547945202E-2</v>
      </c>
      <c r="L76" s="67">
        <v>0.19178082191780821</v>
      </c>
      <c r="M76" s="67">
        <v>0.32590051457975988</v>
      </c>
      <c r="N76" s="67">
        <v>0.24699828473413379</v>
      </c>
      <c r="O76" s="67">
        <v>0.62105263157894741</v>
      </c>
      <c r="P76" s="67">
        <v>0.53472222222222221</v>
      </c>
      <c r="Q76" s="67">
        <v>0.40869565217391307</v>
      </c>
    </row>
    <row r="77" spans="1:17" x14ac:dyDescent="0.4">
      <c r="A77" s="69">
        <v>74</v>
      </c>
      <c r="B77" s="66">
        <v>1553.8000000000006</v>
      </c>
      <c r="C77" s="66">
        <v>20.997297297297305</v>
      </c>
      <c r="D77" s="71">
        <v>1.5810810810810811</v>
      </c>
      <c r="E77" s="67">
        <v>0.58108108108108103</v>
      </c>
      <c r="F77" s="67">
        <v>0.16216216216216217</v>
      </c>
      <c r="G77" s="67">
        <v>0.39225589225589225</v>
      </c>
      <c r="H77" s="67">
        <v>0.14814814814814814</v>
      </c>
      <c r="I77" s="68">
        <v>9315.8798283261804</v>
      </c>
      <c r="J77" s="68">
        <v>-8011.363636363636</v>
      </c>
      <c r="K77" s="67">
        <v>5.4054054054054057E-2</v>
      </c>
      <c r="L77" s="67">
        <v>0.1891891891891892</v>
      </c>
      <c r="M77" s="67">
        <v>0.32491582491582494</v>
      </c>
      <c r="N77" s="67">
        <v>0.24410774410774411</v>
      </c>
      <c r="O77" s="67">
        <v>0.62176165803108807</v>
      </c>
      <c r="P77" s="67">
        <v>0.53103448275862064</v>
      </c>
      <c r="Q77" s="67">
        <v>0.41630901287553645</v>
      </c>
    </row>
    <row r="78" spans="1:17" x14ac:dyDescent="0.4">
      <c r="A78" s="69">
        <v>75</v>
      </c>
      <c r="B78" s="66">
        <v>1496.5000000000007</v>
      </c>
      <c r="C78" s="66">
        <v>19.953333333333344</v>
      </c>
      <c r="D78" s="71">
        <v>1.6</v>
      </c>
      <c r="E78" s="67">
        <v>0.57333333333333336</v>
      </c>
      <c r="F78" s="67">
        <v>0.17333333333333334</v>
      </c>
      <c r="G78" s="67">
        <v>0.38833333333333331</v>
      </c>
      <c r="H78" s="67">
        <v>0.14833333333333334</v>
      </c>
      <c r="I78" s="68">
        <v>9315.8798283261804</v>
      </c>
      <c r="J78" s="68">
        <v>-8123.5955056179773</v>
      </c>
      <c r="K78" s="67">
        <v>6.6666666666666666E-2</v>
      </c>
      <c r="L78" s="67">
        <v>0.18666666666666668</v>
      </c>
      <c r="M78" s="67">
        <v>0.32666666666666666</v>
      </c>
      <c r="N78" s="67">
        <v>0.24166666666666667</v>
      </c>
      <c r="O78" s="67">
        <v>0.61224489795918369</v>
      </c>
      <c r="P78" s="67">
        <v>0.53103448275862064</v>
      </c>
      <c r="Q78" s="67">
        <v>0.41630901287553645</v>
      </c>
    </row>
    <row r="79" spans="1:17" x14ac:dyDescent="0.4">
      <c r="A79" s="69">
        <v>76</v>
      </c>
      <c r="B79" s="66">
        <v>1535.1000000000006</v>
      </c>
      <c r="C79" s="66">
        <v>20.198684210526324</v>
      </c>
      <c r="D79" s="71">
        <v>1.5921052631578947</v>
      </c>
      <c r="E79" s="67">
        <v>0.57894736842105265</v>
      </c>
      <c r="F79" s="67">
        <v>0.17105263157894737</v>
      </c>
      <c r="G79" s="67">
        <v>0.38952536824877249</v>
      </c>
      <c r="H79" s="67">
        <v>0.15057283142389524</v>
      </c>
      <c r="I79" s="68">
        <v>9328.5714285714294</v>
      </c>
      <c r="J79" s="68">
        <v>-8146.739130434783</v>
      </c>
      <c r="K79" s="67">
        <v>6.5789473684210523E-2</v>
      </c>
      <c r="L79" s="67">
        <v>0.18421052631578946</v>
      </c>
      <c r="M79" s="67">
        <v>0.32733224222585927</v>
      </c>
      <c r="N79" s="67">
        <v>0.24058919803600654</v>
      </c>
      <c r="O79" s="67">
        <v>0.61499999999999999</v>
      </c>
      <c r="P79" s="67">
        <v>0.5374149659863946</v>
      </c>
      <c r="Q79" s="67">
        <v>0.42016806722689076</v>
      </c>
    </row>
    <row r="80" spans="1:17" x14ac:dyDescent="0.4">
      <c r="A80" s="69">
        <v>77</v>
      </c>
      <c r="B80" s="66">
        <v>1496.5000000000007</v>
      </c>
      <c r="C80" s="66">
        <v>19.435064935064943</v>
      </c>
      <c r="D80" s="71">
        <v>1.6103896103896105</v>
      </c>
      <c r="E80" s="67">
        <v>0.5714285714285714</v>
      </c>
      <c r="F80" s="67">
        <v>0.18181818181818182</v>
      </c>
      <c r="G80" s="67">
        <v>0.38834951456310679</v>
      </c>
      <c r="H80" s="67">
        <v>0.15372168284789645</v>
      </c>
      <c r="I80" s="68">
        <v>9280.8333333333339</v>
      </c>
      <c r="J80" s="68">
        <v>-8063.1578947368425</v>
      </c>
      <c r="K80" s="67">
        <v>6.4935064935064929E-2</v>
      </c>
      <c r="L80" s="67">
        <v>0.18181818181818182</v>
      </c>
      <c r="M80" s="67">
        <v>0.32847896440129448</v>
      </c>
      <c r="N80" s="67">
        <v>0.24110032362459546</v>
      </c>
      <c r="O80" s="67">
        <v>0.61083743842364535</v>
      </c>
      <c r="P80" s="67">
        <v>0.53691275167785235</v>
      </c>
      <c r="Q80" s="67">
        <v>0.41666666666666669</v>
      </c>
    </row>
    <row r="81" spans="1:17" x14ac:dyDescent="0.4">
      <c r="A81" s="69">
        <v>78</v>
      </c>
      <c r="B81" s="66">
        <v>1534.7000000000007</v>
      </c>
      <c r="C81" s="66">
        <v>19.675641025641035</v>
      </c>
      <c r="D81" s="71">
        <v>1.6025641025641026</v>
      </c>
      <c r="E81" s="67">
        <v>0.57692307692307687</v>
      </c>
      <c r="F81" s="67">
        <v>0.17948717948717949</v>
      </c>
      <c r="G81" s="67">
        <v>0.38879999999999998</v>
      </c>
      <c r="H81" s="67">
        <v>0.1552</v>
      </c>
      <c r="I81" s="68">
        <v>9297.9423868312751</v>
      </c>
      <c r="J81" s="68">
        <v>-8006.1855670103096</v>
      </c>
      <c r="K81" s="67">
        <v>6.4102564102564097E-2</v>
      </c>
      <c r="L81" s="67">
        <v>0.17948717948717949</v>
      </c>
      <c r="M81" s="67">
        <v>0.32800000000000001</v>
      </c>
      <c r="N81" s="67">
        <v>0.24</v>
      </c>
      <c r="O81" s="67">
        <v>0.61463414634146341</v>
      </c>
      <c r="P81" s="67">
        <v>0.54</v>
      </c>
      <c r="Q81" s="67">
        <v>0.41975308641975306</v>
      </c>
    </row>
    <row r="82" spans="1:17" x14ac:dyDescent="0.4">
      <c r="A82" s="69">
        <v>79</v>
      </c>
      <c r="B82" s="66">
        <v>1485.0000000000007</v>
      </c>
      <c r="C82" s="66">
        <v>18.797468354430389</v>
      </c>
      <c r="D82" s="71">
        <v>1.620253164556962</v>
      </c>
      <c r="E82" s="67">
        <v>0.569620253164557</v>
      </c>
      <c r="F82" s="67">
        <v>0.189873417721519</v>
      </c>
      <c r="G82" s="67">
        <v>0.3854660347551343</v>
      </c>
      <c r="H82" s="67">
        <v>0.16113744075829384</v>
      </c>
      <c r="I82" s="68">
        <v>9309.0163934426237</v>
      </c>
      <c r="J82" s="68">
        <v>-7916.666666666667</v>
      </c>
      <c r="K82" s="67">
        <v>6.3291139240506333E-2</v>
      </c>
      <c r="L82" s="67">
        <v>0.17721518987341772</v>
      </c>
      <c r="M82" s="67">
        <v>0.33175355450236965</v>
      </c>
      <c r="N82" s="67">
        <v>0.23854660347551343</v>
      </c>
      <c r="O82" s="67">
        <v>0.60476190476190472</v>
      </c>
      <c r="P82" s="67">
        <v>0.53642384105960261</v>
      </c>
      <c r="Q82" s="67">
        <v>0.42213114754098363</v>
      </c>
    </row>
    <row r="83" spans="1:17" x14ac:dyDescent="0.4">
      <c r="A83" s="69">
        <v>80</v>
      </c>
      <c r="B83" s="66">
        <v>1482.0000000000007</v>
      </c>
      <c r="C83" s="66">
        <v>18.525000000000009</v>
      </c>
      <c r="D83" s="71">
        <v>1.625</v>
      </c>
      <c r="E83" s="67">
        <v>0.5625</v>
      </c>
      <c r="F83" s="67">
        <v>0.1875</v>
      </c>
      <c r="G83" s="67">
        <v>0.38377535101404059</v>
      </c>
      <c r="H83" s="67">
        <v>0.15912636505460218</v>
      </c>
      <c r="I83" s="68">
        <v>9298.3739837398371</v>
      </c>
      <c r="J83" s="68">
        <v>-7916.666666666667</v>
      </c>
      <c r="K83" s="67">
        <v>6.25E-2</v>
      </c>
      <c r="L83" s="67">
        <v>0.17499999999999999</v>
      </c>
      <c r="M83" s="67">
        <v>0.33073322932917315</v>
      </c>
      <c r="N83" s="67">
        <v>0.23712948517940718</v>
      </c>
      <c r="O83" s="67">
        <v>0.60377358490566035</v>
      </c>
      <c r="P83" s="67">
        <v>0.53289473684210531</v>
      </c>
      <c r="Q83" s="67">
        <v>0.42682926829268292</v>
      </c>
    </row>
    <row r="84" spans="1:17" x14ac:dyDescent="0.4">
      <c r="A84" s="69">
        <v>81</v>
      </c>
      <c r="B84" s="66">
        <v>1523.8000000000006</v>
      </c>
      <c r="C84" s="66">
        <v>18.812345679012353</v>
      </c>
      <c r="D84" s="71">
        <v>1.617283950617284</v>
      </c>
      <c r="E84" s="67">
        <v>0.5679012345679012</v>
      </c>
      <c r="F84" s="67">
        <v>0.18518518518518517</v>
      </c>
      <c r="G84" s="67">
        <v>0.38520801232665641</v>
      </c>
      <c r="H84" s="67">
        <v>0.15716486902927582</v>
      </c>
      <c r="I84" s="68">
        <v>9252.7999999999993</v>
      </c>
      <c r="J84" s="68">
        <v>-7916.666666666667</v>
      </c>
      <c r="K84" s="67">
        <v>6.1728395061728392E-2</v>
      </c>
      <c r="L84" s="67">
        <v>0.1728395061728395</v>
      </c>
      <c r="M84" s="67">
        <v>0.33127889060092452</v>
      </c>
      <c r="N84" s="67">
        <v>0.23728813559322035</v>
      </c>
      <c r="O84" s="67">
        <v>0.6093023255813953</v>
      </c>
      <c r="P84" s="67">
        <v>0.53246753246753242</v>
      </c>
      <c r="Q84" s="67">
        <v>0.432</v>
      </c>
    </row>
    <row r="85" spans="1:17" x14ac:dyDescent="0.4">
      <c r="A85" s="69">
        <v>82</v>
      </c>
      <c r="B85" s="66">
        <v>1552.2000000000007</v>
      </c>
      <c r="C85" s="66">
        <v>18.929268292682934</v>
      </c>
      <c r="D85" s="71">
        <v>1.6097560975609757</v>
      </c>
      <c r="E85" s="67">
        <v>0.57317073170731703</v>
      </c>
      <c r="F85" s="67">
        <v>0.18292682926829268</v>
      </c>
      <c r="G85" s="67">
        <v>0.38426626323751889</v>
      </c>
      <c r="H85" s="67">
        <v>0.15582450832072617</v>
      </c>
      <c r="I85" s="68">
        <v>9214.5669291338581</v>
      </c>
      <c r="J85" s="68">
        <v>-7877.6699029126212</v>
      </c>
      <c r="K85" s="67">
        <v>6.097560975609756E-2</v>
      </c>
      <c r="L85" s="67">
        <v>0.17073170731707318</v>
      </c>
      <c r="M85" s="67">
        <v>0.32980332829046899</v>
      </c>
      <c r="N85" s="67">
        <v>0.23449319213313161</v>
      </c>
      <c r="O85" s="67">
        <v>0.61009174311926606</v>
      </c>
      <c r="P85" s="67">
        <v>0.53548387096774197</v>
      </c>
      <c r="Q85" s="67">
        <v>0.43307086614173229</v>
      </c>
    </row>
    <row r="86" spans="1:17" x14ac:dyDescent="0.4">
      <c r="A86" s="69">
        <v>83</v>
      </c>
      <c r="B86" s="66">
        <v>1511.9000000000008</v>
      </c>
      <c r="C86" s="66">
        <v>18.215662650602418</v>
      </c>
      <c r="D86" s="71">
        <v>1.6265060240963856</v>
      </c>
      <c r="E86" s="67">
        <v>0.5662650602409639</v>
      </c>
      <c r="F86" s="67">
        <v>0.19277108433734941</v>
      </c>
      <c r="G86" s="67">
        <v>0.3811659192825112</v>
      </c>
      <c r="H86" s="67">
        <v>0.15844544095665172</v>
      </c>
      <c r="I86" s="68">
        <v>9193.7254901960787</v>
      </c>
      <c r="J86" s="68">
        <v>-7866.0377358490568</v>
      </c>
      <c r="K86" s="67">
        <v>6.0240963855421686E-2</v>
      </c>
      <c r="L86" s="67">
        <v>0.16867469879518071</v>
      </c>
      <c r="M86" s="67">
        <v>0.33183856502242154</v>
      </c>
      <c r="N86" s="67">
        <v>0.23168908819133036</v>
      </c>
      <c r="O86" s="67">
        <v>0.60360360360360366</v>
      </c>
      <c r="P86" s="67">
        <v>0.53548387096774197</v>
      </c>
      <c r="Q86" s="67">
        <v>0.43137254901960786</v>
      </c>
    </row>
    <row r="87" spans="1:17" x14ac:dyDescent="0.4">
      <c r="A87" s="69">
        <v>84</v>
      </c>
      <c r="B87" s="66">
        <v>1510.6000000000008</v>
      </c>
      <c r="C87" s="66">
        <v>17.983333333333341</v>
      </c>
      <c r="D87" s="71">
        <v>1.6309523809523809</v>
      </c>
      <c r="E87" s="67">
        <v>0.55952380952380953</v>
      </c>
      <c r="F87" s="67">
        <v>0.19047619047619047</v>
      </c>
      <c r="G87" s="67">
        <v>0.37997054491899851</v>
      </c>
      <c r="H87" s="67">
        <v>0.16053019145802652</v>
      </c>
      <c r="I87" s="68">
        <v>9200.3875968992252</v>
      </c>
      <c r="J87" s="68">
        <v>-7829.3577981651379</v>
      </c>
      <c r="K87" s="67">
        <v>5.9523809523809521E-2</v>
      </c>
      <c r="L87" s="67">
        <v>0.16666666666666666</v>
      </c>
      <c r="M87" s="67">
        <v>0.33431516936671574</v>
      </c>
      <c r="N87" s="67">
        <v>0.22827687776141384</v>
      </c>
      <c r="O87" s="67">
        <v>0.59471365638766516</v>
      </c>
      <c r="P87" s="67">
        <v>0.53548387096774197</v>
      </c>
      <c r="Q87" s="67">
        <v>0.43023255813953487</v>
      </c>
    </row>
    <row r="88" spans="1:17" x14ac:dyDescent="0.4">
      <c r="A88" s="69">
        <v>85</v>
      </c>
      <c r="B88" s="66">
        <v>1566.5000000000009</v>
      </c>
      <c r="C88" s="66">
        <v>18.429411764705893</v>
      </c>
      <c r="D88" s="71">
        <v>1.6235294117647059</v>
      </c>
      <c r="E88" s="67">
        <v>0.56470588235294117</v>
      </c>
      <c r="F88" s="67">
        <v>0.18823529411764706</v>
      </c>
      <c r="G88" s="67">
        <v>0.3808139534883721</v>
      </c>
      <c r="H88" s="67">
        <v>0.15988372093023256</v>
      </c>
      <c r="I88" s="68">
        <v>9214.5038167938928</v>
      </c>
      <c r="J88" s="68">
        <v>-7781.818181818182</v>
      </c>
      <c r="K88" s="67">
        <v>5.8823529411764705E-2</v>
      </c>
      <c r="L88" s="67">
        <v>0.17647058823529413</v>
      </c>
      <c r="M88" s="67">
        <v>0.33575581395348836</v>
      </c>
      <c r="N88" s="67">
        <v>0.23110465116279069</v>
      </c>
      <c r="O88" s="67">
        <v>0.59307359307359309</v>
      </c>
      <c r="P88" s="67">
        <v>0.53459119496855345</v>
      </c>
      <c r="Q88" s="67">
        <v>0.43129770992366412</v>
      </c>
    </row>
    <row r="89" spans="1:17" x14ac:dyDescent="0.4">
      <c r="A89" s="69">
        <v>86</v>
      </c>
      <c r="B89" s="66">
        <v>1610.200000000001</v>
      </c>
      <c r="C89" s="66">
        <v>18.7232558139535</v>
      </c>
      <c r="D89" s="71">
        <v>1.6162790697674418</v>
      </c>
      <c r="E89" s="67">
        <v>0.56976744186046513</v>
      </c>
      <c r="F89" s="67">
        <v>0.18604651162790697</v>
      </c>
      <c r="G89" s="67">
        <v>0.38218390804597702</v>
      </c>
      <c r="H89" s="67">
        <v>0.15948275862068967</v>
      </c>
      <c r="I89" s="68">
        <v>9200.7518796992481</v>
      </c>
      <c r="J89" s="68">
        <v>-7783.7837837837842</v>
      </c>
      <c r="K89" s="67">
        <v>5.8139534883720929E-2</v>
      </c>
      <c r="L89" s="67">
        <v>0.1744186046511628</v>
      </c>
      <c r="M89" s="67">
        <v>0.33333333333333331</v>
      </c>
      <c r="N89" s="67">
        <v>0.23275862068965517</v>
      </c>
      <c r="O89" s="67">
        <v>0.59482758620689657</v>
      </c>
      <c r="P89" s="67">
        <v>0.54320987654320985</v>
      </c>
      <c r="Q89" s="67">
        <v>0.43233082706766918</v>
      </c>
    </row>
    <row r="90" spans="1:17" x14ac:dyDescent="0.4">
      <c r="A90" s="69">
        <v>87</v>
      </c>
      <c r="B90" s="66">
        <v>1662.8000000000009</v>
      </c>
      <c r="C90" s="66">
        <v>19.112643678160929</v>
      </c>
      <c r="D90" s="71">
        <v>1.6091954022988506</v>
      </c>
      <c r="E90" s="67">
        <v>0.57471264367816088</v>
      </c>
      <c r="F90" s="67">
        <v>0.18390804597701149</v>
      </c>
      <c r="G90" s="67">
        <v>0.38243626062322944</v>
      </c>
      <c r="H90" s="67">
        <v>0.15722379603399433</v>
      </c>
      <c r="I90" s="68">
        <v>9196.6666666666661</v>
      </c>
      <c r="J90" s="68">
        <v>-7783.7837837837842</v>
      </c>
      <c r="K90" s="67">
        <v>5.7471264367816091E-2</v>
      </c>
      <c r="L90" s="67">
        <v>0.18390804597701149</v>
      </c>
      <c r="M90" s="67">
        <v>0.33286118980169971</v>
      </c>
      <c r="N90" s="67">
        <v>0.23371104815864022</v>
      </c>
      <c r="O90" s="67">
        <v>0.6</v>
      </c>
      <c r="P90" s="67">
        <v>0.53939393939393943</v>
      </c>
      <c r="Q90" s="67">
        <v>0.43333333333333335</v>
      </c>
    </row>
    <row r="91" spans="1:17" x14ac:dyDescent="0.4">
      <c r="A91" s="69">
        <v>88</v>
      </c>
      <c r="B91" s="66">
        <v>1664.200000000001</v>
      </c>
      <c r="C91" s="66">
        <v>18.911363636363646</v>
      </c>
      <c r="D91" s="71">
        <v>1.6136363636363635</v>
      </c>
      <c r="E91" s="67">
        <v>0.56818181818181823</v>
      </c>
      <c r="F91" s="67">
        <v>0.18181818181818182</v>
      </c>
      <c r="G91" s="67">
        <v>0.3807531380753138</v>
      </c>
      <c r="H91" s="67">
        <v>0.15481171548117154</v>
      </c>
      <c r="I91" s="68">
        <v>9165.9340659340651</v>
      </c>
      <c r="J91" s="68">
        <v>-7783.7837837837842</v>
      </c>
      <c r="K91" s="67">
        <v>5.6818181818181816E-2</v>
      </c>
      <c r="L91" s="67">
        <v>0.18181818181818182</v>
      </c>
      <c r="M91" s="67">
        <v>0.32914923291492332</v>
      </c>
      <c r="N91" s="67">
        <v>0.23430962343096234</v>
      </c>
      <c r="O91" s="67">
        <v>0.60169491525423724</v>
      </c>
      <c r="P91" s="67">
        <v>0.5357142857142857</v>
      </c>
      <c r="Q91" s="67">
        <v>0.42857142857142855</v>
      </c>
    </row>
    <row r="92" spans="1:17" x14ac:dyDescent="0.4">
      <c r="A92" s="69">
        <v>89</v>
      </c>
      <c r="B92" s="66">
        <v>1656.900000000001</v>
      </c>
      <c r="C92" s="66">
        <v>18.616853932584281</v>
      </c>
      <c r="D92" s="71">
        <v>1.6179775280898876</v>
      </c>
      <c r="E92" s="67">
        <v>0.5617977528089888</v>
      </c>
      <c r="F92" s="67">
        <v>0.1797752808988764</v>
      </c>
      <c r="G92" s="67">
        <v>0.37826685006877581</v>
      </c>
      <c r="H92" s="67">
        <v>0.15405777166437415</v>
      </c>
      <c r="I92" s="68">
        <v>9142.545454545454</v>
      </c>
      <c r="J92" s="68">
        <v>-7760.7142857142853</v>
      </c>
      <c r="K92" s="67">
        <v>5.6179775280898875E-2</v>
      </c>
      <c r="L92" s="67">
        <v>0.1797752808988764</v>
      </c>
      <c r="M92" s="67">
        <v>0.33012379642365886</v>
      </c>
      <c r="N92" s="67">
        <v>0.23246217331499311</v>
      </c>
      <c r="O92" s="67">
        <v>0.6</v>
      </c>
      <c r="P92" s="67">
        <v>0.53254437869822491</v>
      </c>
      <c r="Q92" s="67">
        <v>0.42545454545454547</v>
      </c>
    </row>
    <row r="93" spans="1:17" x14ac:dyDescent="0.4">
      <c r="A93" s="69">
        <v>90</v>
      </c>
      <c r="B93" s="66">
        <v>1620.900000000001</v>
      </c>
      <c r="C93" s="66">
        <v>18.010000000000012</v>
      </c>
      <c r="D93" s="71">
        <v>1.6333333333333333</v>
      </c>
      <c r="E93" s="67">
        <v>0.55555555555555558</v>
      </c>
      <c r="F93" s="67">
        <v>0.18888888888888888</v>
      </c>
      <c r="G93" s="67">
        <v>0.37602179836512262</v>
      </c>
      <c r="H93" s="67">
        <v>0.15395095367847411</v>
      </c>
      <c r="I93" s="68">
        <v>9137.31884057971</v>
      </c>
      <c r="J93" s="68">
        <v>-7798.2300884955748</v>
      </c>
      <c r="K93" s="67">
        <v>5.5555555555555552E-2</v>
      </c>
      <c r="L93" s="67">
        <v>0.17777777777777778</v>
      </c>
      <c r="M93" s="67">
        <v>0.32833787465940056</v>
      </c>
      <c r="N93" s="67">
        <v>0.2329700272479564</v>
      </c>
      <c r="O93" s="67">
        <v>0.60165975103734437</v>
      </c>
      <c r="P93" s="67">
        <v>0.52631578947368418</v>
      </c>
      <c r="Q93" s="67">
        <v>0.42391304347826086</v>
      </c>
    </row>
    <row r="94" spans="1:17" x14ac:dyDescent="0.4">
      <c r="A94" s="69">
        <v>91</v>
      </c>
      <c r="B94" s="66">
        <v>1680.8000000000011</v>
      </c>
      <c r="C94" s="66">
        <v>18.470329670329683</v>
      </c>
      <c r="D94" s="71">
        <v>1.6263736263736264</v>
      </c>
      <c r="E94" s="67">
        <v>0.56043956043956045</v>
      </c>
      <c r="F94" s="67">
        <v>0.18681318681318682</v>
      </c>
      <c r="G94" s="67">
        <v>0.3783783783783784</v>
      </c>
      <c r="H94" s="67">
        <v>0.1527027027027027</v>
      </c>
      <c r="I94" s="68">
        <v>9155.7142857142862</v>
      </c>
      <c r="J94" s="68">
        <v>-7798.2300884955748</v>
      </c>
      <c r="K94" s="67">
        <v>5.4945054945054944E-2</v>
      </c>
      <c r="L94" s="67">
        <v>0.18681318681318682</v>
      </c>
      <c r="M94" s="67">
        <v>0.33108108108108109</v>
      </c>
      <c r="N94" s="67">
        <v>0.23108108108108108</v>
      </c>
      <c r="O94" s="67">
        <v>0.60816326530612241</v>
      </c>
      <c r="P94" s="67">
        <v>0.52631578947368418</v>
      </c>
      <c r="Q94" s="67">
        <v>0.43214285714285716</v>
      </c>
    </row>
    <row r="95" spans="1:17" x14ac:dyDescent="0.4">
      <c r="A95" s="69">
        <v>92</v>
      </c>
      <c r="B95" s="66">
        <v>1634.7000000000012</v>
      </c>
      <c r="C95" s="66">
        <v>17.768478260869578</v>
      </c>
      <c r="D95" s="71">
        <v>1.6413043478260869</v>
      </c>
      <c r="E95" s="67">
        <v>0.55434782608695654</v>
      </c>
      <c r="F95" s="67">
        <v>0.19565217391304349</v>
      </c>
      <c r="G95" s="67">
        <v>0.37650200267022699</v>
      </c>
      <c r="H95" s="67">
        <v>0.15220293724966621</v>
      </c>
      <c r="I95" s="68">
        <v>9136.1702127659573</v>
      </c>
      <c r="J95" s="68">
        <v>-7835.0877192982452</v>
      </c>
      <c r="K95" s="67">
        <v>5.434782608695652E-2</v>
      </c>
      <c r="L95" s="67">
        <v>0.18478260869565216</v>
      </c>
      <c r="M95" s="67">
        <v>0.32843791722296395</v>
      </c>
      <c r="N95" s="67">
        <v>0.22963951935914553</v>
      </c>
      <c r="O95" s="67">
        <v>0.60569105691056913</v>
      </c>
      <c r="P95" s="67">
        <v>0.52906976744186052</v>
      </c>
      <c r="Q95" s="67">
        <v>0.42907801418439717</v>
      </c>
    </row>
    <row r="96" spans="1:17" x14ac:dyDescent="0.4">
      <c r="A96" s="69">
        <v>93</v>
      </c>
      <c r="B96" s="66">
        <v>1677.6000000000013</v>
      </c>
      <c r="C96" s="66">
        <v>18.038709677419369</v>
      </c>
      <c r="D96" s="71">
        <v>1.6344086021505377</v>
      </c>
      <c r="E96" s="67">
        <v>0.55913978494623651</v>
      </c>
      <c r="F96" s="67">
        <v>0.19354838709677419</v>
      </c>
      <c r="G96" s="67">
        <v>0.37664041994750658</v>
      </c>
      <c r="H96" s="67">
        <v>0.15223097112860892</v>
      </c>
      <c r="I96" s="68">
        <v>9144.5993031358885</v>
      </c>
      <c r="J96" s="68">
        <v>-7880.1724137931033</v>
      </c>
      <c r="K96" s="67">
        <v>5.3763440860215055E-2</v>
      </c>
      <c r="L96" s="67">
        <v>0.19354838709677419</v>
      </c>
      <c r="M96" s="67">
        <v>0.33070866141732286</v>
      </c>
      <c r="N96" s="67">
        <v>0.2283464566929134</v>
      </c>
      <c r="O96" s="67">
        <v>0.6071428571428571</v>
      </c>
      <c r="P96" s="67">
        <v>0.52298850574712641</v>
      </c>
      <c r="Q96" s="67">
        <v>0.42857142857142855</v>
      </c>
    </row>
    <row r="97" spans="1:17" x14ac:dyDescent="0.4">
      <c r="A97" s="69">
        <v>94</v>
      </c>
      <c r="B97" s="66">
        <v>1672.4000000000012</v>
      </c>
      <c r="C97" s="66">
        <v>17.791489361702141</v>
      </c>
      <c r="D97" s="71">
        <v>1.6382978723404256</v>
      </c>
      <c r="E97" s="67">
        <v>0.55319148936170215</v>
      </c>
      <c r="F97" s="67">
        <v>0.19148936170212766</v>
      </c>
      <c r="G97" s="67">
        <v>0.37630208333333331</v>
      </c>
      <c r="H97" s="67">
        <v>0.15104166666666666</v>
      </c>
      <c r="I97" s="68">
        <v>9113.4948096885819</v>
      </c>
      <c r="J97" s="68">
        <v>-7880.1724137931033</v>
      </c>
      <c r="K97" s="67">
        <v>5.3191489361702128E-2</v>
      </c>
      <c r="L97" s="67">
        <v>0.19148936170212766</v>
      </c>
      <c r="M97" s="67">
        <v>0.33072916666666669</v>
      </c>
      <c r="N97" s="67">
        <v>0.22786458333333334</v>
      </c>
      <c r="O97" s="67">
        <v>0.61023622047244097</v>
      </c>
      <c r="P97" s="67">
        <v>0.52</v>
      </c>
      <c r="Q97" s="67">
        <v>0.42560553633217996</v>
      </c>
    </row>
    <row r="98" spans="1:17" x14ac:dyDescent="0.4">
      <c r="A98" s="69">
        <v>95</v>
      </c>
      <c r="B98" s="66">
        <v>1681.2000000000012</v>
      </c>
      <c r="C98" s="66">
        <v>17.696842105263169</v>
      </c>
      <c r="D98" s="71">
        <v>1.6421052631578947</v>
      </c>
      <c r="E98" s="67">
        <v>0.54736842105263162</v>
      </c>
      <c r="F98" s="67">
        <v>0.18947368421052632</v>
      </c>
      <c r="G98" s="67">
        <v>0.37580437580437581</v>
      </c>
      <c r="H98" s="67">
        <v>0.14929214929214929</v>
      </c>
      <c r="I98" s="68">
        <v>9095.2054794520554</v>
      </c>
      <c r="J98" s="68">
        <v>-7880.1724137931033</v>
      </c>
      <c r="K98" s="67">
        <v>5.2631578947368418E-2</v>
      </c>
      <c r="L98" s="67">
        <v>0.18947368421052632</v>
      </c>
      <c r="M98" s="67">
        <v>0.32947232947232946</v>
      </c>
      <c r="N98" s="67">
        <v>0.22908622908622908</v>
      </c>
      <c r="O98" s="67">
        <v>0.609375</v>
      </c>
      <c r="P98" s="67">
        <v>0.52247191011235961</v>
      </c>
      <c r="Q98" s="67">
        <v>0.42123287671232879</v>
      </c>
    </row>
    <row r="99" spans="1:17" x14ac:dyDescent="0.4">
      <c r="A99" s="69">
        <v>96</v>
      </c>
      <c r="B99" s="66">
        <v>1680.9000000000012</v>
      </c>
      <c r="C99" s="66">
        <v>17.509375000000013</v>
      </c>
      <c r="D99" s="71">
        <v>1.6458333333333333</v>
      </c>
      <c r="E99" s="67">
        <v>0.54166666666666663</v>
      </c>
      <c r="F99" s="67">
        <v>0.1875</v>
      </c>
      <c r="G99" s="67">
        <v>0.37452229299363055</v>
      </c>
      <c r="H99" s="67">
        <v>0.14777070063694267</v>
      </c>
      <c r="I99" s="68">
        <v>9059.8639455782304</v>
      </c>
      <c r="J99" s="68">
        <v>-7880.1724137931033</v>
      </c>
      <c r="K99" s="67">
        <v>5.2083333333333336E-2</v>
      </c>
      <c r="L99" s="67">
        <v>0.1875</v>
      </c>
      <c r="M99" s="67">
        <v>0.32993630573248406</v>
      </c>
      <c r="N99" s="67">
        <v>0.2267515923566879</v>
      </c>
      <c r="O99" s="67">
        <v>0.61003861003861004</v>
      </c>
      <c r="P99" s="67">
        <v>0.52247191011235961</v>
      </c>
      <c r="Q99" s="67">
        <v>0.41836734693877553</v>
      </c>
    </row>
    <row r="100" spans="1:17" x14ac:dyDescent="0.4">
      <c r="A100" s="69">
        <v>97</v>
      </c>
      <c r="B100" s="66">
        <v>1734.4000000000012</v>
      </c>
      <c r="C100" s="66">
        <v>17.880412371134032</v>
      </c>
      <c r="D100" s="71">
        <v>1.6391752577319587</v>
      </c>
      <c r="E100" s="67">
        <v>0.54639175257731953</v>
      </c>
      <c r="F100" s="67">
        <v>0.18556701030927836</v>
      </c>
      <c r="G100" s="67">
        <v>0.375</v>
      </c>
      <c r="H100" s="67">
        <v>0.14646464646464646</v>
      </c>
      <c r="I100" s="68">
        <v>9089.5622895622892</v>
      </c>
      <c r="J100" s="68">
        <v>-7880.1724137931033</v>
      </c>
      <c r="K100" s="67">
        <v>5.1546391752577317E-2</v>
      </c>
      <c r="L100" s="67">
        <v>0.18556701030927836</v>
      </c>
      <c r="M100" s="67">
        <v>0.33080808080808083</v>
      </c>
      <c r="N100" s="67">
        <v>0.22601010101010102</v>
      </c>
      <c r="O100" s="67">
        <v>0.6145038167938931</v>
      </c>
      <c r="P100" s="67">
        <v>0.51955307262569828</v>
      </c>
      <c r="Q100" s="67">
        <v>0.4175084175084175</v>
      </c>
    </row>
    <row r="101" spans="1:17" x14ac:dyDescent="0.4">
      <c r="A101" s="69">
        <v>98</v>
      </c>
      <c r="B101" s="66">
        <v>1737.4000000000012</v>
      </c>
      <c r="C101" s="66">
        <v>17.728571428571442</v>
      </c>
      <c r="D101" s="71">
        <v>1.6428571428571428</v>
      </c>
      <c r="E101" s="67">
        <v>0.54081632653061229</v>
      </c>
      <c r="F101" s="67">
        <v>0.18367346938775511</v>
      </c>
      <c r="G101" s="67">
        <v>0.37624999999999997</v>
      </c>
      <c r="H101" s="67">
        <v>0.14624999999999999</v>
      </c>
      <c r="I101" s="68">
        <v>9017.6079734219275</v>
      </c>
      <c r="J101" s="68">
        <v>-7878.6324786324785</v>
      </c>
      <c r="K101" s="67">
        <v>5.1020408163265307E-2</v>
      </c>
      <c r="L101" s="67">
        <v>0.18367346938775511</v>
      </c>
      <c r="M101" s="67">
        <v>0.32874999999999999</v>
      </c>
      <c r="N101" s="67">
        <v>0.22875000000000001</v>
      </c>
      <c r="O101" s="67">
        <v>0.61596958174904948</v>
      </c>
      <c r="P101" s="67">
        <v>0.52459016393442626</v>
      </c>
      <c r="Q101" s="67">
        <v>0.41860465116279072</v>
      </c>
    </row>
    <row r="102" spans="1:17" x14ac:dyDescent="0.4">
      <c r="A102" s="69">
        <v>99</v>
      </c>
      <c r="B102" s="66">
        <v>1678.5000000000011</v>
      </c>
      <c r="C102" s="66">
        <v>16.954545454545467</v>
      </c>
      <c r="D102" s="71">
        <v>1.6565656565656566</v>
      </c>
      <c r="E102" s="67">
        <v>0.53535353535353536</v>
      </c>
      <c r="F102" s="67">
        <v>0.19191919191919191</v>
      </c>
      <c r="G102" s="67">
        <v>0.37344913151364767</v>
      </c>
      <c r="H102" s="67">
        <v>0.14640198511166252</v>
      </c>
      <c r="I102" s="68">
        <v>9017.6079734219275</v>
      </c>
      <c r="J102" s="68">
        <v>-8015.2542372881353</v>
      </c>
      <c r="K102" s="67">
        <v>6.0606060606060608E-2</v>
      </c>
      <c r="L102" s="67">
        <v>0.18181818181818182</v>
      </c>
      <c r="M102" s="67">
        <v>0.33002481389578164</v>
      </c>
      <c r="N102" s="67">
        <v>0.22704714640198512</v>
      </c>
      <c r="O102" s="67">
        <v>0.60902255639097747</v>
      </c>
      <c r="P102" s="67">
        <v>0.52459016393442626</v>
      </c>
      <c r="Q102" s="67">
        <v>0.41860465116279072</v>
      </c>
    </row>
    <row r="103" spans="1:17" x14ac:dyDescent="0.4">
      <c r="A103" s="69">
        <v>100</v>
      </c>
      <c r="B103" s="66">
        <v>1622.2000000000012</v>
      </c>
      <c r="C103" s="66">
        <v>16.222000000000012</v>
      </c>
      <c r="D103" s="71">
        <v>1.67</v>
      </c>
      <c r="E103" s="67">
        <v>0.53</v>
      </c>
      <c r="F103" s="67">
        <v>0.2</v>
      </c>
      <c r="G103" s="67">
        <v>0.37132352941176472</v>
      </c>
      <c r="H103" s="67">
        <v>0.14950980392156862</v>
      </c>
      <c r="I103" s="68">
        <v>9000.6600660066015</v>
      </c>
      <c r="J103" s="68">
        <v>-8029.5081967213118</v>
      </c>
      <c r="K103" s="67">
        <v>7.0000000000000007E-2</v>
      </c>
      <c r="L103" s="67">
        <v>0.18</v>
      </c>
      <c r="M103" s="67">
        <v>0.32965686274509803</v>
      </c>
      <c r="N103" s="67">
        <v>0.22549019607843138</v>
      </c>
      <c r="O103" s="67">
        <v>0.60966542750929364</v>
      </c>
      <c r="P103" s="67">
        <v>0.52173913043478259</v>
      </c>
      <c r="Q103" s="67">
        <v>0.41584158415841582</v>
      </c>
    </row>
    <row r="104" spans="1:17" x14ac:dyDescent="0.4">
      <c r="A104" s="69">
        <v>101</v>
      </c>
      <c r="B104" s="66">
        <v>1564.8000000000011</v>
      </c>
      <c r="C104" s="66">
        <v>15.493069306930703</v>
      </c>
      <c r="D104" s="71">
        <v>1.6831683168316831</v>
      </c>
      <c r="E104" s="67">
        <v>0.52475247524752477</v>
      </c>
      <c r="F104" s="67">
        <v>0.20792079207920791</v>
      </c>
      <c r="G104" s="67">
        <v>0.37028014616321558</v>
      </c>
      <c r="H104" s="67">
        <v>0.15103532277710111</v>
      </c>
      <c r="I104" s="68">
        <v>9009.21052631579</v>
      </c>
      <c r="J104" s="68">
        <v>-8190.322580645161</v>
      </c>
      <c r="K104" s="67">
        <v>7.9207920792079209E-2</v>
      </c>
      <c r="L104" s="67">
        <v>0.17821782178217821</v>
      </c>
      <c r="M104" s="67">
        <v>0.32886723507917176</v>
      </c>
      <c r="N104" s="67">
        <v>0.22655298416565164</v>
      </c>
      <c r="O104" s="67">
        <v>0.61111111111111116</v>
      </c>
      <c r="P104" s="67">
        <v>0.5161290322580645</v>
      </c>
      <c r="Q104" s="67">
        <v>0.41447368421052633</v>
      </c>
    </row>
    <row r="105" spans="1:17" x14ac:dyDescent="0.4">
      <c r="A105" s="69">
        <v>102</v>
      </c>
      <c r="B105" s="66">
        <v>1634.400000000001</v>
      </c>
      <c r="C105" s="66">
        <v>16.023529411764716</v>
      </c>
      <c r="D105" s="71">
        <v>1.6764705882352942</v>
      </c>
      <c r="E105" s="67">
        <v>0.52941176470588236</v>
      </c>
      <c r="F105" s="67">
        <v>0.20588235294117646</v>
      </c>
      <c r="G105" s="67">
        <v>0.37063778580024065</v>
      </c>
      <c r="H105" s="67">
        <v>0.14921780986762936</v>
      </c>
      <c r="I105" s="68">
        <v>9027.2727272727279</v>
      </c>
      <c r="J105" s="68">
        <v>-8190.322580645161</v>
      </c>
      <c r="K105" s="67">
        <v>7.8431372549019607E-2</v>
      </c>
      <c r="L105" s="67">
        <v>0.18627450980392157</v>
      </c>
      <c r="M105" s="67">
        <v>0.32972322503008422</v>
      </c>
      <c r="N105" s="67">
        <v>0.22743682310469315</v>
      </c>
      <c r="O105" s="67">
        <v>0.60948905109489049</v>
      </c>
      <c r="P105" s="67">
        <v>0.51851851851851849</v>
      </c>
      <c r="Q105" s="67">
        <v>0.41558441558441561</v>
      </c>
    </row>
    <row r="106" spans="1:17" x14ac:dyDescent="0.4">
      <c r="A106" s="69">
        <v>103</v>
      </c>
      <c r="B106" s="66">
        <v>1615.700000000001</v>
      </c>
      <c r="C106" s="66">
        <v>15.6864077669903</v>
      </c>
      <c r="D106" s="71">
        <v>1.6796116504854368</v>
      </c>
      <c r="E106" s="67">
        <v>0.52427184466019416</v>
      </c>
      <c r="F106" s="67">
        <v>0.20388349514563106</v>
      </c>
      <c r="G106" s="67">
        <v>0.36785714285714288</v>
      </c>
      <c r="H106" s="67">
        <v>0.14880952380952381</v>
      </c>
      <c r="I106" s="68">
        <v>9023.9482200647253</v>
      </c>
      <c r="J106" s="68">
        <v>-8150.4</v>
      </c>
      <c r="K106" s="67">
        <v>7.7669902912621352E-2</v>
      </c>
      <c r="L106" s="67">
        <v>0.18446601941747573</v>
      </c>
      <c r="M106" s="67">
        <v>0.33095238095238094</v>
      </c>
      <c r="N106" s="67">
        <v>0.22619047619047619</v>
      </c>
      <c r="O106" s="67">
        <v>0.60431654676258995</v>
      </c>
      <c r="P106" s="67">
        <v>0.51578947368421058</v>
      </c>
      <c r="Q106" s="67">
        <v>0.41747572815533979</v>
      </c>
    </row>
    <row r="107" spans="1:17" x14ac:dyDescent="0.4">
      <c r="A107" s="69">
        <v>104</v>
      </c>
      <c r="B107" s="66">
        <v>1653.100000000001</v>
      </c>
      <c r="C107" s="66">
        <v>15.895192307692318</v>
      </c>
      <c r="D107" s="71">
        <v>1.6730769230769231</v>
      </c>
      <c r="E107" s="67">
        <v>0.52884615384615385</v>
      </c>
      <c r="F107" s="67">
        <v>0.20192307692307693</v>
      </c>
      <c r="G107" s="67">
        <v>0.36866902237926974</v>
      </c>
      <c r="H107" s="67">
        <v>0.14958775029446408</v>
      </c>
      <c r="I107" s="68">
        <v>9033.5463258785949</v>
      </c>
      <c r="J107" s="68">
        <v>-8145.6692913385823</v>
      </c>
      <c r="K107" s="67">
        <v>7.6923076923076927E-2</v>
      </c>
      <c r="L107" s="67">
        <v>0.18269230769230768</v>
      </c>
      <c r="M107" s="67">
        <v>0.33215547703180209</v>
      </c>
      <c r="N107" s="67">
        <v>0.22614840989399293</v>
      </c>
      <c r="O107" s="67">
        <v>0.6028368794326241</v>
      </c>
      <c r="P107" s="67">
        <v>0.515625</v>
      </c>
      <c r="Q107" s="67">
        <v>0.41853035143769968</v>
      </c>
    </row>
    <row r="108" spans="1:17" x14ac:dyDescent="0.4">
      <c r="A108" s="69">
        <v>105</v>
      </c>
      <c r="B108" s="66">
        <v>1593.100000000001</v>
      </c>
      <c r="C108" s="66">
        <v>15.172380952380962</v>
      </c>
      <c r="D108" s="71">
        <v>1.6857142857142857</v>
      </c>
      <c r="E108" s="67">
        <v>0.52380952380952384</v>
      </c>
      <c r="F108" s="67">
        <v>0.20952380952380953</v>
      </c>
      <c r="G108" s="67">
        <v>0.3665105386416862</v>
      </c>
      <c r="H108" s="67">
        <v>0.15105386416861827</v>
      </c>
      <c r="I108" s="68">
        <v>9033.5463258785949</v>
      </c>
      <c r="J108" s="68">
        <v>-8267.4418604651164</v>
      </c>
      <c r="K108" s="67">
        <v>8.5714285714285715E-2</v>
      </c>
      <c r="L108" s="67">
        <v>0.18095238095238095</v>
      </c>
      <c r="M108" s="67">
        <v>0.33021077283372363</v>
      </c>
      <c r="N108" s="67">
        <v>0.22482435597189696</v>
      </c>
      <c r="O108" s="67">
        <v>0.6028368794326241</v>
      </c>
      <c r="P108" s="67">
        <v>0.515625</v>
      </c>
      <c r="Q108" s="67">
        <v>0.41853035143769968</v>
      </c>
    </row>
    <row r="109" spans="1:17" x14ac:dyDescent="0.4">
      <c r="A109" s="69">
        <v>106</v>
      </c>
      <c r="B109" s="66">
        <v>1583.200000000001</v>
      </c>
      <c r="C109" s="66">
        <v>14.935849056603782</v>
      </c>
      <c r="D109" s="71">
        <v>1.6886792452830188</v>
      </c>
      <c r="E109" s="67">
        <v>0.51886792452830188</v>
      </c>
      <c r="F109" s="67">
        <v>0.20754716981132076</v>
      </c>
      <c r="G109" s="67">
        <v>0.36342592592592593</v>
      </c>
      <c r="H109" s="67">
        <v>0.14930555555555555</v>
      </c>
      <c r="I109" s="68">
        <v>9041.7197452229302</v>
      </c>
      <c r="J109" s="68">
        <v>-8267.4418604651164</v>
      </c>
      <c r="K109" s="67">
        <v>8.4905660377358486E-2</v>
      </c>
      <c r="L109" s="67">
        <v>0.17924528301886791</v>
      </c>
      <c r="M109" s="67">
        <v>0.3298611111111111</v>
      </c>
      <c r="N109" s="67">
        <v>0.22453703703703703</v>
      </c>
      <c r="O109" s="67">
        <v>0.59649122807017541</v>
      </c>
      <c r="P109" s="67">
        <v>0.51546391752577314</v>
      </c>
      <c r="Q109" s="67">
        <v>0.41719745222929938</v>
      </c>
    </row>
    <row r="110" spans="1:17" x14ac:dyDescent="0.4">
      <c r="A110" s="69">
        <v>107</v>
      </c>
      <c r="B110" s="66">
        <v>1517.3000000000009</v>
      </c>
      <c r="C110" s="66">
        <v>14.180373831775709</v>
      </c>
      <c r="D110" s="71">
        <v>1.7009345794392523</v>
      </c>
      <c r="E110" s="67">
        <v>0.51401869158878499</v>
      </c>
      <c r="F110" s="67">
        <v>0.21495327102803738</v>
      </c>
      <c r="G110" s="67">
        <v>0.36091954022988504</v>
      </c>
      <c r="H110" s="67">
        <v>0.1528735632183908</v>
      </c>
      <c r="I110" s="68">
        <v>9041.7197452229302</v>
      </c>
      <c r="J110" s="68">
        <v>-8318.7969924812023</v>
      </c>
      <c r="K110" s="67">
        <v>9.3457943925233641E-2</v>
      </c>
      <c r="L110" s="67">
        <v>0.17757009345794392</v>
      </c>
      <c r="M110" s="67">
        <v>0.32758620689655171</v>
      </c>
      <c r="N110" s="67">
        <v>0.22413793103448276</v>
      </c>
      <c r="O110" s="67">
        <v>0.59649122807017541</v>
      </c>
      <c r="P110" s="67">
        <v>0.51282051282051277</v>
      </c>
      <c r="Q110" s="67">
        <v>0.41719745222929938</v>
      </c>
    </row>
    <row r="111" spans="1:17" x14ac:dyDescent="0.4">
      <c r="A111" s="69">
        <v>108</v>
      </c>
      <c r="B111" s="66">
        <v>1569.1000000000008</v>
      </c>
      <c r="C111" s="66">
        <v>14.528703703703711</v>
      </c>
      <c r="D111" s="71">
        <v>1.6944444444444444</v>
      </c>
      <c r="E111" s="67">
        <v>0.51851851851851849</v>
      </c>
      <c r="F111" s="67">
        <v>0.21296296296296297</v>
      </c>
      <c r="G111" s="67">
        <v>0.36197021764032072</v>
      </c>
      <c r="H111" s="67">
        <v>0.15234822451317298</v>
      </c>
      <c r="I111" s="68">
        <v>9078.7974683544307</v>
      </c>
      <c r="J111" s="68">
        <v>-8318.7969924812023</v>
      </c>
      <c r="K111" s="67">
        <v>9.2592592592592587E-2</v>
      </c>
      <c r="L111" s="67">
        <v>0.18518518518518517</v>
      </c>
      <c r="M111" s="67">
        <v>0.32760595647193586</v>
      </c>
      <c r="N111" s="67">
        <v>0.22451317296678122</v>
      </c>
      <c r="O111" s="67">
        <v>0.59790209790209792</v>
      </c>
      <c r="P111" s="67">
        <v>0.51530612244897955</v>
      </c>
      <c r="Q111" s="67">
        <v>0.41455696202531644</v>
      </c>
    </row>
    <row r="112" spans="1:17" x14ac:dyDescent="0.4">
      <c r="A112" s="69">
        <v>109</v>
      </c>
      <c r="B112" s="66">
        <v>1512.2000000000007</v>
      </c>
      <c r="C112" s="66">
        <v>13.873394495412851</v>
      </c>
      <c r="D112" s="71">
        <v>1.7064220183486238</v>
      </c>
      <c r="E112" s="67">
        <v>0.51376146788990829</v>
      </c>
      <c r="F112" s="67">
        <v>0.22018348623853212</v>
      </c>
      <c r="G112" s="67">
        <v>0.35990888382687924</v>
      </c>
      <c r="H112" s="67">
        <v>0.15375854214123008</v>
      </c>
      <c r="I112" s="68">
        <v>9078.7974683544307</v>
      </c>
      <c r="J112" s="68">
        <v>-8373.3333333333339</v>
      </c>
      <c r="K112" s="67">
        <v>0.10091743119266056</v>
      </c>
      <c r="L112" s="67">
        <v>0.1834862385321101</v>
      </c>
      <c r="M112" s="67">
        <v>0.32801822323462415</v>
      </c>
      <c r="N112" s="67">
        <v>0.22323462414578588</v>
      </c>
      <c r="O112" s="67">
        <v>0.59375</v>
      </c>
      <c r="P112" s="67">
        <v>0.51530612244897955</v>
      </c>
      <c r="Q112" s="67">
        <v>0.41455696202531644</v>
      </c>
    </row>
    <row r="113" spans="1:17" x14ac:dyDescent="0.4">
      <c r="A113" s="69">
        <v>110</v>
      </c>
      <c r="B113" s="66">
        <v>1513.7000000000007</v>
      </c>
      <c r="C113" s="66">
        <v>13.760909090909097</v>
      </c>
      <c r="D113" s="71">
        <v>1.709090909090909</v>
      </c>
      <c r="E113" s="67">
        <v>0.50909090909090904</v>
      </c>
      <c r="F113" s="67">
        <v>0.21818181818181817</v>
      </c>
      <c r="G113" s="67">
        <v>0.35851183765501693</v>
      </c>
      <c r="H113" s="67">
        <v>0.15445321307779031</v>
      </c>
      <c r="I113" s="68">
        <v>9084.5911949685542</v>
      </c>
      <c r="J113" s="68">
        <v>-8391.9708029197081</v>
      </c>
      <c r="K113" s="67">
        <v>0.1</v>
      </c>
      <c r="L113" s="67">
        <v>0.18181818181818182</v>
      </c>
      <c r="M113" s="67">
        <v>0.32807215332581735</v>
      </c>
      <c r="N113" s="67">
        <v>0.22322435174746336</v>
      </c>
      <c r="O113" s="67">
        <v>0.59106529209621994</v>
      </c>
      <c r="P113" s="67">
        <v>0.51515151515151514</v>
      </c>
      <c r="Q113" s="67">
        <v>0.41509433962264153</v>
      </c>
    </row>
    <row r="114" spans="1:17" x14ac:dyDescent="0.4">
      <c r="A114" s="69">
        <v>111</v>
      </c>
      <c r="B114" s="66">
        <v>1461.9000000000008</v>
      </c>
      <c r="C114" s="66">
        <v>13.170270270270278</v>
      </c>
      <c r="D114" s="71">
        <v>1.7207207207207207</v>
      </c>
      <c r="E114" s="67">
        <v>0.50450450450450446</v>
      </c>
      <c r="F114" s="67">
        <v>0.22522522522522523</v>
      </c>
      <c r="G114" s="67">
        <v>0.35451505016722407</v>
      </c>
      <c r="H114" s="67">
        <v>0.15384615384615385</v>
      </c>
      <c r="I114" s="68">
        <v>9084.5911949685542</v>
      </c>
      <c r="J114" s="68">
        <v>-8386.95652173913</v>
      </c>
      <c r="K114" s="67">
        <v>9.90990990990991E-2</v>
      </c>
      <c r="L114" s="67">
        <v>0.18018018018018017</v>
      </c>
      <c r="M114" s="67">
        <v>0.32664437012263098</v>
      </c>
      <c r="N114" s="67">
        <v>0.22073578595317725</v>
      </c>
      <c r="O114" s="67">
        <v>0.58703071672354945</v>
      </c>
      <c r="P114" s="67">
        <v>0.51515151515151514</v>
      </c>
      <c r="Q114" s="67">
        <v>0.41509433962264153</v>
      </c>
    </row>
    <row r="115" spans="1:17" x14ac:dyDescent="0.4">
      <c r="A115" s="69">
        <v>112</v>
      </c>
      <c r="B115" s="66">
        <v>1405.8000000000009</v>
      </c>
      <c r="C115" s="66">
        <v>12.551785714285723</v>
      </c>
      <c r="D115" s="71">
        <v>1.7321428571428572</v>
      </c>
      <c r="E115" s="67">
        <v>0.5</v>
      </c>
      <c r="F115" s="67">
        <v>0.23214285714285715</v>
      </c>
      <c r="G115" s="67">
        <v>0.35209713024282563</v>
      </c>
      <c r="H115" s="67">
        <v>0.15342163355408389</v>
      </c>
      <c r="I115" s="68">
        <v>9076.1755485893409</v>
      </c>
      <c r="J115" s="68">
        <v>-8412.9496402877703</v>
      </c>
      <c r="K115" s="67">
        <v>0.10714285714285714</v>
      </c>
      <c r="L115" s="67">
        <v>0.17857142857142858</v>
      </c>
      <c r="M115" s="67">
        <v>0.32671081677704195</v>
      </c>
      <c r="N115" s="67">
        <v>0.22075055187637968</v>
      </c>
      <c r="O115" s="67">
        <v>0.58445945945945943</v>
      </c>
      <c r="P115" s="67">
        <v>0.51</v>
      </c>
      <c r="Q115" s="67">
        <v>0.41692789968652039</v>
      </c>
    </row>
    <row r="116" spans="1:17" x14ac:dyDescent="0.4">
      <c r="A116" s="69">
        <v>113</v>
      </c>
      <c r="B116" s="66">
        <v>1346.8000000000009</v>
      </c>
      <c r="C116" s="66">
        <v>11.918584070796468</v>
      </c>
      <c r="D116" s="71">
        <v>1.7433628318584071</v>
      </c>
      <c r="E116" s="67">
        <v>0.49557522123893805</v>
      </c>
      <c r="F116" s="67">
        <v>0.23893805309734514</v>
      </c>
      <c r="G116" s="67">
        <v>0.34901531728665208</v>
      </c>
      <c r="H116" s="67">
        <v>0.15207877461706784</v>
      </c>
      <c r="I116" s="68">
        <v>9076.1755485893409</v>
      </c>
      <c r="J116" s="68">
        <v>-8412.9496402877703</v>
      </c>
      <c r="K116" s="67">
        <v>0.11504424778761062</v>
      </c>
      <c r="L116" s="67">
        <v>0.17699115044247787</v>
      </c>
      <c r="M116" s="67">
        <v>0.32713347921225383</v>
      </c>
      <c r="N116" s="67">
        <v>0.21881838074398249</v>
      </c>
      <c r="O116" s="67">
        <v>0.57859531772575246</v>
      </c>
      <c r="P116" s="67">
        <v>0.51</v>
      </c>
      <c r="Q116" s="67">
        <v>0.41692789968652039</v>
      </c>
    </row>
    <row r="117" spans="1:17" x14ac:dyDescent="0.4">
      <c r="A117" s="69">
        <v>114</v>
      </c>
      <c r="B117" s="66">
        <v>1351.1000000000008</v>
      </c>
      <c r="C117" s="66">
        <v>11.85175438596492</v>
      </c>
      <c r="D117" s="71">
        <v>1.7456140350877194</v>
      </c>
      <c r="E117" s="67">
        <v>0.49122807017543857</v>
      </c>
      <c r="F117" s="67">
        <v>0.23684210526315788</v>
      </c>
      <c r="G117" s="67">
        <v>0.34961997828447339</v>
      </c>
      <c r="H117" s="67">
        <v>0.15200868621064062</v>
      </c>
      <c r="I117" s="68">
        <v>9056.8322981366455</v>
      </c>
      <c r="J117" s="68">
        <v>-8390</v>
      </c>
      <c r="K117" s="67">
        <v>0.11403508771929824</v>
      </c>
      <c r="L117" s="67">
        <v>0.17543859649122806</v>
      </c>
      <c r="M117" s="67">
        <v>0.32573289902280128</v>
      </c>
      <c r="N117" s="67">
        <v>0.21932681867535286</v>
      </c>
      <c r="O117" s="67">
        <v>0.57999999999999996</v>
      </c>
      <c r="P117" s="67">
        <v>0.50990099009900991</v>
      </c>
      <c r="Q117" s="67">
        <v>0.41304347826086957</v>
      </c>
    </row>
    <row r="118" spans="1:17" x14ac:dyDescent="0.4">
      <c r="A118" s="69">
        <v>115</v>
      </c>
      <c r="B118" s="66">
        <v>1435.5000000000009</v>
      </c>
      <c r="C118" s="66">
        <v>12.482608695652182</v>
      </c>
      <c r="D118" s="71">
        <v>1.7391304347826086</v>
      </c>
      <c r="E118" s="67">
        <v>0.4956521739130435</v>
      </c>
      <c r="F118" s="67">
        <v>0.23478260869565218</v>
      </c>
      <c r="G118" s="67">
        <v>0.35230934479054782</v>
      </c>
      <c r="H118" s="67">
        <v>0.15037593984962405</v>
      </c>
      <c r="I118" s="68">
        <v>9069.8170731707323</v>
      </c>
      <c r="J118" s="68">
        <v>-8390</v>
      </c>
      <c r="K118" s="67">
        <v>0.11304347826086956</v>
      </c>
      <c r="L118" s="67">
        <v>0.18260869565217391</v>
      </c>
      <c r="M118" s="67">
        <v>0.32867883995703545</v>
      </c>
      <c r="N118" s="67">
        <v>0.21911922663802363</v>
      </c>
      <c r="O118" s="67">
        <v>0.5816993464052288</v>
      </c>
      <c r="P118" s="67">
        <v>0.51470588235294112</v>
      </c>
      <c r="Q118" s="67">
        <v>0.42073170731707316</v>
      </c>
    </row>
    <row r="119" spans="1:17" x14ac:dyDescent="0.4">
      <c r="A119" s="69">
        <v>116</v>
      </c>
      <c r="B119" s="66">
        <v>1471.900000000001</v>
      </c>
      <c r="C119" s="66">
        <v>12.688793103448285</v>
      </c>
      <c r="D119" s="71">
        <v>1.7327586206896552</v>
      </c>
      <c r="E119" s="67">
        <v>0.5</v>
      </c>
      <c r="F119" s="67">
        <v>0.23275862068965517</v>
      </c>
      <c r="G119" s="67">
        <v>0.35456475583864117</v>
      </c>
      <c r="H119" s="67">
        <v>0.14968152866242038</v>
      </c>
      <c r="I119" s="68">
        <v>9014.3712574850306</v>
      </c>
      <c r="J119" s="68">
        <v>-8415.6028368794323</v>
      </c>
      <c r="K119" s="67">
        <v>0.11206896551724138</v>
      </c>
      <c r="L119" s="67">
        <v>0.18103448275862069</v>
      </c>
      <c r="M119" s="67">
        <v>0.32908704883227174</v>
      </c>
      <c r="N119" s="67">
        <v>0.2208067940552017</v>
      </c>
      <c r="O119" s="67">
        <v>0.58387096774193548</v>
      </c>
      <c r="P119" s="67">
        <v>0.51923076923076927</v>
      </c>
      <c r="Q119" s="67">
        <v>0.41916167664670656</v>
      </c>
    </row>
    <row r="120" spans="1:17" x14ac:dyDescent="0.4">
      <c r="A120" s="69">
        <v>117</v>
      </c>
      <c r="B120" s="66">
        <v>1492.600000000001</v>
      </c>
      <c r="C120" s="66">
        <v>12.757264957264967</v>
      </c>
      <c r="D120" s="71">
        <v>1.7350427350427351</v>
      </c>
      <c r="E120" s="67">
        <v>0.49572649572649574</v>
      </c>
      <c r="F120" s="67">
        <v>0.23076923076923078</v>
      </c>
      <c r="G120" s="67">
        <v>0.35654008438818563</v>
      </c>
      <c r="H120" s="67">
        <v>0.14873417721518986</v>
      </c>
      <c r="I120" s="68">
        <v>8992.6035502958584</v>
      </c>
      <c r="J120" s="68">
        <v>-8415.6028368794323</v>
      </c>
      <c r="K120" s="67">
        <v>0.1111111111111111</v>
      </c>
      <c r="L120" s="67">
        <v>0.17948717948717949</v>
      </c>
      <c r="M120" s="67">
        <v>0.32911392405063289</v>
      </c>
      <c r="N120" s="67">
        <v>0.22151898734177214</v>
      </c>
      <c r="O120" s="67">
        <v>0.58653846153846156</v>
      </c>
      <c r="P120" s="67">
        <v>0.52380952380952384</v>
      </c>
      <c r="Q120" s="67">
        <v>0.41420118343195267</v>
      </c>
    </row>
    <row r="121" spans="1:17" x14ac:dyDescent="0.4">
      <c r="A121" s="69">
        <v>118</v>
      </c>
      <c r="B121" s="66">
        <v>1530.0000000000011</v>
      </c>
      <c r="C121" s="66">
        <v>12.966101694915263</v>
      </c>
      <c r="D121" s="71">
        <v>1.728813559322034</v>
      </c>
      <c r="E121" s="67">
        <v>0.5</v>
      </c>
      <c r="F121" s="67">
        <v>0.2288135593220339</v>
      </c>
      <c r="G121" s="67">
        <v>0.35379812695109258</v>
      </c>
      <c r="H121" s="67">
        <v>0.14880332986472425</v>
      </c>
      <c r="I121" s="68">
        <v>9041.4705882352937</v>
      </c>
      <c r="J121" s="68">
        <v>-8335.6643356643362</v>
      </c>
      <c r="K121" s="67">
        <v>0.11016949152542373</v>
      </c>
      <c r="L121" s="67">
        <v>0.17796610169491525</v>
      </c>
      <c r="M121" s="67">
        <v>0.32778355879292403</v>
      </c>
      <c r="N121" s="67">
        <v>0.22164412070759626</v>
      </c>
      <c r="O121" s="67">
        <v>0.58412698412698416</v>
      </c>
      <c r="P121" s="67">
        <v>0.51643192488262912</v>
      </c>
      <c r="Q121" s="67">
        <v>0.41176470588235292</v>
      </c>
    </row>
    <row r="122" spans="1:17" x14ac:dyDescent="0.4">
      <c r="A122" s="69">
        <v>119</v>
      </c>
      <c r="B122" s="66">
        <v>1530.0000000000011</v>
      </c>
      <c r="C122" s="66">
        <v>12.857142857142867</v>
      </c>
      <c r="D122" s="71">
        <v>1.73109243697479</v>
      </c>
      <c r="E122" s="67">
        <v>0.49579831932773111</v>
      </c>
      <c r="F122" s="67">
        <v>0.22689075630252101</v>
      </c>
      <c r="G122" s="67">
        <v>0.35269709543568467</v>
      </c>
      <c r="H122" s="67">
        <v>0.1483402489626556</v>
      </c>
      <c r="I122" s="68">
        <v>9041.4705882352937</v>
      </c>
      <c r="J122" s="68">
        <v>-8335.6643356643362</v>
      </c>
      <c r="K122" s="67">
        <v>0.1092436974789916</v>
      </c>
      <c r="L122" s="67">
        <v>0.17647058823529413</v>
      </c>
      <c r="M122" s="67">
        <v>0.32676348547717843</v>
      </c>
      <c r="N122" s="67">
        <v>0.22095435684647302</v>
      </c>
      <c r="O122" s="67">
        <v>0.58412698412698416</v>
      </c>
      <c r="P122" s="67">
        <v>0.51643192488262912</v>
      </c>
      <c r="Q122" s="67">
        <v>0.41176470588235292</v>
      </c>
    </row>
    <row r="123" spans="1:17" x14ac:dyDescent="0.4">
      <c r="A123" s="69">
        <v>120</v>
      </c>
      <c r="B123" s="66">
        <v>1527.0000000000011</v>
      </c>
      <c r="C123" s="66">
        <v>12.72500000000001</v>
      </c>
      <c r="D123" s="71">
        <v>1.7333333333333334</v>
      </c>
      <c r="E123" s="67">
        <v>0.49166666666666664</v>
      </c>
      <c r="F123" s="67">
        <v>0.22500000000000001</v>
      </c>
      <c r="G123" s="67">
        <v>0.3508230452674897</v>
      </c>
      <c r="H123" s="67">
        <v>0.15020576131687244</v>
      </c>
      <c r="I123" s="68">
        <v>9120.5278592375362</v>
      </c>
      <c r="J123" s="68">
        <v>-8356.1643835616433</v>
      </c>
      <c r="K123" s="67">
        <v>0.10833333333333334</v>
      </c>
      <c r="L123" s="67">
        <v>0.17499999999999999</v>
      </c>
      <c r="M123" s="67">
        <v>0.32818930041152261</v>
      </c>
      <c r="N123" s="67">
        <v>0.22119341563786007</v>
      </c>
      <c r="O123" s="67">
        <v>0.57993730407523514</v>
      </c>
      <c r="P123" s="67">
        <v>0.51162790697674421</v>
      </c>
      <c r="Q123" s="67">
        <v>0.41348973607038125</v>
      </c>
    </row>
    <row r="124" spans="1:17" x14ac:dyDescent="0.4">
      <c r="A124" s="69">
        <v>121</v>
      </c>
      <c r="B124" s="66">
        <v>1556.600000000001</v>
      </c>
      <c r="C124" s="66">
        <v>12.864462809917365</v>
      </c>
      <c r="D124" s="71">
        <v>1.7272727272727273</v>
      </c>
      <c r="E124" s="67">
        <v>0.49586776859504134</v>
      </c>
      <c r="F124" s="67">
        <v>0.2231404958677686</v>
      </c>
      <c r="G124" s="67">
        <v>0.3510204081632653</v>
      </c>
      <c r="H124" s="67">
        <v>0.15102040816326531</v>
      </c>
      <c r="I124" s="68">
        <v>9132.8488372093016</v>
      </c>
      <c r="J124" s="68">
        <v>-8351.3513513513517</v>
      </c>
      <c r="K124" s="67">
        <v>0.10743801652892562</v>
      </c>
      <c r="L124" s="67">
        <v>0.17355371900826447</v>
      </c>
      <c r="M124" s="67">
        <v>0.32857142857142857</v>
      </c>
      <c r="N124" s="67">
        <v>0.22244897959183674</v>
      </c>
      <c r="O124" s="67">
        <v>0.57763975155279501</v>
      </c>
      <c r="P124" s="67">
        <v>0.51376146788990829</v>
      </c>
      <c r="Q124" s="67">
        <v>0.41279069767441862</v>
      </c>
    </row>
    <row r="125" spans="1:17" x14ac:dyDescent="0.4">
      <c r="A125" s="69">
        <v>122</v>
      </c>
      <c r="B125" s="66">
        <v>1590.100000000001</v>
      </c>
      <c r="C125" s="66">
        <v>13.033606557377057</v>
      </c>
      <c r="D125" s="71">
        <v>1.721311475409836</v>
      </c>
      <c r="E125" s="67">
        <v>0.5</v>
      </c>
      <c r="F125" s="67">
        <v>0.22131147540983606</v>
      </c>
      <c r="G125" s="67">
        <v>0.35192697768762676</v>
      </c>
      <c r="H125" s="67">
        <v>0.15111561866125761</v>
      </c>
      <c r="I125" s="68">
        <v>9107.2046109510084</v>
      </c>
      <c r="J125" s="68">
        <v>-8308.7248322147643</v>
      </c>
      <c r="K125" s="67">
        <v>0.10655737704918032</v>
      </c>
      <c r="L125" s="67">
        <v>0.1721311475409836</v>
      </c>
      <c r="M125" s="67">
        <v>0.32860040567951321</v>
      </c>
      <c r="N125" s="67">
        <v>0.22109533468559839</v>
      </c>
      <c r="O125" s="67">
        <v>0.5771604938271605</v>
      </c>
      <c r="P125" s="67">
        <v>0.51376146788990829</v>
      </c>
      <c r="Q125" s="67">
        <v>0.40922190201729108</v>
      </c>
    </row>
    <row r="126" spans="1:17" x14ac:dyDescent="0.4">
      <c r="A126" s="69">
        <v>123</v>
      </c>
      <c r="B126" s="66">
        <v>1598.200000000001</v>
      </c>
      <c r="C126" s="66">
        <v>12.993495934959357</v>
      </c>
      <c r="D126" s="71">
        <v>1.7235772357723578</v>
      </c>
      <c r="E126" s="67">
        <v>0.49593495934959347</v>
      </c>
      <c r="F126" s="67">
        <v>0.21951219512195122</v>
      </c>
      <c r="G126" s="67">
        <v>0.35170340681362727</v>
      </c>
      <c r="H126" s="67">
        <v>0.15330661322645289</v>
      </c>
      <c r="I126" s="68">
        <v>9112.2507122507122</v>
      </c>
      <c r="J126" s="68">
        <v>-8224.1830065359482</v>
      </c>
      <c r="K126" s="67">
        <v>0.10569105691056911</v>
      </c>
      <c r="L126" s="67">
        <v>0.17073170731707318</v>
      </c>
      <c r="M126" s="67">
        <v>0.32865731462925851</v>
      </c>
      <c r="N126" s="67">
        <v>0.21943887775551102</v>
      </c>
      <c r="O126" s="67">
        <v>0.57621951219512191</v>
      </c>
      <c r="P126" s="67">
        <v>0.51598173515981738</v>
      </c>
      <c r="Q126" s="67">
        <v>0.40740740740740738</v>
      </c>
    </row>
    <row r="127" spans="1:17" x14ac:dyDescent="0.4">
      <c r="A127" s="69">
        <v>124</v>
      </c>
      <c r="B127" s="66">
        <v>1628.600000000001</v>
      </c>
      <c r="C127" s="66">
        <v>13.133870967741943</v>
      </c>
      <c r="D127" s="71">
        <v>1.717741935483871</v>
      </c>
      <c r="E127" s="67">
        <v>0.5</v>
      </c>
      <c r="F127" s="67">
        <v>0.21774193548387097</v>
      </c>
      <c r="G127" s="67">
        <v>0.35089463220675943</v>
      </c>
      <c r="H127" s="67">
        <v>0.15407554671968191</v>
      </c>
      <c r="I127" s="68">
        <v>9134.2776203966005</v>
      </c>
      <c r="J127" s="68">
        <v>-8178.0645161290322</v>
      </c>
      <c r="K127" s="67">
        <v>0.10483870967741936</v>
      </c>
      <c r="L127" s="67">
        <v>0.16935483870967741</v>
      </c>
      <c r="M127" s="67">
        <v>0.32703777335984097</v>
      </c>
      <c r="N127" s="67">
        <v>0.21968190854870775</v>
      </c>
      <c r="O127" s="67">
        <v>0.57750759878419455</v>
      </c>
      <c r="P127" s="67">
        <v>0.51583710407239824</v>
      </c>
      <c r="Q127" s="67">
        <v>0.40509915014164305</v>
      </c>
    </row>
    <row r="128" spans="1:17" x14ac:dyDescent="0.4">
      <c r="A128" s="69">
        <v>125</v>
      </c>
      <c r="B128" s="66">
        <v>1565.600000000001</v>
      </c>
      <c r="C128" s="66">
        <v>12.524800000000008</v>
      </c>
      <c r="D128" s="71">
        <v>1.728</v>
      </c>
      <c r="E128" s="67">
        <v>0.496</v>
      </c>
      <c r="F128" s="67">
        <v>0.224</v>
      </c>
      <c r="G128" s="67">
        <v>0.34985133795837464</v>
      </c>
      <c r="H128" s="67">
        <v>0.15559960356788899</v>
      </c>
      <c r="I128" s="68">
        <v>9134.2776203966005</v>
      </c>
      <c r="J128" s="68">
        <v>-8277.7070063694264</v>
      </c>
      <c r="K128" s="67">
        <v>0.112</v>
      </c>
      <c r="L128" s="67">
        <v>0.16800000000000001</v>
      </c>
      <c r="M128" s="67">
        <v>0.32606541129831518</v>
      </c>
      <c r="N128" s="67">
        <v>0.22101090188305253</v>
      </c>
      <c r="O128" s="67">
        <v>0.57750759878419455</v>
      </c>
      <c r="P128" s="67">
        <v>0.5112107623318386</v>
      </c>
      <c r="Q128" s="67">
        <v>0.40509915014164305</v>
      </c>
    </row>
    <row r="129" spans="1:17" x14ac:dyDescent="0.4">
      <c r="A129" s="69">
        <v>126</v>
      </c>
      <c r="B129" s="66">
        <v>1666.5000000000011</v>
      </c>
      <c r="C129" s="66">
        <v>13.226190476190485</v>
      </c>
      <c r="D129" s="71">
        <v>1.7222222222222223</v>
      </c>
      <c r="E129" s="67">
        <v>0.5</v>
      </c>
      <c r="F129" s="67">
        <v>0.22222222222222221</v>
      </c>
      <c r="G129" s="67">
        <v>0.3526522593320236</v>
      </c>
      <c r="H129" s="67">
        <v>0.15422396856581533</v>
      </c>
      <c r="I129" s="68">
        <v>9180.5013927576601</v>
      </c>
      <c r="J129" s="68">
        <v>-8277.7070063694264</v>
      </c>
      <c r="K129" s="67">
        <v>0.1111111111111111</v>
      </c>
      <c r="L129" s="67">
        <v>0.17460317460317459</v>
      </c>
      <c r="M129" s="67">
        <v>0.32612966601178783</v>
      </c>
      <c r="N129" s="67">
        <v>0.22298624754420432</v>
      </c>
      <c r="O129" s="67">
        <v>0.58132530120481929</v>
      </c>
      <c r="P129" s="67">
        <v>0.51541850220264318</v>
      </c>
      <c r="Q129" s="67">
        <v>0.4011142061281337</v>
      </c>
    </row>
    <row r="130" spans="1:17" x14ac:dyDescent="0.4">
      <c r="A130" s="69">
        <v>127</v>
      </c>
      <c r="B130" s="66">
        <v>1643.100000000001</v>
      </c>
      <c r="C130" s="66">
        <v>12.93779527559056</v>
      </c>
      <c r="D130" s="71">
        <v>1.7322834645669292</v>
      </c>
      <c r="E130" s="67">
        <v>0.49606299212598426</v>
      </c>
      <c r="F130" s="67">
        <v>0.2283464566929134</v>
      </c>
      <c r="G130" s="67">
        <v>0.3498542274052478</v>
      </c>
      <c r="H130" s="67">
        <v>0.15451895043731778</v>
      </c>
      <c r="I130" s="68">
        <v>9205</v>
      </c>
      <c r="J130" s="68">
        <v>-8233.3333333333339</v>
      </c>
      <c r="K130" s="67">
        <v>0.11023622047244094</v>
      </c>
      <c r="L130" s="67">
        <v>0.17322834645669291</v>
      </c>
      <c r="M130" s="67">
        <v>0.32847424684159376</v>
      </c>
      <c r="N130" s="67">
        <v>0.22157434402332363</v>
      </c>
      <c r="O130" s="67">
        <v>0.57396449704142016</v>
      </c>
      <c r="P130" s="67">
        <v>0.51315789473684215</v>
      </c>
      <c r="Q130" s="67">
        <v>0.4</v>
      </c>
    </row>
    <row r="131" spans="1:17" x14ac:dyDescent="0.4">
      <c r="A131" s="69">
        <v>128</v>
      </c>
      <c r="B131" s="66">
        <v>1573.600000000001</v>
      </c>
      <c r="C131" s="66">
        <v>12.293750000000008</v>
      </c>
      <c r="D131" s="71">
        <v>1.7421875</v>
      </c>
      <c r="E131" s="67">
        <v>0.4921875</v>
      </c>
      <c r="F131" s="67">
        <v>0.234375</v>
      </c>
      <c r="G131" s="67">
        <v>0.34778420038535646</v>
      </c>
      <c r="H131" s="67">
        <v>0.15703275529865124</v>
      </c>
      <c r="I131" s="68">
        <v>9223.8227146814406</v>
      </c>
      <c r="J131" s="68">
        <v>-8374.8466257668715</v>
      </c>
      <c r="K131" s="67">
        <v>0.1171875</v>
      </c>
      <c r="L131" s="67">
        <v>0.171875</v>
      </c>
      <c r="M131" s="67">
        <v>0.32562620423892102</v>
      </c>
      <c r="N131" s="67">
        <v>0.21965317919075145</v>
      </c>
      <c r="O131" s="67">
        <v>0.57396449704142016</v>
      </c>
      <c r="P131" s="67">
        <v>0.51315789473684215</v>
      </c>
      <c r="Q131" s="67">
        <v>0.40166204986149584</v>
      </c>
    </row>
    <row r="132" spans="1:17" x14ac:dyDescent="0.4">
      <c r="A132" s="69">
        <v>129</v>
      </c>
      <c r="B132" s="66">
        <v>1603.0000000000011</v>
      </c>
      <c r="C132" s="66">
        <v>12.426356589147296</v>
      </c>
      <c r="D132" s="71">
        <v>1.7364341085271318</v>
      </c>
      <c r="E132" s="67">
        <v>0.49612403100775193</v>
      </c>
      <c r="F132" s="67">
        <v>0.23255813953488372</v>
      </c>
      <c r="G132" s="67">
        <v>0.34699714013346045</v>
      </c>
      <c r="H132" s="67">
        <v>0.15824594852240229</v>
      </c>
      <c r="I132" s="68">
        <v>9240.1098901098903</v>
      </c>
      <c r="J132" s="68">
        <v>-8291.5662650602408</v>
      </c>
      <c r="K132" s="67">
        <v>0.11627906976744186</v>
      </c>
      <c r="L132" s="67">
        <v>0.17054263565891473</v>
      </c>
      <c r="M132" s="67">
        <v>0.32316491897044802</v>
      </c>
      <c r="N132" s="67">
        <v>0.2202097235462345</v>
      </c>
      <c r="O132" s="67">
        <v>0.57227138643067843</v>
      </c>
      <c r="P132" s="67">
        <v>0.51515151515151514</v>
      </c>
      <c r="Q132" s="67">
        <v>0.40109890109890112</v>
      </c>
    </row>
    <row r="133" spans="1:17" x14ac:dyDescent="0.4">
      <c r="A133" s="69">
        <v>130</v>
      </c>
      <c r="B133" s="66">
        <v>1682.600000000001</v>
      </c>
      <c r="C133" s="66">
        <v>12.943076923076932</v>
      </c>
      <c r="D133" s="71">
        <v>1.7307692307692308</v>
      </c>
      <c r="E133" s="67">
        <v>0.5</v>
      </c>
      <c r="F133" s="67">
        <v>0.23076923076923078</v>
      </c>
      <c r="G133" s="67">
        <v>0.35009487666034156</v>
      </c>
      <c r="H133" s="67">
        <v>0.15749525616698293</v>
      </c>
      <c r="I133" s="68">
        <v>9241.1924119241194</v>
      </c>
      <c r="J133" s="68">
        <v>-8291.5662650602408</v>
      </c>
      <c r="K133" s="67">
        <v>0.11538461538461539</v>
      </c>
      <c r="L133" s="67">
        <v>0.17692307692307693</v>
      </c>
      <c r="M133" s="67">
        <v>0.3235294117647059</v>
      </c>
      <c r="N133" s="67">
        <v>0.22011385199240988</v>
      </c>
      <c r="O133" s="67">
        <v>0.57478005865102644</v>
      </c>
      <c r="P133" s="67">
        <v>0.51724137931034486</v>
      </c>
      <c r="Q133" s="67">
        <v>0.40108401084010842</v>
      </c>
    </row>
    <row r="134" spans="1:17" x14ac:dyDescent="0.4">
      <c r="A134" s="69">
        <v>131</v>
      </c>
      <c r="B134" s="66">
        <v>1632.100000000001</v>
      </c>
      <c r="C134" s="66">
        <v>12.458778625954206</v>
      </c>
      <c r="D134" s="71">
        <v>1.7404580152671756</v>
      </c>
      <c r="E134" s="67">
        <v>0.49618320610687022</v>
      </c>
      <c r="F134" s="67">
        <v>0.23664122137404581</v>
      </c>
      <c r="G134" s="67">
        <v>0.34839924670433148</v>
      </c>
      <c r="H134" s="67">
        <v>0.15819209039548024</v>
      </c>
      <c r="I134" s="68">
        <v>9227.0270270270266</v>
      </c>
      <c r="J134" s="68">
        <v>-8288.0952380952385</v>
      </c>
      <c r="K134" s="67">
        <v>0.11450381679389313</v>
      </c>
      <c r="L134" s="67">
        <v>0.17557251908396945</v>
      </c>
      <c r="M134" s="67">
        <v>0.32297551789077211</v>
      </c>
      <c r="N134" s="67">
        <v>0.22033898305084745</v>
      </c>
      <c r="O134" s="67">
        <v>0.57434402332361512</v>
      </c>
      <c r="P134" s="67">
        <v>0.51282051282051277</v>
      </c>
      <c r="Q134" s="67">
        <v>0.4027027027027027</v>
      </c>
    </row>
    <row r="135" spans="1:17" x14ac:dyDescent="0.4">
      <c r="A135" s="69">
        <v>132</v>
      </c>
      <c r="B135" s="66">
        <v>1590.400000000001</v>
      </c>
      <c r="C135" s="66">
        <v>12.048484848484856</v>
      </c>
      <c r="D135" s="71">
        <v>1.75</v>
      </c>
      <c r="E135" s="67">
        <v>0.49242424242424243</v>
      </c>
      <c r="F135" s="67">
        <v>0.24242424242424243</v>
      </c>
      <c r="G135" s="67">
        <v>0.34669151910531221</v>
      </c>
      <c r="H135" s="67">
        <v>0.16029822926374651</v>
      </c>
      <c r="I135" s="68">
        <v>9215.322580645161</v>
      </c>
      <c r="J135" s="68">
        <v>-8284.3023255813951</v>
      </c>
      <c r="K135" s="67">
        <v>0.11363636363636363</v>
      </c>
      <c r="L135" s="67">
        <v>0.17424242424242425</v>
      </c>
      <c r="M135" s="67">
        <v>0.32152842497670087</v>
      </c>
      <c r="N135" s="67">
        <v>0.22087604846225536</v>
      </c>
      <c r="O135" s="67">
        <v>0.57101449275362315</v>
      </c>
      <c r="P135" s="67">
        <v>0.51476793248945152</v>
      </c>
      <c r="Q135" s="67">
        <v>0.40322580645161288</v>
      </c>
    </row>
    <row r="136" spans="1:17" x14ac:dyDescent="0.4">
      <c r="A136" s="69">
        <v>133</v>
      </c>
      <c r="B136" s="66">
        <v>1555.5000000000009</v>
      </c>
      <c r="C136" s="66">
        <v>11.695488721804518</v>
      </c>
      <c r="D136" s="71">
        <v>1.7593984962406015</v>
      </c>
      <c r="E136" s="67">
        <v>0.48872180451127817</v>
      </c>
      <c r="F136" s="67">
        <v>0.24812030075187969</v>
      </c>
      <c r="G136" s="67">
        <v>0.34629629629629627</v>
      </c>
      <c r="H136" s="67">
        <v>0.16111111111111112</v>
      </c>
      <c r="I136" s="68">
        <v>9218.7165775401063</v>
      </c>
      <c r="J136" s="68">
        <v>-8353.4482758620688</v>
      </c>
      <c r="K136" s="67">
        <v>0.11278195488721804</v>
      </c>
      <c r="L136" s="67">
        <v>0.17293233082706766</v>
      </c>
      <c r="M136" s="67">
        <v>0.32314814814814813</v>
      </c>
      <c r="N136" s="67">
        <v>0.21944444444444444</v>
      </c>
      <c r="O136" s="67">
        <v>0.56733524355300857</v>
      </c>
      <c r="P136" s="67">
        <v>0.51476793248945152</v>
      </c>
      <c r="Q136" s="67">
        <v>0.40374331550802139</v>
      </c>
    </row>
    <row r="137" spans="1:17" x14ac:dyDescent="0.4">
      <c r="A137" s="69">
        <v>134</v>
      </c>
      <c r="B137" s="66">
        <v>1549.3000000000009</v>
      </c>
      <c r="C137" s="66">
        <v>11.561940298507469</v>
      </c>
      <c r="D137" s="71">
        <v>1.7611940298507462</v>
      </c>
      <c r="E137" s="67">
        <v>0.48507462686567165</v>
      </c>
      <c r="F137" s="67">
        <v>0.2462686567164179</v>
      </c>
      <c r="G137" s="67">
        <v>0.34587155963302751</v>
      </c>
      <c r="H137" s="67">
        <v>0.16238532110091744</v>
      </c>
      <c r="I137" s="68">
        <v>9218.8328912466841</v>
      </c>
      <c r="J137" s="68">
        <v>-8345.1977401129952</v>
      </c>
      <c r="K137" s="67">
        <v>0.11194029850746269</v>
      </c>
      <c r="L137" s="67">
        <v>0.17164179104477612</v>
      </c>
      <c r="M137" s="67">
        <v>0.3220183486238532</v>
      </c>
      <c r="N137" s="67">
        <v>0.22110091743119267</v>
      </c>
      <c r="O137" s="67">
        <v>0.56980056980056981</v>
      </c>
      <c r="P137" s="67">
        <v>0.51037344398340245</v>
      </c>
      <c r="Q137" s="67">
        <v>0.40583554376657827</v>
      </c>
    </row>
    <row r="138" spans="1:17" x14ac:dyDescent="0.4">
      <c r="A138" s="69">
        <v>135</v>
      </c>
      <c r="B138" s="66">
        <v>1609.6000000000008</v>
      </c>
      <c r="C138" s="66">
        <v>11.92296296296297</v>
      </c>
      <c r="D138" s="71">
        <v>1.7555555555555555</v>
      </c>
      <c r="E138" s="67">
        <v>0.48888888888888887</v>
      </c>
      <c r="F138" s="67">
        <v>0.24444444444444444</v>
      </c>
      <c r="G138" s="67">
        <v>0.34667879890809827</v>
      </c>
      <c r="H138" s="67">
        <v>0.1610555050045496</v>
      </c>
      <c r="I138" s="68">
        <v>9225.1968503937005</v>
      </c>
      <c r="J138" s="68">
        <v>-8345.1977401129952</v>
      </c>
      <c r="K138" s="67">
        <v>0.1111111111111111</v>
      </c>
      <c r="L138" s="67">
        <v>0.17777777777777778</v>
      </c>
      <c r="M138" s="67">
        <v>0.32393084622383983</v>
      </c>
      <c r="N138" s="67">
        <v>0.21929026387625114</v>
      </c>
      <c r="O138" s="67">
        <v>0.5730337078651685</v>
      </c>
      <c r="P138" s="67">
        <v>0.51037344398340245</v>
      </c>
      <c r="Q138" s="67">
        <v>0.40944881889763779</v>
      </c>
    </row>
    <row r="139" spans="1:17" x14ac:dyDescent="0.4">
      <c r="A139" s="69">
        <v>136</v>
      </c>
      <c r="B139" s="66">
        <v>1638.4000000000008</v>
      </c>
      <c r="C139" s="66">
        <v>12.047058823529417</v>
      </c>
      <c r="D139" s="71">
        <v>1.75</v>
      </c>
      <c r="E139" s="67">
        <v>0.49264705882352944</v>
      </c>
      <c r="F139" s="67">
        <v>0.24264705882352941</v>
      </c>
      <c r="G139" s="67">
        <v>0.34629294755877033</v>
      </c>
      <c r="H139" s="67">
        <v>0.16094032549728751</v>
      </c>
      <c r="I139" s="68">
        <v>9211.488250652741</v>
      </c>
      <c r="J139" s="68">
        <v>-8320.2247191011229</v>
      </c>
      <c r="K139" s="67">
        <v>0.11029411764705882</v>
      </c>
      <c r="L139" s="67">
        <v>0.17647058823529413</v>
      </c>
      <c r="M139" s="67">
        <v>0.32368896925858953</v>
      </c>
      <c r="N139" s="67">
        <v>0.21971066907775769</v>
      </c>
      <c r="O139" s="67">
        <v>0.57262569832402233</v>
      </c>
      <c r="P139" s="67">
        <v>0.51028806584362141</v>
      </c>
      <c r="Q139" s="67">
        <v>0.41253263707571802</v>
      </c>
    </row>
    <row r="140" spans="1:17" x14ac:dyDescent="0.4">
      <c r="A140" s="69">
        <v>137</v>
      </c>
      <c r="B140" s="66">
        <v>1631.8000000000009</v>
      </c>
      <c r="C140" s="66">
        <v>11.910948905109496</v>
      </c>
      <c r="D140" s="71">
        <v>1.7518248175182483</v>
      </c>
      <c r="E140" s="67">
        <v>0.48905109489051096</v>
      </c>
      <c r="F140" s="67">
        <v>0.24087591240875914</v>
      </c>
      <c r="G140" s="67">
        <v>0.34560143626570916</v>
      </c>
      <c r="H140" s="67">
        <v>0.1615798922800718</v>
      </c>
      <c r="I140" s="68">
        <v>9190.3896103896095</v>
      </c>
      <c r="J140" s="68">
        <v>-8250.5555555555547</v>
      </c>
      <c r="K140" s="67">
        <v>0.10948905109489052</v>
      </c>
      <c r="L140" s="67">
        <v>0.17518248175182483</v>
      </c>
      <c r="M140" s="67">
        <v>0.32226211849192099</v>
      </c>
      <c r="N140" s="67">
        <v>0.2199281867145422</v>
      </c>
      <c r="O140" s="67">
        <v>0.57381615598885793</v>
      </c>
      <c r="P140" s="67">
        <v>0.51020408163265307</v>
      </c>
      <c r="Q140" s="67">
        <v>0.41298701298701301</v>
      </c>
    </row>
    <row r="141" spans="1:17" x14ac:dyDescent="0.4">
      <c r="A141" s="69">
        <v>138</v>
      </c>
      <c r="B141" s="66">
        <v>1633.8000000000009</v>
      </c>
      <c r="C141" s="66">
        <v>11.839130434782614</v>
      </c>
      <c r="D141" s="71">
        <v>1.7536231884057971</v>
      </c>
      <c r="E141" s="67">
        <v>0.48550724637681159</v>
      </c>
      <c r="F141" s="67">
        <v>0.2391304347826087</v>
      </c>
      <c r="G141" s="67">
        <v>0.34550311665182548</v>
      </c>
      <c r="H141" s="67">
        <v>0.16206589492430989</v>
      </c>
      <c r="I141" s="68">
        <v>9176.8041237113393</v>
      </c>
      <c r="J141" s="68">
        <v>-8232.9670329670334</v>
      </c>
      <c r="K141" s="67">
        <v>0.10869565217391304</v>
      </c>
      <c r="L141" s="67">
        <v>0.17391304347826086</v>
      </c>
      <c r="M141" s="67">
        <v>0.32146037399821903</v>
      </c>
      <c r="N141" s="67">
        <v>0.21905609973285842</v>
      </c>
      <c r="O141" s="67">
        <v>0.57617728531855961</v>
      </c>
      <c r="P141" s="67">
        <v>0.50813008130081305</v>
      </c>
      <c r="Q141" s="67">
        <v>0.41237113402061853</v>
      </c>
    </row>
    <row r="142" spans="1:17" x14ac:dyDescent="0.4">
      <c r="A142" s="69">
        <v>139</v>
      </c>
      <c r="B142" s="66">
        <v>1701.6000000000008</v>
      </c>
      <c r="C142" s="66">
        <v>12.241726618705043</v>
      </c>
      <c r="D142" s="71">
        <v>1.7482014388489209</v>
      </c>
      <c r="E142" s="67">
        <v>0.48920863309352519</v>
      </c>
      <c r="F142" s="67">
        <v>0.23741007194244604</v>
      </c>
      <c r="G142" s="67">
        <v>0.34836427939876213</v>
      </c>
      <c r="H142" s="67">
        <v>0.16180371352785147</v>
      </c>
      <c r="I142" s="68">
        <v>9148.9847715736032</v>
      </c>
      <c r="J142" s="68">
        <v>-8195.0819672131147</v>
      </c>
      <c r="K142" s="67">
        <v>0.1079136690647482</v>
      </c>
      <c r="L142" s="67">
        <v>0.17985611510791366</v>
      </c>
      <c r="M142" s="67">
        <v>0.32183908045977011</v>
      </c>
      <c r="N142" s="67">
        <v>0.21927497789566755</v>
      </c>
      <c r="O142" s="67">
        <v>0.57967032967032972</v>
      </c>
      <c r="P142" s="67">
        <v>0.51209677419354838</v>
      </c>
      <c r="Q142" s="67">
        <v>0.4137055837563452</v>
      </c>
    </row>
    <row r="143" spans="1:17" x14ac:dyDescent="0.4">
      <c r="A143" s="69">
        <v>140</v>
      </c>
      <c r="B143" s="66">
        <v>1700.4000000000008</v>
      </c>
      <c r="C143" s="66">
        <v>12.145714285714291</v>
      </c>
      <c r="D143" s="71">
        <v>1.75</v>
      </c>
      <c r="E143" s="67">
        <v>0.48571428571428571</v>
      </c>
      <c r="F143" s="67">
        <v>0.23571428571428571</v>
      </c>
      <c r="G143" s="67">
        <v>0.34679543459174716</v>
      </c>
      <c r="H143" s="67">
        <v>0.16066725197541704</v>
      </c>
      <c r="I143" s="68">
        <v>9146.0759493670885</v>
      </c>
      <c r="J143" s="68">
        <v>-8195.0819672131147</v>
      </c>
      <c r="K143" s="67">
        <v>0.10714285714285714</v>
      </c>
      <c r="L143" s="67">
        <v>0.17857142857142858</v>
      </c>
      <c r="M143" s="67">
        <v>0.31957857769973663</v>
      </c>
      <c r="N143" s="67">
        <v>0.21861281826163301</v>
      </c>
      <c r="O143" s="67">
        <v>0.57967032967032972</v>
      </c>
      <c r="P143" s="67">
        <v>0.51405622489959835</v>
      </c>
      <c r="Q143" s="67">
        <v>0.41518987341772151</v>
      </c>
    </row>
    <row r="144" spans="1:17" x14ac:dyDescent="0.4">
      <c r="A144" s="69">
        <v>141</v>
      </c>
      <c r="B144" s="66">
        <v>1724.1000000000008</v>
      </c>
      <c r="C144" s="66">
        <v>12.22765957446809</v>
      </c>
      <c r="D144" s="71">
        <v>1.7446808510638299</v>
      </c>
      <c r="E144" s="67">
        <v>0.48936170212765956</v>
      </c>
      <c r="F144" s="67">
        <v>0.23404255319148937</v>
      </c>
      <c r="G144" s="67">
        <v>0.34695652173913044</v>
      </c>
      <c r="H144" s="67">
        <v>0.16086956521739129</v>
      </c>
      <c r="I144" s="68">
        <v>9147.6190476190477</v>
      </c>
      <c r="J144" s="68">
        <v>-8199.45945945946</v>
      </c>
      <c r="K144" s="67">
        <v>0.10638297872340426</v>
      </c>
      <c r="L144" s="67">
        <v>0.1773049645390071</v>
      </c>
      <c r="M144" s="67">
        <v>0.31826086956521737</v>
      </c>
      <c r="N144" s="67">
        <v>0.22086956521739132</v>
      </c>
      <c r="O144" s="67">
        <v>0.57650273224043713</v>
      </c>
      <c r="P144" s="67">
        <v>0.51968503937007871</v>
      </c>
      <c r="Q144" s="67">
        <v>0.41353383458646614</v>
      </c>
    </row>
    <row r="145" spans="1:17" x14ac:dyDescent="0.4">
      <c r="A145" s="69">
        <v>142</v>
      </c>
      <c r="B145" s="66">
        <v>1751.8000000000009</v>
      </c>
      <c r="C145" s="66">
        <v>12.336619718309866</v>
      </c>
      <c r="D145" s="71">
        <v>1.7394366197183098</v>
      </c>
      <c r="E145" s="67">
        <v>0.49295774647887325</v>
      </c>
      <c r="F145" s="67">
        <v>0.23239436619718309</v>
      </c>
      <c r="G145" s="67">
        <v>0.34801381692573402</v>
      </c>
      <c r="H145" s="67">
        <v>0.15975820379965458</v>
      </c>
      <c r="I145" s="68">
        <v>9101.7369727047153</v>
      </c>
      <c r="J145" s="68">
        <v>-8199.45945945946</v>
      </c>
      <c r="K145" s="67">
        <v>0.10563380281690141</v>
      </c>
      <c r="L145" s="67">
        <v>0.176056338028169</v>
      </c>
      <c r="M145" s="67">
        <v>0.31692573402417962</v>
      </c>
      <c r="N145" s="67">
        <v>0.21934369602763384</v>
      </c>
      <c r="O145" s="67">
        <v>0.57765667574931878</v>
      </c>
      <c r="P145" s="67">
        <v>0.51968503937007871</v>
      </c>
      <c r="Q145" s="67">
        <v>0.4143920595533499</v>
      </c>
    </row>
    <row r="146" spans="1:17" x14ac:dyDescent="0.4">
      <c r="A146" s="69">
        <v>143</v>
      </c>
      <c r="B146" s="66">
        <v>1797.1000000000008</v>
      </c>
      <c r="C146" s="66">
        <v>12.567132867132873</v>
      </c>
      <c r="D146" s="71">
        <v>1.7342657342657342</v>
      </c>
      <c r="E146" s="67">
        <v>0.49650349650349651</v>
      </c>
      <c r="F146" s="67">
        <v>0.23076923076923078</v>
      </c>
      <c r="G146" s="67">
        <v>0.34842015371477369</v>
      </c>
      <c r="H146" s="67">
        <v>0.15883859948761742</v>
      </c>
      <c r="I146" s="68">
        <v>9089.9509803921574</v>
      </c>
      <c r="J146" s="68">
        <v>-8183.333333333333</v>
      </c>
      <c r="K146" s="67">
        <v>0.1048951048951049</v>
      </c>
      <c r="L146" s="67">
        <v>0.17482517482517482</v>
      </c>
      <c r="M146" s="67">
        <v>0.3142613151152861</v>
      </c>
      <c r="N146" s="67">
        <v>0.22117847993168233</v>
      </c>
      <c r="O146" s="67">
        <v>0.57880434782608692</v>
      </c>
      <c r="P146" s="67">
        <v>0.51737451737451734</v>
      </c>
      <c r="Q146" s="67">
        <v>0.41421568627450983</v>
      </c>
    </row>
    <row r="147" spans="1:17" x14ac:dyDescent="0.4">
      <c r="A147" s="69">
        <v>144</v>
      </c>
      <c r="B147" s="66">
        <v>1806.1000000000008</v>
      </c>
      <c r="C147" s="66">
        <v>12.542361111111116</v>
      </c>
      <c r="D147" s="71">
        <v>1.7361111111111112</v>
      </c>
      <c r="E147" s="67">
        <v>0.49305555555555558</v>
      </c>
      <c r="F147" s="67">
        <v>0.22916666666666666</v>
      </c>
      <c r="G147" s="67">
        <v>0.34860050890585242</v>
      </c>
      <c r="H147" s="67">
        <v>0.15860899067005937</v>
      </c>
      <c r="I147" s="68">
        <v>9114.3552311435524</v>
      </c>
      <c r="J147" s="68">
        <v>-8235.8288770053477</v>
      </c>
      <c r="K147" s="67">
        <v>0.10416666666666667</v>
      </c>
      <c r="L147" s="67">
        <v>0.1736111111111111</v>
      </c>
      <c r="M147" s="67">
        <v>0.31297709923664124</v>
      </c>
      <c r="N147" s="67">
        <v>0.22222222222222221</v>
      </c>
      <c r="O147" s="67">
        <v>0.57723577235772361</v>
      </c>
      <c r="P147" s="67">
        <v>0.51908396946564883</v>
      </c>
      <c r="Q147" s="67">
        <v>0.41362530413625304</v>
      </c>
    </row>
    <row r="148" spans="1:17" x14ac:dyDescent="0.4">
      <c r="A148" s="69">
        <v>145</v>
      </c>
      <c r="B148" s="66">
        <v>1774.3000000000009</v>
      </c>
      <c r="C148" s="66">
        <v>12.236551724137938</v>
      </c>
      <c r="D148" s="71">
        <v>1.7448275862068965</v>
      </c>
      <c r="E148" s="67">
        <v>0.48965517241379308</v>
      </c>
      <c r="F148" s="67">
        <v>0.23448275862068965</v>
      </c>
      <c r="G148" s="67">
        <v>0.34819175777964678</v>
      </c>
      <c r="H148" s="67">
        <v>0.159798149705635</v>
      </c>
      <c r="I148" s="68">
        <v>9094.4444444444453</v>
      </c>
      <c r="J148" s="68">
        <v>-8250.5263157894733</v>
      </c>
      <c r="K148" s="67">
        <v>0.10344827586206896</v>
      </c>
      <c r="L148" s="67">
        <v>0.17241379310344829</v>
      </c>
      <c r="M148" s="67">
        <v>0.31286795626576958</v>
      </c>
      <c r="N148" s="67">
        <v>0.22035323801513879</v>
      </c>
      <c r="O148" s="67">
        <v>0.57795698924731187</v>
      </c>
      <c r="P148" s="67">
        <v>0.51908396946564883</v>
      </c>
      <c r="Q148" s="67">
        <v>0.41062801932367149</v>
      </c>
    </row>
    <row r="149" spans="1:17" x14ac:dyDescent="0.4">
      <c r="A149" s="69">
        <v>146</v>
      </c>
      <c r="B149" s="66">
        <v>1767.0000000000009</v>
      </c>
      <c r="C149" s="66">
        <v>12.102739726027403</v>
      </c>
      <c r="D149" s="71">
        <v>1.7465753424657535</v>
      </c>
      <c r="E149" s="67">
        <v>0.4863013698630137</v>
      </c>
      <c r="F149" s="67">
        <v>0.23287671232876711</v>
      </c>
      <c r="G149" s="67">
        <v>0.34670008354218879</v>
      </c>
      <c r="H149" s="67">
        <v>0.16040100250626566</v>
      </c>
      <c r="I149" s="68">
        <v>9091.0843373493972</v>
      </c>
      <c r="J149" s="68">
        <v>-8247.9166666666661</v>
      </c>
      <c r="K149" s="67">
        <v>0.10273972602739725</v>
      </c>
      <c r="L149" s="67">
        <v>0.17123287671232876</v>
      </c>
      <c r="M149" s="67">
        <v>0.31244778613199664</v>
      </c>
      <c r="N149" s="67">
        <v>0.21888053467000834</v>
      </c>
      <c r="O149" s="67">
        <v>0.57486631016042777</v>
      </c>
      <c r="P149" s="67">
        <v>0.51908396946564883</v>
      </c>
      <c r="Q149" s="67">
        <v>0.40963855421686746</v>
      </c>
    </row>
    <row r="150" spans="1:17" x14ac:dyDescent="0.4">
      <c r="A150" s="69">
        <v>147</v>
      </c>
      <c r="B150" s="66">
        <v>1763.5000000000009</v>
      </c>
      <c r="C150" s="66">
        <v>11.996598639455788</v>
      </c>
      <c r="D150" s="71">
        <v>1.7482993197278911</v>
      </c>
      <c r="E150" s="67">
        <v>0.48299319727891155</v>
      </c>
      <c r="F150" s="67">
        <v>0.23129251700680273</v>
      </c>
      <c r="G150" s="67">
        <v>0.34551495016611294</v>
      </c>
      <c r="H150" s="67">
        <v>0.15946843853820597</v>
      </c>
      <c r="I150" s="68">
        <v>9088.461538461539</v>
      </c>
      <c r="J150" s="68">
        <v>-8247.9166666666661</v>
      </c>
      <c r="K150" s="67">
        <v>0.10204081632653061</v>
      </c>
      <c r="L150" s="67">
        <v>0.17006802721088435</v>
      </c>
      <c r="M150" s="67">
        <v>0.31146179401993357</v>
      </c>
      <c r="N150" s="67">
        <v>0.22009966777408638</v>
      </c>
      <c r="O150" s="67">
        <v>0.57333333333333336</v>
      </c>
      <c r="P150" s="67">
        <v>0.51698113207547169</v>
      </c>
      <c r="Q150" s="67">
        <v>0.40865384615384615</v>
      </c>
    </row>
    <row r="151" spans="1:17" x14ac:dyDescent="0.4">
      <c r="A151" s="69">
        <v>148</v>
      </c>
      <c r="B151" s="66">
        <v>1727.1000000000008</v>
      </c>
      <c r="C151" s="66">
        <v>11.669594594594599</v>
      </c>
      <c r="D151" s="71">
        <v>1.7567567567567568</v>
      </c>
      <c r="E151" s="67">
        <v>0.47972972972972971</v>
      </c>
      <c r="F151" s="67">
        <v>0.23648648648648649</v>
      </c>
      <c r="G151" s="67">
        <v>0.34349258649093906</v>
      </c>
      <c r="H151" s="67">
        <v>0.15980230642504117</v>
      </c>
      <c r="I151" s="68">
        <v>9085.851318944844</v>
      </c>
      <c r="J151" s="68">
        <v>-8265.4639175257726</v>
      </c>
      <c r="K151" s="67">
        <v>0.10135135135135136</v>
      </c>
      <c r="L151" s="67">
        <v>0.16891891891891891</v>
      </c>
      <c r="M151" s="67">
        <v>0.30971993410214166</v>
      </c>
      <c r="N151" s="67">
        <v>0.21993410214168038</v>
      </c>
      <c r="O151" s="67">
        <v>0.57180851063829785</v>
      </c>
      <c r="P151" s="67">
        <v>0.5168539325842697</v>
      </c>
      <c r="Q151" s="67">
        <v>0.407673860911271</v>
      </c>
    </row>
    <row r="152" spans="1:17" x14ac:dyDescent="0.4">
      <c r="A152" s="69">
        <v>149</v>
      </c>
      <c r="B152" s="66">
        <v>1744.7000000000007</v>
      </c>
      <c r="C152" s="66">
        <v>11.709395973154367</v>
      </c>
      <c r="D152" s="71">
        <v>1.7583892617449663</v>
      </c>
      <c r="E152" s="67">
        <v>0.47651006711409394</v>
      </c>
      <c r="F152" s="67">
        <v>0.2348993288590604</v>
      </c>
      <c r="G152" s="67">
        <v>0.34369885433715219</v>
      </c>
      <c r="H152" s="67">
        <v>0.15875613747954173</v>
      </c>
      <c r="I152" s="68">
        <v>9075.9523809523816</v>
      </c>
      <c r="J152" s="68">
        <v>-8265.4639175257726</v>
      </c>
      <c r="K152" s="67">
        <v>0.10067114093959731</v>
      </c>
      <c r="L152" s="67">
        <v>0.16778523489932887</v>
      </c>
      <c r="M152" s="67">
        <v>0.31014729950900166</v>
      </c>
      <c r="N152" s="67">
        <v>0.21931260229132571</v>
      </c>
      <c r="O152" s="67">
        <v>0.57519788918205805</v>
      </c>
      <c r="P152" s="67">
        <v>0.5149253731343284</v>
      </c>
      <c r="Q152" s="67">
        <v>0.40714285714285714</v>
      </c>
    </row>
    <row r="153" spans="1:17" x14ac:dyDescent="0.4">
      <c r="A153" s="69">
        <v>150</v>
      </c>
      <c r="B153" s="66">
        <v>1788.5000000000007</v>
      </c>
      <c r="C153" s="66">
        <v>11.923333333333337</v>
      </c>
      <c r="D153" s="71">
        <v>1.7533333333333334</v>
      </c>
      <c r="E153" s="67">
        <v>0.48</v>
      </c>
      <c r="F153" s="67">
        <v>0.23333333333333334</v>
      </c>
      <c r="G153" s="67">
        <v>0.34471544715447155</v>
      </c>
      <c r="H153" s="67">
        <v>0.15772357723577235</v>
      </c>
      <c r="I153" s="68">
        <v>9064.3867924528295</v>
      </c>
      <c r="J153" s="68">
        <v>-8265.4639175257726</v>
      </c>
      <c r="K153" s="67">
        <v>0.1</v>
      </c>
      <c r="L153" s="67">
        <v>0.17333333333333334</v>
      </c>
      <c r="M153" s="67">
        <v>0.31056910569105689</v>
      </c>
      <c r="N153" s="67">
        <v>0.21951219512195122</v>
      </c>
      <c r="O153" s="67">
        <v>0.5759162303664922</v>
      </c>
      <c r="P153" s="67">
        <v>0.51851851851851849</v>
      </c>
      <c r="Q153" s="67">
        <v>0.40801886792452829</v>
      </c>
    </row>
    <row r="154" spans="1:17" x14ac:dyDescent="0.4">
      <c r="A154" s="69">
        <v>151</v>
      </c>
      <c r="B154" s="66">
        <v>1847.5000000000007</v>
      </c>
      <c r="C154" s="66">
        <v>12.235099337748348</v>
      </c>
      <c r="D154" s="71">
        <v>1.7483443708609272</v>
      </c>
      <c r="E154" s="67">
        <v>0.48344370860927155</v>
      </c>
      <c r="F154" s="67">
        <v>0.23178807947019867</v>
      </c>
      <c r="G154" s="67">
        <v>0.34543987086359967</v>
      </c>
      <c r="H154" s="67">
        <v>0.15738498789346247</v>
      </c>
      <c r="I154" s="68">
        <v>9089.9532710280382</v>
      </c>
      <c r="J154" s="68">
        <v>-8262.5641025641035</v>
      </c>
      <c r="K154" s="67">
        <v>9.9337748344370855E-2</v>
      </c>
      <c r="L154" s="67">
        <v>0.17880794701986755</v>
      </c>
      <c r="M154" s="67">
        <v>0.31234866828087166</v>
      </c>
      <c r="N154" s="67">
        <v>0.21791767554479419</v>
      </c>
      <c r="O154" s="67">
        <v>0.57622739018087854</v>
      </c>
      <c r="P154" s="67">
        <v>0.51851851851851849</v>
      </c>
      <c r="Q154" s="67">
        <v>0.40887850467289721</v>
      </c>
    </row>
    <row r="155" spans="1:17" x14ac:dyDescent="0.4">
      <c r="A155" s="69">
        <v>152</v>
      </c>
      <c r="B155" s="66">
        <v>1812.8000000000006</v>
      </c>
      <c r="C155" s="66">
        <v>11.926315789473689</v>
      </c>
      <c r="D155" s="71">
        <v>1.756578947368421</v>
      </c>
      <c r="E155" s="67">
        <v>0.48026315789473684</v>
      </c>
      <c r="F155" s="67">
        <v>0.23684210526315788</v>
      </c>
      <c r="G155" s="67">
        <v>0.34430176565008025</v>
      </c>
      <c r="H155" s="67">
        <v>0.15730337078651685</v>
      </c>
      <c r="I155" s="68">
        <v>9096.7365967365968</v>
      </c>
      <c r="J155" s="68">
        <v>-8253.0612244897966</v>
      </c>
      <c r="K155" s="67">
        <v>9.8684210526315791E-2</v>
      </c>
      <c r="L155" s="67">
        <v>0.17763157894736842</v>
      </c>
      <c r="M155" s="67">
        <v>0.3130016051364366</v>
      </c>
      <c r="N155" s="67">
        <v>0.21669341894060995</v>
      </c>
      <c r="O155" s="67">
        <v>0.57435897435897432</v>
      </c>
      <c r="P155" s="67">
        <v>0.51851851851851849</v>
      </c>
      <c r="Q155" s="67">
        <v>0.41025641025641024</v>
      </c>
    </row>
    <row r="156" spans="1:17" x14ac:dyDescent="0.4">
      <c r="A156" s="69">
        <v>153</v>
      </c>
      <c r="B156" s="66">
        <v>1805.4000000000005</v>
      </c>
      <c r="C156" s="66">
        <v>11.800000000000004</v>
      </c>
      <c r="D156" s="71">
        <v>1.7581699346405228</v>
      </c>
      <c r="E156" s="67">
        <v>0.47712418300653597</v>
      </c>
      <c r="F156" s="67">
        <v>0.23529411764705882</v>
      </c>
      <c r="G156" s="67">
        <v>0.34397446129289705</v>
      </c>
      <c r="H156" s="67">
        <v>0.15722266560255388</v>
      </c>
      <c r="I156" s="68">
        <v>9078.8863109048725</v>
      </c>
      <c r="J156" s="68">
        <v>-8230.9644670050766</v>
      </c>
      <c r="K156" s="67">
        <v>9.8039215686274508E-2</v>
      </c>
      <c r="L156" s="67">
        <v>0.17647058823529413</v>
      </c>
      <c r="M156" s="67">
        <v>0.31364724660814047</v>
      </c>
      <c r="N156" s="67">
        <v>0.2154828411811652</v>
      </c>
      <c r="O156" s="67">
        <v>0.5750636132315522</v>
      </c>
      <c r="P156" s="67">
        <v>0.51851851851851849</v>
      </c>
      <c r="Q156" s="67">
        <v>0.41067285382830626</v>
      </c>
    </row>
    <row r="157" spans="1:17" x14ac:dyDescent="0.4">
      <c r="A157" s="69">
        <v>154</v>
      </c>
      <c r="B157" s="66">
        <v>1855.1000000000006</v>
      </c>
      <c r="C157" s="66">
        <v>12.046103896103899</v>
      </c>
      <c r="D157" s="71">
        <v>1.7532467532467533</v>
      </c>
      <c r="E157" s="67">
        <v>0.48051948051948051</v>
      </c>
      <c r="F157" s="67">
        <v>0.23376623376623376</v>
      </c>
      <c r="G157" s="67">
        <v>0.34365079365079365</v>
      </c>
      <c r="H157" s="67">
        <v>0.15634920634920635</v>
      </c>
      <c r="I157" s="68">
        <v>9122.8637413394918</v>
      </c>
      <c r="J157" s="68">
        <v>-8230.9644670050766</v>
      </c>
      <c r="K157" s="67">
        <v>9.7402597402597407E-2</v>
      </c>
      <c r="L157" s="67">
        <v>0.17532467532467533</v>
      </c>
      <c r="M157" s="67">
        <v>0.31349206349206349</v>
      </c>
      <c r="N157" s="67">
        <v>0.21587301587301588</v>
      </c>
      <c r="O157" s="67">
        <v>0.57721518987341769</v>
      </c>
      <c r="P157" s="67">
        <v>0.51470588235294112</v>
      </c>
      <c r="Q157" s="67">
        <v>0.4110854503464203</v>
      </c>
    </row>
    <row r="158" spans="1:17" x14ac:dyDescent="0.4">
      <c r="A158" s="69">
        <v>155</v>
      </c>
      <c r="B158" s="66">
        <v>1940.5000000000007</v>
      </c>
      <c r="C158" s="66">
        <v>12.519354838709681</v>
      </c>
      <c r="D158" s="71">
        <v>1.7483870967741935</v>
      </c>
      <c r="E158" s="67">
        <v>0.4838709677419355</v>
      </c>
      <c r="F158" s="67">
        <v>0.23225806451612904</v>
      </c>
      <c r="G158" s="67">
        <v>0.34414556962025317</v>
      </c>
      <c r="H158" s="67">
        <v>0.15664556962025317</v>
      </c>
      <c r="I158" s="68">
        <v>9232.6436781609191</v>
      </c>
      <c r="J158" s="68">
        <v>-8237.878787878788</v>
      </c>
      <c r="K158" s="67">
        <v>9.6774193548387094E-2</v>
      </c>
      <c r="L158" s="67">
        <v>0.18064516129032257</v>
      </c>
      <c r="M158" s="67">
        <v>0.31329113924050633</v>
      </c>
      <c r="N158" s="67">
        <v>0.21677215189873417</v>
      </c>
      <c r="O158" s="67">
        <v>0.5757575757575758</v>
      </c>
      <c r="P158" s="67">
        <v>0.51459854014598538</v>
      </c>
      <c r="Q158" s="67">
        <v>0.41379310344827586</v>
      </c>
    </row>
    <row r="159" spans="1:17" x14ac:dyDescent="0.4">
      <c r="A159" s="69">
        <v>156</v>
      </c>
      <c r="B159" s="66">
        <v>2009.8000000000006</v>
      </c>
      <c r="C159" s="66">
        <v>12.883333333333338</v>
      </c>
      <c r="D159" s="71">
        <v>1.7435897435897436</v>
      </c>
      <c r="E159" s="67">
        <v>0.48717948717948717</v>
      </c>
      <c r="F159" s="67">
        <v>0.23076923076923078</v>
      </c>
      <c r="G159" s="67">
        <v>0.34536891679748821</v>
      </c>
      <c r="H159" s="67">
        <v>0.15620094191522763</v>
      </c>
      <c r="I159" s="68">
        <v>9240.681818181818</v>
      </c>
      <c r="J159" s="68">
        <v>-8216.0804020100495</v>
      </c>
      <c r="K159" s="67">
        <v>9.6153846153846159E-2</v>
      </c>
      <c r="L159" s="67">
        <v>0.17948717948717949</v>
      </c>
      <c r="M159" s="67">
        <v>0.31240188383045525</v>
      </c>
      <c r="N159" s="67">
        <v>0.21742543171114601</v>
      </c>
      <c r="O159" s="67">
        <v>0.57788944723618085</v>
      </c>
      <c r="P159" s="67">
        <v>0.51624548736462095</v>
      </c>
      <c r="Q159" s="67">
        <v>0.41590909090909089</v>
      </c>
    </row>
    <row r="160" spans="1:17" x14ac:dyDescent="0.4">
      <c r="A160" s="69">
        <v>157</v>
      </c>
      <c r="B160" s="66">
        <v>2024.8000000000006</v>
      </c>
      <c r="C160" s="66">
        <v>12.896815286624207</v>
      </c>
      <c r="D160" s="71">
        <v>1.7452229299363058</v>
      </c>
      <c r="E160" s="67">
        <v>0.48407643312101911</v>
      </c>
      <c r="F160" s="67">
        <v>0.22929936305732485</v>
      </c>
      <c r="G160" s="67">
        <v>0.34399375975039004</v>
      </c>
      <c r="H160" s="67">
        <v>0.15678627145085802</v>
      </c>
      <c r="I160" s="68">
        <v>9328.5714285714294</v>
      </c>
      <c r="J160" s="68">
        <v>-8203.9800995024871</v>
      </c>
      <c r="K160" s="67">
        <v>9.5541401273885357E-2</v>
      </c>
      <c r="L160" s="67">
        <v>0.17834394904458598</v>
      </c>
      <c r="M160" s="67">
        <v>0.31279251170046801</v>
      </c>
      <c r="N160" s="67">
        <v>0.21684867394695787</v>
      </c>
      <c r="O160" s="67">
        <v>0.57605985037406482</v>
      </c>
      <c r="P160" s="67">
        <v>0.51438848920863312</v>
      </c>
      <c r="Q160" s="67">
        <v>0.41723356009070295</v>
      </c>
    </row>
    <row r="161" spans="1:17" x14ac:dyDescent="0.4">
      <c r="A161" s="69">
        <v>158</v>
      </c>
      <c r="B161" s="66">
        <v>1973.9000000000005</v>
      </c>
      <c r="C161" s="66">
        <v>12.493037974683547</v>
      </c>
      <c r="D161" s="71">
        <v>1.7531645569620253</v>
      </c>
      <c r="E161" s="67">
        <v>0.48101265822784811</v>
      </c>
      <c r="F161" s="67">
        <v>0.23417721518987342</v>
      </c>
      <c r="G161" s="67">
        <v>0.34259259259259262</v>
      </c>
      <c r="H161" s="67">
        <v>0.15740740740740741</v>
      </c>
      <c r="I161" s="68">
        <v>9332.2072072072078</v>
      </c>
      <c r="J161" s="68">
        <v>-8229.4117647058829</v>
      </c>
      <c r="K161" s="67">
        <v>9.49367088607595E-2</v>
      </c>
      <c r="L161" s="67">
        <v>0.17721518987341772</v>
      </c>
      <c r="M161" s="67">
        <v>0.31095679012345678</v>
      </c>
      <c r="N161" s="67">
        <v>0.21527777777777779</v>
      </c>
      <c r="O161" s="67">
        <v>0.57816377171215882</v>
      </c>
      <c r="P161" s="67">
        <v>0.5161290322580645</v>
      </c>
      <c r="Q161" s="67">
        <v>0.42117117117117114</v>
      </c>
    </row>
    <row r="162" spans="1:17" x14ac:dyDescent="0.4">
      <c r="A162" s="69">
        <v>159</v>
      </c>
      <c r="B162" s="66">
        <v>1932.7000000000005</v>
      </c>
      <c r="C162" s="66">
        <v>12.155345911949688</v>
      </c>
      <c r="D162" s="71">
        <v>1.7610062893081762</v>
      </c>
      <c r="E162" s="67">
        <v>0.4779874213836478</v>
      </c>
      <c r="F162" s="67">
        <v>0.2389937106918239</v>
      </c>
      <c r="G162" s="67">
        <v>0.34150076569678406</v>
      </c>
      <c r="H162" s="67">
        <v>0.15620214395099541</v>
      </c>
      <c r="I162" s="68">
        <v>9309.192825112108</v>
      </c>
      <c r="J162" s="68">
        <v>-8229.4117647058829</v>
      </c>
      <c r="K162" s="67">
        <v>9.4339622641509441E-2</v>
      </c>
      <c r="L162" s="67">
        <v>0.1761006289308176</v>
      </c>
      <c r="M162" s="67">
        <v>0.31240428790199082</v>
      </c>
      <c r="N162" s="67">
        <v>0.21362940275650844</v>
      </c>
      <c r="O162" s="67">
        <v>0.5759803921568627</v>
      </c>
      <c r="P162" s="67">
        <v>0.5161290322580645</v>
      </c>
      <c r="Q162" s="67">
        <v>0.41928251121076232</v>
      </c>
    </row>
    <row r="163" spans="1:17" x14ac:dyDescent="0.4">
      <c r="A163" s="69">
        <v>160</v>
      </c>
      <c r="B163" s="66">
        <v>1899.8000000000004</v>
      </c>
      <c r="C163" s="66">
        <v>11.873750000000003</v>
      </c>
      <c r="D163" s="71">
        <v>1.76875</v>
      </c>
      <c r="E163" s="67">
        <v>0.47499999999999998</v>
      </c>
      <c r="F163" s="67">
        <v>0.24374999999999999</v>
      </c>
      <c r="G163" s="67">
        <v>0.34040940106141016</v>
      </c>
      <c r="H163" s="67">
        <v>0.15466262319939347</v>
      </c>
      <c r="I163" s="68">
        <v>9295.3229398663698</v>
      </c>
      <c r="J163" s="68">
        <v>-8229.4117647058829</v>
      </c>
      <c r="K163" s="67">
        <v>9.375E-2</v>
      </c>
      <c r="L163" s="67">
        <v>0.17499999999999999</v>
      </c>
      <c r="M163" s="67">
        <v>0.31235784685367701</v>
      </c>
      <c r="N163" s="67">
        <v>0.21228203184230476</v>
      </c>
      <c r="O163" s="67">
        <v>0.57524271844660191</v>
      </c>
      <c r="P163" s="67">
        <v>0.5178571428571429</v>
      </c>
      <c r="Q163" s="67">
        <v>0.41870824053452116</v>
      </c>
    </row>
    <row r="164" spans="1:17" x14ac:dyDescent="0.4">
      <c r="A164" s="69">
        <v>161</v>
      </c>
      <c r="B164" s="66">
        <v>1913.3000000000004</v>
      </c>
      <c r="C164" s="66">
        <v>11.883850931677021</v>
      </c>
      <c r="D164" s="71">
        <v>1.7701863354037266</v>
      </c>
      <c r="E164" s="67">
        <v>0.47204968944099379</v>
      </c>
      <c r="F164" s="67">
        <v>0.24223602484472051</v>
      </c>
      <c r="G164" s="67">
        <v>0.34061793519216277</v>
      </c>
      <c r="H164" s="67">
        <v>0.15373021853805577</v>
      </c>
      <c r="I164" s="68">
        <v>9299.5575221238942</v>
      </c>
      <c r="J164" s="68">
        <v>-8229.4117647058829</v>
      </c>
      <c r="K164" s="67">
        <v>9.3167701863354033E-2</v>
      </c>
      <c r="L164" s="67">
        <v>0.17391304347826086</v>
      </c>
      <c r="M164" s="67">
        <v>0.31424265259984929</v>
      </c>
      <c r="N164" s="67">
        <v>0.21175584024114544</v>
      </c>
      <c r="O164" s="67">
        <v>0.57314148681055155</v>
      </c>
      <c r="P164" s="67">
        <v>0.5195729537366548</v>
      </c>
      <c r="Q164" s="67">
        <v>0.42035398230088494</v>
      </c>
    </row>
    <row r="165" spans="1:17" x14ac:dyDescent="0.4">
      <c r="A165" s="69">
        <v>162</v>
      </c>
      <c r="B165" s="66">
        <v>1955.5000000000005</v>
      </c>
      <c r="C165" s="66">
        <v>12.070987654320991</v>
      </c>
      <c r="D165" s="71">
        <v>1.7654320987654322</v>
      </c>
      <c r="E165" s="67">
        <v>0.47530864197530864</v>
      </c>
      <c r="F165" s="67">
        <v>0.24074074074074073</v>
      </c>
      <c r="G165" s="67">
        <v>0.34107946026986508</v>
      </c>
      <c r="H165" s="67">
        <v>0.15367316341829085</v>
      </c>
      <c r="I165" s="68">
        <v>9312.3076923076915</v>
      </c>
      <c r="J165" s="68">
        <v>-8267.3170731707323</v>
      </c>
      <c r="K165" s="67">
        <v>9.2592592592592587E-2</v>
      </c>
      <c r="L165" s="67">
        <v>0.17901234567901234</v>
      </c>
      <c r="M165" s="67">
        <v>0.31409295352323841</v>
      </c>
      <c r="N165" s="67">
        <v>0.21139430284857572</v>
      </c>
      <c r="O165" s="67">
        <v>0.57279236276849643</v>
      </c>
      <c r="P165" s="67">
        <v>0.52127659574468088</v>
      </c>
      <c r="Q165" s="67">
        <v>0.41978021978021979</v>
      </c>
    </row>
    <row r="166" spans="1:17" x14ac:dyDescent="0.4">
      <c r="A166" s="69">
        <v>163</v>
      </c>
      <c r="B166" s="66">
        <v>1950.5000000000005</v>
      </c>
      <c r="C166" s="66">
        <v>11.966257668711659</v>
      </c>
      <c r="D166" s="71">
        <v>1.7668711656441718</v>
      </c>
      <c r="E166" s="67">
        <v>0.47239263803680981</v>
      </c>
      <c r="F166" s="67">
        <v>0.2392638036809816</v>
      </c>
      <c r="G166" s="67">
        <v>0.34055265123226286</v>
      </c>
      <c r="H166" s="67">
        <v>0.1530993278566094</v>
      </c>
      <c r="I166" s="68">
        <v>9309.4298245614027</v>
      </c>
      <c r="J166" s="68">
        <v>-8267.3170731707323</v>
      </c>
      <c r="K166" s="67">
        <v>9.202453987730061E-2</v>
      </c>
      <c r="L166" s="67">
        <v>0.17791411042944785</v>
      </c>
      <c r="M166" s="67">
        <v>0.31292008961911877</v>
      </c>
      <c r="N166" s="67">
        <v>0.210604929051531</v>
      </c>
      <c r="O166" s="67">
        <v>0.57279236276849643</v>
      </c>
      <c r="P166" s="67">
        <v>0.52127659574468088</v>
      </c>
      <c r="Q166" s="67">
        <v>0.41885964912280704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6C765-06AF-4584-8E24-4A1CC52BE787}">
  <sheetPr codeName="Sheet6"/>
  <dimension ref="A1:Q25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  <row r="77" spans="1:17" x14ac:dyDescent="0.4">
      <c r="A77" s="69">
        <v>74</v>
      </c>
      <c r="B77" s="66">
        <v>4.2188474935755949E-15</v>
      </c>
      <c r="C77" s="66">
        <v>1.9003817538628806E-17</v>
      </c>
      <c r="D77" s="71">
        <v>2</v>
      </c>
      <c r="E77" s="67">
        <v>0.33333333333333331</v>
      </c>
      <c r="F77" s="67">
        <v>0.33333333333333331</v>
      </c>
      <c r="G77" s="67">
        <v>0.29810298102981031</v>
      </c>
      <c r="H77" s="67">
        <v>0.17398373983739837</v>
      </c>
      <c r="I77" s="68">
        <v>8217.636363636364</v>
      </c>
      <c r="J77" s="68">
        <v>-7938.3177570093458</v>
      </c>
      <c r="K77" s="67">
        <v>9.45945945945946E-2</v>
      </c>
      <c r="L77" s="67">
        <v>9.45945945945946E-2</v>
      </c>
      <c r="M77" s="67">
        <v>0.25528455284552848</v>
      </c>
      <c r="N77" s="67">
        <v>0.21680216802168023</v>
      </c>
      <c r="O77" s="67">
        <v>0.60297239915074308</v>
      </c>
      <c r="P77" s="67">
        <v>0.38</v>
      </c>
      <c r="Q77" s="67">
        <v>0.40727272727272729</v>
      </c>
    </row>
    <row r="78" spans="1:17" x14ac:dyDescent="0.4">
      <c r="A78" s="69">
        <v>75</v>
      </c>
      <c r="B78" s="66">
        <v>1.7763568394002505E-15</v>
      </c>
      <c r="C78" s="66">
        <v>7.8949192862233354E-18</v>
      </c>
      <c r="D78" s="71">
        <v>2</v>
      </c>
      <c r="E78" s="67">
        <v>0.33333333333333331</v>
      </c>
      <c r="F78" s="67">
        <v>0.33333333333333331</v>
      </c>
      <c r="G78" s="67">
        <v>0.29754273504273504</v>
      </c>
      <c r="H78" s="67">
        <v>0.17414529914529914</v>
      </c>
      <c r="I78" s="68">
        <v>8168.9407540394977</v>
      </c>
      <c r="J78" s="68">
        <v>-7896.932515337423</v>
      </c>
      <c r="K78" s="67">
        <v>9.3333333333333338E-2</v>
      </c>
      <c r="L78" s="67">
        <v>9.3333333333333338E-2</v>
      </c>
      <c r="M78" s="67">
        <v>0.25534188034188032</v>
      </c>
      <c r="N78" s="67">
        <v>0.21688034188034189</v>
      </c>
      <c r="O78" s="67">
        <v>0.59832635983263593</v>
      </c>
      <c r="P78" s="67">
        <v>0.38423645320197042</v>
      </c>
      <c r="Q78" s="67">
        <v>0.40574506283662476</v>
      </c>
    </row>
    <row r="79" spans="1:17" x14ac:dyDescent="0.4">
      <c r="A79" s="69">
        <v>76</v>
      </c>
      <c r="B79" s="66">
        <v>0</v>
      </c>
      <c r="C79" s="66">
        <v>0</v>
      </c>
      <c r="D79" s="71">
        <v>2</v>
      </c>
      <c r="E79" s="67">
        <v>0.33333333333333331</v>
      </c>
      <c r="F79" s="67">
        <v>0.33333333333333331</v>
      </c>
      <c r="G79" s="67">
        <v>0.2976939203354298</v>
      </c>
      <c r="H79" s="67">
        <v>0.17348008385744235</v>
      </c>
      <c r="I79" s="68">
        <v>8172.1830985915494</v>
      </c>
      <c r="J79" s="68">
        <v>-7893.3534743202417</v>
      </c>
      <c r="K79" s="67">
        <v>9.2105263157894732E-2</v>
      </c>
      <c r="L79" s="67">
        <v>9.2105263157894732E-2</v>
      </c>
      <c r="M79" s="67">
        <v>0.25628930817610063</v>
      </c>
      <c r="N79" s="67">
        <v>0.21698113207547171</v>
      </c>
      <c r="O79" s="67">
        <v>0.59509202453987731</v>
      </c>
      <c r="P79" s="67">
        <v>0.3888888888888889</v>
      </c>
      <c r="Q79" s="67">
        <v>0.40845070422535212</v>
      </c>
    </row>
    <row r="80" spans="1:17" x14ac:dyDescent="0.4">
      <c r="A80" s="69">
        <v>77</v>
      </c>
      <c r="B80" s="66">
        <v>0</v>
      </c>
      <c r="C80" s="66">
        <v>0</v>
      </c>
      <c r="D80" s="71">
        <v>2</v>
      </c>
      <c r="E80" s="67">
        <v>0.33333333333333331</v>
      </c>
      <c r="F80" s="67">
        <v>0.33333333333333331</v>
      </c>
      <c r="G80" s="67">
        <v>0.29704510108864696</v>
      </c>
      <c r="H80" s="67">
        <v>0.1731467081389321</v>
      </c>
      <c r="I80" s="68">
        <v>8204.7120418848172</v>
      </c>
      <c r="J80" s="68">
        <v>-7916.7664670658687</v>
      </c>
      <c r="K80" s="67">
        <v>9.5238095238095233E-2</v>
      </c>
      <c r="L80" s="67">
        <v>9.5238095238095233E-2</v>
      </c>
      <c r="M80" s="67">
        <v>0.25557283566614825</v>
      </c>
      <c r="N80" s="67">
        <v>0.21669258683255574</v>
      </c>
      <c r="O80" s="67">
        <v>0.59229208924949295</v>
      </c>
      <c r="P80" s="67">
        <v>0.38995215311004783</v>
      </c>
      <c r="Q80" s="67">
        <v>0.40837696335078533</v>
      </c>
    </row>
    <row r="81" spans="1:17" x14ac:dyDescent="0.4">
      <c r="A81" s="69">
        <v>78</v>
      </c>
      <c r="B81" s="66">
        <v>0</v>
      </c>
      <c r="C81" s="66">
        <v>0</v>
      </c>
      <c r="D81" s="71">
        <v>2</v>
      </c>
      <c r="E81" s="67">
        <v>0.33333333333333331</v>
      </c>
      <c r="F81" s="67">
        <v>0.33333333333333331</v>
      </c>
      <c r="G81" s="67">
        <v>0.29743589743589743</v>
      </c>
      <c r="H81" s="67">
        <v>0.17282051282051283</v>
      </c>
      <c r="I81" s="68">
        <v>8226.3793103448279</v>
      </c>
      <c r="J81" s="68">
        <v>-7900.5934718100889</v>
      </c>
      <c r="K81" s="67">
        <v>9.8290598290598288E-2</v>
      </c>
      <c r="L81" s="67">
        <v>9.8290598290598288E-2</v>
      </c>
      <c r="M81" s="67">
        <v>0.25641025641025639</v>
      </c>
      <c r="N81" s="67">
        <v>0.2158974358974359</v>
      </c>
      <c r="O81" s="67">
        <v>0.59399999999999997</v>
      </c>
      <c r="P81" s="67">
        <v>0.39192399049881232</v>
      </c>
      <c r="Q81" s="67">
        <v>0.41034482758620688</v>
      </c>
    </row>
    <row r="82" spans="1:17" x14ac:dyDescent="0.4">
      <c r="A82" s="69">
        <v>79</v>
      </c>
      <c r="B82" s="66">
        <v>0</v>
      </c>
      <c r="C82" s="66">
        <v>0</v>
      </c>
      <c r="D82" s="71">
        <v>2</v>
      </c>
      <c r="E82" s="67">
        <v>0.33333333333333331</v>
      </c>
      <c r="F82" s="67">
        <v>0.33333333333333331</v>
      </c>
      <c r="G82" s="67">
        <v>0.29770992366412213</v>
      </c>
      <c r="H82" s="67">
        <v>0.17251908396946564</v>
      </c>
      <c r="I82" s="68">
        <v>8327.0085470085469</v>
      </c>
      <c r="J82" s="68">
        <v>-7924.7787610619471</v>
      </c>
      <c r="K82" s="67">
        <v>0.10126582278481013</v>
      </c>
      <c r="L82" s="67">
        <v>0.10126582278481013</v>
      </c>
      <c r="M82" s="67">
        <v>0.25648854961832063</v>
      </c>
      <c r="N82" s="67">
        <v>0.21424936386768448</v>
      </c>
      <c r="O82" s="67">
        <v>0.59523809523809523</v>
      </c>
      <c r="P82" s="67">
        <v>0.39192399049881232</v>
      </c>
      <c r="Q82" s="67">
        <v>0.41196581196581195</v>
      </c>
    </row>
    <row r="83" spans="1:17" x14ac:dyDescent="0.4">
      <c r="A83" s="69">
        <v>80</v>
      </c>
      <c r="B83" s="66">
        <v>0</v>
      </c>
      <c r="C83" s="66">
        <v>0</v>
      </c>
      <c r="D83" s="71">
        <v>2</v>
      </c>
      <c r="E83" s="67">
        <v>0.33333333333333331</v>
      </c>
      <c r="F83" s="67">
        <v>0.33333333333333331</v>
      </c>
      <c r="G83" s="67">
        <v>0.29808660624370592</v>
      </c>
      <c r="H83" s="67">
        <v>0.17220543806646527</v>
      </c>
      <c r="I83" s="68">
        <v>8411.655405405405</v>
      </c>
      <c r="J83" s="68">
        <v>-8071.6374269005846</v>
      </c>
      <c r="K83" s="67">
        <v>0.10416666666666667</v>
      </c>
      <c r="L83" s="67">
        <v>0.10416666666666667</v>
      </c>
      <c r="M83" s="67">
        <v>0.25730110775427995</v>
      </c>
      <c r="N83" s="67">
        <v>0.21399798590130917</v>
      </c>
      <c r="O83" s="67">
        <v>0.59491193737769077</v>
      </c>
      <c r="P83" s="67">
        <v>0.39058823529411762</v>
      </c>
      <c r="Q83" s="67">
        <v>0.41385135135135137</v>
      </c>
    </row>
    <row r="84" spans="1:17" x14ac:dyDescent="0.4">
      <c r="A84" s="69">
        <v>81</v>
      </c>
      <c r="B84" s="66">
        <v>-3.5527136788005009E-15</v>
      </c>
      <c r="C84" s="66">
        <v>-1.4620220900413585E-17</v>
      </c>
      <c r="D84" s="71">
        <v>2</v>
      </c>
      <c r="E84" s="67">
        <v>0.33333333333333331</v>
      </c>
      <c r="F84" s="67">
        <v>0.33333333333333331</v>
      </c>
      <c r="G84" s="67">
        <v>0.29800995024875621</v>
      </c>
      <c r="H84" s="67">
        <v>0.17164179104477612</v>
      </c>
      <c r="I84" s="68">
        <v>8408.5141903171952</v>
      </c>
      <c r="J84" s="68">
        <v>-8087.246376811594</v>
      </c>
      <c r="K84" s="67">
        <v>0.102880658436214</v>
      </c>
      <c r="L84" s="67">
        <v>0.102880658436214</v>
      </c>
      <c r="M84" s="67">
        <v>0.2582089552238806</v>
      </c>
      <c r="N84" s="67">
        <v>0.21293532338308457</v>
      </c>
      <c r="O84" s="67">
        <v>0.59537572254335258</v>
      </c>
      <c r="P84" s="67">
        <v>0.39018691588785048</v>
      </c>
      <c r="Q84" s="67">
        <v>0.41569282136894825</v>
      </c>
    </row>
    <row r="85" spans="1:17" x14ac:dyDescent="0.4">
      <c r="A85" s="69">
        <v>82</v>
      </c>
      <c r="B85" s="66">
        <v>0</v>
      </c>
      <c r="C85" s="66">
        <v>0</v>
      </c>
      <c r="D85" s="71">
        <v>2</v>
      </c>
      <c r="E85" s="67">
        <v>0.33333333333333331</v>
      </c>
      <c r="F85" s="67">
        <v>0.33333333333333331</v>
      </c>
      <c r="G85" s="67">
        <v>0.2983234714003945</v>
      </c>
      <c r="H85" s="67">
        <v>0.17209072978303747</v>
      </c>
      <c r="I85" s="68">
        <v>8388.9256198347102</v>
      </c>
      <c r="J85" s="68">
        <v>-8060.1719197707735</v>
      </c>
      <c r="K85" s="67">
        <v>0.1016260162601626</v>
      </c>
      <c r="L85" s="67">
        <v>0.1016260162601626</v>
      </c>
      <c r="M85" s="67">
        <v>0.25936883629191321</v>
      </c>
      <c r="N85" s="67">
        <v>0.21400394477317555</v>
      </c>
      <c r="O85" s="67">
        <v>0.59695817490494296</v>
      </c>
      <c r="P85" s="67">
        <v>0.38709677419354838</v>
      </c>
      <c r="Q85" s="67">
        <v>0.41487603305785126</v>
      </c>
    </row>
    <row r="86" spans="1:17" x14ac:dyDescent="0.4">
      <c r="A86" s="69">
        <v>83</v>
      </c>
      <c r="B86" s="66">
        <v>0</v>
      </c>
      <c r="C86" s="66">
        <v>0</v>
      </c>
      <c r="D86" s="71">
        <v>2</v>
      </c>
      <c r="E86" s="67">
        <v>0.33333333333333331</v>
      </c>
      <c r="F86" s="67">
        <v>0.33333333333333331</v>
      </c>
      <c r="G86" s="67">
        <v>0.29858051884483605</v>
      </c>
      <c r="H86" s="67">
        <v>0.17229564366128242</v>
      </c>
      <c r="I86" s="68">
        <v>8413.934426229509</v>
      </c>
      <c r="J86" s="68">
        <v>-8051.704545454545</v>
      </c>
      <c r="K86" s="67">
        <v>0.10441767068273092</v>
      </c>
      <c r="L86" s="67">
        <v>0.10441767068273092</v>
      </c>
      <c r="M86" s="67">
        <v>0.25893294175232501</v>
      </c>
      <c r="N86" s="67">
        <v>0.21439060205580029</v>
      </c>
      <c r="O86" s="67">
        <v>0.59924385633270316</v>
      </c>
      <c r="P86" s="67">
        <v>0.38584474885844749</v>
      </c>
      <c r="Q86" s="67">
        <v>0.41475409836065574</v>
      </c>
    </row>
    <row r="87" spans="1:17" x14ac:dyDescent="0.4">
      <c r="A87" s="69">
        <v>84</v>
      </c>
      <c r="B87" s="66">
        <v>0</v>
      </c>
      <c r="C87" s="66">
        <v>0</v>
      </c>
      <c r="D87" s="71">
        <v>2</v>
      </c>
      <c r="E87" s="67">
        <v>0.33333333333333331</v>
      </c>
      <c r="F87" s="67">
        <v>0.33333333333333331</v>
      </c>
      <c r="G87" s="67">
        <v>0.29888403687530324</v>
      </c>
      <c r="H87" s="67">
        <v>0.17224648229015041</v>
      </c>
      <c r="I87" s="68">
        <v>8456.0064935064929</v>
      </c>
      <c r="J87" s="68">
        <v>-8121.6901408450703</v>
      </c>
      <c r="K87" s="67">
        <v>0.10714285714285714</v>
      </c>
      <c r="L87" s="67">
        <v>0.10714285714285714</v>
      </c>
      <c r="M87" s="67">
        <v>0.25958272683163514</v>
      </c>
      <c r="N87" s="67">
        <v>0.21591460456089276</v>
      </c>
      <c r="O87" s="67">
        <v>0.59813084112149528</v>
      </c>
      <c r="P87" s="67">
        <v>0.38426966292134829</v>
      </c>
      <c r="Q87" s="67">
        <v>0.41558441558441561</v>
      </c>
    </row>
    <row r="88" spans="1:17" x14ac:dyDescent="0.4">
      <c r="A88" s="69">
        <v>85</v>
      </c>
      <c r="B88" s="66">
        <v>0</v>
      </c>
      <c r="C88" s="66">
        <v>0</v>
      </c>
      <c r="D88" s="71">
        <v>2</v>
      </c>
      <c r="E88" s="67">
        <v>0.33333333333333331</v>
      </c>
      <c r="F88" s="67">
        <v>0.33333333333333331</v>
      </c>
      <c r="G88" s="67">
        <v>0.29894937917860553</v>
      </c>
      <c r="H88" s="67">
        <v>0.17239732569245464</v>
      </c>
      <c r="I88" s="68">
        <v>8451.7571884984027</v>
      </c>
      <c r="J88" s="68">
        <v>-8112.7423822714682</v>
      </c>
      <c r="K88" s="67">
        <v>0.10588235294117647</v>
      </c>
      <c r="L88" s="67">
        <v>0.10588235294117647</v>
      </c>
      <c r="M88" s="67">
        <v>0.2588347659980898</v>
      </c>
      <c r="N88" s="67">
        <v>0.21680993314231137</v>
      </c>
      <c r="O88" s="67">
        <v>0.59594095940959413</v>
      </c>
      <c r="P88" s="67">
        <v>0.38546255506607929</v>
      </c>
      <c r="Q88" s="67">
        <v>0.41533546325878595</v>
      </c>
    </row>
    <row r="89" spans="1:17" x14ac:dyDescent="0.4">
      <c r="A89" s="69">
        <v>86</v>
      </c>
      <c r="B89" s="66">
        <v>0</v>
      </c>
      <c r="C89" s="66">
        <v>0</v>
      </c>
      <c r="D89" s="71">
        <v>2</v>
      </c>
      <c r="E89" s="67">
        <v>0.33333333333333331</v>
      </c>
      <c r="F89" s="67">
        <v>0.33333333333333331</v>
      </c>
      <c r="G89" s="67">
        <v>0.29876893939393939</v>
      </c>
      <c r="H89" s="67">
        <v>0.17234848484848486</v>
      </c>
      <c r="I89" s="68">
        <v>8434.2313787638668</v>
      </c>
      <c r="J89" s="68">
        <v>-8065.6593406593411</v>
      </c>
      <c r="K89" s="67">
        <v>0.10465116279069768</v>
      </c>
      <c r="L89" s="67">
        <v>0.10465116279069768</v>
      </c>
      <c r="M89" s="67">
        <v>0.25804924242424243</v>
      </c>
      <c r="N89" s="67">
        <v>0.21827651515151514</v>
      </c>
      <c r="O89" s="67">
        <v>0.59449541284403673</v>
      </c>
      <c r="P89" s="67">
        <v>0.38611713665943603</v>
      </c>
      <c r="Q89" s="67">
        <v>0.41521394611727419</v>
      </c>
    </row>
    <row r="90" spans="1:17" x14ac:dyDescent="0.4">
      <c r="A90" s="69">
        <v>87</v>
      </c>
      <c r="B90" s="66">
        <v>0</v>
      </c>
      <c r="C90" s="66">
        <v>0</v>
      </c>
      <c r="D90" s="71">
        <v>2</v>
      </c>
      <c r="E90" s="67">
        <v>0.33333333333333331</v>
      </c>
      <c r="F90" s="67">
        <v>0.33333333333333331</v>
      </c>
      <c r="G90" s="67">
        <v>0.29868913857677903</v>
      </c>
      <c r="H90" s="67">
        <v>0.17134831460674158</v>
      </c>
      <c r="I90" s="68">
        <v>8395.1410658307213</v>
      </c>
      <c r="J90" s="68">
        <v>-8059.289617486339</v>
      </c>
      <c r="K90" s="67">
        <v>0.10344827586206896</v>
      </c>
      <c r="L90" s="67">
        <v>0.10344827586206896</v>
      </c>
      <c r="M90" s="67">
        <v>0.25889513108614232</v>
      </c>
      <c r="N90" s="67">
        <v>0.21769662921348315</v>
      </c>
      <c r="O90" s="67">
        <v>0.59493670886075944</v>
      </c>
      <c r="P90" s="67">
        <v>0.38494623655913979</v>
      </c>
      <c r="Q90" s="67">
        <v>0.41849529780564265</v>
      </c>
    </row>
    <row r="91" spans="1:17" x14ac:dyDescent="0.4">
      <c r="A91" s="69">
        <v>88</v>
      </c>
      <c r="B91" s="66">
        <v>0</v>
      </c>
      <c r="C91" s="66">
        <v>0</v>
      </c>
      <c r="D91" s="71">
        <v>2</v>
      </c>
      <c r="E91" s="67">
        <v>0.33333333333333331</v>
      </c>
      <c r="F91" s="67">
        <v>0.33333333333333331</v>
      </c>
      <c r="G91" s="67">
        <v>0.29912159038372632</v>
      </c>
      <c r="H91" s="67">
        <v>0.17198335644937587</v>
      </c>
      <c r="I91" s="68">
        <v>8377.8979907264293</v>
      </c>
      <c r="J91" s="68">
        <v>-8029.8387096774195</v>
      </c>
      <c r="K91" s="67">
        <v>0.10227272727272728</v>
      </c>
      <c r="L91" s="67">
        <v>0.10227272727272728</v>
      </c>
      <c r="M91" s="67">
        <v>0.2602866389274156</v>
      </c>
      <c r="N91" s="67">
        <v>0.2182154415164124</v>
      </c>
      <c r="O91" s="67">
        <v>0.5950266429840142</v>
      </c>
      <c r="P91" s="67">
        <v>0.38347457627118642</v>
      </c>
      <c r="Q91" s="67">
        <v>0.41731066460587324</v>
      </c>
    </row>
    <row r="92" spans="1:17" x14ac:dyDescent="0.4">
      <c r="A92" s="69">
        <v>89</v>
      </c>
      <c r="B92" s="66">
        <v>0</v>
      </c>
      <c r="C92" s="66">
        <v>0</v>
      </c>
      <c r="D92" s="71">
        <v>2</v>
      </c>
      <c r="E92" s="67">
        <v>0.33333333333333331</v>
      </c>
      <c r="F92" s="67">
        <v>0.33333333333333331</v>
      </c>
      <c r="G92" s="67">
        <v>0.29954337899543376</v>
      </c>
      <c r="H92" s="67">
        <v>0.17214611872146118</v>
      </c>
      <c r="I92" s="68">
        <v>8377.5914634146338</v>
      </c>
      <c r="J92" s="68">
        <v>-8012.4668435013264</v>
      </c>
      <c r="K92" s="67">
        <v>0.10112359550561797</v>
      </c>
      <c r="L92" s="67">
        <v>0.10112359550561797</v>
      </c>
      <c r="M92" s="67">
        <v>0.26164383561643834</v>
      </c>
      <c r="N92" s="67">
        <v>0.22146118721461186</v>
      </c>
      <c r="O92" s="67">
        <v>0.5951134380453752</v>
      </c>
      <c r="P92" s="67">
        <v>0.37938144329896906</v>
      </c>
      <c r="Q92" s="67">
        <v>0.41768292682926828</v>
      </c>
    </row>
    <row r="93" spans="1:17" x14ac:dyDescent="0.4">
      <c r="A93" s="69">
        <v>90</v>
      </c>
      <c r="B93" s="66">
        <v>0</v>
      </c>
      <c r="C93" s="66">
        <v>0</v>
      </c>
      <c r="D93" s="71">
        <v>2</v>
      </c>
      <c r="E93" s="67">
        <v>0.33333333333333331</v>
      </c>
      <c r="F93" s="67">
        <v>0.33333333333333331</v>
      </c>
      <c r="G93" s="67">
        <v>0.30045045045045043</v>
      </c>
      <c r="H93" s="67">
        <v>0.17387387387387387</v>
      </c>
      <c r="I93" s="68">
        <v>8346.776611694153</v>
      </c>
      <c r="J93" s="68">
        <v>-8005.6994818652847</v>
      </c>
      <c r="K93" s="67">
        <v>0.1</v>
      </c>
      <c r="L93" s="67">
        <v>0.1</v>
      </c>
      <c r="M93" s="67">
        <v>0.26216216216216215</v>
      </c>
      <c r="N93" s="67">
        <v>0.22072072072072071</v>
      </c>
      <c r="O93" s="67">
        <v>0.59793814432989689</v>
      </c>
      <c r="P93" s="67">
        <v>0.37755102040816324</v>
      </c>
      <c r="Q93" s="67">
        <v>0.41229385307346328</v>
      </c>
    </row>
    <row r="94" spans="1:17" x14ac:dyDescent="0.4">
      <c r="A94" s="69">
        <v>91</v>
      </c>
      <c r="B94" s="66">
        <v>0</v>
      </c>
      <c r="C94" s="66">
        <v>0</v>
      </c>
      <c r="D94" s="71">
        <v>2</v>
      </c>
      <c r="E94" s="67">
        <v>0.33333333333333331</v>
      </c>
      <c r="F94" s="67">
        <v>0.33333333333333331</v>
      </c>
      <c r="G94" s="67">
        <v>0.3</v>
      </c>
      <c r="H94" s="67">
        <v>0.17422222222222222</v>
      </c>
      <c r="I94" s="68">
        <v>8328.7407407407409</v>
      </c>
      <c r="J94" s="68">
        <v>-7957.1428571428569</v>
      </c>
      <c r="K94" s="67">
        <v>0.10256410256410256</v>
      </c>
      <c r="L94" s="67">
        <v>0.10256410256410256</v>
      </c>
      <c r="M94" s="67">
        <v>0.26177777777777778</v>
      </c>
      <c r="N94" s="67">
        <v>0.22355555555555556</v>
      </c>
      <c r="O94" s="67">
        <v>0.59422750424448212</v>
      </c>
      <c r="P94" s="67">
        <v>0.37773359840954274</v>
      </c>
      <c r="Q94" s="67">
        <v>0.41037037037037039</v>
      </c>
    </row>
    <row r="95" spans="1:17" x14ac:dyDescent="0.4">
      <c r="A95" s="69">
        <v>92</v>
      </c>
      <c r="B95" s="66">
        <v>0</v>
      </c>
      <c r="C95" s="66">
        <v>0</v>
      </c>
      <c r="D95" s="71">
        <v>2</v>
      </c>
      <c r="E95" s="67">
        <v>0.33333333333333331</v>
      </c>
      <c r="F95" s="67">
        <v>0.33333333333333331</v>
      </c>
      <c r="G95" s="67">
        <v>0.29965004374453191</v>
      </c>
      <c r="H95" s="67">
        <v>0.17366579177602801</v>
      </c>
      <c r="I95" s="68">
        <v>8339.7080291970797</v>
      </c>
      <c r="J95" s="68">
        <v>-7979.5969773299748</v>
      </c>
      <c r="K95" s="67">
        <v>0.10144927536231885</v>
      </c>
      <c r="L95" s="67">
        <v>0.10144927536231885</v>
      </c>
      <c r="M95" s="67">
        <v>0.26071741032370954</v>
      </c>
      <c r="N95" s="67">
        <v>0.22484689413823272</v>
      </c>
      <c r="O95" s="67">
        <v>0.59395973154362414</v>
      </c>
      <c r="P95" s="67">
        <v>0.38132295719844356</v>
      </c>
      <c r="Q95" s="67">
        <v>0.4116788321167883</v>
      </c>
    </row>
    <row r="96" spans="1:17" x14ac:dyDescent="0.4">
      <c r="A96" s="69">
        <v>93</v>
      </c>
      <c r="B96" s="66">
        <v>0</v>
      </c>
      <c r="C96" s="66">
        <v>0</v>
      </c>
      <c r="D96" s="71">
        <v>2</v>
      </c>
      <c r="E96" s="67">
        <v>0.33333333333333331</v>
      </c>
      <c r="F96" s="67">
        <v>0.33333333333333331</v>
      </c>
      <c r="G96" s="67">
        <v>0.29991319444444442</v>
      </c>
      <c r="H96" s="67">
        <v>0.1736111111111111</v>
      </c>
      <c r="I96" s="68">
        <v>8387.2648335745289</v>
      </c>
      <c r="J96" s="68">
        <v>-8074.25</v>
      </c>
      <c r="K96" s="67">
        <v>0.1039426523297491</v>
      </c>
      <c r="L96" s="67">
        <v>0.1039426523297491</v>
      </c>
      <c r="M96" s="67">
        <v>0.26041666666666669</v>
      </c>
      <c r="N96" s="67">
        <v>0.2243923611111111</v>
      </c>
      <c r="O96" s="67">
        <v>0.59333333333333338</v>
      </c>
      <c r="P96" s="67">
        <v>0.38104448742746616</v>
      </c>
      <c r="Q96" s="67">
        <v>0.41244573082489144</v>
      </c>
    </row>
    <row r="97" spans="1:17" x14ac:dyDescent="0.4">
      <c r="A97" s="69">
        <v>94</v>
      </c>
      <c r="B97" s="66">
        <v>0</v>
      </c>
      <c r="C97" s="66">
        <v>0</v>
      </c>
      <c r="D97" s="71">
        <v>2</v>
      </c>
      <c r="E97" s="67">
        <v>0.33333333333333331</v>
      </c>
      <c r="F97" s="67">
        <v>0.33333333333333331</v>
      </c>
      <c r="G97" s="67">
        <v>0.30021505376344088</v>
      </c>
      <c r="H97" s="67">
        <v>0.17333333333333334</v>
      </c>
      <c r="I97" s="68">
        <v>8380.5157593123204</v>
      </c>
      <c r="J97" s="68">
        <v>-8066.2531017369729</v>
      </c>
      <c r="K97" s="67">
        <v>0.10283687943262411</v>
      </c>
      <c r="L97" s="67">
        <v>0.10283687943262411</v>
      </c>
      <c r="M97" s="67">
        <v>0.26193548387096777</v>
      </c>
      <c r="N97" s="67">
        <v>0.22408602150537635</v>
      </c>
      <c r="O97" s="67">
        <v>0.59277504105090317</v>
      </c>
      <c r="P97" s="67">
        <v>0.3800383877159309</v>
      </c>
      <c r="Q97" s="67">
        <v>0.41404011461318052</v>
      </c>
    </row>
    <row r="98" spans="1:17" x14ac:dyDescent="0.4">
      <c r="A98" s="69">
        <v>95</v>
      </c>
      <c r="B98" s="66">
        <v>1.7763568394002505E-15</v>
      </c>
      <c r="C98" s="66">
        <v>6.2328310154394754E-18</v>
      </c>
      <c r="D98" s="71">
        <v>2</v>
      </c>
      <c r="E98" s="67">
        <v>0.33333333333333331</v>
      </c>
      <c r="F98" s="67">
        <v>0.33333333333333331</v>
      </c>
      <c r="G98" s="67">
        <v>0.30051150895140666</v>
      </c>
      <c r="H98" s="67">
        <v>0.17433930093776642</v>
      </c>
      <c r="I98" s="68">
        <v>8373.6170212765956</v>
      </c>
      <c r="J98" s="68">
        <v>-8074.3276283618579</v>
      </c>
      <c r="K98" s="67">
        <v>0.10175438596491228</v>
      </c>
      <c r="L98" s="67">
        <v>0.10175438596491228</v>
      </c>
      <c r="M98" s="67">
        <v>0.263000852514919</v>
      </c>
      <c r="N98" s="67">
        <v>0.22293265132139811</v>
      </c>
      <c r="O98" s="67">
        <v>0.5915721231766613</v>
      </c>
      <c r="P98" s="67">
        <v>0.37858508604206503</v>
      </c>
      <c r="Q98" s="67">
        <v>0.41134751773049644</v>
      </c>
    </row>
    <row r="99" spans="1:17" x14ac:dyDescent="0.4">
      <c r="A99" s="69">
        <v>96</v>
      </c>
      <c r="B99" s="66">
        <v>0</v>
      </c>
      <c r="C99" s="66">
        <v>0</v>
      </c>
      <c r="D99" s="71">
        <v>2</v>
      </c>
      <c r="E99" s="67">
        <v>0.33333333333333331</v>
      </c>
      <c r="F99" s="67">
        <v>0.33333333333333331</v>
      </c>
      <c r="G99" s="67">
        <v>0.30080270384452895</v>
      </c>
      <c r="H99" s="67">
        <v>0.17405999155048585</v>
      </c>
      <c r="I99" s="68">
        <v>8366.8539325842703</v>
      </c>
      <c r="J99" s="68">
        <v>-8075</v>
      </c>
      <c r="K99" s="67">
        <v>0.10416666666666667</v>
      </c>
      <c r="L99" s="67">
        <v>0.10416666666666667</v>
      </c>
      <c r="M99" s="67">
        <v>0.26362484157160965</v>
      </c>
      <c r="N99" s="67">
        <v>0.22264469792986905</v>
      </c>
      <c r="O99" s="67">
        <v>0.59294871794871795</v>
      </c>
      <c r="P99" s="67">
        <v>0.3776091081593928</v>
      </c>
      <c r="Q99" s="67">
        <v>0.41292134831460675</v>
      </c>
    </row>
    <row r="100" spans="1:17" x14ac:dyDescent="0.4">
      <c r="A100" s="69">
        <v>97</v>
      </c>
      <c r="B100" s="66">
        <v>0</v>
      </c>
      <c r="C100" s="66">
        <v>0</v>
      </c>
      <c r="D100" s="71">
        <v>2</v>
      </c>
      <c r="E100" s="67">
        <v>0.33333333333333331</v>
      </c>
      <c r="F100" s="67">
        <v>0.33333333333333331</v>
      </c>
      <c r="G100" s="67">
        <v>0.30125000000000002</v>
      </c>
      <c r="H100" s="67">
        <v>0.17416666666666666</v>
      </c>
      <c r="I100" s="68">
        <v>8367.2199170124477</v>
      </c>
      <c r="J100" s="68">
        <v>-8032.2966507177034</v>
      </c>
      <c r="K100" s="67">
        <v>0.10309278350515463</v>
      </c>
      <c r="L100" s="67">
        <v>0.10309278350515463</v>
      </c>
      <c r="M100" s="67">
        <v>0.26250000000000001</v>
      </c>
      <c r="N100" s="67">
        <v>0.22125</v>
      </c>
      <c r="O100" s="67">
        <v>0.59365079365079365</v>
      </c>
      <c r="P100" s="67">
        <v>0.37853107344632769</v>
      </c>
      <c r="Q100" s="67">
        <v>0.41355463347164589</v>
      </c>
    </row>
    <row r="101" spans="1:17" x14ac:dyDescent="0.4">
      <c r="A101" s="69">
        <v>98</v>
      </c>
      <c r="B101" s="66">
        <v>0</v>
      </c>
      <c r="C101" s="66">
        <v>0</v>
      </c>
      <c r="D101" s="71">
        <v>2</v>
      </c>
      <c r="E101" s="67">
        <v>0.33333333333333331</v>
      </c>
      <c r="F101" s="67">
        <v>0.33333333333333331</v>
      </c>
      <c r="G101" s="67">
        <v>0.30164609053497943</v>
      </c>
      <c r="H101" s="67">
        <v>0.17448559670781894</v>
      </c>
      <c r="I101" s="68">
        <v>8364.6657571623473</v>
      </c>
      <c r="J101" s="68">
        <v>-8049.7641509433961</v>
      </c>
      <c r="K101" s="67">
        <v>0.10544217687074831</v>
      </c>
      <c r="L101" s="67">
        <v>0.10544217687074831</v>
      </c>
      <c r="M101" s="67">
        <v>0.26255144032921812</v>
      </c>
      <c r="N101" s="67">
        <v>0.2205761316872428</v>
      </c>
      <c r="O101" s="67">
        <v>0.59561128526645768</v>
      </c>
      <c r="P101" s="67">
        <v>0.38059701492537312</v>
      </c>
      <c r="Q101" s="67">
        <v>0.41336971350613916</v>
      </c>
    </row>
    <row r="102" spans="1:17" x14ac:dyDescent="0.4">
      <c r="A102" s="69">
        <v>99</v>
      </c>
      <c r="B102" s="66">
        <v>0</v>
      </c>
      <c r="C102" s="66">
        <v>0</v>
      </c>
      <c r="D102" s="71">
        <v>2</v>
      </c>
      <c r="E102" s="67">
        <v>0.33333333333333331</v>
      </c>
      <c r="F102" s="67">
        <v>0.33333333333333331</v>
      </c>
      <c r="G102" s="67">
        <v>0.30158730158730157</v>
      </c>
      <c r="H102" s="67">
        <v>0.1737891737891738</v>
      </c>
      <c r="I102" s="68">
        <v>8347.7732793522264</v>
      </c>
      <c r="J102" s="68">
        <v>-8029.5081967213118</v>
      </c>
      <c r="K102" s="67">
        <v>0.10437710437710437</v>
      </c>
      <c r="L102" s="67">
        <v>0.10437710437710437</v>
      </c>
      <c r="M102" s="67">
        <v>0.26332926332926332</v>
      </c>
      <c r="N102" s="67">
        <v>0.21937321937321938</v>
      </c>
      <c r="O102" s="67">
        <v>0.59659969088098919</v>
      </c>
      <c r="P102" s="67">
        <v>0.3784786641929499</v>
      </c>
      <c r="Q102" s="67">
        <v>0.41565452091767879</v>
      </c>
    </row>
    <row r="103" spans="1:17" x14ac:dyDescent="0.4">
      <c r="A103" s="69">
        <v>100</v>
      </c>
      <c r="B103" s="66">
        <v>0</v>
      </c>
      <c r="C103" s="66">
        <v>0</v>
      </c>
      <c r="D103" s="71">
        <v>2</v>
      </c>
      <c r="E103" s="67">
        <v>0.33333333333333331</v>
      </c>
      <c r="F103" s="67">
        <v>0.33333333333333331</v>
      </c>
      <c r="G103" s="67">
        <v>0.30185633575464083</v>
      </c>
      <c r="H103" s="67">
        <v>0.1735270379338176</v>
      </c>
      <c r="I103" s="68">
        <v>8336.363636363636</v>
      </c>
      <c r="J103" s="68">
        <v>-8013.9534883720926</v>
      </c>
      <c r="K103" s="67">
        <v>0.10333333333333333</v>
      </c>
      <c r="L103" s="67">
        <v>0.10333333333333333</v>
      </c>
      <c r="M103" s="67">
        <v>0.26392251815980627</v>
      </c>
      <c r="N103" s="67">
        <v>0.22033898305084745</v>
      </c>
      <c r="O103" s="67">
        <v>0.59785932721712542</v>
      </c>
      <c r="P103" s="67">
        <v>0.37728937728937728</v>
      </c>
      <c r="Q103" s="67">
        <v>0.41711229946524064</v>
      </c>
    </row>
    <row r="104" spans="1:17" x14ac:dyDescent="0.4">
      <c r="A104" s="69">
        <v>101</v>
      </c>
      <c r="B104" s="66">
        <v>3.5527136788005009E-15</v>
      </c>
      <c r="C104" s="66">
        <v>1.1725127652806934E-17</v>
      </c>
      <c r="D104" s="71">
        <v>2</v>
      </c>
      <c r="E104" s="67">
        <v>0.33333333333333331</v>
      </c>
      <c r="F104" s="67">
        <v>0.33333333333333331</v>
      </c>
      <c r="G104" s="67">
        <v>0.30179640718562872</v>
      </c>
      <c r="H104" s="67">
        <v>0.17245508982035929</v>
      </c>
      <c r="I104" s="68">
        <v>8350.9259259259252</v>
      </c>
      <c r="J104" s="68">
        <v>-8000</v>
      </c>
      <c r="K104" s="67">
        <v>0.10231023102310231</v>
      </c>
      <c r="L104" s="67">
        <v>0.10231023102310231</v>
      </c>
      <c r="M104" s="67">
        <v>0.26467065868263473</v>
      </c>
      <c r="N104" s="67">
        <v>0.21956087824351297</v>
      </c>
      <c r="O104" s="67">
        <v>0.59728506787330315</v>
      </c>
      <c r="P104" s="67">
        <v>0.38</v>
      </c>
      <c r="Q104" s="67">
        <v>0.42063492063492064</v>
      </c>
    </row>
    <row r="105" spans="1:17" x14ac:dyDescent="0.4">
      <c r="A105" s="69">
        <v>102</v>
      </c>
      <c r="B105" s="66">
        <v>0</v>
      </c>
      <c r="C105" s="66">
        <v>0</v>
      </c>
      <c r="D105" s="71">
        <v>2</v>
      </c>
      <c r="E105" s="67">
        <v>0.33333333333333331</v>
      </c>
      <c r="F105" s="67">
        <v>0.33333333333333331</v>
      </c>
      <c r="G105" s="67">
        <v>0.302491103202847</v>
      </c>
      <c r="H105" s="67">
        <v>0.1716093317516805</v>
      </c>
      <c r="I105" s="68">
        <v>8341.0457516339866</v>
      </c>
      <c r="J105" s="68">
        <v>-8011.9815668202764</v>
      </c>
      <c r="K105" s="67">
        <v>0.10130718954248366</v>
      </c>
      <c r="L105" s="67">
        <v>0.10130718954248366</v>
      </c>
      <c r="M105" s="67">
        <v>0.26453143534994067</v>
      </c>
      <c r="N105" s="67">
        <v>0.21945432977461446</v>
      </c>
      <c r="O105" s="67">
        <v>0.59491778774289983</v>
      </c>
      <c r="P105" s="67">
        <v>0.38018018018018018</v>
      </c>
      <c r="Q105" s="67">
        <v>0.42352941176470588</v>
      </c>
    </row>
    <row r="106" spans="1:17" x14ac:dyDescent="0.4">
      <c r="A106" s="69">
        <v>103</v>
      </c>
      <c r="B106" s="66">
        <v>0</v>
      </c>
      <c r="C106" s="66">
        <v>0</v>
      </c>
      <c r="D106" s="71">
        <v>2</v>
      </c>
      <c r="E106" s="67">
        <v>0.33333333333333331</v>
      </c>
      <c r="F106" s="67">
        <v>0.33333333333333331</v>
      </c>
      <c r="G106" s="67">
        <v>0.30274509803921568</v>
      </c>
      <c r="H106" s="67">
        <v>0.17176470588235293</v>
      </c>
      <c r="I106" s="68">
        <v>8366.062176165804</v>
      </c>
      <c r="J106" s="68">
        <v>-8006.6210045662101</v>
      </c>
      <c r="K106" s="67">
        <v>0.10355987055016182</v>
      </c>
      <c r="L106" s="67">
        <v>0.10355987055016182</v>
      </c>
      <c r="M106" s="67">
        <v>0.26431372549019611</v>
      </c>
      <c r="N106" s="67">
        <v>0.22</v>
      </c>
      <c r="O106" s="67">
        <v>0.59792284866468848</v>
      </c>
      <c r="P106" s="67">
        <v>0.37967914438502676</v>
      </c>
      <c r="Q106" s="67">
        <v>0.42357512953367876</v>
      </c>
    </row>
    <row r="107" spans="1:17" x14ac:dyDescent="0.4">
      <c r="A107" s="69">
        <v>104</v>
      </c>
      <c r="B107" s="66">
        <v>0</v>
      </c>
      <c r="C107" s="66">
        <v>0</v>
      </c>
      <c r="D107" s="71">
        <v>2</v>
      </c>
      <c r="E107" s="67">
        <v>0.33333333333333331</v>
      </c>
      <c r="F107" s="67">
        <v>0.33333333333333331</v>
      </c>
      <c r="G107" s="67">
        <v>0.30267753201396974</v>
      </c>
      <c r="H107" s="67">
        <v>0.17190531625921615</v>
      </c>
      <c r="I107" s="68">
        <v>8371.1538461538457</v>
      </c>
      <c r="J107" s="68">
        <v>-8026.4108352144467</v>
      </c>
      <c r="K107" s="67">
        <v>0.10256410256410256</v>
      </c>
      <c r="L107" s="67">
        <v>0.10256410256410256</v>
      </c>
      <c r="M107" s="67">
        <v>0.26503686457120684</v>
      </c>
      <c r="N107" s="67">
        <v>0.22079937912301126</v>
      </c>
      <c r="O107" s="67">
        <v>0.59736456808199123</v>
      </c>
      <c r="P107" s="67">
        <v>0.37961335676625657</v>
      </c>
      <c r="Q107" s="67">
        <v>0.42307692307692307</v>
      </c>
    </row>
    <row r="108" spans="1:17" x14ac:dyDescent="0.4">
      <c r="A108" s="69">
        <v>105</v>
      </c>
      <c r="B108" s="66">
        <v>-2.6645352591003757E-15</v>
      </c>
      <c r="C108" s="66">
        <v>-8.4588420923821458E-18</v>
      </c>
      <c r="D108" s="71">
        <v>2</v>
      </c>
      <c r="E108" s="67">
        <v>0.33333333333333331</v>
      </c>
      <c r="F108" s="67">
        <v>0.33333333333333331</v>
      </c>
      <c r="G108" s="67">
        <v>0.30299539170506912</v>
      </c>
      <c r="H108" s="67">
        <v>0.17127496159754224</v>
      </c>
      <c r="I108" s="68">
        <v>8369.4550063371353</v>
      </c>
      <c r="J108" s="68">
        <v>-8001.5695067264578</v>
      </c>
      <c r="K108" s="67">
        <v>0.10158730158730159</v>
      </c>
      <c r="L108" s="67">
        <v>0.10158730158730159</v>
      </c>
      <c r="M108" s="67">
        <v>0.26574500768049153</v>
      </c>
      <c r="N108" s="67">
        <v>0.22004608294930875</v>
      </c>
      <c r="O108" s="67">
        <v>0.59682080924855496</v>
      </c>
      <c r="P108" s="67">
        <v>0.37870855148342059</v>
      </c>
      <c r="Q108" s="67">
        <v>0.42585551330798477</v>
      </c>
    </row>
    <row r="109" spans="1:17" x14ac:dyDescent="0.4">
      <c r="A109" s="69">
        <v>106</v>
      </c>
      <c r="B109" s="66">
        <v>1.4210854715202004E-14</v>
      </c>
      <c r="C109" s="66">
        <v>4.4688222374849071E-17</v>
      </c>
      <c r="D109" s="71">
        <v>2</v>
      </c>
      <c r="E109" s="67">
        <v>0.33333333333333331</v>
      </c>
      <c r="F109" s="67">
        <v>0.33333333333333331</v>
      </c>
      <c r="G109" s="67">
        <v>0.30254656024325349</v>
      </c>
      <c r="H109" s="67">
        <v>0.17103762827822122</v>
      </c>
      <c r="I109" s="68">
        <v>8458.9195979899505</v>
      </c>
      <c r="J109" s="68">
        <v>-8014.4444444444443</v>
      </c>
      <c r="K109" s="67">
        <v>0.10377358490566038</v>
      </c>
      <c r="L109" s="67">
        <v>0.10377358490566038</v>
      </c>
      <c r="M109" s="67">
        <v>0.26605853287723297</v>
      </c>
      <c r="N109" s="67">
        <v>0.21892816419612315</v>
      </c>
      <c r="O109" s="67">
        <v>0.59857142857142853</v>
      </c>
      <c r="P109" s="67">
        <v>0.3767361111111111</v>
      </c>
      <c r="Q109" s="67">
        <v>0.42587939698492461</v>
      </c>
    </row>
    <row r="110" spans="1:17" x14ac:dyDescent="0.4">
      <c r="A110" s="69">
        <v>107</v>
      </c>
      <c r="B110" s="66">
        <v>1.4210854715202004E-14</v>
      </c>
      <c r="C110" s="66">
        <v>4.4270575436766365E-17</v>
      </c>
      <c r="D110" s="71">
        <v>2</v>
      </c>
      <c r="E110" s="67">
        <v>0.33333333333333331</v>
      </c>
      <c r="F110" s="67">
        <v>0.33333333333333331</v>
      </c>
      <c r="G110" s="67">
        <v>0.3033033033033033</v>
      </c>
      <c r="H110" s="67">
        <v>0.17042042042042041</v>
      </c>
      <c r="I110" s="68">
        <v>8456.5594059405939</v>
      </c>
      <c r="J110" s="68">
        <v>-7998.4581497797353</v>
      </c>
      <c r="K110" s="67">
        <v>0.10280373831775701</v>
      </c>
      <c r="L110" s="67">
        <v>0.10280373831775701</v>
      </c>
      <c r="M110" s="67">
        <v>0.26726726726726729</v>
      </c>
      <c r="N110" s="67">
        <v>0.21884384384384384</v>
      </c>
      <c r="O110" s="67">
        <v>0.5997191011235955</v>
      </c>
      <c r="P110" s="67">
        <v>0.37735849056603776</v>
      </c>
      <c r="Q110" s="67">
        <v>0.42821782178217821</v>
      </c>
    </row>
    <row r="111" spans="1:17" x14ac:dyDescent="0.4">
      <c r="A111" s="69">
        <v>108</v>
      </c>
      <c r="B111" s="66">
        <v>2.1316282072803006E-14</v>
      </c>
      <c r="C111" s="66">
        <v>6.5790994051861125E-17</v>
      </c>
      <c r="D111" s="71">
        <v>2</v>
      </c>
      <c r="E111" s="67">
        <v>0.33333333333333331</v>
      </c>
      <c r="F111" s="67">
        <v>0.33333333333333331</v>
      </c>
      <c r="G111" s="67">
        <v>0.30275913497390006</v>
      </c>
      <c r="H111" s="67">
        <v>0.16964951528709918</v>
      </c>
      <c r="I111" s="68">
        <v>8464.2857142857138</v>
      </c>
      <c r="J111" s="68">
        <v>-8020.4395604395604</v>
      </c>
      <c r="K111" s="67">
        <v>0.10493827160493827</v>
      </c>
      <c r="L111" s="67">
        <v>0.10493827160493827</v>
      </c>
      <c r="M111" s="67">
        <v>0.26808351976137212</v>
      </c>
      <c r="N111" s="67">
        <v>0.21812080536912751</v>
      </c>
      <c r="O111" s="67">
        <v>0.59527121001390826</v>
      </c>
      <c r="P111" s="67">
        <v>0.37948717948717947</v>
      </c>
      <c r="Q111" s="67">
        <v>0.42980295566502463</v>
      </c>
    </row>
    <row r="112" spans="1:17" x14ac:dyDescent="0.4">
      <c r="A112" s="69">
        <v>109</v>
      </c>
      <c r="B112" s="66">
        <v>2.1316282072803006E-14</v>
      </c>
      <c r="C112" s="66">
        <v>6.5187406950467911E-17</v>
      </c>
      <c r="D112" s="71">
        <v>2</v>
      </c>
      <c r="E112" s="67">
        <v>0.33333333333333331</v>
      </c>
      <c r="F112" s="67">
        <v>0.33333333333333331</v>
      </c>
      <c r="G112" s="67">
        <v>0.30239410681399631</v>
      </c>
      <c r="H112" s="67">
        <v>0.1694290976058932</v>
      </c>
      <c r="I112" s="68">
        <v>8486.1144945188789</v>
      </c>
      <c r="J112" s="68">
        <v>-8029.130434782609</v>
      </c>
      <c r="K112" s="67">
        <v>0.10397553516819572</v>
      </c>
      <c r="L112" s="67">
        <v>0.10397553516819572</v>
      </c>
      <c r="M112" s="67">
        <v>0.26813996316758748</v>
      </c>
      <c r="N112" s="67">
        <v>0.21878453038674034</v>
      </c>
      <c r="O112" s="67">
        <v>0.59478021978021978</v>
      </c>
      <c r="P112" s="67">
        <v>0.38047138047138046</v>
      </c>
      <c r="Q112" s="67">
        <v>0.42996345919610229</v>
      </c>
    </row>
    <row r="113" spans="1:17" x14ac:dyDescent="0.4">
      <c r="A113" s="69">
        <v>110</v>
      </c>
      <c r="B113" s="66">
        <v>2.1316282072803006E-14</v>
      </c>
      <c r="C113" s="66">
        <v>6.4594794160009105E-17</v>
      </c>
      <c r="D113" s="71">
        <v>2</v>
      </c>
      <c r="E113" s="67">
        <v>0.33333333333333331</v>
      </c>
      <c r="F113" s="67">
        <v>0.33333333333333331</v>
      </c>
      <c r="G113" s="67">
        <v>0.30263157894736842</v>
      </c>
      <c r="H113" s="67">
        <v>0.16995614035087719</v>
      </c>
      <c r="I113" s="68">
        <v>8461.95652173913</v>
      </c>
      <c r="J113" s="68">
        <v>-7993.7634408602153</v>
      </c>
      <c r="K113" s="67">
        <v>0.10303030303030303</v>
      </c>
      <c r="L113" s="67">
        <v>0.10303030303030303</v>
      </c>
      <c r="M113" s="67">
        <v>0.26790935672514621</v>
      </c>
      <c r="N113" s="67">
        <v>0.21966374269005848</v>
      </c>
      <c r="O113" s="67">
        <v>0.592087312414734</v>
      </c>
      <c r="P113" s="67">
        <v>0.3843594009983361</v>
      </c>
      <c r="Q113" s="67">
        <v>0.42874396135265702</v>
      </c>
    </row>
    <row r="114" spans="1:17" x14ac:dyDescent="0.4">
      <c r="A114" s="69">
        <v>111</v>
      </c>
      <c r="B114" s="66">
        <v>2.708944180085382E-14</v>
      </c>
      <c r="C114" s="66">
        <v>8.1349675077639101E-17</v>
      </c>
      <c r="D114" s="71">
        <v>2</v>
      </c>
      <c r="E114" s="67">
        <v>0.33333333333333331</v>
      </c>
      <c r="F114" s="67">
        <v>0.33333333333333331</v>
      </c>
      <c r="G114" s="67">
        <v>0.30286543344214728</v>
      </c>
      <c r="H114" s="67">
        <v>0.16974972796517954</v>
      </c>
      <c r="I114" s="68">
        <v>8448.2634730538921</v>
      </c>
      <c r="J114" s="68">
        <v>-7969.4444444444443</v>
      </c>
      <c r="K114" s="67">
        <v>0.1021021021021021</v>
      </c>
      <c r="L114" s="67">
        <v>0.1021021021021021</v>
      </c>
      <c r="M114" s="67">
        <v>0.26731955023576354</v>
      </c>
      <c r="N114" s="67">
        <v>0.21907870874138557</v>
      </c>
      <c r="O114" s="67">
        <v>0.59430122116689277</v>
      </c>
      <c r="P114" s="67">
        <v>0.38410596026490068</v>
      </c>
      <c r="Q114" s="67">
        <v>0.42994011976047902</v>
      </c>
    </row>
    <row r="115" spans="1:17" x14ac:dyDescent="0.4">
      <c r="A115" s="69">
        <v>112</v>
      </c>
      <c r="B115" s="66">
        <v>2.8421709430404007E-14</v>
      </c>
      <c r="C115" s="66">
        <v>8.4588420923821446E-17</v>
      </c>
      <c r="D115" s="71">
        <v>2</v>
      </c>
      <c r="E115" s="67">
        <v>0.33333333333333331</v>
      </c>
      <c r="F115" s="67">
        <v>0.33333333333333331</v>
      </c>
      <c r="G115" s="67">
        <v>0.30276878820568143</v>
      </c>
      <c r="H115" s="67">
        <v>0.1700827040632866</v>
      </c>
      <c r="I115" s="68">
        <v>8435.2731591448937</v>
      </c>
      <c r="J115" s="68">
        <v>-7950.5285412262156</v>
      </c>
      <c r="K115" s="67">
        <v>0.10119047619047619</v>
      </c>
      <c r="L115" s="67">
        <v>0.10119047619047619</v>
      </c>
      <c r="M115" s="67">
        <v>0.26860841423948217</v>
      </c>
      <c r="N115" s="67">
        <v>0.21826681049982022</v>
      </c>
      <c r="O115" s="67">
        <v>0.59303882195448465</v>
      </c>
      <c r="P115" s="67">
        <v>0.38220757825370677</v>
      </c>
      <c r="Q115" s="67">
        <v>0.42874109263657956</v>
      </c>
    </row>
    <row r="116" spans="1:17" x14ac:dyDescent="0.4">
      <c r="A116" s="69">
        <v>113</v>
      </c>
      <c r="B116" s="66">
        <v>2.8421709430404007E-14</v>
      </c>
      <c r="C116" s="66">
        <v>8.3839850827150463E-17</v>
      </c>
      <c r="D116" s="71">
        <v>2</v>
      </c>
      <c r="E116" s="67">
        <v>0.33333333333333331</v>
      </c>
      <c r="F116" s="67">
        <v>0.33333333333333331</v>
      </c>
      <c r="G116" s="67">
        <v>0.30231729055258466</v>
      </c>
      <c r="H116" s="67">
        <v>0.16898395721925133</v>
      </c>
      <c r="I116" s="68">
        <v>8445.9905660377353</v>
      </c>
      <c r="J116" s="68">
        <v>-7958.2278481012654</v>
      </c>
      <c r="K116" s="67">
        <v>0.10029498525073746</v>
      </c>
      <c r="L116" s="67">
        <v>0.10029498525073746</v>
      </c>
      <c r="M116" s="67">
        <v>0.26773618538324423</v>
      </c>
      <c r="N116" s="67">
        <v>0.21818181818181817</v>
      </c>
      <c r="O116" s="67">
        <v>0.59254327563248999</v>
      </c>
      <c r="P116" s="67">
        <v>0.37908496732026142</v>
      </c>
      <c r="Q116" s="67">
        <v>0.43160377358490565</v>
      </c>
    </row>
    <row r="117" spans="1:17" x14ac:dyDescent="0.4">
      <c r="A117" s="69">
        <v>114</v>
      </c>
      <c r="B117" s="66">
        <v>2.8421709430404007E-14</v>
      </c>
      <c r="C117" s="66">
        <v>8.3104413539193E-17</v>
      </c>
      <c r="D117" s="71">
        <v>2</v>
      </c>
      <c r="E117" s="67">
        <v>0.33333333333333331</v>
      </c>
      <c r="F117" s="67">
        <v>0.33333333333333331</v>
      </c>
      <c r="G117" s="67">
        <v>0.3022269353128314</v>
      </c>
      <c r="H117" s="67">
        <v>0.16861081654294804</v>
      </c>
      <c r="I117" s="68">
        <v>8441.1695906432742</v>
      </c>
      <c r="J117" s="68">
        <v>-7949.6855345911954</v>
      </c>
      <c r="K117" s="67">
        <v>9.9415204678362568E-2</v>
      </c>
      <c r="L117" s="67">
        <v>9.9415204678362568E-2</v>
      </c>
      <c r="M117" s="67">
        <v>0.26793920113114172</v>
      </c>
      <c r="N117" s="67">
        <v>0.21809826793920112</v>
      </c>
      <c r="O117" s="67">
        <v>0.59366754617414252</v>
      </c>
      <c r="P117" s="67">
        <v>0.37925445705024313</v>
      </c>
      <c r="Q117" s="67">
        <v>0.43274853801169588</v>
      </c>
    </row>
    <row r="118" spans="1:17" x14ac:dyDescent="0.4">
      <c r="A118" s="69">
        <v>115</v>
      </c>
      <c r="B118" s="66">
        <v>2.5590640717609858E-14</v>
      </c>
      <c r="C118" s="66">
        <v>7.4175770195970603E-17</v>
      </c>
      <c r="D118" s="71">
        <v>2</v>
      </c>
      <c r="E118" s="67">
        <v>0.33333333333333331</v>
      </c>
      <c r="F118" s="67">
        <v>0.33333333333333331</v>
      </c>
      <c r="G118" s="67">
        <v>0.30258560447239691</v>
      </c>
      <c r="H118" s="67">
        <v>0.16736547868623342</v>
      </c>
      <c r="I118" s="68">
        <v>8485.1039260969974</v>
      </c>
      <c r="J118" s="68">
        <v>-7983.2985386221299</v>
      </c>
      <c r="K118" s="67">
        <v>9.8550724637681164E-2</v>
      </c>
      <c r="L118" s="67">
        <v>9.8550724637681164E-2</v>
      </c>
      <c r="M118" s="67">
        <v>0.26799440950384346</v>
      </c>
      <c r="N118" s="67">
        <v>0.21872816212438853</v>
      </c>
      <c r="O118" s="67">
        <v>0.59322033898305082</v>
      </c>
      <c r="P118" s="67">
        <v>0.38178913738019171</v>
      </c>
      <c r="Q118" s="67">
        <v>0.43764434180138567</v>
      </c>
    </row>
    <row r="119" spans="1:17" x14ac:dyDescent="0.4">
      <c r="A119" s="69">
        <v>116</v>
      </c>
      <c r="B119" s="66">
        <v>2.8421709430404007E-14</v>
      </c>
      <c r="C119" s="66">
        <v>8.167157882300002E-17</v>
      </c>
      <c r="D119" s="71">
        <v>2</v>
      </c>
      <c r="E119" s="67">
        <v>0.33333333333333331</v>
      </c>
      <c r="F119" s="67">
        <v>0.33333333333333331</v>
      </c>
      <c r="G119" s="67">
        <v>0.30271398747390399</v>
      </c>
      <c r="H119" s="67">
        <v>0.16736256089074461</v>
      </c>
      <c r="I119" s="68">
        <v>8496.6666666666661</v>
      </c>
      <c r="J119" s="68">
        <v>-8012.4740124740129</v>
      </c>
      <c r="K119" s="67">
        <v>0.10057471264367816</v>
      </c>
      <c r="L119" s="67">
        <v>0.10057471264367816</v>
      </c>
      <c r="M119" s="67">
        <v>0.26896311760612385</v>
      </c>
      <c r="N119" s="67">
        <v>0.21851078636047322</v>
      </c>
      <c r="O119" s="67">
        <v>0.59249676584734801</v>
      </c>
      <c r="P119" s="67">
        <v>0.38216560509554143</v>
      </c>
      <c r="Q119" s="67">
        <v>0.43793103448275861</v>
      </c>
    </row>
    <row r="120" spans="1:17" x14ac:dyDescent="0.4">
      <c r="A120" s="69">
        <v>117</v>
      </c>
      <c r="B120" s="66">
        <v>2.8421709430404007E-14</v>
      </c>
      <c r="C120" s="66">
        <v>8.0973531140752162E-17</v>
      </c>
      <c r="D120" s="71">
        <v>2</v>
      </c>
      <c r="E120" s="67">
        <v>0.33333333333333331</v>
      </c>
      <c r="F120" s="67">
        <v>0.33333333333333331</v>
      </c>
      <c r="G120" s="67">
        <v>0.30287296642436828</v>
      </c>
      <c r="H120" s="67">
        <v>0.16822429906542055</v>
      </c>
      <c r="I120" s="68">
        <v>8526.5142857142855</v>
      </c>
      <c r="J120" s="68">
        <v>-8071.1934156378602</v>
      </c>
      <c r="K120" s="67">
        <v>0.10256410256410256</v>
      </c>
      <c r="L120" s="67">
        <v>0.10256410256410256</v>
      </c>
      <c r="M120" s="67">
        <v>0.27033575631706475</v>
      </c>
      <c r="N120" s="67">
        <v>0.21806853582554517</v>
      </c>
      <c r="O120" s="67">
        <v>0.59282970550576186</v>
      </c>
      <c r="P120" s="67">
        <v>0.38095238095238093</v>
      </c>
      <c r="Q120" s="67">
        <v>0.43542857142857144</v>
      </c>
    </row>
    <row r="121" spans="1:17" x14ac:dyDescent="0.4">
      <c r="A121" s="69">
        <v>118</v>
      </c>
      <c r="B121" s="66">
        <v>2.8421709430404007E-14</v>
      </c>
      <c r="C121" s="66">
        <v>8.0287314775152563E-17</v>
      </c>
      <c r="D121" s="71">
        <v>2</v>
      </c>
      <c r="E121" s="67">
        <v>0.33333333333333331</v>
      </c>
      <c r="F121" s="67">
        <v>0.33333333333333331</v>
      </c>
      <c r="G121" s="67">
        <v>0.30290598290598292</v>
      </c>
      <c r="H121" s="67">
        <v>0.1682051282051282</v>
      </c>
      <c r="I121" s="68">
        <v>8504.6275395033863</v>
      </c>
      <c r="J121" s="68">
        <v>-8061.9918699186992</v>
      </c>
      <c r="K121" s="67">
        <v>0.10169491525423729</v>
      </c>
      <c r="L121" s="67">
        <v>0.10169491525423729</v>
      </c>
      <c r="M121" s="67">
        <v>0.26940170940170938</v>
      </c>
      <c r="N121" s="67">
        <v>0.21777777777777776</v>
      </c>
      <c r="O121" s="67">
        <v>0.59263959390862941</v>
      </c>
      <c r="P121" s="67">
        <v>0.38147566718995291</v>
      </c>
      <c r="Q121" s="67">
        <v>0.43566591422121898</v>
      </c>
    </row>
    <row r="122" spans="1:17" x14ac:dyDescent="0.4">
      <c r="A122" s="69">
        <v>119</v>
      </c>
      <c r="B122" s="66">
        <v>3.5527136788005009E-14</v>
      </c>
      <c r="C122" s="66">
        <v>9.9515789322142887E-17</v>
      </c>
      <c r="D122" s="71">
        <v>2</v>
      </c>
      <c r="E122" s="67">
        <v>0.33333333333333331</v>
      </c>
      <c r="F122" s="67">
        <v>0.33333333333333331</v>
      </c>
      <c r="G122" s="67">
        <v>0.30284552845528456</v>
      </c>
      <c r="H122" s="67">
        <v>0.16836043360433606</v>
      </c>
      <c r="I122" s="68">
        <v>8489.5973154362418</v>
      </c>
      <c r="J122" s="68">
        <v>-8026.3581488933605</v>
      </c>
      <c r="K122" s="67">
        <v>0.10084033613445378</v>
      </c>
      <c r="L122" s="67">
        <v>0.10084033613445378</v>
      </c>
      <c r="M122" s="67">
        <v>0.26998644986449866</v>
      </c>
      <c r="N122" s="67">
        <v>0.21680216802168023</v>
      </c>
      <c r="O122" s="67">
        <v>0.59222082810539523</v>
      </c>
      <c r="P122" s="67">
        <v>0.3828125</v>
      </c>
      <c r="Q122" s="67">
        <v>0.43512304250559286</v>
      </c>
    </row>
    <row r="123" spans="1:17" x14ac:dyDescent="0.4">
      <c r="A123" s="69">
        <v>120</v>
      </c>
      <c r="B123" s="66">
        <v>3.907985046680551E-14</v>
      </c>
      <c r="C123" s="66">
        <v>1.0855514018557086E-16</v>
      </c>
      <c r="D123" s="71">
        <v>2</v>
      </c>
      <c r="E123" s="67">
        <v>0.33333333333333331</v>
      </c>
      <c r="F123" s="67">
        <v>0.33333333333333331</v>
      </c>
      <c r="G123" s="67">
        <v>0.302755376344086</v>
      </c>
      <c r="H123" s="67">
        <v>0.16868279569892472</v>
      </c>
      <c r="I123" s="68">
        <v>8464.9278579356269</v>
      </c>
      <c r="J123" s="68">
        <v>-8002.7888446215138</v>
      </c>
      <c r="K123" s="67">
        <v>0.1</v>
      </c>
      <c r="L123" s="67">
        <v>0.1</v>
      </c>
      <c r="M123" s="67">
        <v>0.27083333333333331</v>
      </c>
      <c r="N123" s="67">
        <v>0.21639784946236559</v>
      </c>
      <c r="O123" s="67">
        <v>0.59057071960297769</v>
      </c>
      <c r="P123" s="67">
        <v>0.38198757763975155</v>
      </c>
      <c r="Q123" s="67">
        <v>0.43396226415094341</v>
      </c>
    </row>
    <row r="124" spans="1:17" x14ac:dyDescent="0.4">
      <c r="A124" s="69">
        <v>121</v>
      </c>
      <c r="B124" s="66">
        <v>3.5527136788005009E-14</v>
      </c>
      <c r="C124" s="66">
        <v>9.7870900242438045E-17</v>
      </c>
      <c r="D124" s="71">
        <v>2</v>
      </c>
      <c r="E124" s="67">
        <v>0.33333333333333331</v>
      </c>
      <c r="F124" s="67">
        <v>0.33333333333333331</v>
      </c>
      <c r="G124" s="67">
        <v>0.30272787757817698</v>
      </c>
      <c r="H124" s="67">
        <v>0.16899534264803726</v>
      </c>
      <c r="I124" s="68">
        <v>8464.8351648351654</v>
      </c>
      <c r="J124" s="68">
        <v>-7996.6535433070867</v>
      </c>
      <c r="K124" s="67">
        <v>9.9173553719008267E-2</v>
      </c>
      <c r="L124" s="67">
        <v>9.9173553719008267E-2</v>
      </c>
      <c r="M124" s="67">
        <v>0.27145708582834333</v>
      </c>
      <c r="N124" s="67">
        <v>0.21623419827012641</v>
      </c>
      <c r="O124" s="67">
        <v>0.58823529411764708</v>
      </c>
      <c r="P124" s="67">
        <v>0.38153846153846155</v>
      </c>
      <c r="Q124" s="67">
        <v>0.43296703296703298</v>
      </c>
    </row>
    <row r="125" spans="1:17" x14ac:dyDescent="0.4">
      <c r="A125" s="69">
        <v>122</v>
      </c>
      <c r="B125" s="66">
        <v>3.1974423109204508E-14</v>
      </c>
      <c r="C125" s="66">
        <v>8.7361811773782808E-17</v>
      </c>
      <c r="D125" s="71">
        <v>2</v>
      </c>
      <c r="E125" s="67">
        <v>0.33333333333333331</v>
      </c>
      <c r="F125" s="67">
        <v>0.33333333333333331</v>
      </c>
      <c r="G125" s="67">
        <v>0.30267062314540061</v>
      </c>
      <c r="H125" s="67">
        <v>0.16880975931421036</v>
      </c>
      <c r="I125" s="68">
        <v>8464.1612200435738</v>
      </c>
      <c r="J125" s="68">
        <v>-8001.171875</v>
      </c>
      <c r="K125" s="67">
        <v>0.10109289617486339</v>
      </c>
      <c r="L125" s="67">
        <v>0.10109289617486339</v>
      </c>
      <c r="M125" s="67">
        <v>0.27200791295746785</v>
      </c>
      <c r="N125" s="67">
        <v>0.21661721068249259</v>
      </c>
      <c r="O125" s="67">
        <v>0.58787878787878789</v>
      </c>
      <c r="P125" s="67">
        <v>0.38051750380517502</v>
      </c>
      <c r="Q125" s="67">
        <v>0.43355119825708061</v>
      </c>
    </row>
    <row r="126" spans="1:17" x14ac:dyDescent="0.4">
      <c r="A126" s="69">
        <v>123</v>
      </c>
      <c r="B126" s="66">
        <v>3.3750779948604759E-14</v>
      </c>
      <c r="C126" s="66">
        <v>9.1465528316002061E-17</v>
      </c>
      <c r="D126" s="71">
        <v>2</v>
      </c>
      <c r="E126" s="67">
        <v>0.33333333333333331</v>
      </c>
      <c r="F126" s="67">
        <v>0.33333333333333331</v>
      </c>
      <c r="G126" s="67">
        <v>0.30285343709468221</v>
      </c>
      <c r="H126" s="67">
        <v>0.16763942931258105</v>
      </c>
      <c r="I126" s="68">
        <v>8461.9914346895075</v>
      </c>
      <c r="J126" s="68">
        <v>-8019.342359767892</v>
      </c>
      <c r="K126" s="67">
        <v>0.1002710027100271</v>
      </c>
      <c r="L126" s="67">
        <v>0.1002710027100271</v>
      </c>
      <c r="M126" s="67">
        <v>0.27172503242542151</v>
      </c>
      <c r="N126" s="67">
        <v>0.21789883268482491</v>
      </c>
      <c r="O126" s="67">
        <v>0.58711217183770881</v>
      </c>
      <c r="P126" s="67">
        <v>0.38095238095238093</v>
      </c>
      <c r="Q126" s="67">
        <v>0.43790149892933616</v>
      </c>
    </row>
    <row r="127" spans="1:17" x14ac:dyDescent="0.4">
      <c r="A127" s="69">
        <v>124</v>
      </c>
      <c r="B127" s="66">
        <v>3.9801495432811862E-14</v>
      </c>
      <c r="C127" s="66">
        <v>1.0699326729250501E-16</v>
      </c>
      <c r="D127" s="71">
        <v>2</v>
      </c>
      <c r="E127" s="67">
        <v>0.33333333333333331</v>
      </c>
      <c r="F127" s="67">
        <v>0.33333333333333331</v>
      </c>
      <c r="G127" s="67">
        <v>0.30308880308880309</v>
      </c>
      <c r="H127" s="67">
        <v>0.16795366795366795</v>
      </c>
      <c r="I127" s="68">
        <v>8448.3014861995762</v>
      </c>
      <c r="J127" s="68">
        <v>-8016.4750957854403</v>
      </c>
      <c r="K127" s="67">
        <v>9.9462365591397844E-2</v>
      </c>
      <c r="L127" s="67">
        <v>9.9462365591397844E-2</v>
      </c>
      <c r="M127" s="67">
        <v>0.27059202059202059</v>
      </c>
      <c r="N127" s="67">
        <v>0.21846846846846846</v>
      </c>
      <c r="O127" s="67">
        <v>0.58858501783590966</v>
      </c>
      <c r="P127" s="67">
        <v>0.38291605301914583</v>
      </c>
      <c r="Q127" s="67">
        <v>0.43736730360934184</v>
      </c>
    </row>
    <row r="128" spans="1:17" x14ac:dyDescent="0.4">
      <c r="A128" s="69">
        <v>125</v>
      </c>
      <c r="B128" s="66">
        <v>3.5527136788005009E-14</v>
      </c>
      <c r="C128" s="66">
        <v>9.4739031434680031E-17</v>
      </c>
      <c r="D128" s="71">
        <v>2</v>
      </c>
      <c r="E128" s="67">
        <v>0.33333333333333331</v>
      </c>
      <c r="F128" s="67">
        <v>0.33333333333333331</v>
      </c>
      <c r="G128" s="67">
        <v>0.30271132376395532</v>
      </c>
      <c r="H128" s="67">
        <v>0.1674641148325359</v>
      </c>
      <c r="I128" s="68">
        <v>8448.4720758693365</v>
      </c>
      <c r="J128" s="68">
        <v>-8019.6190476190477</v>
      </c>
      <c r="K128" s="67">
        <v>9.8666666666666666E-2</v>
      </c>
      <c r="L128" s="67">
        <v>9.8666666666666666E-2</v>
      </c>
      <c r="M128" s="67">
        <v>0.27017543859649124</v>
      </c>
      <c r="N128" s="67">
        <v>0.21818181818181817</v>
      </c>
      <c r="O128" s="67">
        <v>0.58795749704840616</v>
      </c>
      <c r="P128" s="67">
        <v>0.38596491228070173</v>
      </c>
      <c r="Q128" s="67">
        <v>0.43835616438356162</v>
      </c>
    </row>
    <row r="129" spans="1:17" x14ac:dyDescent="0.4">
      <c r="A129" s="69">
        <v>126</v>
      </c>
      <c r="B129" s="66">
        <v>4.2632564145606011E-14</v>
      </c>
      <c r="C129" s="66">
        <v>1.1278456123176193E-16</v>
      </c>
      <c r="D129" s="71">
        <v>2</v>
      </c>
      <c r="E129" s="67">
        <v>0.33333333333333331</v>
      </c>
      <c r="F129" s="67">
        <v>0.33333333333333331</v>
      </c>
      <c r="G129" s="67">
        <v>0.30259822560202787</v>
      </c>
      <c r="H129" s="67">
        <v>0.16730038022813687</v>
      </c>
      <c r="I129" s="68">
        <v>8490.0523560209422</v>
      </c>
      <c r="J129" s="68">
        <v>-8085.037878787879</v>
      </c>
      <c r="K129" s="67">
        <v>0.10052910052910052</v>
      </c>
      <c r="L129" s="67">
        <v>0.10052910052910052</v>
      </c>
      <c r="M129" s="67">
        <v>0.26996197718631176</v>
      </c>
      <c r="N129" s="67">
        <v>0.21736375158428389</v>
      </c>
      <c r="O129" s="67">
        <v>0.58920187793427226</v>
      </c>
      <c r="P129" s="67">
        <v>0.38483965014577259</v>
      </c>
      <c r="Q129" s="67">
        <v>0.4387434554973822</v>
      </c>
    </row>
    <row r="130" spans="1:17" x14ac:dyDescent="0.4">
      <c r="A130" s="69">
        <v>127</v>
      </c>
      <c r="B130" s="66">
        <v>4.2632564145606011E-14</v>
      </c>
      <c r="C130" s="66">
        <v>1.1189649382048822E-16</v>
      </c>
      <c r="D130" s="71">
        <v>2</v>
      </c>
      <c r="E130" s="67">
        <v>0.33333333333333331</v>
      </c>
      <c r="F130" s="67">
        <v>0.33333333333333331</v>
      </c>
      <c r="G130" s="67">
        <v>0.30237648530331457</v>
      </c>
      <c r="H130" s="67">
        <v>0.16791744840525327</v>
      </c>
      <c r="I130" s="68">
        <v>8457.7042399172697</v>
      </c>
      <c r="J130" s="68">
        <v>-8050.4655493482305</v>
      </c>
      <c r="K130" s="67">
        <v>9.9737532808398949E-2</v>
      </c>
      <c r="L130" s="67">
        <v>9.9737532808398949E-2</v>
      </c>
      <c r="M130" s="67">
        <v>0.26923076923076922</v>
      </c>
      <c r="N130" s="67">
        <v>0.21607254534083803</v>
      </c>
      <c r="O130" s="67">
        <v>0.59117305458768876</v>
      </c>
      <c r="P130" s="67">
        <v>0.38350217076700432</v>
      </c>
      <c r="Q130" s="67">
        <v>0.4364012409513961</v>
      </c>
    </row>
    <row r="131" spans="1:17" x14ac:dyDescent="0.4">
      <c r="A131" s="69">
        <v>128</v>
      </c>
      <c r="B131" s="66">
        <v>4.2632564145606011E-14</v>
      </c>
      <c r="C131" s="66">
        <v>1.1102230246251565E-16</v>
      </c>
      <c r="D131" s="71">
        <v>2</v>
      </c>
      <c r="E131" s="67">
        <v>0.33333333333333331</v>
      </c>
      <c r="F131" s="67">
        <v>0.33333333333333331</v>
      </c>
      <c r="G131" s="67">
        <v>0.30204460966542751</v>
      </c>
      <c r="H131" s="67">
        <v>0.16759603469640644</v>
      </c>
      <c r="I131" s="68">
        <v>8445.3333333333339</v>
      </c>
      <c r="J131" s="68">
        <v>-8048.9833641404803</v>
      </c>
      <c r="K131" s="67">
        <v>0.1015625</v>
      </c>
      <c r="L131" s="67">
        <v>0.1015625</v>
      </c>
      <c r="M131" s="67">
        <v>0.2698265179677819</v>
      </c>
      <c r="N131" s="67">
        <v>0.21561338289962825</v>
      </c>
      <c r="O131" s="67">
        <v>0.59127439724454645</v>
      </c>
      <c r="P131" s="67">
        <v>0.38362068965517243</v>
      </c>
      <c r="Q131" s="67">
        <v>0.43692307692307691</v>
      </c>
    </row>
    <row r="132" spans="1:17" x14ac:dyDescent="0.4">
      <c r="A132" s="69">
        <v>129</v>
      </c>
      <c r="B132" s="66">
        <v>4.7073456244106637E-14</v>
      </c>
      <c r="C132" s="66">
        <v>1.2163683784006883E-16</v>
      </c>
      <c r="D132" s="71">
        <v>2</v>
      </c>
      <c r="E132" s="67">
        <v>0.33333333333333331</v>
      </c>
      <c r="F132" s="67">
        <v>0.33333333333333331</v>
      </c>
      <c r="G132" s="67">
        <v>0.30224684518313327</v>
      </c>
      <c r="H132" s="67">
        <v>0.16743613419513698</v>
      </c>
      <c r="I132" s="68">
        <v>8418.8391038696536</v>
      </c>
      <c r="J132" s="68">
        <v>-8033.8235294117649</v>
      </c>
      <c r="K132" s="67">
        <v>0.10077519379844961</v>
      </c>
      <c r="L132" s="67">
        <v>0.10077519379844961</v>
      </c>
      <c r="M132" s="67">
        <v>0.26900584795321636</v>
      </c>
      <c r="N132" s="67">
        <v>0.21606648199445982</v>
      </c>
      <c r="O132" s="67">
        <v>0.59153318077803207</v>
      </c>
      <c r="P132" s="67">
        <v>0.38603988603988604</v>
      </c>
      <c r="Q132" s="67">
        <v>0.43788187372708759</v>
      </c>
    </row>
    <row r="133" spans="1:17" x14ac:dyDescent="0.4">
      <c r="A133" s="69">
        <v>130</v>
      </c>
      <c r="B133" s="66">
        <v>4.9737991503207013E-14</v>
      </c>
      <c r="C133" s="66">
        <v>1.2753331154668464E-16</v>
      </c>
      <c r="D133" s="71">
        <v>2</v>
      </c>
      <c r="E133" s="67">
        <v>0.33333333333333331</v>
      </c>
      <c r="F133" s="67">
        <v>0.33333333333333331</v>
      </c>
      <c r="G133" s="67">
        <v>0.30225472273004267</v>
      </c>
      <c r="H133" s="67">
        <v>0.16758074344911639</v>
      </c>
      <c r="I133" s="68">
        <v>8403.9314516129034</v>
      </c>
      <c r="J133" s="68">
        <v>-8011.272727272727</v>
      </c>
      <c r="K133" s="67">
        <v>0.1</v>
      </c>
      <c r="L133" s="67">
        <v>0.1</v>
      </c>
      <c r="M133" s="67">
        <v>0.26873857404021939</v>
      </c>
      <c r="N133" s="67">
        <v>0.21633150517976843</v>
      </c>
      <c r="O133" s="67">
        <v>0.59070294784580502</v>
      </c>
      <c r="P133" s="67">
        <v>0.38591549295774646</v>
      </c>
      <c r="Q133" s="67">
        <v>0.4375</v>
      </c>
    </row>
    <row r="134" spans="1:17" x14ac:dyDescent="0.4">
      <c r="A134" s="69">
        <v>131</v>
      </c>
      <c r="B134" s="66">
        <v>4.8849813083506888E-14</v>
      </c>
      <c r="C134" s="66">
        <v>1.2429977883843992E-16</v>
      </c>
      <c r="D134" s="71">
        <v>2</v>
      </c>
      <c r="E134" s="67">
        <v>0.33333333333333331</v>
      </c>
      <c r="F134" s="67">
        <v>0.33333333333333331</v>
      </c>
      <c r="G134" s="67">
        <v>0.30190389845874888</v>
      </c>
      <c r="H134" s="67">
        <v>0.16772438803263826</v>
      </c>
      <c r="I134" s="68">
        <v>8391.191191191192</v>
      </c>
      <c r="J134" s="68">
        <v>-8000.5405405405409</v>
      </c>
      <c r="K134" s="67">
        <v>9.9236641221374045E-2</v>
      </c>
      <c r="L134" s="67">
        <v>9.9236641221374045E-2</v>
      </c>
      <c r="M134" s="67">
        <v>0.26835902085222124</v>
      </c>
      <c r="N134" s="67">
        <v>0.21698398307645814</v>
      </c>
      <c r="O134" s="67">
        <v>0.59121621621621623</v>
      </c>
      <c r="P134" s="67">
        <v>0.38579387186629527</v>
      </c>
      <c r="Q134" s="67">
        <v>0.43643643643643643</v>
      </c>
    </row>
    <row r="135" spans="1:17" x14ac:dyDescent="0.4">
      <c r="A135" s="69">
        <v>132</v>
      </c>
      <c r="B135" s="66">
        <v>4.2632564145606011E-14</v>
      </c>
      <c r="C135" s="66">
        <v>1.0765799026668185E-16</v>
      </c>
      <c r="D135" s="71">
        <v>2</v>
      </c>
      <c r="E135" s="67">
        <v>0.33333333333333331</v>
      </c>
      <c r="F135" s="67">
        <v>0.33333333333333331</v>
      </c>
      <c r="G135" s="67">
        <v>0.30218628331835878</v>
      </c>
      <c r="H135" s="67">
        <v>0.16831386642707397</v>
      </c>
      <c r="I135" s="68">
        <v>8368.0872150644209</v>
      </c>
      <c r="J135" s="68">
        <v>-7978.4697508896797</v>
      </c>
      <c r="K135" s="67">
        <v>0.10101010101010101</v>
      </c>
      <c r="L135" s="67">
        <v>0.10101010101010101</v>
      </c>
      <c r="M135" s="67">
        <v>0.26864330637915546</v>
      </c>
      <c r="N135" s="67">
        <v>0.2168313866427074</v>
      </c>
      <c r="O135" s="67">
        <v>0.59085841694537344</v>
      </c>
      <c r="P135" s="67">
        <v>0.38674033149171272</v>
      </c>
      <c r="Q135" s="67">
        <v>0.43508424182358774</v>
      </c>
    </row>
    <row r="136" spans="1:17" x14ac:dyDescent="0.4">
      <c r="A136" s="69">
        <v>133</v>
      </c>
      <c r="B136" s="66">
        <v>4.2632564145606011E-14</v>
      </c>
      <c r="C136" s="66">
        <v>1.0684853169324814E-16</v>
      </c>
      <c r="D136" s="71">
        <v>2</v>
      </c>
      <c r="E136" s="67">
        <v>0.33333333333333331</v>
      </c>
      <c r="F136" s="67">
        <v>0.33333333333333331</v>
      </c>
      <c r="G136" s="67">
        <v>0.30238095238095236</v>
      </c>
      <c r="H136" s="67">
        <v>0.16815476190476192</v>
      </c>
      <c r="I136" s="68">
        <v>8355.7086614173222</v>
      </c>
      <c r="J136" s="68">
        <v>-7977.8761061946907</v>
      </c>
      <c r="K136" s="67">
        <v>0.10025062656641603</v>
      </c>
      <c r="L136" s="67">
        <v>0.10025062656641603</v>
      </c>
      <c r="M136" s="67">
        <v>0.2681547619047619</v>
      </c>
      <c r="N136" s="67">
        <v>0.21785714285714286</v>
      </c>
      <c r="O136" s="67">
        <v>0.59156492785793557</v>
      </c>
      <c r="P136" s="67">
        <v>0.38524590163934425</v>
      </c>
      <c r="Q136" s="67">
        <v>0.4360236220472441</v>
      </c>
    </row>
    <row r="137" spans="1:17" x14ac:dyDescent="0.4">
      <c r="A137" s="69">
        <v>134</v>
      </c>
      <c r="B137" s="66">
        <v>3.5527136788005009E-14</v>
      </c>
      <c r="C137" s="66">
        <v>8.8375962159216446E-17</v>
      </c>
      <c r="D137" s="71">
        <v>2</v>
      </c>
      <c r="E137" s="67">
        <v>0.33333333333333331</v>
      </c>
      <c r="F137" s="67">
        <v>0.33333333333333331</v>
      </c>
      <c r="G137" s="67">
        <v>0.30254588513913561</v>
      </c>
      <c r="H137" s="67">
        <v>0.16755476613380699</v>
      </c>
      <c r="I137" s="68">
        <v>8366.7318982387478</v>
      </c>
      <c r="J137" s="68">
        <v>-7984.9823321554768</v>
      </c>
      <c r="K137" s="67">
        <v>0.10199004975124377</v>
      </c>
      <c r="L137" s="67">
        <v>0.10199004975124377</v>
      </c>
      <c r="M137" s="67">
        <v>0.26968620485494377</v>
      </c>
      <c r="N137" s="67">
        <v>0.21669626998223801</v>
      </c>
      <c r="O137" s="67">
        <v>0.5916575192096597</v>
      </c>
      <c r="P137" s="67">
        <v>0.38524590163934425</v>
      </c>
      <c r="Q137" s="67">
        <v>0.43835616438356162</v>
      </c>
    </row>
    <row r="138" spans="1:17" x14ac:dyDescent="0.4">
      <c r="A138" s="69">
        <v>135</v>
      </c>
      <c r="B138" s="66">
        <v>3.5527136788005009E-14</v>
      </c>
      <c r="C138" s="66">
        <v>8.77213254024815E-17</v>
      </c>
      <c r="D138" s="71">
        <v>2</v>
      </c>
      <c r="E138" s="67">
        <v>0.33333333333333331</v>
      </c>
      <c r="F138" s="67">
        <v>0.33333333333333331</v>
      </c>
      <c r="G138" s="67">
        <v>0.30249632892804701</v>
      </c>
      <c r="H138" s="67">
        <v>0.16710719530102791</v>
      </c>
      <c r="I138" s="68">
        <v>8376.0194174757289</v>
      </c>
      <c r="J138" s="68">
        <v>-7986.4674868189804</v>
      </c>
      <c r="K138" s="67">
        <v>0.10123456790123457</v>
      </c>
      <c r="L138" s="67">
        <v>0.10123456790123457</v>
      </c>
      <c r="M138" s="67">
        <v>0.26901615271659324</v>
      </c>
      <c r="N138" s="67">
        <v>0.21585903083700442</v>
      </c>
      <c r="O138" s="67">
        <v>0.59279475982532748</v>
      </c>
      <c r="P138" s="67">
        <v>0.38639455782312926</v>
      </c>
      <c r="Q138" s="67">
        <v>0.43980582524271844</v>
      </c>
    </row>
    <row r="139" spans="1:17" x14ac:dyDescent="0.4">
      <c r="A139" s="69">
        <v>136</v>
      </c>
      <c r="B139" s="66">
        <v>3.1974423109204508E-14</v>
      </c>
      <c r="C139" s="66">
        <v>7.8368684091187526E-17</v>
      </c>
      <c r="D139" s="71">
        <v>2</v>
      </c>
      <c r="E139" s="67">
        <v>0.33333333333333331</v>
      </c>
      <c r="F139" s="67">
        <v>0.33333333333333331</v>
      </c>
      <c r="G139" s="67">
        <v>0.30139372822299654</v>
      </c>
      <c r="H139" s="67">
        <v>0.16666666666666666</v>
      </c>
      <c r="I139" s="68">
        <v>8387.1868978805396</v>
      </c>
      <c r="J139" s="68">
        <v>-8019.5121951219517</v>
      </c>
      <c r="K139" s="67">
        <v>0.10294117647058823</v>
      </c>
      <c r="L139" s="67">
        <v>0.10294117647058823</v>
      </c>
      <c r="M139" s="67">
        <v>0.26887340301974449</v>
      </c>
      <c r="N139" s="67">
        <v>0.21602787456445993</v>
      </c>
      <c r="O139" s="67">
        <v>0.59179265658747304</v>
      </c>
      <c r="P139" s="67">
        <v>0.38306451612903225</v>
      </c>
      <c r="Q139" s="67">
        <v>0.43930635838150289</v>
      </c>
    </row>
    <row r="140" spans="1:17" x14ac:dyDescent="0.4">
      <c r="A140" s="69">
        <v>137</v>
      </c>
      <c r="B140" s="66">
        <v>2.8421709430404007E-14</v>
      </c>
      <c r="C140" s="66">
        <v>6.9152577689547465E-17</v>
      </c>
      <c r="D140" s="71">
        <v>2</v>
      </c>
      <c r="E140" s="67">
        <v>0.33333333333333331</v>
      </c>
      <c r="F140" s="67">
        <v>0.33333333333333331</v>
      </c>
      <c r="G140" s="67">
        <v>0.30161476355247979</v>
      </c>
      <c r="H140" s="67">
        <v>0.16695501730103807</v>
      </c>
      <c r="I140" s="68">
        <v>8398.7571701720844</v>
      </c>
      <c r="J140" s="68">
        <v>-8040.0690846286698</v>
      </c>
      <c r="K140" s="67">
        <v>0.10218978102189781</v>
      </c>
      <c r="L140" s="67">
        <v>0.10218978102189781</v>
      </c>
      <c r="M140" s="67">
        <v>0.26931949250288351</v>
      </c>
      <c r="N140" s="67">
        <v>0.21539792387543252</v>
      </c>
      <c r="O140" s="67">
        <v>0.59207708779443258</v>
      </c>
      <c r="P140" s="67">
        <v>0.38286479250334671</v>
      </c>
      <c r="Q140" s="67">
        <v>0.43881453154875716</v>
      </c>
    </row>
    <row r="141" spans="1:17" x14ac:dyDescent="0.4">
      <c r="A141" s="69">
        <v>138</v>
      </c>
      <c r="B141" s="66">
        <v>3.1086244689504383E-14</v>
      </c>
      <c r="C141" s="66">
        <v>7.5087547559189332E-17</v>
      </c>
      <c r="D141" s="71">
        <v>2</v>
      </c>
      <c r="E141" s="67">
        <v>0.33333333333333331</v>
      </c>
      <c r="F141" s="67">
        <v>0.33333333333333331</v>
      </c>
      <c r="G141" s="67">
        <v>0.30149168100975332</v>
      </c>
      <c r="H141" s="67">
        <v>0.16695352839931152</v>
      </c>
      <c r="I141" s="68">
        <v>8419.0294957183633</v>
      </c>
      <c r="J141" s="68">
        <v>-8045.5326460481101</v>
      </c>
      <c r="K141" s="67">
        <v>0.10386473429951691</v>
      </c>
      <c r="L141" s="67">
        <v>0.10386473429951691</v>
      </c>
      <c r="M141" s="67">
        <v>0.27022375215146299</v>
      </c>
      <c r="N141" s="67">
        <v>0.21457257601835916</v>
      </c>
      <c r="O141" s="67">
        <v>0.59235668789808915</v>
      </c>
      <c r="P141" s="67">
        <v>0.38235294117647056</v>
      </c>
      <c r="Q141" s="67">
        <v>0.43862987630827782</v>
      </c>
    </row>
    <row r="142" spans="1:17" x14ac:dyDescent="0.4">
      <c r="A142" s="69">
        <v>139</v>
      </c>
      <c r="B142" s="66">
        <v>3.5527136788005009E-14</v>
      </c>
      <c r="C142" s="66">
        <v>8.519697071464031E-17</v>
      </c>
      <c r="D142" s="71">
        <v>2</v>
      </c>
      <c r="E142" s="67">
        <v>0.33333333333333331</v>
      </c>
      <c r="F142" s="67">
        <v>0.33333333333333331</v>
      </c>
      <c r="G142" s="67">
        <v>0.30145175064047824</v>
      </c>
      <c r="H142" s="67">
        <v>0.16737830913748933</v>
      </c>
      <c r="I142" s="68">
        <v>8427.9508970727093</v>
      </c>
      <c r="J142" s="68">
        <v>-8061.3945578231296</v>
      </c>
      <c r="K142" s="67">
        <v>0.10311750599520383</v>
      </c>
      <c r="L142" s="67">
        <v>0.10311750599520383</v>
      </c>
      <c r="M142" s="67">
        <v>0.27013948192428122</v>
      </c>
      <c r="N142" s="67">
        <v>0.21434671221178481</v>
      </c>
      <c r="O142" s="67">
        <v>0.59220231822971547</v>
      </c>
      <c r="P142" s="67">
        <v>0.38379814077025232</v>
      </c>
      <c r="Q142" s="67">
        <v>0.43720491029272901</v>
      </c>
    </row>
    <row r="143" spans="1:17" x14ac:dyDescent="0.4">
      <c r="A143" s="69">
        <v>140</v>
      </c>
      <c r="B143" s="66">
        <v>3.1974423109204508E-14</v>
      </c>
      <c r="C143" s="66">
        <v>7.6129578831439306E-17</v>
      </c>
      <c r="D143" s="71">
        <v>2</v>
      </c>
      <c r="E143" s="67">
        <v>0.33333333333333331</v>
      </c>
      <c r="F143" s="67">
        <v>0.33333333333333331</v>
      </c>
      <c r="G143" s="67">
        <v>0.30110262934690418</v>
      </c>
      <c r="H143" s="67">
        <v>0.16709075487701441</v>
      </c>
      <c r="I143" s="68">
        <v>8404.6948356807516</v>
      </c>
      <c r="J143" s="68">
        <v>-8035.3637901861248</v>
      </c>
      <c r="K143" s="67">
        <v>0.10238095238095238</v>
      </c>
      <c r="L143" s="67">
        <v>0.10238095238095238</v>
      </c>
      <c r="M143" s="67">
        <v>0.27085100367543113</v>
      </c>
      <c r="N143" s="67">
        <v>0.21402318348883234</v>
      </c>
      <c r="O143" s="67">
        <v>0.59185803757828814</v>
      </c>
      <c r="P143" s="67">
        <v>0.38309114927344784</v>
      </c>
      <c r="Q143" s="67">
        <v>0.4375586854460094</v>
      </c>
    </row>
    <row r="144" spans="1:17" x14ac:dyDescent="0.4">
      <c r="A144" s="69">
        <v>141</v>
      </c>
      <c r="B144" s="66">
        <v>3.0198066269804258E-14</v>
      </c>
      <c r="C144" s="66">
        <v>7.1390227588189739E-17</v>
      </c>
      <c r="D144" s="71">
        <v>2</v>
      </c>
      <c r="E144" s="67">
        <v>0.33333333333333331</v>
      </c>
      <c r="F144" s="67">
        <v>0.33333333333333331</v>
      </c>
      <c r="G144" s="67">
        <v>0.3009845288326301</v>
      </c>
      <c r="H144" s="67">
        <v>0.16708860759493671</v>
      </c>
      <c r="I144" s="68">
        <v>8389.8130841121492</v>
      </c>
      <c r="J144" s="68">
        <v>-8014.9831649831649</v>
      </c>
      <c r="K144" s="67">
        <v>0.10165484633569739</v>
      </c>
      <c r="L144" s="67">
        <v>0.10165484633569739</v>
      </c>
      <c r="M144" s="67">
        <v>0.27032348804500705</v>
      </c>
      <c r="N144" s="67">
        <v>0.21434599156118145</v>
      </c>
      <c r="O144" s="67">
        <v>0.59105098855359006</v>
      </c>
      <c r="P144" s="67">
        <v>0.38320209973753283</v>
      </c>
      <c r="Q144" s="67">
        <v>0.43738317757009348</v>
      </c>
    </row>
    <row r="145" spans="1:17" x14ac:dyDescent="0.4">
      <c r="A145" s="69">
        <v>142</v>
      </c>
      <c r="B145" s="66">
        <v>3.0198066269804258E-14</v>
      </c>
      <c r="C145" s="66">
        <v>7.0887479506582765E-17</v>
      </c>
      <c r="D145" s="71">
        <v>2</v>
      </c>
      <c r="E145" s="67">
        <v>0.33333333333333331</v>
      </c>
      <c r="F145" s="67">
        <v>0.33333333333333331</v>
      </c>
      <c r="G145" s="67">
        <v>0.3011744966442953</v>
      </c>
      <c r="H145" s="67">
        <v>0.16750559284116331</v>
      </c>
      <c r="I145" s="68">
        <v>8393.2219127205208</v>
      </c>
      <c r="J145" s="68">
        <v>-8018.8647746243741</v>
      </c>
      <c r="K145" s="67">
        <v>0.10093896713615023</v>
      </c>
      <c r="L145" s="67">
        <v>0.10093896713615023</v>
      </c>
      <c r="M145" s="67">
        <v>0.27069351230425054</v>
      </c>
      <c r="N145" s="67">
        <v>0.21420581655480983</v>
      </c>
      <c r="O145" s="67">
        <v>0.59400826446280997</v>
      </c>
      <c r="P145" s="67">
        <v>0.38120104438642299</v>
      </c>
      <c r="Q145" s="67">
        <v>0.436397400185701</v>
      </c>
    </row>
    <row r="146" spans="1:17" x14ac:dyDescent="0.4">
      <c r="A146" s="69">
        <v>143</v>
      </c>
      <c r="B146" s="66">
        <v>2.8421709430404007E-14</v>
      </c>
      <c r="C146" s="66">
        <v>6.6251070933342675E-17</v>
      </c>
      <c r="D146" s="71">
        <v>2</v>
      </c>
      <c r="E146" s="67">
        <v>0.33333333333333331</v>
      </c>
      <c r="F146" s="67">
        <v>0.33333333333333331</v>
      </c>
      <c r="G146" s="67">
        <v>0.30111111111111111</v>
      </c>
      <c r="H146" s="67">
        <v>0.16722222222222222</v>
      </c>
      <c r="I146" s="68">
        <v>8378.1365313653132</v>
      </c>
      <c r="J146" s="68">
        <v>-8003.8205980066441</v>
      </c>
      <c r="K146" s="67">
        <v>0.10023310023310024</v>
      </c>
      <c r="L146" s="67">
        <v>0.10023310023310024</v>
      </c>
      <c r="M146" s="67">
        <v>0.27</v>
      </c>
      <c r="N146" s="67">
        <v>0.21444444444444444</v>
      </c>
      <c r="O146" s="67">
        <v>0.59465020576131689</v>
      </c>
      <c r="P146" s="67">
        <v>0.38212435233160624</v>
      </c>
      <c r="Q146" s="67">
        <v>0.43726937269372695</v>
      </c>
    </row>
    <row r="147" spans="1:17" x14ac:dyDescent="0.4">
      <c r="A147" s="69">
        <v>144</v>
      </c>
      <c r="B147" s="66">
        <v>3.1974423109204508E-14</v>
      </c>
      <c r="C147" s="66">
        <v>7.4014868308343765E-17</v>
      </c>
      <c r="D147" s="71">
        <v>2</v>
      </c>
      <c r="E147" s="67">
        <v>0.33333333333333331</v>
      </c>
      <c r="F147" s="67">
        <v>0.33333333333333331</v>
      </c>
      <c r="G147" s="67">
        <v>0.30127142067440577</v>
      </c>
      <c r="H147" s="67">
        <v>0.16721945826423437</v>
      </c>
      <c r="I147" s="68">
        <v>8398.9908256880735</v>
      </c>
      <c r="J147" s="68">
        <v>-8049.9173553719011</v>
      </c>
      <c r="K147" s="67">
        <v>0.10185185185185185</v>
      </c>
      <c r="L147" s="67">
        <v>0.10185185185185185</v>
      </c>
      <c r="M147" s="67">
        <v>0.27142067440574902</v>
      </c>
      <c r="N147" s="67">
        <v>0.21393034825870647</v>
      </c>
      <c r="O147" s="67">
        <v>0.59368635437881878</v>
      </c>
      <c r="P147" s="67">
        <v>0.38242894056847543</v>
      </c>
      <c r="Q147" s="67">
        <v>0.43761467889908257</v>
      </c>
    </row>
    <row r="148" spans="1:17" x14ac:dyDescent="0.4">
      <c r="A148" s="69">
        <v>145</v>
      </c>
      <c r="B148" s="66">
        <v>3.0198066269804258E-14</v>
      </c>
      <c r="C148" s="66">
        <v>6.9420841999550017E-17</v>
      </c>
      <c r="D148" s="71">
        <v>2</v>
      </c>
      <c r="E148" s="67">
        <v>0.33333333333333331</v>
      </c>
      <c r="F148" s="67">
        <v>0.33333333333333331</v>
      </c>
      <c r="G148" s="67">
        <v>0.30153508771929827</v>
      </c>
      <c r="H148" s="67">
        <v>0.16776315789473684</v>
      </c>
      <c r="I148" s="68">
        <v>8397.818181818182</v>
      </c>
      <c r="J148" s="68">
        <v>-8039.3790849673205</v>
      </c>
      <c r="K148" s="67">
        <v>0.10344827586206896</v>
      </c>
      <c r="L148" s="67">
        <v>0.10344827586206896</v>
      </c>
      <c r="M148" s="67">
        <v>0.27247807017543857</v>
      </c>
      <c r="N148" s="67">
        <v>0.21326754385964913</v>
      </c>
      <c r="O148" s="67">
        <v>0.59456740442655931</v>
      </c>
      <c r="P148" s="67">
        <v>0.38046272493573263</v>
      </c>
      <c r="Q148" s="67">
        <v>0.43636363636363634</v>
      </c>
    </row>
    <row r="149" spans="1:17" x14ac:dyDescent="0.4">
      <c r="A149" s="69">
        <v>146</v>
      </c>
      <c r="B149" s="66">
        <v>2.8421709430404007E-14</v>
      </c>
      <c r="C149" s="66">
        <v>6.4889747558000013E-17</v>
      </c>
      <c r="D149" s="71">
        <v>2</v>
      </c>
      <c r="E149" s="67">
        <v>0.33333333333333331</v>
      </c>
      <c r="F149" s="67">
        <v>0.33333333333333331</v>
      </c>
      <c r="G149" s="67">
        <v>0.30169121658483361</v>
      </c>
      <c r="H149" s="67">
        <v>0.16803055100927441</v>
      </c>
      <c r="I149" s="68">
        <v>8387.9746835443038</v>
      </c>
      <c r="J149" s="68">
        <v>-8025.6493506493507</v>
      </c>
      <c r="K149" s="67">
        <v>0.10273972602739725</v>
      </c>
      <c r="L149" s="67">
        <v>0.10273972602739725</v>
      </c>
      <c r="M149" s="67">
        <v>0.27304964539007093</v>
      </c>
      <c r="N149" s="67">
        <v>0.21276595744680851</v>
      </c>
      <c r="O149" s="67">
        <v>0.59540459540459545</v>
      </c>
      <c r="P149" s="67">
        <v>0.38076923076923075</v>
      </c>
      <c r="Q149" s="67">
        <v>0.43580470162748641</v>
      </c>
    </row>
    <row r="150" spans="1:17" x14ac:dyDescent="0.4">
      <c r="A150" s="69">
        <v>147</v>
      </c>
      <c r="B150" s="66">
        <v>2.4147350785597155E-14</v>
      </c>
      <c r="C150" s="66">
        <v>5.475589747300942E-17</v>
      </c>
      <c r="D150" s="71">
        <v>2</v>
      </c>
      <c r="E150" s="67">
        <v>0.33333333333333331</v>
      </c>
      <c r="F150" s="67">
        <v>0.33333333333333331</v>
      </c>
      <c r="G150" s="67">
        <v>0.30170316301703165</v>
      </c>
      <c r="H150" s="67">
        <v>0.16815355501486889</v>
      </c>
      <c r="I150" s="68">
        <v>8388.1720430107525</v>
      </c>
      <c r="J150" s="68">
        <v>-8035.5305466237942</v>
      </c>
      <c r="K150" s="67">
        <v>0.10204081632653061</v>
      </c>
      <c r="L150" s="67">
        <v>0.10204081632653061</v>
      </c>
      <c r="M150" s="67">
        <v>0.27250608272506083</v>
      </c>
      <c r="N150" s="67">
        <v>0.21221951878886186</v>
      </c>
      <c r="O150" s="67">
        <v>0.59722222222222221</v>
      </c>
      <c r="P150" s="67">
        <v>0.38216560509554143</v>
      </c>
      <c r="Q150" s="67">
        <v>0.43548387096774194</v>
      </c>
    </row>
    <row r="151" spans="1:17" x14ac:dyDescent="0.4">
      <c r="A151" s="69">
        <v>148</v>
      </c>
      <c r="B151" s="66">
        <v>2.8421709430404007E-14</v>
      </c>
      <c r="C151" s="66">
        <v>6.4012859077486503E-17</v>
      </c>
      <c r="D151" s="71">
        <v>2</v>
      </c>
      <c r="E151" s="67">
        <v>0.33333333333333331</v>
      </c>
      <c r="F151" s="67">
        <v>0.33333333333333331</v>
      </c>
      <c r="G151" s="67">
        <v>0.3018054432767448</v>
      </c>
      <c r="H151" s="67">
        <v>0.16814874696847212</v>
      </c>
      <c r="I151" s="68">
        <v>8411.7857142857138</v>
      </c>
      <c r="J151" s="68">
        <v>-8067.4679487179483</v>
      </c>
      <c r="K151" s="67">
        <v>0.1036036036036036</v>
      </c>
      <c r="L151" s="67">
        <v>0.1036036036036036</v>
      </c>
      <c r="M151" s="67">
        <v>0.27270277553220157</v>
      </c>
      <c r="N151" s="67">
        <v>0.21234168687685259</v>
      </c>
      <c r="O151" s="67">
        <v>0.59683794466403162</v>
      </c>
      <c r="P151" s="67">
        <v>0.38324873096446699</v>
      </c>
      <c r="Q151" s="67">
        <v>0.43571428571428572</v>
      </c>
    </row>
    <row r="152" spans="1:17" x14ac:dyDescent="0.4">
      <c r="A152" s="69">
        <v>149</v>
      </c>
      <c r="B152" s="66">
        <v>3.0198066269804258E-14</v>
      </c>
      <c r="C152" s="66">
        <v>6.7557195234461424E-17</v>
      </c>
      <c r="D152" s="71">
        <v>2</v>
      </c>
      <c r="E152" s="67">
        <v>0.33333333333333331</v>
      </c>
      <c r="F152" s="67">
        <v>0.33333333333333331</v>
      </c>
      <c r="G152" s="67">
        <v>0.30193236714975846</v>
      </c>
      <c r="H152" s="67">
        <v>0.16827697262479871</v>
      </c>
      <c r="I152" s="68">
        <v>8434.4888888888891</v>
      </c>
      <c r="J152" s="68">
        <v>-8104.7846889952152</v>
      </c>
      <c r="K152" s="67">
        <v>0.10514541387024609</v>
      </c>
      <c r="L152" s="67">
        <v>0.10514541387024609</v>
      </c>
      <c r="M152" s="67">
        <v>0.27267847557702629</v>
      </c>
      <c r="N152" s="67">
        <v>0.21229200214707461</v>
      </c>
      <c r="O152" s="67">
        <v>0.59842519685039375</v>
      </c>
      <c r="P152" s="67">
        <v>0.38305941845764857</v>
      </c>
      <c r="Q152" s="67">
        <v>0.43555555555555553</v>
      </c>
    </row>
    <row r="153" spans="1:17" x14ac:dyDescent="0.4">
      <c r="A153" s="69">
        <v>150</v>
      </c>
      <c r="B153" s="66">
        <v>2.1316282072803006E-14</v>
      </c>
      <c r="C153" s="66">
        <v>4.7369515717340015E-17</v>
      </c>
      <c r="D153" s="71">
        <v>2</v>
      </c>
      <c r="E153" s="67">
        <v>0.33333333333333331</v>
      </c>
      <c r="F153" s="67">
        <v>0.33333333333333331</v>
      </c>
      <c r="G153" s="67">
        <v>0.30133333333333334</v>
      </c>
      <c r="H153" s="67">
        <v>0.16773333333333335</v>
      </c>
      <c r="I153" s="68">
        <v>8429.8230088495584</v>
      </c>
      <c r="J153" s="68">
        <v>-8087.2813990461045</v>
      </c>
      <c r="K153" s="67">
        <v>0.10444444444444445</v>
      </c>
      <c r="L153" s="67">
        <v>0.10444444444444445</v>
      </c>
      <c r="M153" s="67">
        <v>0.27279999999999999</v>
      </c>
      <c r="N153" s="67">
        <v>0.2112</v>
      </c>
      <c r="O153" s="67">
        <v>0.5972629521016618</v>
      </c>
      <c r="P153" s="67">
        <v>0.38383838383838381</v>
      </c>
      <c r="Q153" s="67">
        <v>0.43628318584070797</v>
      </c>
    </row>
    <row r="154" spans="1:17" x14ac:dyDescent="0.4">
      <c r="A154" s="69">
        <v>151</v>
      </c>
      <c r="B154" s="66">
        <v>1.9539925233402755E-14</v>
      </c>
      <c r="C154" s="66">
        <v>4.3134492788968553E-17</v>
      </c>
      <c r="D154" s="71">
        <v>2</v>
      </c>
      <c r="E154" s="67">
        <v>0.33333333333333331</v>
      </c>
      <c r="F154" s="67">
        <v>0.33333333333333331</v>
      </c>
      <c r="G154" s="67">
        <v>0.30124635375232034</v>
      </c>
      <c r="H154" s="67">
        <v>0.16785998408910102</v>
      </c>
      <c r="I154" s="68">
        <v>8440.7570422535209</v>
      </c>
      <c r="J154" s="68">
        <v>-8121.4849921011055</v>
      </c>
      <c r="K154" s="67">
        <v>0.10596026490066225</v>
      </c>
      <c r="L154" s="67">
        <v>0.10596026490066225</v>
      </c>
      <c r="M154" s="67">
        <v>0.27207637231503579</v>
      </c>
      <c r="N154" s="67">
        <v>0.21108459294616813</v>
      </c>
      <c r="O154" s="67">
        <v>0.59746588693957114</v>
      </c>
      <c r="P154" s="67">
        <v>0.38442211055276382</v>
      </c>
      <c r="Q154" s="67">
        <v>0.43573943661971831</v>
      </c>
    </row>
    <row r="155" spans="1:17" x14ac:dyDescent="0.4">
      <c r="A155" s="69">
        <v>152</v>
      </c>
      <c r="B155" s="66">
        <v>1.4210854715202004E-14</v>
      </c>
      <c r="C155" s="66">
        <v>3.1164155077197375E-17</v>
      </c>
      <c r="D155" s="71">
        <v>2</v>
      </c>
      <c r="E155" s="67">
        <v>0.33333333333333331</v>
      </c>
      <c r="F155" s="67">
        <v>0.33333333333333331</v>
      </c>
      <c r="G155" s="67">
        <v>0.30138779785284103</v>
      </c>
      <c r="H155" s="67">
        <v>0.1667975909924064</v>
      </c>
      <c r="I155" s="68">
        <v>8448.7402258905295</v>
      </c>
      <c r="J155" s="68">
        <v>-8118.0533751962321</v>
      </c>
      <c r="K155" s="67">
        <v>0.10526315789473684</v>
      </c>
      <c r="L155" s="67">
        <v>0.10526315789473684</v>
      </c>
      <c r="M155" s="67">
        <v>0.27101335428122547</v>
      </c>
      <c r="N155" s="67">
        <v>0.2118355590468709</v>
      </c>
      <c r="O155" s="67">
        <v>0.59710144927536235</v>
      </c>
      <c r="P155" s="67">
        <v>0.38566131025957973</v>
      </c>
      <c r="Q155" s="67">
        <v>0.43961772371850566</v>
      </c>
    </row>
    <row r="156" spans="1:17" x14ac:dyDescent="0.4">
      <c r="A156" s="69">
        <v>153</v>
      </c>
      <c r="B156" s="66">
        <v>7.1054273576010019E-15</v>
      </c>
      <c r="C156" s="66">
        <v>1.5480233894555561E-17</v>
      </c>
      <c r="D156" s="71">
        <v>2</v>
      </c>
      <c r="E156" s="67">
        <v>0.33333333333333331</v>
      </c>
      <c r="F156" s="67">
        <v>0.33333333333333331</v>
      </c>
      <c r="G156" s="67">
        <v>0.30085736554949338</v>
      </c>
      <c r="H156" s="67">
        <v>0.16679657053780203</v>
      </c>
      <c r="I156" s="68">
        <v>8450.5181347150265</v>
      </c>
      <c r="J156" s="68">
        <v>-8103.4267912772584</v>
      </c>
      <c r="K156" s="67">
        <v>0.10675381263616558</v>
      </c>
      <c r="L156" s="67">
        <v>0.10675381263616558</v>
      </c>
      <c r="M156" s="67">
        <v>0.27123928293063132</v>
      </c>
      <c r="N156" s="67">
        <v>0.2112236944660951</v>
      </c>
      <c r="O156" s="67">
        <v>0.59578544061302685</v>
      </c>
      <c r="P156" s="67">
        <v>0.38745387453874541</v>
      </c>
      <c r="Q156" s="67">
        <v>0.43868739205526769</v>
      </c>
    </row>
    <row r="157" spans="1:17" x14ac:dyDescent="0.4">
      <c r="A157" s="69">
        <v>154</v>
      </c>
      <c r="B157" s="66">
        <v>1.4210854715202004E-14</v>
      </c>
      <c r="C157" s="66">
        <v>3.0759425790480528E-17</v>
      </c>
      <c r="D157" s="71">
        <v>2</v>
      </c>
      <c r="E157" s="67">
        <v>0.33333333333333331</v>
      </c>
      <c r="F157" s="67">
        <v>0.33333333333333331</v>
      </c>
      <c r="G157" s="67">
        <v>0.30082559339525283</v>
      </c>
      <c r="H157" s="67">
        <v>0.16666666666666666</v>
      </c>
      <c r="I157" s="68">
        <v>8456.3464837049742</v>
      </c>
      <c r="J157" s="68">
        <v>-8106.5015479876165</v>
      </c>
      <c r="K157" s="67">
        <v>0.10822510822510822</v>
      </c>
      <c r="L157" s="67">
        <v>0.10822510822510822</v>
      </c>
      <c r="M157" s="67">
        <v>0.27296181630546956</v>
      </c>
      <c r="N157" s="67">
        <v>0.21052631578947367</v>
      </c>
      <c r="O157" s="67">
        <v>0.59451795841209831</v>
      </c>
      <c r="P157" s="67">
        <v>0.3860294117647059</v>
      </c>
      <c r="Q157" s="67">
        <v>0.43910806174957118</v>
      </c>
    </row>
    <row r="158" spans="1:17" x14ac:dyDescent="0.4">
      <c r="A158" s="69">
        <v>155</v>
      </c>
      <c r="B158" s="66">
        <v>1.1546319456101628E-14</v>
      </c>
      <c r="C158" s="66">
        <v>2.4830794529250814E-17</v>
      </c>
      <c r="D158" s="71">
        <v>2</v>
      </c>
      <c r="E158" s="67">
        <v>0.33333333333333331</v>
      </c>
      <c r="F158" s="67">
        <v>0.33333333333333331</v>
      </c>
      <c r="G158" s="67">
        <v>0.30079426082500643</v>
      </c>
      <c r="H158" s="67">
        <v>0.16679477325134512</v>
      </c>
      <c r="I158" s="68">
        <v>8465.8432708688251</v>
      </c>
      <c r="J158" s="68">
        <v>-8110.4454685099845</v>
      </c>
      <c r="K158" s="67">
        <v>0.10752688172043011</v>
      </c>
      <c r="L158" s="67">
        <v>0.10752688172043011</v>
      </c>
      <c r="M158" s="67">
        <v>0.27286702536510377</v>
      </c>
      <c r="N158" s="67">
        <v>0.21111965155008969</v>
      </c>
      <c r="O158" s="67">
        <v>0.59342723004694831</v>
      </c>
      <c r="P158" s="67">
        <v>0.38713592233009708</v>
      </c>
      <c r="Q158" s="67">
        <v>0.43867120954003408</v>
      </c>
    </row>
    <row r="159" spans="1:17" x14ac:dyDescent="0.4">
      <c r="A159" s="69">
        <v>156</v>
      </c>
      <c r="B159" s="66">
        <v>7.1054273576010019E-15</v>
      </c>
      <c r="C159" s="66">
        <v>1.5182537088891031E-17</v>
      </c>
      <c r="D159" s="71">
        <v>2</v>
      </c>
      <c r="E159" s="67">
        <v>0.33333333333333331</v>
      </c>
      <c r="F159" s="67">
        <v>0.33333333333333331</v>
      </c>
      <c r="G159" s="67">
        <v>0.3010178117048346</v>
      </c>
      <c r="H159" s="67">
        <v>0.16768447837150127</v>
      </c>
      <c r="I159" s="68">
        <v>8461.7920540997457</v>
      </c>
      <c r="J159" s="68">
        <v>-8108.6494688922612</v>
      </c>
      <c r="K159" s="67">
        <v>0.10683760683760683</v>
      </c>
      <c r="L159" s="67">
        <v>0.10683760683760683</v>
      </c>
      <c r="M159" s="67">
        <v>0.27302798982188298</v>
      </c>
      <c r="N159" s="67">
        <v>0.21170483460559797</v>
      </c>
      <c r="O159" s="67">
        <v>0.59459459459459463</v>
      </c>
      <c r="P159" s="67">
        <v>0.38581730769230771</v>
      </c>
      <c r="Q159" s="67">
        <v>0.43617920540997462</v>
      </c>
    </row>
    <row r="160" spans="1:17" x14ac:dyDescent="0.4">
      <c r="A160" s="69">
        <v>157</v>
      </c>
      <c r="B160" s="66">
        <v>7.1054273576010019E-15</v>
      </c>
      <c r="C160" s="66">
        <v>1.5085833031000004E-17</v>
      </c>
      <c r="D160" s="71">
        <v>2</v>
      </c>
      <c r="E160" s="67">
        <v>0.33333333333333331</v>
      </c>
      <c r="F160" s="67">
        <v>0.33333333333333331</v>
      </c>
      <c r="G160" s="67">
        <v>0.30088719898605831</v>
      </c>
      <c r="H160" s="67">
        <v>0.16755386565272498</v>
      </c>
      <c r="I160" s="68">
        <v>8473.7152485256956</v>
      </c>
      <c r="J160" s="68">
        <v>-8132.5264750378219</v>
      </c>
      <c r="K160" s="67">
        <v>0.10828025477707007</v>
      </c>
      <c r="L160" s="67">
        <v>0.10828025477707007</v>
      </c>
      <c r="M160" s="67">
        <v>0.27249683143219267</v>
      </c>
      <c r="N160" s="67">
        <v>0.21140684410646388</v>
      </c>
      <c r="O160" s="67">
        <v>0.59534883720930232</v>
      </c>
      <c r="P160" s="67">
        <v>0.38729016786570741</v>
      </c>
      <c r="Q160" s="67">
        <v>0.43639427127211455</v>
      </c>
    </row>
    <row r="161" spans="1:17" x14ac:dyDescent="0.4">
      <c r="A161" s="69">
        <v>158</v>
      </c>
      <c r="B161" s="66">
        <v>7.1054273576010019E-15</v>
      </c>
      <c r="C161" s="66">
        <v>1.4990353075107598E-17</v>
      </c>
      <c r="D161" s="71">
        <v>2</v>
      </c>
      <c r="E161" s="67">
        <v>0.33333333333333331</v>
      </c>
      <c r="F161" s="67">
        <v>0.33333333333333331</v>
      </c>
      <c r="G161" s="67">
        <v>0.30088050314465409</v>
      </c>
      <c r="H161" s="67">
        <v>0.16779874213836479</v>
      </c>
      <c r="I161" s="68">
        <v>8474.6655518394655</v>
      </c>
      <c r="J161" s="68">
        <v>-8115.4422788605698</v>
      </c>
      <c r="K161" s="67">
        <v>0.10759493670886076</v>
      </c>
      <c r="L161" s="67">
        <v>0.10759493670886076</v>
      </c>
      <c r="M161" s="67">
        <v>0.27295597484276729</v>
      </c>
      <c r="N161" s="67">
        <v>0.21157232704402515</v>
      </c>
      <c r="O161" s="67">
        <v>0.59262672811059913</v>
      </c>
      <c r="P161" s="67">
        <v>0.39001189060642094</v>
      </c>
      <c r="Q161" s="67">
        <v>0.43561872909698995</v>
      </c>
    </row>
    <row r="162" spans="1:17" x14ac:dyDescent="0.4">
      <c r="A162" s="69">
        <v>159</v>
      </c>
      <c r="B162" s="66">
        <v>0</v>
      </c>
      <c r="C162" s="66">
        <v>0</v>
      </c>
      <c r="D162" s="71">
        <v>2</v>
      </c>
      <c r="E162" s="67">
        <v>0.33333333333333331</v>
      </c>
      <c r="F162" s="67">
        <v>0.33333333333333331</v>
      </c>
      <c r="G162" s="67">
        <v>0.30077635862759827</v>
      </c>
      <c r="H162" s="67">
        <v>0.16804407713498623</v>
      </c>
      <c r="I162" s="68">
        <v>8482.5978351373851</v>
      </c>
      <c r="J162" s="68">
        <v>-8126.5275707898654</v>
      </c>
      <c r="K162" s="67">
        <v>0.1090146750524109</v>
      </c>
      <c r="L162" s="67">
        <v>0.1090146750524109</v>
      </c>
      <c r="M162" s="67">
        <v>0.27272727272727271</v>
      </c>
      <c r="N162" s="67">
        <v>0.21111945905334334</v>
      </c>
      <c r="O162" s="67">
        <v>0.59412304866850318</v>
      </c>
      <c r="P162" s="67">
        <v>0.39027283511269278</v>
      </c>
      <c r="Q162" s="67">
        <v>0.43463780183180684</v>
      </c>
    </row>
    <row r="163" spans="1:17" x14ac:dyDescent="0.4">
      <c r="A163" s="69">
        <v>160</v>
      </c>
      <c r="B163" s="66">
        <v>-7.1054273576010019E-15</v>
      </c>
      <c r="C163" s="66">
        <v>-1.4802973661668754E-17</v>
      </c>
      <c r="D163" s="71">
        <v>2</v>
      </c>
      <c r="E163" s="67">
        <v>0.33333333333333331</v>
      </c>
      <c r="F163" s="67">
        <v>0.33333333333333331</v>
      </c>
      <c r="G163" s="67">
        <v>0.3008495752123938</v>
      </c>
      <c r="H163" s="67">
        <v>0.16841579210394803</v>
      </c>
      <c r="I163" s="68">
        <v>8491.5282392026584</v>
      </c>
      <c r="J163" s="68">
        <v>-8144.0652818991102</v>
      </c>
      <c r="K163" s="67">
        <v>0.11041666666666666</v>
      </c>
      <c r="L163" s="67">
        <v>0.11041666666666666</v>
      </c>
      <c r="M163" s="67">
        <v>0.27286356821589203</v>
      </c>
      <c r="N163" s="67">
        <v>0.21114442778610695</v>
      </c>
      <c r="O163" s="67">
        <v>0.59432234432234432</v>
      </c>
      <c r="P163" s="67">
        <v>0.39053254437869822</v>
      </c>
      <c r="Q163" s="67">
        <v>0.43355481727574752</v>
      </c>
    </row>
    <row r="164" spans="1:17" x14ac:dyDescent="0.4">
      <c r="A164" s="69">
        <v>161</v>
      </c>
      <c r="B164" s="66">
        <v>0</v>
      </c>
      <c r="C164" s="66">
        <v>0</v>
      </c>
      <c r="D164" s="71">
        <v>2</v>
      </c>
      <c r="E164" s="67">
        <v>0.33333333333333331</v>
      </c>
      <c r="F164" s="67">
        <v>0.33333333333333331</v>
      </c>
      <c r="G164" s="67">
        <v>0.30072193178989298</v>
      </c>
      <c r="H164" s="67">
        <v>0.16853373164052776</v>
      </c>
      <c r="I164" s="68">
        <v>8491.7218543046365</v>
      </c>
      <c r="J164" s="68">
        <v>-8146.9719350073856</v>
      </c>
      <c r="K164" s="67">
        <v>0.11180124223602485</v>
      </c>
      <c r="L164" s="67">
        <v>0.11180124223602485</v>
      </c>
      <c r="M164" s="67">
        <v>0.27333831217326365</v>
      </c>
      <c r="N164" s="67">
        <v>0.21035598705501618</v>
      </c>
      <c r="O164" s="67">
        <v>0.59289617486338797</v>
      </c>
      <c r="P164" s="67">
        <v>0.39053254437869822</v>
      </c>
      <c r="Q164" s="67">
        <v>0.43294701986754969</v>
      </c>
    </row>
    <row r="165" spans="1:17" x14ac:dyDescent="0.4">
      <c r="A165" s="69">
        <v>162</v>
      </c>
      <c r="B165" s="66">
        <v>0</v>
      </c>
      <c r="C165" s="66">
        <v>0</v>
      </c>
      <c r="D165" s="71">
        <v>2</v>
      </c>
      <c r="E165" s="67">
        <v>0.33333333333333331</v>
      </c>
      <c r="F165" s="67">
        <v>0.33333333333333331</v>
      </c>
      <c r="G165" s="67">
        <v>0.30069238377843721</v>
      </c>
      <c r="H165" s="67">
        <v>0.16889218595450051</v>
      </c>
      <c r="I165" s="68">
        <v>8483.9638157894733</v>
      </c>
      <c r="J165" s="68">
        <v>-8147.5841874084917</v>
      </c>
      <c r="K165" s="67">
        <v>0.1111111111111111</v>
      </c>
      <c r="L165" s="67">
        <v>0.1111111111111111</v>
      </c>
      <c r="M165" s="67">
        <v>0.27324431256181997</v>
      </c>
      <c r="N165" s="67">
        <v>0.21068249258160238</v>
      </c>
      <c r="O165" s="67">
        <v>0.59276018099547512</v>
      </c>
      <c r="P165" s="67">
        <v>0.39084507042253519</v>
      </c>
      <c r="Q165" s="67">
        <v>0.43174342105263158</v>
      </c>
    </row>
    <row r="166" spans="1:17" x14ac:dyDescent="0.4">
      <c r="A166" s="69">
        <v>163</v>
      </c>
      <c r="B166" s="66">
        <v>1.7763568394002505E-15</v>
      </c>
      <c r="C166" s="66">
        <v>3.6326315734156455E-18</v>
      </c>
      <c r="D166" s="71">
        <v>2</v>
      </c>
      <c r="E166" s="67">
        <v>0.33333333333333331</v>
      </c>
      <c r="F166" s="67">
        <v>0.33333333333333331</v>
      </c>
      <c r="G166" s="67">
        <v>0.30058651026392963</v>
      </c>
      <c r="H166" s="67">
        <v>0.16837732160312804</v>
      </c>
      <c r="I166" s="68">
        <v>8490.6504065040644</v>
      </c>
      <c r="J166" s="68">
        <v>-8144.8476052249634</v>
      </c>
      <c r="K166" s="67">
        <v>0.11042944785276074</v>
      </c>
      <c r="L166" s="67">
        <v>0.11042944785276074</v>
      </c>
      <c r="M166" s="67">
        <v>0.27346041055718473</v>
      </c>
      <c r="N166" s="67">
        <v>0.21065493646138808</v>
      </c>
      <c r="O166" s="67">
        <v>0.58981233243967823</v>
      </c>
      <c r="P166" s="67">
        <v>0.39211136890951276</v>
      </c>
      <c r="Q166" s="67">
        <v>0.43333333333333335</v>
      </c>
    </row>
    <row r="167" spans="1:17" x14ac:dyDescent="0.4">
      <c r="A167" s="69">
        <v>164</v>
      </c>
      <c r="B167" s="66">
        <v>7.1054273576010019E-15</v>
      </c>
      <c r="C167" s="66">
        <v>1.4441925523579274E-17</v>
      </c>
      <c r="D167" s="71">
        <v>2</v>
      </c>
      <c r="E167" s="67">
        <v>0.33333333333333331</v>
      </c>
      <c r="F167" s="67">
        <v>0.33333333333333331</v>
      </c>
      <c r="G167" s="67">
        <v>0.30009704027171274</v>
      </c>
      <c r="H167" s="67">
        <v>0.16763706938379427</v>
      </c>
      <c r="I167" s="68">
        <v>8501.2126111560228</v>
      </c>
      <c r="J167" s="68">
        <v>-8158.4659913169316</v>
      </c>
      <c r="K167" s="67">
        <v>0.10975609756097561</v>
      </c>
      <c r="L167" s="67">
        <v>0.10975609756097561</v>
      </c>
      <c r="M167" s="67">
        <v>0.27365356622998543</v>
      </c>
      <c r="N167" s="67">
        <v>0.20960698689956331</v>
      </c>
      <c r="O167" s="67">
        <v>0.58953900709219853</v>
      </c>
      <c r="P167" s="67">
        <v>0.3923611111111111</v>
      </c>
      <c r="Q167" s="67">
        <v>0.43492320129345191</v>
      </c>
    </row>
    <row r="168" spans="1:17" x14ac:dyDescent="0.4">
      <c r="A168" s="69">
        <v>165</v>
      </c>
      <c r="B168" s="66">
        <v>5.3290705182007514E-15</v>
      </c>
      <c r="C168" s="66">
        <v>1.0765799026668185E-17</v>
      </c>
      <c r="D168" s="71">
        <v>2</v>
      </c>
      <c r="E168" s="67">
        <v>0.33333333333333331</v>
      </c>
      <c r="F168" s="67">
        <v>0.33333333333333331</v>
      </c>
      <c r="G168" s="67">
        <v>0.2998312846469029</v>
      </c>
      <c r="H168" s="67">
        <v>0.16726922149915643</v>
      </c>
      <c r="I168" s="68">
        <v>8509.9678456591646</v>
      </c>
      <c r="J168" s="68">
        <v>-8160.662824207493</v>
      </c>
      <c r="K168" s="67">
        <v>0.1111111111111111</v>
      </c>
      <c r="L168" s="67">
        <v>0.1111111111111111</v>
      </c>
      <c r="M168" s="67">
        <v>0.2742829597493372</v>
      </c>
      <c r="N168" s="67">
        <v>0.20993010363943118</v>
      </c>
      <c r="O168" s="67">
        <v>0.58875219683655533</v>
      </c>
      <c r="P168" s="67">
        <v>0.39035591274397247</v>
      </c>
      <c r="Q168" s="67">
        <v>0.43569131832797425</v>
      </c>
    </row>
    <row r="169" spans="1:17" x14ac:dyDescent="0.4">
      <c r="A169" s="69">
        <v>166</v>
      </c>
      <c r="B169" s="66">
        <v>7.1054273576010019E-15</v>
      </c>
      <c r="C169" s="66">
        <v>1.4267926420885545E-17</v>
      </c>
      <c r="D169" s="71">
        <v>2</v>
      </c>
      <c r="E169" s="67">
        <v>0.33333333333333331</v>
      </c>
      <c r="F169" s="67">
        <v>0.33333333333333331</v>
      </c>
      <c r="G169" s="67">
        <v>0.29980842911877392</v>
      </c>
      <c r="H169" s="67">
        <v>0.16738505747126436</v>
      </c>
      <c r="I169" s="68">
        <v>8503.3546325878597</v>
      </c>
      <c r="J169" s="68">
        <v>-8165.2360515021455</v>
      </c>
      <c r="K169" s="67">
        <v>0.11044176706827309</v>
      </c>
      <c r="L169" s="67">
        <v>0.11044176706827309</v>
      </c>
      <c r="M169" s="67">
        <v>0.27442528735632182</v>
      </c>
      <c r="N169" s="67">
        <v>0.21024904214559387</v>
      </c>
      <c r="O169" s="67">
        <v>0.58726003490401402</v>
      </c>
      <c r="P169" s="67">
        <v>0.38952164009111617</v>
      </c>
      <c r="Q169" s="67">
        <v>0.43530351437699683</v>
      </c>
    </row>
    <row r="170" spans="1:17" x14ac:dyDescent="0.4">
      <c r="A170" s="69">
        <v>167</v>
      </c>
      <c r="B170" s="66">
        <v>7.1054273576010019E-15</v>
      </c>
      <c r="C170" s="66">
        <v>1.4182489735730541E-17</v>
      </c>
      <c r="D170" s="71">
        <v>2</v>
      </c>
      <c r="E170" s="67">
        <v>0.33333333333333331</v>
      </c>
      <c r="F170" s="67">
        <v>0.33333333333333331</v>
      </c>
      <c r="G170" s="67">
        <v>0.3</v>
      </c>
      <c r="H170" s="67">
        <v>0.16714285714285715</v>
      </c>
      <c r="I170" s="68">
        <v>8525.1587301587297</v>
      </c>
      <c r="J170" s="68">
        <v>-8160.9686609686605</v>
      </c>
      <c r="K170" s="67">
        <v>0.11177644710578842</v>
      </c>
      <c r="L170" s="67">
        <v>0.11177644710578842</v>
      </c>
      <c r="M170" s="67">
        <v>0.2745238095238095</v>
      </c>
      <c r="N170" s="67">
        <v>0.21023809523809525</v>
      </c>
      <c r="O170" s="67">
        <v>0.58716392020815267</v>
      </c>
      <c r="P170" s="67">
        <v>0.39184597961494905</v>
      </c>
      <c r="Q170" s="67">
        <v>0.43650793650793651</v>
      </c>
    </row>
    <row r="171" spans="1:17" x14ac:dyDescent="0.4">
      <c r="A171" s="69">
        <v>168</v>
      </c>
      <c r="B171" s="66">
        <v>1.4210854715202004E-14</v>
      </c>
      <c r="C171" s="66">
        <v>2.8196140307940482E-17</v>
      </c>
      <c r="D171" s="71">
        <v>2</v>
      </c>
      <c r="E171" s="67">
        <v>0.33333333333333331</v>
      </c>
      <c r="F171" s="67">
        <v>0.33333333333333331</v>
      </c>
      <c r="G171" s="67">
        <v>0.30011862396204031</v>
      </c>
      <c r="H171" s="67">
        <v>0.16702253855278767</v>
      </c>
      <c r="I171" s="68">
        <v>8536.5217391304341</v>
      </c>
      <c r="J171" s="68">
        <v>-8153.409090909091</v>
      </c>
      <c r="K171" s="67">
        <v>0.1130952380952381</v>
      </c>
      <c r="L171" s="67">
        <v>0.1130952380952381</v>
      </c>
      <c r="M171" s="67">
        <v>0.27497034400948994</v>
      </c>
      <c r="N171" s="67">
        <v>0.21043890865954923</v>
      </c>
      <c r="O171" s="67">
        <v>0.5875754961173425</v>
      </c>
      <c r="P171" s="67">
        <v>0.39120631341600903</v>
      </c>
      <c r="Q171" s="67">
        <v>0.43715415019762843</v>
      </c>
    </row>
    <row r="172" spans="1:17" x14ac:dyDescent="0.4">
      <c r="A172" s="69">
        <v>169</v>
      </c>
      <c r="B172" s="66">
        <v>1.4210854715202004E-14</v>
      </c>
      <c r="C172" s="66">
        <v>2.8029299241029595E-17</v>
      </c>
      <c r="D172" s="71">
        <v>2</v>
      </c>
      <c r="E172" s="67">
        <v>0.33333333333333331</v>
      </c>
      <c r="F172" s="67">
        <v>0.33333333333333331</v>
      </c>
      <c r="G172" s="67">
        <v>0.30023640661938533</v>
      </c>
      <c r="H172" s="67">
        <v>0.16713947990543734</v>
      </c>
      <c r="I172" s="68">
        <v>8571.968503937007</v>
      </c>
      <c r="J172" s="68">
        <v>-8214.9929278642157</v>
      </c>
      <c r="K172" s="67">
        <v>0.11439842209072978</v>
      </c>
      <c r="L172" s="67">
        <v>0.11439842209072978</v>
      </c>
      <c r="M172" s="67">
        <v>0.27446808510638299</v>
      </c>
      <c r="N172" s="67">
        <v>0.21040189125295508</v>
      </c>
      <c r="O172" s="67">
        <v>0.58828596037898362</v>
      </c>
      <c r="P172" s="67">
        <v>0.38988764044943819</v>
      </c>
      <c r="Q172" s="67">
        <v>0.43700787401574803</v>
      </c>
    </row>
    <row r="173" spans="1:17" x14ac:dyDescent="0.4">
      <c r="A173" s="69">
        <v>170</v>
      </c>
      <c r="B173" s="66">
        <v>1.4210854715202004E-14</v>
      </c>
      <c r="C173" s="66">
        <v>2.7864421010200007E-17</v>
      </c>
      <c r="D173" s="71">
        <v>2</v>
      </c>
      <c r="E173" s="67">
        <v>0.33333333333333331</v>
      </c>
      <c r="F173" s="67">
        <v>0.33333333333333331</v>
      </c>
      <c r="G173" s="67">
        <v>0.30009363295880148</v>
      </c>
      <c r="H173" s="67">
        <v>0.16643258426966293</v>
      </c>
      <c r="I173" s="68">
        <v>8587.9875195007808</v>
      </c>
      <c r="J173" s="68">
        <v>-8231.6455696202538</v>
      </c>
      <c r="K173" s="67">
        <v>0.11372549019607843</v>
      </c>
      <c r="L173" s="67">
        <v>0.11372549019607843</v>
      </c>
      <c r="M173" s="67">
        <v>0.2752808988764045</v>
      </c>
      <c r="N173" s="67">
        <v>0.21044007490636704</v>
      </c>
      <c r="O173" s="67">
        <v>0.5875850340136054</v>
      </c>
      <c r="P173" s="67">
        <v>0.38932146829810899</v>
      </c>
      <c r="Q173" s="67">
        <v>0.43915756630265212</v>
      </c>
    </row>
    <row r="174" spans="1:17" x14ac:dyDescent="0.4">
      <c r="A174" s="69">
        <v>171</v>
      </c>
      <c r="B174" s="66">
        <v>7.1054273576010019E-15</v>
      </c>
      <c r="C174" s="66">
        <v>1.38507355898655E-17</v>
      </c>
      <c r="D174" s="71">
        <v>2</v>
      </c>
      <c r="E174" s="67">
        <v>0.33333333333333331</v>
      </c>
      <c r="F174" s="67">
        <v>0.33333333333333331</v>
      </c>
      <c r="G174" s="67">
        <v>0.30002329373398556</v>
      </c>
      <c r="H174" s="67">
        <v>0.16655019799673887</v>
      </c>
      <c r="I174" s="68">
        <v>8596.2732919254649</v>
      </c>
      <c r="J174" s="68">
        <v>-8222.2377622377626</v>
      </c>
      <c r="K174" s="67">
        <v>0.11306042884990253</v>
      </c>
      <c r="L174" s="67">
        <v>0.11306042884990253</v>
      </c>
      <c r="M174" s="67">
        <v>0.27533193570929421</v>
      </c>
      <c r="N174" s="67">
        <v>0.21057535522944329</v>
      </c>
      <c r="O174" s="67">
        <v>0.58798646362098139</v>
      </c>
      <c r="P174" s="67">
        <v>0.38827433628318586</v>
      </c>
      <c r="Q174" s="67">
        <v>0.43866459627329191</v>
      </c>
    </row>
    <row r="175" spans="1:17" x14ac:dyDescent="0.4">
      <c r="A175" s="69">
        <v>172</v>
      </c>
      <c r="B175" s="66">
        <v>7.1054273576010019E-15</v>
      </c>
      <c r="C175" s="66">
        <v>1.3770208057366282E-17</v>
      </c>
      <c r="D175" s="71">
        <v>2</v>
      </c>
      <c r="E175" s="67">
        <v>0.33333333333333331</v>
      </c>
      <c r="F175" s="67">
        <v>0.33333333333333331</v>
      </c>
      <c r="G175" s="67">
        <v>0.30002313208420078</v>
      </c>
      <c r="H175" s="67">
        <v>0.16585704371963914</v>
      </c>
      <c r="I175" s="68">
        <v>8598.3037779491133</v>
      </c>
      <c r="J175" s="68">
        <v>-8219.5258019525809</v>
      </c>
      <c r="K175" s="67">
        <v>0.11434108527131782</v>
      </c>
      <c r="L175" s="67">
        <v>0.11434108527131782</v>
      </c>
      <c r="M175" s="67">
        <v>0.27573444367337496</v>
      </c>
      <c r="N175" s="67">
        <v>0.21050196622715706</v>
      </c>
      <c r="O175" s="67">
        <v>0.58724832214765099</v>
      </c>
      <c r="P175" s="67">
        <v>0.39010989010989011</v>
      </c>
      <c r="Q175" s="67">
        <v>0.44101773323053201</v>
      </c>
    </row>
    <row r="176" spans="1:17" x14ac:dyDescent="0.4">
      <c r="A176" s="69">
        <v>173</v>
      </c>
      <c r="B176" s="66">
        <v>7.1054273576010019E-15</v>
      </c>
      <c r="C176" s="66">
        <v>1.3690611479000003E-17</v>
      </c>
      <c r="D176" s="71">
        <v>2</v>
      </c>
      <c r="E176" s="67">
        <v>0.33333333333333331</v>
      </c>
      <c r="F176" s="67">
        <v>0.33333333333333331</v>
      </c>
      <c r="G176" s="67">
        <v>0.30018416206261511</v>
      </c>
      <c r="H176" s="67">
        <v>0.16574585635359115</v>
      </c>
      <c r="I176" s="68">
        <v>8605.1380368098162</v>
      </c>
      <c r="J176" s="68">
        <v>-8209.0277777777774</v>
      </c>
      <c r="K176" s="67">
        <v>0.11368015414258188</v>
      </c>
      <c r="L176" s="67">
        <v>0.11368015414258188</v>
      </c>
      <c r="M176" s="67">
        <v>0.27578268876611417</v>
      </c>
      <c r="N176" s="67">
        <v>0.20994475138121546</v>
      </c>
      <c r="O176" s="67">
        <v>0.58848080133555924</v>
      </c>
      <c r="P176" s="67">
        <v>0.39144736842105265</v>
      </c>
      <c r="Q176" s="67">
        <v>0.44171779141104295</v>
      </c>
    </row>
    <row r="177" spans="1:17" x14ac:dyDescent="0.4">
      <c r="A177" s="69">
        <v>174</v>
      </c>
      <c r="B177" s="66">
        <v>7.1054273576010019E-15</v>
      </c>
      <c r="C177" s="66">
        <v>1.3611929803833336E-17</v>
      </c>
      <c r="D177" s="71">
        <v>2</v>
      </c>
      <c r="E177" s="67">
        <v>0.33333333333333331</v>
      </c>
      <c r="F177" s="67">
        <v>0.33333333333333331</v>
      </c>
      <c r="G177" s="67">
        <v>0.30027548209366389</v>
      </c>
      <c r="H177" s="67">
        <v>0.1659779614325069</v>
      </c>
      <c r="I177" s="68">
        <v>8604.8165137614687</v>
      </c>
      <c r="J177" s="68">
        <v>-8210.9266943291841</v>
      </c>
      <c r="K177" s="67">
        <v>0.11494252873563218</v>
      </c>
      <c r="L177" s="67">
        <v>0.11494252873563218</v>
      </c>
      <c r="M177" s="67">
        <v>0.27640036730945822</v>
      </c>
      <c r="N177" s="67">
        <v>0.20959595959595959</v>
      </c>
      <c r="O177" s="67">
        <v>0.58720930232558144</v>
      </c>
      <c r="P177" s="67">
        <v>0.39211391018619934</v>
      </c>
      <c r="Q177" s="67">
        <v>0.44113149847094801</v>
      </c>
    </row>
    <row r="178" spans="1:17" x14ac:dyDescent="0.4">
      <c r="A178" s="69">
        <v>175</v>
      </c>
      <c r="B178" s="66">
        <v>7.1054273576010019E-15</v>
      </c>
      <c r="C178" s="66">
        <v>1.3534147347811432E-17</v>
      </c>
      <c r="D178" s="71">
        <v>2</v>
      </c>
      <c r="E178" s="67">
        <v>0.33333333333333331</v>
      </c>
      <c r="F178" s="67">
        <v>0.33333333333333331</v>
      </c>
      <c r="G178" s="67">
        <v>0.30052403736614264</v>
      </c>
      <c r="H178" s="67">
        <v>0.16632490316700843</v>
      </c>
      <c r="I178" s="68">
        <v>8594.5413191811986</v>
      </c>
      <c r="J178" s="68">
        <v>-8187.1232876712329</v>
      </c>
      <c r="K178" s="67">
        <v>0.11428571428571428</v>
      </c>
      <c r="L178" s="67">
        <v>0.11428571428571428</v>
      </c>
      <c r="M178" s="67">
        <v>0.27705627705627706</v>
      </c>
      <c r="N178" s="67">
        <v>0.21007063112326271</v>
      </c>
      <c r="O178" s="67">
        <v>0.58717105263157898</v>
      </c>
      <c r="P178" s="67">
        <v>0.3926247288503254</v>
      </c>
      <c r="Q178" s="67">
        <v>0.4404852160727824</v>
      </c>
    </row>
    <row r="179" spans="1:17" x14ac:dyDescent="0.4">
      <c r="A179" s="69">
        <v>176</v>
      </c>
      <c r="B179" s="66">
        <v>1.0658141036401503E-14</v>
      </c>
      <c r="C179" s="66">
        <v>2.0185873175002847E-17</v>
      </c>
      <c r="D179" s="71">
        <v>2</v>
      </c>
      <c r="E179" s="67">
        <v>0.33333333333333331</v>
      </c>
      <c r="F179" s="67">
        <v>0.33333333333333331</v>
      </c>
      <c r="G179" s="67">
        <v>0.30065804402087587</v>
      </c>
      <c r="H179" s="67">
        <v>0.16678012253233493</v>
      </c>
      <c r="I179" s="68">
        <v>8613.5094339622647</v>
      </c>
      <c r="J179" s="68">
        <v>-8219.4557823129253</v>
      </c>
      <c r="K179" s="67">
        <v>0.11553030303030302</v>
      </c>
      <c r="L179" s="67">
        <v>0.11553030303030302</v>
      </c>
      <c r="M179" s="67">
        <v>0.27728613569321536</v>
      </c>
      <c r="N179" s="67">
        <v>0.21012026321760835</v>
      </c>
      <c r="O179" s="67">
        <v>0.58756137479541737</v>
      </c>
      <c r="P179" s="67">
        <v>0.39308855291576672</v>
      </c>
      <c r="Q179" s="67">
        <v>0.43924528301886795</v>
      </c>
    </row>
    <row r="180" spans="1:17" x14ac:dyDescent="0.4">
      <c r="A180" s="69">
        <v>177</v>
      </c>
      <c r="B180" s="66">
        <v>5.3290705182007514E-15</v>
      </c>
      <c r="C180" s="66">
        <v>1.003591434689407E-17</v>
      </c>
      <c r="D180" s="71">
        <v>2</v>
      </c>
      <c r="E180" s="67">
        <v>0.33333333333333331</v>
      </c>
      <c r="F180" s="67">
        <v>0.33333333333333331</v>
      </c>
      <c r="G180" s="67">
        <v>0.30004498425551057</v>
      </c>
      <c r="H180" s="67">
        <v>0.16666666666666666</v>
      </c>
      <c r="I180" s="68">
        <v>8624.4377811094455</v>
      </c>
      <c r="J180" s="68">
        <v>-8233.8731443994602</v>
      </c>
      <c r="K180" s="67">
        <v>0.11487758945386065</v>
      </c>
      <c r="L180" s="67">
        <v>0.11487758945386065</v>
      </c>
      <c r="M180" s="67">
        <v>0.27800269905533065</v>
      </c>
      <c r="N180" s="67">
        <v>0.20985155195681512</v>
      </c>
      <c r="O180" s="67">
        <v>0.58414239482200647</v>
      </c>
      <c r="P180" s="67">
        <v>0.3912111468381565</v>
      </c>
      <c r="Q180" s="67">
        <v>0.43853073463268366</v>
      </c>
    </row>
    <row r="181" spans="1:17" x14ac:dyDescent="0.4">
      <c r="A181" s="69">
        <v>178</v>
      </c>
      <c r="B181" s="66">
        <v>7.1054273576010019E-15</v>
      </c>
      <c r="C181" s="66">
        <v>1.3306043740825846E-17</v>
      </c>
      <c r="D181" s="71">
        <v>2</v>
      </c>
      <c r="E181" s="67">
        <v>0.33333333333333331</v>
      </c>
      <c r="F181" s="67">
        <v>0.33333333333333331</v>
      </c>
      <c r="G181" s="67">
        <v>0.30011223344556676</v>
      </c>
      <c r="H181" s="67">
        <v>0.16700336700336701</v>
      </c>
      <c r="I181" s="68">
        <v>8632.0119670905005</v>
      </c>
      <c r="J181" s="68">
        <v>-8249.0591397849457</v>
      </c>
      <c r="K181" s="67">
        <v>0.11610486891385768</v>
      </c>
      <c r="L181" s="67">
        <v>0.11610486891385768</v>
      </c>
      <c r="M181" s="67">
        <v>0.27811447811447809</v>
      </c>
      <c r="N181" s="67">
        <v>0.20987654320987653</v>
      </c>
      <c r="O181" s="67">
        <v>0.58514931396287329</v>
      </c>
      <c r="P181" s="67">
        <v>0.39037433155080214</v>
      </c>
      <c r="Q181" s="67">
        <v>0.43754674644726999</v>
      </c>
    </row>
    <row r="182" spans="1:17" x14ac:dyDescent="0.4">
      <c r="A182" s="69">
        <v>179</v>
      </c>
      <c r="B182" s="66">
        <v>6.4392935428259079E-15</v>
      </c>
      <c r="C182" s="66">
        <v>1.1991235647720499E-17</v>
      </c>
      <c r="D182" s="71">
        <v>2</v>
      </c>
      <c r="E182" s="67">
        <v>0.33333333333333331</v>
      </c>
      <c r="F182" s="67">
        <v>0.33333333333333331</v>
      </c>
      <c r="G182" s="67">
        <v>0.30029024335789239</v>
      </c>
      <c r="H182" s="67">
        <v>0.16655503460593882</v>
      </c>
      <c r="I182" s="68">
        <v>8660.4460966542756</v>
      </c>
      <c r="J182" s="68">
        <v>-8253.7533512064347</v>
      </c>
      <c r="K182" s="67">
        <v>0.1154562383612663</v>
      </c>
      <c r="L182" s="67">
        <v>0.1154562383612663</v>
      </c>
      <c r="M182" s="67">
        <v>0.27818709533377989</v>
      </c>
      <c r="N182" s="67">
        <v>0.21009153828979682</v>
      </c>
      <c r="O182" s="67">
        <v>0.5858747993579454</v>
      </c>
      <c r="P182" s="67">
        <v>0.39001062699256112</v>
      </c>
      <c r="Q182" s="67">
        <v>0.43940520446096654</v>
      </c>
    </row>
    <row r="183" spans="1:17" x14ac:dyDescent="0.4">
      <c r="A183" s="69">
        <v>180</v>
      </c>
      <c r="B183" s="66">
        <v>7.1054273576010019E-15</v>
      </c>
      <c r="C183" s="66">
        <v>1.3158198810372226E-17</v>
      </c>
      <c r="D183" s="71">
        <v>2</v>
      </c>
      <c r="E183" s="67">
        <v>0.33333333333333331</v>
      </c>
      <c r="F183" s="67">
        <v>0.33333333333333331</v>
      </c>
      <c r="G183" s="67">
        <v>0.30046635576282477</v>
      </c>
      <c r="H183" s="67">
        <v>0.16677770375305351</v>
      </c>
      <c r="I183" s="68">
        <v>8683.1485587583156</v>
      </c>
      <c r="J183" s="68">
        <v>-8257.3901464713708</v>
      </c>
      <c r="K183" s="67">
        <v>0.11481481481481481</v>
      </c>
      <c r="L183" s="67">
        <v>0.11481481481481481</v>
      </c>
      <c r="M183" s="67">
        <v>0.27914723517654899</v>
      </c>
      <c r="N183" s="67">
        <v>0.20963801909837887</v>
      </c>
      <c r="O183" s="67">
        <v>0.58472553699284013</v>
      </c>
      <c r="P183" s="67">
        <v>0.38983050847457629</v>
      </c>
      <c r="Q183" s="67">
        <v>0.43902439024390244</v>
      </c>
    </row>
    <row r="184" spans="1:17" x14ac:dyDescent="0.4">
      <c r="A184" s="69">
        <v>181</v>
      </c>
      <c r="B184" s="66">
        <v>7.1054273576010019E-15</v>
      </c>
      <c r="C184" s="66">
        <v>1.3085501579375695E-17</v>
      </c>
      <c r="D184" s="71">
        <v>2</v>
      </c>
      <c r="E184" s="67">
        <v>0.33333333333333331</v>
      </c>
      <c r="F184" s="67">
        <v>0.33333333333333331</v>
      </c>
      <c r="G184" s="67">
        <v>0.30064060083940802</v>
      </c>
      <c r="H184" s="67">
        <v>0.16699801192842942</v>
      </c>
      <c r="I184" s="68">
        <v>8684.7171197648786</v>
      </c>
      <c r="J184" s="68">
        <v>-8271.0317460317456</v>
      </c>
      <c r="K184" s="67">
        <v>0.1141804788213628</v>
      </c>
      <c r="L184" s="67">
        <v>0.1141804788213628</v>
      </c>
      <c r="M184" s="67">
        <v>0.27921360724541638</v>
      </c>
      <c r="N184" s="67">
        <v>0.20963110227523746</v>
      </c>
      <c r="O184" s="67">
        <v>0.58465189873417722</v>
      </c>
      <c r="P184" s="67">
        <v>0.39093782929399368</v>
      </c>
      <c r="Q184" s="67">
        <v>0.43864805290227776</v>
      </c>
    </row>
    <row r="185" spans="1:17" x14ac:dyDescent="0.4">
      <c r="A185" s="69">
        <v>182</v>
      </c>
      <c r="B185" s="66">
        <v>7.1054273576010019E-15</v>
      </c>
      <c r="C185" s="66">
        <v>1.3013603219049454E-17</v>
      </c>
      <c r="D185" s="71">
        <v>2</v>
      </c>
      <c r="E185" s="67">
        <v>0.33333333333333331</v>
      </c>
      <c r="F185" s="67">
        <v>0.33333333333333331</v>
      </c>
      <c r="G185" s="67">
        <v>0.30033003300330036</v>
      </c>
      <c r="H185" s="67">
        <v>0.16721672167216722</v>
      </c>
      <c r="I185" s="68">
        <v>8674.2857142857138</v>
      </c>
      <c r="J185" s="68">
        <v>-8254.4736842105267</v>
      </c>
      <c r="K185" s="67">
        <v>0.11355311355311355</v>
      </c>
      <c r="L185" s="67">
        <v>0.11355311355311355</v>
      </c>
      <c r="M185" s="67">
        <v>0.27920792079207923</v>
      </c>
      <c r="N185" s="67">
        <v>0.20946094609460947</v>
      </c>
      <c r="O185" s="67">
        <v>0.58313632781717883</v>
      </c>
      <c r="P185" s="67">
        <v>0.3907563025210084</v>
      </c>
      <c r="Q185" s="67">
        <v>0.43736263736263736</v>
      </c>
    </row>
    <row r="186" spans="1:17" x14ac:dyDescent="0.4">
      <c r="A186" s="69">
        <v>183</v>
      </c>
      <c r="B186" s="66">
        <v>7.1054273576010019E-15</v>
      </c>
      <c r="C186" s="66">
        <v>1.2942490633153009E-17</v>
      </c>
      <c r="D186" s="71">
        <v>2</v>
      </c>
      <c r="E186" s="67">
        <v>0.33333333333333331</v>
      </c>
      <c r="F186" s="67">
        <v>0.33333333333333331</v>
      </c>
      <c r="G186" s="67">
        <v>0.3001528050643964</v>
      </c>
      <c r="H186" s="67">
        <v>0.16764898493778652</v>
      </c>
      <c r="I186" s="68">
        <v>8660.7999999999993</v>
      </c>
      <c r="J186" s="68">
        <v>-8236.8489583333339</v>
      </c>
      <c r="K186" s="67">
        <v>0.11475409836065574</v>
      </c>
      <c r="L186" s="67">
        <v>0.11475409836065574</v>
      </c>
      <c r="M186" s="67">
        <v>0.27941497489631084</v>
      </c>
      <c r="N186" s="67">
        <v>0.20934293822309538</v>
      </c>
      <c r="O186" s="67">
        <v>0.58203125</v>
      </c>
      <c r="P186" s="67">
        <v>0.39207507820646509</v>
      </c>
      <c r="Q186" s="67">
        <v>0.43563636363636365</v>
      </c>
    </row>
    <row r="187" spans="1:17" x14ac:dyDescent="0.4">
      <c r="A187" s="69">
        <v>184</v>
      </c>
      <c r="B187" s="66">
        <v>6.2172489379008766E-15</v>
      </c>
      <c r="C187" s="66">
        <v>1.12631321338784E-17</v>
      </c>
      <c r="D187" s="71">
        <v>2</v>
      </c>
      <c r="E187" s="67">
        <v>0.33333333333333331</v>
      </c>
      <c r="F187" s="67">
        <v>0.33333333333333331</v>
      </c>
      <c r="G187" s="67">
        <v>0.2998914223669924</v>
      </c>
      <c r="H187" s="67">
        <v>0.16764386536373507</v>
      </c>
      <c r="I187" s="68">
        <v>8656.9152787834901</v>
      </c>
      <c r="J187" s="68">
        <v>-8239.896373056994</v>
      </c>
      <c r="K187" s="67">
        <v>0.11413043478260869</v>
      </c>
      <c r="L187" s="67">
        <v>0.11413043478260869</v>
      </c>
      <c r="M187" s="67">
        <v>0.27904451682953313</v>
      </c>
      <c r="N187" s="67">
        <v>0.20998914223669923</v>
      </c>
      <c r="O187" s="67">
        <v>0.58210116731517514</v>
      </c>
      <c r="P187" s="67">
        <v>0.39193381592554294</v>
      </c>
      <c r="Q187" s="67">
        <v>0.43519188993482982</v>
      </c>
    </row>
    <row r="188" spans="1:17" x14ac:dyDescent="0.4">
      <c r="A188" s="69">
        <v>185</v>
      </c>
      <c r="B188" s="66">
        <v>7.1054273576010019E-15</v>
      </c>
      <c r="C188" s="66">
        <v>1.2802571815497301E-17</v>
      </c>
      <c r="D188" s="71">
        <v>2</v>
      </c>
      <c r="E188" s="67">
        <v>0.33333333333333331</v>
      </c>
      <c r="F188" s="67">
        <v>0.33333333333333331</v>
      </c>
      <c r="G188" s="67">
        <v>0.29980532121998704</v>
      </c>
      <c r="H188" s="67">
        <v>0.1672074410555916</v>
      </c>
      <c r="I188" s="68">
        <v>8655.4112554112562</v>
      </c>
      <c r="J188" s="68">
        <v>-8234.2820181112547</v>
      </c>
      <c r="K188" s="67">
        <v>0.11351351351351352</v>
      </c>
      <c r="L188" s="67">
        <v>0.11351351351351352</v>
      </c>
      <c r="M188" s="67">
        <v>0.27903958468526929</v>
      </c>
      <c r="N188" s="67">
        <v>0.20982046290287693</v>
      </c>
      <c r="O188" s="67">
        <v>0.58372093023255811</v>
      </c>
      <c r="P188" s="67">
        <v>0.39072164948453608</v>
      </c>
      <c r="Q188" s="67">
        <v>0.43650793650793651</v>
      </c>
    </row>
    <row r="189" spans="1:17" x14ac:dyDescent="0.4">
      <c r="A189" s="69">
        <v>186</v>
      </c>
      <c r="B189" s="66">
        <v>7.1054273576010019E-15</v>
      </c>
      <c r="C189" s="66">
        <v>1.2733740784231186E-17</v>
      </c>
      <c r="D189" s="71">
        <v>2</v>
      </c>
      <c r="E189" s="67">
        <v>0.33333333333333331</v>
      </c>
      <c r="F189" s="67">
        <v>0.33333333333333331</v>
      </c>
      <c r="G189" s="67">
        <v>0.29987046632124353</v>
      </c>
      <c r="H189" s="67">
        <v>0.16731433506044904</v>
      </c>
      <c r="I189" s="68">
        <v>8671.2742980561561</v>
      </c>
      <c r="J189" s="68">
        <v>-8254.322580645161</v>
      </c>
      <c r="K189" s="67">
        <v>0.11469534050179211</v>
      </c>
      <c r="L189" s="67">
        <v>0.11469534050179211</v>
      </c>
      <c r="M189" s="67">
        <v>0.27849740932642486</v>
      </c>
      <c r="N189" s="67">
        <v>0.21070811744386875</v>
      </c>
      <c r="O189" s="67">
        <v>0.58372093023255811</v>
      </c>
      <c r="P189" s="67">
        <v>0.39139344262295084</v>
      </c>
      <c r="Q189" s="67">
        <v>0.43628509719222464</v>
      </c>
    </row>
    <row r="190" spans="1:17" x14ac:dyDescent="0.4">
      <c r="A190" s="69">
        <v>187</v>
      </c>
      <c r="B190" s="66">
        <v>3.5527136788005009E-15</v>
      </c>
      <c r="C190" s="66">
        <v>6.3328229568636377E-18</v>
      </c>
      <c r="D190" s="71">
        <v>2</v>
      </c>
      <c r="E190" s="67">
        <v>0.33333333333333331</v>
      </c>
      <c r="F190" s="67">
        <v>0.33333333333333331</v>
      </c>
      <c r="G190" s="67">
        <v>0.29984975316591544</v>
      </c>
      <c r="H190" s="67">
        <v>0.16784717750590256</v>
      </c>
      <c r="I190" s="68">
        <v>8689.3342877594841</v>
      </c>
      <c r="J190" s="68">
        <v>-8291.5601023017898</v>
      </c>
      <c r="K190" s="67">
        <v>0.11586452762923351</v>
      </c>
      <c r="L190" s="67">
        <v>0.11586452762923351</v>
      </c>
      <c r="M190" s="67">
        <v>0.27838591972526294</v>
      </c>
      <c r="N190" s="67">
        <v>0.21206267439364671</v>
      </c>
      <c r="O190" s="67">
        <v>0.58288357748650732</v>
      </c>
      <c r="P190" s="67">
        <v>0.3917004048582996</v>
      </c>
      <c r="Q190" s="67">
        <v>0.4345025053686471</v>
      </c>
    </row>
    <row r="191" spans="1:17" x14ac:dyDescent="0.4">
      <c r="A191" s="69">
        <v>188</v>
      </c>
      <c r="B191" s="66">
        <v>3.5527136788005009E-15</v>
      </c>
      <c r="C191" s="66">
        <v>6.2991377283696823E-18</v>
      </c>
      <c r="D191" s="71">
        <v>2</v>
      </c>
      <c r="E191" s="67">
        <v>0.33333333333333331</v>
      </c>
      <c r="F191" s="67">
        <v>0.33333333333333331</v>
      </c>
      <c r="G191" s="67">
        <v>0.3</v>
      </c>
      <c r="H191" s="67">
        <v>0.16773504273504272</v>
      </c>
      <c r="I191" s="68">
        <v>8689.2450142450143</v>
      </c>
      <c r="J191" s="68">
        <v>-8310.8280254777073</v>
      </c>
      <c r="K191" s="67">
        <v>0.11524822695035461</v>
      </c>
      <c r="L191" s="67">
        <v>0.11524822695035461</v>
      </c>
      <c r="M191" s="67">
        <v>0.27884615384615385</v>
      </c>
      <c r="N191" s="67">
        <v>0.21175213675213675</v>
      </c>
      <c r="O191" s="67">
        <v>0.58237547892720309</v>
      </c>
      <c r="P191" s="67">
        <v>0.39152371342078707</v>
      </c>
      <c r="Q191" s="67">
        <v>0.43518518518518517</v>
      </c>
    </row>
    <row r="192" spans="1:17" x14ac:dyDescent="0.4">
      <c r="A192" s="69">
        <v>189</v>
      </c>
      <c r="B192" s="66">
        <v>3.5527136788005009E-15</v>
      </c>
      <c r="C192" s="66">
        <v>6.2658089573201071E-18</v>
      </c>
      <c r="D192" s="71">
        <v>2</v>
      </c>
      <c r="E192" s="67">
        <v>0.33333333333333331</v>
      </c>
      <c r="F192" s="67">
        <v>0.33333333333333331</v>
      </c>
      <c r="G192" s="67">
        <v>0.29980903882877147</v>
      </c>
      <c r="H192" s="67">
        <v>0.16783365160195204</v>
      </c>
      <c r="I192" s="68">
        <v>8675.0884642604397</v>
      </c>
      <c r="J192" s="68">
        <v>-8297.724399494311</v>
      </c>
      <c r="K192" s="67">
        <v>0.1146384479717813</v>
      </c>
      <c r="L192" s="67">
        <v>0.1146384479717813</v>
      </c>
      <c r="M192" s="67">
        <v>0.27986420538934859</v>
      </c>
      <c r="N192" s="67">
        <v>0.21175472098451092</v>
      </c>
      <c r="O192" s="67">
        <v>0.57998483699772552</v>
      </c>
      <c r="P192" s="67">
        <v>0.39178356713426854</v>
      </c>
      <c r="Q192" s="67">
        <v>0.43453644727530077</v>
      </c>
    </row>
    <row r="193" spans="1:17" x14ac:dyDescent="0.4">
      <c r="A193" s="69">
        <v>190</v>
      </c>
      <c r="B193" s="66">
        <v>0</v>
      </c>
      <c r="C193" s="66">
        <v>0</v>
      </c>
      <c r="D193" s="71">
        <v>2</v>
      </c>
      <c r="E193" s="67">
        <v>0.33333333333333331</v>
      </c>
      <c r="F193" s="67">
        <v>0.33333333333333331</v>
      </c>
      <c r="G193" s="67">
        <v>0.299789029535865</v>
      </c>
      <c r="H193" s="67">
        <v>0.16793248945147679</v>
      </c>
      <c r="I193" s="68">
        <v>8687.2624912033771</v>
      </c>
      <c r="J193" s="68">
        <v>-8325.6281407035167</v>
      </c>
      <c r="K193" s="67">
        <v>0.11578947368421053</v>
      </c>
      <c r="L193" s="67">
        <v>0.11578947368421053</v>
      </c>
      <c r="M193" s="67">
        <v>0.27932489451476794</v>
      </c>
      <c r="N193" s="67">
        <v>0.21118143459915611</v>
      </c>
      <c r="O193" s="67">
        <v>0.58157099697885195</v>
      </c>
      <c r="P193" s="67">
        <v>0.39160839160839161</v>
      </c>
      <c r="Q193" s="67">
        <v>0.434201266713582</v>
      </c>
    </row>
    <row r="194" spans="1:17" x14ac:dyDescent="0.4">
      <c r="A194" s="69">
        <v>191</v>
      </c>
      <c r="B194" s="66">
        <v>0</v>
      </c>
      <c r="C194" s="66">
        <v>0</v>
      </c>
      <c r="D194" s="71">
        <v>2</v>
      </c>
      <c r="E194" s="67">
        <v>0.33333333333333331</v>
      </c>
      <c r="F194" s="67">
        <v>0.33333333333333331</v>
      </c>
      <c r="G194" s="67">
        <v>0.29958071278825998</v>
      </c>
      <c r="H194" s="67">
        <v>0.16813417190775681</v>
      </c>
      <c r="I194" s="68">
        <v>8684.674597620713</v>
      </c>
      <c r="J194" s="68">
        <v>-8325.4364089775554</v>
      </c>
      <c r="K194" s="67">
        <v>0.11518324607329843</v>
      </c>
      <c r="L194" s="67">
        <v>0.11518324607329843</v>
      </c>
      <c r="M194" s="67">
        <v>0.27945492662473792</v>
      </c>
      <c r="N194" s="67">
        <v>0.21132075471698114</v>
      </c>
      <c r="O194" s="67">
        <v>0.58064516129032262</v>
      </c>
      <c r="P194" s="67">
        <v>0.39087301587301587</v>
      </c>
      <c r="Q194" s="67">
        <v>0.43317004898530442</v>
      </c>
    </row>
    <row r="195" spans="1:17" x14ac:dyDescent="0.4">
      <c r="A195" s="69">
        <v>192</v>
      </c>
      <c r="B195" s="66">
        <v>-6.6613381477509392E-16</v>
      </c>
      <c r="C195" s="66">
        <v>-1.1564823173178713E-18</v>
      </c>
      <c r="D195" s="71">
        <v>2</v>
      </c>
      <c r="E195" s="67">
        <v>0.33333333333333331</v>
      </c>
      <c r="F195" s="67">
        <v>0.33333333333333331</v>
      </c>
      <c r="G195" s="67">
        <v>0.29960441390797421</v>
      </c>
      <c r="H195" s="67">
        <v>0.168228190714137</v>
      </c>
      <c r="I195" s="68">
        <v>8677.3453787352337</v>
      </c>
      <c r="J195" s="68">
        <v>-8323.7623762376243</v>
      </c>
      <c r="K195" s="67">
        <v>0.11458333333333333</v>
      </c>
      <c r="L195" s="67">
        <v>0.11458333333333333</v>
      </c>
      <c r="M195" s="67">
        <v>0.27899229648136581</v>
      </c>
      <c r="N195" s="67">
        <v>0.21090984801165938</v>
      </c>
      <c r="O195" s="67">
        <v>0.58134328358208953</v>
      </c>
      <c r="P195" s="67">
        <v>0.39091806515301086</v>
      </c>
      <c r="Q195" s="67">
        <v>0.43293954134815843</v>
      </c>
    </row>
    <row r="196" spans="1:17" x14ac:dyDescent="0.4">
      <c r="A196" s="69">
        <v>193</v>
      </c>
      <c r="B196" s="66">
        <v>0</v>
      </c>
      <c r="C196" s="66">
        <v>0</v>
      </c>
      <c r="D196" s="71">
        <v>2</v>
      </c>
      <c r="E196" s="67">
        <v>0.33333333333333331</v>
      </c>
      <c r="F196" s="67">
        <v>0.33333333333333331</v>
      </c>
      <c r="G196" s="67">
        <v>0.29991697799916978</v>
      </c>
      <c r="H196" s="67">
        <v>0.16832710668327105</v>
      </c>
      <c r="I196" s="68">
        <v>8679.1003460207612</v>
      </c>
      <c r="J196" s="68">
        <v>-8338.101109741061</v>
      </c>
      <c r="K196" s="67">
        <v>0.1157167530224525</v>
      </c>
      <c r="L196" s="67">
        <v>0.1157167530224525</v>
      </c>
      <c r="M196" s="67">
        <v>0.27936903279369035</v>
      </c>
      <c r="N196" s="67">
        <v>0.21066832710668326</v>
      </c>
      <c r="O196" s="67">
        <v>0.58098068350668652</v>
      </c>
      <c r="P196" s="67">
        <v>0.39113300492610836</v>
      </c>
      <c r="Q196" s="67">
        <v>0.43252595155709345</v>
      </c>
    </row>
    <row r="197" spans="1:17" x14ac:dyDescent="0.4">
      <c r="A197" s="69">
        <v>194</v>
      </c>
      <c r="B197" s="66">
        <v>-4.4408920985006262E-15</v>
      </c>
      <c r="C197" s="66">
        <v>-7.630398794674616E-18</v>
      </c>
      <c r="D197" s="71">
        <v>2</v>
      </c>
      <c r="E197" s="67">
        <v>0.33333333333333331</v>
      </c>
      <c r="F197" s="67">
        <v>0.33333333333333331</v>
      </c>
      <c r="G197" s="67">
        <v>0.30006199628022318</v>
      </c>
      <c r="H197" s="67">
        <v>0.1680099194048357</v>
      </c>
      <c r="I197" s="68">
        <v>8691.9421487603304</v>
      </c>
      <c r="J197" s="68">
        <v>-8330.3813038130374</v>
      </c>
      <c r="K197" s="67">
        <v>0.11683848797250859</v>
      </c>
      <c r="L197" s="67">
        <v>0.11683848797250859</v>
      </c>
      <c r="M197" s="67">
        <v>0.27980987807398222</v>
      </c>
      <c r="N197" s="67">
        <v>0.21058069849142386</v>
      </c>
      <c r="O197" s="67">
        <v>0.57976366322008865</v>
      </c>
      <c r="P197" s="67">
        <v>0.3915603532875368</v>
      </c>
      <c r="Q197" s="67">
        <v>0.43388429752066116</v>
      </c>
    </row>
    <row r="198" spans="1:17" x14ac:dyDescent="0.4">
      <c r="A198" s="69">
        <v>195</v>
      </c>
      <c r="B198" s="66">
        <v>-7.1054273576010019E-15</v>
      </c>
      <c r="C198" s="66">
        <v>-1.2146029671112824E-17</v>
      </c>
      <c r="D198" s="71">
        <v>2</v>
      </c>
      <c r="E198" s="67">
        <v>0.33333333333333331</v>
      </c>
      <c r="F198" s="67">
        <v>0.33333333333333331</v>
      </c>
      <c r="G198" s="67">
        <v>0.30006161429451633</v>
      </c>
      <c r="H198" s="67">
        <v>0.16820702402957485</v>
      </c>
      <c r="I198" s="68">
        <v>8675.2908966461328</v>
      </c>
      <c r="J198" s="68">
        <v>-8302.5641025641035</v>
      </c>
      <c r="K198" s="67">
        <v>0.11623931623931624</v>
      </c>
      <c r="L198" s="67">
        <v>0.11623931623931624</v>
      </c>
      <c r="M198" s="67">
        <v>0.28013965906757032</v>
      </c>
      <c r="N198" s="67">
        <v>0.21092626822756214</v>
      </c>
      <c r="O198" s="67">
        <v>0.57917888563049857</v>
      </c>
      <c r="P198" s="67">
        <v>0.39143135345666991</v>
      </c>
      <c r="Q198" s="67">
        <v>0.43326488706365501</v>
      </c>
    </row>
    <row r="199" spans="1:17" x14ac:dyDescent="0.4">
      <c r="A199" s="69">
        <v>196</v>
      </c>
      <c r="B199" s="66">
        <v>-7.1054273576010019E-15</v>
      </c>
      <c r="C199" s="66">
        <v>-1.2084060131974493E-17</v>
      </c>
      <c r="D199" s="71">
        <v>2</v>
      </c>
      <c r="E199" s="67">
        <v>0.33333333333333331</v>
      </c>
      <c r="F199" s="67">
        <v>0.33333333333333331</v>
      </c>
      <c r="G199" s="67">
        <v>0.30002043735949313</v>
      </c>
      <c r="H199" s="67">
        <v>0.16779072143879012</v>
      </c>
      <c r="I199" s="68">
        <v>8673.7057220708448</v>
      </c>
      <c r="J199" s="68">
        <v>-8301.8270401948848</v>
      </c>
      <c r="K199" s="67">
        <v>0.11564625850340136</v>
      </c>
      <c r="L199" s="67">
        <v>0.11564625850340136</v>
      </c>
      <c r="M199" s="67">
        <v>0.28060494584099732</v>
      </c>
      <c r="N199" s="67">
        <v>0.21070917637441242</v>
      </c>
      <c r="O199" s="67">
        <v>0.5790240349599417</v>
      </c>
      <c r="P199" s="67">
        <v>0.39088263821532493</v>
      </c>
      <c r="Q199" s="67">
        <v>0.43460490463215257</v>
      </c>
    </row>
    <row r="200" spans="1:17" x14ac:dyDescent="0.4">
      <c r="A200" s="69">
        <v>197</v>
      </c>
      <c r="B200" s="66">
        <v>-9.9920072216264089E-15</v>
      </c>
      <c r="C200" s="66">
        <v>-1.6906949613581065E-17</v>
      </c>
      <c r="D200" s="71">
        <v>2</v>
      </c>
      <c r="E200" s="67">
        <v>0.33333333333333331</v>
      </c>
      <c r="F200" s="67">
        <v>0.33333333333333331</v>
      </c>
      <c r="G200" s="67">
        <v>0.29983759642712138</v>
      </c>
      <c r="H200" s="67">
        <v>0.16808769792935443</v>
      </c>
      <c r="I200" s="68">
        <v>8670.6838185511169</v>
      </c>
      <c r="J200" s="68">
        <v>-8303.9855072463761</v>
      </c>
      <c r="K200" s="67">
        <v>0.11505922165820642</v>
      </c>
      <c r="L200" s="67">
        <v>0.11505922165820642</v>
      </c>
      <c r="M200" s="67">
        <v>0.28055217214778727</v>
      </c>
      <c r="N200" s="67">
        <v>0.21031262687779131</v>
      </c>
      <c r="O200" s="67">
        <v>0.57814761215629518</v>
      </c>
      <c r="P200" s="67">
        <v>0.39189189189189189</v>
      </c>
      <c r="Q200" s="67">
        <v>0.43331076506431959</v>
      </c>
    </row>
    <row r="201" spans="1:17" x14ac:dyDescent="0.4">
      <c r="A201" s="69">
        <v>198</v>
      </c>
      <c r="B201" s="66">
        <v>-7.1054273576010019E-15</v>
      </c>
      <c r="C201" s="66">
        <v>-1.1961998918520205E-17</v>
      </c>
      <c r="D201" s="71">
        <v>2</v>
      </c>
      <c r="E201" s="67">
        <v>0.33333333333333331</v>
      </c>
      <c r="F201" s="67">
        <v>0.33333333333333331</v>
      </c>
      <c r="G201" s="67">
        <v>0.30018192844147967</v>
      </c>
      <c r="H201" s="67">
        <v>0.16818273701233072</v>
      </c>
      <c r="I201" s="68">
        <v>8671.9865319865312</v>
      </c>
      <c r="J201" s="68">
        <v>-8322.475961538461</v>
      </c>
      <c r="K201" s="67">
        <v>0.11447811447811448</v>
      </c>
      <c r="L201" s="67">
        <v>0.11447811447811448</v>
      </c>
      <c r="M201" s="67">
        <v>0.28178694158075601</v>
      </c>
      <c r="N201" s="67">
        <v>0.20962199312714777</v>
      </c>
      <c r="O201" s="67">
        <v>0.57819225251076045</v>
      </c>
      <c r="P201" s="67">
        <v>0.39151398264223725</v>
      </c>
      <c r="Q201" s="67">
        <v>0.43299663299663299</v>
      </c>
    </row>
    <row r="202" spans="1:17" x14ac:dyDescent="0.4">
      <c r="A202" s="69">
        <v>199</v>
      </c>
      <c r="B202" s="66">
        <v>-1.4210854715202004E-14</v>
      </c>
      <c r="C202" s="66">
        <v>-2.3803776742381916E-17</v>
      </c>
      <c r="D202" s="71">
        <v>2</v>
      </c>
      <c r="E202" s="67">
        <v>0.33333333333333331</v>
      </c>
      <c r="F202" s="67">
        <v>0.33333333333333331</v>
      </c>
      <c r="G202" s="67">
        <v>0.30038175607795858</v>
      </c>
      <c r="H202" s="67">
        <v>0.16837452280490256</v>
      </c>
      <c r="I202" s="68">
        <v>8680.9364548494977</v>
      </c>
      <c r="J202" s="68">
        <v>-8328.2816229116943</v>
      </c>
      <c r="K202" s="67">
        <v>0.11557788944723618</v>
      </c>
      <c r="L202" s="67">
        <v>0.11557788944723618</v>
      </c>
      <c r="M202" s="67">
        <v>0.28129395218002812</v>
      </c>
      <c r="N202" s="67">
        <v>0.20976491862567812</v>
      </c>
      <c r="O202" s="67">
        <v>0.57857142857142863</v>
      </c>
      <c r="P202" s="67">
        <v>0.39272030651340994</v>
      </c>
      <c r="Q202" s="67">
        <v>0.43277591973244145</v>
      </c>
    </row>
    <row r="203" spans="1:17" x14ac:dyDescent="0.4">
      <c r="A203" s="69">
        <v>200</v>
      </c>
      <c r="B203" s="66">
        <v>-1.7097434579227411E-14</v>
      </c>
      <c r="C203" s="66">
        <v>-2.849572429871235E-17</v>
      </c>
      <c r="D203" s="71">
        <v>2</v>
      </c>
      <c r="E203" s="67">
        <v>0.33333333333333331</v>
      </c>
      <c r="F203" s="67">
        <v>0.33333333333333331</v>
      </c>
      <c r="G203" s="67">
        <v>0.29996003197442045</v>
      </c>
      <c r="H203" s="67">
        <v>0.16786570743405277</v>
      </c>
      <c r="I203" s="68">
        <v>8701.7321785476342</v>
      </c>
      <c r="J203" s="68">
        <v>-8348.0952380952385</v>
      </c>
      <c r="K203" s="67">
        <v>0.11666666666666667</v>
      </c>
      <c r="L203" s="67">
        <v>0.11666666666666667</v>
      </c>
      <c r="M203" s="67">
        <v>0.28197442046362908</v>
      </c>
      <c r="N203" s="67">
        <v>0.20863309352517986</v>
      </c>
      <c r="O203" s="67">
        <v>0.57760453579021975</v>
      </c>
      <c r="P203" s="67">
        <v>0.39272030651340994</v>
      </c>
      <c r="Q203" s="67">
        <v>0.43371085942704862</v>
      </c>
    </row>
    <row r="204" spans="1:17" x14ac:dyDescent="0.4">
      <c r="A204" s="69">
        <v>201</v>
      </c>
      <c r="B204" s="66">
        <v>-2.1316282072803006E-14</v>
      </c>
      <c r="C204" s="66">
        <v>-3.5350384863686576E-17</v>
      </c>
      <c r="D204" s="71">
        <v>2</v>
      </c>
      <c r="E204" s="67">
        <v>0.33333333333333331</v>
      </c>
      <c r="F204" s="67">
        <v>0.33333333333333331</v>
      </c>
      <c r="G204" s="67">
        <v>0.2999004975124378</v>
      </c>
      <c r="H204" s="67">
        <v>0.16796019900497514</v>
      </c>
      <c r="I204" s="68">
        <v>8686.7949568679487</v>
      </c>
      <c r="J204" s="68">
        <v>-8328.0805687203792</v>
      </c>
      <c r="K204" s="67">
        <v>0.11608623548922056</v>
      </c>
      <c r="L204" s="67">
        <v>0.11608623548922056</v>
      </c>
      <c r="M204" s="67">
        <v>0.28139303482587064</v>
      </c>
      <c r="N204" s="67">
        <v>0.20955223880597015</v>
      </c>
      <c r="O204" s="67">
        <v>0.57779349363507782</v>
      </c>
      <c r="P204" s="67">
        <v>0.39316239316239315</v>
      </c>
      <c r="Q204" s="67">
        <v>0.43331121433311215</v>
      </c>
    </row>
    <row r="205" spans="1:17" x14ac:dyDescent="0.4">
      <c r="A205" s="69">
        <v>202</v>
      </c>
      <c r="B205" s="66">
        <v>-2.1316282072803006E-14</v>
      </c>
      <c r="C205" s="66">
        <v>-3.5175382958420802E-17</v>
      </c>
      <c r="D205" s="71">
        <v>2</v>
      </c>
      <c r="E205" s="67">
        <v>0.33333333333333331</v>
      </c>
      <c r="F205" s="67">
        <v>0.33333333333333331</v>
      </c>
      <c r="G205" s="67">
        <v>0.29986135868488811</v>
      </c>
      <c r="H205" s="67">
        <v>0.16795405030699148</v>
      </c>
      <c r="I205" s="68">
        <v>8678.1373844121536</v>
      </c>
      <c r="J205" s="68">
        <v>-8312.382075471698</v>
      </c>
      <c r="K205" s="67">
        <v>0.11551155115511551</v>
      </c>
      <c r="L205" s="67">
        <v>0.11551155115511551</v>
      </c>
      <c r="M205" s="67">
        <v>0.2808476926123985</v>
      </c>
      <c r="N205" s="67">
        <v>0.2089522677757972</v>
      </c>
      <c r="O205" s="67">
        <v>0.57898448519040902</v>
      </c>
      <c r="P205" s="67">
        <v>0.39336492890995262</v>
      </c>
      <c r="Q205" s="67">
        <v>0.4332892998678996</v>
      </c>
    </row>
    <row r="206" spans="1:17" x14ac:dyDescent="0.4">
      <c r="A206" s="69">
        <v>203</v>
      </c>
      <c r="B206" s="66">
        <v>-2.1316282072803006E-14</v>
      </c>
      <c r="C206" s="66">
        <v>-3.5002105209857152E-17</v>
      </c>
      <c r="D206" s="71">
        <v>2</v>
      </c>
      <c r="E206" s="67">
        <v>0.33333333333333331</v>
      </c>
      <c r="F206" s="67">
        <v>0.33333333333333331</v>
      </c>
      <c r="G206" s="67">
        <v>0.29984239558707643</v>
      </c>
      <c r="H206" s="67">
        <v>0.16804570527974783</v>
      </c>
      <c r="I206" s="68">
        <v>8670.3022339027593</v>
      </c>
      <c r="J206" s="68">
        <v>-8300.9378663540447</v>
      </c>
      <c r="K206" s="67">
        <v>0.11494252873563218</v>
      </c>
      <c r="L206" s="67">
        <v>0.11494252873563218</v>
      </c>
      <c r="M206" s="67">
        <v>0.28053585500394013</v>
      </c>
      <c r="N206" s="67">
        <v>0.20843183609141056</v>
      </c>
      <c r="O206" s="67">
        <v>0.5800561797752809</v>
      </c>
      <c r="P206" s="67">
        <v>0.3931947069943289</v>
      </c>
      <c r="Q206" s="67">
        <v>0.43298291721419185</v>
      </c>
    </row>
    <row r="207" spans="1:17" x14ac:dyDescent="0.4">
      <c r="A207" s="69">
        <v>204</v>
      </c>
      <c r="B207" s="66">
        <v>-2.8421709430404007E-14</v>
      </c>
      <c r="C207" s="66">
        <v>-4.644070168366668E-17</v>
      </c>
      <c r="D207" s="71">
        <v>2</v>
      </c>
      <c r="E207" s="67">
        <v>0.33333333333333331</v>
      </c>
      <c r="F207" s="67">
        <v>0.33333333333333331</v>
      </c>
      <c r="G207" s="67">
        <v>0.3</v>
      </c>
      <c r="H207" s="67">
        <v>0.16823529411764707</v>
      </c>
      <c r="I207" s="68">
        <v>8662.4836601307197</v>
      </c>
      <c r="J207" s="68">
        <v>-8292.424242424242</v>
      </c>
      <c r="K207" s="67">
        <v>0.11601307189542484</v>
      </c>
      <c r="L207" s="67">
        <v>0.11601307189542484</v>
      </c>
      <c r="M207" s="67">
        <v>0.28019607843137256</v>
      </c>
      <c r="N207" s="67">
        <v>0.20823529411764705</v>
      </c>
      <c r="O207" s="67">
        <v>0.58012596221133661</v>
      </c>
      <c r="P207" s="67">
        <v>0.3935969868173258</v>
      </c>
      <c r="Q207" s="67">
        <v>0.43267973856209152</v>
      </c>
    </row>
    <row r="208" spans="1:17" x14ac:dyDescent="0.4">
      <c r="A208" s="69">
        <v>205</v>
      </c>
      <c r="B208" s="66">
        <v>-2.4868995751603507E-14</v>
      </c>
      <c r="C208" s="66">
        <v>-4.0437391466021965E-17</v>
      </c>
      <c r="D208" s="71">
        <v>2</v>
      </c>
      <c r="E208" s="67">
        <v>0.33333333333333331</v>
      </c>
      <c r="F208" s="67">
        <v>0.33333333333333331</v>
      </c>
      <c r="G208" s="67">
        <v>0.29957064793130367</v>
      </c>
      <c r="H208" s="67">
        <v>0.16783762685402029</v>
      </c>
      <c r="I208" s="68">
        <v>8656.0912052117255</v>
      </c>
      <c r="J208" s="68">
        <v>-8291.3953488372099</v>
      </c>
      <c r="K208" s="67">
        <v>0.11544715447154472</v>
      </c>
      <c r="L208" s="67">
        <v>0.11544715447154472</v>
      </c>
      <c r="M208" s="67">
        <v>0.27985948477751754</v>
      </c>
      <c r="N208" s="67">
        <v>0.20823575331772054</v>
      </c>
      <c r="O208" s="67">
        <v>0.57949790794979084</v>
      </c>
      <c r="P208" s="67">
        <v>0.39362699156513592</v>
      </c>
      <c r="Q208" s="67">
        <v>0.43322475570032576</v>
      </c>
    </row>
    <row r="209" spans="1:17" x14ac:dyDescent="0.4">
      <c r="A209" s="69">
        <v>206</v>
      </c>
      <c r="B209" s="66">
        <v>-2.1316282072803006E-14</v>
      </c>
      <c r="C209" s="66">
        <v>-3.4492365813597093E-17</v>
      </c>
      <c r="D209" s="71">
        <v>2</v>
      </c>
      <c r="E209" s="67">
        <v>0.33333333333333331</v>
      </c>
      <c r="F209" s="67">
        <v>0.33333333333333331</v>
      </c>
      <c r="G209" s="67">
        <v>0.29972804972804973</v>
      </c>
      <c r="H209" s="67">
        <v>0.16783216783216784</v>
      </c>
      <c r="I209" s="68">
        <v>8637.7187297472465</v>
      </c>
      <c r="J209" s="68">
        <v>-8268.8657407407409</v>
      </c>
      <c r="K209" s="67">
        <v>0.11488673139158576</v>
      </c>
      <c r="L209" s="67">
        <v>0.11488673139158576</v>
      </c>
      <c r="M209" s="67">
        <v>0.27913752913752915</v>
      </c>
      <c r="N209" s="67">
        <v>0.20881895881895882</v>
      </c>
      <c r="O209" s="67">
        <v>0.58037578288100211</v>
      </c>
      <c r="P209" s="67">
        <v>0.39534883720930231</v>
      </c>
      <c r="Q209" s="67">
        <v>0.43357096565132858</v>
      </c>
    </row>
    <row r="210" spans="1:17" x14ac:dyDescent="0.4">
      <c r="A210" s="69">
        <v>207</v>
      </c>
      <c r="B210" s="66">
        <v>-2.1316282072803006E-14</v>
      </c>
      <c r="C210" s="66">
        <v>-3.4325736027057978E-17</v>
      </c>
      <c r="D210" s="71">
        <v>2</v>
      </c>
      <c r="E210" s="67">
        <v>0.33333333333333331</v>
      </c>
      <c r="F210" s="67">
        <v>0.33333333333333331</v>
      </c>
      <c r="G210" s="67">
        <v>0.29969064191802008</v>
      </c>
      <c r="H210" s="67">
        <v>0.16782675947409126</v>
      </c>
      <c r="I210" s="68">
        <v>8631.032258064517</v>
      </c>
      <c r="J210" s="68">
        <v>-8266.705069124424</v>
      </c>
      <c r="K210" s="67">
        <v>0.1143317230273752</v>
      </c>
      <c r="L210" s="67">
        <v>0.1143317230273752</v>
      </c>
      <c r="M210" s="67">
        <v>0.27938901778808972</v>
      </c>
      <c r="N210" s="67">
        <v>0.20862335653518949</v>
      </c>
      <c r="O210" s="67">
        <v>0.57993079584775087</v>
      </c>
      <c r="P210" s="67">
        <v>0.3948100092678406</v>
      </c>
      <c r="Q210" s="67">
        <v>0.43354838709677418</v>
      </c>
    </row>
    <row r="211" spans="1:17" x14ac:dyDescent="0.4">
      <c r="A211" s="69">
        <v>208</v>
      </c>
      <c r="B211" s="66">
        <v>-2.8421709430404007E-14</v>
      </c>
      <c r="C211" s="66">
        <v>-4.5547611266673087E-17</v>
      </c>
      <c r="D211" s="71">
        <v>2</v>
      </c>
      <c r="E211" s="67">
        <v>0.33333333333333331</v>
      </c>
      <c r="F211" s="67">
        <v>0.33333333333333331</v>
      </c>
      <c r="G211" s="67">
        <v>0.29946112394149343</v>
      </c>
      <c r="H211" s="67">
        <v>0.1676289453425712</v>
      </c>
      <c r="I211" s="68">
        <v>8635.2827763496152</v>
      </c>
      <c r="J211" s="68">
        <v>-8263.834672789897</v>
      </c>
      <c r="K211" s="67">
        <v>0.11538461538461539</v>
      </c>
      <c r="L211" s="67">
        <v>0.11538461538461539</v>
      </c>
      <c r="M211" s="67">
        <v>0.27925327174749809</v>
      </c>
      <c r="N211" s="67">
        <v>0.20919938414164743</v>
      </c>
      <c r="O211" s="67">
        <v>0.57960027567195038</v>
      </c>
      <c r="P211" s="67">
        <v>0.39374425022999082</v>
      </c>
      <c r="Q211" s="67">
        <v>0.43380462724935731</v>
      </c>
    </row>
    <row r="212" spans="1:17" x14ac:dyDescent="0.4">
      <c r="A212" s="69">
        <v>209</v>
      </c>
      <c r="B212" s="66">
        <v>-2.8421709430404007E-14</v>
      </c>
      <c r="C212" s="66">
        <v>-4.5329680112287093E-17</v>
      </c>
      <c r="D212" s="71">
        <v>2</v>
      </c>
      <c r="E212" s="67">
        <v>0.33333333333333331</v>
      </c>
      <c r="F212" s="67">
        <v>0.33333333333333331</v>
      </c>
      <c r="G212" s="67">
        <v>0.29948364888123924</v>
      </c>
      <c r="H212" s="67">
        <v>0.16771849301969785</v>
      </c>
      <c r="I212" s="68">
        <v>8634.1634738186458</v>
      </c>
      <c r="J212" s="68">
        <v>-8258.6088939566707</v>
      </c>
      <c r="K212" s="67">
        <v>0.11483253588516747</v>
      </c>
      <c r="L212" s="67">
        <v>0.11483253588516747</v>
      </c>
      <c r="M212" s="67">
        <v>0.27902084528590554</v>
      </c>
      <c r="N212" s="67">
        <v>0.21036527060623447</v>
      </c>
      <c r="O212" s="67">
        <v>0.57984921178889648</v>
      </c>
      <c r="P212" s="67">
        <v>0.3927272727272727</v>
      </c>
      <c r="Q212" s="67">
        <v>0.43358876117496808</v>
      </c>
    </row>
    <row r="213" spans="1:17" x14ac:dyDescent="0.4">
      <c r="A213" s="69">
        <v>210</v>
      </c>
      <c r="B213" s="66">
        <v>-2.9753977059954195E-14</v>
      </c>
      <c r="C213" s="66">
        <v>-4.7228535015800309E-17</v>
      </c>
      <c r="D213" s="71">
        <v>2</v>
      </c>
      <c r="E213" s="67">
        <v>0.33333333333333331</v>
      </c>
      <c r="F213" s="67">
        <v>0.33333333333333331</v>
      </c>
      <c r="G213" s="67">
        <v>0.29944793451361129</v>
      </c>
      <c r="H213" s="67">
        <v>0.16752332000761469</v>
      </c>
      <c r="I213" s="68">
        <v>8623.0769230769238</v>
      </c>
      <c r="J213" s="68">
        <v>-8240.9090909090901</v>
      </c>
      <c r="K213" s="67">
        <v>0.11428571428571428</v>
      </c>
      <c r="L213" s="67">
        <v>0.11428571428571428</v>
      </c>
      <c r="M213" s="67">
        <v>0.27888825433085856</v>
      </c>
      <c r="N213" s="67">
        <v>0.20997525223681707</v>
      </c>
      <c r="O213" s="67">
        <v>0.5795221843003413</v>
      </c>
      <c r="P213" s="67">
        <v>0.39256572982774252</v>
      </c>
      <c r="Q213" s="67">
        <v>0.43420216147488877</v>
      </c>
    </row>
    <row r="214" spans="1:17" x14ac:dyDescent="0.4">
      <c r="A214" s="69">
        <v>211</v>
      </c>
      <c r="B214" s="66">
        <v>-3.2862601528904634E-14</v>
      </c>
      <c r="C214" s="66">
        <v>-5.1915642225757717E-17</v>
      </c>
      <c r="D214" s="71">
        <v>2</v>
      </c>
      <c r="E214" s="67">
        <v>0.33333333333333331</v>
      </c>
      <c r="F214" s="67">
        <v>0.33333333333333331</v>
      </c>
      <c r="G214" s="67">
        <v>0.29931972789115646</v>
      </c>
      <c r="H214" s="67">
        <v>0.1674225245653817</v>
      </c>
      <c r="I214" s="68">
        <v>8614.9621212121219</v>
      </c>
      <c r="J214" s="68">
        <v>-8239.6162528216701</v>
      </c>
      <c r="K214" s="67">
        <v>0.11374407582938388</v>
      </c>
      <c r="L214" s="67">
        <v>0.11374407582938388</v>
      </c>
      <c r="M214" s="67">
        <v>0.27891156462585032</v>
      </c>
      <c r="N214" s="67">
        <v>0.20975056689342403</v>
      </c>
      <c r="O214" s="67">
        <v>0.57994579945799463</v>
      </c>
      <c r="P214" s="67">
        <v>0.39189189189189189</v>
      </c>
      <c r="Q214" s="67">
        <v>0.43434343434343436</v>
      </c>
    </row>
    <row r="215" spans="1:17" x14ac:dyDescent="0.4">
      <c r="A215" s="69">
        <v>212</v>
      </c>
      <c r="B215" s="66">
        <v>-2.8421709430404007E-14</v>
      </c>
      <c r="C215" s="66">
        <v>-4.4688222374849071E-17</v>
      </c>
      <c r="D215" s="71">
        <v>2</v>
      </c>
      <c r="E215" s="67">
        <v>0.33333333333333331</v>
      </c>
      <c r="F215" s="67">
        <v>0.33333333333333331</v>
      </c>
      <c r="G215" s="67">
        <v>0.29947328818660646</v>
      </c>
      <c r="H215" s="67">
        <v>0.16741911211437172</v>
      </c>
      <c r="I215" s="68">
        <v>8623.4296482412065</v>
      </c>
      <c r="J215" s="68">
        <v>-8251.0112359550567</v>
      </c>
      <c r="K215" s="67">
        <v>0.11477987421383648</v>
      </c>
      <c r="L215" s="67">
        <v>0.11477987421383648</v>
      </c>
      <c r="M215" s="67">
        <v>0.27878103837471785</v>
      </c>
      <c r="N215" s="67">
        <v>0.20974416854778027</v>
      </c>
      <c r="O215" s="67">
        <v>0.57962213225371118</v>
      </c>
      <c r="P215" s="67">
        <v>0.3937219730941704</v>
      </c>
      <c r="Q215" s="67">
        <v>0.43467336683417085</v>
      </c>
    </row>
    <row r="216" spans="1:17" x14ac:dyDescent="0.4">
      <c r="A216" s="69">
        <v>213</v>
      </c>
      <c r="B216" s="66">
        <v>-2.8421709430404007E-14</v>
      </c>
      <c r="C216" s="66">
        <v>-4.4478418513934285E-17</v>
      </c>
      <c r="D216" s="71">
        <v>2</v>
      </c>
      <c r="E216" s="67">
        <v>0.33333333333333331</v>
      </c>
      <c r="F216" s="67">
        <v>0.33333333333333331</v>
      </c>
      <c r="G216" s="67">
        <v>0.29958755155605549</v>
      </c>
      <c r="H216" s="67">
        <v>0.16797900262467191</v>
      </c>
      <c r="I216" s="68">
        <v>8638.6107634543187</v>
      </c>
      <c r="J216" s="68">
        <v>-8280.5803571428569</v>
      </c>
      <c r="K216" s="67">
        <v>0.11580594679186229</v>
      </c>
      <c r="L216" s="67">
        <v>0.11580594679186229</v>
      </c>
      <c r="M216" s="67">
        <v>0.27877765279340083</v>
      </c>
      <c r="N216" s="67">
        <v>0.20997375328083989</v>
      </c>
      <c r="O216" s="67">
        <v>0.58036314727639537</v>
      </c>
      <c r="P216" s="67">
        <v>0.39374999999999999</v>
      </c>
      <c r="Q216" s="67">
        <v>0.4330413016270338</v>
      </c>
    </row>
    <row r="217" spans="1:17" x14ac:dyDescent="0.4">
      <c r="A217" s="69">
        <v>214</v>
      </c>
      <c r="B217" s="66">
        <v>-2.4868995751603507E-14</v>
      </c>
      <c r="C217" s="66">
        <v>-3.8736753507170569E-17</v>
      </c>
      <c r="D217" s="71">
        <v>2</v>
      </c>
      <c r="E217" s="67">
        <v>0.33333333333333331</v>
      </c>
      <c r="F217" s="67">
        <v>0.33333333333333331</v>
      </c>
      <c r="G217" s="67">
        <v>0.29970104633781763</v>
      </c>
      <c r="H217" s="67">
        <v>0.16778774289985052</v>
      </c>
      <c r="I217" s="68">
        <v>8645.9476309226939</v>
      </c>
      <c r="J217" s="68">
        <v>-8295.1002227171484</v>
      </c>
      <c r="K217" s="67">
        <v>0.11682242990654206</v>
      </c>
      <c r="L217" s="67">
        <v>0.11682242990654206</v>
      </c>
      <c r="M217" s="67">
        <v>0.27933482810164423</v>
      </c>
      <c r="N217" s="67">
        <v>0.20964125560538116</v>
      </c>
      <c r="O217" s="67">
        <v>0.58060200668896322</v>
      </c>
      <c r="P217" s="67">
        <v>0.39393939393939392</v>
      </c>
      <c r="Q217" s="67">
        <v>0.43391521197007482</v>
      </c>
    </row>
    <row r="218" spans="1:17" x14ac:dyDescent="0.4">
      <c r="A218" s="69">
        <v>215</v>
      </c>
      <c r="B218" s="66">
        <v>-2.1316282072803006E-14</v>
      </c>
      <c r="C218" s="66">
        <v>-3.3048499337679078E-17</v>
      </c>
      <c r="D218" s="71">
        <v>2</v>
      </c>
      <c r="E218" s="67">
        <v>0.33333333333333331</v>
      </c>
      <c r="F218" s="67">
        <v>0.33333333333333331</v>
      </c>
      <c r="G218" s="67">
        <v>0.29970271274619098</v>
      </c>
      <c r="H218" s="67">
        <v>0.16833890746934224</v>
      </c>
      <c r="I218" s="68">
        <v>8635.4618722876621</v>
      </c>
      <c r="J218" s="68">
        <v>-8280.4635761589398</v>
      </c>
      <c r="K218" s="67">
        <v>0.11627906976744186</v>
      </c>
      <c r="L218" s="67">
        <v>0.11627906976744186</v>
      </c>
      <c r="M218" s="67">
        <v>0.28037904124860646</v>
      </c>
      <c r="N218" s="67">
        <v>0.20884429580081754</v>
      </c>
      <c r="O218" s="67">
        <v>0.57919151756129883</v>
      </c>
      <c r="P218" s="67">
        <v>0.39412811387900354</v>
      </c>
      <c r="Q218" s="67">
        <v>0.43211407315561068</v>
      </c>
    </row>
    <row r="219" spans="1:17" x14ac:dyDescent="0.4">
      <c r="A219" s="69">
        <v>216</v>
      </c>
      <c r="B219" s="66">
        <v>-2.1316282072803006E-14</v>
      </c>
      <c r="C219" s="66">
        <v>-3.2895497025930562E-17</v>
      </c>
      <c r="D219" s="71">
        <v>2</v>
      </c>
      <c r="E219" s="67">
        <v>0.33333333333333331</v>
      </c>
      <c r="F219" s="67">
        <v>0.33333333333333331</v>
      </c>
      <c r="G219" s="67">
        <v>0.29929707732149463</v>
      </c>
      <c r="H219" s="67">
        <v>0.1685164631890492</v>
      </c>
      <c r="I219" s="68">
        <v>8650.6180469715691</v>
      </c>
      <c r="J219" s="68">
        <v>-8309.3304061470917</v>
      </c>
      <c r="K219" s="67">
        <v>0.11574074074074074</v>
      </c>
      <c r="L219" s="67">
        <v>0.11574074074074074</v>
      </c>
      <c r="M219" s="67">
        <v>0.28042915279319275</v>
      </c>
      <c r="N219" s="67">
        <v>0.20828708842027377</v>
      </c>
      <c r="O219" s="67">
        <v>0.57849604221635886</v>
      </c>
      <c r="P219" s="67">
        <v>0.39431616341030196</v>
      </c>
      <c r="Q219" s="67">
        <v>0.43077873918417797</v>
      </c>
    </row>
    <row r="220" spans="1:17" x14ac:dyDescent="0.4">
      <c r="A220" s="69">
        <v>217</v>
      </c>
      <c r="B220" s="66">
        <v>-2.1316282072803006E-14</v>
      </c>
      <c r="C220" s="66">
        <v>-3.2743904873737336E-17</v>
      </c>
      <c r="D220" s="71">
        <v>2</v>
      </c>
      <c r="E220" s="67">
        <v>0.33333333333333331</v>
      </c>
      <c r="F220" s="67">
        <v>0.33333333333333331</v>
      </c>
      <c r="G220" s="67">
        <v>0.29922992299229922</v>
      </c>
      <c r="H220" s="67">
        <v>0.16813348001466813</v>
      </c>
      <c r="I220" s="68">
        <v>8627.6348039215682</v>
      </c>
      <c r="J220" s="68">
        <v>-8286.0414394765539</v>
      </c>
      <c r="K220" s="67">
        <v>0.1152073732718894</v>
      </c>
      <c r="L220" s="67">
        <v>0.1152073732718894</v>
      </c>
      <c r="M220" s="67">
        <v>0.28034470113678034</v>
      </c>
      <c r="N220" s="67">
        <v>0.20737073707370737</v>
      </c>
      <c r="O220" s="67">
        <v>0.57750163505559193</v>
      </c>
      <c r="P220" s="67">
        <v>0.39434129089301501</v>
      </c>
      <c r="Q220" s="67">
        <v>0.43198529411764708</v>
      </c>
    </row>
    <row r="221" spans="1:17" x14ac:dyDescent="0.4">
      <c r="A221" s="69">
        <v>218</v>
      </c>
      <c r="B221" s="66">
        <v>-1.4210854715202004E-14</v>
      </c>
      <c r="C221" s="66">
        <v>-2.1729135650155969E-17</v>
      </c>
      <c r="D221" s="71">
        <v>2</v>
      </c>
      <c r="E221" s="67">
        <v>0.33333333333333331</v>
      </c>
      <c r="F221" s="67">
        <v>0.33333333333333331</v>
      </c>
      <c r="G221" s="67">
        <v>0.29881278538812783</v>
      </c>
      <c r="H221" s="67">
        <v>0.16785388127853881</v>
      </c>
      <c r="I221" s="68">
        <v>8638.2640586797061</v>
      </c>
      <c r="J221" s="68">
        <v>-8280.9575625680081</v>
      </c>
      <c r="K221" s="67">
        <v>0.11620795107033639</v>
      </c>
      <c r="L221" s="67">
        <v>0.11620795107033639</v>
      </c>
      <c r="M221" s="67">
        <v>0.2798173515981735</v>
      </c>
      <c r="N221" s="67">
        <v>0.20767123287671233</v>
      </c>
      <c r="O221" s="67">
        <v>0.57702349869451697</v>
      </c>
      <c r="P221" s="67">
        <v>0.39313984168865435</v>
      </c>
      <c r="Q221" s="67">
        <v>0.43215158924205377</v>
      </c>
    </row>
    <row r="222" spans="1:17" x14ac:dyDescent="0.4">
      <c r="A222" s="69">
        <v>219</v>
      </c>
      <c r="B222" s="66">
        <v>-1.4210854715202004E-14</v>
      </c>
      <c r="C222" s="66">
        <v>-2.1629915852666671E-17</v>
      </c>
      <c r="D222" s="71">
        <v>2</v>
      </c>
      <c r="E222" s="67">
        <v>0.33333333333333331</v>
      </c>
      <c r="F222" s="67">
        <v>0.33333333333333331</v>
      </c>
      <c r="G222" s="67">
        <v>0.29888828139238199</v>
      </c>
      <c r="H222" s="67">
        <v>0.16785128485511208</v>
      </c>
      <c r="I222" s="68">
        <v>8643.9024390243903</v>
      </c>
      <c r="J222" s="68">
        <v>-8289.0336590662318</v>
      </c>
      <c r="K222" s="67">
        <v>0.11719939117199391</v>
      </c>
      <c r="L222" s="67">
        <v>0.11719939117199391</v>
      </c>
      <c r="M222" s="67">
        <v>0.27956989247311825</v>
      </c>
      <c r="N222" s="67">
        <v>0.20794605431018773</v>
      </c>
      <c r="O222" s="67">
        <v>0.57692307692307687</v>
      </c>
      <c r="P222" s="67">
        <v>0.39351446099912357</v>
      </c>
      <c r="Q222" s="67">
        <v>0.4323170731707317</v>
      </c>
    </row>
    <row r="223" spans="1:17" x14ac:dyDescent="0.4">
      <c r="A223" s="69">
        <v>220</v>
      </c>
      <c r="B223" s="66">
        <v>-1.4210854715202004E-14</v>
      </c>
      <c r="C223" s="66">
        <v>-2.1531598053336369E-17</v>
      </c>
      <c r="D223" s="71">
        <v>2</v>
      </c>
      <c r="E223" s="67">
        <v>0.33333333333333331</v>
      </c>
      <c r="F223" s="67">
        <v>0.33333333333333331</v>
      </c>
      <c r="G223" s="67">
        <v>0.29853181076672103</v>
      </c>
      <c r="H223" s="67">
        <v>0.16802610114192496</v>
      </c>
      <c r="I223" s="68">
        <v>8648.7553126897383</v>
      </c>
      <c r="J223" s="68">
        <v>-8289.8597626752962</v>
      </c>
      <c r="K223" s="67">
        <v>0.11666666666666667</v>
      </c>
      <c r="L223" s="67">
        <v>0.11666666666666667</v>
      </c>
      <c r="M223" s="67">
        <v>0.27949972811310497</v>
      </c>
      <c r="N223" s="67">
        <v>0.20790284574950155</v>
      </c>
      <c r="O223" s="67">
        <v>0.57652399481193251</v>
      </c>
      <c r="P223" s="67">
        <v>0.39319965126416739</v>
      </c>
      <c r="Q223" s="67">
        <v>0.43108682452944747</v>
      </c>
    </row>
    <row r="224" spans="1:17" x14ac:dyDescent="0.4">
      <c r="A224" s="69">
        <v>221</v>
      </c>
      <c r="B224" s="66">
        <v>-1.4210854715202004E-14</v>
      </c>
      <c r="C224" s="66">
        <v>-2.143417000784616E-17</v>
      </c>
      <c r="D224" s="71">
        <v>2</v>
      </c>
      <c r="E224" s="67">
        <v>0.33333333333333331</v>
      </c>
      <c r="F224" s="67">
        <v>0.33333333333333331</v>
      </c>
      <c r="G224" s="67">
        <v>0.29850207543764662</v>
      </c>
      <c r="H224" s="67">
        <v>0.16802021295794983</v>
      </c>
      <c r="I224" s="68">
        <v>8644.256348246674</v>
      </c>
      <c r="J224" s="68">
        <v>-8281.2030075187977</v>
      </c>
      <c r="K224" s="67">
        <v>0.11764705882352941</v>
      </c>
      <c r="L224" s="67">
        <v>0.11764705882352941</v>
      </c>
      <c r="M224" s="67">
        <v>0.27937195452084462</v>
      </c>
      <c r="N224" s="67">
        <v>0.20736329182458041</v>
      </c>
      <c r="O224" s="67">
        <v>0.57816537467700257</v>
      </c>
      <c r="P224" s="67">
        <v>0.39251523063533506</v>
      </c>
      <c r="Q224" s="67">
        <v>0.43107617896009676</v>
      </c>
    </row>
    <row r="225" spans="1:17" x14ac:dyDescent="0.4">
      <c r="A225" s="69">
        <v>222</v>
      </c>
      <c r="B225" s="66">
        <v>-7.1054273576010019E-15</v>
      </c>
      <c r="C225" s="66">
        <v>-1.066880984624775E-17</v>
      </c>
      <c r="D225" s="71">
        <v>2</v>
      </c>
      <c r="E225" s="67">
        <v>0.33333333333333331</v>
      </c>
      <c r="F225" s="67">
        <v>0.33333333333333331</v>
      </c>
      <c r="G225" s="67">
        <v>0.29863358504135201</v>
      </c>
      <c r="H225" s="67">
        <v>0.16792520676015821</v>
      </c>
      <c r="I225" s="68">
        <v>8631.246237206502</v>
      </c>
      <c r="J225" s="68">
        <v>-8268.0942184154173</v>
      </c>
      <c r="K225" s="67">
        <v>0.11711711711711711</v>
      </c>
      <c r="L225" s="67">
        <v>0.11711711711711711</v>
      </c>
      <c r="M225" s="67">
        <v>0.27957569219705142</v>
      </c>
      <c r="N225" s="67">
        <v>0.20693994965839627</v>
      </c>
      <c r="O225" s="67">
        <v>0.5787781350482315</v>
      </c>
      <c r="P225" s="67">
        <v>0.39183318853171156</v>
      </c>
      <c r="Q225" s="67">
        <v>0.43166767007826612</v>
      </c>
    </row>
    <row r="226" spans="1:17" x14ac:dyDescent="0.4">
      <c r="A226" s="69">
        <v>223</v>
      </c>
      <c r="B226" s="66">
        <v>-7.1054273576010019E-15</v>
      </c>
      <c r="C226" s="66">
        <v>-1.0620967649627806E-17</v>
      </c>
      <c r="D226" s="71">
        <v>2</v>
      </c>
      <c r="E226" s="67">
        <v>0.33333333333333331</v>
      </c>
      <c r="F226" s="67">
        <v>0.33333333333333331</v>
      </c>
      <c r="G226" s="67">
        <v>0.29860365198711064</v>
      </c>
      <c r="H226" s="67">
        <v>0.16774078052273542</v>
      </c>
      <c r="I226" s="68">
        <v>8624.5803357314144</v>
      </c>
      <c r="J226" s="68">
        <v>-8266.2753468516548</v>
      </c>
      <c r="K226" s="67">
        <v>0.11808669656203288</v>
      </c>
      <c r="L226" s="67">
        <v>0.11808669656203288</v>
      </c>
      <c r="M226" s="67">
        <v>0.27980665950590761</v>
      </c>
      <c r="N226" s="67">
        <v>0.20658789831722163</v>
      </c>
      <c r="O226" s="67">
        <v>0.57837492002559177</v>
      </c>
      <c r="P226" s="67">
        <v>0.39254766031195842</v>
      </c>
      <c r="Q226" s="67">
        <v>0.43225419664268583</v>
      </c>
    </row>
    <row r="227" spans="1:17" x14ac:dyDescent="0.4">
      <c r="A227" s="69">
        <v>224</v>
      </c>
      <c r="B227" s="66">
        <v>-7.1054273576010019E-15</v>
      </c>
      <c r="C227" s="66">
        <v>-1.0573552615477681E-17</v>
      </c>
      <c r="D227" s="71">
        <v>2</v>
      </c>
      <c r="E227" s="67">
        <v>0.33333333333333331</v>
      </c>
      <c r="F227" s="67">
        <v>0.33333333333333331</v>
      </c>
      <c r="G227" s="67">
        <v>0.29841439515410656</v>
      </c>
      <c r="H227" s="67">
        <v>0.16764653482985925</v>
      </c>
      <c r="I227" s="68">
        <v>8635.6417910447763</v>
      </c>
      <c r="J227" s="68">
        <v>-8276.7268862911787</v>
      </c>
      <c r="K227" s="67">
        <v>0.11904761904761904</v>
      </c>
      <c r="L227" s="67">
        <v>0.11904761904761904</v>
      </c>
      <c r="M227" s="67">
        <v>0.28006413682522713</v>
      </c>
      <c r="N227" s="67">
        <v>0.20630678781400322</v>
      </c>
      <c r="O227" s="67">
        <v>0.57697201017811706</v>
      </c>
      <c r="P227" s="67">
        <v>0.39291882556131263</v>
      </c>
      <c r="Q227" s="67">
        <v>0.43223880597014924</v>
      </c>
    </row>
    <row r="228" spans="1:17" x14ac:dyDescent="0.4">
      <c r="A228" s="69">
        <v>225</v>
      </c>
      <c r="B228" s="66">
        <v>-7.1054273576010019E-15</v>
      </c>
      <c r="C228" s="66">
        <v>-1.052655904829778E-17</v>
      </c>
      <c r="D228" s="71">
        <v>2</v>
      </c>
      <c r="E228" s="67">
        <v>0.33333333333333331</v>
      </c>
      <c r="F228" s="67">
        <v>0.33333333333333331</v>
      </c>
      <c r="G228" s="67">
        <v>0.29836705715299966</v>
      </c>
      <c r="H228" s="67">
        <v>0.16737664181753639</v>
      </c>
      <c r="I228" s="68">
        <v>8634.6222486615115</v>
      </c>
      <c r="J228" s="68">
        <v>-8268.0805938494159</v>
      </c>
      <c r="K228" s="67">
        <v>0.11851851851851852</v>
      </c>
      <c r="L228" s="67">
        <v>0.11851851851851852</v>
      </c>
      <c r="M228" s="67">
        <v>0.28026269080582178</v>
      </c>
      <c r="N228" s="67">
        <v>0.20624778132765353</v>
      </c>
      <c r="O228" s="67">
        <v>0.57631412286257122</v>
      </c>
      <c r="P228" s="67">
        <v>0.39328743545611017</v>
      </c>
      <c r="Q228" s="67">
        <v>0.43307555026769778</v>
      </c>
    </row>
    <row r="229" spans="1:17" x14ac:dyDescent="0.4">
      <c r="A229" s="69">
        <v>226</v>
      </c>
      <c r="B229" s="66">
        <v>-1.4210854715202004E-14</v>
      </c>
      <c r="C229" s="66">
        <v>-2.0959962706787616E-17</v>
      </c>
      <c r="D229" s="71">
        <v>2</v>
      </c>
      <c r="E229" s="67">
        <v>0.33333333333333331</v>
      </c>
      <c r="F229" s="67">
        <v>0.33333333333333331</v>
      </c>
      <c r="G229" s="67">
        <v>0.29832007073386385</v>
      </c>
      <c r="H229" s="67">
        <v>0.16746242263483643</v>
      </c>
      <c r="I229" s="68">
        <v>8639.7154712507418</v>
      </c>
      <c r="J229" s="68">
        <v>-8274.4456177402317</v>
      </c>
      <c r="K229" s="67">
        <v>0.11946902654867257</v>
      </c>
      <c r="L229" s="67">
        <v>0.11946902654867257</v>
      </c>
      <c r="M229" s="67">
        <v>0.28028293545534927</v>
      </c>
      <c r="N229" s="67">
        <v>0.20636604774535808</v>
      </c>
      <c r="O229" s="67">
        <v>0.57602523659305993</v>
      </c>
      <c r="P229" s="67">
        <v>0.3916023993144816</v>
      </c>
      <c r="Q229" s="67">
        <v>0.43272080616478958</v>
      </c>
    </row>
    <row r="230" spans="1:17" x14ac:dyDescent="0.4">
      <c r="A230" s="69">
        <v>227</v>
      </c>
      <c r="B230" s="66">
        <v>-1.4210854715202004E-14</v>
      </c>
      <c r="C230" s="66">
        <v>-2.086762806931278E-17</v>
      </c>
      <c r="D230" s="71">
        <v>2</v>
      </c>
      <c r="E230" s="67">
        <v>0.33333333333333331</v>
      </c>
      <c r="F230" s="67">
        <v>0.33333333333333331</v>
      </c>
      <c r="G230" s="67">
        <v>0.29860743874493212</v>
      </c>
      <c r="H230" s="67">
        <v>0.16781244491450731</v>
      </c>
      <c r="I230" s="68">
        <v>8652.4203069657615</v>
      </c>
      <c r="J230" s="68">
        <v>-8310.8193277310929</v>
      </c>
      <c r="K230" s="67">
        <v>0.12041116005873716</v>
      </c>
      <c r="L230" s="67">
        <v>0.12041116005873716</v>
      </c>
      <c r="M230" s="67">
        <v>0.28027498677948176</v>
      </c>
      <c r="N230" s="67">
        <v>0.20676890534108938</v>
      </c>
      <c r="O230" s="67">
        <v>0.57735849056603772</v>
      </c>
      <c r="P230" s="67">
        <v>0.39130434782608697</v>
      </c>
      <c r="Q230" s="67">
        <v>0.43152302243211332</v>
      </c>
    </row>
    <row r="231" spans="1:17" x14ac:dyDescent="0.4">
      <c r="A231" s="69">
        <v>228</v>
      </c>
      <c r="B231" s="66">
        <v>-1.4210854715202004E-14</v>
      </c>
      <c r="C231" s="66">
        <v>-2.077610338479825E-17</v>
      </c>
      <c r="D231" s="71">
        <v>2</v>
      </c>
      <c r="E231" s="67">
        <v>0.33333333333333331</v>
      </c>
      <c r="F231" s="67">
        <v>0.33333333333333331</v>
      </c>
      <c r="G231" s="67">
        <v>0.29861476415921445</v>
      </c>
      <c r="H231" s="67">
        <v>0.16780641767490795</v>
      </c>
      <c r="I231" s="68">
        <v>8664.8267762771575</v>
      </c>
      <c r="J231" s="68">
        <v>-8312.2257053291542</v>
      </c>
      <c r="K231" s="67">
        <v>0.12134502923976608</v>
      </c>
      <c r="L231" s="67">
        <v>0.12134502923976608</v>
      </c>
      <c r="M231" s="67">
        <v>0.28002805540943365</v>
      </c>
      <c r="N231" s="67">
        <v>0.20673329826407155</v>
      </c>
      <c r="O231" s="67">
        <v>0.577958672510958</v>
      </c>
      <c r="P231" s="67">
        <v>0.39185750636132316</v>
      </c>
      <c r="Q231" s="67">
        <v>0.43159130945390489</v>
      </c>
    </row>
    <row r="232" spans="1:17" x14ac:dyDescent="0.4">
      <c r="A232" s="69">
        <v>229</v>
      </c>
      <c r="B232" s="66">
        <v>-7.1054273576010019E-15</v>
      </c>
      <c r="C232" s="66">
        <v>-1.0342689021253278E-17</v>
      </c>
      <c r="D232" s="71">
        <v>2</v>
      </c>
      <c r="E232" s="67">
        <v>0.33333333333333331</v>
      </c>
      <c r="F232" s="67">
        <v>0.33333333333333331</v>
      </c>
      <c r="G232" s="67">
        <v>0.29874213836477986</v>
      </c>
      <c r="H232" s="67">
        <v>0.16788958770090845</v>
      </c>
      <c r="I232" s="68">
        <v>8677.5438596491222</v>
      </c>
      <c r="J232" s="68">
        <v>-8317.5858480749212</v>
      </c>
      <c r="K232" s="67">
        <v>0.12081513828238719</v>
      </c>
      <c r="L232" s="67">
        <v>0.12081513828238719</v>
      </c>
      <c r="M232" s="67">
        <v>0.27969951083158628</v>
      </c>
      <c r="N232" s="67">
        <v>0.20649895178197064</v>
      </c>
      <c r="O232" s="67">
        <v>0.57901311680199874</v>
      </c>
      <c r="P232" s="67">
        <v>0.39086294416243655</v>
      </c>
      <c r="Q232" s="67">
        <v>0.43157894736842106</v>
      </c>
    </row>
    <row r="233" spans="1:17" x14ac:dyDescent="0.4">
      <c r="A233" s="69">
        <v>230</v>
      </c>
      <c r="B233" s="66">
        <v>0</v>
      </c>
      <c r="C233" s="66">
        <v>0</v>
      </c>
      <c r="D233" s="71">
        <v>2</v>
      </c>
      <c r="E233" s="67">
        <v>0.33333333333333331</v>
      </c>
      <c r="F233" s="67">
        <v>0.33333333333333331</v>
      </c>
      <c r="G233" s="67">
        <v>0.29864016736401672</v>
      </c>
      <c r="H233" s="67">
        <v>0.16771269177126918</v>
      </c>
      <c r="I233" s="68">
        <v>8706.4798598949219</v>
      </c>
      <c r="J233" s="68">
        <v>-8318.9189189189183</v>
      </c>
      <c r="K233" s="67">
        <v>0.12173913043478261</v>
      </c>
      <c r="L233" s="67">
        <v>0.12173913043478261</v>
      </c>
      <c r="M233" s="67">
        <v>0.27946304044630405</v>
      </c>
      <c r="N233" s="67">
        <v>0.20641562064156208</v>
      </c>
      <c r="O233" s="67">
        <v>0.57829070492825951</v>
      </c>
      <c r="P233" s="67">
        <v>0.39104729729729731</v>
      </c>
      <c r="Q233" s="67">
        <v>0.4319906596614127</v>
      </c>
    </row>
    <row r="234" spans="1:17" x14ac:dyDescent="0.4">
      <c r="A234" s="69">
        <v>231</v>
      </c>
      <c r="B234" s="66">
        <v>-1.4210854715202004E-14</v>
      </c>
      <c r="C234" s="66">
        <v>-2.0506283860320352E-17</v>
      </c>
      <c r="D234" s="71">
        <v>2</v>
      </c>
      <c r="E234" s="67">
        <v>0.33333333333333331</v>
      </c>
      <c r="F234" s="67">
        <v>0.33333333333333331</v>
      </c>
      <c r="G234" s="67">
        <v>0.29864724245577523</v>
      </c>
      <c r="H234" s="67">
        <v>0.1678806798473812</v>
      </c>
      <c r="I234" s="68">
        <v>8699.4192799070843</v>
      </c>
      <c r="J234" s="68">
        <v>-8302.9958677685954</v>
      </c>
      <c r="K234" s="67">
        <v>0.12121212121212122</v>
      </c>
      <c r="L234" s="67">
        <v>0.12121212121212122</v>
      </c>
      <c r="M234" s="67">
        <v>0.27852930974679152</v>
      </c>
      <c r="N234" s="67">
        <v>0.20742282344779744</v>
      </c>
      <c r="O234" s="67">
        <v>0.57845579078455789</v>
      </c>
      <c r="P234" s="67">
        <v>0.39214046822742477</v>
      </c>
      <c r="Q234" s="67">
        <v>0.43147502903600465</v>
      </c>
    </row>
    <row r="235" spans="1:17" x14ac:dyDescent="0.4">
      <c r="A235" s="69">
        <v>232</v>
      </c>
      <c r="B235" s="66">
        <v>-7.1054273576010019E-15</v>
      </c>
      <c r="C235" s="66">
        <v>-1.0208947352875003E-17</v>
      </c>
      <c r="D235" s="71">
        <v>2</v>
      </c>
      <c r="E235" s="67">
        <v>0.33333333333333331</v>
      </c>
      <c r="F235" s="67">
        <v>0.33333333333333331</v>
      </c>
      <c r="G235" s="67">
        <v>0.2986003110419907</v>
      </c>
      <c r="H235" s="67">
        <v>0.16778987385519267</v>
      </c>
      <c r="I235" s="68">
        <v>8686.3425925925931</v>
      </c>
      <c r="J235" s="68">
        <v>-8290.0102986611746</v>
      </c>
      <c r="K235" s="67">
        <v>0.1206896551724138</v>
      </c>
      <c r="L235" s="67">
        <v>0.1206896551724138</v>
      </c>
      <c r="M235" s="67">
        <v>0.27820978054259549</v>
      </c>
      <c r="N235" s="67">
        <v>0.20787973043027475</v>
      </c>
      <c r="O235" s="67">
        <v>0.57826086956521738</v>
      </c>
      <c r="P235" s="67">
        <v>0.39235245220282627</v>
      </c>
      <c r="Q235" s="67">
        <v>0.43171296296296297</v>
      </c>
    </row>
    <row r="236" spans="1:17" x14ac:dyDescent="0.4">
      <c r="A236" s="69">
        <v>233</v>
      </c>
      <c r="B236" s="66">
        <v>0</v>
      </c>
      <c r="C236" s="66">
        <v>0</v>
      </c>
      <c r="D236" s="71">
        <v>2</v>
      </c>
      <c r="E236" s="67">
        <v>0.33333333333333331</v>
      </c>
      <c r="F236" s="67">
        <v>0.33333333333333331</v>
      </c>
      <c r="G236" s="67">
        <v>0.29857167441060056</v>
      </c>
      <c r="H236" s="67">
        <v>0.16812940974014801</v>
      </c>
      <c r="I236" s="68">
        <v>8681.6714697406333</v>
      </c>
      <c r="J236" s="68">
        <v>-8280.757420675538</v>
      </c>
      <c r="K236" s="67">
        <v>0.12160228898426323</v>
      </c>
      <c r="L236" s="67">
        <v>0.12160228898426323</v>
      </c>
      <c r="M236" s="67">
        <v>0.27843744622268113</v>
      </c>
      <c r="N236" s="67">
        <v>0.20770951643434865</v>
      </c>
      <c r="O236" s="67">
        <v>0.57972805933250926</v>
      </c>
      <c r="P236" s="67">
        <v>0.39105219552609777</v>
      </c>
      <c r="Q236" s="67">
        <v>0.43054755043227666</v>
      </c>
    </row>
    <row r="237" spans="1:17" x14ac:dyDescent="0.4">
      <c r="A237" s="69">
        <v>234</v>
      </c>
      <c r="B237" s="66">
        <v>0</v>
      </c>
      <c r="C237" s="66">
        <v>0</v>
      </c>
      <c r="D237" s="71">
        <v>2</v>
      </c>
      <c r="E237" s="67">
        <v>0.33333333333333331</v>
      </c>
      <c r="F237" s="67">
        <v>0.33333333333333331</v>
      </c>
      <c r="G237" s="67">
        <v>0.2983718937446444</v>
      </c>
      <c r="H237" s="67">
        <v>0.16795201371036847</v>
      </c>
      <c r="I237" s="68">
        <v>8703.4462952326248</v>
      </c>
      <c r="J237" s="68">
        <v>-8277.8571428571431</v>
      </c>
      <c r="K237" s="67">
        <v>0.12250712250712251</v>
      </c>
      <c r="L237" s="67">
        <v>0.12250712250712251</v>
      </c>
      <c r="M237" s="67">
        <v>0.27900599828620393</v>
      </c>
      <c r="N237" s="67">
        <v>0.20754070265638389</v>
      </c>
      <c r="O237" s="67">
        <v>0.57923832923832919</v>
      </c>
      <c r="P237" s="67">
        <v>0.39058629232039638</v>
      </c>
      <c r="Q237" s="67">
        <v>0.43078690407811604</v>
      </c>
    </row>
    <row r="238" spans="1:17" x14ac:dyDescent="0.4">
      <c r="A238" s="69">
        <v>235</v>
      </c>
      <c r="B238" s="66">
        <v>2.886579864025407E-15</v>
      </c>
      <c r="C238" s="66">
        <v>4.0944395234402934E-18</v>
      </c>
      <c r="D238" s="71">
        <v>2</v>
      </c>
      <c r="E238" s="67">
        <v>0.33333333333333331</v>
      </c>
      <c r="F238" s="67">
        <v>0.33333333333333331</v>
      </c>
      <c r="G238" s="67">
        <v>0.29845159094776247</v>
      </c>
      <c r="H238" s="67">
        <v>0.16760251829164541</v>
      </c>
      <c r="I238" s="68">
        <v>8709.7491448118581</v>
      </c>
      <c r="J238" s="68">
        <v>-8279.796954314721</v>
      </c>
      <c r="K238" s="67">
        <v>0.12198581560283688</v>
      </c>
      <c r="L238" s="67">
        <v>0.12198581560283688</v>
      </c>
      <c r="M238" s="67">
        <v>0.27837331972094609</v>
      </c>
      <c r="N238" s="67">
        <v>0.20792921558618344</v>
      </c>
      <c r="O238" s="67">
        <v>0.5794621026894865</v>
      </c>
      <c r="P238" s="67">
        <v>0.39034369885433717</v>
      </c>
      <c r="Q238" s="67">
        <v>0.4321550741163056</v>
      </c>
    </row>
    <row r="239" spans="1:17" x14ac:dyDescent="0.4">
      <c r="A239" s="69">
        <v>236</v>
      </c>
      <c r="B239" s="66">
        <v>0</v>
      </c>
      <c r="C239" s="66">
        <v>0</v>
      </c>
      <c r="D239" s="71">
        <v>2</v>
      </c>
      <c r="E239" s="67">
        <v>0.33333333333333331</v>
      </c>
      <c r="F239" s="67">
        <v>0.33333333333333331</v>
      </c>
      <c r="G239" s="67">
        <v>0.29862874555611985</v>
      </c>
      <c r="H239" s="67">
        <v>0.16759776536312848</v>
      </c>
      <c r="I239" s="68">
        <v>8702.7210884353735</v>
      </c>
      <c r="J239" s="68">
        <v>-8257.1717171717173</v>
      </c>
      <c r="K239" s="67">
        <v>0.12146892655367232</v>
      </c>
      <c r="L239" s="67">
        <v>0.12146892655367232</v>
      </c>
      <c r="M239" s="67">
        <v>0.27865244625021163</v>
      </c>
      <c r="N239" s="67">
        <v>0.20755036397494497</v>
      </c>
      <c r="O239" s="67">
        <v>0.58019441069258815</v>
      </c>
      <c r="P239" s="67">
        <v>0.39151712887438828</v>
      </c>
      <c r="Q239" s="67">
        <v>0.43253968253968256</v>
      </c>
    </row>
    <row r="240" spans="1:17" x14ac:dyDescent="0.4">
      <c r="A240" s="69">
        <v>237</v>
      </c>
      <c r="B240" s="66">
        <v>0</v>
      </c>
      <c r="C240" s="66">
        <v>0</v>
      </c>
      <c r="D240" s="71">
        <v>2</v>
      </c>
      <c r="E240" s="67">
        <v>0.33333333333333331</v>
      </c>
      <c r="F240" s="67">
        <v>0.33333333333333331</v>
      </c>
      <c r="G240" s="67">
        <v>0.29895517357600271</v>
      </c>
      <c r="H240" s="67">
        <v>0.16784630940343781</v>
      </c>
      <c r="I240" s="68">
        <v>8711.8940248027066</v>
      </c>
      <c r="J240" s="68">
        <v>-8252.9116465863463</v>
      </c>
      <c r="K240" s="67">
        <v>0.1209563994374121</v>
      </c>
      <c r="L240" s="67">
        <v>0.1209563994374121</v>
      </c>
      <c r="M240" s="67">
        <v>0.27839568587799124</v>
      </c>
      <c r="N240" s="67">
        <v>0.20812268284462421</v>
      </c>
      <c r="O240" s="67">
        <v>0.57990314769975781</v>
      </c>
      <c r="P240" s="67">
        <v>0.39190283400809717</v>
      </c>
      <c r="Q240" s="67">
        <v>0.43179255918827508</v>
      </c>
    </row>
    <row r="241" spans="1:17" x14ac:dyDescent="0.4">
      <c r="A241" s="69">
        <v>238</v>
      </c>
      <c r="B241" s="66">
        <v>0</v>
      </c>
      <c r="C241" s="66">
        <v>0</v>
      </c>
      <c r="D241" s="71">
        <v>2</v>
      </c>
      <c r="E241" s="67">
        <v>0.33333333333333331</v>
      </c>
      <c r="F241" s="67">
        <v>0.33333333333333331</v>
      </c>
      <c r="G241" s="67">
        <v>0.29905913978494625</v>
      </c>
      <c r="H241" s="67">
        <v>0.16767473118279569</v>
      </c>
      <c r="I241" s="68">
        <v>8705.4494382022476</v>
      </c>
      <c r="J241" s="68">
        <v>-8248.2965931863728</v>
      </c>
      <c r="K241" s="67">
        <v>0.12044817927170869</v>
      </c>
      <c r="L241" s="67">
        <v>0.12044817927170869</v>
      </c>
      <c r="M241" s="67">
        <v>0.27772177419354838</v>
      </c>
      <c r="N241" s="67">
        <v>0.2085013440860215</v>
      </c>
      <c r="O241" s="67">
        <v>0.58015728977616454</v>
      </c>
      <c r="P241" s="67">
        <v>0.39242546333601935</v>
      </c>
      <c r="Q241" s="67">
        <v>0.43258426966292135</v>
      </c>
    </row>
    <row r="242" spans="1:17" x14ac:dyDescent="0.4">
      <c r="A242" s="69">
        <v>239</v>
      </c>
      <c r="B242" s="66">
        <v>0</v>
      </c>
      <c r="C242" s="66">
        <v>0</v>
      </c>
      <c r="D242" s="71">
        <v>2</v>
      </c>
      <c r="E242" s="67">
        <v>0.33333333333333331</v>
      </c>
      <c r="F242" s="67">
        <v>0.33333333333333331</v>
      </c>
      <c r="G242" s="67">
        <v>0.29901222166415536</v>
      </c>
      <c r="H242" s="67">
        <v>0.16775489703666499</v>
      </c>
      <c r="I242" s="68">
        <v>8698.4882418812995</v>
      </c>
      <c r="J242" s="68">
        <v>-8235.5289421157686</v>
      </c>
      <c r="K242" s="67">
        <v>0.12133891213389121</v>
      </c>
      <c r="L242" s="67">
        <v>0.12133891213389121</v>
      </c>
      <c r="M242" s="67">
        <v>0.27758245437803447</v>
      </c>
      <c r="N242" s="67">
        <v>0.20860539092583291</v>
      </c>
      <c r="O242" s="67">
        <v>0.58021712907117007</v>
      </c>
      <c r="P242" s="67">
        <v>0.39325842696629215</v>
      </c>
      <c r="Q242" s="67">
        <v>0.43225083986562152</v>
      </c>
    </row>
    <row r="243" spans="1:17" x14ac:dyDescent="0.4">
      <c r="A243" s="69">
        <v>240</v>
      </c>
      <c r="B243" s="66">
        <v>0</v>
      </c>
      <c r="C243" s="66">
        <v>0</v>
      </c>
      <c r="D243" s="71">
        <v>2</v>
      </c>
      <c r="E243" s="67">
        <v>0.33333333333333331</v>
      </c>
      <c r="F243" s="67">
        <v>0.33333333333333331</v>
      </c>
      <c r="G243" s="67">
        <v>0.29906385824139081</v>
      </c>
      <c r="H243" s="67">
        <v>0.16783684386492811</v>
      </c>
      <c r="I243" s="68">
        <v>8717.4399105645607</v>
      </c>
      <c r="J243" s="68">
        <v>-8254.9800796812742</v>
      </c>
      <c r="K243" s="67">
        <v>0.12222222222222222</v>
      </c>
      <c r="L243" s="67">
        <v>0.12222222222222222</v>
      </c>
      <c r="M243" s="67">
        <v>0.27766633233032428</v>
      </c>
      <c r="N243" s="67">
        <v>0.2087930458040789</v>
      </c>
      <c r="O243" s="67">
        <v>0.5809753160746538</v>
      </c>
      <c r="P243" s="67">
        <v>0.3923138510808647</v>
      </c>
      <c r="Q243" s="67">
        <v>0.43208496366685301</v>
      </c>
    </row>
    <row r="244" spans="1:17" x14ac:dyDescent="0.4">
      <c r="A244" s="69">
        <v>241</v>
      </c>
      <c r="B244" s="66">
        <v>4.4408920985006262E-15</v>
      </c>
      <c r="C244" s="66">
        <v>6.14231272268413E-18</v>
      </c>
      <c r="D244" s="71">
        <v>2</v>
      </c>
      <c r="E244" s="67">
        <v>0.33333333333333331</v>
      </c>
      <c r="F244" s="67">
        <v>0.33333333333333331</v>
      </c>
      <c r="G244" s="67">
        <v>0.29895366218236175</v>
      </c>
      <c r="H244" s="67">
        <v>0.16724796545424347</v>
      </c>
      <c r="I244" s="68">
        <v>8714.9444444444453</v>
      </c>
      <c r="J244" s="68">
        <v>-8247.4677259185701</v>
      </c>
      <c r="K244" s="67">
        <v>0.12171507607192254</v>
      </c>
      <c r="L244" s="67">
        <v>0.12171507607192254</v>
      </c>
      <c r="M244" s="67">
        <v>0.27736256435808004</v>
      </c>
      <c r="N244" s="67">
        <v>0.20926756352765322</v>
      </c>
      <c r="O244" s="67">
        <v>0.57964071856287425</v>
      </c>
      <c r="P244" s="67">
        <v>0.39523809523809522</v>
      </c>
      <c r="Q244" s="67">
        <v>0.43388888888888888</v>
      </c>
    </row>
    <row r="245" spans="1:17" x14ac:dyDescent="0.4">
      <c r="A245" s="69">
        <v>242</v>
      </c>
      <c r="B245" s="66">
        <v>7.1054273576010019E-15</v>
      </c>
      <c r="C245" s="66">
        <v>9.7870900242438045E-18</v>
      </c>
      <c r="D245" s="71">
        <v>2</v>
      </c>
      <c r="E245" s="67">
        <v>0.33333333333333331</v>
      </c>
      <c r="F245" s="67">
        <v>0.33333333333333331</v>
      </c>
      <c r="G245" s="67">
        <v>0.29875930521091809</v>
      </c>
      <c r="H245" s="67">
        <v>0.16674937965260547</v>
      </c>
      <c r="I245" s="68">
        <v>8717.8294573643416</v>
      </c>
      <c r="J245" s="68">
        <v>-8245.039682539682</v>
      </c>
      <c r="K245" s="67">
        <v>0.12121212121212122</v>
      </c>
      <c r="L245" s="67">
        <v>0.12121212121212122</v>
      </c>
      <c r="M245" s="67">
        <v>0.27791563275434245</v>
      </c>
      <c r="N245" s="67">
        <v>0.20942928039702233</v>
      </c>
      <c r="O245" s="67">
        <v>0.57857142857142863</v>
      </c>
      <c r="P245" s="67">
        <v>0.39415481832543442</v>
      </c>
      <c r="Q245" s="67">
        <v>0.43521594684385384</v>
      </c>
    </row>
    <row r="246" spans="1:17" x14ac:dyDescent="0.4">
      <c r="A246" s="69">
        <v>243</v>
      </c>
      <c r="B246" s="66">
        <v>0</v>
      </c>
      <c r="C246" s="66">
        <v>0</v>
      </c>
      <c r="D246" s="71">
        <v>2</v>
      </c>
      <c r="E246" s="67">
        <v>0.33333333333333331</v>
      </c>
      <c r="F246" s="67">
        <v>0.33333333333333331</v>
      </c>
      <c r="G246" s="67">
        <v>0.29891304347826086</v>
      </c>
      <c r="H246" s="67">
        <v>0.16650197628458499</v>
      </c>
      <c r="I246" s="68">
        <v>8729.8622589531678</v>
      </c>
      <c r="J246" s="68">
        <v>-8258.1602373887235</v>
      </c>
      <c r="K246" s="67">
        <v>0.12208504801097393</v>
      </c>
      <c r="L246" s="67">
        <v>0.12208504801097393</v>
      </c>
      <c r="M246" s="67">
        <v>0.27799736495388672</v>
      </c>
      <c r="N246" s="67">
        <v>0.20965085638998682</v>
      </c>
      <c r="O246" s="67">
        <v>0.5781990521327014</v>
      </c>
      <c r="P246" s="67">
        <v>0.39512961508248234</v>
      </c>
      <c r="Q246" s="67">
        <v>0.43636363636363634</v>
      </c>
    </row>
    <row r="247" spans="1:17" x14ac:dyDescent="0.4">
      <c r="A247" s="69">
        <v>244</v>
      </c>
      <c r="B247" s="66">
        <v>3.5527136788005009E-15</v>
      </c>
      <c r="C247" s="66">
        <v>4.8534339874323783E-18</v>
      </c>
      <c r="D247" s="71">
        <v>2</v>
      </c>
      <c r="E247" s="67">
        <v>0.33333333333333331</v>
      </c>
      <c r="F247" s="67">
        <v>0.33333333333333331</v>
      </c>
      <c r="G247" s="67">
        <v>0.29886755292959133</v>
      </c>
      <c r="H247" s="67">
        <v>0.16674872804858035</v>
      </c>
      <c r="I247" s="68">
        <v>8727.5123558484356</v>
      </c>
      <c r="J247" s="68">
        <v>-8256.9881889763783</v>
      </c>
      <c r="K247" s="67">
        <v>0.12158469945355191</v>
      </c>
      <c r="L247" s="67">
        <v>0.12158469945355191</v>
      </c>
      <c r="M247" s="67">
        <v>0.2776957163958641</v>
      </c>
      <c r="N247" s="67">
        <v>0.21024126046282621</v>
      </c>
      <c r="O247" s="67">
        <v>0.57742316784869974</v>
      </c>
      <c r="P247" s="67">
        <v>0.39500390320062451</v>
      </c>
      <c r="Q247" s="67">
        <v>0.43547501372872049</v>
      </c>
    </row>
    <row r="248" spans="1:17" x14ac:dyDescent="0.4">
      <c r="A248" s="69">
        <v>245</v>
      </c>
      <c r="B248" s="66">
        <v>1.4210854715202004E-14</v>
      </c>
      <c r="C248" s="66">
        <v>1.9334496211159187E-17</v>
      </c>
      <c r="D248" s="71">
        <v>2</v>
      </c>
      <c r="E248" s="67">
        <v>0.33333333333333331</v>
      </c>
      <c r="F248" s="67">
        <v>0.33333333333333331</v>
      </c>
      <c r="G248" s="67">
        <v>0.29865881583251552</v>
      </c>
      <c r="H248" s="67">
        <v>0.16683022571148184</v>
      </c>
      <c r="I248" s="68">
        <v>8732.2562979189479</v>
      </c>
      <c r="J248" s="68">
        <v>-8268.3333333333339</v>
      </c>
      <c r="K248" s="67">
        <v>0.12244897959183673</v>
      </c>
      <c r="L248" s="67">
        <v>0.12244897959183673</v>
      </c>
      <c r="M248" s="67">
        <v>0.2778868171409879</v>
      </c>
      <c r="N248" s="67">
        <v>0.20984625449787372</v>
      </c>
      <c r="O248" s="67">
        <v>0.57680988816951151</v>
      </c>
      <c r="P248" s="67">
        <v>0.39516757599376462</v>
      </c>
      <c r="Q248" s="67">
        <v>0.43483023001095289</v>
      </c>
    </row>
    <row r="249" spans="1:17" x14ac:dyDescent="0.4">
      <c r="A249" s="69">
        <v>246</v>
      </c>
      <c r="B249" s="66">
        <v>1.4210854715202004E-14</v>
      </c>
      <c r="C249" s="66">
        <v>1.9255900698105696E-17</v>
      </c>
      <c r="D249" s="71">
        <v>2</v>
      </c>
      <c r="E249" s="67">
        <v>0.33333333333333331</v>
      </c>
      <c r="F249" s="67">
        <v>0.33333333333333331</v>
      </c>
      <c r="G249" s="67">
        <v>0.29841736009136888</v>
      </c>
      <c r="H249" s="67">
        <v>0.16674824604340022</v>
      </c>
      <c r="I249" s="68">
        <v>8740.8966648441765</v>
      </c>
      <c r="J249" s="68">
        <v>-8275.6360078277885</v>
      </c>
      <c r="K249" s="67">
        <v>0.12330623306233063</v>
      </c>
      <c r="L249" s="67">
        <v>0.12330623306233063</v>
      </c>
      <c r="M249" s="67">
        <v>0.27818567466144556</v>
      </c>
      <c r="N249" s="67">
        <v>0.2094958394517866</v>
      </c>
      <c r="O249" s="67">
        <v>0.57595307917888561</v>
      </c>
      <c r="P249" s="67">
        <v>0.39485981308411217</v>
      </c>
      <c r="Q249" s="67">
        <v>0.43466375068343355</v>
      </c>
    </row>
    <row r="250" spans="1:17" x14ac:dyDescent="0.4">
      <c r="A250" s="69">
        <v>247</v>
      </c>
      <c r="B250" s="66">
        <v>1.4210854715202004E-14</v>
      </c>
      <c r="C250" s="66">
        <v>1.9177941585967616E-17</v>
      </c>
      <c r="D250" s="71">
        <v>2</v>
      </c>
      <c r="E250" s="67">
        <v>0.33333333333333331</v>
      </c>
      <c r="F250" s="67">
        <v>0.33333333333333331</v>
      </c>
      <c r="G250" s="67">
        <v>0.29848558866634101</v>
      </c>
      <c r="H250" s="67">
        <v>0.16658524670249145</v>
      </c>
      <c r="I250" s="68">
        <v>8757.6104746317505</v>
      </c>
      <c r="J250" s="68">
        <v>-8290.6158357771255</v>
      </c>
      <c r="K250" s="67">
        <v>0.12415654520917679</v>
      </c>
      <c r="L250" s="67">
        <v>0.12415654520917679</v>
      </c>
      <c r="M250" s="67">
        <v>0.27796775769418663</v>
      </c>
      <c r="N250" s="67">
        <v>0.20990066764370624</v>
      </c>
      <c r="O250" s="67">
        <v>0.57644991212653773</v>
      </c>
      <c r="P250" s="67">
        <v>0.39487975174553919</v>
      </c>
      <c r="Q250" s="67">
        <v>0.43480632842334971</v>
      </c>
    </row>
    <row r="251" spans="1:17" x14ac:dyDescent="0.4">
      <c r="A251" s="69">
        <v>248</v>
      </c>
      <c r="B251" s="66">
        <v>1.4210854715202004E-14</v>
      </c>
      <c r="C251" s="66">
        <v>1.9100611176346781E-17</v>
      </c>
      <c r="D251" s="71">
        <v>2</v>
      </c>
      <c r="E251" s="67">
        <v>0.33333333333333331</v>
      </c>
      <c r="F251" s="67">
        <v>0.33333333333333331</v>
      </c>
      <c r="G251" s="67">
        <v>0.29871607346010076</v>
      </c>
      <c r="H251" s="67">
        <v>0.16658540549325532</v>
      </c>
      <c r="I251" s="68">
        <v>8770.6202393906424</v>
      </c>
      <c r="J251" s="68">
        <v>-8320.9756097560967</v>
      </c>
      <c r="K251" s="67">
        <v>0.125</v>
      </c>
      <c r="L251" s="67">
        <v>0.125</v>
      </c>
      <c r="M251" s="67">
        <v>0.27775069071997399</v>
      </c>
      <c r="N251" s="67">
        <v>0.21014139444173574</v>
      </c>
      <c r="O251" s="67">
        <v>0.5769455822118198</v>
      </c>
      <c r="P251" s="67">
        <v>0.39520494972931169</v>
      </c>
      <c r="Q251" s="67">
        <v>0.43471164309031557</v>
      </c>
    </row>
    <row r="252" spans="1:17" x14ac:dyDescent="0.4">
      <c r="A252" s="69">
        <v>249</v>
      </c>
      <c r="B252" s="66">
        <v>7.1054273576010019E-15</v>
      </c>
      <c r="C252" s="66">
        <v>9.5119509472570302E-18</v>
      </c>
      <c r="D252" s="71">
        <v>2</v>
      </c>
      <c r="E252" s="67">
        <v>0.33333333333333331</v>
      </c>
      <c r="F252" s="67">
        <v>0.33333333333333331</v>
      </c>
      <c r="G252" s="67">
        <v>0.29904577066149118</v>
      </c>
      <c r="H252" s="67">
        <v>0.16658579977357271</v>
      </c>
      <c r="I252" s="68">
        <v>8777.7176852352623</v>
      </c>
      <c r="J252" s="68">
        <v>-8324.7572815533986</v>
      </c>
      <c r="K252" s="67">
        <v>0.12583668005354753</v>
      </c>
      <c r="L252" s="67">
        <v>0.12583668005354753</v>
      </c>
      <c r="M252" s="67">
        <v>0.27769691088468379</v>
      </c>
      <c r="N252" s="67">
        <v>0.21106259097525473</v>
      </c>
      <c r="O252" s="67">
        <v>0.57775189283634243</v>
      </c>
      <c r="P252" s="67">
        <v>0.39386973180076629</v>
      </c>
      <c r="Q252" s="67">
        <v>0.43482963764196864</v>
      </c>
    </row>
    <row r="253" spans="1:17" x14ac:dyDescent="0.4">
      <c r="A253" s="69">
        <v>250</v>
      </c>
      <c r="B253" s="66">
        <v>7.1054273576010019E-15</v>
      </c>
      <c r="C253" s="66">
        <v>9.4739031434680022E-18</v>
      </c>
      <c r="D253" s="71">
        <v>2</v>
      </c>
      <c r="E253" s="67">
        <v>0.33333333333333331</v>
      </c>
      <c r="F253" s="67">
        <v>0.33333333333333331</v>
      </c>
      <c r="G253" s="67">
        <v>0.2989226563756231</v>
      </c>
      <c r="H253" s="67">
        <v>0.16642547033285093</v>
      </c>
      <c r="I253" s="68">
        <v>8794.6745562130181</v>
      </c>
      <c r="J253" s="68">
        <v>-8351.4009661835753</v>
      </c>
      <c r="K253" s="67">
        <v>0.12533333333333332</v>
      </c>
      <c r="L253" s="67">
        <v>0.12533333333333332</v>
      </c>
      <c r="M253" s="67">
        <v>0.27721498633220776</v>
      </c>
      <c r="N253" s="67">
        <v>0.21144878597845312</v>
      </c>
      <c r="O253" s="67">
        <v>0.57772621809744784</v>
      </c>
      <c r="P253" s="67">
        <v>0.39391634980988594</v>
      </c>
      <c r="Q253" s="67">
        <v>0.43518020441097366</v>
      </c>
    </row>
    <row r="254" spans="1:17" x14ac:dyDescent="0.4">
      <c r="A254" s="69">
        <v>251</v>
      </c>
      <c r="B254" s="66">
        <v>0</v>
      </c>
      <c r="C254" s="66">
        <v>0</v>
      </c>
      <c r="D254" s="71">
        <v>2</v>
      </c>
      <c r="E254" s="67">
        <v>0.33333333333333331</v>
      </c>
      <c r="F254" s="67">
        <v>0.33333333333333331</v>
      </c>
      <c r="G254" s="67">
        <v>0.29903846153846153</v>
      </c>
      <c r="H254" s="67">
        <v>0.16618589743589743</v>
      </c>
      <c r="I254" s="68">
        <v>8788.9067524115762</v>
      </c>
      <c r="J254" s="68">
        <v>-8342.1407907425273</v>
      </c>
      <c r="K254" s="67">
        <v>0.1248339973439575</v>
      </c>
      <c r="L254" s="67">
        <v>0.1248339973439575</v>
      </c>
      <c r="M254" s="67">
        <v>0.27724358974358976</v>
      </c>
      <c r="N254" s="67">
        <v>0.21105769230769231</v>
      </c>
      <c r="O254" s="67">
        <v>0.5780346820809249</v>
      </c>
      <c r="P254" s="67">
        <v>0.39407744874715261</v>
      </c>
      <c r="Q254" s="67">
        <v>0.4362272240085745</v>
      </c>
    </row>
    <row r="255" spans="1:17" x14ac:dyDescent="0.4">
      <c r="A255" s="69">
        <v>252</v>
      </c>
      <c r="B255" s="66">
        <v>7.1054273576010019E-15</v>
      </c>
      <c r="C255" s="66">
        <v>9.3987134359801607E-18</v>
      </c>
      <c r="D255" s="71">
        <v>2</v>
      </c>
      <c r="E255" s="67">
        <v>0.33333333333333331</v>
      </c>
      <c r="F255" s="67">
        <v>0.33333333333333331</v>
      </c>
      <c r="G255" s="67">
        <v>0.29879019420566699</v>
      </c>
      <c r="H255" s="67">
        <v>0.16634829672078955</v>
      </c>
      <c r="I255" s="68">
        <v>8779.5950985615345</v>
      </c>
      <c r="J255" s="68">
        <v>-8327.0813397129186</v>
      </c>
      <c r="K255" s="67">
        <v>0.12433862433862433</v>
      </c>
      <c r="L255" s="67">
        <v>0.12433862433862433</v>
      </c>
      <c r="M255" s="67">
        <v>0.27602674307545366</v>
      </c>
      <c r="N255" s="67">
        <v>0.21155682903533907</v>
      </c>
      <c r="O255" s="67">
        <v>0.57785467128027679</v>
      </c>
      <c r="P255" s="67">
        <v>0.39277652370203159</v>
      </c>
      <c r="Q255" s="67">
        <v>0.43526904635055941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33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585</vt:i4>
      </vt:variant>
    </vt:vector>
  </HeadingPairs>
  <TitlesOfParts>
    <vt:vector size="634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かわたつ</vt:lpstr>
      <vt:lpstr>やがさき</vt:lpstr>
      <vt:lpstr>のり</vt:lpstr>
      <vt:lpstr>のり2</vt:lpstr>
      <vt:lpstr>やがさき2</vt:lpstr>
      <vt:lpstr>かわたつ2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かわたつ!アガリ数</vt:lpstr>
      <vt:lpstr>だいち!アガリ数</vt:lpstr>
      <vt:lpstr>たかの!アガリ数</vt:lpstr>
      <vt:lpstr>ただ!アガリ数</vt:lpstr>
      <vt:lpstr>のり!アガリ数</vt:lpstr>
      <vt:lpstr>ぱぱ!アガリ数</vt:lpstr>
      <vt:lpstr>ほたに!アガリ数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かわたつ!アガリ率</vt:lpstr>
      <vt:lpstr>だいち!アガリ率</vt:lpstr>
      <vt:lpstr>たかの!アガリ率</vt:lpstr>
      <vt:lpstr>ただ!アガリ率</vt:lpstr>
      <vt:lpstr>のり!アガリ率</vt:lpstr>
      <vt:lpstr>ぱぱ!アガリ率</vt:lpstr>
      <vt:lpstr>ほたに!アガリ率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かわたつ!チョンボ数</vt:lpstr>
      <vt:lpstr>だいち!チョンボ数</vt:lpstr>
      <vt:lpstr>たかの!チョンボ数</vt:lpstr>
      <vt:lpstr>ただ!チョンボ数</vt:lpstr>
      <vt:lpstr>のり!チョンボ数</vt:lpstr>
      <vt:lpstr>ぱぱ!チョンボ数</vt:lpstr>
      <vt:lpstr>ほたに!チョンボ数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かわたつ!チョンボ率</vt:lpstr>
      <vt:lpstr>だいち!チョンボ率</vt:lpstr>
      <vt:lpstr>たかの!チョンボ率</vt:lpstr>
      <vt:lpstr>ただ!チョンボ率</vt:lpstr>
      <vt:lpstr>のり!チョンボ率</vt:lpstr>
      <vt:lpstr>ぱぱ!チョンボ率</vt:lpstr>
      <vt:lpstr>ほたに!チョンボ率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かわたつ!ツモ数</vt:lpstr>
      <vt:lpstr>だいち!ツモ数</vt:lpstr>
      <vt:lpstr>たかの!ツモ数</vt:lpstr>
      <vt:lpstr>ただ!ツモ数</vt:lpstr>
      <vt:lpstr>のり!ツモ数</vt:lpstr>
      <vt:lpstr>ぱぱ!ツモ数</vt:lpstr>
      <vt:lpstr>ほたに!ツモ数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かわたつ!ツモ率</vt:lpstr>
      <vt:lpstr>だいち!ツモ率</vt:lpstr>
      <vt:lpstr>たかの!ツモ率</vt:lpstr>
      <vt:lpstr>ただ!ツモ率</vt:lpstr>
      <vt:lpstr>のり!ツモ率</vt:lpstr>
      <vt:lpstr>ぱぱ!ツモ率</vt:lpstr>
      <vt:lpstr>ほたに!ツモ率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かわたつ!トップ数</vt:lpstr>
      <vt:lpstr>だいち!トップ数</vt:lpstr>
      <vt:lpstr>たかの!トップ数</vt:lpstr>
      <vt:lpstr>ただ!トップ数</vt:lpstr>
      <vt:lpstr>のり!トップ数</vt:lpstr>
      <vt:lpstr>ぱぱ!トップ数</vt:lpstr>
      <vt:lpstr>ほたに!トップ数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かわたつ!トップ率</vt:lpstr>
      <vt:lpstr>だいち!トップ率</vt:lpstr>
      <vt:lpstr>たかの!トップ率</vt:lpstr>
      <vt:lpstr>ただ!トップ率</vt:lpstr>
      <vt:lpstr>のり!トップ率</vt:lpstr>
      <vt:lpstr>ぱぱ!トップ率</vt:lpstr>
      <vt:lpstr>ほたに!トップ率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かわたつ!ふっとばし数</vt:lpstr>
      <vt:lpstr>だいち!ふっとばし数</vt:lpstr>
      <vt:lpstr>たかの!ふっとばし数</vt:lpstr>
      <vt:lpstr>ただ!ふっとばし数</vt:lpstr>
      <vt:lpstr>のり!ふっとばし数</vt:lpstr>
      <vt:lpstr>ぱぱ!ふっとばし数</vt:lpstr>
      <vt:lpstr>ほたに!ふっとばし数</vt:lpstr>
      <vt:lpstr>まっつん!ふっとばし数</vt:lpstr>
      <vt:lpstr>やがさき!ふっとばし数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かわたつ!ふっとばし率</vt:lpstr>
      <vt:lpstr>だいち!ふっとばし率</vt:lpstr>
      <vt:lpstr>たかの!ふっとばし率</vt:lpstr>
      <vt:lpstr>ただ!ふっとばし率</vt:lpstr>
      <vt:lpstr>のり!ふっとばし率</vt:lpstr>
      <vt:lpstr>ぱぱ!ふっとばし率</vt:lpstr>
      <vt:lpstr>ほたに!ふっとばし率</vt:lpstr>
      <vt:lpstr>まっつん!ふっとばし率</vt:lpstr>
      <vt:lpstr>やがさき!ふっとばし率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かわたつ!ふっとび数</vt:lpstr>
      <vt:lpstr>だいち!ふっとび数</vt:lpstr>
      <vt:lpstr>たかの!ふっとび数</vt:lpstr>
      <vt:lpstr>ただ!ふっとび数</vt:lpstr>
      <vt:lpstr>のり!ふっとび数</vt:lpstr>
      <vt:lpstr>ぱぱ!ふっとび数</vt:lpstr>
      <vt:lpstr>ほたに!ふっとび数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かわたつ!ふっとび率</vt:lpstr>
      <vt:lpstr>だいち!ふっとび率</vt:lpstr>
      <vt:lpstr>たかの!ふっとび率</vt:lpstr>
      <vt:lpstr>ただ!ふっとび率</vt:lpstr>
      <vt:lpstr>のり!ふっとび率</vt:lpstr>
      <vt:lpstr>ぱぱ!ふっとび率</vt:lpstr>
      <vt:lpstr>ほたに!ふっとび率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かわたつ!ラス数</vt:lpstr>
      <vt:lpstr>だいち!ラス数</vt:lpstr>
      <vt:lpstr>たかの!ラス数</vt:lpstr>
      <vt:lpstr>ただ!ラス数</vt:lpstr>
      <vt:lpstr>のり!ラス数</vt:lpstr>
      <vt:lpstr>ぱぱ!ラス数</vt:lpstr>
      <vt:lpstr>ほたに!ラス数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かわたつ!ラス率</vt:lpstr>
      <vt:lpstr>だいち!ラス率</vt:lpstr>
      <vt:lpstr>たかの!ラス率</vt:lpstr>
      <vt:lpstr>ただ!ラス率</vt:lpstr>
      <vt:lpstr>のり!ラス率</vt:lpstr>
      <vt:lpstr>ぱぱ!ラス率</vt:lpstr>
      <vt:lpstr>ほたに!ラス率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かわたつ!リーチ数</vt:lpstr>
      <vt:lpstr>だいち!リーチ数</vt:lpstr>
      <vt:lpstr>たかの!リーチ数</vt:lpstr>
      <vt:lpstr>ただ!リーチ数</vt:lpstr>
      <vt:lpstr>のり!リーチ数</vt:lpstr>
      <vt:lpstr>ぱぱ!リーチ数</vt:lpstr>
      <vt:lpstr>ほたに!リーチ数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かわたつ!リーチ成功数</vt:lpstr>
      <vt:lpstr>だいち!リーチ成功数</vt:lpstr>
      <vt:lpstr>たかの!リーチ成功数</vt:lpstr>
      <vt:lpstr>ただ!リーチ成功数</vt:lpstr>
      <vt:lpstr>のり!リーチ成功数</vt:lpstr>
      <vt:lpstr>ぱぱ!リーチ成功数</vt:lpstr>
      <vt:lpstr>ほたに!リーチ成功数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かわたつ!リーチ成功率</vt:lpstr>
      <vt:lpstr>だいち!リーチ成功率</vt:lpstr>
      <vt:lpstr>たかの!リーチ成功率</vt:lpstr>
      <vt:lpstr>ただ!リーチ成功率</vt:lpstr>
      <vt:lpstr>のり!リーチ成功率</vt:lpstr>
      <vt:lpstr>ぱぱ!リーチ成功率</vt:lpstr>
      <vt:lpstr>ほたに!リーチ成功率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かわたつ!リーチ率</vt:lpstr>
      <vt:lpstr>だいち!リーチ率</vt:lpstr>
      <vt:lpstr>たかの!リーチ率</vt:lpstr>
      <vt:lpstr>ただ!リーチ率</vt:lpstr>
      <vt:lpstr>のり!リーチ率</vt:lpstr>
      <vt:lpstr>ぱぱ!リーチ率</vt:lpstr>
      <vt:lpstr>ほたに!リーチ率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かわたつ!ロン数</vt:lpstr>
      <vt:lpstr>だいち!ロン数</vt:lpstr>
      <vt:lpstr>たかの!ロン数</vt:lpstr>
      <vt:lpstr>ただ!ロン数</vt:lpstr>
      <vt:lpstr>のり!ロン数</vt:lpstr>
      <vt:lpstr>ぱぱ!ロン数</vt:lpstr>
      <vt:lpstr>ほたに!ロン数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かわたつ!ロン率</vt:lpstr>
      <vt:lpstr>だいち!ロン率</vt:lpstr>
      <vt:lpstr>たかの!ロン率</vt:lpstr>
      <vt:lpstr>ただ!ロン率</vt:lpstr>
      <vt:lpstr>のり!ロン率</vt:lpstr>
      <vt:lpstr>ぱぱ!ロン率</vt:lpstr>
      <vt:lpstr>ほたに!ロン率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かわたつ!逆転数</vt:lpstr>
      <vt:lpstr>だいち!逆転数</vt:lpstr>
      <vt:lpstr>たかの!逆転数</vt:lpstr>
      <vt:lpstr>ただ!逆転数</vt:lpstr>
      <vt:lpstr>のり!逆転数</vt:lpstr>
      <vt:lpstr>ぱぱ!逆転数</vt:lpstr>
      <vt:lpstr>ほたに!逆転数</vt:lpstr>
      <vt:lpstr>まっつん!逆転数</vt:lpstr>
      <vt:lpstr>やがさき!逆転数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かわたつ!逆転率</vt:lpstr>
      <vt:lpstr>だいち!逆転率</vt:lpstr>
      <vt:lpstr>たかの!逆転率</vt:lpstr>
      <vt:lpstr>ただ!逆転率</vt:lpstr>
      <vt:lpstr>のり!逆転率</vt:lpstr>
      <vt:lpstr>ぱぱ!逆転率</vt:lpstr>
      <vt:lpstr>ほたに!逆転率</vt:lpstr>
      <vt:lpstr>まっつん!逆転率</vt:lpstr>
      <vt:lpstr>やがさき!逆転率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かわたつ!最大ドラ数</vt:lpstr>
      <vt:lpstr>だいち!最大ドラ数</vt:lpstr>
      <vt:lpstr>たかの!最大ドラ数</vt:lpstr>
      <vt:lpstr>ただ!最大ドラ数</vt:lpstr>
      <vt:lpstr>のり!最大ドラ数</vt:lpstr>
      <vt:lpstr>ぱぱ!最大ドラ数</vt:lpstr>
      <vt:lpstr>ほたに!最大ドラ数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かわたつ!最大点数</vt:lpstr>
      <vt:lpstr>だいち!最大点数</vt:lpstr>
      <vt:lpstr>たかの!最大点数</vt:lpstr>
      <vt:lpstr>ただ!最大点数</vt:lpstr>
      <vt:lpstr>のり!最大点数</vt:lpstr>
      <vt:lpstr>ぱぱ!最大点数</vt:lpstr>
      <vt:lpstr>ほたに!最大点数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かわたつ!総局数</vt:lpstr>
      <vt:lpstr>だいち!総局数</vt:lpstr>
      <vt:lpstr>たかの!総局数</vt:lpstr>
      <vt:lpstr>ただ!総局数</vt:lpstr>
      <vt:lpstr>のり!総局数</vt:lpstr>
      <vt:lpstr>ぱぱ!総局数</vt:lpstr>
      <vt:lpstr>ほたに!総局数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かわたつ!対戦数</vt:lpstr>
      <vt:lpstr>だいち!対戦数</vt:lpstr>
      <vt:lpstr>たかの!対戦数</vt:lpstr>
      <vt:lpstr>ただ!対戦数</vt:lpstr>
      <vt:lpstr>のり!対戦数</vt:lpstr>
      <vt:lpstr>ぱぱ!対戦数</vt:lpstr>
      <vt:lpstr>ほたに!対戦数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かわたつ!通算スコア</vt:lpstr>
      <vt:lpstr>だいち!通算スコア</vt:lpstr>
      <vt:lpstr>たかの!通算スコア</vt:lpstr>
      <vt:lpstr>ただ!通算スコア</vt:lpstr>
      <vt:lpstr>のり!通算スコア</vt:lpstr>
      <vt:lpstr>ぱぱ!通算スコア</vt:lpstr>
      <vt:lpstr>ほたに!通算スコア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かわたつ!副露数</vt:lpstr>
      <vt:lpstr>だいち!副露数</vt:lpstr>
      <vt:lpstr>たかの!副露数</vt:lpstr>
      <vt:lpstr>ただ!副露数</vt:lpstr>
      <vt:lpstr>のり!副露数</vt:lpstr>
      <vt:lpstr>ぱぱ!副露数</vt:lpstr>
      <vt:lpstr>ほたに!副露数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かわたつ!副露成功数</vt:lpstr>
      <vt:lpstr>だいち!副露成功数</vt:lpstr>
      <vt:lpstr>たかの!副露成功数</vt:lpstr>
      <vt:lpstr>ただ!副露成功数</vt:lpstr>
      <vt:lpstr>のり!副露成功数</vt:lpstr>
      <vt:lpstr>ぱぱ!副露成功数</vt:lpstr>
      <vt:lpstr>ほたに!副露成功数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かわたつ!副露成功率</vt:lpstr>
      <vt:lpstr>だいち!副露成功率</vt:lpstr>
      <vt:lpstr>たかの!副露成功率</vt:lpstr>
      <vt:lpstr>ただ!副露成功率</vt:lpstr>
      <vt:lpstr>のり!副露成功率</vt:lpstr>
      <vt:lpstr>ぱぱ!副露成功率</vt:lpstr>
      <vt:lpstr>ほたに!副露成功率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かわたつ!副露率</vt:lpstr>
      <vt:lpstr>だいち!副露率</vt:lpstr>
      <vt:lpstr>たかの!副露率</vt:lpstr>
      <vt:lpstr>ただ!副露率</vt:lpstr>
      <vt:lpstr>のり!副露率</vt:lpstr>
      <vt:lpstr>ぱぱ!副露率</vt:lpstr>
      <vt:lpstr>ほたに!副露率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かわたつ!平均アガリ点</vt:lpstr>
      <vt:lpstr>だいち!平均アガリ点</vt:lpstr>
      <vt:lpstr>たかの!平均アガリ点</vt:lpstr>
      <vt:lpstr>ただ!平均アガリ点</vt:lpstr>
      <vt:lpstr>のり!平均アガリ点</vt:lpstr>
      <vt:lpstr>ぱぱ!平均アガリ点</vt:lpstr>
      <vt:lpstr>ほたに!平均アガリ点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かわたつ!平均スコア</vt:lpstr>
      <vt:lpstr>だいち!平均スコア</vt:lpstr>
      <vt:lpstr>たかの!平均スコア</vt:lpstr>
      <vt:lpstr>ただ!平均スコア</vt:lpstr>
      <vt:lpstr>のり!平均スコア</vt:lpstr>
      <vt:lpstr>ぱぱ!平均スコア</vt:lpstr>
      <vt:lpstr>ほたに!平均スコア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かわたつ!平均順位</vt:lpstr>
      <vt:lpstr>だいち!平均順位</vt:lpstr>
      <vt:lpstr>たかの!平均順位</vt:lpstr>
      <vt:lpstr>ただ!平均順位</vt:lpstr>
      <vt:lpstr>のり!平均順位</vt:lpstr>
      <vt:lpstr>ぱぱ!平均順位</vt:lpstr>
      <vt:lpstr>ほたに!平均順位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かわたつ!平均放銃点</vt:lpstr>
      <vt:lpstr>だいち!平均放銃点</vt:lpstr>
      <vt:lpstr>たかの!平均放銃点</vt:lpstr>
      <vt:lpstr>ただ!平均放銃点</vt:lpstr>
      <vt:lpstr>のり!平均放銃点</vt:lpstr>
      <vt:lpstr>ぱぱ!平均放銃点</vt:lpstr>
      <vt:lpstr>ほたに!平均放銃点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かわたつ!放銃数</vt:lpstr>
      <vt:lpstr>だいち!放銃数</vt:lpstr>
      <vt:lpstr>たかの!放銃数</vt:lpstr>
      <vt:lpstr>ただ!放銃数</vt:lpstr>
      <vt:lpstr>のり!放銃数</vt:lpstr>
      <vt:lpstr>ぱぱ!放銃数</vt:lpstr>
      <vt:lpstr>ほたに!放銃数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かわたつ!放銃率</vt:lpstr>
      <vt:lpstr>だいち!放銃率</vt:lpstr>
      <vt:lpstr>たかの!放銃率</vt:lpstr>
      <vt:lpstr>ただ!放銃率</vt:lpstr>
      <vt:lpstr>のり!放銃率</vt:lpstr>
      <vt:lpstr>ぱぱ!放銃率</vt:lpstr>
      <vt:lpstr>ほたに!放銃率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かわたつ!連続アガリ</vt:lpstr>
      <vt:lpstr>だいち!連続アガリ</vt:lpstr>
      <vt:lpstr>たかの!連続アガリ</vt:lpstr>
      <vt:lpstr>ただ!連続アガリ</vt:lpstr>
      <vt:lpstr>のり!連続アガリ</vt:lpstr>
      <vt:lpstr>ぱぱ!連続アガリ</vt:lpstr>
      <vt:lpstr>ほたに!連続アガリ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かわたつ!連続無放銃</vt:lpstr>
      <vt:lpstr>だいち!連続無放銃</vt:lpstr>
      <vt:lpstr>たかの!連続無放銃</vt:lpstr>
      <vt:lpstr>ただ!連続無放銃</vt:lpstr>
      <vt:lpstr>のり!連続無放銃</vt:lpstr>
      <vt:lpstr>ぱぱ!連続無放銃</vt:lpstr>
      <vt:lpstr>ほたに!連続無放銃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2018-11-18T09:24:12Z</dcterms:created>
  <dcterms:modified xsi:type="dcterms:W3CDTF">2019-07-01T16:57:46Z</dcterms:modified>
</cp:coreProperties>
</file>