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8ADAAFE5-3B36-43CC-8C70-6ADB0AB034C4}" xr6:coauthVersionLast="36" xr6:coauthVersionMax="36" xr10:uidLastSave="{00000000-0000-0000-0000-000000000000}"/>
  <bookViews>
    <workbookView minimized="1"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65" r:id="rId6"/>
    <sheet name="だいち" sheetId="5267" r:id="rId7"/>
    <sheet name="りくと" sheetId="5269" r:id="rId8"/>
    <sheet name="ただ" sheetId="5271" r:id="rId9"/>
    <sheet name="れんたろう" sheetId="5273" r:id="rId10"/>
    <sheet name="たかの" sheetId="5275" r:id="rId11"/>
    <sheet name="ぱぱ" sheetId="5277" r:id="rId12"/>
    <sheet name="まっつん" sheetId="5279" r:id="rId13"/>
    <sheet name="あさひ" sheetId="5281" r:id="rId14"/>
    <sheet name="いっしー" sheetId="5283" r:id="rId15"/>
    <sheet name="ほたに" sheetId="5285" r:id="rId16"/>
    <sheet name="かわたつ" sheetId="5287" r:id="rId17"/>
    <sheet name="やがさき" sheetId="5289" r:id="rId18"/>
    <sheet name="やがさき2" sheetId="5290" state="hidden" r:id="rId19"/>
    <sheet name="かわたつ2" sheetId="5288" state="hidden" r:id="rId20"/>
    <sheet name="ほたに2" sheetId="5286" state="hidden" r:id="rId21"/>
    <sheet name="いっしー2" sheetId="5284" state="hidden" r:id="rId22"/>
    <sheet name="あさひ2" sheetId="5282" state="hidden" r:id="rId23"/>
    <sheet name="まっつん2" sheetId="5280" state="hidden" r:id="rId24"/>
    <sheet name="ぱぱ2" sheetId="5278" state="hidden" r:id="rId25"/>
    <sheet name="たかの2" sheetId="5276" state="hidden" r:id="rId26"/>
    <sheet name="れんたろう2" sheetId="5274" state="hidden" r:id="rId27"/>
    <sheet name="ただ2" sheetId="5272" state="hidden" r:id="rId28"/>
    <sheet name="りくと2" sheetId="5270" state="hidden" r:id="rId29"/>
    <sheet name="だいち2" sheetId="5268" state="hidden" r:id="rId30"/>
    <sheet name="全体2" sheetId="526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71" l="1"/>
  <c r="O16" i="5275"/>
  <c r="O15" i="5265"/>
  <c r="O16" i="5289"/>
  <c r="O15" i="5289"/>
  <c r="C27" i="5289"/>
  <c r="B24" i="5289"/>
  <c r="C20" i="5289"/>
  <c r="B17" i="5289"/>
  <c r="H49" i="5289" s="1"/>
  <c r="C16" i="5289"/>
  <c r="C15" i="5289"/>
  <c r="H14" i="5289"/>
  <c r="C14" i="5289"/>
  <c r="C13" i="5289"/>
  <c r="O12" i="5289"/>
  <c r="C12" i="5289"/>
  <c r="O11" i="5289"/>
  <c r="C11" i="5289"/>
  <c r="O10" i="5289"/>
  <c r="C10" i="5289"/>
  <c r="C9" i="5289"/>
  <c r="H8" i="5289"/>
  <c r="C8" i="5289"/>
  <c r="O7" i="5289"/>
  <c r="C7" i="5289"/>
  <c r="O6" i="5289"/>
  <c r="B6" i="5289"/>
  <c r="O5" i="5289"/>
  <c r="B5" i="5289"/>
  <c r="O4" i="5289"/>
  <c r="O3" i="5289"/>
  <c r="O2" i="5289"/>
  <c r="O15" i="5287"/>
  <c r="O16" i="5287"/>
  <c r="H42" i="5287"/>
  <c r="H39" i="5287"/>
  <c r="H31" i="5287"/>
  <c r="H30" i="5287"/>
  <c r="C27" i="5287"/>
  <c r="B24" i="5287"/>
  <c r="H21" i="5287"/>
  <c r="C20" i="5287"/>
  <c r="C18" i="5287"/>
  <c r="H17" i="5287"/>
  <c r="B17" i="5287"/>
  <c r="H49" i="5287" s="1"/>
  <c r="H16" i="5287"/>
  <c r="C16" i="5287"/>
  <c r="C15" i="5287"/>
  <c r="H14" i="5287"/>
  <c r="C14" i="5287"/>
  <c r="C13" i="5287"/>
  <c r="O12" i="5287"/>
  <c r="H12" i="5287"/>
  <c r="C12" i="5287"/>
  <c r="O11" i="5287"/>
  <c r="H11" i="5287"/>
  <c r="C11" i="5287"/>
  <c r="O10" i="5287"/>
  <c r="H10" i="5287"/>
  <c r="C10" i="5287"/>
  <c r="H9" i="5287"/>
  <c r="C9" i="5287"/>
  <c r="H8" i="5287"/>
  <c r="C8" i="5287"/>
  <c r="O7" i="5287"/>
  <c r="C7" i="5287"/>
  <c r="O6" i="5287"/>
  <c r="H6" i="5287"/>
  <c r="B6" i="5287"/>
  <c r="O5" i="5287"/>
  <c r="H5" i="5287"/>
  <c r="B5" i="5287"/>
  <c r="O4" i="5287"/>
  <c r="H4" i="5287"/>
  <c r="O3" i="5287"/>
  <c r="H3" i="5287"/>
  <c r="O2" i="5287"/>
  <c r="H2" i="5287"/>
  <c r="O23" i="5273"/>
  <c r="O17" i="5267"/>
  <c r="O25" i="5265"/>
  <c r="H11" i="5289" l="1"/>
  <c r="H5" i="5289"/>
  <c r="H4" i="5289"/>
  <c r="H2" i="5289"/>
  <c r="H10" i="5289"/>
  <c r="H16" i="5289"/>
  <c r="C18" i="5289"/>
  <c r="H31" i="5289"/>
  <c r="H42" i="5289"/>
  <c r="H19" i="5289"/>
  <c r="H24" i="5289"/>
  <c r="H34" i="5289"/>
  <c r="H46" i="5289"/>
  <c r="H7" i="5289"/>
  <c r="H13" i="5289"/>
  <c r="C17" i="5289"/>
  <c r="H38" i="5289"/>
  <c r="H47" i="5289"/>
  <c r="H15" i="5289"/>
  <c r="H3" i="5289"/>
  <c r="H6" i="5289"/>
  <c r="H9" i="5289"/>
  <c r="H12" i="5289"/>
  <c r="H17" i="5289"/>
  <c r="H21" i="5289"/>
  <c r="H30" i="5289"/>
  <c r="H39" i="5289"/>
  <c r="H50" i="5289"/>
  <c r="C19" i="5289"/>
  <c r="H22" i="5289"/>
  <c r="H27" i="5289"/>
  <c r="H35" i="5289"/>
  <c r="H43" i="5289"/>
  <c r="H51" i="5289"/>
  <c r="B23" i="5289"/>
  <c r="H25" i="5289"/>
  <c r="H28" i="5289"/>
  <c r="H32" i="5289"/>
  <c r="H36" i="5289"/>
  <c r="H40" i="5289"/>
  <c r="H44" i="5289"/>
  <c r="H48" i="5289"/>
  <c r="H18" i="5289"/>
  <c r="H20" i="5289"/>
  <c r="H23" i="5289"/>
  <c r="H26" i="5289"/>
  <c r="H29" i="5289"/>
  <c r="H33" i="5289"/>
  <c r="H37" i="5289"/>
  <c r="H41" i="5289"/>
  <c r="H45" i="5289"/>
  <c r="H19" i="5287"/>
  <c r="H34" i="5287"/>
  <c r="H46" i="5287"/>
  <c r="H24" i="5287"/>
  <c r="H7" i="5287"/>
  <c r="H13" i="5287"/>
  <c r="H15" i="5287"/>
  <c r="C17" i="5287"/>
  <c r="H38" i="5287"/>
  <c r="H47" i="5287"/>
  <c r="H50" i="5287"/>
  <c r="C19" i="5287"/>
  <c r="H22" i="5287"/>
  <c r="H27" i="5287"/>
  <c r="H35" i="5287"/>
  <c r="H43" i="5287"/>
  <c r="H51" i="5287"/>
  <c r="B23" i="5287"/>
  <c r="H25" i="5287"/>
  <c r="H28" i="5287"/>
  <c r="H32" i="5287"/>
  <c r="H36" i="5287"/>
  <c r="H40" i="5287"/>
  <c r="H44" i="5287"/>
  <c r="H48" i="5287"/>
  <c r="H18" i="5287"/>
  <c r="H20" i="5287"/>
  <c r="H23" i="5287"/>
  <c r="H26" i="5287"/>
  <c r="H29" i="5287"/>
  <c r="H33" i="5287"/>
  <c r="H37" i="5287"/>
  <c r="H41" i="5287"/>
  <c r="H45" i="5287"/>
  <c r="O18" i="5275" l="1"/>
  <c r="O18" i="5283"/>
  <c r="O20" i="5285" l="1"/>
  <c r="O18" i="5285"/>
  <c r="O15" i="5279"/>
  <c r="O20" i="5269"/>
  <c r="O24" i="5267" l="1"/>
  <c r="O16" i="5285"/>
  <c r="O21" i="5277"/>
  <c r="O15" i="5285"/>
  <c r="O17" i="5285" l="1"/>
  <c r="O19" i="5285"/>
  <c r="C27" i="5285"/>
  <c r="B24" i="5285"/>
  <c r="C20" i="5285"/>
  <c r="B17" i="5285"/>
  <c r="H48" i="5285" s="1"/>
  <c r="C16" i="5285"/>
  <c r="C15" i="5285"/>
  <c r="C14" i="5285"/>
  <c r="C13" i="5285"/>
  <c r="O12" i="5285"/>
  <c r="C12" i="5285"/>
  <c r="O11" i="5285"/>
  <c r="C11" i="5285"/>
  <c r="O10" i="5285"/>
  <c r="C10" i="5285"/>
  <c r="C9" i="5285"/>
  <c r="H8" i="5285"/>
  <c r="C8" i="5285"/>
  <c r="O7" i="5285"/>
  <c r="C7" i="5285"/>
  <c r="O6" i="5285"/>
  <c r="B6" i="5285"/>
  <c r="O5" i="5285"/>
  <c r="B5" i="5285"/>
  <c r="O4" i="5285"/>
  <c r="O3" i="5285"/>
  <c r="O2" i="5285"/>
  <c r="O21" i="5273"/>
  <c r="O19" i="5275"/>
  <c r="O19" i="5265"/>
  <c r="H2" i="5285" l="1"/>
  <c r="C17" i="5285"/>
  <c r="H4" i="5285"/>
  <c r="H10" i="5285"/>
  <c r="H18" i="5285"/>
  <c r="H20" i="5285"/>
  <c r="H23" i="5285"/>
  <c r="H26" i="5285"/>
  <c r="H29" i="5285"/>
  <c r="H33" i="5285"/>
  <c r="H37" i="5285"/>
  <c r="H41" i="5285"/>
  <c r="H45" i="5285"/>
  <c r="H49" i="5285"/>
  <c r="H7" i="5285"/>
  <c r="H13" i="5285"/>
  <c r="H15" i="5285"/>
  <c r="C19" i="5285"/>
  <c r="H21" i="5285"/>
  <c r="H30" i="5285"/>
  <c r="H34" i="5285"/>
  <c r="H38" i="5285"/>
  <c r="H42" i="5285"/>
  <c r="H46" i="5285"/>
  <c r="H50" i="5285"/>
  <c r="H3" i="5285"/>
  <c r="H6" i="5285"/>
  <c r="H9" i="5285"/>
  <c r="H12" i="5285"/>
  <c r="H17" i="5285"/>
  <c r="H19" i="5285"/>
  <c r="H22" i="5285"/>
  <c r="H24" i="5285"/>
  <c r="H27" i="5285"/>
  <c r="H31" i="5285"/>
  <c r="H35" i="5285"/>
  <c r="H39" i="5285"/>
  <c r="H43" i="5285"/>
  <c r="H47" i="5285"/>
  <c r="H51" i="5285"/>
  <c r="H5" i="5285"/>
  <c r="H11" i="5285"/>
  <c r="H14" i="5285"/>
  <c r="H16" i="5285"/>
  <c r="C18" i="5285"/>
  <c r="B23" i="5285"/>
  <c r="H25" i="5285"/>
  <c r="H28" i="5285"/>
  <c r="H32" i="5285"/>
  <c r="H36" i="5285"/>
  <c r="H40" i="5285"/>
  <c r="H44" i="5285"/>
  <c r="O17" i="5275" l="1"/>
  <c r="O16" i="5271"/>
  <c r="O21" i="5279"/>
  <c r="O20" i="5279"/>
  <c r="O22" i="5267" l="1"/>
  <c r="O16" i="5283"/>
  <c r="O20" i="5283" l="1"/>
  <c r="O15" i="5283"/>
  <c r="O15" i="5273"/>
  <c r="O22" i="5271"/>
  <c r="O17" i="5281" l="1"/>
  <c r="O22" i="5277"/>
  <c r="O15" i="5281"/>
  <c r="O21" i="5283"/>
  <c r="O15" i="5269"/>
  <c r="O18" i="5279"/>
  <c r="O17" i="5265"/>
  <c r="O19" i="5283"/>
  <c r="O17" i="5283"/>
  <c r="C27" i="5283"/>
  <c r="B24" i="5283"/>
  <c r="C20" i="5283"/>
  <c r="B17" i="5283"/>
  <c r="H50" i="5283" s="1"/>
  <c r="C16" i="5283"/>
  <c r="C15" i="5283"/>
  <c r="C14" i="5283"/>
  <c r="C13" i="5283"/>
  <c r="O12" i="5283"/>
  <c r="C12" i="5283"/>
  <c r="O11" i="5283"/>
  <c r="C11" i="5283"/>
  <c r="O10" i="5283"/>
  <c r="C10" i="5283"/>
  <c r="C9" i="5283"/>
  <c r="C8" i="5283"/>
  <c r="O7" i="5283"/>
  <c r="C7" i="5283"/>
  <c r="O6" i="5283"/>
  <c r="B6" i="5283"/>
  <c r="O5" i="5283"/>
  <c r="B5" i="5283"/>
  <c r="O4" i="5283"/>
  <c r="O3" i="5283"/>
  <c r="O2" i="5283"/>
  <c r="O16" i="5281"/>
  <c r="O18" i="5281"/>
  <c r="C27" i="5281"/>
  <c r="B24" i="5281"/>
  <c r="C20" i="5281"/>
  <c r="B17" i="5281"/>
  <c r="H48" i="5281" s="1"/>
  <c r="C16" i="5281"/>
  <c r="C15" i="5281"/>
  <c r="C14" i="5281"/>
  <c r="C13" i="5281"/>
  <c r="O12" i="5281"/>
  <c r="C12" i="5281"/>
  <c r="O11" i="5281"/>
  <c r="C11" i="5281"/>
  <c r="O10" i="5281"/>
  <c r="C10" i="5281"/>
  <c r="C9" i="5281"/>
  <c r="C8" i="5281"/>
  <c r="O7" i="5281"/>
  <c r="C7" i="5281"/>
  <c r="O6" i="5281"/>
  <c r="B6" i="5281"/>
  <c r="O5" i="5281"/>
  <c r="B5" i="5281"/>
  <c r="O4" i="5281"/>
  <c r="O3" i="5281"/>
  <c r="O2" i="5281"/>
  <c r="O22" i="5279"/>
  <c r="O23" i="5279"/>
  <c r="O15" i="5267"/>
  <c r="O18" i="5267"/>
  <c r="O26" i="5265"/>
  <c r="H10" i="5281" l="1"/>
  <c r="H4" i="5281"/>
  <c r="H2" i="5281"/>
  <c r="H8" i="5281"/>
  <c r="C17" i="5281"/>
  <c r="H2" i="5283"/>
  <c r="H4" i="5283"/>
  <c r="H9" i="5283"/>
  <c r="H6" i="5283"/>
  <c r="C17" i="5283"/>
  <c r="H3" i="5283"/>
  <c r="H8" i="5283"/>
  <c r="H10" i="5283"/>
  <c r="H12" i="5283"/>
  <c r="H17" i="5283"/>
  <c r="H19" i="5283"/>
  <c r="H22" i="5283"/>
  <c r="H24" i="5283"/>
  <c r="H27" i="5283"/>
  <c r="H31" i="5283"/>
  <c r="H35" i="5283"/>
  <c r="H39" i="5283"/>
  <c r="H43" i="5283"/>
  <c r="H47" i="5283"/>
  <c r="H51" i="5283"/>
  <c r="H5" i="5283"/>
  <c r="H11" i="5283"/>
  <c r="H14" i="5283"/>
  <c r="H16" i="5283"/>
  <c r="C18" i="5283"/>
  <c r="B23" i="5283"/>
  <c r="H25" i="5283"/>
  <c r="H28" i="5283"/>
  <c r="H32" i="5283"/>
  <c r="H36" i="5283"/>
  <c r="H40" i="5283"/>
  <c r="H44" i="5283"/>
  <c r="H48" i="5283"/>
  <c r="H18" i="5283"/>
  <c r="H20" i="5283"/>
  <c r="H23" i="5283"/>
  <c r="H26" i="5283"/>
  <c r="H29" i="5283"/>
  <c r="H33" i="5283"/>
  <c r="H37" i="5283"/>
  <c r="H41" i="5283"/>
  <c r="H45" i="5283"/>
  <c r="H49" i="5283"/>
  <c r="H7" i="5283"/>
  <c r="H13" i="5283"/>
  <c r="H15" i="5283"/>
  <c r="C19" i="5283"/>
  <c r="H21" i="5283"/>
  <c r="H30" i="5283"/>
  <c r="H34" i="5283"/>
  <c r="H38" i="5283"/>
  <c r="H42" i="5283"/>
  <c r="H46" i="5283"/>
  <c r="H18" i="5281"/>
  <c r="H20" i="5281"/>
  <c r="H23" i="5281"/>
  <c r="H26" i="5281"/>
  <c r="H29" i="5281"/>
  <c r="H33" i="5281"/>
  <c r="H37" i="5281"/>
  <c r="H41" i="5281"/>
  <c r="H45" i="5281"/>
  <c r="H49" i="5281"/>
  <c r="H7" i="5281"/>
  <c r="H13" i="5281"/>
  <c r="H15" i="5281"/>
  <c r="C19" i="5281"/>
  <c r="H21" i="5281"/>
  <c r="H30" i="5281"/>
  <c r="H34" i="5281"/>
  <c r="H38" i="5281"/>
  <c r="H42" i="5281"/>
  <c r="H46" i="5281"/>
  <c r="H50" i="5281"/>
  <c r="H3" i="5281"/>
  <c r="H6" i="5281"/>
  <c r="H9" i="5281"/>
  <c r="H12" i="5281"/>
  <c r="H17" i="5281"/>
  <c r="H19" i="5281"/>
  <c r="H22" i="5281"/>
  <c r="H24" i="5281"/>
  <c r="H27" i="5281"/>
  <c r="H31" i="5281"/>
  <c r="H35" i="5281"/>
  <c r="H39" i="5281"/>
  <c r="H43" i="5281"/>
  <c r="H47" i="5281"/>
  <c r="H51" i="5281"/>
  <c r="H5" i="5281"/>
  <c r="H11" i="5281"/>
  <c r="H14" i="5281"/>
  <c r="H16" i="5281"/>
  <c r="C18" i="5281"/>
  <c r="B23" i="5281"/>
  <c r="H25" i="5281"/>
  <c r="H28" i="5281"/>
  <c r="H32" i="5281"/>
  <c r="H36" i="5281"/>
  <c r="H40" i="5281"/>
  <c r="H44" i="5281"/>
  <c r="O16" i="5279" l="1"/>
  <c r="O20" i="5277"/>
  <c r="O16" i="5277"/>
  <c r="O17" i="5269"/>
  <c r="O20" i="5275" l="1"/>
  <c r="O17" i="5273"/>
  <c r="O17" i="5277"/>
  <c r="O18" i="5277"/>
  <c r="O15" i="5275" l="1"/>
  <c r="O16" i="5273"/>
  <c r="O21" i="5271"/>
  <c r="O19" i="5271"/>
  <c r="O17" i="5279"/>
  <c r="O19" i="5279"/>
  <c r="C27" i="5279"/>
  <c r="B24" i="5279"/>
  <c r="C20" i="5279"/>
  <c r="B17" i="5279"/>
  <c r="H51" i="5279" s="1"/>
  <c r="C16" i="5279"/>
  <c r="C15" i="5279"/>
  <c r="C14" i="5279"/>
  <c r="C13" i="5279"/>
  <c r="O12" i="5279"/>
  <c r="C12" i="5279"/>
  <c r="O11" i="5279"/>
  <c r="C11" i="5279"/>
  <c r="O10" i="5279"/>
  <c r="C10" i="5279"/>
  <c r="C9" i="5279"/>
  <c r="C8" i="5279"/>
  <c r="O7" i="5279"/>
  <c r="C7" i="5279"/>
  <c r="O6" i="5279"/>
  <c r="B6" i="5279"/>
  <c r="O5" i="5279"/>
  <c r="B5" i="5279"/>
  <c r="O4" i="5279"/>
  <c r="O3" i="5279"/>
  <c r="O2" i="5279"/>
  <c r="O22" i="5273"/>
  <c r="O21" i="5269"/>
  <c r="O22" i="5265"/>
  <c r="H10" i="5279" l="1"/>
  <c r="H4" i="5279"/>
  <c r="H2" i="5279"/>
  <c r="H8" i="5279"/>
  <c r="H21" i="5279"/>
  <c r="H7" i="5279"/>
  <c r="H15" i="5279"/>
  <c r="C18" i="5279"/>
  <c r="H13" i="5279"/>
  <c r="C17" i="5279"/>
  <c r="H3" i="5279"/>
  <c r="H6" i="5279"/>
  <c r="H9" i="5279"/>
  <c r="H12" i="5279"/>
  <c r="H5" i="5279"/>
  <c r="H11" i="5279"/>
  <c r="H14" i="5279"/>
  <c r="H16" i="5279"/>
  <c r="C19" i="5279"/>
  <c r="B23" i="5279"/>
  <c r="H25" i="5279"/>
  <c r="H28" i="5279"/>
  <c r="H32" i="5279"/>
  <c r="H36" i="5279"/>
  <c r="H40" i="5279"/>
  <c r="H44" i="5279"/>
  <c r="H48" i="5279"/>
  <c r="H18" i="5279"/>
  <c r="H20" i="5279"/>
  <c r="H23" i="5279"/>
  <c r="H26" i="5279"/>
  <c r="H29" i="5279"/>
  <c r="H33" i="5279"/>
  <c r="H37" i="5279"/>
  <c r="H41" i="5279"/>
  <c r="H45" i="5279"/>
  <c r="H49" i="5279"/>
  <c r="H30" i="5279"/>
  <c r="H34" i="5279"/>
  <c r="H38" i="5279"/>
  <c r="H42" i="5279"/>
  <c r="H46" i="5279"/>
  <c r="H50" i="5279"/>
  <c r="H17" i="5279"/>
  <c r="H19" i="5279"/>
  <c r="H22" i="5279"/>
  <c r="H24" i="5279"/>
  <c r="H27" i="5279"/>
  <c r="H31" i="5279"/>
  <c r="H35" i="5279"/>
  <c r="H39" i="5279"/>
  <c r="H43" i="5279"/>
  <c r="H47" i="5279"/>
  <c r="O18" i="5271" l="1"/>
  <c r="O19" i="5277"/>
  <c r="O15" i="5277"/>
  <c r="C27" i="5277"/>
  <c r="B24" i="5277"/>
  <c r="C20" i="5277"/>
  <c r="B17" i="5277"/>
  <c r="H51" i="5277" s="1"/>
  <c r="C16" i="5277"/>
  <c r="C15" i="5277"/>
  <c r="C14" i="5277"/>
  <c r="C13" i="5277"/>
  <c r="O12" i="5277"/>
  <c r="C12" i="5277"/>
  <c r="O11" i="5277"/>
  <c r="C11" i="5277"/>
  <c r="O10" i="5277"/>
  <c r="C10" i="5277"/>
  <c r="C9" i="5277"/>
  <c r="C8" i="5277"/>
  <c r="O7" i="5277"/>
  <c r="C7" i="5277"/>
  <c r="O6" i="5277"/>
  <c r="B6" i="5277"/>
  <c r="O5" i="5277"/>
  <c r="B5" i="5277"/>
  <c r="O4" i="5277"/>
  <c r="O3" i="5277"/>
  <c r="O2" i="5277"/>
  <c r="O19" i="5267"/>
  <c r="O18" i="5265"/>
  <c r="O21" i="5275"/>
  <c r="O18" i="5269"/>
  <c r="O19" i="5269"/>
  <c r="O20" i="5273"/>
  <c r="O22" i="5275"/>
  <c r="O23" i="5275"/>
  <c r="C27" i="5275"/>
  <c r="B24" i="5275"/>
  <c r="C20" i="5275"/>
  <c r="B17" i="5275"/>
  <c r="H51" i="5275" s="1"/>
  <c r="C16" i="5275"/>
  <c r="C15" i="5275"/>
  <c r="C14" i="5275"/>
  <c r="C13" i="5275"/>
  <c r="O12" i="5275"/>
  <c r="C12" i="5275"/>
  <c r="O11" i="5275"/>
  <c r="C11" i="5275"/>
  <c r="O10" i="5275"/>
  <c r="C10" i="5275"/>
  <c r="C9" i="5275"/>
  <c r="C8" i="5275"/>
  <c r="O7" i="5275"/>
  <c r="C7" i="5275"/>
  <c r="O6" i="5275"/>
  <c r="B6" i="5275"/>
  <c r="O5" i="5275"/>
  <c r="B5" i="5275"/>
  <c r="O4" i="5275"/>
  <c r="O3" i="5275"/>
  <c r="O2" i="5275"/>
  <c r="O19" i="5273"/>
  <c r="O18" i="5273"/>
  <c r="C27" i="5273"/>
  <c r="B24" i="5273"/>
  <c r="C20" i="5273"/>
  <c r="B17" i="5273"/>
  <c r="H51" i="5273" s="1"/>
  <c r="C16" i="5273"/>
  <c r="C15" i="5273"/>
  <c r="C14" i="5273"/>
  <c r="C13" i="5273"/>
  <c r="O12" i="5273"/>
  <c r="C12" i="5273"/>
  <c r="O11" i="5273"/>
  <c r="C11" i="5273"/>
  <c r="O10" i="5273"/>
  <c r="C10" i="5273"/>
  <c r="C9" i="5273"/>
  <c r="C8" i="5273"/>
  <c r="O7" i="5273"/>
  <c r="C7" i="5273"/>
  <c r="O6" i="5273"/>
  <c r="B6" i="5273"/>
  <c r="O5" i="5273"/>
  <c r="B5" i="5273"/>
  <c r="O4" i="5273"/>
  <c r="O3" i="5273"/>
  <c r="O2" i="5273"/>
  <c r="O20" i="5267"/>
  <c r="O23" i="5267"/>
  <c r="O21" i="5265"/>
  <c r="O23" i="5265"/>
  <c r="H8" i="5275" l="1"/>
  <c r="C17" i="5277"/>
  <c r="H14" i="5277"/>
  <c r="H11" i="5277"/>
  <c r="H5" i="5277"/>
  <c r="H8" i="5277"/>
  <c r="H4" i="5277"/>
  <c r="H7" i="5277"/>
  <c r="H2" i="5277"/>
  <c r="H10" i="5277"/>
  <c r="H16" i="5277"/>
  <c r="H2" i="5275"/>
  <c r="H4" i="5275"/>
  <c r="H10" i="5275"/>
  <c r="H2" i="5273"/>
  <c r="H3" i="5273"/>
  <c r="H11" i="5273"/>
  <c r="C18" i="5277"/>
  <c r="B23" i="5277"/>
  <c r="H25" i="5277"/>
  <c r="H28" i="5277"/>
  <c r="H32" i="5277"/>
  <c r="H36" i="5277"/>
  <c r="H40" i="5277"/>
  <c r="H44" i="5277"/>
  <c r="H48" i="5277"/>
  <c r="H18" i="5277"/>
  <c r="H20" i="5277"/>
  <c r="H23" i="5277"/>
  <c r="H26" i="5277"/>
  <c r="H29" i="5277"/>
  <c r="H33" i="5277"/>
  <c r="H37" i="5277"/>
  <c r="H41" i="5277"/>
  <c r="H45" i="5277"/>
  <c r="H49" i="5277"/>
  <c r="H13" i="5277"/>
  <c r="H15" i="5277"/>
  <c r="C19" i="5277"/>
  <c r="H21" i="5277"/>
  <c r="H30" i="5277"/>
  <c r="H34" i="5277"/>
  <c r="H38" i="5277"/>
  <c r="H42" i="5277"/>
  <c r="H46" i="5277"/>
  <c r="H50" i="5277"/>
  <c r="H3" i="5277"/>
  <c r="H6" i="5277"/>
  <c r="H9" i="5277"/>
  <c r="H12" i="5277"/>
  <c r="H17" i="5277"/>
  <c r="H19" i="5277"/>
  <c r="H22" i="5277"/>
  <c r="H24" i="5277"/>
  <c r="H27" i="5277"/>
  <c r="H31" i="5277"/>
  <c r="H35" i="5277"/>
  <c r="H39" i="5277"/>
  <c r="H43" i="5277"/>
  <c r="H47" i="5277"/>
  <c r="H25" i="5275"/>
  <c r="H36" i="5275"/>
  <c r="C17" i="5275"/>
  <c r="H40" i="5275"/>
  <c r="H15" i="5275"/>
  <c r="C18" i="5275"/>
  <c r="H28" i="5275"/>
  <c r="H44" i="5275"/>
  <c r="H7" i="5275"/>
  <c r="H13" i="5275"/>
  <c r="H21" i="5275"/>
  <c r="H3" i="5275"/>
  <c r="H6" i="5275"/>
  <c r="H9" i="5275"/>
  <c r="H12" i="5275"/>
  <c r="B23" i="5275"/>
  <c r="H5" i="5275"/>
  <c r="H11" i="5275"/>
  <c r="H14" i="5275"/>
  <c r="H16" i="5275"/>
  <c r="C19" i="5275"/>
  <c r="H32" i="5275"/>
  <c r="H48" i="5275"/>
  <c r="H18" i="5275"/>
  <c r="H20" i="5275"/>
  <c r="H23" i="5275"/>
  <c r="H26" i="5275"/>
  <c r="H29" i="5275"/>
  <c r="H33" i="5275"/>
  <c r="H37" i="5275"/>
  <c r="H41" i="5275"/>
  <c r="H45" i="5275"/>
  <c r="H49" i="5275"/>
  <c r="H30" i="5275"/>
  <c r="H34" i="5275"/>
  <c r="H38" i="5275"/>
  <c r="H42" i="5275"/>
  <c r="H46" i="5275"/>
  <c r="H50" i="5275"/>
  <c r="H17" i="5275"/>
  <c r="H19" i="5275"/>
  <c r="H22" i="5275"/>
  <c r="H24" i="5275"/>
  <c r="H27" i="5275"/>
  <c r="H31" i="5275"/>
  <c r="H35" i="5275"/>
  <c r="H39" i="5275"/>
  <c r="H43" i="5275"/>
  <c r="H47" i="5275"/>
  <c r="H4" i="5273"/>
  <c r="H42" i="5273"/>
  <c r="C17" i="5273"/>
  <c r="H15" i="5273"/>
  <c r="B23" i="5273"/>
  <c r="H25" i="5273"/>
  <c r="H38" i="5273"/>
  <c r="H44" i="5273"/>
  <c r="H49" i="5273"/>
  <c r="C19" i="5273"/>
  <c r="H24" i="5273"/>
  <c r="H5" i="5273"/>
  <c r="H8" i="5273"/>
  <c r="H17" i="5273"/>
  <c r="H28" i="5273"/>
  <c r="H10" i="5273"/>
  <c r="H7" i="5273"/>
  <c r="H13" i="5273"/>
  <c r="H26" i="5273"/>
  <c r="H18" i="5273"/>
  <c r="H9" i="5273"/>
  <c r="H34" i="5273"/>
  <c r="H40" i="5273"/>
  <c r="H45" i="5273"/>
  <c r="H50" i="5273"/>
  <c r="H20" i="5273"/>
  <c r="H21" i="5273"/>
  <c r="H37" i="5273"/>
  <c r="H48" i="5273"/>
  <c r="H6" i="5273"/>
  <c r="H23" i="5273"/>
  <c r="H27" i="5273"/>
  <c r="H14" i="5273"/>
  <c r="C18" i="5273"/>
  <c r="H16" i="5273"/>
  <c r="H12" i="5273"/>
  <c r="H33" i="5273"/>
  <c r="H36" i="5273"/>
  <c r="H41" i="5273"/>
  <c r="H46" i="5273"/>
  <c r="H22" i="5273"/>
  <c r="H29" i="5273"/>
  <c r="H30" i="5273"/>
  <c r="H31" i="5273"/>
  <c r="H32" i="5273"/>
  <c r="H19" i="5273"/>
  <c r="H35" i="5273"/>
  <c r="H39" i="5273"/>
  <c r="H43" i="5273"/>
  <c r="H47" i="5273"/>
  <c r="O17" i="5271" l="1"/>
  <c r="O20" i="5271"/>
  <c r="C27" i="5271"/>
  <c r="B24" i="5271"/>
  <c r="C20" i="5271"/>
  <c r="B17" i="5271"/>
  <c r="H50" i="5271" s="1"/>
  <c r="C16" i="5271"/>
  <c r="C15" i="5271"/>
  <c r="C14" i="5271"/>
  <c r="C13" i="5271"/>
  <c r="O12" i="5271"/>
  <c r="C12" i="5271"/>
  <c r="O11" i="5271"/>
  <c r="C11" i="5271"/>
  <c r="O10" i="5271"/>
  <c r="C10" i="5271"/>
  <c r="C9" i="5271"/>
  <c r="C8" i="5271"/>
  <c r="O7" i="5271"/>
  <c r="C7" i="5271"/>
  <c r="O6" i="5271"/>
  <c r="B6" i="5271"/>
  <c r="O5" i="5271"/>
  <c r="B5" i="5271"/>
  <c r="O4" i="5271"/>
  <c r="O3" i="5271"/>
  <c r="O2" i="5271"/>
  <c r="O22" i="5269"/>
  <c r="O16" i="5269"/>
  <c r="C27" i="5269"/>
  <c r="B24" i="5269"/>
  <c r="C20" i="5269"/>
  <c r="B17" i="5269"/>
  <c r="H49" i="5269" s="1"/>
  <c r="C16" i="5269"/>
  <c r="C15" i="5269"/>
  <c r="C14" i="5269"/>
  <c r="C13" i="5269"/>
  <c r="O12" i="5269"/>
  <c r="C12" i="5269"/>
  <c r="O11" i="5269"/>
  <c r="C11" i="5269"/>
  <c r="O10" i="5269"/>
  <c r="C10" i="5269"/>
  <c r="C9" i="5269"/>
  <c r="C8" i="5269"/>
  <c r="O7" i="5269"/>
  <c r="C7" i="5269"/>
  <c r="O6" i="5269"/>
  <c r="B6" i="5269"/>
  <c r="O5" i="5269"/>
  <c r="B5" i="5269"/>
  <c r="O4" i="5269"/>
  <c r="O3" i="5269"/>
  <c r="O2" i="5269"/>
  <c r="O24" i="5265"/>
  <c r="O16" i="5267"/>
  <c r="O21" i="5267"/>
  <c r="C27" i="5267"/>
  <c r="B24" i="5267"/>
  <c r="C20" i="5267"/>
  <c r="B17" i="5267"/>
  <c r="H51" i="5267" s="1"/>
  <c r="C16" i="5267"/>
  <c r="C15" i="5267"/>
  <c r="C14" i="5267"/>
  <c r="C13" i="5267"/>
  <c r="O12" i="5267"/>
  <c r="C12" i="5267"/>
  <c r="O11" i="5267"/>
  <c r="C11" i="5267"/>
  <c r="O10" i="5267"/>
  <c r="C10" i="5267"/>
  <c r="C9" i="5267"/>
  <c r="C8" i="5267"/>
  <c r="O7" i="5267"/>
  <c r="C7" i="5267"/>
  <c r="O6" i="5267"/>
  <c r="B6" i="5267"/>
  <c r="O5" i="5267"/>
  <c r="B5" i="5267"/>
  <c r="O4" i="5267"/>
  <c r="O3" i="5267"/>
  <c r="O2" i="5267"/>
  <c r="O16" i="5265"/>
  <c r="O20" i="5265"/>
  <c r="C27" i="5265"/>
  <c r="B24" i="5265"/>
  <c r="C20" i="5265"/>
  <c r="B17" i="5265"/>
  <c r="H50" i="5265" s="1"/>
  <c r="C16" i="5265"/>
  <c r="C15" i="5265"/>
  <c r="C14" i="5265"/>
  <c r="C13" i="5265"/>
  <c r="O12" i="5265"/>
  <c r="C12" i="5265"/>
  <c r="O11" i="5265"/>
  <c r="C11" i="5265"/>
  <c r="O10" i="5265"/>
  <c r="C10" i="5265"/>
  <c r="C9" i="5265"/>
  <c r="C8" i="5265"/>
  <c r="O7" i="5265"/>
  <c r="C7" i="5265"/>
  <c r="O6" i="5265"/>
  <c r="B6" i="5265"/>
  <c r="O5" i="5265"/>
  <c r="B5" i="5265"/>
  <c r="O4" i="5265"/>
  <c r="O3" i="5265"/>
  <c r="O2" i="5265"/>
  <c r="H9" i="5271" l="1"/>
  <c r="H3" i="5271"/>
  <c r="H10" i="5269"/>
  <c r="H8" i="5269"/>
  <c r="H2" i="5271"/>
  <c r="H7" i="5271"/>
  <c r="H11" i="5267"/>
  <c r="H30" i="5267"/>
  <c r="C18" i="5267"/>
  <c r="H20" i="5267"/>
  <c r="H6" i="5267"/>
  <c r="H2" i="5267"/>
  <c r="H4" i="5267"/>
  <c r="H3" i="5267"/>
  <c r="H17" i="5267"/>
  <c r="H17" i="5271"/>
  <c r="H12" i="5271"/>
  <c r="H35" i="5271"/>
  <c r="H47" i="5271"/>
  <c r="H8" i="5271"/>
  <c r="H25" i="5271"/>
  <c r="H19" i="5271"/>
  <c r="C17" i="5271"/>
  <c r="H39" i="5271"/>
  <c r="H48" i="5271"/>
  <c r="H13" i="5271"/>
  <c r="H4" i="5271"/>
  <c r="H20" i="5271"/>
  <c r="H32" i="5271"/>
  <c r="H40" i="5271"/>
  <c r="H10" i="5271"/>
  <c r="H16" i="5271"/>
  <c r="H14" i="5271"/>
  <c r="H6" i="5271"/>
  <c r="H24" i="5271"/>
  <c r="H26" i="5271"/>
  <c r="H15" i="5271"/>
  <c r="C18" i="5271"/>
  <c r="H18" i="5271"/>
  <c r="H43" i="5271"/>
  <c r="H30" i="5269"/>
  <c r="H5" i="5269"/>
  <c r="H9" i="5269"/>
  <c r="H12" i="5269"/>
  <c r="C18" i="5269"/>
  <c r="H4" i="5269"/>
  <c r="H2" i="5269"/>
  <c r="H16" i="5269"/>
  <c r="H11" i="5265"/>
  <c r="H51" i="5271"/>
  <c r="C19" i="5271"/>
  <c r="H29" i="5271"/>
  <c r="H11" i="5271"/>
  <c r="H36" i="5271"/>
  <c r="H44" i="5271"/>
  <c r="H5" i="5271"/>
  <c r="B23" i="5271"/>
  <c r="H21" i="5271"/>
  <c r="H31" i="5271"/>
  <c r="H33" i="5271"/>
  <c r="H37" i="5271"/>
  <c r="H41" i="5271"/>
  <c r="H45" i="5271"/>
  <c r="H49" i="5271"/>
  <c r="H27" i="5271"/>
  <c r="H28" i="5271"/>
  <c r="H30" i="5271"/>
  <c r="H22" i="5271"/>
  <c r="H23" i="5271"/>
  <c r="H34" i="5271"/>
  <c r="H38" i="5271"/>
  <c r="H42" i="5271"/>
  <c r="H46" i="5271"/>
  <c r="H14" i="5269"/>
  <c r="H21" i="5269"/>
  <c r="H31" i="5269"/>
  <c r="H3" i="5269"/>
  <c r="H6" i="5269"/>
  <c r="H11" i="5269"/>
  <c r="H17" i="5269"/>
  <c r="H39" i="5269"/>
  <c r="H42" i="5269"/>
  <c r="H19" i="5269"/>
  <c r="H24" i="5269"/>
  <c r="H34" i="5269"/>
  <c r="H46" i="5269"/>
  <c r="H7" i="5269"/>
  <c r="H13" i="5269"/>
  <c r="H15" i="5269"/>
  <c r="C17" i="5269"/>
  <c r="H38" i="5269"/>
  <c r="H47" i="5269"/>
  <c r="H50" i="5269"/>
  <c r="C19" i="5269"/>
  <c r="H22" i="5269"/>
  <c r="H27" i="5269"/>
  <c r="H35" i="5269"/>
  <c r="H43" i="5269"/>
  <c r="H51" i="5269"/>
  <c r="B23" i="5269"/>
  <c r="H25" i="5269"/>
  <c r="H28" i="5269"/>
  <c r="H32" i="5269"/>
  <c r="H36" i="5269"/>
  <c r="H40" i="5269"/>
  <c r="H44" i="5269"/>
  <c r="H48" i="5269"/>
  <c r="H18" i="5269"/>
  <c r="H20" i="5269"/>
  <c r="H23" i="5269"/>
  <c r="H26" i="5269"/>
  <c r="H29" i="5269"/>
  <c r="H33" i="5269"/>
  <c r="H37" i="5269"/>
  <c r="H41" i="5269"/>
  <c r="H45" i="5269"/>
  <c r="H3" i="5265"/>
  <c r="C17" i="5265"/>
  <c r="H2" i="5265"/>
  <c r="H4" i="5265"/>
  <c r="B23" i="5267"/>
  <c r="H9" i="5267"/>
  <c r="H36" i="5267"/>
  <c r="H44" i="5267"/>
  <c r="H38" i="5267"/>
  <c r="C17" i="5267"/>
  <c r="H13" i="5267"/>
  <c r="H40" i="5267"/>
  <c r="H49" i="5267"/>
  <c r="H15" i="5267"/>
  <c r="H25" i="5267"/>
  <c r="H45" i="5267"/>
  <c r="H8" i="5267"/>
  <c r="H21" i="5267"/>
  <c r="H22" i="5267"/>
  <c r="H27" i="5267"/>
  <c r="H10" i="5267"/>
  <c r="H7" i="5267"/>
  <c r="H12" i="5267"/>
  <c r="H29" i="5267"/>
  <c r="H19" i="5267"/>
  <c r="H14" i="5267"/>
  <c r="H35" i="5267"/>
  <c r="H41" i="5267"/>
  <c r="H50" i="5267"/>
  <c r="H46" i="5267"/>
  <c r="H16" i="5267"/>
  <c r="C19" i="5267"/>
  <c r="H33" i="5267"/>
  <c r="H24" i="5267"/>
  <c r="H26" i="5267"/>
  <c r="H37" i="5267"/>
  <c r="H42" i="5267"/>
  <c r="H48" i="5267"/>
  <c r="H5" i="5267"/>
  <c r="H31" i="5267"/>
  <c r="H32" i="5267"/>
  <c r="H23" i="5267"/>
  <c r="H34" i="5267"/>
  <c r="H18" i="5267"/>
  <c r="H28" i="5267"/>
  <c r="H39" i="5267"/>
  <c r="H43" i="5267"/>
  <c r="H47" i="5267"/>
  <c r="H34" i="5265"/>
  <c r="H35" i="5265"/>
  <c r="H28" i="5265"/>
  <c r="H29" i="5265"/>
  <c r="H17" i="5265"/>
  <c r="H30" i="5265"/>
  <c r="H40" i="5265"/>
  <c r="H43" i="5265"/>
  <c r="H47" i="5265"/>
  <c r="H51" i="5265"/>
  <c r="H8" i="5265"/>
  <c r="H20" i="5265"/>
  <c r="H26" i="5265"/>
  <c r="C19" i="5265"/>
  <c r="H14" i="5265"/>
  <c r="H23" i="5265"/>
  <c r="H37" i="5265"/>
  <c r="H41" i="5265"/>
  <c r="H44" i="5265"/>
  <c r="H48" i="5265"/>
  <c r="H19" i="5265"/>
  <c r="H10" i="5265"/>
  <c r="H6" i="5265"/>
  <c r="H12" i="5265"/>
  <c r="H22" i="5265"/>
  <c r="H18" i="5265"/>
  <c r="H15" i="5265"/>
  <c r="H27" i="5265"/>
  <c r="H13" i="5265"/>
  <c r="H9" i="5265"/>
  <c r="H24" i="5265"/>
  <c r="H38" i="5265"/>
  <c r="H33" i="5265"/>
  <c r="H45" i="5265"/>
  <c r="H49" i="5265"/>
  <c r="H5" i="5265"/>
  <c r="H7" i="5265"/>
  <c r="H21" i="5265"/>
  <c r="H31" i="5265"/>
  <c r="H16" i="5265"/>
  <c r="C18" i="5265"/>
  <c r="B23" i="5265"/>
  <c r="H25" i="5265"/>
  <c r="H32" i="5265"/>
  <c r="H36" i="5265"/>
  <c r="H39" i="5265"/>
  <c r="H42" i="5265"/>
  <c r="H46" i="526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<sst xmlns="http://schemas.openxmlformats.org/spreadsheetml/2006/main" count="3205" uniqueCount="235">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</sst>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全体!$K$2:$K$518</c:f>
              <c:numCache>
                <c:formatCode>General</c:formatCode>
                <c:ptCount val="5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</c:numCache>
            </c:numRef>
          </c:xVal>
          <c:yVal>
            <c:numRef>
              <c:f>全体!$L$2:$L$518</c:f>
              <c:numCache>
                <c:formatCode>\+0.0;\-0.0;\±0</c:formatCode>
                <c:ptCount val="51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36.400000000000006</c:v>
                </c:pt>
                <c:pt idx="515">
                  <c:v>45.900000000000006</c:v>
                </c:pt>
                <c:pt idx="51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3-47A4-81E0-C4FA6229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-15.503875968992247</c:v>
                </c:pt>
                <c:pt idx="1">
                  <c:v>-7.9365079365079367</c:v>
                </c:pt>
                <c:pt idx="2">
                  <c:v>12.5</c:v>
                </c:pt>
                <c:pt idx="3">
                  <c:v>6.9444444444444446</c:v>
                </c:pt>
                <c:pt idx="4">
                  <c:v>-12.919896640826874</c:v>
                </c:pt>
                <c:pt idx="5">
                  <c:v>22.598870056497177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B-41AD-B3C2-3FE6B91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1387.5000000000009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A26-A4AC-9C8D3857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1813.9130434782608</c:v>
                </c:pt>
                <c:pt idx="1">
                  <c:v>1475.8928571428571</c:v>
                </c:pt>
                <c:pt idx="2">
                  <c:v>1574.766355140187</c:v>
                </c:pt>
                <c:pt idx="3">
                  <c:v>2035.0515463917525</c:v>
                </c:pt>
                <c:pt idx="4">
                  <c:v>198.8235294117647</c:v>
                </c:pt>
                <c:pt idx="5">
                  <c:v>339.4736842105263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0-4EAD-8885-5F0EEA83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DA-420D-8935-CDF3A26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7-4C51-930E-DF6CC9BB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ただ!$L$2:$L$64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3-4540-A5F5-B90EB183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-2414.516129032258</c:v>
                </c:pt>
                <c:pt idx="1">
                  <c:v>-1278.3333333333333</c:v>
                </c:pt>
                <c:pt idx="2">
                  <c:v>-1119.6428571428571</c:v>
                </c:pt>
                <c:pt idx="3">
                  <c:v>-5270.833333333333</c:v>
                </c:pt>
                <c:pt idx="4">
                  <c:v>-1266.6666666666667</c:v>
                </c:pt>
                <c:pt idx="5">
                  <c:v>-1741.0256410256411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A-4701-9361-FA1A32D6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115.69999999999999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6-460E-B2AA-6A258CDF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-755.71428571428567</c:v>
                </c:pt>
                <c:pt idx="1">
                  <c:v>931.8840579710145</c:v>
                </c:pt>
                <c:pt idx="2">
                  <c:v>1369.6969696969697</c:v>
                </c:pt>
                <c:pt idx="3">
                  <c:v>2346.4285714285716</c:v>
                </c:pt>
                <c:pt idx="4">
                  <c:v>-1272</c:v>
                </c:pt>
                <c:pt idx="5">
                  <c:v>741.304347826087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F-4476-99D0-551506E6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4-4D9C-968C-A8AD8806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F-4320-8445-5242A3A22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0-47F3-83E7-5DDEA4ED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9-4908-A7B1-57DE9720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C-4C17-90FD-994C9C863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683.78378378378375</c:v>
                </c:pt>
                <c:pt idx="1">
                  <c:v>142.85714285714286</c:v>
                </c:pt>
                <c:pt idx="2">
                  <c:v>-1475.7575757575758</c:v>
                </c:pt>
                <c:pt idx="3">
                  <c:v>2278.125</c:v>
                </c:pt>
                <c:pt idx="4">
                  <c:v>-596.42857142857144</c:v>
                </c:pt>
                <c:pt idx="5">
                  <c:v>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0-4A21-8236-2D26FAE6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856-827E-69D0637B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856-BD8B-6B453B9E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2-4AF6-A722-714EECFA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4-4816-88C2-C294B20D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C0A-9C07-EE5E5BF3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EB5-82B3-24713C4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F-436B-8D08-B800F8BB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6C5-80F4-E339C1B7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3E7-82E6-A1F1210F6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C-4EAF-889F-5FE88386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れんたろう2!$B$3:$B$73</c:f>
              <c:numCache>
                <c:formatCode>\+0.0;\-0.0;\±0</c:formatCode>
                <c:ptCount val="7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115.69999999999999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れんたろう2!$C$3:$C$73</c:f>
              <c:numCache>
                <c:formatCode>\+0.0;\-0.0;\±0</c:formatCode>
                <c:ptCount val="71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1.6528571428571428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77020805736628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れんたろう2!$D$3:$D$73</c:f>
              <c:numCache>
                <c:formatCode>0.00\ "位"</c:formatCode>
                <c:ptCount val="71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2.0571428571428569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れんたろう2!$E$3:$E$73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れんたろう2!$F$3:$F$73</c:f>
              <c:numCache>
                <c:formatCode>0.0%</c:formatCode>
                <c:ptCount val="71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れんたろう2!$G$3:$G$73</c:f>
              <c:numCache>
                <c:formatCode>0.0%</c:formatCode>
                <c:ptCount val="71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0.27953410981697169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2773925104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れんたろう2!$H$3:$H$73</c:f>
              <c:numCache>
                <c:formatCode>0.0%</c:formatCode>
                <c:ptCount val="71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0.16306156405990016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89782709200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れんたろう2!$I$3:$I$73</c:f>
              <c:numCache>
                <c:formatCode>0</c:formatCode>
                <c:ptCount val="71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9722.0238095238092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85.9122401847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れんたろう2!$J$3:$J$73</c:f>
              <c:numCache>
                <c:formatCode>0</c:formatCode>
                <c:ptCount val="71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-7759.1836734693879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98.0609418282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れんたろう2!$K$3:$K$73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4031007751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れんたろう2!$L$3:$L$73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4031007751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れんたろう2!$M$3:$M$73</c:f>
              <c:numCache>
                <c:formatCode>0.0%</c:formatCode>
                <c:ptCount val="71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0.27953410981697169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005547850208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れんたろう2!$N$3:$N$73</c:f>
              <c:numCache>
                <c:formatCode>0.0%</c:formatCode>
                <c:ptCount val="71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0.18635607321131448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04946833102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れんたろう2!$O$3:$O$73</c:f>
              <c:numCache>
                <c:formatCode>0.0%</c:formatCode>
                <c:ptCount val="71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0.5892857142857143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93969849246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れんたろう2!$P$3:$P$73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0.4017857142857143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82803943044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れんたろう2!$Q$3:$Q$73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02925327174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43607.920266203706</v>
      </c>
      <c r="C46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516</v>
      </c>
    </row>
    <row r="2" spans="1:2" x14ac:dyDescent="0.4">
      <c r="A2" t="s">
        <v>127</v>
      </c>
      <c r="B2">
        <v>115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62</v>
      </c>
    </row>
    <row r="5" spans="1:2" x14ac:dyDescent="0.4">
      <c r="A5" t="s">
        <v>171</v>
      </c>
      <c r="B5">
        <v>70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37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0.46479888492941263</v>
      </c>
      <c r="G2" s="155"/>
      <c r="H2" s="154">
        <v>9.0935791967848373E-2</v>
      </c>
      <c r="I2" s="155"/>
      <c r="J2" s="154">
        <v>0.66787352592887694</v>
      </c>
      <c r="K2" s="155"/>
      <c r="L2" s="154">
        <v>0.27180786546583002</v>
      </c>
      <c r="M2" s="155"/>
      <c r="N2" s="154">
        <v>0.52691953514629319</v>
      </c>
      <c r="O2" s="155"/>
      <c r="P2" s="154">
        <v>0.42805346849892206</v>
      </c>
      <c r="Q2" s="155"/>
      <c r="R2" s="154">
        <v>-7.1212777884556502E-2</v>
      </c>
      <c r="S2" s="155"/>
      <c r="T2" s="154">
        <v>0.22420648211353375</v>
      </c>
      <c r="U2" s="155"/>
      <c r="V2" s="154">
        <v>0.73991132623914679</v>
      </c>
      <c r="W2" s="155"/>
      <c r="X2" s="154">
        <v>0.85912427414911929</v>
      </c>
      <c r="Y2" s="155"/>
      <c r="Z2" s="154">
        <v>-8.7752701066701619E-2</v>
      </c>
      <c r="AA2" s="155"/>
      <c r="AB2" s="154">
        <v>-0.34871484131835867</v>
      </c>
      <c r="AC2" s="155"/>
      <c r="AD2" s="154">
        <v>4.1699555126687646E-2</v>
      </c>
      <c r="AE2" s="155"/>
      <c r="AF2" s="154">
        <v>-0.50754072021339891</v>
      </c>
      <c r="AG2" s="155"/>
      <c r="AH2" s="154">
        <v>0.73116961431530958</v>
      </c>
      <c r="AI2" s="155"/>
    </row>
    <row r="3" spans="1:35" x14ac:dyDescent="0.4">
      <c r="A3" s="74">
        <v>1</v>
      </c>
      <c r="B3" s="75" t="s">
        <v>127</v>
      </c>
      <c r="C3" s="76">
        <v>1387.5000000000009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0.17391304347826086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0.5145631067961165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115.69999999999999</v>
      </c>
      <c r="D4" s="85" t="s">
        <v>224</v>
      </c>
      <c r="E4" s="97">
        <v>13.3</v>
      </c>
      <c r="F4" s="85" t="s">
        <v>127</v>
      </c>
      <c r="G4" s="86">
        <v>1.7391304347826086</v>
      </c>
      <c r="H4" s="85" t="s">
        <v>127</v>
      </c>
      <c r="I4" s="87">
        <v>0.4956521739130435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9722.0238095238092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0.12857142857142856</v>
      </c>
      <c r="X4" s="85" t="s">
        <v>127</v>
      </c>
      <c r="Y4" s="88">
        <v>0.3261802575107296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12.065217391304357</v>
      </c>
      <c r="F5" s="85" t="s">
        <v>177</v>
      </c>
      <c r="G5" s="86">
        <v>1.9459459459459461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0.35193133047210301</v>
      </c>
      <c r="N5" s="85" t="s">
        <v>172</v>
      </c>
      <c r="O5" s="88">
        <v>0.13291139240506328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0.11290322580645161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0.69565217391304346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1.6528571428571428</v>
      </c>
      <c r="F6" s="85" t="s">
        <v>145</v>
      </c>
      <c r="G6" s="86">
        <v>2</v>
      </c>
      <c r="H6" s="85" t="s">
        <v>177</v>
      </c>
      <c r="I6" s="87">
        <v>0.40540540540540543</v>
      </c>
      <c r="J6" s="85" t="s">
        <v>127</v>
      </c>
      <c r="K6" s="87">
        <v>0.23478260869565218</v>
      </c>
      <c r="L6" s="85" t="s">
        <v>202</v>
      </c>
      <c r="M6" s="88">
        <v>0.30434782608695654</v>
      </c>
      <c r="N6" s="85" t="s">
        <v>127</v>
      </c>
      <c r="O6" s="88">
        <v>0.15128755364806867</v>
      </c>
      <c r="P6" s="85" t="s">
        <v>129</v>
      </c>
      <c r="Q6" s="89">
        <v>9173.9130434782601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145</v>
      </c>
      <c r="W6" s="87">
        <v>0.1124031007751938</v>
      </c>
      <c r="X6" s="85" t="s">
        <v>171</v>
      </c>
      <c r="Y6" s="88">
        <v>0.27953410981697169</v>
      </c>
      <c r="Z6" s="85" t="s">
        <v>127</v>
      </c>
      <c r="AA6" s="88">
        <v>0.22103004291845493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44.70000000000001</v>
      </c>
      <c r="D7" s="85" t="s">
        <v>177</v>
      </c>
      <c r="E7" s="97">
        <v>1.2081081081081084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0.31481481481481483</v>
      </c>
      <c r="L7" s="85" t="s">
        <v>145</v>
      </c>
      <c r="M7" s="88">
        <v>0.3002773925104022</v>
      </c>
      <c r="N7" s="85" t="s">
        <v>171</v>
      </c>
      <c r="O7" s="88">
        <v>0.16306156405990016</v>
      </c>
      <c r="P7" s="85" t="s">
        <v>127</v>
      </c>
      <c r="Q7" s="89">
        <v>9000.6097560975613</v>
      </c>
      <c r="R7" s="85" t="s">
        <v>177</v>
      </c>
      <c r="S7" s="89">
        <v>-7680.3921568627447</v>
      </c>
      <c r="T7" s="85" t="s">
        <v>171</v>
      </c>
      <c r="U7" s="87">
        <v>4.2857142857142858E-2</v>
      </c>
      <c r="V7" s="85" t="s">
        <v>172</v>
      </c>
      <c r="W7" s="87">
        <v>0.1111111111111111</v>
      </c>
      <c r="X7" s="85" t="s">
        <v>145</v>
      </c>
      <c r="Y7" s="88">
        <v>0.27600554785020803</v>
      </c>
      <c r="Z7" s="85" t="s">
        <v>177</v>
      </c>
      <c r="AA7" s="88">
        <v>0.2168284789644013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1.0296296296296295</v>
      </c>
      <c r="F8" s="85" t="s">
        <v>224</v>
      </c>
      <c r="G8" s="86">
        <v>2</v>
      </c>
      <c r="H8" s="85" t="s">
        <v>171</v>
      </c>
      <c r="I8" s="87">
        <v>0.2857142857142857</v>
      </c>
      <c r="J8" s="85" t="s">
        <v>145</v>
      </c>
      <c r="K8" s="87">
        <v>0.33333333333333331</v>
      </c>
      <c r="L8" s="85" t="s">
        <v>177</v>
      </c>
      <c r="M8" s="88">
        <v>0.29773462783171523</v>
      </c>
      <c r="N8" s="85" t="s">
        <v>177</v>
      </c>
      <c r="O8" s="88">
        <v>0.1650485436893204</v>
      </c>
      <c r="P8" s="85" t="s">
        <v>177</v>
      </c>
      <c r="Q8" s="89">
        <v>8683.6956521739139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9.6491228070175433E-2</v>
      </c>
      <c r="X8" s="85" t="s">
        <v>129</v>
      </c>
      <c r="Y8" s="88">
        <v>0.26719056974459726</v>
      </c>
      <c r="Z8" s="85" t="s">
        <v>145</v>
      </c>
      <c r="AA8" s="88">
        <v>0.21104946833102173</v>
      </c>
      <c r="AB8" s="85" t="s">
        <v>185</v>
      </c>
      <c r="AC8" s="88">
        <v>0.6</v>
      </c>
      <c r="AD8" s="85" t="s">
        <v>171</v>
      </c>
      <c r="AE8" s="88">
        <v>0.4017857142857143</v>
      </c>
      <c r="AF8" s="85" t="s">
        <v>129</v>
      </c>
      <c r="AG8" s="88">
        <v>0.4956521739130435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1.3770208057366282E-17</v>
      </c>
      <c r="F9" s="85" t="s">
        <v>172</v>
      </c>
      <c r="G9" s="86">
        <v>2.0370370370370372</v>
      </c>
      <c r="H9" s="85" t="s">
        <v>172</v>
      </c>
      <c r="I9" s="87">
        <v>0.27777777777777779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145</v>
      </c>
      <c r="O9" s="88">
        <v>0.16689782709200185</v>
      </c>
      <c r="P9" s="85" t="s">
        <v>225</v>
      </c>
      <c r="Q9" s="89">
        <v>8666.6666666666661</v>
      </c>
      <c r="R9" s="85" t="s">
        <v>171</v>
      </c>
      <c r="S9" s="89">
        <v>-7759.1836734693879</v>
      </c>
      <c r="T9" s="85" t="s">
        <v>145</v>
      </c>
      <c r="U9" s="87">
        <v>0.1124031007751938</v>
      </c>
      <c r="V9" s="85" t="s">
        <v>177</v>
      </c>
      <c r="W9" s="87">
        <v>8.1081081081081086E-2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172</v>
      </c>
      <c r="AC9" s="88">
        <v>0.59047619047619049</v>
      </c>
      <c r="AD9" s="85" t="s">
        <v>145</v>
      </c>
      <c r="AE9" s="88">
        <v>0.38882803943044908</v>
      </c>
      <c r="AF9" s="85" t="s">
        <v>145</v>
      </c>
      <c r="AG9" s="88">
        <v>0.43802925327174752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2.0571428571428569</v>
      </c>
      <c r="H10" s="85" t="s">
        <v>173</v>
      </c>
      <c r="I10" s="87">
        <v>0.27500000000000002</v>
      </c>
      <c r="J10" s="85" t="s">
        <v>171</v>
      </c>
      <c r="K10" s="87">
        <v>0.34285714285714286</v>
      </c>
      <c r="L10" s="85" t="s">
        <v>171</v>
      </c>
      <c r="M10" s="88">
        <v>0.27953410981697169</v>
      </c>
      <c r="N10" s="85" t="s">
        <v>128</v>
      </c>
      <c r="O10" s="88">
        <v>0.17003188097768332</v>
      </c>
      <c r="P10" s="85" t="s">
        <v>145</v>
      </c>
      <c r="Q10" s="89">
        <v>8585.912240184758</v>
      </c>
      <c r="R10" s="85" t="s">
        <v>145</v>
      </c>
      <c r="S10" s="89">
        <v>-8198.0609418282547</v>
      </c>
      <c r="T10" s="85" t="s">
        <v>127</v>
      </c>
      <c r="U10" s="87">
        <v>0.11304347826086956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0.37313432835820898</v>
      </c>
      <c r="AF10" s="85" t="s">
        <v>171</v>
      </c>
      <c r="AG10" s="88">
        <v>0.42857142857142855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128</v>
      </c>
      <c r="I11" s="87">
        <v>0.27192982456140352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-8415.6028368794323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186</v>
      </c>
      <c r="Y11" s="88">
        <v>0.23076923076923078</v>
      </c>
      <c r="Z11" s="85" t="s">
        <v>171</v>
      </c>
      <c r="AA11" s="88">
        <v>0.18635607321131448</v>
      </c>
      <c r="AB11" s="85" t="s">
        <v>171</v>
      </c>
      <c r="AC11" s="88">
        <v>0.5892857142857143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0.24193548387096775</v>
      </c>
      <c r="J12" s="85" t="s">
        <v>177</v>
      </c>
      <c r="K12" s="87">
        <v>0.35135135135135137</v>
      </c>
      <c r="L12" s="85" t="s">
        <v>186</v>
      </c>
      <c r="M12" s="88">
        <v>0.26923076923076922</v>
      </c>
      <c r="N12" s="85" t="s">
        <v>173</v>
      </c>
      <c r="O12" s="88">
        <v>0.1930835734870317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128</v>
      </c>
      <c r="AA12" s="88">
        <v>0.18172157279489903</v>
      </c>
      <c r="AB12" s="85" t="s">
        <v>145</v>
      </c>
      <c r="AC12" s="88">
        <v>0.5879396984924623</v>
      </c>
      <c r="AD12" s="85" t="s">
        <v>128</v>
      </c>
      <c r="AE12" s="88">
        <v>0.2982456140350877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0.4838709677419355</v>
      </c>
      <c r="L13" s="85" t="s">
        <v>185</v>
      </c>
      <c r="M13" s="88">
        <v>0.26315789473684209</v>
      </c>
      <c r="N13" s="85" t="s">
        <v>129</v>
      </c>
      <c r="O13" s="88">
        <v>0.19646365422396855</v>
      </c>
      <c r="P13" s="85" t="s">
        <v>202</v>
      </c>
      <c r="Q13" s="89">
        <v>7438.0952380952385</v>
      </c>
      <c r="R13" s="85" t="s">
        <v>129</v>
      </c>
      <c r="S13" s="89">
        <v>-9394</v>
      </c>
      <c r="T13" s="85" t="s">
        <v>177</v>
      </c>
      <c r="U13" s="87">
        <v>0.16216216216216217</v>
      </c>
      <c r="V13" s="85" t="s">
        <v>202</v>
      </c>
      <c r="W13" s="87">
        <v>0</v>
      </c>
      <c r="X13" s="85" t="s">
        <v>173</v>
      </c>
      <c r="Y13" s="88">
        <v>0.23054755043227665</v>
      </c>
      <c r="Z13" s="85" t="s">
        <v>129</v>
      </c>
      <c r="AA13" s="88">
        <v>0.16502946954813361</v>
      </c>
      <c r="AB13" s="85" t="s">
        <v>127</v>
      </c>
      <c r="AC13" s="88">
        <v>0.58223684210526316</v>
      </c>
      <c r="AD13" s="85" t="s">
        <v>129</v>
      </c>
      <c r="AE13" s="88">
        <v>0.22619047619047619</v>
      </c>
      <c r="AF13" s="85" t="s">
        <v>177</v>
      </c>
      <c r="AG13" s="88">
        <v>0.41304347826086957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-15.646774193548382</v>
      </c>
      <c r="F14" s="85" t="s">
        <v>129</v>
      </c>
      <c r="G14" s="86">
        <v>2.2419354838709675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0.22593320235756384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177</v>
      </c>
      <c r="Y14" s="88">
        <v>0.22330097087378642</v>
      </c>
      <c r="Z14" s="85" t="s">
        <v>225</v>
      </c>
      <c r="AA14" s="88">
        <v>0.125</v>
      </c>
      <c r="AB14" s="85" t="s">
        <v>129</v>
      </c>
      <c r="AC14" s="88">
        <v>0.50735294117647056</v>
      </c>
      <c r="AD14" s="85" t="s">
        <v>224</v>
      </c>
      <c r="AE14" s="88">
        <v>0</v>
      </c>
      <c r="AF14" s="85" t="s">
        <v>127</v>
      </c>
      <c r="AG14" s="88">
        <v>0.41158536585365851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-970.09999999999968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0.19354838709677419</v>
      </c>
      <c r="V15" s="85" t="s">
        <v>225</v>
      </c>
      <c r="W15" s="87">
        <v>0</v>
      </c>
      <c r="X15" s="85" t="s">
        <v>172</v>
      </c>
      <c r="Y15" s="88">
        <v>0.22151898734177214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AA192-EF1F-494F-A9AB-FDC5411916BC}">
  <sheetPr codeName="Sheet4"/>
  <dimension ref="A1:Q5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516</v>
      </c>
      <c r="C2" s="147"/>
      <c r="E2" s="62" t="s">
        <v>67</v>
      </c>
      <c r="F2" s="59" t="s">
        <v>23</v>
      </c>
      <c r="G2" s="46">
        <v>957</v>
      </c>
      <c r="H2" s="132">
        <f>IF(B$17=0,0,G2/B$17)</f>
        <v>0.73672055427251737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-15.503875968992247</v>
      </c>
      <c r="P2" s="118">
        <v>516</v>
      </c>
      <c r="Q2" s="102">
        <v>-8000</v>
      </c>
    </row>
    <row r="3" spans="1:17" x14ac:dyDescent="0.4">
      <c r="A3" s="55" t="s">
        <v>8</v>
      </c>
      <c r="B3" s="148">
        <v>4326</v>
      </c>
      <c r="C3" s="149"/>
      <c r="E3" s="63" t="s">
        <v>65</v>
      </c>
      <c r="F3" s="60" t="s">
        <v>21</v>
      </c>
      <c r="G3" s="47">
        <v>673</v>
      </c>
      <c r="H3" s="133">
        <f>IF(B$17=0,0,G3/B$17)</f>
        <v>0.51809083910700537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-7.9365079365079367</v>
      </c>
      <c r="P3" s="119">
        <v>504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667</v>
      </c>
      <c r="H4" s="133">
        <f>IF(B$17=0,0,G4/B$17)</f>
        <v>0.51347190146266364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12.5</v>
      </c>
      <c r="P4" s="119">
        <v>480</v>
      </c>
      <c r="Q4" s="103">
        <v>6000</v>
      </c>
    </row>
    <row r="5" spans="1:17" x14ac:dyDescent="0.4">
      <c r="A5" s="55" t="s">
        <v>7</v>
      </c>
      <c r="B5" s="152">
        <f>IF(B$2=0,0,B$4/B$2)</f>
        <v>1.3770208057366282E-17</v>
      </c>
      <c r="C5" s="153"/>
      <c r="E5" s="63" t="s">
        <v>181</v>
      </c>
      <c r="F5" s="60" t="s">
        <v>182</v>
      </c>
      <c r="G5" s="47">
        <v>521</v>
      </c>
      <c r="H5" s="133">
        <f>IF(B$17=0,0,G5/B$17)</f>
        <v>0.40107775211701308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6.9444444444444446</v>
      </c>
      <c r="P5" s="119">
        <v>432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407</v>
      </c>
      <c r="H6" s="133">
        <f>IF(B$17=0,0,G6/B$17)</f>
        <v>0.31331793687451887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-12.919896640826874</v>
      </c>
      <c r="P6" s="119">
        <v>387</v>
      </c>
      <c r="Q6" s="103">
        <v>-5000</v>
      </c>
    </row>
    <row r="7" spans="1:17" x14ac:dyDescent="0.4">
      <c r="A7" s="55" t="s">
        <v>2</v>
      </c>
      <c r="B7" s="47">
        <v>172</v>
      </c>
      <c r="C7" s="39">
        <f>IF(B$2=0,0,B7/B$2)</f>
        <v>0.33333333333333331</v>
      </c>
      <c r="E7" s="63" t="s">
        <v>68</v>
      </c>
      <c r="F7" s="60" t="s">
        <v>24</v>
      </c>
      <c r="G7" s="47">
        <v>394</v>
      </c>
      <c r="H7" s="133">
        <f>IF(B$17=0,0,G7/B$17)</f>
        <v>0.30331023864511164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22.598870056497177</v>
      </c>
      <c r="P7" s="120">
        <v>354</v>
      </c>
      <c r="Q7" s="104">
        <v>8000</v>
      </c>
    </row>
    <row r="8" spans="1:17" x14ac:dyDescent="0.4">
      <c r="A8" s="55" t="s">
        <v>3</v>
      </c>
      <c r="B8" s="47">
        <v>172</v>
      </c>
      <c r="C8" s="39">
        <f>IF(B$2=0,0,B8/B$2)</f>
        <v>0.33333333333333331</v>
      </c>
      <c r="E8" s="63" t="s">
        <v>70</v>
      </c>
      <c r="F8" s="60" t="s">
        <v>25</v>
      </c>
      <c r="G8" s="47">
        <v>236</v>
      </c>
      <c r="H8" s="133">
        <f>IF(B$17=0,0,G8/B$17)</f>
        <v>0.18167821401077752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157</v>
      </c>
      <c r="H9" s="133">
        <f>IF(B$17=0,0,G9/B$17)</f>
        <v>0.12086220169361046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58</v>
      </c>
      <c r="C10" s="40">
        <f>IF(B$2=0,0,B10/B$2)</f>
        <v>0.1124031007751938</v>
      </c>
      <c r="E10" s="63" t="s">
        <v>66</v>
      </c>
      <c r="F10" s="60" t="s">
        <v>22</v>
      </c>
      <c r="G10" s="47">
        <v>156</v>
      </c>
      <c r="H10" s="133">
        <f>IF(B$17=0,0,G10/B$17)</f>
        <v>0.12009237875288684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-1.4366279069767445</v>
      </c>
      <c r="P10" s="118">
        <v>172</v>
      </c>
      <c r="Q10" s="106">
        <v>-247.10000000000005</v>
      </c>
    </row>
    <row r="11" spans="1:17" x14ac:dyDescent="0.4">
      <c r="A11" s="56" t="s">
        <v>140</v>
      </c>
      <c r="B11" s="48">
        <v>58</v>
      </c>
      <c r="C11" s="40">
        <f>IF(B$2=0,0,B11/B$2)</f>
        <v>0.1124031007751938</v>
      </c>
      <c r="E11" s="63" t="s">
        <v>71</v>
      </c>
      <c r="F11" s="60" t="s">
        <v>26</v>
      </c>
      <c r="G11" s="47">
        <v>137</v>
      </c>
      <c r="H11" s="133">
        <f>IF(B$17=0,0,G11/B$17)</f>
        <v>0.10546574287913779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-1.8529069767441866</v>
      </c>
      <c r="P11" s="119">
        <v>172</v>
      </c>
      <c r="Q11" s="107">
        <v>-318.7000000000001</v>
      </c>
    </row>
    <row r="12" spans="1:17" x14ac:dyDescent="0.4">
      <c r="A12" s="57" t="s">
        <v>160</v>
      </c>
      <c r="B12" s="49">
        <v>43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86</v>
      </c>
      <c r="H12" s="133">
        <f>IF(B$17=0,0,G12/B$17)</f>
        <v>6.6204772902232492E-2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3.2895348837209308</v>
      </c>
      <c r="P12" s="120">
        <v>172</v>
      </c>
      <c r="Q12" s="108">
        <v>565.80000000000007</v>
      </c>
    </row>
    <row r="13" spans="1:17" x14ac:dyDescent="0.4">
      <c r="A13" s="58" t="s">
        <v>122</v>
      </c>
      <c r="B13" s="50">
        <v>1194</v>
      </c>
      <c r="C13" s="44">
        <f>IF(B$3=0,0,B13/B$3)</f>
        <v>0.27600554785020803</v>
      </c>
      <c r="E13" s="63" t="s">
        <v>87</v>
      </c>
      <c r="F13" s="60" t="s">
        <v>42</v>
      </c>
      <c r="G13" s="47">
        <v>76</v>
      </c>
      <c r="H13" s="133">
        <f>IF(B$17=0,0,G13/B$17)</f>
        <v>5.8506543494996149E-2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913</v>
      </c>
      <c r="C14" s="39">
        <f>IF(B$3=0,0,B14/B$3)</f>
        <v>0.21104946833102173</v>
      </c>
      <c r="E14" s="63" t="s">
        <v>84</v>
      </c>
      <c r="F14" s="60" t="s">
        <v>39</v>
      </c>
      <c r="G14" s="47">
        <v>59</v>
      </c>
      <c r="H14" s="133">
        <f>IF(B$17=0,0,G14/B$17)</f>
        <v>4.5419553502694381E-2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702</v>
      </c>
      <c r="C15" s="37">
        <f>IF(B$13=0,0,B15/B$13)</f>
        <v>0.5879396984924623</v>
      </c>
      <c r="E15" s="63" t="s">
        <v>82</v>
      </c>
      <c r="F15" s="60" t="s">
        <v>37</v>
      </c>
      <c r="G15" s="47">
        <v>38</v>
      </c>
      <c r="H15" s="133">
        <f>IF(B$17=0,0,G15/B$17)</f>
        <v>2.9253271747498075E-2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355</v>
      </c>
      <c r="C16" s="37">
        <f>IF(B$14=0,0,B16/B$14)</f>
        <v>0.38882803943044908</v>
      </c>
      <c r="E16" s="63" t="s">
        <v>79</v>
      </c>
      <c r="F16" s="60" t="s">
        <v>34</v>
      </c>
      <c r="G16" s="47">
        <v>30</v>
      </c>
      <c r="H16" s="133">
        <f>IF(B$17=0,0,G16/B$17)</f>
        <v>2.3094688221709007E-2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23.470161290322601</v>
      </c>
      <c r="P16" s="119">
        <v>124</v>
      </c>
      <c r="Q16" s="107">
        <v>2910.3000000000025</v>
      </c>
    </row>
    <row r="17" spans="1:17" x14ac:dyDescent="0.4">
      <c r="A17" s="54" t="s">
        <v>10</v>
      </c>
      <c r="B17" s="46">
        <f>B19+B18</f>
        <v>1299</v>
      </c>
      <c r="C17" s="37">
        <f>IF(B$3=0,0,B17/B$3)</f>
        <v>0.3002773925104022</v>
      </c>
      <c r="E17" s="63" t="s">
        <v>92</v>
      </c>
      <c r="F17" s="60" t="s">
        <v>47</v>
      </c>
      <c r="G17" s="47">
        <v>23</v>
      </c>
      <c r="H17" s="133">
        <f>IF(B$17=0,0,G17/B$17)</f>
        <v>1.7705927636643571E-2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569</v>
      </c>
      <c r="C18" s="39">
        <f>IF(B$17=0,0,B18/B$17)</f>
        <v>0.43802925327174752</v>
      </c>
      <c r="E18" s="63" t="s">
        <v>80</v>
      </c>
      <c r="F18" s="60" t="s">
        <v>35</v>
      </c>
      <c r="G18" s="47">
        <v>21</v>
      </c>
      <c r="H18" s="133">
        <f>IF(B$17=0,0,G18/B$17)</f>
        <v>1.6166281755196306E-2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730</v>
      </c>
      <c r="C19" s="39">
        <f>IF(B$17=0,0,B19/B$17)</f>
        <v>0.56197074672825253</v>
      </c>
      <c r="E19" s="63" t="s">
        <v>180</v>
      </c>
      <c r="F19" s="60" t="s">
        <v>183</v>
      </c>
      <c r="G19" s="47">
        <v>18</v>
      </c>
      <c r="H19" s="133">
        <f>IF(B$17=0,0,G19/B$17)</f>
        <v>1.3856812933025405E-2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722</v>
      </c>
      <c r="C20" s="39">
        <f>IF(B$3=0,0,B20/B$3)</f>
        <v>0.16689782709200185</v>
      </c>
      <c r="E20" s="63" t="s">
        <v>76</v>
      </c>
      <c r="F20" s="60" t="s">
        <v>31</v>
      </c>
      <c r="G20" s="47">
        <v>9</v>
      </c>
      <c r="H20" s="133">
        <f>IF(B$17=0,0,G20/B$17)</f>
        <v>6.9284064665127024E-3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6.1585835257890681E-3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-1.5444444444444463</v>
      </c>
      <c r="P21" s="119">
        <v>108</v>
      </c>
      <c r="Q21" s="107">
        <v>-166.80000000000021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5</v>
      </c>
      <c r="H22" s="133">
        <f>IF(B$17=0,0,G22/B$17)</f>
        <v>3.8491147036181679E-3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-1.8121621621621644</v>
      </c>
      <c r="P22" s="119">
        <v>74</v>
      </c>
      <c r="Q22" s="107">
        <v>-134.10000000000016</v>
      </c>
    </row>
    <row r="23" spans="1:17" x14ac:dyDescent="0.4">
      <c r="A23" s="55" t="s">
        <v>5</v>
      </c>
      <c r="B23" s="51">
        <f>IF(B$17=0,0,C23/B$17)</f>
        <v>8585.912240184758</v>
      </c>
      <c r="C23" s="41">
        <v>11153100</v>
      </c>
      <c r="E23" s="63" t="s">
        <v>93</v>
      </c>
      <c r="F23" s="60" t="s">
        <v>48</v>
      </c>
      <c r="G23" s="47">
        <v>5</v>
      </c>
      <c r="H23" s="133">
        <f>IF(B$17=0,0,G23/B$17)</f>
        <v>3.8491147036181679E-3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-2.4792857142857119</v>
      </c>
      <c r="P23" s="119">
        <v>140</v>
      </c>
      <c r="Q23" s="107">
        <v>-347.09999999999968</v>
      </c>
    </row>
    <row r="24" spans="1:17" x14ac:dyDescent="0.4">
      <c r="A24" s="57" t="s">
        <v>14</v>
      </c>
      <c r="B24" s="52">
        <f>IF(B$20=0,0,C24/B$20)</f>
        <v>-8198.0609418282547</v>
      </c>
      <c r="C24" s="45">
        <v>-5919000</v>
      </c>
      <c r="E24" s="63" t="s">
        <v>94</v>
      </c>
      <c r="F24" s="60" t="s">
        <v>49</v>
      </c>
      <c r="G24" s="47">
        <v>5</v>
      </c>
      <c r="H24" s="133">
        <f>IF(B$17=0,0,G24/B$17)</f>
        <v>3.8491147036181679E-3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-18.097826086956502</v>
      </c>
      <c r="P24" s="119">
        <v>230</v>
      </c>
      <c r="Q24" s="107">
        <v>-4162.4999999999955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3.0792917628945341E-3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2.3094688221709007E-3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3.0050855293573741E-3</v>
      </c>
      <c r="E27" s="63" t="s">
        <v>85</v>
      </c>
      <c r="F27" s="60" t="s">
        <v>40</v>
      </c>
      <c r="G27" s="47">
        <v>3</v>
      </c>
      <c r="H27" s="133">
        <f>IF(B$17=0,0,G27/B$17)</f>
        <v>2.3094688221709007E-3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2.3094688221709007E-3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1.539645881447267E-3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1.539645881447267E-3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7.6982294072363352E-4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7.6982294072363352E-4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7.6982294072363352E-4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36.400000000000006</v>
      </c>
    </row>
    <row r="517" spans="11:12" x14ac:dyDescent="0.4">
      <c r="K517" s="38">
        <v>515</v>
      </c>
      <c r="L517" s="99">
        <v>45.900000000000006</v>
      </c>
    </row>
    <row r="518" spans="11:12" x14ac:dyDescent="0.4">
      <c r="K518" s="38">
        <v>516</v>
      </c>
      <c r="L518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1B88-A249-445E-849F-C27EF0E704A9}">
  <sheetPr codeName="Sheet7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238</v>
      </c>
      <c r="H2" s="132">
        <f>IF(B$17=0,0,G2/B$17)</f>
        <v>0.72560975609756095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1813.9130434782608</v>
      </c>
      <c r="P2" s="118">
        <v>115</v>
      </c>
      <c r="Q2" s="102">
        <v>208600</v>
      </c>
    </row>
    <row r="3" spans="1:17" x14ac:dyDescent="0.4">
      <c r="A3" s="55" t="s">
        <v>8</v>
      </c>
      <c r="B3" s="148">
        <v>932</v>
      </c>
      <c r="C3" s="149"/>
      <c r="E3" s="63" t="s">
        <v>73</v>
      </c>
      <c r="F3" s="60" t="s">
        <v>28</v>
      </c>
      <c r="G3" s="47">
        <v>182</v>
      </c>
      <c r="H3" s="133">
        <f>IF(B$17=0,0,G3/B$17)</f>
        <v>0.55487804878048785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1475.8928571428571</v>
      </c>
      <c r="P3" s="119">
        <v>112</v>
      </c>
      <c r="Q3" s="103">
        <v>165300</v>
      </c>
    </row>
    <row r="4" spans="1:17" x14ac:dyDescent="0.4">
      <c r="A4" s="55" t="s">
        <v>6</v>
      </c>
      <c r="B4" s="150">
        <v>1387.5000000000009</v>
      </c>
      <c r="C4" s="151"/>
      <c r="E4" s="63" t="s">
        <v>65</v>
      </c>
      <c r="F4" s="60" t="s">
        <v>21</v>
      </c>
      <c r="G4" s="47">
        <v>165</v>
      </c>
      <c r="H4" s="133">
        <f>IF(B$17=0,0,G4/B$17)</f>
        <v>0.50304878048780488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1574.766355140187</v>
      </c>
      <c r="P4" s="119">
        <v>107</v>
      </c>
      <c r="Q4" s="103">
        <v>168500</v>
      </c>
    </row>
    <row r="5" spans="1:17" x14ac:dyDescent="0.4">
      <c r="A5" s="55" t="s">
        <v>7</v>
      </c>
      <c r="B5" s="152">
        <f>IF(B$2=0,0,B$4/B$2)</f>
        <v>12.065217391304357</v>
      </c>
      <c r="C5" s="153"/>
      <c r="E5" s="63" t="s">
        <v>181</v>
      </c>
      <c r="F5" s="60" t="s">
        <v>182</v>
      </c>
      <c r="G5" s="47">
        <v>137</v>
      </c>
      <c r="H5" s="133">
        <f>IF(B$17=0,0,G5/B$17)</f>
        <v>0.41768292682926828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2035.0515463917525</v>
      </c>
      <c r="P5" s="119">
        <v>97</v>
      </c>
      <c r="Q5" s="103">
        <v>197400</v>
      </c>
    </row>
    <row r="6" spans="1:17" x14ac:dyDescent="0.4">
      <c r="A6" s="55" t="s">
        <v>1</v>
      </c>
      <c r="B6" s="142">
        <f>IF(B$2=0,0,(B$7*1+B$8*2+B$9*3)/B$2)</f>
        <v>1.7391304347826086</v>
      </c>
      <c r="C6" s="143"/>
      <c r="E6" s="63" t="s">
        <v>68</v>
      </c>
      <c r="F6" s="60" t="s">
        <v>24</v>
      </c>
      <c r="G6" s="47">
        <v>98</v>
      </c>
      <c r="H6" s="133">
        <f>IF(B$17=0,0,G6/B$17)</f>
        <v>0.29878048780487804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198.8235294117647</v>
      </c>
      <c r="P6" s="119">
        <v>85</v>
      </c>
      <c r="Q6" s="103">
        <v>16900</v>
      </c>
    </row>
    <row r="7" spans="1:17" x14ac:dyDescent="0.4">
      <c r="A7" s="55" t="s">
        <v>2</v>
      </c>
      <c r="B7" s="47">
        <v>57</v>
      </c>
      <c r="C7" s="39">
        <f>IF(B$2=0,0,B7/B$2)</f>
        <v>0.4956521739130435</v>
      </c>
      <c r="E7" s="63" t="s">
        <v>69</v>
      </c>
      <c r="F7" s="60" t="s">
        <v>12</v>
      </c>
      <c r="G7" s="47">
        <v>84</v>
      </c>
      <c r="H7" s="133">
        <f>IF(B$17=0,0,G7/B$17)</f>
        <v>0.25609756097560976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339.4736842105263</v>
      </c>
      <c r="P7" s="120">
        <v>76</v>
      </c>
      <c r="Q7" s="104">
        <v>25800</v>
      </c>
    </row>
    <row r="8" spans="1:17" x14ac:dyDescent="0.4">
      <c r="A8" s="55" t="s">
        <v>3</v>
      </c>
      <c r="B8" s="47">
        <v>31</v>
      </c>
      <c r="C8" s="39">
        <f>IF(B$2=0,0,B8/B$2)</f>
        <v>0.26956521739130435</v>
      </c>
      <c r="E8" s="63" t="s">
        <v>70</v>
      </c>
      <c r="F8" s="60" t="s">
        <v>25</v>
      </c>
      <c r="G8" s="47">
        <v>59</v>
      </c>
      <c r="H8" s="133">
        <f>IF(B$17=0,0,G8/B$17)</f>
        <v>0.1798780487804878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0.23478260869565218</v>
      </c>
      <c r="E9" s="63" t="s">
        <v>90</v>
      </c>
      <c r="F9" s="60" t="s">
        <v>45</v>
      </c>
      <c r="G9" s="47">
        <v>50</v>
      </c>
      <c r="H9" s="133">
        <f>IF(B$17=0,0,G9/B$17)</f>
        <v>0.1524390243902439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0.11304347826086956</v>
      </c>
      <c r="E10" s="63" t="s">
        <v>66</v>
      </c>
      <c r="F10" s="60" t="s">
        <v>22</v>
      </c>
      <c r="G10" s="47">
        <v>49</v>
      </c>
      <c r="H10" s="133">
        <f>IF(B$17=0,0,G10/B$17)</f>
        <v>0.14939024390243902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0.17391304347826086</v>
      </c>
      <c r="E11" s="63" t="s">
        <v>71</v>
      </c>
      <c r="F11" s="60" t="s">
        <v>26</v>
      </c>
      <c r="G11" s="47">
        <v>33</v>
      </c>
      <c r="H11" s="133">
        <f>IF(B$17=0,0,G11/B$17)</f>
        <v>0.10060975609756098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6.4783783783783786</v>
      </c>
      <c r="P11" s="119">
        <v>37</v>
      </c>
      <c r="Q11" s="107">
        <v>239.70000000000002</v>
      </c>
    </row>
    <row r="12" spans="1:17" x14ac:dyDescent="0.4">
      <c r="A12" s="57" t="s">
        <v>160</v>
      </c>
      <c r="B12" s="49">
        <v>17</v>
      </c>
      <c r="C12" s="42">
        <f>IF(B$2=0,0,B12/B$2)</f>
        <v>0.14782608695652175</v>
      </c>
      <c r="E12" s="63" t="s">
        <v>72</v>
      </c>
      <c r="F12" s="60" t="s">
        <v>27</v>
      </c>
      <c r="G12" s="47">
        <v>23</v>
      </c>
      <c r="H12" s="133">
        <f>IF(B$17=0,0,G12/B$17)</f>
        <v>7.0121951219512202E-2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304</v>
      </c>
      <c r="C13" s="44">
        <f>IF(B$3=0,0,B13/B$3)</f>
        <v>0.3261802575107296</v>
      </c>
      <c r="E13" s="63" t="s">
        <v>87</v>
      </c>
      <c r="F13" s="60" t="s">
        <v>42</v>
      </c>
      <c r="G13" s="47">
        <v>23</v>
      </c>
      <c r="H13" s="133">
        <f>IF(B$17=0,0,G13/B$17)</f>
        <v>7.0121951219512202E-2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206</v>
      </c>
      <c r="C14" s="39">
        <f>IF(B$3=0,0,B14/B$3)</f>
        <v>0.22103004291845493</v>
      </c>
      <c r="E14" s="63" t="s">
        <v>84</v>
      </c>
      <c r="F14" s="60" t="s">
        <v>39</v>
      </c>
      <c r="G14" s="47">
        <v>17</v>
      </c>
      <c r="H14" s="133">
        <f>IF(B$17=0,0,G14/B$17)</f>
        <v>5.1829268292682924E-2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177</v>
      </c>
      <c r="C15" s="37">
        <f>IF(B$13=0,0,B15/B$13)</f>
        <v>0.58223684210526316</v>
      </c>
      <c r="E15" s="63" t="s">
        <v>82</v>
      </c>
      <c r="F15" s="60" t="s">
        <v>37</v>
      </c>
      <c r="G15" s="47">
        <v>11</v>
      </c>
      <c r="H15" s="133">
        <f>IF(B$17=0,0,G15/B$17)</f>
        <v>3.3536585365853661E-2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106</v>
      </c>
      <c r="C16" s="37">
        <f>IF(B$14=0,0,B16/B$14)</f>
        <v>0.5145631067961165</v>
      </c>
      <c r="E16" s="63" t="s">
        <v>180</v>
      </c>
      <c r="F16" s="60" t="s">
        <v>183</v>
      </c>
      <c r="G16" s="47">
        <v>10</v>
      </c>
      <c r="H16" s="133">
        <f>IF(B$17=0,0,G16/B$17)</f>
        <v>3.048780487804878E-2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34.872222222222234</v>
      </c>
      <c r="P16" s="119">
        <v>36</v>
      </c>
      <c r="Q16" s="107">
        <v>1255.4000000000003</v>
      </c>
    </row>
    <row r="17" spans="1:17" x14ac:dyDescent="0.4">
      <c r="A17" s="54" t="s">
        <v>10</v>
      </c>
      <c r="B17" s="46">
        <f>B19+B18</f>
        <v>328</v>
      </c>
      <c r="C17" s="37">
        <f>IF(B$3=0,0,B17/B$3)</f>
        <v>0.35193133047210301</v>
      </c>
      <c r="E17" s="63" t="s">
        <v>79</v>
      </c>
      <c r="F17" s="60" t="s">
        <v>34</v>
      </c>
      <c r="G17" s="47">
        <v>6</v>
      </c>
      <c r="H17" s="133">
        <f>IF(B$17=0,0,G17/B$17)</f>
        <v>1.8292682926829267E-2</v>
      </c>
      <c r="I17" s="94">
        <v>8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135</v>
      </c>
      <c r="C18" s="39">
        <f>IF(B$17=0,0,B18/B$17)</f>
        <v>0.41158536585365851</v>
      </c>
      <c r="E18" s="63" t="s">
        <v>92</v>
      </c>
      <c r="F18" s="60" t="s">
        <v>47</v>
      </c>
      <c r="G18" s="47">
        <v>5</v>
      </c>
      <c r="H18" s="133">
        <f>IF(B$17=0,0,G18/B$17)</f>
        <v>1.524390243902439E-2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24.585714285714289</v>
      </c>
      <c r="P18" s="119">
        <v>14</v>
      </c>
      <c r="Q18" s="107">
        <v>344.20000000000005</v>
      </c>
    </row>
    <row r="19" spans="1:17" x14ac:dyDescent="0.4">
      <c r="A19" s="55" t="s">
        <v>11</v>
      </c>
      <c r="B19" s="47">
        <v>193</v>
      </c>
      <c r="C19" s="39">
        <f>IF(B$17=0,0,B19/B$17)</f>
        <v>0.58841463414634143</v>
      </c>
      <c r="E19" s="63" t="s">
        <v>80</v>
      </c>
      <c r="F19" s="60" t="s">
        <v>35</v>
      </c>
      <c r="G19" s="47">
        <v>4</v>
      </c>
      <c r="H19" s="133">
        <f>IF(B$17=0,0,G19/B$17)</f>
        <v>1.2195121951219513E-2</v>
      </c>
      <c r="I19" s="94">
        <v>7</v>
      </c>
      <c r="K19" s="38">
        <v>17</v>
      </c>
      <c r="L19" s="99">
        <v>427.40000000000003</v>
      </c>
      <c r="N19" s="115" t="s">
        <v>173</v>
      </c>
      <c r="O19" s="125">
        <f>IF(P19=0,0,Q19/P19)</f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141</v>
      </c>
      <c r="C20" s="39">
        <f>IF(B$3=0,0,B20/B$3)</f>
        <v>0.15128755364806867</v>
      </c>
      <c r="E20" s="63" t="s">
        <v>74</v>
      </c>
      <c r="F20" s="60" t="s">
        <v>29</v>
      </c>
      <c r="G20" s="47">
        <v>2</v>
      </c>
      <c r="H20" s="133">
        <f>IF(B$17=0,0,G20/B$17)</f>
        <v>6.0975609756097563E-3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3.0487804878048782E-3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3.0487804878048782E-3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9000.6097560975613</v>
      </c>
      <c r="C23" s="41">
        <v>2952200</v>
      </c>
      <c r="E23" s="63" t="s">
        <v>86</v>
      </c>
      <c r="F23" s="60" t="s">
        <v>41</v>
      </c>
      <c r="G23" s="47">
        <v>1</v>
      </c>
      <c r="H23" s="133">
        <f>IF(B$17=0,0,G23/B$17)</f>
        <v>3.0487804878048782E-3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-0.43658536585366164</v>
      </c>
      <c r="P23" s="119">
        <v>41</v>
      </c>
      <c r="Q23" s="107">
        <v>-17.900000000000126</v>
      </c>
    </row>
    <row r="24" spans="1:17" x14ac:dyDescent="0.4">
      <c r="A24" s="57" t="s">
        <v>14</v>
      </c>
      <c r="B24" s="52">
        <f>IF(B$20=0,0,C24/B$20)</f>
        <v>-8415.6028368794323</v>
      </c>
      <c r="C24" s="45">
        <v>-1186600</v>
      </c>
      <c r="E24" s="63" t="s">
        <v>88</v>
      </c>
      <c r="F24" s="60" t="s">
        <v>43</v>
      </c>
      <c r="G24" s="47">
        <v>1</v>
      </c>
      <c r="H24" s="133">
        <f>IF(B$17=0,0,G24/B$17)</f>
        <v>3.0487804878048782E-3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3.0487804878048782E-3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3.0487804878048782E-3</v>
      </c>
      <c r="I26" s="94">
        <v>5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1.0729613733905579E-3</v>
      </c>
      <c r="E27" s="63" t="s">
        <v>94</v>
      </c>
      <c r="F27" s="60" t="s">
        <v>49</v>
      </c>
      <c r="G27" s="47">
        <v>1</v>
      </c>
      <c r="H27" s="133">
        <f>IF(B$17=0,0,G27/B$17)</f>
        <v>3.0487804878048782E-3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3.0487804878048782E-3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1387.5000000000009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229C-86BC-409E-B52A-E3FFDF9F9A2C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4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4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C3F7-AD8A-49EF-930C-3B88A1E3B7DD}">
  <sheetPr codeName="Sheet11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0.89565217391304353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-2414.516129032258</v>
      </c>
      <c r="P2" s="118">
        <v>62</v>
      </c>
      <c r="Q2" s="102">
        <v>-149700</v>
      </c>
    </row>
    <row r="3" spans="1:17" x14ac:dyDescent="0.4">
      <c r="A3" s="55" t="s">
        <v>8</v>
      </c>
      <c r="B3" s="148">
        <v>509</v>
      </c>
      <c r="C3" s="149"/>
      <c r="E3" s="63" t="s">
        <v>65</v>
      </c>
      <c r="F3" s="60" t="s">
        <v>21</v>
      </c>
      <c r="G3" s="47">
        <v>66</v>
      </c>
      <c r="H3" s="133">
        <f>IF(B$17=0,0,G3/B$17)</f>
        <v>0.57391304347826089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-1278.3333333333333</v>
      </c>
      <c r="P3" s="119">
        <v>60</v>
      </c>
      <c r="Q3" s="103">
        <v>-76700</v>
      </c>
    </row>
    <row r="4" spans="1:17" x14ac:dyDescent="0.4">
      <c r="A4" s="55" t="s">
        <v>6</v>
      </c>
      <c r="B4" s="150">
        <v>-970.09999999999968</v>
      </c>
      <c r="C4" s="151"/>
      <c r="E4" s="63" t="s">
        <v>69</v>
      </c>
      <c r="F4" s="60" t="s">
        <v>12</v>
      </c>
      <c r="G4" s="47">
        <v>49</v>
      </c>
      <c r="H4" s="133">
        <f>IF(B$17=0,0,G4/B$17)</f>
        <v>0.42608695652173911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-1119.6428571428571</v>
      </c>
      <c r="P4" s="119">
        <v>56</v>
      </c>
      <c r="Q4" s="103">
        <v>-62700</v>
      </c>
    </row>
    <row r="5" spans="1:17" x14ac:dyDescent="0.4">
      <c r="A5" s="55" t="s">
        <v>7</v>
      </c>
      <c r="B5" s="152">
        <f>IF(B$2=0,0,B$4/B$2)</f>
        <v>-15.646774193548382</v>
      </c>
      <c r="C5" s="153"/>
      <c r="E5" s="63" t="s">
        <v>181</v>
      </c>
      <c r="F5" s="60" t="s">
        <v>182</v>
      </c>
      <c r="G5" s="47">
        <v>43</v>
      </c>
      <c r="H5" s="133">
        <f>IF(B$17=0,0,G5/B$17)</f>
        <v>0.37391304347826088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-5270.833333333333</v>
      </c>
      <c r="P5" s="119">
        <v>48</v>
      </c>
      <c r="Q5" s="103">
        <v>-253000</v>
      </c>
    </row>
    <row r="6" spans="1:17" x14ac:dyDescent="0.4">
      <c r="A6" s="55" t="s">
        <v>1</v>
      </c>
      <c r="B6" s="142">
        <f>IF(B$2=0,0,(B$7*1+B$8*2+B$9*3)/B$2)</f>
        <v>2.2419354838709675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0.35652173913043478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-1266.6666666666667</v>
      </c>
      <c r="P6" s="119">
        <v>42</v>
      </c>
      <c r="Q6" s="103">
        <v>-53200</v>
      </c>
    </row>
    <row r="7" spans="1:17" x14ac:dyDescent="0.4">
      <c r="A7" s="55" t="s">
        <v>2</v>
      </c>
      <c r="B7" s="47">
        <v>15</v>
      </c>
      <c r="C7" s="39">
        <f>IF(B$2=0,0,B7/B$2)</f>
        <v>0.24193548387096775</v>
      </c>
      <c r="E7" s="63" t="s">
        <v>73</v>
      </c>
      <c r="F7" s="60" t="s">
        <v>28</v>
      </c>
      <c r="G7" s="47">
        <v>40</v>
      </c>
      <c r="H7" s="133">
        <f>IF(B$17=0,0,G7/B$17)</f>
        <v>0.34782608695652173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-1741.0256410256411</v>
      </c>
      <c r="P7" s="120">
        <v>39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0.27419354838709675</v>
      </c>
      <c r="E8" s="63" t="s">
        <v>70</v>
      </c>
      <c r="F8" s="60" t="s">
        <v>25</v>
      </c>
      <c r="G8" s="47">
        <v>26</v>
      </c>
      <c r="H8" s="133">
        <f>IF(B$17=0,0,G8/B$17)</f>
        <v>0.22608695652173913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0.4838709677419355</v>
      </c>
      <c r="E9" s="63" t="s">
        <v>71</v>
      </c>
      <c r="F9" s="60" t="s">
        <v>26</v>
      </c>
      <c r="G9" s="47">
        <v>19</v>
      </c>
      <c r="H9" s="133">
        <f>IF(B$17=0,0,G9/B$17)</f>
        <v>0.16521739130434782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0.19354838709677419</v>
      </c>
      <c r="E10" s="63" t="s">
        <v>72</v>
      </c>
      <c r="F10" s="60" t="s">
        <v>27</v>
      </c>
      <c r="G10" s="47">
        <v>13</v>
      </c>
      <c r="H10" s="133">
        <f>IF(B$17=0,0,G10/B$17)</f>
        <v>0.11304347826086956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-17.789473684210524</v>
      </c>
      <c r="P10" s="118">
        <v>19</v>
      </c>
      <c r="Q10" s="106">
        <v>-337.99999999999994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90</v>
      </c>
      <c r="F11" s="60" t="s">
        <v>45</v>
      </c>
      <c r="G11" s="47">
        <v>10</v>
      </c>
      <c r="H11" s="133">
        <f>IF(B$17=0,0,G11/B$17)</f>
        <v>8.6956521739130432E-2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8.0645161290322578E-2</v>
      </c>
      <c r="E12" s="63" t="s">
        <v>87</v>
      </c>
      <c r="F12" s="60" t="s">
        <v>42</v>
      </c>
      <c r="G12" s="47">
        <v>9</v>
      </c>
      <c r="H12" s="133">
        <f>IF(B$17=0,0,G12/B$17)</f>
        <v>7.8260869565217397E-2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136</v>
      </c>
      <c r="C13" s="44">
        <f>IF(B$3=0,0,B13/B$3)</f>
        <v>0.26719056974459726</v>
      </c>
      <c r="E13" s="63" t="s">
        <v>66</v>
      </c>
      <c r="F13" s="60" t="s">
        <v>22</v>
      </c>
      <c r="G13" s="47">
        <v>8</v>
      </c>
      <c r="H13" s="133">
        <f>IF(B$17=0,0,G13/B$17)</f>
        <v>6.9565217391304349E-2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0.16502946954813361</v>
      </c>
      <c r="E14" s="63" t="s">
        <v>84</v>
      </c>
      <c r="F14" s="60" t="s">
        <v>39</v>
      </c>
      <c r="G14" s="47">
        <v>5</v>
      </c>
      <c r="H14" s="133">
        <f>IF(B$17=0,0,G14/B$17)</f>
        <v>4.3478260869565216E-2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0.50735294117647056</v>
      </c>
      <c r="E15" s="63" t="s">
        <v>79</v>
      </c>
      <c r="F15" s="60" t="s">
        <v>34</v>
      </c>
      <c r="G15" s="47">
        <v>4</v>
      </c>
      <c r="H15" s="133">
        <f>IF(B$17=0,0,G15/B$17)</f>
        <v>3.4782608695652174E-2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0.22619047619047619</v>
      </c>
      <c r="E16" s="63" t="s">
        <v>75</v>
      </c>
      <c r="F16" s="60" t="s">
        <v>30</v>
      </c>
      <c r="G16" s="47">
        <v>2</v>
      </c>
      <c r="H16" s="133">
        <f>IF(B$17=0,0,G16/B$17)</f>
        <v>1.7391304347826087E-2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115</v>
      </c>
      <c r="C17" s="37">
        <f>IF(B$3=0,0,B17/B$3)</f>
        <v>0.22593320235756384</v>
      </c>
      <c r="E17" s="63" t="s">
        <v>82</v>
      </c>
      <c r="F17" s="60" t="s">
        <v>37</v>
      </c>
      <c r="G17" s="47">
        <v>2</v>
      </c>
      <c r="H17" s="133">
        <f>IF(B$17=0,0,G17/B$17)</f>
        <v>1.7391304347826087E-2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57</v>
      </c>
      <c r="C18" s="39">
        <f>IF(B$17=0,0,B18/B$17)</f>
        <v>0.4956521739130435</v>
      </c>
      <c r="E18" s="63" t="s">
        <v>94</v>
      </c>
      <c r="F18" s="60" t="s">
        <v>49</v>
      </c>
      <c r="G18" s="47">
        <v>2</v>
      </c>
      <c r="H18" s="133">
        <f>IF(B$17=0,0,G18/B$17)</f>
        <v>1.7391304347826087E-2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58</v>
      </c>
      <c r="C19" s="39">
        <f>IF(B$17=0,0,B19/B$17)</f>
        <v>0.5043478260869565</v>
      </c>
      <c r="E19" s="63" t="s">
        <v>78</v>
      </c>
      <c r="F19" s="60" t="s">
        <v>33</v>
      </c>
      <c r="G19" s="47">
        <v>1</v>
      </c>
      <c r="H19" s="133">
        <f>IF(B$17=0,0,G19/B$17)</f>
        <v>8.6956521739130436E-3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-23.099999999999998</v>
      </c>
      <c r="P19" s="119">
        <v>19</v>
      </c>
      <c r="Q19" s="107">
        <v>-438.9</v>
      </c>
    </row>
    <row r="20" spans="1:17" x14ac:dyDescent="0.4">
      <c r="A20" s="55" t="s">
        <v>13</v>
      </c>
      <c r="B20" s="47">
        <v>100</v>
      </c>
      <c r="C20" s="39">
        <f>IF(B$3=0,0,B20/B$3)</f>
        <v>0.19646365422396855</v>
      </c>
      <c r="E20" s="63" t="s">
        <v>80</v>
      </c>
      <c r="F20" s="60" t="s">
        <v>35</v>
      </c>
      <c r="G20" s="47">
        <v>1</v>
      </c>
      <c r="H20" s="133">
        <f>IF(B$17=0,0,G20/B$17)</f>
        <v>8.6956521739130436E-3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-34.872222222222234</v>
      </c>
      <c r="P20" s="119">
        <v>36</v>
      </c>
      <c r="Q20" s="107">
        <v>-1255.4000000000005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8.6956521739130436E-3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89</v>
      </c>
      <c r="F22" s="60" t="s">
        <v>44</v>
      </c>
      <c r="G22" s="47">
        <v>1</v>
      </c>
      <c r="H22" s="133">
        <f>IF(B$17=0,0,G22/B$17)</f>
        <v>8.6956521739130436E-3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9173.9130434782601</v>
      </c>
      <c r="C23" s="41">
        <v>1055000</v>
      </c>
      <c r="E23" s="63" t="s">
        <v>92</v>
      </c>
      <c r="F23" s="60" t="s">
        <v>47</v>
      </c>
      <c r="G23" s="47">
        <v>1</v>
      </c>
      <c r="H23" s="133">
        <f>IF(B$17=0,0,G23/B$17)</f>
        <v>8.6956521739130436E-3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-9394</v>
      </c>
      <c r="C24" s="45">
        <v>-939400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1.9646365422396855E-3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2FD8-B0FD-4E76-AFE1-ED177855761E}">
  <sheetPr codeName="Sheet13"/>
  <dimension ref="A1:Q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70</v>
      </c>
      <c r="C2" s="147"/>
      <c r="E2" s="62" t="s">
        <v>67</v>
      </c>
      <c r="F2" s="59" t="s">
        <v>23</v>
      </c>
      <c r="G2" s="46">
        <v>139</v>
      </c>
      <c r="H2" s="132">
        <f>IF(B$17=0,0,G2/B$17)</f>
        <v>0.82738095238095233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-755.71428571428567</v>
      </c>
      <c r="P2" s="118">
        <v>70</v>
      </c>
      <c r="Q2" s="102">
        <v>-52900</v>
      </c>
    </row>
    <row r="3" spans="1:17" x14ac:dyDescent="0.4">
      <c r="A3" s="55" t="s">
        <v>8</v>
      </c>
      <c r="B3" s="148">
        <v>601</v>
      </c>
      <c r="C3" s="149"/>
      <c r="E3" s="63" t="s">
        <v>65</v>
      </c>
      <c r="F3" s="60" t="s">
        <v>21</v>
      </c>
      <c r="G3" s="47">
        <v>94</v>
      </c>
      <c r="H3" s="133">
        <f>IF(B$17=0,0,G3/B$17)</f>
        <v>0.55952380952380953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931.8840579710145</v>
      </c>
      <c r="P3" s="119">
        <v>69</v>
      </c>
      <c r="Q3" s="103">
        <v>64300</v>
      </c>
    </row>
    <row r="4" spans="1:17" x14ac:dyDescent="0.4">
      <c r="A4" s="55" t="s">
        <v>6</v>
      </c>
      <c r="B4" s="150">
        <v>115.69999999999999</v>
      </c>
      <c r="C4" s="151"/>
      <c r="E4" s="63" t="s">
        <v>73</v>
      </c>
      <c r="F4" s="60" t="s">
        <v>28</v>
      </c>
      <c r="G4" s="47">
        <v>84</v>
      </c>
      <c r="H4" s="133">
        <f>IF(B$17=0,0,G4/B$17)</f>
        <v>0.5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1369.6969696969697</v>
      </c>
      <c r="P4" s="119">
        <v>66</v>
      </c>
      <c r="Q4" s="103">
        <v>90400</v>
      </c>
    </row>
    <row r="5" spans="1:17" x14ac:dyDescent="0.4">
      <c r="A5" s="55" t="s">
        <v>7</v>
      </c>
      <c r="B5" s="152">
        <f>IF(B$2=0,0,B$4/B$2)</f>
        <v>1.6528571428571428</v>
      </c>
      <c r="C5" s="153"/>
      <c r="E5" s="63" t="s">
        <v>181</v>
      </c>
      <c r="F5" s="60" t="s">
        <v>182</v>
      </c>
      <c r="G5" s="47">
        <v>64</v>
      </c>
      <c r="H5" s="133">
        <f>IF(B$17=0,0,G5/B$17)</f>
        <v>0.38095238095238093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2346.4285714285716</v>
      </c>
      <c r="P5" s="119">
        <v>56</v>
      </c>
      <c r="Q5" s="103">
        <v>131400</v>
      </c>
    </row>
    <row r="6" spans="1:17" x14ac:dyDescent="0.4">
      <c r="A6" s="55" t="s">
        <v>1</v>
      </c>
      <c r="B6" s="142">
        <f>IF(B$2=0,0,(B$7*1+B$8*2+B$9*3)/B$2)</f>
        <v>2.0571428571428569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0.30952380952380953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-1272</v>
      </c>
      <c r="P6" s="119">
        <v>50</v>
      </c>
      <c r="Q6" s="103">
        <v>-63600</v>
      </c>
    </row>
    <row r="7" spans="1:17" x14ac:dyDescent="0.4">
      <c r="A7" s="55" t="s">
        <v>2</v>
      </c>
      <c r="B7" s="47">
        <v>20</v>
      </c>
      <c r="C7" s="39">
        <f>IF(B$2=0,0,B7/B$2)</f>
        <v>0.2857142857142857</v>
      </c>
      <c r="E7" s="63" t="s">
        <v>69</v>
      </c>
      <c r="F7" s="60" t="s">
        <v>12</v>
      </c>
      <c r="G7" s="47">
        <v>52</v>
      </c>
      <c r="H7" s="133">
        <f>IF(B$17=0,0,G7/B$17)</f>
        <v>0.30952380952380953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741.304347826087</v>
      </c>
      <c r="P7" s="120">
        <v>46</v>
      </c>
      <c r="Q7" s="104">
        <v>34100</v>
      </c>
    </row>
    <row r="8" spans="1:17" x14ac:dyDescent="0.4">
      <c r="A8" s="55" t="s">
        <v>3</v>
      </c>
      <c r="B8" s="47">
        <v>26</v>
      </c>
      <c r="C8" s="39">
        <f>IF(B$2=0,0,B8/B$2)</f>
        <v>0.37142857142857144</v>
      </c>
      <c r="E8" s="63" t="s">
        <v>70</v>
      </c>
      <c r="F8" s="60" t="s">
        <v>25</v>
      </c>
      <c r="G8" s="47">
        <v>35</v>
      </c>
      <c r="H8" s="133">
        <f>IF(B$17=0,0,G8/B$17)</f>
        <v>0.20833333333333334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0.34285714285714286</v>
      </c>
      <c r="E9" s="63" t="s">
        <v>90</v>
      </c>
      <c r="F9" s="60" t="s">
        <v>45</v>
      </c>
      <c r="G9" s="47">
        <v>24</v>
      </c>
      <c r="H9" s="133">
        <f>IF(B$17=0,0,G9/B$17)</f>
        <v>0.14285714285714285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4.2857142857142858E-2</v>
      </c>
      <c r="E10" s="63" t="s">
        <v>66</v>
      </c>
      <c r="F10" s="60" t="s">
        <v>22</v>
      </c>
      <c r="G10" s="47">
        <v>23</v>
      </c>
      <c r="H10" s="133">
        <f>IF(B$17=0,0,G10/B$17)</f>
        <v>0.13690476190476192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0.12857142857142856</v>
      </c>
      <c r="E11" s="63" t="s">
        <v>71</v>
      </c>
      <c r="F11" s="60" t="s">
        <v>26</v>
      </c>
      <c r="G11" s="47">
        <v>20</v>
      </c>
      <c r="H11" s="133">
        <f>IF(B$17=0,0,G11/B$17)</f>
        <v>0.11904761904761904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7.1428571428571425E-2</v>
      </c>
      <c r="E12" s="63" t="s">
        <v>87</v>
      </c>
      <c r="F12" s="60" t="s">
        <v>42</v>
      </c>
      <c r="G12" s="47">
        <v>13</v>
      </c>
      <c r="H12" s="133">
        <f>IF(B$17=0,0,G12/B$17)</f>
        <v>7.7380952380952384E-2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168</v>
      </c>
      <c r="C13" s="44">
        <f>IF(B$3=0,0,B13/B$3)</f>
        <v>0.27953410981697169</v>
      </c>
      <c r="E13" s="63" t="s">
        <v>72</v>
      </c>
      <c r="F13" s="60" t="s">
        <v>27</v>
      </c>
      <c r="G13" s="47">
        <v>12</v>
      </c>
      <c r="H13" s="133">
        <f>IF(B$17=0,0,G13/B$17)</f>
        <v>7.1428571428571425E-2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0.18635607321131448</v>
      </c>
      <c r="E14" s="63" t="s">
        <v>79</v>
      </c>
      <c r="F14" s="60" t="s">
        <v>34</v>
      </c>
      <c r="G14" s="47">
        <v>7</v>
      </c>
      <c r="H14" s="133">
        <f>IF(B$17=0,0,G14/B$17)</f>
        <v>4.1666666666666664E-2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99</v>
      </c>
      <c r="C15" s="37">
        <f>IF(B$13=0,0,B15/B$13)</f>
        <v>0.5892857142857143</v>
      </c>
      <c r="E15" s="63" t="s">
        <v>82</v>
      </c>
      <c r="F15" s="60" t="s">
        <v>37</v>
      </c>
      <c r="G15" s="47">
        <v>7</v>
      </c>
      <c r="H15" s="133">
        <f>IF(B$17=0,0,G15/B$17)</f>
        <v>4.1666666666666664E-2</v>
      </c>
      <c r="I15" s="94">
        <v>2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45</v>
      </c>
      <c r="C16" s="37">
        <f>IF(B$14=0,0,B16/B$14)</f>
        <v>0.4017857142857143</v>
      </c>
      <c r="E16" s="63" t="s">
        <v>84</v>
      </c>
      <c r="F16" s="60" t="s">
        <v>39</v>
      </c>
      <c r="G16" s="47">
        <v>7</v>
      </c>
      <c r="H16" s="133">
        <f>IF(B$17=0,0,G16/B$17)</f>
        <v>4.1666666666666664E-2</v>
      </c>
      <c r="I16" s="94">
        <v>8</v>
      </c>
      <c r="K16" s="38">
        <v>14</v>
      </c>
      <c r="L16" s="99">
        <v>-29.400000000000002</v>
      </c>
      <c r="N16" s="115" t="s">
        <v>129</v>
      </c>
      <c r="O16" s="125">
        <f>IF(P16=0,0,Q16/P16)</f>
        <v>23.099999999999994</v>
      </c>
      <c r="P16" s="119">
        <v>19</v>
      </c>
      <c r="Q16" s="107">
        <v>438.89999999999992</v>
      </c>
    </row>
    <row r="17" spans="1:17" x14ac:dyDescent="0.4">
      <c r="A17" s="54" t="s">
        <v>10</v>
      </c>
      <c r="B17" s="46">
        <f>B19+B18</f>
        <v>168</v>
      </c>
      <c r="C17" s="37">
        <f>IF(B$3=0,0,B17/B$3)</f>
        <v>0.27953410981697169</v>
      </c>
      <c r="E17" s="63" t="s">
        <v>76</v>
      </c>
      <c r="F17" s="60" t="s">
        <v>31</v>
      </c>
      <c r="G17" s="47">
        <v>3</v>
      </c>
      <c r="H17" s="133">
        <f>IF(B$17=0,0,G17/B$17)</f>
        <v>1.7857142857142856E-2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72</v>
      </c>
      <c r="C18" s="39">
        <f>IF(B$17=0,0,B18/B$17)</f>
        <v>0.42857142857142855</v>
      </c>
      <c r="E18" s="63" t="s">
        <v>80</v>
      </c>
      <c r="F18" s="60" t="s">
        <v>35</v>
      </c>
      <c r="G18" s="47">
        <v>3</v>
      </c>
      <c r="H18" s="133">
        <f>IF(B$17=0,0,G18/B$17)</f>
        <v>1.7857142857142856E-2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96</v>
      </c>
      <c r="C19" s="39">
        <f>IF(B$17=0,0,B19/B$17)</f>
        <v>0.5714285714285714</v>
      </c>
      <c r="E19" s="63" t="s">
        <v>92</v>
      </c>
      <c r="F19" s="60" t="s">
        <v>47</v>
      </c>
      <c r="G19" s="47">
        <v>3</v>
      </c>
      <c r="H19" s="133">
        <f>IF(B$17=0,0,G19/B$17)</f>
        <v>1.7857142857142856E-2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0.4365853658536637</v>
      </c>
      <c r="P19" s="119">
        <v>41</v>
      </c>
      <c r="Q19" s="107">
        <v>17.900000000000212</v>
      </c>
    </row>
    <row r="20" spans="1:17" x14ac:dyDescent="0.4">
      <c r="A20" s="55" t="s">
        <v>13</v>
      </c>
      <c r="B20" s="47">
        <v>98</v>
      </c>
      <c r="C20" s="39">
        <f>IF(B$3=0,0,B20/B$3)</f>
        <v>0.16306156405990016</v>
      </c>
      <c r="E20" s="63" t="s">
        <v>85</v>
      </c>
      <c r="F20" s="60" t="s">
        <v>40</v>
      </c>
      <c r="G20" s="47">
        <v>2</v>
      </c>
      <c r="H20" s="133">
        <f>IF(B$17=0,0,G20/B$17)</f>
        <v>1.1904761904761904E-2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1.1904761904761904E-2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180</v>
      </c>
      <c r="F22" s="60" t="s">
        <v>183</v>
      </c>
      <c r="G22" s="47">
        <v>2</v>
      </c>
      <c r="H22" s="133">
        <f>IF(B$17=0,0,G22/B$17)</f>
        <v>1.1904761904761904E-2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9722.0238095238092</v>
      </c>
      <c r="C23" s="41">
        <v>1633300</v>
      </c>
      <c r="E23" s="63" t="s">
        <v>74</v>
      </c>
      <c r="F23" s="60" t="s">
        <v>29</v>
      </c>
      <c r="G23" s="47">
        <v>1</v>
      </c>
      <c r="H23" s="133">
        <f>IF(B$17=0,0,G23/B$17)</f>
        <v>5.9523809523809521E-3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-7759.1836734693879</v>
      </c>
      <c r="C24" s="45">
        <v>-760400</v>
      </c>
      <c r="E24" s="63" t="s">
        <v>88</v>
      </c>
      <c r="F24" s="60" t="s">
        <v>43</v>
      </c>
      <c r="G24" s="47">
        <v>1</v>
      </c>
      <c r="H24" s="133">
        <f>IF(B$17=0,0,G24/B$17)</f>
        <v>5.9523809523809521E-3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5.9523809523809521E-3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1.6638935108153079E-3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115.69999999999999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659D-4151-451A-AF0C-731FBD3E29F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65</v>
      </c>
      <c r="F2" s="59" t="s">
        <v>21</v>
      </c>
      <c r="G2" s="46">
        <v>62</v>
      </c>
      <c r="H2" s="132">
        <f>IF(B$17=0,0,G2/B$17)</f>
        <v>0.35227272727272729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0.10795454545454546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67</v>
      </c>
      <c r="F4" s="60" t="s">
        <v>23</v>
      </c>
      <c r="G4" s="47">
        <v>118</v>
      </c>
      <c r="H4" s="133">
        <f>IF(B$17=0,0,G4/B$17)</f>
        <v>0.67045454545454541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68</v>
      </c>
      <c r="F5" s="60" t="s">
        <v>24</v>
      </c>
      <c r="G5" s="47">
        <v>31</v>
      </c>
      <c r="H5" s="133">
        <f>IF(B$17=0,0,G5/B$17)</f>
        <v>0.17613636363636365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70</v>
      </c>
      <c r="F7" s="60" t="s">
        <v>25</v>
      </c>
      <c r="G7" s="47">
        <v>25</v>
      </c>
      <c r="H7" s="133">
        <f>IF(B$17=0,0,G7/B$17)</f>
        <v>0.14204545454545456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71</v>
      </c>
      <c r="F8" s="60" t="s">
        <v>26</v>
      </c>
      <c r="G8" s="47">
        <v>10</v>
      </c>
      <c r="H8" s="133">
        <f>IF(B$17=0,0,G8/B$17)</f>
        <v>5.6818181818181816E-2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72</v>
      </c>
      <c r="F9" s="60" t="s">
        <v>27</v>
      </c>
      <c r="G9" s="47">
        <v>13</v>
      </c>
      <c r="H9" s="133">
        <f>IF(B$17=0,0,G9/B$17)</f>
        <v>7.3863636363636367E-2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102</v>
      </c>
      <c r="H10" s="133">
        <f>IF(B$17=0,0,G10/B$17)</f>
        <v>0.57954545454545459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76</v>
      </c>
      <c r="F13" s="60" t="s">
        <v>31</v>
      </c>
      <c r="G13" s="47">
        <v>1</v>
      </c>
      <c r="H13" s="133">
        <f>IF(B$17=0,0,G13/B$17)</f>
        <v>5.681818181818182E-3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 t="shared" si="2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 t="shared" si="2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82</v>
      </c>
      <c r="F19" s="60" t="s">
        <v>37</v>
      </c>
      <c r="G19" s="47">
        <v>5</v>
      </c>
      <c r="H19" s="133">
        <f>IF(B$17=0,0,G19/B$17)</f>
        <v>2.8409090909090908E-2</v>
      </c>
      <c r="I19" s="94">
        <v>8</v>
      </c>
      <c r="K19" s="38">
        <v>17</v>
      </c>
      <c r="L19" s="99">
        <v>-55.099999999999994</v>
      </c>
      <c r="N19" s="115" t="s">
        <v>202</v>
      </c>
      <c r="O19" s="125">
        <f t="shared" si="2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84</v>
      </c>
      <c r="F21" s="60" t="s">
        <v>39</v>
      </c>
      <c r="G21" s="47">
        <v>9</v>
      </c>
      <c r="H21" s="133">
        <f>IF(B$17=0,0,G21/B$17)</f>
        <v>5.113636363636364E-2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87</v>
      </c>
      <c r="F24" s="60" t="s">
        <v>42</v>
      </c>
      <c r="G24" s="47">
        <v>8</v>
      </c>
      <c r="H24" s="133">
        <f>IF(B$17=0,0,G24/B$17)</f>
        <v>4.5454545454545456E-2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5.681818181818182E-3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90</v>
      </c>
      <c r="F27" s="60" t="s">
        <v>45</v>
      </c>
      <c r="G27" s="47">
        <v>12</v>
      </c>
      <c r="H27" s="133">
        <f>IF(B$17=0,0,G27/B$17)</f>
        <v>6.8181818181818177E-2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1.1363636363636364E-2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73</v>
      </c>
      <c r="H51" s="134">
        <f>IF(B$17=0,0,G51/B$17)</f>
        <v>0.41477272727272729</v>
      </c>
      <c r="I51" s="95">
        <v>4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E2:I5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09FB-22CD-472F-9D42-8F15D3E41B1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ABF9-7CE8-42A4-AD4B-8F84ECF5496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65</v>
      </c>
      <c r="F2" s="59" t="s">
        <v>21</v>
      </c>
      <c r="G2" s="46">
        <v>49</v>
      </c>
      <c r="H2" s="132">
        <f>IF(B$17=0,0,G2/B$17)</f>
        <v>0.53260869565217395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683.78378378378375</v>
      </c>
      <c r="P2" s="118">
        <v>37</v>
      </c>
      <c r="Q2" s="102">
        <v>25300</v>
      </c>
    </row>
    <row r="3" spans="1:17" x14ac:dyDescent="0.4">
      <c r="A3" s="55" t="s">
        <v>8</v>
      </c>
      <c r="B3" s="148">
        <v>309</v>
      </c>
      <c r="C3" s="149"/>
      <c r="E3" s="63" t="s">
        <v>66</v>
      </c>
      <c r="F3" s="60" t="s">
        <v>22</v>
      </c>
      <c r="G3" s="47">
        <v>6</v>
      </c>
      <c r="H3" s="133">
        <f>IF(B$17=0,0,G3/B$17)</f>
        <v>6.5217391304347824E-2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142.85714285714286</v>
      </c>
      <c r="P3" s="119">
        <v>35</v>
      </c>
      <c r="Q3" s="103">
        <v>5000</v>
      </c>
    </row>
    <row r="4" spans="1:17" x14ac:dyDescent="0.4">
      <c r="A4" s="55" t="s">
        <v>6</v>
      </c>
      <c r="B4" s="150">
        <v>44.70000000000001</v>
      </c>
      <c r="C4" s="151"/>
      <c r="E4" s="63" t="s">
        <v>67</v>
      </c>
      <c r="F4" s="60" t="s">
        <v>23</v>
      </c>
      <c r="G4" s="47">
        <v>50</v>
      </c>
      <c r="H4" s="133">
        <f>IF(B$17=0,0,G4/B$17)</f>
        <v>0.54347826086956519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-1475.7575757575758</v>
      </c>
      <c r="P4" s="119">
        <v>33</v>
      </c>
      <c r="Q4" s="103">
        <v>-48700</v>
      </c>
    </row>
    <row r="5" spans="1:17" x14ac:dyDescent="0.4">
      <c r="A5" s="55" t="s">
        <v>7</v>
      </c>
      <c r="B5" s="152">
        <f>IF(B$2=0,0,B$4/B$2)</f>
        <v>1.2081081081081084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0.34782608695652173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2278.125</v>
      </c>
      <c r="P5" s="119">
        <v>32</v>
      </c>
      <c r="Q5" s="103">
        <v>72900</v>
      </c>
    </row>
    <row r="6" spans="1:17" x14ac:dyDescent="0.4">
      <c r="A6" s="55" t="s">
        <v>1</v>
      </c>
      <c r="B6" s="142">
        <f>IF(B$2=0,0,(B$7*1+B$8*2+B$9*3)/B$2)</f>
        <v>1.9459459459459461</v>
      </c>
      <c r="C6" s="143"/>
      <c r="E6" s="63" t="s">
        <v>69</v>
      </c>
      <c r="F6" s="60" t="s">
        <v>12</v>
      </c>
      <c r="G6" s="47">
        <v>25</v>
      </c>
      <c r="H6" s="133">
        <f>IF(B$17=0,0,G6/B$17)</f>
        <v>0.27173913043478259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-596.42857142857144</v>
      </c>
      <c r="P6" s="119">
        <v>28</v>
      </c>
      <c r="Q6" s="103">
        <v>-16700</v>
      </c>
    </row>
    <row r="7" spans="1:17" x14ac:dyDescent="0.4">
      <c r="A7" s="55" t="s">
        <v>2</v>
      </c>
      <c r="B7" s="47">
        <v>15</v>
      </c>
      <c r="C7" s="39">
        <f>IF(B$2=0,0,B7/B$2)</f>
        <v>0.40540540540540543</v>
      </c>
      <c r="E7" s="63" t="s">
        <v>70</v>
      </c>
      <c r="F7" s="60" t="s">
        <v>25</v>
      </c>
      <c r="G7" s="47">
        <v>12</v>
      </c>
      <c r="H7" s="133">
        <f>IF(B$17=0,0,G7/B$17)</f>
        <v>0.13043478260869565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212.5</v>
      </c>
      <c r="P7" s="120">
        <v>24</v>
      </c>
      <c r="Q7" s="104">
        <v>5100</v>
      </c>
    </row>
    <row r="8" spans="1:17" x14ac:dyDescent="0.4">
      <c r="A8" s="55" t="s">
        <v>3</v>
      </c>
      <c r="B8" s="47">
        <v>9</v>
      </c>
      <c r="C8" s="39">
        <f>IF(B$2=0,0,B8/B$2)</f>
        <v>0.24324324324324326</v>
      </c>
      <c r="E8" s="63" t="s">
        <v>71</v>
      </c>
      <c r="F8" s="60" t="s">
        <v>26</v>
      </c>
      <c r="G8" s="47">
        <v>7</v>
      </c>
      <c r="H8" s="133">
        <f>IF(B$17=0,0,G8/B$17)</f>
        <v>7.6086956521739135E-2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72</v>
      </c>
      <c r="F9" s="60" t="s">
        <v>27</v>
      </c>
      <c r="G9" s="47">
        <v>3</v>
      </c>
      <c r="H9" s="133">
        <f>IF(B$17=0,0,G9/B$17)</f>
        <v>3.2608695652173912E-2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0.16216216216216217</v>
      </c>
      <c r="E10" s="63" t="s">
        <v>73</v>
      </c>
      <c r="F10" s="60" t="s">
        <v>28</v>
      </c>
      <c r="G10" s="47">
        <v>50</v>
      </c>
      <c r="H10" s="133">
        <f>IF(B$17=0,0,G10/B$17)</f>
        <v>0.54347826086956519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3</v>
      </c>
      <c r="C11" s="40">
        <f>IF(B$2=0,0,B11/B$2)</f>
        <v>8.1081081081081086E-2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0.10810810810810811</v>
      </c>
      <c r="E12" s="63" t="s">
        <v>75</v>
      </c>
      <c r="F12" s="60" t="s">
        <v>30</v>
      </c>
      <c r="G12" s="47">
        <v>1</v>
      </c>
      <c r="H12" s="133">
        <f>IF(B$17=0,0,G12/B$17)</f>
        <v>1.0869565217391304E-2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69</v>
      </c>
      <c r="C13" s="44">
        <f>IF(B$3=0,0,B13/B$3)</f>
        <v>0.22330097087378642</v>
      </c>
      <c r="E13" s="63" t="s">
        <v>76</v>
      </c>
      <c r="F13" s="60" t="s">
        <v>31</v>
      </c>
      <c r="G13" s="47">
        <v>1</v>
      </c>
      <c r="H13" s="133">
        <f>IF(B$17=0,0,G13/B$17)</f>
        <v>1.0869565217391304E-2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</v>
      </c>
      <c r="C14" s="39">
        <f>IF(B$3=0,0,B14/B$3)</f>
        <v>0.2168284789644013</v>
      </c>
      <c r="E14" s="63" t="s">
        <v>77</v>
      </c>
      <c r="F14" s="60" t="s">
        <v>32</v>
      </c>
      <c r="G14" s="47">
        <v>1</v>
      </c>
      <c r="H14" s="133">
        <f>IF(B$17=0,0,G14/B$17)</f>
        <v>1.0869565217391304E-2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0.69565217391304346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0.37313432835820898</v>
      </c>
      <c r="E16" s="63" t="s">
        <v>79</v>
      </c>
      <c r="F16" s="60" t="s">
        <v>34</v>
      </c>
      <c r="G16" s="47">
        <v>2</v>
      </c>
      <c r="H16" s="133">
        <f>IF(B$17=0,0,G16/B$17)</f>
        <v>2.1739130434782608E-2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 t="shared" si="2"/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0.29773462783171523</v>
      </c>
      <c r="E17" s="63" t="s">
        <v>80</v>
      </c>
      <c r="F17" s="60" t="s">
        <v>35</v>
      </c>
      <c r="G17" s="47">
        <v>2</v>
      </c>
      <c r="H17" s="133">
        <f>IF(B$17=0,0,G17/B$17)</f>
        <v>2.1739130434782608E-2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 t="shared" si="2"/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38</v>
      </c>
      <c r="C18" s="39">
        <f>IF(B$17=0,0,B18/B$17)</f>
        <v>0.41304347826086957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0.58695652173913049</v>
      </c>
      <c r="E19" s="63" t="s">
        <v>82</v>
      </c>
      <c r="F19" s="60" t="s">
        <v>37</v>
      </c>
      <c r="G19" s="47">
        <v>3</v>
      </c>
      <c r="H19" s="133">
        <f>IF(B$17=0,0,G19/B$17)</f>
        <v>3.2608695652173912E-2</v>
      </c>
      <c r="I19" s="94">
        <v>5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51</v>
      </c>
      <c r="C20" s="39">
        <f>IF(B$3=0,0,B20/B$3)</f>
        <v>0.1650485436893204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5.434782608695652E-2</v>
      </c>
      <c r="I21" s="94">
        <v>2</v>
      </c>
      <c r="K21" s="38">
        <v>19</v>
      </c>
      <c r="L21" s="99">
        <v>-235.6</v>
      </c>
      <c r="N21" s="115" t="s">
        <v>172</v>
      </c>
      <c r="O21" s="125">
        <f t="shared" si="2"/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-24.585714285714289</v>
      </c>
      <c r="P22" s="119">
        <v>14</v>
      </c>
      <c r="Q22" s="107">
        <v>-344.20000000000005</v>
      </c>
    </row>
    <row r="23" spans="1:17" x14ac:dyDescent="0.4">
      <c r="A23" s="55" t="s">
        <v>5</v>
      </c>
      <c r="B23" s="51">
        <f>IF(B$17=0,0,C23/B$17)</f>
        <v>8683.6956521739139</v>
      </c>
      <c r="C23" s="41">
        <v>798900</v>
      </c>
      <c r="E23" s="63" t="s">
        <v>86</v>
      </c>
      <c r="F23" s="60" t="s">
        <v>41</v>
      </c>
      <c r="G23" s="47">
        <v>2</v>
      </c>
      <c r="H23" s="133">
        <f>IF(B$17=0,0,G23/B$17)</f>
        <v>2.1739130434782608E-2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-7680.3921568627447</v>
      </c>
      <c r="C24" s="45">
        <v>-391700</v>
      </c>
      <c r="E24" s="63" t="s">
        <v>87</v>
      </c>
      <c r="F24" s="60" t="s">
        <v>42</v>
      </c>
      <c r="G24" s="47">
        <v>2</v>
      </c>
      <c r="H24" s="133">
        <f>IF(B$17=0,0,G24/B$17)</f>
        <v>2.1739130434782608E-2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6.4724919093851136E-3</v>
      </c>
      <c r="E27" s="63" t="s">
        <v>90</v>
      </c>
      <c r="F27" s="60" t="s">
        <v>45</v>
      </c>
      <c r="G27" s="47">
        <v>12</v>
      </c>
      <c r="H27" s="133">
        <f>IF(B$17=0,0,G27/B$17)</f>
        <v>0.13043478260869565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5.434782608695652E-2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1.0869565217391304E-2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1.0869565217391304E-2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33</v>
      </c>
      <c r="H51" s="134">
        <f>IF(B$17=0,0,G51/B$17)</f>
        <v>0.35869565217391303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C1CF-0374-4EA0-9338-6F6985027CB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AD5-0CF3-48D9-8179-FAA40D48630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5181-6F0D-4772-A943-BD81E806EA5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DF5B-1485-41D0-8A6D-A075B331B9B5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8A78-DE13-4EDF-9C05-676A3B3D144C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05B2-547A-44B8-BFED-C5334432F938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50D-152D-43AD-9A20-4C9DF01799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7E9B-5EDC-4A48-8206-3D8BB3D3165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1E4B-7B85-4330-BD0A-3AFB3F260948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3A1E-FC69-4889-B8D1-93BA76053CB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0E52-8993-4717-ABCE-37673FBC07C5}">
  <sheetPr codeName="Sheet20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B2F-8DA1-44C3-BB6E-5A5DDAFDF703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280-FC21-4F99-B84D-8ACED24C0D9C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F8895-0D0D-49A7-87C0-BCD8E2ACE6F2}">
  <sheetPr codeName="Sheet14"/>
  <dimension ref="A1:Q7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115.69999999999999</v>
      </c>
      <c r="C73" s="66">
        <v>1.6528571428571428</v>
      </c>
      <c r="D73" s="71">
        <v>2.0571428571428569</v>
      </c>
      <c r="E73" s="67">
        <v>0.2857142857142857</v>
      </c>
      <c r="F73" s="67">
        <v>0.34285714285714286</v>
      </c>
      <c r="G73" s="67">
        <v>0.27953410981697169</v>
      </c>
      <c r="H73" s="67">
        <v>0.16306156405990016</v>
      </c>
      <c r="I73" s="68">
        <v>9722.0238095238092</v>
      </c>
      <c r="J73" s="68">
        <v>-7759.1836734693879</v>
      </c>
      <c r="K73" s="67">
        <v>4.2857142857142858E-2</v>
      </c>
      <c r="L73" s="67">
        <v>0.12857142857142856</v>
      </c>
      <c r="M73" s="67">
        <v>0.27953410981697169</v>
      </c>
      <c r="N73" s="67">
        <v>0.18635607321131448</v>
      </c>
      <c r="O73" s="67">
        <v>0.5892857142857143</v>
      </c>
      <c r="P73" s="67">
        <v>0.4017857142857143</v>
      </c>
      <c r="Q73" s="67">
        <v>0.42857142857142855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0072-237D-4E86-B80B-763E2CFA96AF}">
  <sheetPr codeName="Sheet12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3F9B-B361-4A60-80F9-FDEC77C4AA21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3CA8-89C2-4E57-A89F-3D812FC46049}">
  <sheetPr codeName="Sheet8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1387.5000000000009</v>
      </c>
      <c r="C118" s="66">
        <v>12.065217391304357</v>
      </c>
      <c r="D118" s="71">
        <v>1.7391304347826086</v>
      </c>
      <c r="E118" s="67">
        <v>0.4956521739130435</v>
      </c>
      <c r="F118" s="67">
        <v>0.23478260869565218</v>
      </c>
      <c r="G118" s="67">
        <v>0.35193133047210301</v>
      </c>
      <c r="H118" s="67">
        <v>0.15128755364806867</v>
      </c>
      <c r="I118" s="68">
        <v>9000.6097560975613</v>
      </c>
      <c r="J118" s="68">
        <v>-8415.6028368794323</v>
      </c>
      <c r="K118" s="67">
        <v>0.11304347826086956</v>
      </c>
      <c r="L118" s="67">
        <v>0.17391304347826086</v>
      </c>
      <c r="M118" s="67">
        <v>0.3261802575107296</v>
      </c>
      <c r="N118" s="67">
        <v>0.22103004291845493</v>
      </c>
      <c r="O118" s="67">
        <v>0.58223684210526316</v>
      </c>
      <c r="P118" s="67">
        <v>0.5145631067961165</v>
      </c>
      <c r="Q118" s="67">
        <v>0.41158536585365851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769F-778D-4520-9B40-DB3180FE2761}">
  <sheetPr codeName="Sheet6"/>
  <dimension ref="A1:Q1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0.3002773925104022</v>
      </c>
      <c r="H175" s="67">
        <v>0.16689782709200185</v>
      </c>
      <c r="I175" s="68">
        <v>8585.912240184758</v>
      </c>
      <c r="J175" s="68">
        <v>-8198.0609418282547</v>
      </c>
      <c r="K175" s="67">
        <v>0.1124031007751938</v>
      </c>
      <c r="L175" s="67">
        <v>0.1124031007751938</v>
      </c>
      <c r="M175" s="67">
        <v>0.27600554785020803</v>
      </c>
      <c r="N175" s="67">
        <v>0.21104946833102173</v>
      </c>
      <c r="O175" s="67">
        <v>0.5879396984924623</v>
      </c>
      <c r="P175" s="67">
        <v>0.38882803943044908</v>
      </c>
      <c r="Q175" s="67">
        <v>0.43802925327174752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2019-05-22T13:44:22Z</dcterms:modified>
</cp:coreProperties>
</file>