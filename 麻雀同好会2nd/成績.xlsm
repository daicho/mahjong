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CDBC859-59E4-49B7-913D-7973CEF9EB0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85" r:id="rId6"/>
    <sheet name="だいち" sheetId="5087" r:id="rId7"/>
    <sheet name="りくと" sheetId="5089" r:id="rId8"/>
    <sheet name="ただ" sheetId="5091" r:id="rId9"/>
    <sheet name="れんたろう" sheetId="5093" r:id="rId10"/>
    <sheet name="たかの" sheetId="5095" r:id="rId11"/>
    <sheet name="ぱぱ" sheetId="5097" r:id="rId12"/>
    <sheet name="まっつん" sheetId="5099" r:id="rId13"/>
    <sheet name="あさひ" sheetId="5101" r:id="rId14"/>
    <sheet name="いっしー" sheetId="5103" r:id="rId15"/>
    <sheet name="ほたに" sheetId="5105" r:id="rId16"/>
    <sheet name="ほたに2" sheetId="5106" state="hidden" r:id="rId17"/>
    <sheet name="いっしー2" sheetId="5104" state="hidden" r:id="rId18"/>
    <sheet name="あさひ2" sheetId="5102" state="hidden" r:id="rId19"/>
    <sheet name="まっつん2" sheetId="5100" state="hidden" r:id="rId20"/>
    <sheet name="ぱぱ2" sheetId="5098" state="hidden" r:id="rId21"/>
    <sheet name="たかの2" sheetId="5096" state="hidden" r:id="rId22"/>
    <sheet name="れんたろう2" sheetId="5094" state="hidden" r:id="rId23"/>
    <sheet name="ただ2" sheetId="5092" state="hidden" r:id="rId24"/>
    <sheet name="りくと2" sheetId="5090" state="hidden" r:id="rId25"/>
    <sheet name="だいち2" sheetId="5088" state="hidden" r:id="rId26"/>
    <sheet name="全体2" sheetId="508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6" i="5095" l="1"/>
  <c r="O16" i="5103"/>
  <c r="O20" i="5105" l="1"/>
  <c r="O19" i="5105"/>
  <c r="O15" i="5099"/>
  <c r="O15" i="5089"/>
  <c r="O21" i="5087" l="1"/>
  <c r="O18" i="5105"/>
  <c r="O21" i="5097"/>
  <c r="O16" i="5105"/>
  <c r="O15" i="5105" l="1"/>
  <c r="O17" i="5105"/>
  <c r="C27" i="5105"/>
  <c r="B24" i="5105"/>
  <c r="C20" i="5105"/>
  <c r="B17" i="5105"/>
  <c r="H8" i="5105" s="1"/>
  <c r="C16" i="5105"/>
  <c r="C15" i="5105"/>
  <c r="C14" i="5105"/>
  <c r="C13" i="5105"/>
  <c r="O12" i="5105"/>
  <c r="C12" i="5105"/>
  <c r="O11" i="5105"/>
  <c r="C11" i="5105"/>
  <c r="O10" i="5105"/>
  <c r="C10" i="5105"/>
  <c r="C9" i="5105"/>
  <c r="C8" i="5105"/>
  <c r="O7" i="5105"/>
  <c r="C7" i="5105"/>
  <c r="O6" i="5105"/>
  <c r="B6" i="5105"/>
  <c r="O5" i="5105"/>
  <c r="B5" i="5105"/>
  <c r="O4" i="5105"/>
  <c r="O3" i="5105"/>
  <c r="O2" i="5105"/>
  <c r="O22" i="5093"/>
  <c r="O17" i="5095"/>
  <c r="O19" i="5085"/>
  <c r="H3" i="5105" l="1"/>
  <c r="H13" i="5105"/>
  <c r="H37" i="5105"/>
  <c r="H4" i="5105"/>
  <c r="H15" i="5105"/>
  <c r="H27" i="5105"/>
  <c r="H18" i="5105"/>
  <c r="C18" i="5105"/>
  <c r="H2" i="5105"/>
  <c r="H5" i="5105"/>
  <c r="H9" i="5105"/>
  <c r="H41" i="5105"/>
  <c r="B23" i="5105"/>
  <c r="H29" i="5105"/>
  <c r="H45" i="5105"/>
  <c r="C17" i="5105"/>
  <c r="H33" i="5105"/>
  <c r="H49" i="5105"/>
  <c r="H23" i="5105"/>
  <c r="H28" i="5105"/>
  <c r="H34" i="5105"/>
  <c r="H46" i="5105"/>
  <c r="H17" i="5105"/>
  <c r="H19" i="5105"/>
  <c r="C19" i="5105"/>
  <c r="H24" i="5105"/>
  <c r="H31" i="5105"/>
  <c r="H35" i="5105"/>
  <c r="H39" i="5105"/>
  <c r="H43" i="5105"/>
  <c r="H47" i="5105"/>
  <c r="H51" i="5105"/>
  <c r="H21" i="5105"/>
  <c r="H26" i="5105"/>
  <c r="H30" i="5105"/>
  <c r="H38" i="5105"/>
  <c r="H42" i="5105"/>
  <c r="H50" i="5105"/>
  <c r="H7" i="5105"/>
  <c r="H11" i="5105"/>
  <c r="H6" i="5105"/>
  <c r="H14" i="5105"/>
  <c r="H16" i="5105"/>
  <c r="H20" i="5105"/>
  <c r="H22" i="5105"/>
  <c r="H25" i="5105"/>
  <c r="H12" i="5105"/>
  <c r="H10" i="5105"/>
  <c r="H32" i="5105"/>
  <c r="H36" i="5105"/>
  <c r="H40" i="5105"/>
  <c r="H44" i="5105"/>
  <c r="H48" i="5105"/>
  <c r="O21" i="5095" l="1"/>
  <c r="O15" i="5091"/>
  <c r="O19" i="5099"/>
  <c r="O22" i="5099"/>
  <c r="O17" i="5087" l="1"/>
  <c r="O19" i="5103"/>
  <c r="O18" i="5103" l="1"/>
  <c r="O15" i="5103"/>
  <c r="O16" i="5093"/>
  <c r="O20" i="5091"/>
  <c r="O17" i="5101" l="1"/>
  <c r="O22" i="5097"/>
  <c r="O15" i="5101"/>
  <c r="O21" i="5103"/>
  <c r="O16" i="5089"/>
  <c r="O16" i="5099"/>
  <c r="O16" i="5085"/>
  <c r="O17" i="5103"/>
  <c r="O20" i="5103"/>
  <c r="C27" i="5103"/>
  <c r="B24" i="5103"/>
  <c r="C20" i="5103"/>
  <c r="B17" i="5103"/>
  <c r="H6" i="5103" s="1"/>
  <c r="C16" i="5103"/>
  <c r="C15" i="5103"/>
  <c r="C14" i="5103"/>
  <c r="C13" i="5103"/>
  <c r="O12" i="5103"/>
  <c r="C12" i="5103"/>
  <c r="O11" i="5103"/>
  <c r="C11" i="5103"/>
  <c r="O10" i="5103"/>
  <c r="C10" i="5103"/>
  <c r="C9" i="5103"/>
  <c r="C8" i="5103"/>
  <c r="O7" i="5103"/>
  <c r="C7" i="5103"/>
  <c r="O6" i="5103"/>
  <c r="B6" i="5103"/>
  <c r="O5" i="5103"/>
  <c r="B5" i="5103"/>
  <c r="O4" i="5103"/>
  <c r="O3" i="5103"/>
  <c r="O2" i="5103"/>
  <c r="O16" i="5101"/>
  <c r="O18" i="5101"/>
  <c r="C27" i="5101"/>
  <c r="B24" i="5101"/>
  <c r="C20" i="5101"/>
  <c r="B17" i="5101"/>
  <c r="H50" i="5101" s="1"/>
  <c r="C16" i="5101"/>
  <c r="C15" i="5101"/>
  <c r="C14" i="5101"/>
  <c r="C13" i="5101"/>
  <c r="O12" i="5101"/>
  <c r="C12" i="5101"/>
  <c r="O11" i="5101"/>
  <c r="C11" i="5101"/>
  <c r="O10" i="5101"/>
  <c r="C10" i="5101"/>
  <c r="C9" i="5101"/>
  <c r="C8" i="5101"/>
  <c r="O7" i="5101"/>
  <c r="C7" i="5101"/>
  <c r="O6" i="5101"/>
  <c r="B6" i="5101"/>
  <c r="O5" i="5101"/>
  <c r="H5" i="5101"/>
  <c r="B5" i="5101"/>
  <c r="O4" i="5101"/>
  <c r="O3" i="5101"/>
  <c r="O2" i="5101"/>
  <c r="O21" i="5099"/>
  <c r="O23" i="5099"/>
  <c r="O15" i="5087"/>
  <c r="O18" i="5087"/>
  <c r="O24" i="5085"/>
  <c r="H10" i="5103" l="1"/>
  <c r="H4" i="5103"/>
  <c r="H2" i="5103"/>
  <c r="H10" i="5101"/>
  <c r="H15" i="5101"/>
  <c r="H17" i="5101"/>
  <c r="H24" i="5101"/>
  <c r="H6" i="5101"/>
  <c r="H39" i="5101"/>
  <c r="H49" i="5101"/>
  <c r="H12" i="5101"/>
  <c r="H8" i="5101"/>
  <c r="H14" i="5101"/>
  <c r="H20" i="5101"/>
  <c r="H29" i="5101"/>
  <c r="H40" i="5101"/>
  <c r="H13" i="5101"/>
  <c r="H4" i="5101"/>
  <c r="C18" i="5101"/>
  <c r="H11" i="5101"/>
  <c r="H33" i="5101"/>
  <c r="H44" i="5101"/>
  <c r="H2" i="5101"/>
  <c r="H3" i="5101"/>
  <c r="H19" i="5101"/>
  <c r="H35" i="5101"/>
  <c r="H45" i="5101"/>
  <c r="C19" i="5101"/>
  <c r="H25" i="5101"/>
  <c r="H27" i="5101"/>
  <c r="H31" i="5101"/>
  <c r="H36" i="5101"/>
  <c r="H41" i="5101"/>
  <c r="H7" i="5101"/>
  <c r="H9" i="5101"/>
  <c r="H16" i="5101"/>
  <c r="H18" i="5101"/>
  <c r="C17" i="5101"/>
  <c r="H22" i="5101"/>
  <c r="B23" i="5101"/>
  <c r="H32" i="5101"/>
  <c r="H37" i="5101"/>
  <c r="H43" i="5101"/>
  <c r="H48" i="5101"/>
  <c r="H51" i="5101"/>
  <c r="H47" i="5101"/>
  <c r="H16" i="5103"/>
  <c r="H3" i="5103"/>
  <c r="H9" i="5103"/>
  <c r="H11" i="5103"/>
  <c r="H27" i="5103"/>
  <c r="H37" i="5103"/>
  <c r="H14" i="5103"/>
  <c r="H20" i="5103"/>
  <c r="C17" i="5103"/>
  <c r="H8" i="5103"/>
  <c r="H41" i="5103"/>
  <c r="H5" i="5103"/>
  <c r="H17" i="5103"/>
  <c r="H18" i="5103"/>
  <c r="C18" i="5103"/>
  <c r="B23" i="5103"/>
  <c r="H29" i="5103"/>
  <c r="H45" i="5103"/>
  <c r="H13" i="5103"/>
  <c r="H19" i="5103"/>
  <c r="H21" i="5103"/>
  <c r="C19" i="5103"/>
  <c r="H33" i="5103"/>
  <c r="H49" i="5103"/>
  <c r="H22" i="5103"/>
  <c r="H23" i="5103"/>
  <c r="H25" i="5103"/>
  <c r="H28" i="5103"/>
  <c r="H30" i="5103"/>
  <c r="H34" i="5103"/>
  <c r="H38" i="5103"/>
  <c r="H42" i="5103"/>
  <c r="H46" i="5103"/>
  <c r="H50" i="5103"/>
  <c r="H31" i="5103"/>
  <c r="H35" i="5103"/>
  <c r="H39" i="5103"/>
  <c r="H43" i="5103"/>
  <c r="H47" i="5103"/>
  <c r="H51" i="5103"/>
  <c r="H12" i="5103"/>
  <c r="H15" i="5103"/>
  <c r="H24" i="5103"/>
  <c r="H26" i="5103"/>
  <c r="H7" i="5103"/>
  <c r="H32" i="5103"/>
  <c r="H36" i="5103"/>
  <c r="H40" i="5103"/>
  <c r="H44" i="5103"/>
  <c r="H48" i="5103"/>
  <c r="H21" i="5101"/>
  <c r="H23" i="5101"/>
  <c r="H26" i="5101"/>
  <c r="H28" i="5101"/>
  <c r="H30" i="5101"/>
  <c r="H34" i="5101"/>
  <c r="H38" i="5101"/>
  <c r="H42" i="5101"/>
  <c r="H46" i="5101"/>
  <c r="O17" i="5099" l="1"/>
  <c r="O19" i="5097"/>
  <c r="O16" i="5097"/>
  <c r="O21" i="5089"/>
  <c r="O18" i="5095" l="1"/>
  <c r="O17" i="5093"/>
  <c r="O18" i="5097"/>
  <c r="O17" i="5097"/>
  <c r="O15" i="5095" l="1"/>
  <c r="O15" i="5093"/>
  <c r="O21" i="5091"/>
  <c r="O18" i="5091"/>
  <c r="O18" i="5099"/>
  <c r="O20" i="5099"/>
  <c r="C27" i="5099"/>
  <c r="B24" i="5099"/>
  <c r="C20" i="5099"/>
  <c r="B17" i="5099"/>
  <c r="H50" i="5099" s="1"/>
  <c r="C16" i="5099"/>
  <c r="C15" i="5099"/>
  <c r="C14" i="5099"/>
  <c r="C13" i="5099"/>
  <c r="O12" i="5099"/>
  <c r="C12" i="5099"/>
  <c r="O11" i="5099"/>
  <c r="C11" i="5099"/>
  <c r="O10" i="5099"/>
  <c r="C10" i="5099"/>
  <c r="C9" i="5099"/>
  <c r="C8" i="5099"/>
  <c r="O7" i="5099"/>
  <c r="C7" i="5099"/>
  <c r="O6" i="5099"/>
  <c r="B6" i="5099"/>
  <c r="O5" i="5099"/>
  <c r="B5" i="5099"/>
  <c r="O4" i="5099"/>
  <c r="O3" i="5099"/>
  <c r="O2" i="5099"/>
  <c r="O20" i="5093"/>
  <c r="O18" i="5089"/>
  <c r="O17" i="5085"/>
  <c r="H8" i="5099" l="1"/>
  <c r="H4" i="5099"/>
  <c r="H3" i="5099"/>
  <c r="H14" i="5099"/>
  <c r="H10" i="5099"/>
  <c r="H7" i="5099"/>
  <c r="C17" i="5099"/>
  <c r="H6" i="5099"/>
  <c r="H2" i="5099"/>
  <c r="H22" i="5099"/>
  <c r="H17" i="5099"/>
  <c r="H13" i="5099"/>
  <c r="H31" i="5099"/>
  <c r="H39" i="5099"/>
  <c r="H47" i="5099"/>
  <c r="H15" i="5099"/>
  <c r="H16" i="5099"/>
  <c r="H23" i="5099"/>
  <c r="H27" i="5099"/>
  <c r="H32" i="5099"/>
  <c r="H40" i="5099"/>
  <c r="H48" i="5099"/>
  <c r="H20" i="5099"/>
  <c r="H21" i="5099"/>
  <c r="H18" i="5099"/>
  <c r="C18" i="5099"/>
  <c r="H11" i="5099"/>
  <c r="H35" i="5099"/>
  <c r="H43" i="5099"/>
  <c r="H51" i="5099"/>
  <c r="C19" i="5099"/>
  <c r="H26" i="5099"/>
  <c r="H9" i="5099"/>
  <c r="H36" i="5099"/>
  <c r="H44" i="5099"/>
  <c r="H5" i="5099"/>
  <c r="B23" i="5099"/>
  <c r="H28" i="5099"/>
  <c r="H30" i="5099"/>
  <c r="H33" i="5099"/>
  <c r="H37" i="5099"/>
  <c r="H41" i="5099"/>
  <c r="H45" i="5099"/>
  <c r="H49" i="5099"/>
  <c r="H24" i="5099"/>
  <c r="H25" i="5099"/>
  <c r="H19" i="5099"/>
  <c r="H29" i="5099"/>
  <c r="H12" i="5099"/>
  <c r="H34" i="5099"/>
  <c r="H38" i="5099"/>
  <c r="H42" i="5099"/>
  <c r="H46" i="5099"/>
  <c r="O17" i="5091" l="1"/>
  <c r="O20" i="5097"/>
  <c r="O15" i="5097"/>
  <c r="C27" i="5097"/>
  <c r="B24" i="5097"/>
  <c r="C20" i="5097"/>
  <c r="B17" i="5097"/>
  <c r="H19" i="5097" s="1"/>
  <c r="C16" i="5097"/>
  <c r="C15" i="5097"/>
  <c r="C14" i="5097"/>
  <c r="C13" i="5097"/>
  <c r="O12" i="5097"/>
  <c r="C12" i="5097"/>
  <c r="O11" i="5097"/>
  <c r="C11" i="5097"/>
  <c r="O10" i="5097"/>
  <c r="C10" i="5097"/>
  <c r="C9" i="5097"/>
  <c r="C8" i="5097"/>
  <c r="O7" i="5097"/>
  <c r="C7" i="5097"/>
  <c r="O6" i="5097"/>
  <c r="B6" i="5097"/>
  <c r="O5" i="5097"/>
  <c r="B5" i="5097"/>
  <c r="O4" i="5097"/>
  <c r="O3" i="5097"/>
  <c r="O2" i="5097"/>
  <c r="O19" i="5087"/>
  <c r="O18" i="5085"/>
  <c r="O20" i="5095"/>
  <c r="O20" i="5089"/>
  <c r="O19" i="5089"/>
  <c r="O19" i="5093"/>
  <c r="O19" i="5095"/>
  <c r="O22" i="5095"/>
  <c r="C27" i="5095"/>
  <c r="B24" i="5095"/>
  <c r="C20" i="5095"/>
  <c r="B17" i="5095"/>
  <c r="H4" i="5095" s="1"/>
  <c r="C16" i="5095"/>
  <c r="C15" i="5095"/>
  <c r="C14" i="5095"/>
  <c r="C13" i="5095"/>
  <c r="O12" i="5095"/>
  <c r="C12" i="5095"/>
  <c r="O11" i="5095"/>
  <c r="C11" i="5095"/>
  <c r="O10" i="5095"/>
  <c r="C10" i="5095"/>
  <c r="C9" i="5095"/>
  <c r="C8" i="5095"/>
  <c r="O7" i="5095"/>
  <c r="C7" i="5095"/>
  <c r="O6" i="5095"/>
  <c r="B6" i="5095"/>
  <c r="O5" i="5095"/>
  <c r="B5" i="5095"/>
  <c r="O4" i="5095"/>
  <c r="O3" i="5095"/>
  <c r="O2" i="5095"/>
  <c r="O21" i="5093"/>
  <c r="O18" i="5093"/>
  <c r="C27" i="5093"/>
  <c r="B24" i="5093"/>
  <c r="C20" i="5093"/>
  <c r="B17" i="5093"/>
  <c r="H5" i="5093" s="1"/>
  <c r="C16" i="5093"/>
  <c r="C15" i="5093"/>
  <c r="C14" i="5093"/>
  <c r="C13" i="5093"/>
  <c r="O12" i="5093"/>
  <c r="C12" i="5093"/>
  <c r="O11" i="5093"/>
  <c r="C11" i="5093"/>
  <c r="O10" i="5093"/>
  <c r="C10" i="5093"/>
  <c r="C9" i="5093"/>
  <c r="C8" i="5093"/>
  <c r="O7" i="5093"/>
  <c r="C7" i="5093"/>
  <c r="O6" i="5093"/>
  <c r="B6" i="5093"/>
  <c r="O5" i="5093"/>
  <c r="B5" i="5093"/>
  <c r="O4" i="5093"/>
  <c r="O3" i="5093"/>
  <c r="O2" i="5093"/>
  <c r="O20" i="5087"/>
  <c r="O23" i="5087"/>
  <c r="O22" i="5085"/>
  <c r="O21" i="5085"/>
  <c r="H5" i="5097" l="1"/>
  <c r="H5" i="5095"/>
  <c r="H2" i="5093"/>
  <c r="H3" i="5093"/>
  <c r="C17" i="5093"/>
  <c r="H11" i="5097"/>
  <c r="H9" i="5097"/>
  <c r="H3" i="5097"/>
  <c r="C17" i="5097"/>
  <c r="H20" i="5097"/>
  <c r="H4" i="5097"/>
  <c r="H2" i="5097"/>
  <c r="H12" i="5097"/>
  <c r="H16" i="5097"/>
  <c r="H25" i="5097"/>
  <c r="H27" i="5097"/>
  <c r="H13" i="5097"/>
  <c r="H8" i="5097"/>
  <c r="H33" i="5097"/>
  <c r="H37" i="5097"/>
  <c r="H41" i="5097"/>
  <c r="H45" i="5097"/>
  <c r="H49" i="5097"/>
  <c r="H6" i="5097"/>
  <c r="H7" i="5097"/>
  <c r="H14" i="5097"/>
  <c r="H22" i="5097"/>
  <c r="H15" i="5097"/>
  <c r="C18" i="5097"/>
  <c r="B23" i="5097"/>
  <c r="H29" i="5097"/>
  <c r="H31" i="5097"/>
  <c r="H34" i="5097"/>
  <c r="H38" i="5097"/>
  <c r="H42" i="5097"/>
  <c r="H46" i="5097"/>
  <c r="H50" i="5097"/>
  <c r="H24" i="5097"/>
  <c r="H26" i="5097"/>
  <c r="H28" i="5097"/>
  <c r="H30" i="5097"/>
  <c r="H18" i="5097"/>
  <c r="H35" i="5097"/>
  <c r="H39" i="5097"/>
  <c r="H43" i="5097"/>
  <c r="H47" i="5097"/>
  <c r="H51" i="5097"/>
  <c r="H10" i="5097"/>
  <c r="H21" i="5097"/>
  <c r="H23" i="5097"/>
  <c r="C19" i="5097"/>
  <c r="H17" i="5097"/>
  <c r="H32" i="5097"/>
  <c r="H36" i="5097"/>
  <c r="H40" i="5097"/>
  <c r="H44" i="5097"/>
  <c r="H48" i="5097"/>
  <c r="H3" i="5095"/>
  <c r="H22" i="5095"/>
  <c r="H7" i="5095"/>
  <c r="H2" i="5095"/>
  <c r="H16" i="5095"/>
  <c r="H11" i="5095"/>
  <c r="C17" i="5095"/>
  <c r="H33" i="5095"/>
  <c r="H11" i="5093"/>
  <c r="H4" i="5093"/>
  <c r="H19" i="5095"/>
  <c r="C18" i="5095"/>
  <c r="H28" i="5095"/>
  <c r="H37" i="5095"/>
  <c r="H41" i="5095"/>
  <c r="B23" i="5095"/>
  <c r="H30" i="5095"/>
  <c r="H45" i="5095"/>
  <c r="H49" i="5095"/>
  <c r="H24" i="5095"/>
  <c r="H29" i="5095"/>
  <c r="H50" i="5095"/>
  <c r="H8" i="5095"/>
  <c r="H21" i="5095"/>
  <c r="H23" i="5095"/>
  <c r="C19" i="5095"/>
  <c r="H13" i="5095"/>
  <c r="H31" i="5095"/>
  <c r="H35" i="5095"/>
  <c r="H39" i="5095"/>
  <c r="H43" i="5095"/>
  <c r="H47" i="5095"/>
  <c r="H51" i="5095"/>
  <c r="H25" i="5095"/>
  <c r="H27" i="5095"/>
  <c r="H18" i="5095"/>
  <c r="H34" i="5095"/>
  <c r="H38" i="5095"/>
  <c r="H42" i="5095"/>
  <c r="H46" i="5095"/>
  <c r="H9" i="5095"/>
  <c r="H6" i="5095"/>
  <c r="H12" i="5095"/>
  <c r="H20" i="5095"/>
  <c r="H17" i="5095"/>
  <c r="H15" i="5095"/>
  <c r="H26" i="5095"/>
  <c r="H14" i="5095"/>
  <c r="H10" i="5095"/>
  <c r="H32" i="5095"/>
  <c r="H36" i="5095"/>
  <c r="H40" i="5095"/>
  <c r="H44" i="5095"/>
  <c r="H48" i="5095"/>
  <c r="H27" i="5093"/>
  <c r="H32" i="5093"/>
  <c r="H39" i="5093"/>
  <c r="H47" i="5093"/>
  <c r="H6" i="5093"/>
  <c r="H21" i="5093"/>
  <c r="H23" i="5093"/>
  <c r="H16" i="5093"/>
  <c r="C18" i="5093"/>
  <c r="B23" i="5093"/>
  <c r="H20" i="5093"/>
  <c r="H31" i="5093"/>
  <c r="H34" i="5093"/>
  <c r="H38" i="5093"/>
  <c r="H42" i="5093"/>
  <c r="H46" i="5093"/>
  <c r="H50" i="5093"/>
  <c r="H26" i="5093"/>
  <c r="H29" i="5093"/>
  <c r="H35" i="5093"/>
  <c r="H51" i="5093"/>
  <c r="H8" i="5093"/>
  <c r="H17" i="5093"/>
  <c r="H24" i="5093"/>
  <c r="C19" i="5093"/>
  <c r="H14" i="5093"/>
  <c r="H18" i="5093"/>
  <c r="H36" i="5093"/>
  <c r="H40" i="5093"/>
  <c r="H44" i="5093"/>
  <c r="H48" i="5093"/>
  <c r="H19" i="5093"/>
  <c r="H30" i="5093"/>
  <c r="H43" i="5093"/>
  <c r="H10" i="5093"/>
  <c r="H7" i="5093"/>
  <c r="H13" i="5093"/>
  <c r="H22" i="5093"/>
  <c r="H25" i="5093"/>
  <c r="H15" i="5093"/>
  <c r="H28" i="5093"/>
  <c r="H12" i="5093"/>
  <c r="H9" i="5093"/>
  <c r="H33" i="5093"/>
  <c r="H37" i="5093"/>
  <c r="H41" i="5093"/>
  <c r="H45" i="5093"/>
  <c r="H49" i="5093"/>
  <c r="O16" i="5091" l="1"/>
  <c r="O19" i="5091"/>
  <c r="C27" i="5091"/>
  <c r="B24" i="5091"/>
  <c r="C20" i="5091"/>
  <c r="B17" i="5091"/>
  <c r="H5" i="5091" s="1"/>
  <c r="C16" i="5091"/>
  <c r="C15" i="5091"/>
  <c r="C14" i="5091"/>
  <c r="C13" i="5091"/>
  <c r="O12" i="5091"/>
  <c r="C12" i="5091"/>
  <c r="O11" i="5091"/>
  <c r="C11" i="5091"/>
  <c r="O10" i="5091"/>
  <c r="C10" i="5091"/>
  <c r="C9" i="5091"/>
  <c r="C8" i="5091"/>
  <c r="O7" i="5091"/>
  <c r="C7" i="5091"/>
  <c r="O6" i="5091"/>
  <c r="B6" i="5091"/>
  <c r="O5" i="5091"/>
  <c r="B5" i="5091"/>
  <c r="O4" i="5091"/>
  <c r="O3" i="5091"/>
  <c r="O2" i="5091"/>
  <c r="O22" i="5089"/>
  <c r="O17" i="5089"/>
  <c r="C27" i="5089"/>
  <c r="B24" i="5089"/>
  <c r="C20" i="5089"/>
  <c r="B17" i="5089"/>
  <c r="H5" i="5089" s="1"/>
  <c r="C16" i="5089"/>
  <c r="C15" i="5089"/>
  <c r="C14" i="5089"/>
  <c r="C13" i="5089"/>
  <c r="O12" i="5089"/>
  <c r="C12" i="5089"/>
  <c r="O11" i="5089"/>
  <c r="C11" i="5089"/>
  <c r="O10" i="5089"/>
  <c r="C10" i="5089"/>
  <c r="C9" i="5089"/>
  <c r="C8" i="5089"/>
  <c r="O7" i="5089"/>
  <c r="C7" i="5089"/>
  <c r="O6" i="5089"/>
  <c r="B6" i="5089"/>
  <c r="O5" i="5089"/>
  <c r="B5" i="5089"/>
  <c r="O4" i="5089"/>
  <c r="O3" i="5089"/>
  <c r="O2" i="5089"/>
  <c r="O23" i="5085"/>
  <c r="O16" i="5087"/>
  <c r="O22" i="5087"/>
  <c r="C27" i="5087"/>
  <c r="B24" i="5087"/>
  <c r="C20" i="5087"/>
  <c r="B17" i="5087"/>
  <c r="H5" i="5087" s="1"/>
  <c r="C16" i="5087"/>
  <c r="C15" i="5087"/>
  <c r="C14" i="5087"/>
  <c r="C13" i="5087"/>
  <c r="O12" i="5087"/>
  <c r="C12" i="5087"/>
  <c r="O11" i="5087"/>
  <c r="C11" i="5087"/>
  <c r="O10" i="5087"/>
  <c r="C10" i="5087"/>
  <c r="C9" i="5087"/>
  <c r="C8" i="5087"/>
  <c r="O7" i="5087"/>
  <c r="C7" i="5087"/>
  <c r="O6" i="5087"/>
  <c r="B6" i="5087"/>
  <c r="O5" i="5087"/>
  <c r="B5" i="5087"/>
  <c r="O4" i="5087"/>
  <c r="O3" i="5087"/>
  <c r="O2" i="5087"/>
  <c r="O15" i="5085"/>
  <c r="O20" i="5085"/>
  <c r="C27" i="5085"/>
  <c r="B24" i="5085"/>
  <c r="C20" i="5085"/>
  <c r="B17" i="5085"/>
  <c r="H19" i="5085" s="1"/>
  <c r="C16" i="5085"/>
  <c r="C15" i="5085"/>
  <c r="C14" i="5085"/>
  <c r="C13" i="5085"/>
  <c r="O12" i="5085"/>
  <c r="C12" i="5085"/>
  <c r="O11" i="5085"/>
  <c r="C11" i="5085"/>
  <c r="O10" i="5085"/>
  <c r="C10" i="5085"/>
  <c r="C9" i="5085"/>
  <c r="C8" i="5085"/>
  <c r="O7" i="5085"/>
  <c r="C7" i="5085"/>
  <c r="O6" i="5085"/>
  <c r="B6" i="5085"/>
  <c r="O5" i="5085"/>
  <c r="B5" i="5085"/>
  <c r="O4" i="5085"/>
  <c r="O3" i="5085"/>
  <c r="O2" i="5085"/>
  <c r="H2" i="5089" l="1"/>
  <c r="H8" i="5089"/>
  <c r="H6" i="5089"/>
  <c r="H3" i="5089"/>
  <c r="H9" i="5089"/>
  <c r="H24" i="5091"/>
  <c r="H12" i="5089"/>
  <c r="H29" i="5089"/>
  <c r="C17" i="5089"/>
  <c r="H7" i="5089"/>
  <c r="H22" i="5089"/>
  <c r="H10" i="5089"/>
  <c r="H4" i="5089"/>
  <c r="H20" i="5089"/>
  <c r="B23" i="5089"/>
  <c r="H6" i="5091"/>
  <c r="H8" i="5091"/>
  <c r="H23" i="5089"/>
  <c r="H12" i="5091"/>
  <c r="H4" i="5091"/>
  <c r="H10" i="5091"/>
  <c r="C17" i="5091"/>
  <c r="H29" i="5091"/>
  <c r="H14" i="5091"/>
  <c r="H16" i="5091"/>
  <c r="H3" i="5091"/>
  <c r="H2" i="5091"/>
  <c r="H9" i="5091"/>
  <c r="H7" i="5091"/>
  <c r="H25" i="5091"/>
  <c r="H17" i="5091"/>
  <c r="H13" i="5091"/>
  <c r="H23" i="5091"/>
  <c r="H26" i="5091"/>
  <c r="H15" i="5091"/>
  <c r="C18" i="5091"/>
  <c r="B23" i="5091"/>
  <c r="H19" i="5091"/>
  <c r="H31" i="5091"/>
  <c r="H33" i="5091"/>
  <c r="H37" i="5091"/>
  <c r="H41" i="5091"/>
  <c r="H45" i="5091"/>
  <c r="H49" i="5091"/>
  <c r="H27" i="5091"/>
  <c r="H28" i="5091"/>
  <c r="H30" i="5091"/>
  <c r="H20" i="5091"/>
  <c r="H21" i="5091"/>
  <c r="H34" i="5091"/>
  <c r="H38" i="5091"/>
  <c r="H42" i="5091"/>
  <c r="H46" i="5091"/>
  <c r="H50" i="5091"/>
  <c r="C19" i="5091"/>
  <c r="H18" i="5091"/>
  <c r="H32" i="5091"/>
  <c r="H35" i="5091"/>
  <c r="H39" i="5091"/>
  <c r="H43" i="5091"/>
  <c r="H47" i="5091"/>
  <c r="H51" i="5091"/>
  <c r="H11" i="5091"/>
  <c r="H22" i="5091"/>
  <c r="H36" i="5091"/>
  <c r="H40" i="5091"/>
  <c r="H44" i="5091"/>
  <c r="H48" i="5091"/>
  <c r="H19" i="5089"/>
  <c r="C18" i="5089"/>
  <c r="H21" i="5089"/>
  <c r="C19" i="5089"/>
  <c r="H26" i="5089"/>
  <c r="H34" i="5089"/>
  <c r="H38" i="5089"/>
  <c r="H42" i="5089"/>
  <c r="H33" i="5089"/>
  <c r="H35" i="5089"/>
  <c r="H46" i="5089"/>
  <c r="H15" i="5089"/>
  <c r="H36" i="5089"/>
  <c r="H50" i="5089"/>
  <c r="H30" i="5089"/>
  <c r="H31" i="5089"/>
  <c r="H32" i="5089"/>
  <c r="H25" i="5089"/>
  <c r="H16" i="5089"/>
  <c r="H28" i="5089"/>
  <c r="H39" i="5089"/>
  <c r="H43" i="5089"/>
  <c r="H47" i="5089"/>
  <c r="H51" i="5089"/>
  <c r="H40" i="5089"/>
  <c r="H44" i="5089"/>
  <c r="H48" i="5089"/>
  <c r="H18" i="5089"/>
  <c r="H17" i="5089"/>
  <c r="H14" i="5089"/>
  <c r="H24" i="5089"/>
  <c r="H13" i="5089"/>
  <c r="H11" i="5089"/>
  <c r="H27" i="5089"/>
  <c r="H37" i="5089"/>
  <c r="H41" i="5089"/>
  <c r="H45" i="5089"/>
  <c r="H49" i="5089"/>
  <c r="H7" i="5087"/>
  <c r="H14" i="5087"/>
  <c r="H6" i="5087"/>
  <c r="H3" i="5087"/>
  <c r="H21" i="5087"/>
  <c r="H22" i="5087"/>
  <c r="C17" i="5087"/>
  <c r="H40" i="5087"/>
  <c r="H10" i="5087"/>
  <c r="H20" i="5087"/>
  <c r="H36" i="5087"/>
  <c r="H4" i="5087"/>
  <c r="H2" i="5087"/>
  <c r="H11" i="5087"/>
  <c r="C19" i="5087"/>
  <c r="H44" i="5087"/>
  <c r="H8" i="5087"/>
  <c r="H29" i="5087"/>
  <c r="H17" i="5087"/>
  <c r="H25" i="5087"/>
  <c r="H50" i="5087"/>
  <c r="H23" i="5087"/>
  <c r="H35" i="5087"/>
  <c r="H42" i="5087"/>
  <c r="H13" i="5087"/>
  <c r="H28" i="5087"/>
  <c r="C18" i="5087"/>
  <c r="B23" i="5087"/>
  <c r="H24" i="5087"/>
  <c r="H38" i="5087"/>
  <c r="H46" i="5087"/>
  <c r="H30" i="5087"/>
  <c r="H31" i="5087"/>
  <c r="H33" i="5087"/>
  <c r="H34" i="5087"/>
  <c r="H19" i="5087"/>
  <c r="H27" i="5087"/>
  <c r="H39" i="5087"/>
  <c r="H43" i="5087"/>
  <c r="H47" i="5087"/>
  <c r="H51" i="5087"/>
  <c r="H48" i="5087"/>
  <c r="H16" i="5087"/>
  <c r="H18" i="5087"/>
  <c r="H15" i="5087"/>
  <c r="H32" i="5087"/>
  <c r="H12" i="5087"/>
  <c r="H9" i="5087"/>
  <c r="H26" i="5087"/>
  <c r="H37" i="5087"/>
  <c r="H41" i="5087"/>
  <c r="H45" i="5087"/>
  <c r="H49" i="5087"/>
  <c r="H9" i="5085"/>
  <c r="H2" i="5085"/>
  <c r="H3" i="5085"/>
  <c r="H4" i="5085"/>
  <c r="H11" i="5085"/>
  <c r="H6" i="5085"/>
  <c r="H23" i="5085"/>
  <c r="H7" i="5085"/>
  <c r="H21" i="5085"/>
  <c r="H32" i="5085"/>
  <c r="H16" i="5085"/>
  <c r="C18" i="5085"/>
  <c r="H14" i="5085"/>
  <c r="H13" i="5085"/>
  <c r="H31" i="5085"/>
  <c r="H38" i="5085"/>
  <c r="H46" i="5085"/>
  <c r="C19" i="5085"/>
  <c r="H29" i="5085"/>
  <c r="H25" i="5085"/>
  <c r="H26" i="5085"/>
  <c r="H41" i="5085"/>
  <c r="H49" i="5085"/>
  <c r="H8" i="5085"/>
  <c r="H20" i="5085"/>
  <c r="H24" i="5085"/>
  <c r="C17" i="5085"/>
  <c r="H15" i="5085"/>
  <c r="B23" i="5085"/>
  <c r="H35" i="5085"/>
  <c r="H42" i="5085"/>
  <c r="H50" i="5085"/>
  <c r="H12" i="5085"/>
  <c r="H18" i="5085"/>
  <c r="H10" i="5085"/>
  <c r="H37" i="5085"/>
  <c r="H45" i="5085"/>
  <c r="H5" i="5085"/>
  <c r="H33" i="5085"/>
  <c r="H34" i="5085"/>
  <c r="H30" i="5085"/>
  <c r="H27" i="5085"/>
  <c r="H17" i="5085"/>
  <c r="H28" i="5085"/>
  <c r="H39" i="5085"/>
  <c r="H43" i="5085"/>
  <c r="H47" i="5085"/>
  <c r="H51" i="5085"/>
  <c r="H22" i="5085"/>
  <c r="H36" i="5085"/>
  <c r="H40" i="5085"/>
  <c r="H44" i="5085"/>
  <c r="H48" i="508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<sst xmlns="http://schemas.openxmlformats.org/spreadsheetml/2006/main" count="2726" uniqueCount="221">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</sst>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全体!$K$2:$K$392</c:f>
              <c:numCache>
                <c:formatCode>General</c:formatCode>
                <c:ptCount val="3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</c:numCache>
            </c:numRef>
          </c:xVal>
          <c:yVal>
            <c:numRef>
              <c:f>全体!$L$2:$L$392</c:f>
              <c:numCache>
                <c:formatCode>\+0.0;\-0.0;\±0</c:formatCode>
                <c:ptCount val="39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B4-49ED-94FB-B6DAC2A5D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-15.384615384615385</c:v>
                </c:pt>
                <c:pt idx="1">
                  <c:v>-10.335917312661499</c:v>
                </c:pt>
                <c:pt idx="2">
                  <c:v>10.928961748633879</c:v>
                </c:pt>
                <c:pt idx="3">
                  <c:v>15.015015015015015</c:v>
                </c:pt>
                <c:pt idx="4">
                  <c:v>-16.33986928104575</c:v>
                </c:pt>
                <c:pt idx="5">
                  <c:v>21.05263157894737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C-4F79-BAA5-11B640B71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だいち!$L$2:$L$90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0D-4788-971B-8BC8F98C5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2656.818181818182</c:v>
                </c:pt>
                <c:pt idx="1">
                  <c:v>2847.1264367816093</c:v>
                </c:pt>
                <c:pt idx="2">
                  <c:v>2281.9277108433735</c:v>
                </c:pt>
                <c:pt idx="3">
                  <c:v>2927.6315789473683</c:v>
                </c:pt>
                <c:pt idx="4">
                  <c:v>92.647058823529406</c:v>
                </c:pt>
                <c:pt idx="5">
                  <c:v>1261.9047619047619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6-487A-A24F-8C5DBF26B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りくと!$L$2:$L$98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7-4F11-935C-5DCA658F9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641.66666666666663</c:v>
                </c:pt>
                <c:pt idx="1">
                  <c:v>-2471.5789473684213</c:v>
                </c:pt>
                <c:pt idx="2">
                  <c:v>-702.17391304347825</c:v>
                </c:pt>
                <c:pt idx="3">
                  <c:v>843.37349397590367</c:v>
                </c:pt>
                <c:pt idx="4">
                  <c:v>73.684210526315795</c:v>
                </c:pt>
                <c:pt idx="5">
                  <c:v>398.59154929577466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B-4A2B-B7A8-65DFCB816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A-434C-A25B-41A819166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-2836.8421052631579</c:v>
                </c:pt>
                <c:pt idx="1">
                  <c:v>-3252.6315789473683</c:v>
                </c:pt>
                <c:pt idx="2">
                  <c:v>-1208.5714285714287</c:v>
                </c:pt>
                <c:pt idx="3">
                  <c:v>-6190</c:v>
                </c:pt>
                <c:pt idx="4">
                  <c:v>-1188.8888888888889</c:v>
                </c:pt>
                <c:pt idx="5">
                  <c:v>-1584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6E-4BCB-A7D0-7312F4561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れんたろう!$L$2:$L$49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B7-4705-83B2-80530EC1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144.68085106382978</c:v>
                </c:pt>
                <c:pt idx="1">
                  <c:v>744.68085106382978</c:v>
                </c:pt>
                <c:pt idx="2">
                  <c:v>-93.333333333333329</c:v>
                </c:pt>
                <c:pt idx="3">
                  <c:v>2017.948717948718</c:v>
                </c:pt>
                <c:pt idx="4">
                  <c:v>-1500</c:v>
                </c:pt>
                <c:pt idx="5">
                  <c:v>-217.64705882352942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7F-4A3B-A784-3629B4233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FA-4114-9A99-3E78370CA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434.78260869565219</c:v>
                </c:pt>
                <c:pt idx="1">
                  <c:v>217.39130434782609</c:v>
                </c:pt>
                <c:pt idx="2">
                  <c:v>-163.41463414634146</c:v>
                </c:pt>
                <c:pt idx="3">
                  <c:v>778.9473684210526</c:v>
                </c:pt>
                <c:pt idx="4">
                  <c:v>-67.567567567567565</c:v>
                </c:pt>
                <c:pt idx="5">
                  <c:v>-957.57575757575762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5F-47AB-AA13-F97052244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ぱぱ!$L$2:$L$37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D1-45F2-B96D-D2B58B800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-3080</c:v>
                </c:pt>
                <c:pt idx="1">
                  <c:v>1965.7142857142858</c:v>
                </c:pt>
                <c:pt idx="2">
                  <c:v>-884.84848484848487</c:v>
                </c:pt>
                <c:pt idx="3">
                  <c:v>-4461.2903225806449</c:v>
                </c:pt>
                <c:pt idx="4">
                  <c:v>828.57142857142856</c:v>
                </c:pt>
                <c:pt idx="5">
                  <c:v>681.48148148148152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B-4AED-A3ED-12FA99541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まっつん!$L$2:$L$24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3-4894-881A-399E7685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-3536.3636363636365</c:v>
                </c:pt>
                <c:pt idx="1">
                  <c:v>-952.38095238095241</c:v>
                </c:pt>
                <c:pt idx="2">
                  <c:v>-468.42105263157896</c:v>
                </c:pt>
                <c:pt idx="3">
                  <c:v>-1289.4736842105262</c:v>
                </c:pt>
                <c:pt idx="4">
                  <c:v>1177.7777777777778</c:v>
                </c:pt>
                <c:pt idx="5">
                  <c:v>1225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EA-4746-B462-D2FA367B1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D-4CF9-B195-D9EF897D5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C-42F5-9962-05756C262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C-426B-B5BB-F67DD5E52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27-45A9-B938-BEF8C8CF1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7D-4844-A4B2-3B6A67521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8-4E4F-A5C2-625DD6C82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ほたに2!$C$3:$C$8</c:f>
              <c:numCache>
                <c:formatCode>\+0.0;\-0.0;\±0</c:formatCode>
                <c:ptCount val="6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  <c:pt idx="5">
                  <c:v>-3.2200000000000011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2753331154668464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ほたに2!$G$3:$G$8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  <c:pt idx="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254722730042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ほたに2!$H$3:$H$8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580743449116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ほたに2!$I$3:$I$8</c:f>
              <c:numCache>
                <c:formatCode>0</c:formatCode>
                <c:ptCount val="6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  <c:pt idx="5">
                  <c:v>8425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03.93145161290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ほたに2!$J$3:$J$8</c:f>
              <c:numCache>
                <c:formatCode>0</c:formatCode>
                <c:ptCount val="6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  <c:pt idx="5">
                  <c:v>-5420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11.2727272727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ほたに2!$L$3:$L$8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ほたに2!$M$3:$M$8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  <c:pt idx="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8738574040219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ほたに2!$N$3:$N$8</c:f>
              <c:numCache>
                <c:formatCode>0.0%</c:formatCode>
                <c:ptCount val="6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  <c:pt idx="5">
                  <c:v>0.26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633150517976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  <c:pt idx="5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0702947845805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ほたに2!$P$3:$P$8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  <c:pt idx="5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5915492957746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ほたに2!$Q$3:$Q$8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  <c:pt idx="5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5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5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5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5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0.77806120250283961</v>
      </c>
      <c r="G2" s="159"/>
      <c r="H2" s="158">
        <v>0.62402285784133726</v>
      </c>
      <c r="I2" s="159"/>
      <c r="J2" s="158">
        <v>0.78582787727874004</v>
      </c>
      <c r="K2" s="159"/>
      <c r="L2" s="158">
        <v>0.5869084775054727</v>
      </c>
      <c r="M2" s="159"/>
      <c r="N2" s="158">
        <v>0.67054553259255845</v>
      </c>
      <c r="O2" s="159"/>
      <c r="P2" s="158">
        <v>0.5581385366140339</v>
      </c>
      <c r="Q2" s="159"/>
      <c r="R2" s="158">
        <v>-6.595855132956023E-2</v>
      </c>
      <c r="S2" s="159"/>
      <c r="T2" s="158">
        <v>0.54972510369162553</v>
      </c>
      <c r="U2" s="159"/>
      <c r="V2" s="158">
        <v>0.84519115666222344</v>
      </c>
      <c r="W2" s="159"/>
      <c r="X2" s="158">
        <v>0.83001472452018554</v>
      </c>
      <c r="Y2" s="159"/>
      <c r="Z2" s="158">
        <v>5.3730528367518293E-2</v>
      </c>
      <c r="AA2" s="159"/>
      <c r="AB2" s="158">
        <v>0.20154696613389711</v>
      </c>
      <c r="AC2" s="159"/>
      <c r="AD2" s="158">
        <v>0.11374662831577838</v>
      </c>
      <c r="AE2" s="159"/>
      <c r="AF2" s="158">
        <v>-0.41712970898004559</v>
      </c>
      <c r="AG2" s="159"/>
      <c r="AH2" s="158">
        <v>0.88722127860442912</v>
      </c>
      <c r="AI2" s="159"/>
    </row>
    <row r="3" spans="1:35" x14ac:dyDescent="0.4">
      <c r="A3" s="74">
        <v>1</v>
      </c>
      <c r="B3" s="75" t="s">
        <v>127</v>
      </c>
      <c r="C3" s="76">
        <v>1664.200000000001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0.3807531380753138</v>
      </c>
      <c r="N3" s="77" t="s">
        <v>185</v>
      </c>
      <c r="O3" s="80">
        <v>0.10526315789473684</v>
      </c>
      <c r="P3" s="77" t="s">
        <v>171</v>
      </c>
      <c r="Q3" s="81">
        <v>9392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0.18181818181818182</v>
      </c>
      <c r="X3" s="77" t="s">
        <v>127</v>
      </c>
      <c r="Y3" s="80">
        <v>0.32914923291492332</v>
      </c>
      <c r="Z3" s="77" t="s">
        <v>172</v>
      </c>
      <c r="AA3" s="80">
        <v>0.29776674937965258</v>
      </c>
      <c r="AB3" s="77" t="s">
        <v>177</v>
      </c>
      <c r="AC3" s="80">
        <v>0.61764705882352944</v>
      </c>
      <c r="AD3" s="77" t="s">
        <v>127</v>
      </c>
      <c r="AE3" s="80">
        <v>0.5357142857142857</v>
      </c>
      <c r="AF3" s="77" t="s">
        <v>202</v>
      </c>
      <c r="AG3" s="80">
        <v>0.58333333333333337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127</v>
      </c>
      <c r="E4" s="97">
        <v>18.911363636363646</v>
      </c>
      <c r="F4" s="85" t="s">
        <v>127</v>
      </c>
      <c r="G4" s="86">
        <v>1.6136363636363635</v>
      </c>
      <c r="H4" s="85" t="s">
        <v>127</v>
      </c>
      <c r="I4" s="87">
        <v>0.56818181818181823</v>
      </c>
      <c r="J4" s="85" t="s">
        <v>127</v>
      </c>
      <c r="K4" s="87">
        <v>0.18181818181818182</v>
      </c>
      <c r="L4" s="85" t="s">
        <v>172</v>
      </c>
      <c r="M4" s="88">
        <v>0.36724565756823824</v>
      </c>
      <c r="N4" s="85" t="s">
        <v>172</v>
      </c>
      <c r="O4" s="88">
        <v>0.13399503722084366</v>
      </c>
      <c r="P4" s="85" t="s">
        <v>127</v>
      </c>
      <c r="Q4" s="89">
        <v>9165.9340659340651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171</v>
      </c>
      <c r="W4" s="87">
        <v>0.1276595744680851</v>
      </c>
      <c r="X4" s="85" t="s">
        <v>128</v>
      </c>
      <c r="Y4" s="88">
        <v>0.29012345679012347</v>
      </c>
      <c r="Z4" s="85" t="s">
        <v>202</v>
      </c>
      <c r="AA4" s="88">
        <v>0.26</v>
      </c>
      <c r="AB4" s="85" t="s">
        <v>173</v>
      </c>
      <c r="AC4" s="88">
        <v>0.60563380281690138</v>
      </c>
      <c r="AD4" s="85" t="s">
        <v>185</v>
      </c>
      <c r="AE4" s="88">
        <v>0.5</v>
      </c>
      <c r="AF4" s="85" t="s">
        <v>186</v>
      </c>
      <c r="AG4" s="88">
        <v>0.55000000000000004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172</v>
      </c>
      <c r="C5" s="84">
        <v>12.900000000000009</v>
      </c>
      <c r="D5" s="85" t="s">
        <v>172</v>
      </c>
      <c r="E5" s="97">
        <v>0.28043478260869587</v>
      </c>
      <c r="F5" s="85" t="s">
        <v>145</v>
      </c>
      <c r="G5" s="86">
        <v>2</v>
      </c>
      <c r="H5" s="85" t="s">
        <v>145</v>
      </c>
      <c r="I5" s="87">
        <v>0.33333333333333331</v>
      </c>
      <c r="J5" s="85" t="s">
        <v>202</v>
      </c>
      <c r="K5" s="87">
        <v>0.2</v>
      </c>
      <c r="L5" s="85" t="s">
        <v>173</v>
      </c>
      <c r="M5" s="88">
        <v>0.30769230769230771</v>
      </c>
      <c r="N5" s="85" t="s">
        <v>127</v>
      </c>
      <c r="O5" s="88">
        <v>0.15481171548117154</v>
      </c>
      <c r="P5" s="85" t="s">
        <v>128</v>
      </c>
      <c r="Q5" s="89">
        <v>9164.1592920353978</v>
      </c>
      <c r="R5" s="85" t="s">
        <v>171</v>
      </c>
      <c r="S5" s="89">
        <v>-7070.9677419354839</v>
      </c>
      <c r="T5" s="85" t="s">
        <v>171</v>
      </c>
      <c r="U5" s="87">
        <v>2.1276595744680851E-2</v>
      </c>
      <c r="V5" s="85" t="s">
        <v>172</v>
      </c>
      <c r="W5" s="87">
        <v>0.10869565217391304</v>
      </c>
      <c r="X5" s="85" t="s">
        <v>145</v>
      </c>
      <c r="Y5" s="88">
        <v>0.26873857404021939</v>
      </c>
      <c r="Z5" s="85" t="s">
        <v>173</v>
      </c>
      <c r="AA5" s="88">
        <v>0.25320512820512819</v>
      </c>
      <c r="AB5" s="85" t="s">
        <v>172</v>
      </c>
      <c r="AC5" s="88">
        <v>0.60439560439560436</v>
      </c>
      <c r="AD5" s="85" t="s">
        <v>186</v>
      </c>
      <c r="AE5" s="88">
        <v>0.47058823529411764</v>
      </c>
      <c r="AF5" s="85" t="s">
        <v>173</v>
      </c>
      <c r="AG5" s="88">
        <v>0.52083333333333337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145</v>
      </c>
      <c r="C6" s="84">
        <v>4.9737991503207013E-14</v>
      </c>
      <c r="D6" s="85" t="s">
        <v>145</v>
      </c>
      <c r="E6" s="97">
        <v>1.2753331154668464E-16</v>
      </c>
      <c r="F6" s="85" t="s">
        <v>202</v>
      </c>
      <c r="G6" s="86">
        <v>2</v>
      </c>
      <c r="H6" s="85" t="s">
        <v>177</v>
      </c>
      <c r="I6" s="87">
        <v>0.31818181818181818</v>
      </c>
      <c r="J6" s="85" t="s">
        <v>145</v>
      </c>
      <c r="K6" s="87">
        <v>0.33333333333333331</v>
      </c>
      <c r="L6" s="85" t="s">
        <v>145</v>
      </c>
      <c r="M6" s="88">
        <v>0.30225472273004267</v>
      </c>
      <c r="N6" s="85" t="s">
        <v>171</v>
      </c>
      <c r="O6" s="88">
        <v>0.15577889447236182</v>
      </c>
      <c r="P6" s="85" t="s">
        <v>129</v>
      </c>
      <c r="Q6" s="89">
        <v>8566.1538461538457</v>
      </c>
      <c r="R6" s="85" t="s">
        <v>177</v>
      </c>
      <c r="S6" s="89">
        <v>-7113.333333333333</v>
      </c>
      <c r="T6" s="85" t="s">
        <v>127</v>
      </c>
      <c r="U6" s="87">
        <v>5.6818181818181816E-2</v>
      </c>
      <c r="V6" s="85" t="s">
        <v>145</v>
      </c>
      <c r="W6" s="87">
        <v>0.1</v>
      </c>
      <c r="X6" s="85" t="s">
        <v>185</v>
      </c>
      <c r="Y6" s="88">
        <v>0.26315789473684209</v>
      </c>
      <c r="Z6" s="85" t="s">
        <v>177</v>
      </c>
      <c r="AA6" s="88">
        <v>0.23463687150837989</v>
      </c>
      <c r="AB6" s="85" t="s">
        <v>128</v>
      </c>
      <c r="AC6" s="88">
        <v>0.60425531914893615</v>
      </c>
      <c r="AD6" s="85" t="s">
        <v>172</v>
      </c>
      <c r="AE6" s="88">
        <v>0.42499999999999999</v>
      </c>
      <c r="AF6" s="85" t="s">
        <v>129</v>
      </c>
      <c r="AG6" s="88">
        <v>0.50769230769230766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202</v>
      </c>
      <c r="C7" s="84">
        <v>-16.100000000000005</v>
      </c>
      <c r="D7" s="85" t="s">
        <v>171</v>
      </c>
      <c r="E7" s="97">
        <v>-0.70425531914893624</v>
      </c>
      <c r="F7" s="85" t="s">
        <v>177</v>
      </c>
      <c r="G7" s="86">
        <v>2.0454545454545454</v>
      </c>
      <c r="H7" s="85" t="s">
        <v>186</v>
      </c>
      <c r="I7" s="87">
        <v>0.3</v>
      </c>
      <c r="J7" s="85" t="s">
        <v>173</v>
      </c>
      <c r="K7" s="87">
        <v>0.34285714285714286</v>
      </c>
      <c r="L7" s="85" t="s">
        <v>128</v>
      </c>
      <c r="M7" s="88">
        <v>0.27901234567901234</v>
      </c>
      <c r="N7" s="85" t="s">
        <v>145</v>
      </c>
      <c r="O7" s="88">
        <v>0.16758074344911639</v>
      </c>
      <c r="P7" s="85" t="s">
        <v>202</v>
      </c>
      <c r="Q7" s="89">
        <v>8425</v>
      </c>
      <c r="R7" s="85" t="s">
        <v>186</v>
      </c>
      <c r="S7" s="89">
        <v>-7686.95652173913</v>
      </c>
      <c r="T7" s="85" t="s">
        <v>172</v>
      </c>
      <c r="U7" s="87">
        <v>6.5217391304347824E-2</v>
      </c>
      <c r="V7" s="85" t="s">
        <v>128</v>
      </c>
      <c r="W7" s="87">
        <v>8.3333333333333329E-2</v>
      </c>
      <c r="X7" s="85" t="s">
        <v>171</v>
      </c>
      <c r="Y7" s="88">
        <v>0.25879396984924624</v>
      </c>
      <c r="Z7" s="85" t="s">
        <v>127</v>
      </c>
      <c r="AA7" s="88">
        <v>0.23430962343096234</v>
      </c>
      <c r="AB7" s="85" t="s">
        <v>127</v>
      </c>
      <c r="AC7" s="88">
        <v>0.60169491525423724</v>
      </c>
      <c r="AD7" s="85" t="s">
        <v>177</v>
      </c>
      <c r="AE7" s="88">
        <v>0.40476190476190477</v>
      </c>
      <c r="AF7" s="85" t="s">
        <v>145</v>
      </c>
      <c r="AG7" s="88">
        <v>0.4375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171</v>
      </c>
      <c r="C8" s="84">
        <v>-33.1</v>
      </c>
      <c r="D8" s="85" t="s">
        <v>128</v>
      </c>
      <c r="E8" s="97">
        <v>-3.0614583333333338</v>
      </c>
      <c r="F8" s="85" t="s">
        <v>172</v>
      </c>
      <c r="G8" s="86">
        <v>2.0652173913043477</v>
      </c>
      <c r="H8" s="85" t="s">
        <v>172</v>
      </c>
      <c r="I8" s="87">
        <v>0.28260869565217389</v>
      </c>
      <c r="J8" s="85" t="s">
        <v>128</v>
      </c>
      <c r="K8" s="87">
        <v>0.34375</v>
      </c>
      <c r="L8" s="85" t="s">
        <v>185</v>
      </c>
      <c r="M8" s="88">
        <v>0.26315789473684209</v>
      </c>
      <c r="N8" s="85" t="s">
        <v>177</v>
      </c>
      <c r="O8" s="88">
        <v>0.16759776536312848</v>
      </c>
      <c r="P8" s="85" t="s">
        <v>145</v>
      </c>
      <c r="Q8" s="89">
        <v>8403.9314516129034</v>
      </c>
      <c r="R8" s="85" t="s">
        <v>128</v>
      </c>
      <c r="S8" s="89">
        <v>-7732.8571428571431</v>
      </c>
      <c r="T8" s="85" t="s">
        <v>145</v>
      </c>
      <c r="U8" s="87">
        <v>0.1</v>
      </c>
      <c r="V8" s="85" t="s">
        <v>173</v>
      </c>
      <c r="W8" s="87">
        <v>5.7142857142857141E-2</v>
      </c>
      <c r="X8" s="85" t="s">
        <v>129</v>
      </c>
      <c r="Y8" s="88">
        <v>0.24919093851132687</v>
      </c>
      <c r="Z8" s="85" t="s">
        <v>145</v>
      </c>
      <c r="AA8" s="88">
        <v>0.21633150517976843</v>
      </c>
      <c r="AB8" s="85" t="s">
        <v>185</v>
      </c>
      <c r="AC8" s="88">
        <v>0.6</v>
      </c>
      <c r="AD8" s="85" t="s">
        <v>145</v>
      </c>
      <c r="AE8" s="88">
        <v>0.38591549295774646</v>
      </c>
      <c r="AF8" s="85" t="s">
        <v>172</v>
      </c>
      <c r="AG8" s="88">
        <v>0.43243243243243246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177</v>
      </c>
      <c r="C9" s="84">
        <v>-142.60000000000002</v>
      </c>
      <c r="D9" s="85" t="s">
        <v>202</v>
      </c>
      <c r="E9" s="97">
        <v>-3.2200000000000011</v>
      </c>
      <c r="F9" s="85" t="s">
        <v>128</v>
      </c>
      <c r="G9" s="86">
        <v>2.0833333333333335</v>
      </c>
      <c r="H9" s="85" t="s">
        <v>171</v>
      </c>
      <c r="I9" s="87">
        <v>0.27659574468085107</v>
      </c>
      <c r="J9" s="85" t="s">
        <v>172</v>
      </c>
      <c r="K9" s="87">
        <v>0.34782608695652173</v>
      </c>
      <c r="L9" s="85" t="s">
        <v>177</v>
      </c>
      <c r="M9" s="88">
        <v>0.26256983240223464</v>
      </c>
      <c r="N9" s="85" t="s">
        <v>128</v>
      </c>
      <c r="O9" s="88">
        <v>0.1728395061728395</v>
      </c>
      <c r="P9" s="85" t="s">
        <v>185</v>
      </c>
      <c r="Q9" s="89">
        <v>7860</v>
      </c>
      <c r="R9" s="85" t="s">
        <v>127</v>
      </c>
      <c r="S9" s="89">
        <v>-7783.7837837837842</v>
      </c>
      <c r="T9" s="85" t="s">
        <v>173</v>
      </c>
      <c r="U9" s="87">
        <v>0.11428571428571428</v>
      </c>
      <c r="V9" s="85" t="s">
        <v>129</v>
      </c>
      <c r="W9" s="87">
        <v>5.2631578947368418E-2</v>
      </c>
      <c r="X9" s="85" t="s">
        <v>202</v>
      </c>
      <c r="Y9" s="88">
        <v>0.24</v>
      </c>
      <c r="Z9" s="85" t="s">
        <v>185</v>
      </c>
      <c r="AA9" s="88">
        <v>0.21052631578947367</v>
      </c>
      <c r="AB9" s="85" t="s">
        <v>145</v>
      </c>
      <c r="AC9" s="88">
        <v>0.59070294784580502</v>
      </c>
      <c r="AD9" s="85" t="s">
        <v>171</v>
      </c>
      <c r="AE9" s="88">
        <v>0.35294117647058826</v>
      </c>
      <c r="AF9" s="85" t="s">
        <v>127</v>
      </c>
      <c r="AG9" s="88">
        <v>0.42857142857142855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186</v>
      </c>
      <c r="C10" s="84">
        <v>-197.5</v>
      </c>
      <c r="D10" s="85" t="s">
        <v>173</v>
      </c>
      <c r="E10" s="97">
        <v>-6.4257142857142862</v>
      </c>
      <c r="F10" s="85" t="s">
        <v>171</v>
      </c>
      <c r="G10" s="86">
        <v>2.0851063829787235</v>
      </c>
      <c r="H10" s="85" t="s">
        <v>128</v>
      </c>
      <c r="I10" s="87">
        <v>0.26041666666666669</v>
      </c>
      <c r="J10" s="85" t="s">
        <v>171</v>
      </c>
      <c r="K10" s="87">
        <v>0.36170212765957449</v>
      </c>
      <c r="L10" s="85" t="s">
        <v>171</v>
      </c>
      <c r="M10" s="88">
        <v>0.25125628140703515</v>
      </c>
      <c r="N10" s="85" t="s">
        <v>173</v>
      </c>
      <c r="O10" s="88">
        <v>0.1858974358974359</v>
      </c>
      <c r="P10" s="85" t="s">
        <v>186</v>
      </c>
      <c r="Q10" s="89">
        <v>7365</v>
      </c>
      <c r="R10" s="85" t="s">
        <v>173</v>
      </c>
      <c r="S10" s="89">
        <v>-7934.4827586206893</v>
      </c>
      <c r="T10" s="85" t="s">
        <v>128</v>
      </c>
      <c r="U10" s="87">
        <v>0.125</v>
      </c>
      <c r="V10" s="85" t="s">
        <v>177</v>
      </c>
      <c r="W10" s="87">
        <v>0</v>
      </c>
      <c r="X10" s="85" t="s">
        <v>173</v>
      </c>
      <c r="Y10" s="88">
        <v>0.22756410256410256</v>
      </c>
      <c r="Z10" s="85" t="s">
        <v>186</v>
      </c>
      <c r="AA10" s="88">
        <v>0.2</v>
      </c>
      <c r="AB10" s="85" t="s">
        <v>202</v>
      </c>
      <c r="AC10" s="88">
        <v>0.58333333333333337</v>
      </c>
      <c r="AD10" s="85" t="s">
        <v>173</v>
      </c>
      <c r="AE10" s="88">
        <v>0.34177215189873417</v>
      </c>
      <c r="AF10" s="85" t="s">
        <v>128</v>
      </c>
      <c r="AG10" s="88">
        <v>0.4247787610619469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173</v>
      </c>
      <c r="C11" s="84">
        <v>-224.9</v>
      </c>
      <c r="D11" s="85" t="s">
        <v>177</v>
      </c>
      <c r="E11" s="97">
        <v>-6.4818181818181833</v>
      </c>
      <c r="F11" s="85" t="s">
        <v>173</v>
      </c>
      <c r="G11" s="86">
        <v>2.0857142857142859</v>
      </c>
      <c r="H11" s="85" t="s">
        <v>173</v>
      </c>
      <c r="I11" s="87">
        <v>0.25714285714285712</v>
      </c>
      <c r="J11" s="85" t="s">
        <v>177</v>
      </c>
      <c r="K11" s="87">
        <v>0.36363636363636365</v>
      </c>
      <c r="L11" s="85" t="s">
        <v>202</v>
      </c>
      <c r="M11" s="88">
        <v>0.24</v>
      </c>
      <c r="N11" s="85" t="s">
        <v>129</v>
      </c>
      <c r="O11" s="88">
        <v>0.1941747572815534</v>
      </c>
      <c r="P11" s="85" t="s">
        <v>177</v>
      </c>
      <c r="Q11" s="89">
        <v>7276.5957446808507</v>
      </c>
      <c r="R11" s="85" t="s">
        <v>145</v>
      </c>
      <c r="S11" s="89">
        <v>-8011.272727272727</v>
      </c>
      <c r="T11" s="85" t="s">
        <v>177</v>
      </c>
      <c r="U11" s="87">
        <v>0.18181818181818182</v>
      </c>
      <c r="V11" s="85" t="s">
        <v>186</v>
      </c>
      <c r="W11" s="87">
        <v>0</v>
      </c>
      <c r="X11" s="85" t="s">
        <v>172</v>
      </c>
      <c r="Y11" s="88">
        <v>0.22580645161290322</v>
      </c>
      <c r="Z11" s="85" t="s">
        <v>128</v>
      </c>
      <c r="AA11" s="88">
        <v>0.19012345679012346</v>
      </c>
      <c r="AB11" s="85" t="s">
        <v>171</v>
      </c>
      <c r="AC11" s="88">
        <v>0.57281553398058249</v>
      </c>
      <c r="AD11" s="85" t="s">
        <v>202</v>
      </c>
      <c r="AE11" s="88">
        <v>0.30769230769230771</v>
      </c>
      <c r="AF11" s="85" t="s">
        <v>177</v>
      </c>
      <c r="AG11" s="88">
        <v>0.38297872340425532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128</v>
      </c>
      <c r="C12" s="84">
        <v>-293.90000000000003</v>
      </c>
      <c r="D12" s="85" t="s">
        <v>186</v>
      </c>
      <c r="E12" s="97">
        <v>-19.75</v>
      </c>
      <c r="F12" s="85" t="s">
        <v>186</v>
      </c>
      <c r="G12" s="86">
        <v>2.2999999999999998</v>
      </c>
      <c r="H12" s="85" t="s">
        <v>202</v>
      </c>
      <c r="I12" s="87">
        <v>0.2</v>
      </c>
      <c r="J12" s="85" t="s">
        <v>129</v>
      </c>
      <c r="K12" s="87">
        <v>0.55263157894736847</v>
      </c>
      <c r="L12" s="85" t="s">
        <v>186</v>
      </c>
      <c r="M12" s="88">
        <v>0.23529411764705882</v>
      </c>
      <c r="N12" s="85" t="s">
        <v>202</v>
      </c>
      <c r="O12" s="88">
        <v>0.2</v>
      </c>
      <c r="P12" s="85" t="s">
        <v>173</v>
      </c>
      <c r="Q12" s="89">
        <v>6813.541666666667</v>
      </c>
      <c r="R12" s="85" t="s">
        <v>172</v>
      </c>
      <c r="S12" s="89">
        <v>-9546.2962962962956</v>
      </c>
      <c r="T12" s="85" t="s">
        <v>186</v>
      </c>
      <c r="U12" s="87">
        <v>0.2</v>
      </c>
      <c r="V12" s="85" t="s">
        <v>185</v>
      </c>
      <c r="W12" s="87">
        <v>0</v>
      </c>
      <c r="X12" s="85" t="s">
        <v>186</v>
      </c>
      <c r="Y12" s="88">
        <v>0.21176470588235294</v>
      </c>
      <c r="Z12" s="85" t="s">
        <v>171</v>
      </c>
      <c r="AA12" s="88">
        <v>0.17085427135678391</v>
      </c>
      <c r="AB12" s="85" t="s">
        <v>186</v>
      </c>
      <c r="AC12" s="88">
        <v>0.55555555555555558</v>
      </c>
      <c r="AD12" s="85" t="s">
        <v>128</v>
      </c>
      <c r="AE12" s="88">
        <v>0.27272727272727271</v>
      </c>
      <c r="AF12" s="85" t="s">
        <v>171</v>
      </c>
      <c r="AG12" s="88">
        <v>0.37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129</v>
      </c>
      <c r="C13" s="84">
        <v>-829.99999999999989</v>
      </c>
      <c r="D13" s="85" t="s">
        <v>129</v>
      </c>
      <c r="E13" s="97">
        <v>-21.84210526315789</v>
      </c>
      <c r="F13" s="85" t="s">
        <v>129</v>
      </c>
      <c r="G13" s="86">
        <v>2.3684210526315788</v>
      </c>
      <c r="H13" s="85" t="s">
        <v>129</v>
      </c>
      <c r="I13" s="87">
        <v>0.18421052631578946</v>
      </c>
      <c r="J13" s="85" t="s">
        <v>186</v>
      </c>
      <c r="K13" s="87">
        <v>0.6</v>
      </c>
      <c r="L13" s="85" t="s">
        <v>129</v>
      </c>
      <c r="M13" s="88">
        <v>0.21035598705501618</v>
      </c>
      <c r="N13" s="85" t="s">
        <v>186</v>
      </c>
      <c r="O13" s="88">
        <v>0.27058823529411763</v>
      </c>
      <c r="P13" s="85" t="s">
        <v>172</v>
      </c>
      <c r="Q13" s="89">
        <v>6645.27027027027</v>
      </c>
      <c r="R13" s="85" t="s">
        <v>129</v>
      </c>
      <c r="S13" s="89">
        <v>-9846.6666666666661</v>
      </c>
      <c r="T13" s="85" t="s">
        <v>129</v>
      </c>
      <c r="U13" s="87">
        <v>0.21052631578947367</v>
      </c>
      <c r="V13" s="85" t="s">
        <v>202</v>
      </c>
      <c r="W13" s="87">
        <v>0</v>
      </c>
      <c r="X13" s="85" t="s">
        <v>177</v>
      </c>
      <c r="Y13" s="88">
        <v>0.18994413407821228</v>
      </c>
      <c r="Z13" s="85" t="s">
        <v>129</v>
      </c>
      <c r="AA13" s="88">
        <v>0.14563106796116504</v>
      </c>
      <c r="AB13" s="85" t="s">
        <v>129</v>
      </c>
      <c r="AC13" s="88">
        <v>0.50649350649350644</v>
      </c>
      <c r="AD13" s="85" t="s">
        <v>129</v>
      </c>
      <c r="AE13" s="88">
        <v>0.2</v>
      </c>
      <c r="AF13" s="85" t="s">
        <v>185</v>
      </c>
      <c r="AG13" s="88">
        <v>0.2</v>
      </c>
      <c r="AH13" s="85" t="s">
        <v>185</v>
      </c>
      <c r="AI13" s="92">
        <v>53500</v>
      </c>
    </row>
  </sheetData>
  <sortState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DFCBD-ED2C-401E-A23F-13096ADEC687}">
  <sheetPr codeName="Sheet4"/>
  <dimension ref="A1:Q39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390</v>
      </c>
      <c r="C2" s="147"/>
      <c r="E2" s="62" t="s">
        <v>67</v>
      </c>
      <c r="F2" s="59" t="s">
        <v>23</v>
      </c>
      <c r="G2" s="46">
        <v>722</v>
      </c>
      <c r="H2" s="132">
        <f>IF(B$17=0,0,G2/B$17)</f>
        <v>0.72782258064516125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-15.384615384615385</v>
      </c>
      <c r="P2" s="118">
        <v>390</v>
      </c>
      <c r="Q2" s="102">
        <v>-6000</v>
      </c>
    </row>
    <row r="3" spans="1:17" x14ac:dyDescent="0.4">
      <c r="A3" s="55" t="s">
        <v>8</v>
      </c>
      <c r="B3" s="148">
        <v>3282</v>
      </c>
      <c r="C3" s="149"/>
      <c r="E3" s="63" t="s">
        <v>73</v>
      </c>
      <c r="F3" s="60" t="s">
        <v>28</v>
      </c>
      <c r="G3" s="47">
        <v>515</v>
      </c>
      <c r="H3" s="133">
        <f>IF(B$17=0,0,G3/B$17)</f>
        <v>0.51915322580645162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-10.335917312661499</v>
      </c>
      <c r="P3" s="119">
        <v>387</v>
      </c>
      <c r="Q3" s="103">
        <v>-4000</v>
      </c>
    </row>
    <row r="4" spans="1:17" x14ac:dyDescent="0.4">
      <c r="A4" s="55" t="s">
        <v>6</v>
      </c>
      <c r="B4" s="150">
        <v>4.9737991503207013E-14</v>
      </c>
      <c r="C4" s="151"/>
      <c r="E4" s="63" t="s">
        <v>65</v>
      </c>
      <c r="F4" s="60" t="s">
        <v>21</v>
      </c>
      <c r="G4" s="47">
        <v>496</v>
      </c>
      <c r="H4" s="133">
        <f>IF(B$17=0,0,G4/B$17)</f>
        <v>0.5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10.928961748633879</v>
      </c>
      <c r="P4" s="119">
        <v>366</v>
      </c>
      <c r="Q4" s="103">
        <v>4000</v>
      </c>
    </row>
    <row r="5" spans="1:17" x14ac:dyDescent="0.4">
      <c r="A5" s="55" t="s">
        <v>7</v>
      </c>
      <c r="B5" s="152">
        <f>IF(B$2=0,0,B$4/B$2)</f>
        <v>1.2753331154668464E-16</v>
      </c>
      <c r="C5" s="153"/>
      <c r="E5" s="63" t="s">
        <v>181</v>
      </c>
      <c r="F5" s="60" t="s">
        <v>182</v>
      </c>
      <c r="G5" s="47">
        <v>392</v>
      </c>
      <c r="H5" s="133">
        <f>IF(B$17=0,0,G5/B$17)</f>
        <v>0.39516129032258063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15.015015015015015</v>
      </c>
      <c r="P5" s="119">
        <v>333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298</v>
      </c>
      <c r="H6" s="133">
        <f>IF(B$17=0,0,G6/B$17)</f>
        <v>0.30040322580645162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-16.33986928104575</v>
      </c>
      <c r="P6" s="119">
        <v>306</v>
      </c>
      <c r="Q6" s="103">
        <v>-5000</v>
      </c>
    </row>
    <row r="7" spans="1:17" x14ac:dyDescent="0.4">
      <c r="A7" s="55" t="s">
        <v>2</v>
      </c>
      <c r="B7" s="47">
        <v>130</v>
      </c>
      <c r="C7" s="39">
        <f>IF(B$2=0,0,B7/B$2)</f>
        <v>0.33333333333333331</v>
      </c>
      <c r="E7" s="63" t="s">
        <v>68</v>
      </c>
      <c r="F7" s="60" t="s">
        <v>24</v>
      </c>
      <c r="G7" s="47">
        <v>287</v>
      </c>
      <c r="H7" s="133">
        <f>IF(B$17=0,0,G7/B$17)</f>
        <v>0.28931451612903225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21.05263157894737</v>
      </c>
      <c r="P7" s="120">
        <v>285</v>
      </c>
      <c r="Q7" s="104">
        <v>6000</v>
      </c>
    </row>
    <row r="8" spans="1:17" x14ac:dyDescent="0.4">
      <c r="A8" s="55" t="s">
        <v>3</v>
      </c>
      <c r="B8" s="47">
        <v>130</v>
      </c>
      <c r="C8" s="39">
        <f>IF(B$2=0,0,B8/B$2)</f>
        <v>0.33333333333333331</v>
      </c>
      <c r="E8" s="63" t="s">
        <v>70</v>
      </c>
      <c r="F8" s="60" t="s">
        <v>25</v>
      </c>
      <c r="G8" s="47">
        <v>182</v>
      </c>
      <c r="H8" s="133">
        <f>IF(B$17=0,0,G8/B$17)</f>
        <v>0.18346774193548387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130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125</v>
      </c>
      <c r="H9" s="133">
        <f>IF(B$17=0,0,G9/B$17)</f>
        <v>0.12600806451612903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39</v>
      </c>
      <c r="C10" s="40">
        <f>IF(B$2=0,0,B10/B$2)</f>
        <v>0.1</v>
      </c>
      <c r="E10" s="63" t="s">
        <v>90</v>
      </c>
      <c r="F10" s="60" t="s">
        <v>45</v>
      </c>
      <c r="G10" s="47">
        <v>123</v>
      </c>
      <c r="H10" s="133">
        <f>IF(B$17=0,0,G10/B$17)</f>
        <v>0.12399193548387097</v>
      </c>
      <c r="I10" s="94">
        <v>7</v>
      </c>
      <c r="K10" s="38">
        <v>8</v>
      </c>
      <c r="L10" s="99">
        <v>19.699999999999996</v>
      </c>
      <c r="N10" s="114" t="s">
        <v>164</v>
      </c>
      <c r="O10" s="124">
        <f>IF(P10=0,0,Q10/P10)</f>
        <v>-1.0753846153846154</v>
      </c>
      <c r="P10" s="118">
        <v>130</v>
      </c>
      <c r="Q10" s="106">
        <v>-139.80000000000001</v>
      </c>
    </row>
    <row r="11" spans="1:17" x14ac:dyDescent="0.4">
      <c r="A11" s="56" t="s">
        <v>140</v>
      </c>
      <c r="B11" s="48">
        <v>39</v>
      </c>
      <c r="C11" s="40">
        <f>IF(B$2=0,0,B11/B$2)</f>
        <v>0.1</v>
      </c>
      <c r="E11" s="63" t="s">
        <v>71</v>
      </c>
      <c r="F11" s="60" t="s">
        <v>26</v>
      </c>
      <c r="G11" s="47">
        <v>101</v>
      </c>
      <c r="H11" s="133">
        <f>IF(B$17=0,0,G11/B$17)</f>
        <v>0.10181451612903226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-3.1276923076923091</v>
      </c>
      <c r="P11" s="119">
        <v>130</v>
      </c>
      <c r="Q11" s="107">
        <v>-406.60000000000019</v>
      </c>
    </row>
    <row r="12" spans="1:17" x14ac:dyDescent="0.4">
      <c r="A12" s="57" t="s">
        <v>160</v>
      </c>
      <c r="B12" s="49">
        <v>37</v>
      </c>
      <c r="C12" s="42">
        <f>IF(B$2=0,0,B12/B$2)</f>
        <v>9.4871794871794868E-2</v>
      </c>
      <c r="E12" s="63" t="s">
        <v>72</v>
      </c>
      <c r="F12" s="60" t="s">
        <v>27</v>
      </c>
      <c r="G12" s="47">
        <v>61</v>
      </c>
      <c r="H12" s="133">
        <f>IF(B$17=0,0,G12/B$17)</f>
        <v>6.1491935483870969E-2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4.2030769230769227</v>
      </c>
      <c r="P12" s="120">
        <v>130</v>
      </c>
      <c r="Q12" s="108">
        <v>546.4</v>
      </c>
    </row>
    <row r="13" spans="1:17" x14ac:dyDescent="0.4">
      <c r="A13" s="58" t="s">
        <v>122</v>
      </c>
      <c r="B13" s="50">
        <v>882</v>
      </c>
      <c r="C13" s="44">
        <f>IF(B$3=0,0,B13/B$3)</f>
        <v>0.26873857404021939</v>
      </c>
      <c r="E13" s="63" t="s">
        <v>87</v>
      </c>
      <c r="F13" s="60" t="s">
        <v>42</v>
      </c>
      <c r="G13" s="47">
        <v>56</v>
      </c>
      <c r="H13" s="133">
        <f>IF(B$17=0,0,G13/B$17)</f>
        <v>5.6451612903225805E-2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710</v>
      </c>
      <c r="C14" s="39">
        <f>IF(B$3=0,0,B14/B$3)</f>
        <v>0.21633150517976843</v>
      </c>
      <c r="E14" s="63" t="s">
        <v>84</v>
      </c>
      <c r="F14" s="60" t="s">
        <v>39</v>
      </c>
      <c r="G14" s="47">
        <v>45</v>
      </c>
      <c r="H14" s="133">
        <f>IF(B$17=0,0,G14/B$17)</f>
        <v>4.5362903225806453E-2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521</v>
      </c>
      <c r="C15" s="37">
        <f>IF(B$13=0,0,B15/B$13)</f>
        <v>0.59070294784580502</v>
      </c>
      <c r="E15" s="63" t="s">
        <v>82</v>
      </c>
      <c r="F15" s="60" t="s">
        <v>37</v>
      </c>
      <c r="G15" s="47">
        <v>31</v>
      </c>
      <c r="H15" s="133">
        <f>IF(B$17=0,0,G15/B$17)</f>
        <v>3.125E-2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32.763157894736842</v>
      </c>
      <c r="P15" s="118">
        <v>76</v>
      </c>
      <c r="Q15" s="106">
        <v>2490</v>
      </c>
    </row>
    <row r="16" spans="1:17" x14ac:dyDescent="0.4">
      <c r="A16" s="54" t="s">
        <v>125</v>
      </c>
      <c r="B16" s="46">
        <v>274</v>
      </c>
      <c r="C16" s="37">
        <f>IF(B$14=0,0,B16/B$14)</f>
        <v>0.38591549295774646</v>
      </c>
      <c r="E16" s="63" t="s">
        <v>79</v>
      </c>
      <c r="F16" s="60" t="s">
        <v>34</v>
      </c>
      <c r="G16" s="47">
        <v>17</v>
      </c>
      <c r="H16" s="133">
        <f>IF(B$17=0,0,G16/B$17)</f>
        <v>1.7137096774193547E-2</v>
      </c>
      <c r="I16" s="94">
        <v>5</v>
      </c>
      <c r="K16" s="38">
        <v>14</v>
      </c>
      <c r="L16" s="99">
        <v>18.79999999999999</v>
      </c>
      <c r="N16" s="115" t="s">
        <v>186</v>
      </c>
      <c r="O16" s="125">
        <f>IF(P16=0,0,Q16/P16)</f>
        <v>29.625</v>
      </c>
      <c r="P16" s="119">
        <v>20</v>
      </c>
      <c r="Q16" s="107">
        <v>592.5</v>
      </c>
    </row>
    <row r="17" spans="1:17" x14ac:dyDescent="0.4">
      <c r="A17" s="54" t="s">
        <v>10</v>
      </c>
      <c r="B17" s="46">
        <f>B19+B18</f>
        <v>992</v>
      </c>
      <c r="C17" s="37">
        <f>IF(B$3=0,0,B17/B$3)</f>
        <v>0.30225472273004267</v>
      </c>
      <c r="E17" s="63" t="s">
        <v>92</v>
      </c>
      <c r="F17" s="60" t="s">
        <v>47</v>
      </c>
      <c r="G17" s="47">
        <v>17</v>
      </c>
      <c r="H17" s="133">
        <f>IF(B$17=0,0,G17/B$17)</f>
        <v>1.7137096774193547E-2</v>
      </c>
      <c r="I17" s="94">
        <v>3</v>
      </c>
      <c r="K17" s="38">
        <v>15</v>
      </c>
      <c r="L17" s="99">
        <v>-1.0658141036401503E-14</v>
      </c>
      <c r="N17" s="115" t="s">
        <v>177</v>
      </c>
      <c r="O17" s="125">
        <f>IF(P17=0,0,Q17/P17)</f>
        <v>9.7227272727272691</v>
      </c>
      <c r="P17" s="119">
        <v>44</v>
      </c>
      <c r="Q17" s="107">
        <v>427.79999999999984</v>
      </c>
    </row>
    <row r="18" spans="1:17" x14ac:dyDescent="0.4">
      <c r="A18" s="55" t="s">
        <v>12</v>
      </c>
      <c r="B18" s="47">
        <v>434</v>
      </c>
      <c r="C18" s="39">
        <f>IF(B$17=0,0,B18/B$17)</f>
        <v>0.4375</v>
      </c>
      <c r="E18" s="63" t="s">
        <v>80</v>
      </c>
      <c r="F18" s="60" t="s">
        <v>35</v>
      </c>
      <c r="G18" s="47">
        <v>15</v>
      </c>
      <c r="H18" s="133">
        <f>IF(B$17=0,0,G18/B$17)</f>
        <v>1.5120967741935484E-2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9.6385714285714261</v>
      </c>
      <c r="P18" s="119">
        <v>70</v>
      </c>
      <c r="Q18" s="107">
        <v>674.69999999999982</v>
      </c>
    </row>
    <row r="19" spans="1:17" x14ac:dyDescent="0.4">
      <c r="A19" s="55" t="s">
        <v>11</v>
      </c>
      <c r="B19" s="47">
        <v>558</v>
      </c>
      <c r="C19" s="39">
        <f>IF(B$17=0,0,B19/B$17)</f>
        <v>0.5625</v>
      </c>
      <c r="E19" s="63" t="s">
        <v>180</v>
      </c>
      <c r="F19" s="60" t="s">
        <v>183</v>
      </c>
      <c r="G19" s="47">
        <v>15</v>
      </c>
      <c r="H19" s="133">
        <f>IF(B$17=0,0,G19/B$17)</f>
        <v>1.5120967741935484E-2</v>
      </c>
      <c r="I19" s="94">
        <v>4</v>
      </c>
      <c r="K19" s="38">
        <v>17</v>
      </c>
      <c r="L19" s="99">
        <v>8.2999999999999972</v>
      </c>
      <c r="N19" s="115" t="s">
        <v>202</v>
      </c>
      <c r="O19" s="125">
        <f>IF(P19=0,0,Q19/P19)</f>
        <v>4.8299999999999983</v>
      </c>
      <c r="P19" s="119">
        <v>10</v>
      </c>
      <c r="Q19" s="107">
        <v>48.299999999999983</v>
      </c>
    </row>
    <row r="20" spans="1:17" x14ac:dyDescent="0.4">
      <c r="A20" s="55" t="s">
        <v>13</v>
      </c>
      <c r="B20" s="47">
        <v>550</v>
      </c>
      <c r="C20" s="39">
        <f>IF(B$3=0,0,B20/B$3)</f>
        <v>0.16758074344911639</v>
      </c>
      <c r="E20" s="63" t="s">
        <v>76</v>
      </c>
      <c r="F20" s="60" t="s">
        <v>31</v>
      </c>
      <c r="G20" s="47">
        <v>7</v>
      </c>
      <c r="H20" s="133">
        <f>IF(B$17=0,0,G20/B$17)</f>
        <v>7.0564516129032256E-3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4.5921875000000005</v>
      </c>
      <c r="P20" s="119">
        <v>192</v>
      </c>
      <c r="Q20" s="107">
        <v>881.7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6</v>
      </c>
      <c r="H21" s="133">
        <f>IF(B$17=0,0,G21/B$17)</f>
        <v>6.0483870967741934E-3</v>
      </c>
      <c r="I21" s="94">
        <v>4</v>
      </c>
      <c r="K21" s="38">
        <v>19</v>
      </c>
      <c r="L21" s="99">
        <v>30.999999999999996</v>
      </c>
      <c r="N21" s="115" t="s">
        <v>171</v>
      </c>
      <c r="O21" s="125">
        <f>IF(P21=0,0,Q21/P21)</f>
        <v>1.0563829787234067</v>
      </c>
      <c r="P21" s="119">
        <v>94</v>
      </c>
      <c r="Q21" s="107">
        <v>99.300000000000239</v>
      </c>
    </row>
    <row r="22" spans="1:17" x14ac:dyDescent="0.4">
      <c r="A22" s="55" t="s">
        <v>194</v>
      </c>
      <c r="B22" s="47">
        <v>31</v>
      </c>
      <c r="C22" s="135">
        <v>10</v>
      </c>
      <c r="E22" s="63" t="s">
        <v>93</v>
      </c>
      <c r="F22" s="60" t="s">
        <v>48</v>
      </c>
      <c r="G22" s="47">
        <v>4</v>
      </c>
      <c r="H22" s="133">
        <f>IF(B$17=0,0,G22/B$17)</f>
        <v>4.0322580645161289E-3</v>
      </c>
      <c r="I22" s="94">
        <v>3</v>
      </c>
      <c r="K22" s="38">
        <v>20</v>
      </c>
      <c r="L22" s="99">
        <v>0.79999999999999716</v>
      </c>
      <c r="N22" s="115" t="s">
        <v>172</v>
      </c>
      <c r="O22" s="125">
        <f>IF(P22=0,0,Q22/P22)</f>
        <v>-0.4206521739130446</v>
      </c>
      <c r="P22" s="119">
        <v>92</v>
      </c>
      <c r="Q22" s="107">
        <v>-38.700000000000102</v>
      </c>
    </row>
    <row r="23" spans="1:17" x14ac:dyDescent="0.4">
      <c r="A23" s="55" t="s">
        <v>5</v>
      </c>
      <c r="B23" s="51">
        <f>IF(B$17=0,0,C23/B$17)</f>
        <v>8403.9314516129034</v>
      </c>
      <c r="C23" s="41">
        <v>8336700</v>
      </c>
      <c r="E23" s="63" t="s">
        <v>75</v>
      </c>
      <c r="F23" s="60" t="s">
        <v>30</v>
      </c>
      <c r="G23" s="47">
        <v>3</v>
      </c>
      <c r="H23" s="133">
        <f>IF(B$17=0,0,G23/B$17)</f>
        <v>3.0241935483870967E-3</v>
      </c>
      <c r="I23" s="94">
        <v>3</v>
      </c>
      <c r="K23" s="38">
        <v>21</v>
      </c>
      <c r="L23" s="99">
        <v>-2.886579864025407E-15</v>
      </c>
      <c r="N23" s="115" t="s">
        <v>127</v>
      </c>
      <c r="O23" s="125">
        <f>IF(P23=0,0,Q23/P23)</f>
        <v>-28.367045454545419</v>
      </c>
      <c r="P23" s="119">
        <v>176</v>
      </c>
      <c r="Q23" s="107">
        <v>-4992.599999999994</v>
      </c>
    </row>
    <row r="24" spans="1:17" x14ac:dyDescent="0.4">
      <c r="A24" s="57" t="s">
        <v>14</v>
      </c>
      <c r="B24" s="52">
        <f>IF(B$20=0,0,C24/B$20)</f>
        <v>-8011.272727272727</v>
      </c>
      <c r="C24" s="45">
        <v>-4406200</v>
      </c>
      <c r="E24" s="63" t="s">
        <v>78</v>
      </c>
      <c r="F24" s="60" t="s">
        <v>33</v>
      </c>
      <c r="G24" s="47">
        <v>3</v>
      </c>
      <c r="H24" s="133">
        <f>IF(B$17=0,0,G24/B$17)</f>
        <v>3.0241935483870967E-3</v>
      </c>
      <c r="I24" s="94">
        <v>4</v>
      </c>
      <c r="K24" s="38">
        <v>22</v>
      </c>
      <c r="L24" s="99">
        <v>23.699999999999996</v>
      </c>
      <c r="N24" s="115" t="s">
        <v>185</v>
      </c>
      <c r="O24" s="125">
        <f>IF(P24=0,0,Q24/P24)</f>
        <v>-30.5</v>
      </c>
      <c r="P24" s="119">
        <v>6</v>
      </c>
      <c r="Q24" s="107">
        <v>-183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3</v>
      </c>
      <c r="H25" s="133">
        <f>IF(B$17=0,0,G25/B$17)</f>
        <v>3.0241935483870967E-3</v>
      </c>
      <c r="I25" s="94">
        <v>4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3</v>
      </c>
      <c r="H26" s="133">
        <f>IF(B$17=0,0,G26/B$17)</f>
        <v>3.0241935483870967E-3</v>
      </c>
      <c r="I26" s="94">
        <v>4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10</v>
      </c>
      <c r="C27" s="42">
        <f>IF(B$3=0,0,B27/B$3)</f>
        <v>3.0469226081657527E-3</v>
      </c>
      <c r="E27" s="63" t="s">
        <v>89</v>
      </c>
      <c r="F27" s="60" t="s">
        <v>44</v>
      </c>
      <c r="G27" s="47">
        <v>2</v>
      </c>
      <c r="H27" s="133">
        <f>IF(B$17=0,0,G27/B$17)</f>
        <v>2.0161290322580645E-3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96</v>
      </c>
      <c r="F28" s="60" t="s">
        <v>51</v>
      </c>
      <c r="G28" s="47">
        <v>2</v>
      </c>
      <c r="H28" s="133">
        <f>IF(B$17=0,0,G28/B$17)</f>
        <v>2.0161290322580645E-3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1</v>
      </c>
      <c r="H29" s="133">
        <f>IF(B$17=0,0,G29/B$17)</f>
        <v>1.0080645161290322E-3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86</v>
      </c>
      <c r="F30" s="60" t="s">
        <v>41</v>
      </c>
      <c r="G30" s="47">
        <v>1</v>
      </c>
      <c r="H30" s="133">
        <f>IF(B$17=0,0,G30/B$17)</f>
        <v>1.0080645161290322E-3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91</v>
      </c>
      <c r="F31" s="60" t="s">
        <v>46</v>
      </c>
      <c r="G31" s="47">
        <v>1</v>
      </c>
      <c r="H31" s="133">
        <f>IF(B$17=0,0,G31/B$17)</f>
        <v>1.0080645161290322E-3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DA43-6A54-4153-91BB-7A5E464E7E14}">
  <sheetPr codeName="Sheet7"/>
  <dimension ref="A1:Q9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88</v>
      </c>
      <c r="C2" s="147"/>
      <c r="E2" s="62" t="s">
        <v>67</v>
      </c>
      <c r="F2" s="59" t="s">
        <v>23</v>
      </c>
      <c r="G2" s="46">
        <v>199</v>
      </c>
      <c r="H2" s="132">
        <f>IF(B$17=0,0,G2/B$17)</f>
        <v>0.7289377289377289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2656.818181818182</v>
      </c>
      <c r="P2" s="118">
        <v>88</v>
      </c>
      <c r="Q2" s="102">
        <v>233800</v>
      </c>
    </row>
    <row r="3" spans="1:17" x14ac:dyDescent="0.4">
      <c r="A3" s="55" t="s">
        <v>8</v>
      </c>
      <c r="B3" s="148">
        <v>717</v>
      </c>
      <c r="C3" s="149"/>
      <c r="E3" s="63" t="s">
        <v>73</v>
      </c>
      <c r="F3" s="60" t="s">
        <v>28</v>
      </c>
      <c r="G3" s="47">
        <v>151</v>
      </c>
      <c r="H3" s="133">
        <f>IF(B$17=0,0,G3/B$17)</f>
        <v>0.55311355311355315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2847.1264367816093</v>
      </c>
      <c r="P3" s="119">
        <v>87</v>
      </c>
      <c r="Q3" s="103">
        <v>247700</v>
      </c>
    </row>
    <row r="4" spans="1:17" x14ac:dyDescent="0.4">
      <c r="A4" s="55" t="s">
        <v>6</v>
      </c>
      <c r="B4" s="150">
        <v>1664.200000000001</v>
      </c>
      <c r="C4" s="151"/>
      <c r="E4" s="63" t="s">
        <v>65</v>
      </c>
      <c r="F4" s="60" t="s">
        <v>21</v>
      </c>
      <c r="G4" s="47">
        <v>131</v>
      </c>
      <c r="H4" s="133">
        <f>IF(B$17=0,0,G4/B$17)</f>
        <v>0.47985347985347987</v>
      </c>
      <c r="I4" s="94">
        <v>8</v>
      </c>
      <c r="K4" s="38">
        <v>2</v>
      </c>
      <c r="L4" s="99">
        <v>-2.8999999999999995</v>
      </c>
      <c r="N4" s="115" t="s">
        <v>134</v>
      </c>
      <c r="O4" s="122">
        <f t="shared" si="0"/>
        <v>2281.9277108433735</v>
      </c>
      <c r="P4" s="119">
        <v>83</v>
      </c>
      <c r="Q4" s="103">
        <v>189400</v>
      </c>
    </row>
    <row r="5" spans="1:17" x14ac:dyDescent="0.4">
      <c r="A5" s="55" t="s">
        <v>7</v>
      </c>
      <c r="B5" s="152">
        <f>IF(B$2=0,0,B$4/B$2)</f>
        <v>18.911363636363646</v>
      </c>
      <c r="C5" s="153"/>
      <c r="E5" s="63" t="s">
        <v>181</v>
      </c>
      <c r="F5" s="60" t="s">
        <v>182</v>
      </c>
      <c r="G5" s="47">
        <v>115</v>
      </c>
      <c r="H5" s="133">
        <f>IF(B$17=0,0,G5/B$17)</f>
        <v>0.42124542124542125</v>
      </c>
      <c r="I5" s="94">
        <v>2</v>
      </c>
      <c r="K5" s="38">
        <v>3</v>
      </c>
      <c r="L5" s="99">
        <v>70.399999999999991</v>
      </c>
      <c r="N5" s="115" t="s">
        <v>135</v>
      </c>
      <c r="O5" s="122">
        <f t="shared" si="0"/>
        <v>2927.6315789473683</v>
      </c>
      <c r="P5" s="119">
        <v>76</v>
      </c>
      <c r="Q5" s="103">
        <v>222500</v>
      </c>
    </row>
    <row r="6" spans="1:17" x14ac:dyDescent="0.4">
      <c r="A6" s="55" t="s">
        <v>1</v>
      </c>
      <c r="B6" s="142">
        <f>IF(B$2=0,0,(B$7*1+B$8*2+B$9*3)/B$2)</f>
        <v>1.6136363636363635</v>
      </c>
      <c r="C6" s="143"/>
      <c r="E6" s="63" t="s">
        <v>68</v>
      </c>
      <c r="F6" s="60" t="s">
        <v>24</v>
      </c>
      <c r="G6" s="47">
        <v>85</v>
      </c>
      <c r="H6" s="133">
        <f>IF(B$17=0,0,G6/B$17)</f>
        <v>0.31135531135531136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92.647058823529406</v>
      </c>
      <c r="P6" s="119">
        <v>68</v>
      </c>
      <c r="Q6" s="103">
        <v>6300</v>
      </c>
    </row>
    <row r="7" spans="1:17" x14ac:dyDescent="0.4">
      <c r="A7" s="55" t="s">
        <v>2</v>
      </c>
      <c r="B7" s="47">
        <v>50</v>
      </c>
      <c r="C7" s="39">
        <f>IF(B$2=0,0,B7/B$2)</f>
        <v>0.56818181818181823</v>
      </c>
      <c r="E7" s="63" t="s">
        <v>69</v>
      </c>
      <c r="F7" s="60" t="s">
        <v>12</v>
      </c>
      <c r="G7" s="47">
        <v>72</v>
      </c>
      <c r="H7" s="133">
        <f>IF(B$17=0,0,G7/B$17)</f>
        <v>0.26373626373626374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1261.9047619047619</v>
      </c>
      <c r="P7" s="120">
        <v>63</v>
      </c>
      <c r="Q7" s="104">
        <v>79500</v>
      </c>
    </row>
    <row r="8" spans="1:17" x14ac:dyDescent="0.4">
      <c r="A8" s="55" t="s">
        <v>3</v>
      </c>
      <c r="B8" s="47">
        <v>22</v>
      </c>
      <c r="C8" s="39">
        <f>IF(B$2=0,0,B8/B$2)</f>
        <v>0.25</v>
      </c>
      <c r="E8" s="63" t="s">
        <v>70</v>
      </c>
      <c r="F8" s="60" t="s">
        <v>25</v>
      </c>
      <c r="G8" s="47">
        <v>49</v>
      </c>
      <c r="H8" s="133">
        <f>IF(B$17=0,0,G8/B$17)</f>
        <v>0.17948717948717949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0.18181818181818182</v>
      </c>
      <c r="E9" s="63" t="s">
        <v>90</v>
      </c>
      <c r="F9" s="60" t="s">
        <v>45</v>
      </c>
      <c r="G9" s="47">
        <v>46</v>
      </c>
      <c r="H9" s="133">
        <f>IF(B$17=0,0,G9/B$17)</f>
        <v>0.16849816849816851</v>
      </c>
      <c r="I9" s="94">
        <v>3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5.6818181818181816E-2</v>
      </c>
      <c r="E10" s="63" t="s">
        <v>66</v>
      </c>
      <c r="F10" s="60" t="s">
        <v>22</v>
      </c>
      <c r="G10" s="47">
        <v>41</v>
      </c>
      <c r="H10" s="133">
        <f>IF(B$17=0,0,G10/B$17)</f>
        <v>0.15018315018315018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24.707692307692305</v>
      </c>
      <c r="P10" s="118">
        <v>26</v>
      </c>
      <c r="Q10" s="106">
        <v>642.4</v>
      </c>
    </row>
    <row r="11" spans="1:17" x14ac:dyDescent="0.4">
      <c r="A11" s="56" t="s">
        <v>140</v>
      </c>
      <c r="B11" s="48">
        <v>16</v>
      </c>
      <c r="C11" s="40">
        <f>IF(B$2=0,0,B11/B$2)</f>
        <v>0.18181818181818182</v>
      </c>
      <c r="E11" s="63" t="s">
        <v>71</v>
      </c>
      <c r="F11" s="60" t="s">
        <v>26</v>
      </c>
      <c r="G11" s="47">
        <v>25</v>
      </c>
      <c r="H11" s="133">
        <f>IF(B$17=0,0,G11/B$17)</f>
        <v>9.1575091575091569E-2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13.014285714285711</v>
      </c>
      <c r="P11" s="119">
        <v>28</v>
      </c>
      <c r="Q11" s="107">
        <v>364.39999999999992</v>
      </c>
    </row>
    <row r="12" spans="1:17" x14ac:dyDescent="0.4">
      <c r="A12" s="57" t="s">
        <v>160</v>
      </c>
      <c r="B12" s="49">
        <v>17</v>
      </c>
      <c r="C12" s="42">
        <f>IF(B$2=0,0,B12/B$2)</f>
        <v>0.19318181818181818</v>
      </c>
      <c r="E12" s="63" t="s">
        <v>87</v>
      </c>
      <c r="F12" s="60" t="s">
        <v>42</v>
      </c>
      <c r="G12" s="47">
        <v>20</v>
      </c>
      <c r="H12" s="133">
        <f>IF(B$17=0,0,G12/B$17)</f>
        <v>7.3260073260073263E-2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19.335294117647067</v>
      </c>
      <c r="P12" s="120">
        <v>34</v>
      </c>
      <c r="Q12" s="108">
        <v>657.4000000000002</v>
      </c>
    </row>
    <row r="13" spans="1:17" x14ac:dyDescent="0.4">
      <c r="A13" s="58" t="s">
        <v>122</v>
      </c>
      <c r="B13" s="50">
        <v>236</v>
      </c>
      <c r="C13" s="44">
        <f>IF(B$3=0,0,B13/B$3)</f>
        <v>0.32914923291492332</v>
      </c>
      <c r="E13" s="63" t="s">
        <v>72</v>
      </c>
      <c r="F13" s="60" t="s">
        <v>27</v>
      </c>
      <c r="G13" s="47">
        <v>18</v>
      </c>
      <c r="H13" s="133">
        <f>IF(B$17=0,0,G13/B$17)</f>
        <v>6.5934065934065936E-2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168</v>
      </c>
      <c r="C14" s="39">
        <f>IF(B$3=0,0,B14/B$3)</f>
        <v>0.23430962343096234</v>
      </c>
      <c r="E14" s="63" t="s">
        <v>84</v>
      </c>
      <c r="F14" s="60" t="s">
        <v>39</v>
      </c>
      <c r="G14" s="47">
        <v>15</v>
      </c>
      <c r="H14" s="133">
        <f>IF(B$17=0,0,G14/B$17)</f>
        <v>5.4945054945054944E-2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142</v>
      </c>
      <c r="C15" s="37">
        <f>IF(B$13=0,0,B15/B$13)</f>
        <v>0.60169491525423724</v>
      </c>
      <c r="E15" s="63" t="s">
        <v>82</v>
      </c>
      <c r="F15" s="60" t="s">
        <v>37</v>
      </c>
      <c r="G15" s="47">
        <v>10</v>
      </c>
      <c r="H15" s="133">
        <f>IF(B$17=0,0,G15/B$17)</f>
        <v>3.6630036630036632E-2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90</v>
      </c>
      <c r="C16" s="37">
        <f>IF(B$14=0,0,B16/B$14)</f>
        <v>0.5357142857142857</v>
      </c>
      <c r="E16" s="63" t="s">
        <v>180</v>
      </c>
      <c r="F16" s="60" t="s">
        <v>183</v>
      </c>
      <c r="G16" s="47">
        <v>8</v>
      </c>
      <c r="H16" s="133">
        <f>IF(B$17=0,0,G16/B$17)</f>
        <v>2.9304029304029304E-2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56.752173913043499</v>
      </c>
      <c r="P16" s="119">
        <v>23</v>
      </c>
      <c r="Q16" s="107">
        <v>1305.3000000000004</v>
      </c>
    </row>
    <row r="17" spans="1:17" x14ac:dyDescent="0.4">
      <c r="A17" s="54" t="s">
        <v>10</v>
      </c>
      <c r="B17" s="46">
        <f>B19+B18</f>
        <v>273</v>
      </c>
      <c r="C17" s="37">
        <f>IF(B$3=0,0,B17/B$3)</f>
        <v>0.3807531380753138</v>
      </c>
      <c r="E17" s="63" t="s">
        <v>79</v>
      </c>
      <c r="F17" s="60" t="s">
        <v>34</v>
      </c>
      <c r="G17" s="47">
        <v>4</v>
      </c>
      <c r="H17" s="133">
        <f>IF(B$17=0,0,G17/B$17)</f>
        <v>1.4652014652014652E-2</v>
      </c>
      <c r="I17" s="94">
        <v>7</v>
      </c>
      <c r="K17" s="38">
        <v>15</v>
      </c>
      <c r="L17" s="99">
        <v>481.50000000000006</v>
      </c>
      <c r="N17" s="115" t="s">
        <v>186</v>
      </c>
      <c r="O17" s="125">
        <f>IF(P17=0,0,Q17/P17)</f>
        <v>42.43333333333333</v>
      </c>
      <c r="P17" s="119">
        <v>6</v>
      </c>
      <c r="Q17" s="107">
        <v>254.59999999999997</v>
      </c>
    </row>
    <row r="18" spans="1:17" x14ac:dyDescent="0.4">
      <c r="A18" s="55" t="s">
        <v>12</v>
      </c>
      <c r="B18" s="47">
        <v>117</v>
      </c>
      <c r="C18" s="39">
        <f>IF(B$17=0,0,B18/B$17)</f>
        <v>0.42857142857142855</v>
      </c>
      <c r="E18" s="63" t="s">
        <v>80</v>
      </c>
      <c r="F18" s="60" t="s">
        <v>35</v>
      </c>
      <c r="G18" s="47">
        <v>4</v>
      </c>
      <c r="H18" s="133">
        <f>IF(B$17=0,0,G18/B$17)</f>
        <v>1.4652014652014652E-2</v>
      </c>
      <c r="I18" s="94">
        <v>6</v>
      </c>
      <c r="K18" s="38">
        <v>16</v>
      </c>
      <c r="L18" s="99">
        <v>425.50000000000006</v>
      </c>
      <c r="N18" s="115" t="s">
        <v>177</v>
      </c>
      <c r="O18" s="125">
        <f>IF(P18=0,0,Q18/P18)</f>
        <v>40.06666666666667</v>
      </c>
      <c r="P18" s="119">
        <v>9</v>
      </c>
      <c r="Q18" s="107">
        <v>360.6</v>
      </c>
    </row>
    <row r="19" spans="1:17" x14ac:dyDescent="0.4">
      <c r="A19" s="55" t="s">
        <v>11</v>
      </c>
      <c r="B19" s="47">
        <v>156</v>
      </c>
      <c r="C19" s="39">
        <f>IF(B$17=0,0,B19/B$17)</f>
        <v>0.5714285714285714</v>
      </c>
      <c r="E19" s="63" t="s">
        <v>92</v>
      </c>
      <c r="F19" s="60" t="s">
        <v>47</v>
      </c>
      <c r="G19" s="47">
        <v>4</v>
      </c>
      <c r="H19" s="133">
        <f>IF(B$17=0,0,G19/B$17)</f>
        <v>1.4652014652014652E-2</v>
      </c>
      <c r="I19" s="94">
        <v>5</v>
      </c>
      <c r="K19" s="38">
        <v>17</v>
      </c>
      <c r="L19" s="99">
        <v>427.40000000000003</v>
      </c>
      <c r="N19" s="115" t="s">
        <v>173</v>
      </c>
      <c r="O19" s="125">
        <f>IF(P19=0,0,Q19/P19)</f>
        <v>29.17647058823529</v>
      </c>
      <c r="P19" s="119">
        <v>17</v>
      </c>
      <c r="Q19" s="107">
        <v>495.99999999999994</v>
      </c>
    </row>
    <row r="20" spans="1:17" x14ac:dyDescent="0.4">
      <c r="A20" s="55" t="s">
        <v>13</v>
      </c>
      <c r="B20" s="47">
        <v>111</v>
      </c>
      <c r="C20" s="39">
        <f>IF(B$3=0,0,B20/B$3)</f>
        <v>0.15481171548117154</v>
      </c>
      <c r="E20" s="63" t="s">
        <v>74</v>
      </c>
      <c r="F20" s="60" t="s">
        <v>29</v>
      </c>
      <c r="G20" s="47">
        <v>2</v>
      </c>
      <c r="H20" s="133">
        <f>IF(B$17=0,0,G20/B$17)</f>
        <v>7.326007326007326E-3</v>
      </c>
      <c r="I20" s="94">
        <v>3</v>
      </c>
      <c r="K20" s="38">
        <v>18</v>
      </c>
      <c r="L20" s="99">
        <v>429.3</v>
      </c>
      <c r="N20" s="115" t="s">
        <v>172</v>
      </c>
      <c r="O20" s="125">
        <f>IF(P20=0,0,Q20/P20)</f>
        <v>25.608000000000001</v>
      </c>
      <c r="P20" s="119">
        <v>25</v>
      </c>
      <c r="Q20" s="107">
        <v>640.20000000000005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3.663003663003663E-3</v>
      </c>
      <c r="I21" s="94">
        <v>6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23</v>
      </c>
      <c r="E22" s="63" t="s">
        <v>78</v>
      </c>
      <c r="F22" s="60" t="s">
        <v>33</v>
      </c>
      <c r="G22" s="47">
        <v>1</v>
      </c>
      <c r="H22" s="133">
        <f>IF(B$17=0,0,G22/B$17)</f>
        <v>3.663003663003663E-3</v>
      </c>
      <c r="I22" s="94">
        <v>3</v>
      </c>
      <c r="K22" s="38">
        <v>20</v>
      </c>
      <c r="L22" s="99">
        <v>469.6</v>
      </c>
      <c r="N22" s="115" t="s">
        <v>128</v>
      </c>
      <c r="O22" s="125">
        <f>IF(P22=0,0,Q22/P22)</f>
        <v>19.920895522388069</v>
      </c>
      <c r="P22" s="119">
        <v>67</v>
      </c>
      <c r="Q22" s="107">
        <v>1334.7000000000005</v>
      </c>
    </row>
    <row r="23" spans="1:17" x14ac:dyDescent="0.4">
      <c r="A23" s="55" t="s">
        <v>5</v>
      </c>
      <c r="B23" s="51">
        <f>IF(B$17=0,0,C23/B$17)</f>
        <v>9165.9340659340651</v>
      </c>
      <c r="C23" s="41">
        <v>2502300</v>
      </c>
      <c r="E23" s="63" t="s">
        <v>88</v>
      </c>
      <c r="F23" s="60" t="s">
        <v>43</v>
      </c>
      <c r="G23" s="47">
        <v>1</v>
      </c>
      <c r="H23" s="133">
        <f>IF(B$17=0,0,G23/B$17)</f>
        <v>3.663003663003663E-3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18.848148148148145</v>
      </c>
      <c r="P23" s="119">
        <v>27</v>
      </c>
      <c r="Q23" s="107">
        <v>508.89999999999986</v>
      </c>
    </row>
    <row r="24" spans="1:17" x14ac:dyDescent="0.4">
      <c r="A24" s="57" t="s">
        <v>14</v>
      </c>
      <c r="B24" s="52">
        <f>IF(B$20=0,0,C24/B$20)</f>
        <v>-7783.7837837837842</v>
      </c>
      <c r="C24" s="45">
        <v>-864000</v>
      </c>
      <c r="E24" s="63" t="s">
        <v>91</v>
      </c>
      <c r="F24" s="60" t="s">
        <v>46</v>
      </c>
      <c r="G24" s="47">
        <v>1</v>
      </c>
      <c r="H24" s="133">
        <f>IF(B$17=0,0,G24/B$17)</f>
        <v>3.663003663003663E-3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3.663003663003663E-3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3.663003663003663E-3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3.663003663003663E-3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0061C-DD39-4B74-836A-1E15D6181904}">
  <sheetPr codeName="Sheet9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96</v>
      </c>
      <c r="C2" s="147"/>
      <c r="E2" s="62" t="s">
        <v>67</v>
      </c>
      <c r="F2" s="59" t="s">
        <v>23</v>
      </c>
      <c r="G2" s="46">
        <v>170</v>
      </c>
      <c r="H2" s="132">
        <f>IF(B$17=0,0,G2/B$17)</f>
        <v>0.75221238938053092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641.66666666666663</v>
      </c>
      <c r="P2" s="118">
        <v>96</v>
      </c>
      <c r="Q2" s="102">
        <v>61600</v>
      </c>
    </row>
    <row r="3" spans="1:17" x14ac:dyDescent="0.4">
      <c r="A3" s="55" t="s">
        <v>8</v>
      </c>
      <c r="B3" s="148">
        <v>810</v>
      </c>
      <c r="C3" s="149"/>
      <c r="E3" s="63" t="s">
        <v>65</v>
      </c>
      <c r="F3" s="60" t="s">
        <v>21</v>
      </c>
      <c r="G3" s="47">
        <v>134</v>
      </c>
      <c r="H3" s="133">
        <f>IF(B$17=0,0,G3/B$17)</f>
        <v>0.59292035398230092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-2471.5789473684213</v>
      </c>
      <c r="P3" s="119">
        <v>95</v>
      </c>
      <c r="Q3" s="103">
        <v>-234800</v>
      </c>
    </row>
    <row r="4" spans="1:17" x14ac:dyDescent="0.4">
      <c r="A4" s="55" t="s">
        <v>6</v>
      </c>
      <c r="B4" s="150">
        <v>-293.90000000000003</v>
      </c>
      <c r="C4" s="151"/>
      <c r="E4" s="63" t="s">
        <v>73</v>
      </c>
      <c r="F4" s="60" t="s">
        <v>28</v>
      </c>
      <c r="G4" s="47">
        <v>103</v>
      </c>
      <c r="H4" s="133">
        <f>IF(B$17=0,0,G4/B$17)</f>
        <v>0.45575221238938052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-702.17391304347825</v>
      </c>
      <c r="P4" s="119">
        <v>92</v>
      </c>
      <c r="Q4" s="103">
        <v>-64600</v>
      </c>
    </row>
    <row r="5" spans="1:17" x14ac:dyDescent="0.4">
      <c r="A5" s="55" t="s">
        <v>7</v>
      </c>
      <c r="B5" s="152">
        <f>IF(B$2=0,0,B$4/B$2)</f>
        <v>-3.0614583333333338</v>
      </c>
      <c r="C5" s="153"/>
      <c r="E5" s="63" t="s">
        <v>181</v>
      </c>
      <c r="F5" s="60" t="s">
        <v>182</v>
      </c>
      <c r="G5" s="47">
        <v>98</v>
      </c>
      <c r="H5" s="133">
        <f>IF(B$17=0,0,G5/B$17)</f>
        <v>0.4336283185840708</v>
      </c>
      <c r="I5" s="94">
        <v>1</v>
      </c>
      <c r="K5" s="38">
        <v>3</v>
      </c>
      <c r="L5" s="99">
        <v>-47.300000000000004</v>
      </c>
      <c r="N5" s="115" t="s">
        <v>135</v>
      </c>
      <c r="O5" s="122">
        <f t="shared" si="0"/>
        <v>843.37349397590367</v>
      </c>
      <c r="P5" s="119">
        <v>83</v>
      </c>
      <c r="Q5" s="103">
        <v>70000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69</v>
      </c>
      <c r="F6" s="60" t="s">
        <v>12</v>
      </c>
      <c r="G6" s="47">
        <v>76</v>
      </c>
      <c r="H6" s="133">
        <f>IF(B$17=0,0,G6/B$17)</f>
        <v>0.33628318584070799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73.684210526315795</v>
      </c>
      <c r="P6" s="119">
        <v>76</v>
      </c>
      <c r="Q6" s="103">
        <v>5600</v>
      </c>
    </row>
    <row r="7" spans="1:17" x14ac:dyDescent="0.4">
      <c r="A7" s="55" t="s">
        <v>2</v>
      </c>
      <c r="B7" s="47">
        <v>25</v>
      </c>
      <c r="C7" s="39">
        <f>IF(B$2=0,0,B7/B$2)</f>
        <v>0.26041666666666669</v>
      </c>
      <c r="E7" s="63" t="s">
        <v>68</v>
      </c>
      <c r="F7" s="60" t="s">
        <v>24</v>
      </c>
      <c r="G7" s="47">
        <v>75</v>
      </c>
      <c r="H7" s="133">
        <f>IF(B$17=0,0,G7/B$17)</f>
        <v>0.33185840707964603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398.59154929577466</v>
      </c>
      <c r="P7" s="120">
        <v>71</v>
      </c>
      <c r="Q7" s="104">
        <v>28300</v>
      </c>
    </row>
    <row r="8" spans="1:17" x14ac:dyDescent="0.4">
      <c r="A8" s="55" t="s">
        <v>3</v>
      </c>
      <c r="B8" s="47">
        <v>38</v>
      </c>
      <c r="C8" s="39">
        <f>IF(B$2=0,0,B8/B$2)</f>
        <v>0.39583333333333331</v>
      </c>
      <c r="E8" s="63" t="s">
        <v>70</v>
      </c>
      <c r="F8" s="60" t="s">
        <v>25</v>
      </c>
      <c r="G8" s="47">
        <v>49</v>
      </c>
      <c r="H8" s="133">
        <f>IF(B$17=0,0,G8/B$17)</f>
        <v>0.2168141592920354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0.34375</v>
      </c>
      <c r="E9" s="63" t="s">
        <v>66</v>
      </c>
      <c r="F9" s="60" t="s">
        <v>22</v>
      </c>
      <c r="G9" s="47">
        <v>38</v>
      </c>
      <c r="H9" s="133">
        <f>IF(B$17=0,0,G9/B$17)</f>
        <v>0.16814159292035399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0.125</v>
      </c>
      <c r="E10" s="63" t="s">
        <v>71</v>
      </c>
      <c r="F10" s="60" t="s">
        <v>26</v>
      </c>
      <c r="G10" s="47">
        <v>27</v>
      </c>
      <c r="H10" s="133">
        <f>IF(B$17=0,0,G10/B$17)</f>
        <v>0.11946902654867257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-4.0940000000000003</v>
      </c>
      <c r="P10" s="118">
        <v>50</v>
      </c>
      <c r="Q10" s="106">
        <v>-204.70000000000002</v>
      </c>
    </row>
    <row r="11" spans="1:17" x14ac:dyDescent="0.4">
      <c r="A11" s="56" t="s">
        <v>140</v>
      </c>
      <c r="B11" s="48">
        <v>8</v>
      </c>
      <c r="C11" s="40">
        <f>IF(B$2=0,0,B11/B$2)</f>
        <v>8.3333333333333329E-2</v>
      </c>
      <c r="E11" s="63" t="s">
        <v>90</v>
      </c>
      <c r="F11" s="60" t="s">
        <v>45</v>
      </c>
      <c r="G11" s="47">
        <v>21</v>
      </c>
      <c r="H11" s="133">
        <f>IF(B$17=0,0,G11/B$17)</f>
        <v>9.2920353982300891E-2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-8.1363636363636331</v>
      </c>
      <c r="P11" s="119">
        <v>22</v>
      </c>
      <c r="Q11" s="107">
        <v>-178.99999999999994</v>
      </c>
    </row>
    <row r="12" spans="1:17" x14ac:dyDescent="0.4">
      <c r="A12" s="57" t="s">
        <v>160</v>
      </c>
      <c r="B12" s="49">
        <v>7</v>
      </c>
      <c r="C12" s="42">
        <f>IF(B$2=0,0,B12/B$2)</f>
        <v>7.2916666666666671E-2</v>
      </c>
      <c r="E12" s="63" t="s">
        <v>72</v>
      </c>
      <c r="F12" s="60" t="s">
        <v>27</v>
      </c>
      <c r="G12" s="47">
        <v>12</v>
      </c>
      <c r="H12" s="133">
        <f>IF(B$17=0,0,G12/B$17)</f>
        <v>5.3097345132743362E-2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3.7416666666666667</v>
      </c>
      <c r="P12" s="120">
        <v>24</v>
      </c>
      <c r="Q12" s="108">
        <v>89.8</v>
      </c>
    </row>
    <row r="13" spans="1:17" x14ac:dyDescent="0.4">
      <c r="A13" s="58" t="s">
        <v>122</v>
      </c>
      <c r="B13" s="50">
        <v>235</v>
      </c>
      <c r="C13" s="44">
        <f>IF(B$3=0,0,B13/B$3)</f>
        <v>0.29012345679012347</v>
      </c>
      <c r="E13" s="63" t="s">
        <v>87</v>
      </c>
      <c r="F13" s="60" t="s">
        <v>42</v>
      </c>
      <c r="G13" s="47">
        <v>12</v>
      </c>
      <c r="H13" s="133">
        <f>IF(B$17=0,0,G13/B$17)</f>
        <v>5.3097345132743362E-2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154</v>
      </c>
      <c r="C14" s="39">
        <f>IF(B$3=0,0,B14/B$3)</f>
        <v>0.19012345679012346</v>
      </c>
      <c r="E14" s="63" t="s">
        <v>82</v>
      </c>
      <c r="F14" s="60" t="s">
        <v>37</v>
      </c>
      <c r="G14" s="47">
        <v>8</v>
      </c>
      <c r="H14" s="133">
        <f>IF(B$17=0,0,G14/B$17)</f>
        <v>3.5398230088495575E-2</v>
      </c>
      <c r="I14" s="94">
        <v>5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142</v>
      </c>
      <c r="C15" s="37">
        <f>IF(B$13=0,0,B15/B$13)</f>
        <v>0.60425531914893615</v>
      </c>
      <c r="E15" s="63" t="s">
        <v>84</v>
      </c>
      <c r="F15" s="60" t="s">
        <v>39</v>
      </c>
      <c r="G15" s="47">
        <v>7</v>
      </c>
      <c r="H15" s="133">
        <f>IF(B$17=0,0,G15/B$17)</f>
        <v>3.0973451327433628E-2</v>
      </c>
      <c r="I15" s="94">
        <v>7</v>
      </c>
      <c r="K15" s="38">
        <v>13</v>
      </c>
      <c r="L15" s="99">
        <v>-81.900000000000006</v>
      </c>
      <c r="N15" s="114" t="s">
        <v>202</v>
      </c>
      <c r="O15" s="124">
        <f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42</v>
      </c>
      <c r="C16" s="37">
        <f>IF(B$14=0,0,B16/B$14)</f>
        <v>0.27272727272727271</v>
      </c>
      <c r="E16" s="63" t="s">
        <v>92</v>
      </c>
      <c r="F16" s="60" t="s">
        <v>47</v>
      </c>
      <c r="G16" s="47">
        <v>6</v>
      </c>
      <c r="H16" s="133">
        <f>IF(B$17=0,0,G16/B$17)</f>
        <v>2.6548672566371681E-2</v>
      </c>
      <c r="I16" s="94">
        <v>2</v>
      </c>
      <c r="K16" s="38">
        <v>14</v>
      </c>
      <c r="L16" s="99">
        <v>-25.600000000000009</v>
      </c>
      <c r="N16" s="115" t="s">
        <v>186</v>
      </c>
      <c r="O16" s="125">
        <f>IF(P16=0,0,Q16/P16)</f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226</v>
      </c>
      <c r="C17" s="37">
        <f>IF(B$3=0,0,B17/B$3)</f>
        <v>0.27901234567901234</v>
      </c>
      <c r="E17" s="63" t="s">
        <v>80</v>
      </c>
      <c r="F17" s="60" t="s">
        <v>35</v>
      </c>
      <c r="G17" s="47">
        <v>4</v>
      </c>
      <c r="H17" s="133">
        <f>IF(B$17=0,0,G17/B$17)</f>
        <v>1.7699115044247787E-2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6.103703703703701</v>
      </c>
      <c r="P17" s="119">
        <v>27</v>
      </c>
      <c r="Q17" s="107">
        <v>164.79999999999993</v>
      </c>
    </row>
    <row r="18" spans="1:17" x14ac:dyDescent="0.4">
      <c r="A18" s="55" t="s">
        <v>12</v>
      </c>
      <c r="B18" s="47">
        <v>96</v>
      </c>
      <c r="C18" s="39">
        <f>IF(B$17=0,0,B18/B$17)</f>
        <v>0.4247787610619469</v>
      </c>
      <c r="E18" s="63" t="s">
        <v>180</v>
      </c>
      <c r="F18" s="60" t="s">
        <v>183</v>
      </c>
      <c r="G18" s="47">
        <v>4</v>
      </c>
      <c r="H18" s="133">
        <f>IF(B$17=0,0,G18/B$17)</f>
        <v>1.7699115044247787E-2</v>
      </c>
      <c r="I18" s="94">
        <v>3</v>
      </c>
      <c r="K18" s="38">
        <v>16</v>
      </c>
      <c r="L18" s="99">
        <v>41.699999999999989</v>
      </c>
      <c r="N18" s="115" t="s">
        <v>177</v>
      </c>
      <c r="O18" s="125">
        <f>IF(P18=0,0,Q18/P18)</f>
        <v>4.1411764705882348</v>
      </c>
      <c r="P18" s="119">
        <v>17</v>
      </c>
      <c r="Q18" s="107">
        <v>70.399999999999991</v>
      </c>
    </row>
    <row r="19" spans="1:17" x14ac:dyDescent="0.4">
      <c r="A19" s="55" t="s">
        <v>11</v>
      </c>
      <c r="B19" s="47">
        <v>130</v>
      </c>
      <c r="C19" s="39">
        <f>IF(B$17=0,0,B19/B$17)</f>
        <v>0.5752212389380531</v>
      </c>
      <c r="E19" s="63" t="s">
        <v>75</v>
      </c>
      <c r="F19" s="60" t="s">
        <v>30</v>
      </c>
      <c r="G19" s="47">
        <v>2</v>
      </c>
      <c r="H19" s="133">
        <f>IF(B$17=0,0,G19/B$17)</f>
        <v>8.8495575221238937E-3</v>
      </c>
      <c r="I19" s="94">
        <v>2</v>
      </c>
      <c r="K19" s="38">
        <v>17</v>
      </c>
      <c r="L19" s="99">
        <v>94.6</v>
      </c>
      <c r="N19" s="115" t="s">
        <v>172</v>
      </c>
      <c r="O19" s="125">
        <f>IF(P19=0,0,Q19/P19)</f>
        <v>2.6714285714285722</v>
      </c>
      <c r="P19" s="119">
        <v>28</v>
      </c>
      <c r="Q19" s="107">
        <v>74.800000000000026</v>
      </c>
    </row>
    <row r="20" spans="1:17" x14ac:dyDescent="0.4">
      <c r="A20" s="55" t="s">
        <v>13</v>
      </c>
      <c r="B20" s="47">
        <v>140</v>
      </c>
      <c r="C20" s="39">
        <f>IF(B$3=0,0,B20/B$3)</f>
        <v>0.1728395061728395</v>
      </c>
      <c r="E20" s="63" t="s">
        <v>76</v>
      </c>
      <c r="F20" s="60" t="s">
        <v>31</v>
      </c>
      <c r="G20" s="47">
        <v>2</v>
      </c>
      <c r="H20" s="133">
        <f>IF(B$17=0,0,G20/B$17)</f>
        <v>8.8495575221238937E-3</v>
      </c>
      <c r="I20" s="94">
        <v>4</v>
      </c>
      <c r="K20" s="38">
        <v>18</v>
      </c>
      <c r="L20" s="99">
        <v>116.69999999999999</v>
      </c>
      <c r="N20" s="115" t="s">
        <v>171</v>
      </c>
      <c r="O20" s="125">
        <f>IF(P20=0,0,Q20/P20)</f>
        <v>2.2307692307692384</v>
      </c>
      <c r="P20" s="119">
        <v>26</v>
      </c>
      <c r="Q20" s="107">
        <v>58.000000000000199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79</v>
      </c>
      <c r="F21" s="60" t="s">
        <v>34</v>
      </c>
      <c r="G21" s="47">
        <v>2</v>
      </c>
      <c r="H21" s="133">
        <f>IF(B$17=0,0,G21/B$17)</f>
        <v>8.8495575221238937E-3</v>
      </c>
      <c r="I21" s="94">
        <v>9</v>
      </c>
      <c r="K21" s="38">
        <v>19</v>
      </c>
      <c r="L21" s="99">
        <v>138.79999999999998</v>
      </c>
      <c r="N21" s="115" t="s">
        <v>173</v>
      </c>
      <c r="O21" s="125">
        <f>IF(P21=0,0,Q21/P21)</f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74</v>
      </c>
      <c r="F22" s="60" t="s">
        <v>29</v>
      </c>
      <c r="G22" s="47">
        <v>1</v>
      </c>
      <c r="H22" s="133">
        <f>IF(B$17=0,0,G22/B$17)</f>
        <v>4.4247787610619468E-3</v>
      </c>
      <c r="I22" s="94">
        <v>5</v>
      </c>
      <c r="K22" s="38">
        <v>20</v>
      </c>
      <c r="L22" s="99">
        <v>164.49999999999997</v>
      </c>
      <c r="N22" s="115" t="s">
        <v>127</v>
      </c>
      <c r="O22" s="125">
        <f>IF(P22=0,0,Q22/P22)</f>
        <v>-19.920895522388069</v>
      </c>
      <c r="P22" s="119">
        <v>67</v>
      </c>
      <c r="Q22" s="107">
        <v>-1334.7000000000005</v>
      </c>
    </row>
    <row r="23" spans="1:17" x14ac:dyDescent="0.4">
      <c r="A23" s="55" t="s">
        <v>5</v>
      </c>
      <c r="B23" s="51">
        <f>IF(B$17=0,0,C23/B$17)</f>
        <v>9164.1592920353978</v>
      </c>
      <c r="C23" s="41">
        <v>2071100</v>
      </c>
      <c r="E23" s="63" t="s">
        <v>78</v>
      </c>
      <c r="F23" s="60" t="s">
        <v>33</v>
      </c>
      <c r="G23" s="47">
        <v>1</v>
      </c>
      <c r="H23" s="133">
        <f>IF(B$17=0,0,G23/B$17)</f>
        <v>4.4247787610619468E-3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-7732.8571428571431</v>
      </c>
      <c r="C24" s="45">
        <v>-1082600</v>
      </c>
      <c r="E24" s="63" t="s">
        <v>85</v>
      </c>
      <c r="F24" s="60" t="s">
        <v>40</v>
      </c>
      <c r="G24" s="47">
        <v>1</v>
      </c>
      <c r="H24" s="133">
        <f>IF(B$17=0,0,G24/B$17)</f>
        <v>4.4247787610619468E-3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4.4247787610619468E-3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4.4247787610619468E-3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6.1728395061728392E-3</v>
      </c>
      <c r="E27" s="63" t="s">
        <v>94</v>
      </c>
      <c r="F27" s="60" t="s">
        <v>49</v>
      </c>
      <c r="G27" s="47">
        <v>1</v>
      </c>
      <c r="H27" s="133">
        <f>IF(B$17=0,0,G27/B$17)</f>
        <v>4.4247787610619468E-3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4.4247787610619468E-3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265B5-8407-4B5C-A125-4CBCCD477218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38</v>
      </c>
      <c r="C2" s="147"/>
      <c r="E2" s="62" t="s">
        <v>67</v>
      </c>
      <c r="F2" s="59" t="s">
        <v>23</v>
      </c>
      <c r="G2" s="46">
        <v>53</v>
      </c>
      <c r="H2" s="132">
        <f>IF(B$17=0,0,G2/B$17)</f>
        <v>0.81538461538461537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-2836.8421052631579</v>
      </c>
      <c r="P2" s="118">
        <v>38</v>
      </c>
      <c r="Q2" s="102">
        <v>-107800</v>
      </c>
    </row>
    <row r="3" spans="1:17" x14ac:dyDescent="0.4">
      <c r="A3" s="55" t="s">
        <v>8</v>
      </c>
      <c r="B3" s="148">
        <v>309</v>
      </c>
      <c r="C3" s="149"/>
      <c r="E3" s="63" t="s">
        <v>65</v>
      </c>
      <c r="F3" s="60" t="s">
        <v>21</v>
      </c>
      <c r="G3" s="47">
        <v>37</v>
      </c>
      <c r="H3" s="133">
        <f>IF(B$17=0,0,G3/B$17)</f>
        <v>0.56923076923076921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-3252.6315789473683</v>
      </c>
      <c r="P3" s="119">
        <v>38</v>
      </c>
      <c r="Q3" s="103">
        <v>-123600</v>
      </c>
    </row>
    <row r="4" spans="1:17" x14ac:dyDescent="0.4">
      <c r="A4" s="55" t="s">
        <v>6</v>
      </c>
      <c r="B4" s="150">
        <v>-829.99999999999989</v>
      </c>
      <c r="C4" s="151"/>
      <c r="E4" s="63" t="s">
        <v>69</v>
      </c>
      <c r="F4" s="60" t="s">
        <v>12</v>
      </c>
      <c r="G4" s="47">
        <v>26</v>
      </c>
      <c r="H4" s="133">
        <f>IF(B$17=0,0,G4/B$17)</f>
        <v>0.4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-1208.5714285714287</v>
      </c>
      <c r="P4" s="119">
        <v>35</v>
      </c>
      <c r="Q4" s="103">
        <v>-42300</v>
      </c>
    </row>
    <row r="5" spans="1:17" x14ac:dyDescent="0.4">
      <c r="A5" s="55" t="s">
        <v>7</v>
      </c>
      <c r="B5" s="152">
        <f>IF(B$2=0,0,B$4/B$2)</f>
        <v>-21.84210526315789</v>
      </c>
      <c r="C5" s="153"/>
      <c r="E5" s="63" t="s">
        <v>181</v>
      </c>
      <c r="F5" s="60" t="s">
        <v>182</v>
      </c>
      <c r="G5" s="47">
        <v>26</v>
      </c>
      <c r="H5" s="133">
        <f>IF(B$17=0,0,G5/B$17)</f>
        <v>0.4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-6190</v>
      </c>
      <c r="P5" s="119">
        <v>30</v>
      </c>
      <c r="Q5" s="103">
        <v>-185700</v>
      </c>
    </row>
    <row r="6" spans="1:17" x14ac:dyDescent="0.4">
      <c r="A6" s="55" t="s">
        <v>1</v>
      </c>
      <c r="B6" s="142">
        <f>IF(B$2=0,0,(B$7*1+B$8*2+B$9*3)/B$2)</f>
        <v>2.3684210526315788</v>
      </c>
      <c r="C6" s="143"/>
      <c r="E6" s="63" t="s">
        <v>68</v>
      </c>
      <c r="F6" s="60" t="s">
        <v>24</v>
      </c>
      <c r="G6" s="47">
        <v>23</v>
      </c>
      <c r="H6" s="133">
        <f>IF(B$17=0,0,G6/B$17)</f>
        <v>0.35384615384615387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-1188.8888888888889</v>
      </c>
      <c r="P6" s="119">
        <v>27</v>
      </c>
      <c r="Q6" s="103">
        <v>-32100</v>
      </c>
    </row>
    <row r="7" spans="1:17" x14ac:dyDescent="0.4">
      <c r="A7" s="55" t="s">
        <v>2</v>
      </c>
      <c r="B7" s="47">
        <v>7</v>
      </c>
      <c r="C7" s="39">
        <f>IF(B$2=0,0,B7/B$2)</f>
        <v>0.18421052631578946</v>
      </c>
      <c r="E7" s="63" t="s">
        <v>73</v>
      </c>
      <c r="F7" s="60" t="s">
        <v>28</v>
      </c>
      <c r="G7" s="47">
        <v>20</v>
      </c>
      <c r="H7" s="133">
        <f>IF(B$17=0,0,G7/B$17)</f>
        <v>0.30769230769230771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-1584</v>
      </c>
      <c r="P7" s="120">
        <v>25</v>
      </c>
      <c r="Q7" s="104">
        <v>-39600</v>
      </c>
    </row>
    <row r="8" spans="1:17" x14ac:dyDescent="0.4">
      <c r="A8" s="55" t="s">
        <v>3</v>
      </c>
      <c r="B8" s="47">
        <v>10</v>
      </c>
      <c r="C8" s="39">
        <f>IF(B$2=0,0,B8/B$2)</f>
        <v>0.26315789473684209</v>
      </c>
      <c r="E8" s="63" t="s">
        <v>70</v>
      </c>
      <c r="F8" s="60" t="s">
        <v>25</v>
      </c>
      <c r="G8" s="47">
        <v>16</v>
      </c>
      <c r="H8" s="133">
        <f>IF(B$17=0,0,G8/B$17)</f>
        <v>0.24615384615384617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0.55263157894736847</v>
      </c>
      <c r="E9" s="63" t="s">
        <v>71</v>
      </c>
      <c r="F9" s="60" t="s">
        <v>26</v>
      </c>
      <c r="G9" s="47">
        <v>14</v>
      </c>
      <c r="H9" s="133">
        <f>IF(B$17=0,0,G9/B$17)</f>
        <v>0.2153846153846154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0.21052631578947367</v>
      </c>
      <c r="E10" s="63" t="s">
        <v>72</v>
      </c>
      <c r="F10" s="60" t="s">
        <v>27</v>
      </c>
      <c r="G10" s="47">
        <v>8</v>
      </c>
      <c r="H10" s="133">
        <f>IF(B$17=0,0,G10/B$17)</f>
        <v>0.12307692307692308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-24.338461538461534</v>
      </c>
      <c r="P10" s="118">
        <v>13</v>
      </c>
      <c r="Q10" s="106">
        <v>-316.39999999999992</v>
      </c>
    </row>
    <row r="11" spans="1:17" x14ac:dyDescent="0.4">
      <c r="A11" s="56" t="s">
        <v>140</v>
      </c>
      <c r="B11" s="48">
        <v>2</v>
      </c>
      <c r="C11" s="40">
        <f>IF(B$2=0,0,B11/B$2)</f>
        <v>5.2631578947368418E-2</v>
      </c>
      <c r="E11" s="63" t="s">
        <v>90</v>
      </c>
      <c r="F11" s="60" t="s">
        <v>45</v>
      </c>
      <c r="G11" s="47">
        <v>6</v>
      </c>
      <c r="H11" s="133">
        <f>IF(B$17=0,0,G11/B$17)</f>
        <v>9.2307692307692313E-2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-18.900000000000002</v>
      </c>
      <c r="P11" s="119">
        <v>15</v>
      </c>
      <c r="Q11" s="107">
        <v>-283.50000000000006</v>
      </c>
    </row>
    <row r="12" spans="1:17" x14ac:dyDescent="0.4">
      <c r="A12" s="57" t="s">
        <v>160</v>
      </c>
      <c r="B12" s="49">
        <v>4</v>
      </c>
      <c r="C12" s="42">
        <f>IF(B$2=0,0,B12/B$2)</f>
        <v>0.10526315789473684</v>
      </c>
      <c r="E12" s="63" t="s">
        <v>66</v>
      </c>
      <c r="F12" s="60" t="s">
        <v>22</v>
      </c>
      <c r="G12" s="47">
        <v>5</v>
      </c>
      <c r="H12" s="133">
        <f>IF(B$17=0,0,G12/B$17)</f>
        <v>7.6923076923076927E-2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-23.009999999999998</v>
      </c>
      <c r="P12" s="120">
        <v>10</v>
      </c>
      <c r="Q12" s="108">
        <v>-230.1</v>
      </c>
    </row>
    <row r="13" spans="1:17" x14ac:dyDescent="0.4">
      <c r="A13" s="58" t="s">
        <v>122</v>
      </c>
      <c r="B13" s="50">
        <v>77</v>
      </c>
      <c r="C13" s="44">
        <f>IF(B$3=0,0,B13/B$3)</f>
        <v>0.24919093851132687</v>
      </c>
      <c r="E13" s="63" t="s">
        <v>87</v>
      </c>
      <c r="F13" s="60" t="s">
        <v>42</v>
      </c>
      <c r="G13" s="47">
        <v>2</v>
      </c>
      <c r="H13" s="133">
        <f>IF(B$17=0,0,G13/B$17)</f>
        <v>3.0769230769230771E-2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0.14563106796116504</v>
      </c>
      <c r="E14" s="63" t="s">
        <v>78</v>
      </c>
      <c r="F14" s="60" t="s">
        <v>33</v>
      </c>
      <c r="G14" s="47">
        <v>1</v>
      </c>
      <c r="H14" s="133">
        <f>IF(B$17=0,0,G14/B$17)</f>
        <v>1.5384615384615385E-2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0.50649350649350644</v>
      </c>
      <c r="E15" s="63" t="s">
        <v>79</v>
      </c>
      <c r="F15" s="60" t="s">
        <v>34</v>
      </c>
      <c r="G15" s="47">
        <v>1</v>
      </c>
      <c r="H15" s="133">
        <f>IF(B$17=0,0,G15/B$17)</f>
        <v>1.5384615384615385E-2</v>
      </c>
      <c r="I15" s="94">
        <v>6</v>
      </c>
      <c r="K15" s="38">
        <v>13</v>
      </c>
      <c r="L15" s="99">
        <v>-369.1</v>
      </c>
      <c r="N15" s="114" t="s">
        <v>177</v>
      </c>
      <c r="O15" s="124">
        <f>IF(P15=0,0,Q15/P15)</f>
        <v>42.625</v>
      </c>
      <c r="P15" s="118">
        <v>4</v>
      </c>
      <c r="Q15" s="106">
        <v>170.5</v>
      </c>
    </row>
    <row r="16" spans="1:17" x14ac:dyDescent="0.4">
      <c r="A16" s="54" t="s">
        <v>125</v>
      </c>
      <c r="B16" s="46">
        <v>9</v>
      </c>
      <c r="C16" s="37">
        <f>IF(B$14=0,0,B16/B$14)</f>
        <v>0.2</v>
      </c>
      <c r="E16" s="63" t="s">
        <v>80</v>
      </c>
      <c r="F16" s="60" t="s">
        <v>35</v>
      </c>
      <c r="G16" s="47">
        <v>1</v>
      </c>
      <c r="H16" s="133">
        <f>IF(B$17=0,0,G16/B$17)</f>
        <v>1.5384615384615385E-2</v>
      </c>
      <c r="I16" s="94">
        <v>4</v>
      </c>
      <c r="K16" s="38">
        <v>14</v>
      </c>
      <c r="L16" s="99">
        <v>-394.6</v>
      </c>
      <c r="N16" s="115" t="s">
        <v>128</v>
      </c>
      <c r="O16" s="125">
        <f>IF(P16=0,0,Q16/P16)</f>
        <v>-6.1037037037036974</v>
      </c>
      <c r="P16" s="119">
        <v>27</v>
      </c>
      <c r="Q16" s="107">
        <v>-164.79999999999984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0.21035598705501618</v>
      </c>
      <c r="E17" s="63" t="s">
        <v>82</v>
      </c>
      <c r="F17" s="60" t="s">
        <v>37</v>
      </c>
      <c r="G17" s="47">
        <v>1</v>
      </c>
      <c r="H17" s="133">
        <f>IF(B$17=0,0,G17/B$17)</f>
        <v>1.5384615384615385E-2</v>
      </c>
      <c r="I17" s="94">
        <v>8</v>
      </c>
      <c r="K17" s="38">
        <v>15</v>
      </c>
      <c r="L17" s="99">
        <v>-424.5</v>
      </c>
      <c r="N17" s="115" t="s">
        <v>173</v>
      </c>
      <c r="O17" s="125">
        <f>IF(P17=0,0,Q17/P17)</f>
        <v>-30.733333333333331</v>
      </c>
      <c r="P17" s="119">
        <v>6</v>
      </c>
      <c r="Q17" s="107">
        <v>-184.39999999999998</v>
      </c>
    </row>
    <row r="18" spans="1:17" x14ac:dyDescent="0.4">
      <c r="A18" s="55" t="s">
        <v>12</v>
      </c>
      <c r="B18" s="47">
        <v>33</v>
      </c>
      <c r="C18" s="39">
        <f>IF(B$17=0,0,B18/B$17)</f>
        <v>0.50769230769230766</v>
      </c>
      <c r="E18" s="63" t="s">
        <v>84</v>
      </c>
      <c r="F18" s="60" t="s">
        <v>39</v>
      </c>
      <c r="G18" s="47">
        <v>1</v>
      </c>
      <c r="H18" s="133">
        <f>IF(B$17=0,0,G18/B$17)</f>
        <v>1.5384615384615385E-2</v>
      </c>
      <c r="I18" s="94">
        <v>9</v>
      </c>
      <c r="K18" s="38">
        <v>16</v>
      </c>
      <c r="L18" s="99">
        <v>-472</v>
      </c>
      <c r="N18" s="115" t="s">
        <v>171</v>
      </c>
      <c r="O18" s="125">
        <f>IF(P18=0,0,Q18/P18)</f>
        <v>-46.55</v>
      </c>
      <c r="P18" s="119">
        <v>8</v>
      </c>
      <c r="Q18" s="107">
        <v>-372.4</v>
      </c>
    </row>
    <row r="19" spans="1:17" x14ac:dyDescent="0.4">
      <c r="A19" s="55" t="s">
        <v>11</v>
      </c>
      <c r="B19" s="47">
        <v>32</v>
      </c>
      <c r="C19" s="39">
        <f>IF(B$17=0,0,B19/B$17)</f>
        <v>0.49230769230769234</v>
      </c>
      <c r="E19" s="63" t="s">
        <v>88</v>
      </c>
      <c r="F19" s="60" t="s">
        <v>43</v>
      </c>
      <c r="G19" s="47">
        <v>1</v>
      </c>
      <c r="H19" s="133">
        <f>IF(B$17=0,0,G19/B$17)</f>
        <v>1.5384615384615385E-2</v>
      </c>
      <c r="I19" s="94">
        <v>1</v>
      </c>
      <c r="K19" s="38">
        <v>17</v>
      </c>
      <c r="L19" s="99">
        <v>-538.29999999999995</v>
      </c>
      <c r="N19" s="115" t="s">
        <v>127</v>
      </c>
      <c r="O19" s="125">
        <f>IF(P19=0,0,Q19/P19)</f>
        <v>-56.752173913043507</v>
      </c>
      <c r="P19" s="119">
        <v>23</v>
      </c>
      <c r="Q19" s="107">
        <v>-1305.3000000000006</v>
      </c>
    </row>
    <row r="20" spans="1:17" x14ac:dyDescent="0.4">
      <c r="A20" s="55" t="s">
        <v>13</v>
      </c>
      <c r="B20" s="47">
        <v>60</v>
      </c>
      <c r="C20" s="39">
        <f>IF(B$3=0,0,B20/B$3)</f>
        <v>0.1941747572815534</v>
      </c>
      <c r="E20" s="63" t="s">
        <v>89</v>
      </c>
      <c r="F20" s="60" t="s">
        <v>44</v>
      </c>
      <c r="G20" s="47">
        <v>1</v>
      </c>
      <c r="H20" s="133">
        <f>IF(B$17=0,0,G20/B$17)</f>
        <v>1.5384615384615385E-2</v>
      </c>
      <c r="I20" s="94">
        <v>1</v>
      </c>
      <c r="K20" s="38">
        <v>18</v>
      </c>
      <c r="L20" s="99">
        <v>-537.19999999999993</v>
      </c>
      <c r="N20" s="115" t="s">
        <v>186</v>
      </c>
      <c r="O20" s="125">
        <f>IF(P20=0,0,Q20/P20)</f>
        <v>-72.3</v>
      </c>
      <c r="P20" s="119">
        <v>1</v>
      </c>
      <c r="Q20" s="107">
        <v>-72.3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92</v>
      </c>
      <c r="F21" s="60" t="s">
        <v>47</v>
      </c>
      <c r="G21" s="47">
        <v>1</v>
      </c>
      <c r="H21" s="133">
        <f>IF(B$17=0,0,G21/B$17)</f>
        <v>1.5384615384615385E-2</v>
      </c>
      <c r="I21" s="94">
        <v>4</v>
      </c>
      <c r="K21" s="38">
        <v>19</v>
      </c>
      <c r="L21" s="99">
        <v>-569.49999999999989</v>
      </c>
      <c r="N21" s="115" t="s">
        <v>172</v>
      </c>
      <c r="O21" s="125">
        <f>IF(P21=0,0,Q21/P21)</f>
        <v>-80.185714285714283</v>
      </c>
      <c r="P21" s="119">
        <v>7</v>
      </c>
      <c r="Q21" s="107">
        <v>-561.29999999999995</v>
      </c>
    </row>
    <row r="22" spans="1:17" x14ac:dyDescent="0.4">
      <c r="A22" s="55" t="s">
        <v>194</v>
      </c>
      <c r="B22" s="47">
        <v>31</v>
      </c>
      <c r="C22" s="135">
        <v>1</v>
      </c>
      <c r="E22" s="63" t="s">
        <v>94</v>
      </c>
      <c r="F22" s="60" t="s">
        <v>49</v>
      </c>
      <c r="G22" s="47">
        <v>1</v>
      </c>
      <c r="H22" s="133">
        <f>IF(B$17=0,0,G22/B$17)</f>
        <v>1.5384615384615385E-2</v>
      </c>
      <c r="I22" s="94">
        <v>1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8566.1538461538457</v>
      </c>
      <c r="C23" s="41">
        <v>556800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-9846.6666666666661</v>
      </c>
      <c r="C24" s="45">
        <v>-590800</v>
      </c>
      <c r="E24" s="63" t="s">
        <v>75</v>
      </c>
      <c r="F24" s="60" t="s">
        <v>30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3.2362459546925568E-3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90D6B-9027-494C-8AFF-E063C678E7DC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47</v>
      </c>
      <c r="C2" s="147"/>
      <c r="E2" s="62" t="s">
        <v>67</v>
      </c>
      <c r="F2" s="59" t="s">
        <v>23</v>
      </c>
      <c r="G2" s="46">
        <v>74</v>
      </c>
      <c r="H2" s="132">
        <f>IF(B$17=0,0,G2/B$17)</f>
        <v>0.74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144.68085106382978</v>
      </c>
      <c r="P2" s="118">
        <v>47</v>
      </c>
      <c r="Q2" s="102">
        <v>6800</v>
      </c>
    </row>
    <row r="3" spans="1:17" x14ac:dyDescent="0.4">
      <c r="A3" s="55" t="s">
        <v>8</v>
      </c>
      <c r="B3" s="148">
        <v>398</v>
      </c>
      <c r="C3" s="149"/>
      <c r="E3" s="63" t="s">
        <v>65</v>
      </c>
      <c r="F3" s="60" t="s">
        <v>21</v>
      </c>
      <c r="G3" s="47">
        <v>55</v>
      </c>
      <c r="H3" s="133">
        <f>IF(B$17=0,0,G3/B$17)</f>
        <v>0.55000000000000004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744.68085106382978</v>
      </c>
      <c r="P3" s="119">
        <v>47</v>
      </c>
      <c r="Q3" s="103">
        <v>35000</v>
      </c>
    </row>
    <row r="4" spans="1:17" x14ac:dyDescent="0.4">
      <c r="A4" s="55" t="s">
        <v>6</v>
      </c>
      <c r="B4" s="150">
        <v>-33.1</v>
      </c>
      <c r="C4" s="151"/>
      <c r="E4" s="63" t="s">
        <v>73</v>
      </c>
      <c r="F4" s="60" t="s">
        <v>28</v>
      </c>
      <c r="G4" s="47">
        <v>51</v>
      </c>
      <c r="H4" s="133">
        <f>IF(B$17=0,0,G4/B$17)</f>
        <v>0.51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-93.333333333333329</v>
      </c>
      <c r="P4" s="119">
        <v>45</v>
      </c>
      <c r="Q4" s="103">
        <v>-4200</v>
      </c>
    </row>
    <row r="5" spans="1:17" x14ac:dyDescent="0.4">
      <c r="A5" s="55" t="s">
        <v>7</v>
      </c>
      <c r="B5" s="152">
        <f>IF(B$2=0,0,B$4/B$2)</f>
        <v>-0.70425531914893624</v>
      </c>
      <c r="C5" s="153"/>
      <c r="E5" s="63" t="s">
        <v>181</v>
      </c>
      <c r="F5" s="60" t="s">
        <v>182</v>
      </c>
      <c r="G5" s="47">
        <v>35</v>
      </c>
      <c r="H5" s="133">
        <f>IF(B$17=0,0,G5/B$17)</f>
        <v>0.35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2017.948717948718</v>
      </c>
      <c r="P5" s="119">
        <v>39</v>
      </c>
      <c r="Q5" s="103">
        <v>78700</v>
      </c>
    </row>
    <row r="6" spans="1:17" x14ac:dyDescent="0.4">
      <c r="A6" s="55" t="s">
        <v>1</v>
      </c>
      <c r="B6" s="142">
        <f>IF(B$2=0,0,(B$7*1+B$8*2+B$9*3)/B$2)</f>
        <v>2.0851063829787235</v>
      </c>
      <c r="C6" s="143"/>
      <c r="E6" s="63" t="s">
        <v>68</v>
      </c>
      <c r="F6" s="60" t="s">
        <v>24</v>
      </c>
      <c r="G6" s="47">
        <v>31</v>
      </c>
      <c r="H6" s="133">
        <f>IF(B$17=0,0,G6/B$17)</f>
        <v>0.31</v>
      </c>
      <c r="I6" s="94">
        <v>6</v>
      </c>
      <c r="K6" s="38">
        <v>4</v>
      </c>
      <c r="L6" s="99">
        <v>-11.300000000000011</v>
      </c>
      <c r="N6" s="115" t="s">
        <v>136</v>
      </c>
      <c r="O6" s="122">
        <f t="shared" si="0"/>
        <v>-1500</v>
      </c>
      <c r="P6" s="119">
        <v>36</v>
      </c>
      <c r="Q6" s="103">
        <v>-54000</v>
      </c>
    </row>
    <row r="7" spans="1:17" x14ac:dyDescent="0.4">
      <c r="A7" s="55" t="s">
        <v>2</v>
      </c>
      <c r="B7" s="47">
        <v>13</v>
      </c>
      <c r="C7" s="39">
        <f>IF(B$2=0,0,B7/B$2)</f>
        <v>0.27659574468085107</v>
      </c>
      <c r="E7" s="63" t="s">
        <v>69</v>
      </c>
      <c r="F7" s="60" t="s">
        <v>12</v>
      </c>
      <c r="G7" s="47">
        <v>26</v>
      </c>
      <c r="H7" s="133">
        <f>IF(B$17=0,0,G7/B$17)</f>
        <v>0.26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-217.64705882352942</v>
      </c>
      <c r="P7" s="120">
        <v>34</v>
      </c>
      <c r="Q7" s="104">
        <v>-7400</v>
      </c>
    </row>
    <row r="8" spans="1:17" x14ac:dyDescent="0.4">
      <c r="A8" s="55" t="s">
        <v>3</v>
      </c>
      <c r="B8" s="47">
        <v>17</v>
      </c>
      <c r="C8" s="39">
        <f>IF(B$2=0,0,B8/B$2)</f>
        <v>0.36170212765957449</v>
      </c>
      <c r="E8" s="63" t="s">
        <v>70</v>
      </c>
      <c r="F8" s="60" t="s">
        <v>25</v>
      </c>
      <c r="G8" s="47">
        <v>22</v>
      </c>
      <c r="H8" s="133">
        <f>IF(B$17=0,0,G8/B$17)</f>
        <v>0.22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0.36170212765957449</v>
      </c>
      <c r="E9" s="63" t="s">
        <v>90</v>
      </c>
      <c r="F9" s="60" t="s">
        <v>45</v>
      </c>
      <c r="G9" s="47">
        <v>15</v>
      </c>
      <c r="H9" s="133">
        <f>IF(B$17=0,0,G9/B$17)</f>
        <v>0.15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2.1276595744680851E-2</v>
      </c>
      <c r="E10" s="63" t="s">
        <v>66</v>
      </c>
      <c r="F10" s="60" t="s">
        <v>22</v>
      </c>
      <c r="G10" s="47">
        <v>14</v>
      </c>
      <c r="H10" s="133">
        <f>IF(B$17=0,0,G10/B$17)</f>
        <v>0.14000000000000001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9.918181818181818</v>
      </c>
      <c r="P10" s="118">
        <v>11</v>
      </c>
      <c r="Q10" s="106">
        <v>109.1</v>
      </c>
    </row>
    <row r="11" spans="1:17" x14ac:dyDescent="0.4">
      <c r="A11" s="56" t="s">
        <v>140</v>
      </c>
      <c r="B11" s="48">
        <v>6</v>
      </c>
      <c r="C11" s="40">
        <f>IF(B$2=0,0,B11/B$2)</f>
        <v>0.1276595744680851</v>
      </c>
      <c r="E11" s="63" t="s">
        <v>71</v>
      </c>
      <c r="F11" s="60" t="s">
        <v>26</v>
      </c>
      <c r="G11" s="47">
        <v>12</v>
      </c>
      <c r="H11" s="133">
        <f>IF(B$17=0,0,G11/B$17)</f>
        <v>0.12</v>
      </c>
      <c r="I11" s="94">
        <v>2</v>
      </c>
      <c r="K11" s="38">
        <v>9</v>
      </c>
      <c r="L11" s="99">
        <v>-5.8000000000000025</v>
      </c>
      <c r="N11" s="115" t="s">
        <v>165</v>
      </c>
      <c r="O11" s="125">
        <f>IF(P11=0,0,Q11/P11)</f>
        <v>-5.1499999999999986</v>
      </c>
      <c r="P11" s="119">
        <v>20</v>
      </c>
      <c r="Q11" s="107">
        <v>-102.99999999999997</v>
      </c>
    </row>
    <row r="12" spans="1:17" x14ac:dyDescent="0.4">
      <c r="A12" s="57" t="s">
        <v>160</v>
      </c>
      <c r="B12" s="49">
        <v>4</v>
      </c>
      <c r="C12" s="42">
        <f>IF(B$2=0,0,B12/B$2)</f>
        <v>8.5106382978723402E-2</v>
      </c>
      <c r="E12" s="63" t="s">
        <v>87</v>
      </c>
      <c r="F12" s="60" t="s">
        <v>42</v>
      </c>
      <c r="G12" s="47">
        <v>8</v>
      </c>
      <c r="H12" s="133">
        <f>IF(B$17=0,0,G12/B$17)</f>
        <v>0.08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-2.4500000000000002</v>
      </c>
      <c r="P12" s="120">
        <v>16</v>
      </c>
      <c r="Q12" s="108">
        <v>-39.200000000000003</v>
      </c>
    </row>
    <row r="13" spans="1:17" x14ac:dyDescent="0.4">
      <c r="A13" s="58" t="s">
        <v>122</v>
      </c>
      <c r="B13" s="50">
        <v>103</v>
      </c>
      <c r="C13" s="44">
        <f>IF(B$3=0,0,B13/B$3)</f>
        <v>0.25879396984924624</v>
      </c>
      <c r="E13" s="63" t="s">
        <v>72</v>
      </c>
      <c r="F13" s="60" t="s">
        <v>27</v>
      </c>
      <c r="G13" s="47">
        <v>7</v>
      </c>
      <c r="H13" s="133">
        <f>IF(B$17=0,0,G13/B$17)</f>
        <v>7.0000000000000007E-2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68</v>
      </c>
      <c r="C14" s="39">
        <f>IF(B$3=0,0,B14/B$3)</f>
        <v>0.17085427135678391</v>
      </c>
      <c r="E14" s="63" t="s">
        <v>84</v>
      </c>
      <c r="F14" s="60" t="s">
        <v>39</v>
      </c>
      <c r="G14" s="47">
        <v>6</v>
      </c>
      <c r="H14" s="133">
        <f>IF(B$17=0,0,G14/B$17)</f>
        <v>0.06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59</v>
      </c>
      <c r="C15" s="37">
        <f>IF(B$13=0,0,B15/B$13)</f>
        <v>0.57281553398058249</v>
      </c>
      <c r="E15" s="63" t="s">
        <v>82</v>
      </c>
      <c r="F15" s="60" t="s">
        <v>37</v>
      </c>
      <c r="G15" s="47">
        <v>4</v>
      </c>
      <c r="H15" s="133">
        <f>IF(B$17=0,0,G15/B$17)</f>
        <v>0.04</v>
      </c>
      <c r="I15" s="94">
        <v>3</v>
      </c>
      <c r="K15" s="38">
        <v>13</v>
      </c>
      <c r="L15" s="99">
        <v>-58.7</v>
      </c>
      <c r="N15" s="114" t="s">
        <v>129</v>
      </c>
      <c r="O15" s="124">
        <f>IF(P15=0,0,Q15/P15)</f>
        <v>46.55</v>
      </c>
      <c r="P15" s="118">
        <v>8</v>
      </c>
      <c r="Q15" s="106">
        <v>372.4</v>
      </c>
    </row>
    <row r="16" spans="1:17" x14ac:dyDescent="0.4">
      <c r="A16" s="54" t="s">
        <v>125</v>
      </c>
      <c r="B16" s="46">
        <v>24</v>
      </c>
      <c r="C16" s="37">
        <f>IF(B$14=0,0,B16/B$14)</f>
        <v>0.35294117647058826</v>
      </c>
      <c r="E16" s="63" t="s">
        <v>79</v>
      </c>
      <c r="F16" s="60" t="s">
        <v>34</v>
      </c>
      <c r="G16" s="47">
        <v>3</v>
      </c>
      <c r="H16" s="133">
        <f>IF(B$17=0,0,G16/B$17)</f>
        <v>0.03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100</v>
      </c>
      <c r="C17" s="37">
        <f>IF(B$3=0,0,B17/B$3)</f>
        <v>0.25125628140703515</v>
      </c>
      <c r="E17" s="63" t="s">
        <v>76</v>
      </c>
      <c r="F17" s="60" t="s">
        <v>31</v>
      </c>
      <c r="G17" s="47">
        <v>2</v>
      </c>
      <c r="H17" s="133">
        <f>IF(B$17=0,0,G17/B$17)</f>
        <v>0.02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13.35</v>
      </c>
      <c r="P17" s="119">
        <v>14</v>
      </c>
      <c r="Q17" s="107">
        <v>186.9</v>
      </c>
    </row>
    <row r="18" spans="1:17" x14ac:dyDescent="0.4">
      <c r="A18" s="55" t="s">
        <v>12</v>
      </c>
      <c r="B18" s="47">
        <v>37</v>
      </c>
      <c r="C18" s="39">
        <f>IF(B$17=0,0,B18/B$17)</f>
        <v>0.37</v>
      </c>
      <c r="E18" s="63" t="s">
        <v>93</v>
      </c>
      <c r="F18" s="60" t="s">
        <v>48</v>
      </c>
      <c r="G18" s="47">
        <v>2</v>
      </c>
      <c r="H18" s="133">
        <f>IF(B$17=0,0,G18/B$17)</f>
        <v>0.02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-1.0923076923076933</v>
      </c>
      <c r="P18" s="119">
        <v>13</v>
      </c>
      <c r="Q18" s="107">
        <v>-14.200000000000012</v>
      </c>
    </row>
    <row r="19" spans="1:17" x14ac:dyDescent="0.4">
      <c r="A19" s="55" t="s">
        <v>11</v>
      </c>
      <c r="B19" s="47">
        <v>63</v>
      </c>
      <c r="C19" s="39">
        <f>IF(B$17=0,0,B19/B$17)</f>
        <v>0.63</v>
      </c>
      <c r="E19" s="63" t="s">
        <v>180</v>
      </c>
      <c r="F19" s="60" t="s">
        <v>183</v>
      </c>
      <c r="G19" s="47">
        <v>2</v>
      </c>
      <c r="H19" s="133">
        <f>IF(B$17=0,0,G19/B$17)</f>
        <v>0.02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-2.2307692307692384</v>
      </c>
      <c r="P19" s="119">
        <v>26</v>
      </c>
      <c r="Q19" s="107">
        <v>-58.000000000000199</v>
      </c>
    </row>
    <row r="20" spans="1:17" x14ac:dyDescent="0.4">
      <c r="A20" s="55" t="s">
        <v>13</v>
      </c>
      <c r="B20" s="47">
        <v>62</v>
      </c>
      <c r="C20" s="39">
        <f>IF(B$3=0,0,B20/B$3)</f>
        <v>0.15577889447236182</v>
      </c>
      <c r="E20" s="63" t="s">
        <v>88</v>
      </c>
      <c r="F20" s="60" t="s">
        <v>43</v>
      </c>
      <c r="G20" s="47">
        <v>1</v>
      </c>
      <c r="H20" s="133">
        <f>IF(B$17=0,0,G20/B$17)</f>
        <v>0.01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0.60000000000000853</v>
      </c>
      <c r="N21" s="115" t="s">
        <v>127</v>
      </c>
      <c r="O21" s="125">
        <f>IF(P21=0,0,Q21/P21)</f>
        <v>-18.848148148148145</v>
      </c>
      <c r="P21" s="119">
        <v>27</v>
      </c>
      <c r="Q21" s="107">
        <v>-508.89999999999992</v>
      </c>
    </row>
    <row r="22" spans="1:17" x14ac:dyDescent="0.4">
      <c r="A22" s="55" t="s">
        <v>194</v>
      </c>
      <c r="B22" s="47">
        <v>20</v>
      </c>
      <c r="C22" s="135">
        <v>2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9392</v>
      </c>
      <c r="C23" s="41">
        <v>939200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-7070.9677419354839</v>
      </c>
      <c r="C24" s="45">
        <v>-438400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2.5125628140703518E-3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8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AB844-E8F0-4389-86D8-23EC2944024C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46</v>
      </c>
      <c r="C2" s="147"/>
      <c r="E2" s="62" t="s">
        <v>67</v>
      </c>
      <c r="F2" s="59" t="s">
        <v>23</v>
      </c>
      <c r="G2" s="46">
        <v>102</v>
      </c>
      <c r="H2" s="132">
        <f>IF(B$17=0,0,G2/B$17)</f>
        <v>0.68918918918918914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434.78260869565219</v>
      </c>
      <c r="P2" s="118">
        <v>46</v>
      </c>
      <c r="Q2" s="102">
        <v>20000</v>
      </c>
    </row>
    <row r="3" spans="1:17" x14ac:dyDescent="0.4">
      <c r="A3" s="55" t="s">
        <v>8</v>
      </c>
      <c r="B3" s="148">
        <v>403</v>
      </c>
      <c r="C3" s="149"/>
      <c r="E3" s="63" t="s">
        <v>73</v>
      </c>
      <c r="F3" s="60" t="s">
        <v>28</v>
      </c>
      <c r="G3" s="47">
        <v>85</v>
      </c>
      <c r="H3" s="133">
        <f>IF(B$17=0,0,G3/B$17)</f>
        <v>0.57432432432432434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217.39130434782609</v>
      </c>
      <c r="P3" s="119">
        <v>46</v>
      </c>
      <c r="Q3" s="103">
        <v>10000</v>
      </c>
    </row>
    <row r="4" spans="1:17" x14ac:dyDescent="0.4">
      <c r="A4" s="55" t="s">
        <v>6</v>
      </c>
      <c r="B4" s="150">
        <v>12.900000000000009</v>
      </c>
      <c r="C4" s="151"/>
      <c r="E4" s="63" t="s">
        <v>181</v>
      </c>
      <c r="F4" s="60" t="s">
        <v>182</v>
      </c>
      <c r="G4" s="47">
        <v>57</v>
      </c>
      <c r="H4" s="133">
        <f>IF(B$17=0,0,G4/B$17)</f>
        <v>0.38513513513513514</v>
      </c>
      <c r="I4" s="94">
        <v>7</v>
      </c>
      <c r="K4" s="38">
        <v>2</v>
      </c>
      <c r="L4" s="99">
        <v>-7.7000000000000011</v>
      </c>
      <c r="N4" s="115" t="s">
        <v>134</v>
      </c>
      <c r="O4" s="122">
        <f t="shared" si="0"/>
        <v>-163.41463414634146</v>
      </c>
      <c r="P4" s="119">
        <v>41</v>
      </c>
      <c r="Q4" s="103">
        <v>-6700</v>
      </c>
    </row>
    <row r="5" spans="1:17" x14ac:dyDescent="0.4">
      <c r="A5" s="55" t="s">
        <v>7</v>
      </c>
      <c r="B5" s="152">
        <f>IF(B$2=0,0,B$4/B$2)</f>
        <v>0.28043478260869587</v>
      </c>
      <c r="C5" s="153"/>
      <c r="E5" s="63" t="s">
        <v>65</v>
      </c>
      <c r="F5" s="60" t="s">
        <v>21</v>
      </c>
      <c r="G5" s="47">
        <v>55</v>
      </c>
      <c r="H5" s="133">
        <f>IF(B$17=0,0,G5/B$17)</f>
        <v>0.3716216216216216</v>
      </c>
      <c r="I5" s="94">
        <v>11</v>
      </c>
      <c r="K5" s="38">
        <v>3</v>
      </c>
      <c r="L5" s="99">
        <v>1.7999999999999989</v>
      </c>
      <c r="N5" s="115" t="s">
        <v>135</v>
      </c>
      <c r="O5" s="122">
        <f t="shared" si="0"/>
        <v>778.9473684210526</v>
      </c>
      <c r="P5" s="119">
        <v>38</v>
      </c>
      <c r="Q5" s="103">
        <v>29600</v>
      </c>
    </row>
    <row r="6" spans="1:17" x14ac:dyDescent="0.4">
      <c r="A6" s="55" t="s">
        <v>1</v>
      </c>
      <c r="B6" s="142">
        <f>IF(B$2=0,0,(B$7*1+B$8*2+B$9*3)/B$2)</f>
        <v>2.0652173913043477</v>
      </c>
      <c r="C6" s="143"/>
      <c r="E6" s="63" t="s">
        <v>69</v>
      </c>
      <c r="F6" s="60" t="s">
        <v>12</v>
      </c>
      <c r="G6" s="47">
        <v>40</v>
      </c>
      <c r="H6" s="133">
        <f>IF(B$17=0,0,G6/B$17)</f>
        <v>0.27027027027027029</v>
      </c>
      <c r="I6" s="94">
        <v>7</v>
      </c>
      <c r="K6" s="38">
        <v>4</v>
      </c>
      <c r="L6" s="99">
        <v>34.9</v>
      </c>
      <c r="N6" s="115" t="s">
        <v>136</v>
      </c>
      <c r="O6" s="122">
        <f t="shared" si="0"/>
        <v>-67.567567567567565</v>
      </c>
      <c r="P6" s="119">
        <v>37</v>
      </c>
      <c r="Q6" s="103">
        <v>-2500</v>
      </c>
    </row>
    <row r="7" spans="1:17" x14ac:dyDescent="0.4">
      <c r="A7" s="55" t="s">
        <v>2</v>
      </c>
      <c r="B7" s="47">
        <v>13</v>
      </c>
      <c r="C7" s="39">
        <f>IF(B$2=0,0,B7/B$2)</f>
        <v>0.28260869565217389</v>
      </c>
      <c r="E7" s="63" t="s">
        <v>68</v>
      </c>
      <c r="F7" s="60" t="s">
        <v>24</v>
      </c>
      <c r="G7" s="47">
        <v>28</v>
      </c>
      <c r="H7" s="133">
        <f>IF(B$17=0,0,G7/B$17)</f>
        <v>0.1891891891891892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-957.57575757575762</v>
      </c>
      <c r="P7" s="120">
        <v>33</v>
      </c>
      <c r="Q7" s="104">
        <v>-31600</v>
      </c>
    </row>
    <row r="8" spans="1:17" x14ac:dyDescent="0.4">
      <c r="A8" s="55" t="s">
        <v>3</v>
      </c>
      <c r="B8" s="47">
        <v>17</v>
      </c>
      <c r="C8" s="39">
        <f>IF(B$2=0,0,B8/B$2)</f>
        <v>0.36956521739130432</v>
      </c>
      <c r="E8" s="63" t="s">
        <v>70</v>
      </c>
      <c r="F8" s="60" t="s">
        <v>25</v>
      </c>
      <c r="G8" s="47">
        <v>21</v>
      </c>
      <c r="H8" s="133">
        <f>IF(B$17=0,0,G8/B$17)</f>
        <v>0.14189189189189189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0.34782608695652173</v>
      </c>
      <c r="E9" s="63" t="s">
        <v>66</v>
      </c>
      <c r="F9" s="60" t="s">
        <v>22</v>
      </c>
      <c r="G9" s="47">
        <v>16</v>
      </c>
      <c r="H9" s="133">
        <f>IF(B$17=0,0,G9/B$17)</f>
        <v>0.10810810810810811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6.5217391304347824E-2</v>
      </c>
      <c r="E10" s="63" t="s">
        <v>90</v>
      </c>
      <c r="F10" s="60" t="s">
        <v>45</v>
      </c>
      <c r="G10" s="47">
        <v>10</v>
      </c>
      <c r="H10" s="133">
        <f>IF(B$17=0,0,G10/B$17)</f>
        <v>6.7567567567567571E-2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-10.842857142857145</v>
      </c>
      <c r="P10" s="118">
        <v>14</v>
      </c>
      <c r="Q10" s="106">
        <v>-151.80000000000004</v>
      </c>
    </row>
    <row r="11" spans="1:17" x14ac:dyDescent="0.4">
      <c r="A11" s="56" t="s">
        <v>140</v>
      </c>
      <c r="B11" s="48">
        <v>5</v>
      </c>
      <c r="C11" s="40">
        <f>IF(B$2=0,0,B11/B$2)</f>
        <v>0.10869565217391304</v>
      </c>
      <c r="E11" s="63" t="s">
        <v>71</v>
      </c>
      <c r="F11" s="60" t="s">
        <v>26</v>
      </c>
      <c r="G11" s="47">
        <v>9</v>
      </c>
      <c r="H11" s="133">
        <f>IF(B$17=0,0,G11/B$17)</f>
        <v>6.0810810810810814E-2</v>
      </c>
      <c r="I11" s="94">
        <v>8</v>
      </c>
      <c r="K11" s="38">
        <v>9</v>
      </c>
      <c r="L11" s="99">
        <v>-56.5</v>
      </c>
      <c r="N11" s="115" t="s">
        <v>165</v>
      </c>
      <c r="O11" s="125">
        <f>IF(P11=0,0,Q11/P11)</f>
        <v>4.7266666666666657</v>
      </c>
      <c r="P11" s="119">
        <v>15</v>
      </c>
      <c r="Q11" s="107">
        <v>70.899999999999991</v>
      </c>
    </row>
    <row r="12" spans="1:17" x14ac:dyDescent="0.4">
      <c r="A12" s="57" t="s">
        <v>160</v>
      </c>
      <c r="B12" s="49">
        <v>2</v>
      </c>
      <c r="C12" s="42">
        <f>IF(B$2=0,0,B12/B$2)</f>
        <v>4.3478260869565216E-2</v>
      </c>
      <c r="E12" s="63" t="s">
        <v>72</v>
      </c>
      <c r="F12" s="60" t="s">
        <v>27</v>
      </c>
      <c r="G12" s="47">
        <v>8</v>
      </c>
      <c r="H12" s="133">
        <f>IF(B$17=0,0,G12/B$17)</f>
        <v>5.4054054054054057E-2</v>
      </c>
      <c r="I12" s="94">
        <v>7</v>
      </c>
      <c r="K12" s="38">
        <v>10</v>
      </c>
      <c r="L12" s="99">
        <v>24.200000000000003</v>
      </c>
      <c r="N12" s="116" t="s">
        <v>166</v>
      </c>
      <c r="O12" s="126">
        <f>IF(P12=0,0,Q12/P12)</f>
        <v>5.5176470588235302</v>
      </c>
      <c r="P12" s="120">
        <v>17</v>
      </c>
      <c r="Q12" s="108">
        <v>93.800000000000011</v>
      </c>
    </row>
    <row r="13" spans="1:17" x14ac:dyDescent="0.4">
      <c r="A13" s="58" t="s">
        <v>122</v>
      </c>
      <c r="B13" s="50">
        <v>91</v>
      </c>
      <c r="C13" s="44">
        <f>IF(B$3=0,0,B13/B$3)</f>
        <v>0.22580645161290322</v>
      </c>
      <c r="E13" s="63" t="s">
        <v>84</v>
      </c>
      <c r="F13" s="60" t="s">
        <v>39</v>
      </c>
      <c r="G13" s="47">
        <v>8</v>
      </c>
      <c r="H13" s="133">
        <f>IF(B$17=0,0,G13/B$17)</f>
        <v>5.4054054054054057E-2</v>
      </c>
      <c r="I13" s="94">
        <v>5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120</v>
      </c>
      <c r="C14" s="39">
        <f>IF(B$3=0,0,B14/B$3)</f>
        <v>0.29776674937965258</v>
      </c>
      <c r="E14" s="63" t="s">
        <v>87</v>
      </c>
      <c r="F14" s="60" t="s">
        <v>42</v>
      </c>
      <c r="G14" s="47">
        <v>8</v>
      </c>
      <c r="H14" s="133">
        <f>IF(B$17=0,0,G14/B$17)</f>
        <v>5.4054054054054057E-2</v>
      </c>
      <c r="I14" s="94">
        <v>6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55</v>
      </c>
      <c r="C15" s="37">
        <f>IF(B$13=0,0,B15/B$13)</f>
        <v>0.60439560439560436</v>
      </c>
      <c r="E15" s="63" t="s">
        <v>82</v>
      </c>
      <c r="F15" s="60" t="s">
        <v>37</v>
      </c>
      <c r="G15" s="47">
        <v>5</v>
      </c>
      <c r="H15" s="133">
        <f>IF(B$17=0,0,G15/B$17)</f>
        <v>3.3783783783783786E-2</v>
      </c>
      <c r="I15" s="94">
        <v>6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51</v>
      </c>
      <c r="C16" s="37">
        <f>IF(B$14=0,0,B16/B$14)</f>
        <v>0.42499999999999999</v>
      </c>
      <c r="E16" s="63" t="s">
        <v>79</v>
      </c>
      <c r="F16" s="60" t="s">
        <v>34</v>
      </c>
      <c r="G16" s="47">
        <v>2</v>
      </c>
      <c r="H16" s="133">
        <f>IF(B$17=0,0,G16/B$17)</f>
        <v>1.3513513513513514E-2</v>
      </c>
      <c r="I16" s="94">
        <v>8</v>
      </c>
      <c r="K16" s="38">
        <v>14</v>
      </c>
      <c r="L16" s="99">
        <v>-12.3</v>
      </c>
      <c r="N16" s="115" t="s">
        <v>186</v>
      </c>
      <c r="O16" s="125">
        <f>IF(P16=0,0,Q16/P16)</f>
        <v>17.349999999999998</v>
      </c>
      <c r="P16" s="119">
        <v>2</v>
      </c>
      <c r="Q16" s="107">
        <v>34.699999999999996</v>
      </c>
    </row>
    <row r="17" spans="1:17" x14ac:dyDescent="0.4">
      <c r="A17" s="54" t="s">
        <v>10</v>
      </c>
      <c r="B17" s="46">
        <f>B19+B18</f>
        <v>148</v>
      </c>
      <c r="C17" s="37">
        <f>IF(B$3=0,0,B17/B$3)</f>
        <v>0.36724565756823824</v>
      </c>
      <c r="E17" s="63" t="s">
        <v>80</v>
      </c>
      <c r="F17" s="60" t="s">
        <v>35</v>
      </c>
      <c r="G17" s="47">
        <v>2</v>
      </c>
      <c r="H17" s="133">
        <f>IF(B$17=0,0,G17/B$17)</f>
        <v>1.3513513513513514E-2</v>
      </c>
      <c r="I17" s="94">
        <v>7</v>
      </c>
      <c r="K17" s="38">
        <v>15</v>
      </c>
      <c r="L17" s="99">
        <v>-80.3</v>
      </c>
      <c r="N17" s="115" t="s">
        <v>202</v>
      </c>
      <c r="O17" s="125">
        <f>IF(P17=0,0,Q17/P17)</f>
        <v>16.449999999999996</v>
      </c>
      <c r="P17" s="119">
        <v>4</v>
      </c>
      <c r="Q17" s="107">
        <v>65.799999999999983</v>
      </c>
    </row>
    <row r="18" spans="1:17" x14ac:dyDescent="0.4">
      <c r="A18" s="55" t="s">
        <v>12</v>
      </c>
      <c r="B18" s="47">
        <v>64</v>
      </c>
      <c r="C18" s="39">
        <f>IF(B$17=0,0,B18/B$17)</f>
        <v>0.43243243243243246</v>
      </c>
      <c r="E18" s="63" t="s">
        <v>92</v>
      </c>
      <c r="F18" s="60" t="s">
        <v>47</v>
      </c>
      <c r="G18" s="47">
        <v>2</v>
      </c>
      <c r="H18" s="133">
        <f>IF(B$17=0,0,G18/B$17)</f>
        <v>1.3513513513513514E-2</v>
      </c>
      <c r="I18" s="94">
        <v>6</v>
      </c>
      <c r="K18" s="38">
        <v>16</v>
      </c>
      <c r="L18" s="99">
        <v>-87.6</v>
      </c>
      <c r="N18" s="115" t="s">
        <v>173</v>
      </c>
      <c r="O18" s="125">
        <f>IF(P18=0,0,Q18/P18)</f>
        <v>13.91111111111111</v>
      </c>
      <c r="P18" s="119">
        <v>9</v>
      </c>
      <c r="Q18" s="107">
        <v>125.19999999999999</v>
      </c>
    </row>
    <row r="19" spans="1:17" x14ac:dyDescent="0.4">
      <c r="A19" s="55" t="s">
        <v>11</v>
      </c>
      <c r="B19" s="47">
        <v>84</v>
      </c>
      <c r="C19" s="39">
        <f>IF(B$17=0,0,B19/B$17)</f>
        <v>0.56756756756756754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171</v>
      </c>
      <c r="O19" s="125">
        <f>IF(P19=0,0,Q19/P19)</f>
        <v>1.0923076923076911</v>
      </c>
      <c r="P19" s="119">
        <v>13</v>
      </c>
      <c r="Q19" s="107">
        <v>14.199999999999983</v>
      </c>
    </row>
    <row r="20" spans="1:17" x14ac:dyDescent="0.4">
      <c r="A20" s="55" t="s">
        <v>13</v>
      </c>
      <c r="B20" s="47">
        <v>54</v>
      </c>
      <c r="C20" s="39">
        <f>IF(B$3=0,0,B20/B$3)</f>
        <v>0.13399503722084366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-28.199999999999996</v>
      </c>
      <c r="N20" s="115" t="s">
        <v>128</v>
      </c>
      <c r="O20" s="125">
        <f>IF(P20=0,0,Q20/P20)</f>
        <v>-2.6714285714285717</v>
      </c>
      <c r="P20" s="119">
        <v>28</v>
      </c>
      <c r="Q20" s="107">
        <v>-74.800000000000011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177</v>
      </c>
      <c r="O21" s="125">
        <f>IF(P21=0,0,Q21/P21)</f>
        <v>-11.875</v>
      </c>
      <c r="P21" s="119">
        <v>4</v>
      </c>
      <c r="Q21" s="107">
        <v>-47.5</v>
      </c>
    </row>
    <row r="22" spans="1:17" x14ac:dyDescent="0.4">
      <c r="A22" s="55" t="s">
        <v>194</v>
      </c>
      <c r="B22" s="47">
        <v>23</v>
      </c>
      <c r="C22" s="135">
        <v>10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  <c r="N22" s="115" t="s">
        <v>127</v>
      </c>
      <c r="O22" s="125">
        <f>IF(P22=0,0,Q22/P22)</f>
        <v>-25.608000000000001</v>
      </c>
      <c r="P22" s="119">
        <v>25</v>
      </c>
      <c r="Q22" s="107">
        <v>-640.20000000000005</v>
      </c>
    </row>
    <row r="23" spans="1:17" x14ac:dyDescent="0.4">
      <c r="A23" s="55" t="s">
        <v>5</v>
      </c>
      <c r="B23" s="51">
        <f>IF(B$17=0,0,C23/B$17)</f>
        <v>6645.27027027027</v>
      </c>
      <c r="C23" s="41">
        <v>983500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-9546.2962962962956</v>
      </c>
      <c r="C24" s="45">
        <v>-515500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2.4813895781637717E-3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28B0D-0E97-462E-A859-BDFB9C712342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35</v>
      </c>
      <c r="C2" s="147"/>
      <c r="E2" s="62" t="s">
        <v>67</v>
      </c>
      <c r="F2" s="59" t="s">
        <v>23</v>
      </c>
      <c r="G2" s="46">
        <v>72</v>
      </c>
      <c r="H2" s="132">
        <f>IF(B$17=0,0,G2/B$17)</f>
        <v>0.75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-3080</v>
      </c>
      <c r="P2" s="118">
        <v>35</v>
      </c>
      <c r="Q2" s="102">
        <v>-107800</v>
      </c>
    </row>
    <row r="3" spans="1:17" x14ac:dyDescent="0.4">
      <c r="A3" s="55" t="s">
        <v>8</v>
      </c>
      <c r="B3" s="148">
        <v>312</v>
      </c>
      <c r="C3" s="149"/>
      <c r="E3" s="63" t="s">
        <v>73</v>
      </c>
      <c r="F3" s="60" t="s">
        <v>28</v>
      </c>
      <c r="G3" s="47">
        <v>51</v>
      </c>
      <c r="H3" s="133">
        <f>IF(B$17=0,0,G3/B$17)</f>
        <v>0.53125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1965.7142857142858</v>
      </c>
      <c r="P3" s="119">
        <v>35</v>
      </c>
      <c r="Q3" s="103">
        <v>68800</v>
      </c>
    </row>
    <row r="4" spans="1:17" x14ac:dyDescent="0.4">
      <c r="A4" s="55" t="s">
        <v>6</v>
      </c>
      <c r="B4" s="150">
        <v>-224.9</v>
      </c>
      <c r="C4" s="151"/>
      <c r="E4" s="63" t="s">
        <v>65</v>
      </c>
      <c r="F4" s="60" t="s">
        <v>21</v>
      </c>
      <c r="G4" s="47">
        <v>42</v>
      </c>
      <c r="H4" s="133">
        <f>IF(B$17=0,0,G4/B$17)</f>
        <v>0.4375</v>
      </c>
      <c r="I4" s="94">
        <v>10</v>
      </c>
      <c r="K4" s="38">
        <v>2</v>
      </c>
      <c r="L4" s="99">
        <v>-122.3</v>
      </c>
      <c r="N4" s="115" t="s">
        <v>134</v>
      </c>
      <c r="O4" s="122">
        <f t="shared" si="0"/>
        <v>-884.84848484848487</v>
      </c>
      <c r="P4" s="119">
        <v>33</v>
      </c>
      <c r="Q4" s="103">
        <v>-29200</v>
      </c>
    </row>
    <row r="5" spans="1:17" x14ac:dyDescent="0.4">
      <c r="A5" s="55" t="s">
        <v>7</v>
      </c>
      <c r="B5" s="152">
        <f>IF(B$2=0,0,B$4/B$2)</f>
        <v>-6.4257142857142862</v>
      </c>
      <c r="C5" s="153"/>
      <c r="E5" s="63" t="s">
        <v>69</v>
      </c>
      <c r="F5" s="60" t="s">
        <v>12</v>
      </c>
      <c r="G5" s="47">
        <v>37</v>
      </c>
      <c r="H5" s="133">
        <f>IF(B$17=0,0,G5/B$17)</f>
        <v>0.38541666666666669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-4461.2903225806449</v>
      </c>
      <c r="P5" s="119">
        <v>31</v>
      </c>
      <c r="Q5" s="103">
        <v>-138300</v>
      </c>
    </row>
    <row r="6" spans="1:17" x14ac:dyDescent="0.4">
      <c r="A6" s="55" t="s">
        <v>1</v>
      </c>
      <c r="B6" s="142">
        <f>IF(B$2=0,0,(B$7*1+B$8*2+B$9*3)/B$2)</f>
        <v>2.0857142857142859</v>
      </c>
      <c r="C6" s="143"/>
      <c r="E6" s="63" t="s">
        <v>181</v>
      </c>
      <c r="F6" s="60" t="s">
        <v>182</v>
      </c>
      <c r="G6" s="47">
        <v>33</v>
      </c>
      <c r="H6" s="133">
        <f>IF(B$17=0,0,G6/B$17)</f>
        <v>0.34375</v>
      </c>
      <c r="I6" s="94">
        <v>9</v>
      </c>
      <c r="K6" s="38">
        <v>4</v>
      </c>
      <c r="L6" s="99">
        <v>-150.6</v>
      </c>
      <c r="N6" s="115" t="s">
        <v>136</v>
      </c>
      <c r="O6" s="122">
        <f t="shared" si="0"/>
        <v>828.57142857142856</v>
      </c>
      <c r="P6" s="119">
        <v>28</v>
      </c>
      <c r="Q6" s="103">
        <v>23200</v>
      </c>
    </row>
    <row r="7" spans="1:17" x14ac:dyDescent="0.4">
      <c r="A7" s="55" t="s">
        <v>2</v>
      </c>
      <c r="B7" s="47">
        <v>9</v>
      </c>
      <c r="C7" s="39">
        <f>IF(B$2=0,0,B7/B$2)</f>
        <v>0.25714285714285712</v>
      </c>
      <c r="E7" s="63" t="s">
        <v>68</v>
      </c>
      <c r="F7" s="60" t="s">
        <v>24</v>
      </c>
      <c r="G7" s="47">
        <v>23</v>
      </c>
      <c r="H7" s="133">
        <f>IF(B$17=0,0,G7/B$17)</f>
        <v>0.23958333333333334</v>
      </c>
      <c r="I7" s="94">
        <v>8</v>
      </c>
      <c r="K7" s="38">
        <v>5</v>
      </c>
      <c r="L7" s="99">
        <v>-184.89999999999998</v>
      </c>
      <c r="N7" s="116" t="s">
        <v>137</v>
      </c>
      <c r="O7" s="123">
        <f t="shared" si="0"/>
        <v>681.48148148148152</v>
      </c>
      <c r="P7" s="120">
        <v>27</v>
      </c>
      <c r="Q7" s="104">
        <v>18400</v>
      </c>
    </row>
    <row r="8" spans="1:17" x14ac:dyDescent="0.4">
      <c r="A8" s="55" t="s">
        <v>3</v>
      </c>
      <c r="B8" s="47">
        <v>14</v>
      </c>
      <c r="C8" s="39">
        <f>IF(B$2=0,0,B8/B$2)</f>
        <v>0.4</v>
      </c>
      <c r="E8" s="63" t="s">
        <v>90</v>
      </c>
      <c r="F8" s="60" t="s">
        <v>45</v>
      </c>
      <c r="G8" s="47">
        <v>12</v>
      </c>
      <c r="H8" s="133">
        <f>IF(B$17=0,0,G8/B$17)</f>
        <v>0.125</v>
      </c>
      <c r="I8" s="94">
        <v>6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0.34285714285714286</v>
      </c>
      <c r="E9" s="63" t="s">
        <v>71</v>
      </c>
      <c r="F9" s="60" t="s">
        <v>26</v>
      </c>
      <c r="G9" s="47">
        <v>11</v>
      </c>
      <c r="H9" s="133">
        <f>IF(B$17=0,0,G9/B$17)</f>
        <v>0.11458333333333333</v>
      </c>
      <c r="I9" s="94">
        <v>4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0.11428571428571428</v>
      </c>
      <c r="E10" s="63" t="s">
        <v>70</v>
      </c>
      <c r="F10" s="60" t="s">
        <v>25</v>
      </c>
      <c r="G10" s="47">
        <v>9</v>
      </c>
      <c r="H10" s="133">
        <f>IF(B$17=0,0,G10/B$17)</f>
        <v>9.375E-2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-7.5625</v>
      </c>
      <c r="P10" s="118">
        <v>8</v>
      </c>
      <c r="Q10" s="106">
        <v>-60.5</v>
      </c>
    </row>
    <row r="11" spans="1:17" x14ac:dyDescent="0.4">
      <c r="A11" s="56" t="s">
        <v>140</v>
      </c>
      <c r="B11" s="48">
        <v>2</v>
      </c>
      <c r="C11" s="40">
        <f>IF(B$2=0,0,B11/B$2)</f>
        <v>5.7142857142857141E-2</v>
      </c>
      <c r="E11" s="63" t="s">
        <v>66</v>
      </c>
      <c r="F11" s="60" t="s">
        <v>22</v>
      </c>
      <c r="G11" s="47">
        <v>6</v>
      </c>
      <c r="H11" s="133">
        <f>IF(B$17=0,0,G11/B$17)</f>
        <v>6.25E-2</v>
      </c>
      <c r="I11" s="94">
        <v>9</v>
      </c>
      <c r="K11" s="38">
        <v>9</v>
      </c>
      <c r="L11" s="99">
        <v>-260.59999999999997</v>
      </c>
      <c r="N11" s="115" t="s">
        <v>165</v>
      </c>
      <c r="O11" s="125">
        <f>IF(P11=0,0,Q11/P11)</f>
        <v>-6.8647058823529399</v>
      </c>
      <c r="P11" s="119">
        <v>17</v>
      </c>
      <c r="Q11" s="107">
        <v>-116.69999999999997</v>
      </c>
    </row>
    <row r="12" spans="1:17" x14ac:dyDescent="0.4">
      <c r="A12" s="57" t="s">
        <v>160</v>
      </c>
      <c r="B12" s="49">
        <v>1</v>
      </c>
      <c r="C12" s="42">
        <f>IF(B$2=0,0,B12/B$2)</f>
        <v>2.8571428571428571E-2</v>
      </c>
      <c r="E12" s="63" t="s">
        <v>72</v>
      </c>
      <c r="F12" s="60" t="s">
        <v>27</v>
      </c>
      <c r="G12" s="47">
        <v>6</v>
      </c>
      <c r="H12" s="133">
        <f>IF(B$17=0,0,G12/B$17)</f>
        <v>6.25E-2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-4.7699999999999987</v>
      </c>
      <c r="P12" s="120">
        <v>10</v>
      </c>
      <c r="Q12" s="108">
        <v>-47.699999999999989</v>
      </c>
    </row>
    <row r="13" spans="1:17" x14ac:dyDescent="0.4">
      <c r="A13" s="58" t="s">
        <v>122</v>
      </c>
      <c r="B13" s="50">
        <v>71</v>
      </c>
      <c r="C13" s="44">
        <f>IF(B$3=0,0,B13/B$3)</f>
        <v>0.22756410256410256</v>
      </c>
      <c r="E13" s="63" t="s">
        <v>87</v>
      </c>
      <c r="F13" s="60" t="s">
        <v>42</v>
      </c>
      <c r="G13" s="47">
        <v>4</v>
      </c>
      <c r="H13" s="133">
        <f>IF(B$17=0,0,G13/B$17)</f>
        <v>4.1666666666666664E-2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79</v>
      </c>
      <c r="C14" s="39">
        <f>IF(B$3=0,0,B14/B$3)</f>
        <v>0.25320512820512819</v>
      </c>
      <c r="E14" s="63" t="s">
        <v>74</v>
      </c>
      <c r="F14" s="60" t="s">
        <v>29</v>
      </c>
      <c r="G14" s="47">
        <v>2</v>
      </c>
      <c r="H14" s="133">
        <f>IF(B$17=0,0,G14/B$17)</f>
        <v>2.0833333333333332E-2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43</v>
      </c>
      <c r="C15" s="37">
        <f>IF(B$13=0,0,B15/B$13)</f>
        <v>0.60563380281690138</v>
      </c>
      <c r="E15" s="63" t="s">
        <v>79</v>
      </c>
      <c r="F15" s="60" t="s">
        <v>34</v>
      </c>
      <c r="G15" s="47">
        <v>2</v>
      </c>
      <c r="H15" s="133">
        <f>IF(B$17=0,0,G15/B$17)</f>
        <v>2.0833333333333332E-2</v>
      </c>
      <c r="I15" s="94">
        <v>4</v>
      </c>
      <c r="K15" s="38">
        <v>13</v>
      </c>
      <c r="L15" s="99">
        <v>-302.59999999999997</v>
      </c>
      <c r="N15" s="114" t="s">
        <v>129</v>
      </c>
      <c r="O15" s="124">
        <f>IF(P15=0,0,Q15/P15)</f>
        <v>30.733333333333334</v>
      </c>
      <c r="P15" s="118">
        <v>6</v>
      </c>
      <c r="Q15" s="106">
        <v>184.4</v>
      </c>
    </row>
    <row r="16" spans="1:17" x14ac:dyDescent="0.4">
      <c r="A16" s="54" t="s">
        <v>125</v>
      </c>
      <c r="B16" s="46">
        <v>27</v>
      </c>
      <c r="C16" s="37">
        <f>IF(B$14=0,0,B16/B$14)</f>
        <v>0.34177215189873417</v>
      </c>
      <c r="E16" s="63" t="s">
        <v>80</v>
      </c>
      <c r="F16" s="60" t="s">
        <v>35</v>
      </c>
      <c r="G16" s="47">
        <v>2</v>
      </c>
      <c r="H16" s="133">
        <f>IF(B$17=0,0,G16/B$17)</f>
        <v>2.0833333333333332E-2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96</v>
      </c>
      <c r="C17" s="37">
        <f>IF(B$3=0,0,B17/B$3)</f>
        <v>0.30769230769230771</v>
      </c>
      <c r="E17" s="63" t="s">
        <v>84</v>
      </c>
      <c r="F17" s="60" t="s">
        <v>39</v>
      </c>
      <c r="G17" s="47">
        <v>2</v>
      </c>
      <c r="H17" s="133">
        <f>IF(B$17=0,0,G17/B$17)</f>
        <v>2.0833333333333332E-2</v>
      </c>
      <c r="I17" s="94">
        <v>8</v>
      </c>
      <c r="K17" s="38">
        <v>15</v>
      </c>
      <c r="L17" s="99">
        <v>-264.59999999999997</v>
      </c>
      <c r="N17" s="115" t="s">
        <v>171</v>
      </c>
      <c r="O17" s="125">
        <f>IF(P17=0,0,Q17/P17)</f>
        <v>-13.349999999999998</v>
      </c>
      <c r="P17" s="119">
        <v>14</v>
      </c>
      <c r="Q17" s="107">
        <v>-186.89999999999998</v>
      </c>
    </row>
    <row r="18" spans="1:17" x14ac:dyDescent="0.4">
      <c r="A18" s="55" t="s">
        <v>12</v>
      </c>
      <c r="B18" s="47">
        <v>50</v>
      </c>
      <c r="C18" s="39">
        <f>IF(B$17=0,0,B18/B$17)</f>
        <v>0.52083333333333337</v>
      </c>
      <c r="E18" s="63" t="s">
        <v>92</v>
      </c>
      <c r="F18" s="60" t="s">
        <v>47</v>
      </c>
      <c r="G18" s="47">
        <v>1</v>
      </c>
      <c r="H18" s="133">
        <f>IF(B$17=0,0,G18/B$17)</f>
        <v>1.0416666666666666E-2</v>
      </c>
      <c r="I18" s="94">
        <v>7</v>
      </c>
      <c r="K18" s="38">
        <v>16</v>
      </c>
      <c r="L18" s="99">
        <v>-292.79999999999995</v>
      </c>
      <c r="N18" s="115" t="s">
        <v>172</v>
      </c>
      <c r="O18" s="125">
        <f>IF(P18=0,0,Q18/P18)</f>
        <v>-13.91111111111111</v>
      </c>
      <c r="P18" s="119">
        <v>9</v>
      </c>
      <c r="Q18" s="107">
        <v>-125.19999999999999</v>
      </c>
    </row>
    <row r="19" spans="1:17" x14ac:dyDescent="0.4">
      <c r="A19" s="55" t="s">
        <v>11</v>
      </c>
      <c r="B19" s="47">
        <v>46</v>
      </c>
      <c r="C19" s="39">
        <f>IF(B$17=0,0,B19/B$17)</f>
        <v>0.47916666666666669</v>
      </c>
      <c r="E19" s="63" t="s">
        <v>180</v>
      </c>
      <c r="F19" s="60" t="s">
        <v>183</v>
      </c>
      <c r="G19" s="47">
        <v>1</v>
      </c>
      <c r="H19" s="133">
        <f>IF(B$17=0,0,G19/B$17)</f>
        <v>1.0416666666666666E-2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58</v>
      </c>
      <c r="C20" s="39">
        <f>IF(B$3=0,0,B20/B$3)</f>
        <v>0.1858974358974359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-218.99999999999994</v>
      </c>
      <c r="N20" s="115" t="s">
        <v>127</v>
      </c>
      <c r="O20" s="125">
        <f>IF(P20=0,0,Q20/P20)</f>
        <v>-29.176470588235286</v>
      </c>
      <c r="P20" s="119">
        <v>17</v>
      </c>
      <c r="Q20" s="107">
        <v>-495.99999999999989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3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6813.541666666667</v>
      </c>
      <c r="C23" s="41">
        <v>654100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-7934.4827586206893</v>
      </c>
      <c r="C24" s="45">
        <v>-460200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3.205128205128205E-3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C9F8C-BDDC-473E-BCC6-33F9979DF04D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22</v>
      </c>
      <c r="C2" s="147"/>
      <c r="E2" s="62" t="s">
        <v>73</v>
      </c>
      <c r="F2" s="59" t="s">
        <v>28</v>
      </c>
      <c r="G2" s="46">
        <v>28</v>
      </c>
      <c r="H2" s="132">
        <f>IF(B$17=0,0,G2/B$17)</f>
        <v>0.5957446808510638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-3536.3636363636365</v>
      </c>
      <c r="P2" s="118">
        <v>22</v>
      </c>
      <c r="Q2" s="102">
        <v>-77800</v>
      </c>
    </row>
    <row r="3" spans="1:17" x14ac:dyDescent="0.4">
      <c r="A3" s="55" t="s">
        <v>8</v>
      </c>
      <c r="B3" s="148">
        <v>179</v>
      </c>
      <c r="C3" s="149"/>
      <c r="E3" s="63" t="s">
        <v>67</v>
      </c>
      <c r="F3" s="60" t="s">
        <v>23</v>
      </c>
      <c r="G3" s="47">
        <v>26</v>
      </c>
      <c r="H3" s="133">
        <f>IF(B$17=0,0,G3/B$17)</f>
        <v>0.55319148936170215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-952.38095238095241</v>
      </c>
      <c r="P3" s="119">
        <v>21</v>
      </c>
      <c r="Q3" s="103">
        <v>-20000</v>
      </c>
    </row>
    <row r="4" spans="1:17" x14ac:dyDescent="0.4">
      <c r="A4" s="55" t="s">
        <v>6</v>
      </c>
      <c r="B4" s="150">
        <v>-142.60000000000002</v>
      </c>
      <c r="C4" s="151"/>
      <c r="E4" s="63" t="s">
        <v>65</v>
      </c>
      <c r="F4" s="60" t="s">
        <v>21</v>
      </c>
      <c r="G4" s="47">
        <v>22</v>
      </c>
      <c r="H4" s="133">
        <f>IF(B$17=0,0,G4/B$17)</f>
        <v>0.46808510638297873</v>
      </c>
      <c r="I4" s="94">
        <v>9</v>
      </c>
      <c r="K4" s="38">
        <v>2</v>
      </c>
      <c r="L4" s="99">
        <v>30</v>
      </c>
      <c r="N4" s="115" t="s">
        <v>134</v>
      </c>
      <c r="O4" s="122">
        <f t="shared" si="0"/>
        <v>-468.42105263157896</v>
      </c>
      <c r="P4" s="119">
        <v>19</v>
      </c>
      <c r="Q4" s="103">
        <v>-8900</v>
      </c>
    </row>
    <row r="5" spans="1:17" x14ac:dyDescent="0.4">
      <c r="A5" s="55" t="s">
        <v>7</v>
      </c>
      <c r="B5" s="152">
        <f>IF(B$2=0,0,B$4/B$2)</f>
        <v>-6.4818181818181833</v>
      </c>
      <c r="C5" s="153"/>
      <c r="E5" s="63" t="s">
        <v>181</v>
      </c>
      <c r="F5" s="60" t="s">
        <v>182</v>
      </c>
      <c r="G5" s="47">
        <v>16</v>
      </c>
      <c r="H5" s="133">
        <f>IF(B$17=0,0,G5/B$17)</f>
        <v>0.34042553191489361</v>
      </c>
      <c r="I5" s="94">
        <v>10</v>
      </c>
      <c r="K5" s="38">
        <v>3</v>
      </c>
      <c r="L5" s="99">
        <v>-10</v>
      </c>
      <c r="N5" s="115" t="s">
        <v>135</v>
      </c>
      <c r="O5" s="122">
        <f t="shared" si="0"/>
        <v>-1289.4736842105262</v>
      </c>
      <c r="P5" s="119">
        <v>19</v>
      </c>
      <c r="Q5" s="103">
        <v>-24500</v>
      </c>
    </row>
    <row r="6" spans="1:17" x14ac:dyDescent="0.4">
      <c r="A6" s="55" t="s">
        <v>1</v>
      </c>
      <c r="B6" s="142">
        <f>IF(B$2=0,0,(B$7*1+B$8*2+B$9*3)/B$2)</f>
        <v>2.0454545454545454</v>
      </c>
      <c r="C6" s="143"/>
      <c r="E6" s="63" t="s">
        <v>68</v>
      </c>
      <c r="F6" s="60" t="s">
        <v>24</v>
      </c>
      <c r="G6" s="47">
        <v>11</v>
      </c>
      <c r="H6" s="133">
        <f>IF(B$17=0,0,G6/B$17)</f>
        <v>0.23404255319148937</v>
      </c>
      <c r="I6" s="94">
        <v>9</v>
      </c>
      <c r="K6" s="38">
        <v>4</v>
      </c>
      <c r="L6" s="99">
        <v>40</v>
      </c>
      <c r="N6" s="115" t="s">
        <v>136</v>
      </c>
      <c r="O6" s="122">
        <f t="shared" si="0"/>
        <v>1177.7777777777778</v>
      </c>
      <c r="P6" s="119">
        <v>18</v>
      </c>
      <c r="Q6" s="103">
        <v>21200</v>
      </c>
    </row>
    <row r="7" spans="1:17" x14ac:dyDescent="0.4">
      <c r="A7" s="55" t="s">
        <v>2</v>
      </c>
      <c r="B7" s="47">
        <v>7</v>
      </c>
      <c r="C7" s="39">
        <f>IF(B$2=0,0,B7/B$2)</f>
        <v>0.31818181818181818</v>
      </c>
      <c r="E7" s="63" t="s">
        <v>69</v>
      </c>
      <c r="F7" s="60" t="s">
        <v>12</v>
      </c>
      <c r="G7" s="47">
        <v>9</v>
      </c>
      <c r="H7" s="133">
        <f>IF(B$17=0,0,G7/B$17)</f>
        <v>0.19148936170212766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1225</v>
      </c>
      <c r="P7" s="120">
        <v>16</v>
      </c>
      <c r="Q7" s="104">
        <v>19600</v>
      </c>
    </row>
    <row r="8" spans="1:17" x14ac:dyDescent="0.4">
      <c r="A8" s="55" t="s">
        <v>3</v>
      </c>
      <c r="B8" s="47">
        <v>7</v>
      </c>
      <c r="C8" s="39">
        <f>IF(B$2=0,0,B8/B$2)</f>
        <v>0.31818181818181818</v>
      </c>
      <c r="E8" s="63" t="s">
        <v>70</v>
      </c>
      <c r="F8" s="60" t="s">
        <v>25</v>
      </c>
      <c r="G8" s="47">
        <v>8</v>
      </c>
      <c r="H8" s="133">
        <f>IF(B$17=0,0,G8/B$17)</f>
        <v>0.1702127659574468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ref="C9" si="1">IF(B$2=0,0,B9/B$2)</f>
        <v>0.36363636363636365</v>
      </c>
      <c r="E9" s="63" t="s">
        <v>90</v>
      </c>
      <c r="F9" s="60" t="s">
        <v>45</v>
      </c>
      <c r="G9" s="47">
        <v>5</v>
      </c>
      <c r="H9" s="133">
        <f>IF(B$17=0,0,G9/B$17)</f>
        <v>0.10638297872340426</v>
      </c>
      <c r="I9" s="94">
        <v>8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0.18181818181818182</v>
      </c>
      <c r="E10" s="63" t="s">
        <v>66</v>
      </c>
      <c r="F10" s="60" t="s">
        <v>22</v>
      </c>
      <c r="G10" s="47">
        <v>4</v>
      </c>
      <c r="H10" s="133">
        <f>IF(B$17=0,0,G10/B$17)</f>
        <v>8.5106382978723402E-2</v>
      </c>
      <c r="I10" s="94">
        <v>6</v>
      </c>
      <c r="K10" s="38">
        <v>8</v>
      </c>
      <c r="L10" s="99">
        <v>-87.1</v>
      </c>
      <c r="N10" s="114" t="s">
        <v>164</v>
      </c>
      <c r="O10" s="124">
        <f>IF(P10=0,0,Q10/P10)</f>
        <v>-3.1500000000000012</v>
      </c>
      <c r="P10" s="118">
        <v>4</v>
      </c>
      <c r="Q10" s="106">
        <v>-12.600000000000005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6.3829787234042548E-2</v>
      </c>
      <c r="I11" s="94">
        <v>2</v>
      </c>
      <c r="K11" s="38">
        <v>9</v>
      </c>
      <c r="L11" s="99">
        <v>-128.6</v>
      </c>
      <c r="N11" s="115" t="s">
        <v>165</v>
      </c>
      <c r="O11" s="125">
        <f>IF(P11=0,0,Q11/P11)</f>
        <v>-12.25</v>
      </c>
      <c r="P11" s="119">
        <v>8</v>
      </c>
      <c r="Q11" s="107">
        <v>-98</v>
      </c>
    </row>
    <row r="12" spans="1:17" x14ac:dyDescent="0.4">
      <c r="A12" s="57" t="s">
        <v>160</v>
      </c>
      <c r="B12" s="49">
        <v>2</v>
      </c>
      <c r="C12" s="42">
        <f>IF(B$2=0,0,B12/B$2)</f>
        <v>9.0909090909090912E-2</v>
      </c>
      <c r="E12" s="63" t="s">
        <v>92</v>
      </c>
      <c r="F12" s="60" t="s">
        <v>47</v>
      </c>
      <c r="G12" s="47">
        <v>3</v>
      </c>
      <c r="H12" s="133">
        <f>IF(B$17=0,0,G12/B$17)</f>
        <v>6.3829787234042548E-2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-3.1999999999999984</v>
      </c>
      <c r="P12" s="120">
        <v>10</v>
      </c>
      <c r="Q12" s="108">
        <v>-31.999999999999986</v>
      </c>
    </row>
    <row r="13" spans="1:17" x14ac:dyDescent="0.4">
      <c r="A13" s="58" t="s">
        <v>122</v>
      </c>
      <c r="B13" s="50">
        <v>34</v>
      </c>
      <c r="C13" s="44">
        <f>IF(B$3=0,0,B13/B$3)</f>
        <v>0.18994413407821228</v>
      </c>
      <c r="E13" s="63" t="s">
        <v>82</v>
      </c>
      <c r="F13" s="60" t="s">
        <v>37</v>
      </c>
      <c r="G13" s="47">
        <v>2</v>
      </c>
      <c r="H13" s="133">
        <f>IF(B$17=0,0,G13/B$17)</f>
        <v>4.2553191489361701E-2</v>
      </c>
      <c r="I13" s="94">
        <v>2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42</v>
      </c>
      <c r="C14" s="39">
        <f>IF(B$3=0,0,B14/B$3)</f>
        <v>0.23463687150837989</v>
      </c>
      <c r="E14" s="63" t="s">
        <v>71</v>
      </c>
      <c r="F14" s="60" t="s">
        <v>26</v>
      </c>
      <c r="G14" s="47">
        <v>1</v>
      </c>
      <c r="H14" s="133">
        <f>IF(B$17=0,0,G14/B$17)</f>
        <v>2.1276595744680851E-2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</v>
      </c>
      <c r="C15" s="37">
        <f>IF(B$13=0,0,B15/B$13)</f>
        <v>0.61764705882352944</v>
      </c>
      <c r="E15" s="63" t="s">
        <v>72</v>
      </c>
      <c r="F15" s="60" t="s">
        <v>27</v>
      </c>
      <c r="G15" s="47">
        <v>1</v>
      </c>
      <c r="H15" s="133">
        <f>IF(B$17=0,0,G15/B$17)</f>
        <v>2.1276595744680851E-2</v>
      </c>
      <c r="I15" s="94">
        <v>9</v>
      </c>
      <c r="K15" s="38">
        <v>13</v>
      </c>
      <c r="L15" s="99">
        <v>-209.59999999999997</v>
      </c>
      <c r="N15" s="114" t="s">
        <v>202</v>
      </c>
      <c r="O15" s="124">
        <f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17</v>
      </c>
      <c r="C16" s="37">
        <f>IF(B$14=0,0,B16/B$14)</f>
        <v>0.40476190476190477</v>
      </c>
      <c r="E16" s="63" t="s">
        <v>75</v>
      </c>
      <c r="F16" s="60" t="s">
        <v>30</v>
      </c>
      <c r="G16" s="47">
        <v>1</v>
      </c>
      <c r="H16" s="133">
        <f>IF(B$17=0,0,G16/B$17)</f>
        <v>2.1276595744680851E-2</v>
      </c>
      <c r="I16" s="94">
        <v>1</v>
      </c>
      <c r="K16" s="38">
        <v>14</v>
      </c>
      <c r="L16" s="99">
        <v>-178.49999999999997</v>
      </c>
      <c r="N16" s="115" t="s">
        <v>186</v>
      </c>
      <c r="O16" s="125">
        <f>IF(P16=0,0,Q16/P16)</f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47</v>
      </c>
      <c r="C17" s="37">
        <f>IF(B$3=0,0,B17/B$3)</f>
        <v>0.26256983240223464</v>
      </c>
      <c r="E17" s="63" t="s">
        <v>76</v>
      </c>
      <c r="F17" s="60" t="s">
        <v>31</v>
      </c>
      <c r="G17" s="47">
        <v>1</v>
      </c>
      <c r="H17" s="133">
        <f>IF(B$17=0,0,G17/B$17)</f>
        <v>2.1276595744680851E-2</v>
      </c>
      <c r="I17" s="94">
        <v>2</v>
      </c>
      <c r="K17" s="38">
        <v>15</v>
      </c>
      <c r="L17" s="99">
        <v>-146.19999999999999</v>
      </c>
      <c r="N17" s="115" t="s">
        <v>173</v>
      </c>
      <c r="O17" s="125">
        <f>IF(P17=0,0,Q17/P17)</f>
        <v>17.95</v>
      </c>
      <c r="P17" s="119">
        <v>2</v>
      </c>
      <c r="Q17" s="107">
        <v>35.9</v>
      </c>
    </row>
    <row r="18" spans="1:17" x14ac:dyDescent="0.4">
      <c r="A18" s="55" t="s">
        <v>12</v>
      </c>
      <c r="B18" s="47">
        <v>18</v>
      </c>
      <c r="C18" s="39">
        <f>IF(B$17=0,0,B18/B$17)</f>
        <v>0.38297872340425532</v>
      </c>
      <c r="E18" s="63" t="s">
        <v>79</v>
      </c>
      <c r="F18" s="60" t="s">
        <v>34</v>
      </c>
      <c r="G18" s="47">
        <v>1</v>
      </c>
      <c r="H18" s="133">
        <f>IF(B$17=0,0,G18/B$17)</f>
        <v>2.1276595744680851E-2</v>
      </c>
      <c r="I18" s="94">
        <v>3</v>
      </c>
      <c r="K18" s="38">
        <v>16</v>
      </c>
      <c r="L18" s="99">
        <v>-153.29999999999998</v>
      </c>
      <c r="N18" s="115" t="s">
        <v>171</v>
      </c>
      <c r="O18" s="125">
        <f>IF(P18=0,0,Q18/P18)</f>
        <v>12.149999999999999</v>
      </c>
      <c r="P18" s="119">
        <v>2</v>
      </c>
      <c r="Q18" s="107">
        <v>24.299999999999997</v>
      </c>
    </row>
    <row r="19" spans="1:17" x14ac:dyDescent="0.4">
      <c r="A19" s="55" t="s">
        <v>11</v>
      </c>
      <c r="B19" s="47">
        <v>29</v>
      </c>
      <c r="C19" s="39">
        <f>IF(B$17=0,0,B19/B$17)</f>
        <v>0.61702127659574468</v>
      </c>
      <c r="E19" s="63" t="s">
        <v>86</v>
      </c>
      <c r="F19" s="60" t="s">
        <v>41</v>
      </c>
      <c r="G19" s="47">
        <v>1</v>
      </c>
      <c r="H19" s="133">
        <f>IF(B$17=0,0,G19/B$17)</f>
        <v>2.1276595744680851E-2</v>
      </c>
      <c r="I19" s="94">
        <v>1</v>
      </c>
      <c r="K19" s="38">
        <v>17</v>
      </c>
      <c r="L19" s="99">
        <v>-161.19999999999999</v>
      </c>
      <c r="N19" s="115" t="s">
        <v>172</v>
      </c>
      <c r="O19" s="125">
        <f>IF(P19=0,0,Q19/P19)</f>
        <v>11.874999999999996</v>
      </c>
      <c r="P19" s="119">
        <v>4</v>
      </c>
      <c r="Q19" s="107">
        <v>47.499999999999986</v>
      </c>
    </row>
    <row r="20" spans="1:17" x14ac:dyDescent="0.4">
      <c r="A20" s="55" t="s">
        <v>13</v>
      </c>
      <c r="B20" s="47">
        <v>30</v>
      </c>
      <c r="C20" s="39">
        <f>IF(B$3=0,0,B20/B$3)</f>
        <v>0.16759776536312848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-159</v>
      </c>
      <c r="N20" s="115" t="s">
        <v>128</v>
      </c>
      <c r="O20" s="125">
        <f>IF(P20=0,0,Q20/P20)</f>
        <v>-4.1411764705882339</v>
      </c>
      <c r="P20" s="119">
        <v>17</v>
      </c>
      <c r="Q20" s="107">
        <v>-70.399999999999977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-235.6</v>
      </c>
      <c r="N21" s="115" t="s">
        <v>127</v>
      </c>
      <c r="O21" s="125">
        <f>IF(P21=0,0,Q21/P21)</f>
        <v>-40.066666666666677</v>
      </c>
      <c r="P21" s="119">
        <v>9</v>
      </c>
      <c r="Q21" s="107">
        <v>-360.60000000000008</v>
      </c>
    </row>
    <row r="22" spans="1:17" x14ac:dyDescent="0.4">
      <c r="A22" s="55" t="s">
        <v>194</v>
      </c>
      <c r="B22" s="47">
        <v>21</v>
      </c>
      <c r="C22" s="135">
        <v>9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129</v>
      </c>
      <c r="O22" s="125">
        <f>IF(P22=0,0,Q22/P22)</f>
        <v>-42.625000000000007</v>
      </c>
      <c r="P22" s="119">
        <v>4</v>
      </c>
      <c r="Q22" s="107">
        <v>-170.50000000000003</v>
      </c>
    </row>
    <row r="23" spans="1:17" x14ac:dyDescent="0.4">
      <c r="A23" s="55" t="s">
        <v>5</v>
      </c>
      <c r="B23" s="51">
        <f>IF(B$17=0,0,C23/B$17)</f>
        <v>7276.5957446808507</v>
      </c>
      <c r="C23" s="41">
        <v>342000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8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-7113.333333333333</v>
      </c>
      <c r="C24" s="45">
        <v>-213400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5.5865921787709499E-3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EEDDD-6179-49ED-B097-F23816F3F236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9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2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6869-D991-44E2-8865-641A7207D55F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</v>
      </c>
      <c r="C2" s="147"/>
      <c r="E2" s="62" t="s">
        <v>67</v>
      </c>
      <c r="F2" s="59" t="s">
        <v>23</v>
      </c>
      <c r="G2" s="46">
        <v>16</v>
      </c>
      <c r="H2" s="132">
        <f>IF(B$17=0,0,G2/B$17)</f>
        <v>0.8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48">
        <v>85</v>
      </c>
      <c r="C3" s="149"/>
      <c r="E3" s="63" t="s">
        <v>73</v>
      </c>
      <c r="F3" s="60" t="s">
        <v>28</v>
      </c>
      <c r="G3" s="47">
        <v>16</v>
      </c>
      <c r="H3" s="133">
        <f>IF(B$17=0,0,G3/B$17)</f>
        <v>0.8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0">
        <v>-197.5</v>
      </c>
      <c r="C4" s="151"/>
      <c r="E4" s="63" t="s">
        <v>65</v>
      </c>
      <c r="F4" s="60" t="s">
        <v>21</v>
      </c>
      <c r="G4" s="47">
        <v>10</v>
      </c>
      <c r="H4" s="133">
        <f>IF(B$17=0,0,G4/B$17)</f>
        <v>0.5</v>
      </c>
      <c r="I4" s="94">
        <v>6</v>
      </c>
      <c r="K4" s="38">
        <v>2</v>
      </c>
      <c r="L4" s="99">
        <v>-76.2</v>
      </c>
      <c r="N4" s="115" t="s">
        <v>134</v>
      </c>
      <c r="O4" s="122">
        <f t="shared" si="0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2">
        <f>IF(B$2=0,0,B$4/B$2)</f>
        <v>-19.75</v>
      </c>
      <c r="C5" s="153"/>
      <c r="E5" s="63" t="s">
        <v>69</v>
      </c>
      <c r="F5" s="60" t="s">
        <v>12</v>
      </c>
      <c r="G5" s="47">
        <v>6</v>
      </c>
      <c r="H5" s="133">
        <f>IF(B$17=0,0,G5/B$17)</f>
        <v>0.3</v>
      </c>
      <c r="I5" s="94">
        <v>6</v>
      </c>
      <c r="K5" s="38">
        <v>3</v>
      </c>
      <c r="L5" s="99">
        <v>-78.400000000000006</v>
      </c>
      <c r="N5" s="115" t="s">
        <v>135</v>
      </c>
      <c r="O5" s="122">
        <f t="shared" si="0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2">
        <f>IF(B$2=0,0,(B$7*1+B$8*2+B$9*3)/B$2)</f>
        <v>2.2999999999999998</v>
      </c>
      <c r="C6" s="143"/>
      <c r="E6" s="63" t="s">
        <v>181</v>
      </c>
      <c r="F6" s="60" t="s">
        <v>182</v>
      </c>
      <c r="G6" s="47">
        <v>5</v>
      </c>
      <c r="H6" s="133">
        <f>IF(B$17=0,0,G6/B$17)</f>
        <v>0.25</v>
      </c>
      <c r="I6" s="94">
        <v>11</v>
      </c>
      <c r="K6" s="38">
        <v>4</v>
      </c>
      <c r="L6" s="99">
        <v>-49.800000000000004</v>
      </c>
      <c r="N6" s="115" t="s">
        <v>136</v>
      </c>
      <c r="O6" s="122">
        <f t="shared" si="0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90</v>
      </c>
      <c r="F7" s="60" t="s">
        <v>45</v>
      </c>
      <c r="G7" s="47">
        <v>4</v>
      </c>
      <c r="H7" s="133">
        <f>IF(B$17=0,0,G7/B$17)</f>
        <v>0.2</v>
      </c>
      <c r="I7" s="94">
        <v>2</v>
      </c>
      <c r="K7" s="38">
        <v>5</v>
      </c>
      <c r="L7" s="99">
        <v>-121</v>
      </c>
      <c r="N7" s="116" t="s">
        <v>137</v>
      </c>
      <c r="O7" s="123">
        <f t="shared" si="0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84</v>
      </c>
      <c r="F8" s="60" t="s">
        <v>39</v>
      </c>
      <c r="G8" s="47">
        <v>3</v>
      </c>
      <c r="H8" s="133">
        <f>IF(B$17=0,0,G8/B$17)</f>
        <v>0.15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68</v>
      </c>
      <c r="F9" s="60" t="s">
        <v>24</v>
      </c>
      <c r="G9" s="47">
        <v>2</v>
      </c>
      <c r="H9" s="133">
        <f>IF(B$17=0,0,G9/B$17)</f>
        <v>0.1</v>
      </c>
      <c r="I9" s="94">
        <v>11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70</v>
      </c>
      <c r="F10" s="60" t="s">
        <v>25</v>
      </c>
      <c r="G10" s="47">
        <v>2</v>
      </c>
      <c r="H10" s="133">
        <f>IF(B$17=0,0,G10/B$17)</f>
        <v>0.1</v>
      </c>
      <c r="I10" s="94">
        <v>10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2</v>
      </c>
      <c r="H11" s="133">
        <f>IF(B$17=0,0,G11/B$17)</f>
        <v>0.1</v>
      </c>
      <c r="I11" s="94">
        <v>6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80</v>
      </c>
      <c r="F12" s="60" t="s">
        <v>35</v>
      </c>
      <c r="G12" s="47">
        <v>2</v>
      </c>
      <c r="H12" s="133">
        <f>IF(B$17=0,0,G12/B$17)</f>
        <v>0.1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74</v>
      </c>
      <c r="F13" s="60" t="s">
        <v>29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76</v>
      </c>
      <c r="F14" s="60" t="s">
        <v>31</v>
      </c>
      <c r="G14" s="47">
        <v>1</v>
      </c>
      <c r="H14" s="133">
        <f>IF(B$17=0,0,G14/B$17)</f>
        <v>0.05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1</v>
      </c>
      <c r="H15" s="133">
        <f>IF(B$17=0,0,G15/B$17)</f>
        <v>0.05</v>
      </c>
      <c r="I15" s="94">
        <v>1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128</v>
      </c>
      <c r="O17" s="125">
        <f>IF(P17=0,0,Q17/P17)</f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4</v>
      </c>
      <c r="N18" s="115" t="s">
        <v>171</v>
      </c>
      <c r="O18" s="125">
        <f>IF(P18=0,0,Q18/P18)</f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10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8C16B-5540-416A-BB78-F23598355DB2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67</v>
      </c>
      <c r="F3" s="60" t="s">
        <v>23</v>
      </c>
      <c r="G3" s="47">
        <v>7</v>
      </c>
      <c r="H3" s="133">
        <f>IF(B$17=0,0,G3/B$17)</f>
        <v>0.58333333333333337</v>
      </c>
      <c r="I3" s="94">
        <v>10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68</v>
      </c>
      <c r="F4" s="60" t="s">
        <v>24</v>
      </c>
      <c r="G4" s="47">
        <v>7</v>
      </c>
      <c r="H4" s="133">
        <f>IF(B$17=0,0,G4/B$17)</f>
        <v>0.58333333333333337</v>
      </c>
      <c r="I4" s="94">
        <v>1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73</v>
      </c>
      <c r="F5" s="60" t="s">
        <v>28</v>
      </c>
      <c r="G5" s="47">
        <v>7</v>
      </c>
      <c r="H5" s="133">
        <f>IF(B$17=0,0,G5/B$17)</f>
        <v>0.58333333333333337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181</v>
      </c>
      <c r="F8" s="60" t="s">
        <v>182</v>
      </c>
      <c r="G8" s="47">
        <v>5</v>
      </c>
      <c r="H8" s="133">
        <f>IF(B$17=0,0,G8/B$17)</f>
        <v>0.41666666666666669</v>
      </c>
      <c r="I8" s="94">
        <v>3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79</v>
      </c>
      <c r="F9" s="60" t="s">
        <v>34</v>
      </c>
      <c r="G9" s="47">
        <v>2</v>
      </c>
      <c r="H9" s="133">
        <f>IF(B$17=0,0,G9/B$17)</f>
        <v>0.16666666666666666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90</v>
      </c>
      <c r="F10" s="60" t="s">
        <v>45</v>
      </c>
      <c r="G10" s="47">
        <v>2</v>
      </c>
      <c r="H10" s="133">
        <f>IF(B$17=0,0,G10/B$17)</f>
        <v>0.16666666666666666</v>
      </c>
      <c r="I10" s="94">
        <v>4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>IF(B$17=0,0,G11/B$17)</f>
        <v>8.3333333333333329E-2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8.3333333333333329E-2</v>
      </c>
      <c r="I12" s="94">
        <v>2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4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  <c r="N19" s="115" t="s">
        <v>128</v>
      </c>
      <c r="O19" s="125">
        <f>IF(P19=0,0,Q19/P19)</f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  <c r="N20" s="115" t="s">
        <v>177</v>
      </c>
      <c r="O20" s="125">
        <f>IF(P20=0,0,Q20/P20)</f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8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008CC-9BF4-44DF-9998-668EB4A92D2D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D9D9A-4DDD-461B-9D7E-A4E7AE5D3820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8A671-26A3-445F-85D2-F9E986EF013D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25F3-55C7-4697-8D30-B9AE0CBEF41C}">
  <sheetPr codeName="Sheet20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60DF-6B64-41FE-96DC-D7A56B035E2C}">
  <sheetPr codeName="Sheet18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D30A-CE7D-4C49-AA0B-8011EDE4DD7A}">
  <sheetPr codeName="Sheet16"/>
  <dimension ref="A1:Q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CB531-E55E-4841-9E4E-4CD7BEA9F16F}">
  <sheetPr codeName="Sheet14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1F2A5-56C6-4153-B694-4251456C1D25}">
  <sheetPr codeName="Sheet12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55049-4FB1-4EE9-96BE-D1C72EE30713}">
  <sheetPr codeName="Sheet10"/>
  <dimension ref="A1:Q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D48F7-EB76-4947-859D-79256C438166}">
  <sheetPr codeName="Sheet8"/>
  <dimension ref="A1:Q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AFC41-FE19-448E-A8A3-22078C764B40}">
  <sheetPr codeName="Sheet6"/>
  <dimension ref="A1:Q13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2019-05-12T08:59:55Z</dcterms:modified>
</cp:coreProperties>
</file>