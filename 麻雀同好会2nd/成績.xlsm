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"/>
    </mc:Choice>
  </mc:AlternateContent>
  <xr:revisionPtr revIDLastSave="0" documentId="13_ncr:1_{ACB4416C-6E87-4A8A-904D-A0B54E52205D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187" r:id="rId6"/>
    <sheet name="だいち" sheetId="5189" r:id="rId7"/>
    <sheet name="りくと" sheetId="5191" r:id="rId8"/>
    <sheet name="ただ" sheetId="5193" r:id="rId9"/>
    <sheet name="れんたろう" sheetId="5195" r:id="rId10"/>
    <sheet name="たかの" sheetId="5197" r:id="rId11"/>
    <sheet name="ぱぱ" sheetId="5199" r:id="rId12"/>
    <sheet name="まっつん" sheetId="5201" r:id="rId13"/>
    <sheet name="あさひ" sheetId="5203" r:id="rId14"/>
    <sheet name="いっしー" sheetId="5205" r:id="rId15"/>
    <sheet name="ほたに" sheetId="5207" r:id="rId16"/>
    <sheet name="かわたつ" sheetId="5209" r:id="rId17"/>
    <sheet name="やがさき" sheetId="5211" r:id="rId18"/>
    <sheet name="やがさき2" sheetId="5212" state="hidden" r:id="rId19"/>
    <sheet name="かわたつ2" sheetId="5210" state="hidden" r:id="rId20"/>
    <sheet name="ほたに2" sheetId="5208" state="hidden" r:id="rId21"/>
    <sheet name="いっしー2" sheetId="5206" state="hidden" r:id="rId22"/>
    <sheet name="あさひ2" sheetId="5204" state="hidden" r:id="rId23"/>
    <sheet name="まっつん2" sheetId="5202" state="hidden" r:id="rId24"/>
    <sheet name="ぱぱ2" sheetId="5200" state="hidden" r:id="rId25"/>
    <sheet name="たかの2" sheetId="5198" state="hidden" r:id="rId26"/>
    <sheet name="れんたろう2" sheetId="5196" state="hidden" r:id="rId27"/>
    <sheet name="ただ2" sheetId="5194" state="hidden" r:id="rId28"/>
    <sheet name="りくと2" sheetId="5192" state="hidden" r:id="rId29"/>
    <sheet name="だいち2" sheetId="5190" state="hidden" r:id="rId30"/>
    <sheet name="全体2" sheetId="5188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ふっとばし率" sheetId="3523" state="hidden" r:id="rId42"/>
    <sheet name="リーチ率" sheetId="3524" state="hidden" r:id="rId43"/>
    <sheet name="副露率" sheetId="3525" state="hidden" r:id="rId44"/>
    <sheet name="リーチ成功率" sheetId="4841" state="hidden" r:id="rId45"/>
    <sheet name="副露成功率" sheetId="3527" state="hidden" r:id="rId46"/>
    <sheet name="ツモ率" sheetId="3528" state="hidden" r:id="rId47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15" i="5193" l="1"/>
  <c r="O16" i="5197"/>
  <c r="O15" i="5187"/>
  <c r="O16" i="5211"/>
  <c r="O15" i="5211"/>
  <c r="C27" i="5211"/>
  <c r="B24" i="5211"/>
  <c r="C20" i="5211"/>
  <c r="B17" i="5211"/>
  <c r="H46" i="5211" s="1"/>
  <c r="C16" i="5211"/>
  <c r="C15" i="5211"/>
  <c r="C14" i="5211"/>
  <c r="C13" i="5211"/>
  <c r="O12" i="5211"/>
  <c r="C12" i="5211"/>
  <c r="O11" i="5211"/>
  <c r="C11" i="5211"/>
  <c r="O10" i="5211"/>
  <c r="C10" i="5211"/>
  <c r="C9" i="5211"/>
  <c r="C8" i="5211"/>
  <c r="O7" i="5211"/>
  <c r="C7" i="5211"/>
  <c r="O6" i="5211"/>
  <c r="B6" i="5211"/>
  <c r="O5" i="5211"/>
  <c r="B5" i="5211"/>
  <c r="O4" i="5211"/>
  <c r="O3" i="5211"/>
  <c r="O2" i="5211"/>
  <c r="O15" i="5209"/>
  <c r="O16" i="5209"/>
  <c r="C27" i="5209"/>
  <c r="B24" i="5209"/>
  <c r="C20" i="5209"/>
  <c r="B17" i="5209"/>
  <c r="H46" i="5209" s="1"/>
  <c r="C16" i="5209"/>
  <c r="C15" i="5209"/>
  <c r="C14" i="5209"/>
  <c r="C13" i="5209"/>
  <c r="O12" i="5209"/>
  <c r="C12" i="5209"/>
  <c r="O11" i="5209"/>
  <c r="C11" i="5209"/>
  <c r="O10" i="5209"/>
  <c r="C10" i="5209"/>
  <c r="C9" i="5209"/>
  <c r="C8" i="5209"/>
  <c r="O7" i="5209"/>
  <c r="C7" i="5209"/>
  <c r="O6" i="5209"/>
  <c r="B6" i="5209"/>
  <c r="O5" i="5209"/>
  <c r="B5" i="5209"/>
  <c r="O4" i="5209"/>
  <c r="O3" i="5209"/>
  <c r="O2" i="5209"/>
  <c r="O23" i="5195"/>
  <c r="O18" i="5189"/>
  <c r="O24" i="5187"/>
  <c r="H25" i="5211" l="1"/>
  <c r="H16" i="5211"/>
  <c r="H12" i="5211"/>
  <c r="H4" i="5211"/>
  <c r="H32" i="5211"/>
  <c r="H31" i="5211"/>
  <c r="C17" i="5211"/>
  <c r="H9" i="5211"/>
  <c r="H19" i="5211"/>
  <c r="H39" i="5211"/>
  <c r="H40" i="5211"/>
  <c r="H6" i="5211"/>
  <c r="H10" i="5211"/>
  <c r="H47" i="5211"/>
  <c r="H3" i="5211"/>
  <c r="H24" i="5211"/>
  <c r="H48" i="5211"/>
  <c r="H20" i="5211"/>
  <c r="H33" i="5211"/>
  <c r="H49" i="5211"/>
  <c r="H13" i="5211"/>
  <c r="H21" i="5211"/>
  <c r="H34" i="5211"/>
  <c r="H42" i="5211"/>
  <c r="H50" i="5211"/>
  <c r="H17" i="5211"/>
  <c r="H22" i="5211"/>
  <c r="H27" i="5211"/>
  <c r="H35" i="5211"/>
  <c r="H43" i="5211"/>
  <c r="H51" i="5211"/>
  <c r="H5" i="5211"/>
  <c r="H11" i="5211"/>
  <c r="H14" i="5211"/>
  <c r="C18" i="5211"/>
  <c r="B23" i="5211"/>
  <c r="H28" i="5211"/>
  <c r="H36" i="5211"/>
  <c r="H44" i="5211"/>
  <c r="H26" i="5211"/>
  <c r="H41" i="5211"/>
  <c r="H7" i="5211"/>
  <c r="H2" i="5211"/>
  <c r="H8" i="5211"/>
  <c r="H18" i="5211"/>
  <c r="H23" i="5211"/>
  <c r="H29" i="5211"/>
  <c r="H37" i="5211"/>
  <c r="H45" i="5211"/>
  <c r="H15" i="5211"/>
  <c r="C19" i="5211"/>
  <c r="H30" i="5211"/>
  <c r="H38" i="5211"/>
  <c r="H16" i="5209"/>
  <c r="H4" i="5209"/>
  <c r="H25" i="5209"/>
  <c r="H31" i="5209"/>
  <c r="H12" i="5209"/>
  <c r="H32" i="5209"/>
  <c r="H39" i="5209"/>
  <c r="H47" i="5209"/>
  <c r="C17" i="5209"/>
  <c r="H9" i="5209"/>
  <c r="H19" i="5209"/>
  <c r="H40" i="5209"/>
  <c r="H6" i="5209"/>
  <c r="H10" i="5209"/>
  <c r="H3" i="5209"/>
  <c r="H24" i="5209"/>
  <c r="H48" i="5209"/>
  <c r="H26" i="5209"/>
  <c r="H41" i="5209"/>
  <c r="H13" i="5209"/>
  <c r="H21" i="5209"/>
  <c r="H34" i="5209"/>
  <c r="H42" i="5209"/>
  <c r="H50" i="5209"/>
  <c r="H17" i="5209"/>
  <c r="H22" i="5209"/>
  <c r="H27" i="5209"/>
  <c r="H35" i="5209"/>
  <c r="H43" i="5209"/>
  <c r="H51" i="5209"/>
  <c r="H5" i="5209"/>
  <c r="H11" i="5209"/>
  <c r="H14" i="5209"/>
  <c r="C18" i="5209"/>
  <c r="B23" i="5209"/>
  <c r="H28" i="5209"/>
  <c r="H36" i="5209"/>
  <c r="H44" i="5209"/>
  <c r="H20" i="5209"/>
  <c r="H33" i="5209"/>
  <c r="H49" i="5209"/>
  <c r="H7" i="5209"/>
  <c r="H2" i="5209"/>
  <c r="H8" i="5209"/>
  <c r="H18" i="5209"/>
  <c r="H23" i="5209"/>
  <c r="H29" i="5209"/>
  <c r="H37" i="5209"/>
  <c r="H45" i="5209"/>
  <c r="H15" i="5209"/>
  <c r="C19" i="5209"/>
  <c r="H30" i="5209"/>
  <c r="H38" i="5209"/>
  <c r="O18" i="5197" l="1"/>
  <c r="O16" i="5205"/>
  <c r="O20" i="5207" l="1"/>
  <c r="O19" i="5207"/>
  <c r="O15" i="5201"/>
  <c r="O15" i="5191"/>
  <c r="O20" i="5189" l="1"/>
  <c r="O18" i="5207"/>
  <c r="O21" i="5199"/>
  <c r="O16" i="5207"/>
  <c r="O15" i="5207" l="1"/>
  <c r="O17" i="5207"/>
  <c r="H28" i="5207"/>
  <c r="H27" i="5207"/>
  <c r="C27" i="5207"/>
  <c r="B24" i="5207"/>
  <c r="H22" i="5207"/>
  <c r="C20" i="5207"/>
  <c r="B17" i="5207"/>
  <c r="H50" i="5207" s="1"/>
  <c r="H16" i="5207"/>
  <c r="C16" i="5207"/>
  <c r="C15" i="5207"/>
  <c r="C14" i="5207"/>
  <c r="C13" i="5207"/>
  <c r="O12" i="5207"/>
  <c r="C12" i="5207"/>
  <c r="O11" i="5207"/>
  <c r="H11" i="5207"/>
  <c r="C11" i="5207"/>
  <c r="O10" i="5207"/>
  <c r="C10" i="5207"/>
  <c r="C9" i="5207"/>
  <c r="C8" i="5207"/>
  <c r="O7" i="5207"/>
  <c r="C7" i="5207"/>
  <c r="O6" i="5207"/>
  <c r="B6" i="5207"/>
  <c r="O5" i="5207"/>
  <c r="H5" i="5207"/>
  <c r="B5" i="5207"/>
  <c r="O4" i="5207"/>
  <c r="O3" i="5207"/>
  <c r="O2" i="5207"/>
  <c r="H2" i="5207"/>
  <c r="O22" i="5195"/>
  <c r="O19" i="5197"/>
  <c r="O20" i="5187"/>
  <c r="H39" i="5207" l="1"/>
  <c r="H37" i="5207"/>
  <c r="H19" i="5207"/>
  <c r="H8" i="5207"/>
  <c r="H40" i="5207"/>
  <c r="H29" i="5207"/>
  <c r="H12" i="5207"/>
  <c r="C17" i="5207"/>
  <c r="H45" i="5207"/>
  <c r="H9" i="5207"/>
  <c r="B23" i="5207"/>
  <c r="H6" i="5207"/>
  <c r="H47" i="5207"/>
  <c r="H43" i="5207"/>
  <c r="H3" i="5207"/>
  <c r="H23" i="5207"/>
  <c r="H31" i="5207"/>
  <c r="H10" i="5207"/>
  <c r="H17" i="5207"/>
  <c r="H32" i="5207"/>
  <c r="H4" i="5207"/>
  <c r="C18" i="5207"/>
  <c r="H24" i="5207"/>
  <c r="H35" i="5207"/>
  <c r="H48" i="5207"/>
  <c r="H14" i="5207"/>
  <c r="H18" i="5207"/>
  <c r="H25" i="5207"/>
  <c r="H36" i="5207"/>
  <c r="H51" i="5207"/>
  <c r="H44" i="5207"/>
  <c r="H15" i="5207"/>
  <c r="C19" i="5207"/>
  <c r="H30" i="5207"/>
  <c r="H38" i="5207"/>
  <c r="H46" i="5207"/>
  <c r="H20" i="5207"/>
  <c r="H26" i="5207"/>
  <c r="H33" i="5207"/>
  <c r="H41" i="5207"/>
  <c r="H49" i="5207"/>
  <c r="H7" i="5207"/>
  <c r="H13" i="5207"/>
  <c r="H21" i="5207"/>
  <c r="H34" i="5207"/>
  <c r="H42" i="5207"/>
  <c r="O17" i="5197" l="1"/>
  <c r="O16" i="5193"/>
  <c r="O19" i="5201"/>
  <c r="O21" i="5201"/>
  <c r="O16" i="5189" l="1"/>
  <c r="O19" i="5205"/>
  <c r="O18" i="5205" l="1"/>
  <c r="O15" i="5205"/>
  <c r="O15" i="5195"/>
  <c r="O22" i="5193"/>
  <c r="O17" i="5203" l="1"/>
  <c r="O22" i="5199"/>
  <c r="O15" i="5203"/>
  <c r="O21" i="5205"/>
  <c r="O16" i="5191"/>
  <c r="O16" i="5201"/>
  <c r="O16" i="5187"/>
  <c r="O17" i="5205"/>
  <c r="O20" i="5205"/>
  <c r="C27" i="5205"/>
  <c r="B24" i="5205"/>
  <c r="C20" i="5205"/>
  <c r="B17" i="5205"/>
  <c r="H45" i="5205" s="1"/>
  <c r="C16" i="5205"/>
  <c r="C15" i="5205"/>
  <c r="C14" i="5205"/>
  <c r="C13" i="5205"/>
  <c r="O12" i="5205"/>
  <c r="C12" i="5205"/>
  <c r="O11" i="5205"/>
  <c r="C11" i="5205"/>
  <c r="O10" i="5205"/>
  <c r="C10" i="5205"/>
  <c r="C9" i="5205"/>
  <c r="C8" i="5205"/>
  <c r="O7" i="5205"/>
  <c r="C7" i="5205"/>
  <c r="O6" i="5205"/>
  <c r="B6" i="5205"/>
  <c r="O5" i="5205"/>
  <c r="B5" i="5205"/>
  <c r="O4" i="5205"/>
  <c r="O3" i="5205"/>
  <c r="O2" i="5205"/>
  <c r="O16" i="5203"/>
  <c r="O18" i="5203"/>
  <c r="C27" i="5203"/>
  <c r="B24" i="5203"/>
  <c r="C20" i="5203"/>
  <c r="B17" i="5203"/>
  <c r="H51" i="5203" s="1"/>
  <c r="C16" i="5203"/>
  <c r="C15" i="5203"/>
  <c r="C14" i="5203"/>
  <c r="C13" i="5203"/>
  <c r="O12" i="5203"/>
  <c r="C12" i="5203"/>
  <c r="O11" i="5203"/>
  <c r="C11" i="5203"/>
  <c r="O10" i="5203"/>
  <c r="C10" i="5203"/>
  <c r="C9" i="5203"/>
  <c r="C8" i="5203"/>
  <c r="O7" i="5203"/>
  <c r="C7" i="5203"/>
  <c r="O6" i="5203"/>
  <c r="B6" i="5203"/>
  <c r="O5" i="5203"/>
  <c r="B5" i="5203"/>
  <c r="O4" i="5203"/>
  <c r="O3" i="5203"/>
  <c r="O2" i="5203"/>
  <c r="O22" i="5201"/>
  <c r="O23" i="5201"/>
  <c r="O15" i="5189"/>
  <c r="O19" i="5189"/>
  <c r="O26" i="5187"/>
  <c r="H3" i="5205" l="1"/>
  <c r="H15" i="5205"/>
  <c r="H12" i="5205"/>
  <c r="H24" i="5205"/>
  <c r="H25" i="5205"/>
  <c r="H16" i="5205"/>
  <c r="H8" i="5203"/>
  <c r="H5" i="5203"/>
  <c r="B23" i="5203"/>
  <c r="H28" i="5203"/>
  <c r="H12" i="5203"/>
  <c r="H9" i="5203"/>
  <c r="H2" i="5203"/>
  <c r="H15" i="5203"/>
  <c r="H46" i="5203"/>
  <c r="H16" i="5203"/>
  <c r="H18" i="5203"/>
  <c r="H6" i="5203"/>
  <c r="H29" i="5203"/>
  <c r="H3" i="5203"/>
  <c r="C19" i="5203"/>
  <c r="H30" i="5203"/>
  <c r="H14" i="5203"/>
  <c r="H19" i="5203"/>
  <c r="H36" i="5203"/>
  <c r="H11" i="5203"/>
  <c r="H37" i="5203"/>
  <c r="H44" i="5203"/>
  <c r="H23" i="5203"/>
  <c r="H38" i="5203"/>
  <c r="H4" i="5203"/>
  <c r="H10" i="5203"/>
  <c r="C17" i="5203"/>
  <c r="H7" i="5203"/>
  <c r="C18" i="5203"/>
  <c r="H45" i="5203"/>
  <c r="H4" i="5205"/>
  <c r="H31" i="5205"/>
  <c r="C19" i="5205"/>
  <c r="H32" i="5205"/>
  <c r="H19" i="5205"/>
  <c r="H38" i="5205"/>
  <c r="H10" i="5205"/>
  <c r="H39" i="5205"/>
  <c r="H6" i="5205"/>
  <c r="H40" i="5205"/>
  <c r="H46" i="5205"/>
  <c r="H47" i="5205"/>
  <c r="H9" i="5205"/>
  <c r="C17" i="5205"/>
  <c r="H30" i="5205"/>
  <c r="H48" i="5205"/>
  <c r="H20" i="5205"/>
  <c r="H33" i="5205"/>
  <c r="H49" i="5205"/>
  <c r="H7" i="5205"/>
  <c r="H50" i="5205"/>
  <c r="H22" i="5205"/>
  <c r="H27" i="5205"/>
  <c r="H43" i="5205"/>
  <c r="H51" i="5205"/>
  <c r="H5" i="5205"/>
  <c r="H11" i="5205"/>
  <c r="H14" i="5205"/>
  <c r="C18" i="5205"/>
  <c r="B23" i="5205"/>
  <c r="H28" i="5205"/>
  <c r="H36" i="5205"/>
  <c r="H44" i="5205"/>
  <c r="H26" i="5205"/>
  <c r="H41" i="5205"/>
  <c r="H13" i="5205"/>
  <c r="H21" i="5205"/>
  <c r="H34" i="5205"/>
  <c r="H42" i="5205"/>
  <c r="H17" i="5205"/>
  <c r="H35" i="5205"/>
  <c r="H2" i="5205"/>
  <c r="H8" i="5205"/>
  <c r="H18" i="5205"/>
  <c r="H23" i="5205"/>
  <c r="H29" i="5205"/>
  <c r="H37" i="5205"/>
  <c r="H24" i="5203"/>
  <c r="H31" i="5203"/>
  <c r="H39" i="5203"/>
  <c r="H47" i="5203"/>
  <c r="H25" i="5203"/>
  <c r="H32" i="5203"/>
  <c r="H40" i="5203"/>
  <c r="H48" i="5203"/>
  <c r="H20" i="5203"/>
  <c r="H26" i="5203"/>
  <c r="H33" i="5203"/>
  <c r="H41" i="5203"/>
  <c r="H49" i="5203"/>
  <c r="H13" i="5203"/>
  <c r="H21" i="5203"/>
  <c r="H34" i="5203"/>
  <c r="H42" i="5203"/>
  <c r="H50" i="5203"/>
  <c r="H17" i="5203"/>
  <c r="H22" i="5203"/>
  <c r="H27" i="5203"/>
  <c r="H35" i="5203"/>
  <c r="H43" i="5203"/>
  <c r="O17" i="5201" l="1"/>
  <c r="O20" i="5199"/>
  <c r="O16" i="5199"/>
  <c r="O21" i="5191"/>
  <c r="O20" i="5197" l="1"/>
  <c r="O18" i="5195"/>
  <c r="O17" i="5199"/>
  <c r="O18" i="5199"/>
  <c r="O15" i="5197" l="1"/>
  <c r="O17" i="5195"/>
  <c r="O21" i="5193"/>
  <c r="O18" i="5193"/>
  <c r="O20" i="5201"/>
  <c r="O18" i="5201"/>
  <c r="C27" i="5201"/>
  <c r="B24" i="5201"/>
  <c r="C20" i="5201"/>
  <c r="B17" i="5201"/>
  <c r="H46" i="5201" s="1"/>
  <c r="C16" i="5201"/>
  <c r="C15" i="5201"/>
  <c r="C14" i="5201"/>
  <c r="C13" i="5201"/>
  <c r="O12" i="5201"/>
  <c r="C12" i="5201"/>
  <c r="O11" i="5201"/>
  <c r="C11" i="5201"/>
  <c r="O10" i="5201"/>
  <c r="C10" i="5201"/>
  <c r="C9" i="5201"/>
  <c r="C8" i="5201"/>
  <c r="O7" i="5201"/>
  <c r="C7" i="5201"/>
  <c r="O6" i="5201"/>
  <c r="B6" i="5201"/>
  <c r="O5" i="5201"/>
  <c r="B5" i="5201"/>
  <c r="O4" i="5201"/>
  <c r="O3" i="5201"/>
  <c r="O2" i="5201"/>
  <c r="O16" i="5195"/>
  <c r="O19" i="5191"/>
  <c r="O18" i="5187"/>
  <c r="H16" i="5201" l="1"/>
  <c r="C17" i="5201"/>
  <c r="H3" i="5201"/>
  <c r="H25" i="5201"/>
  <c r="H4" i="5201"/>
  <c r="H19" i="5201"/>
  <c r="H39" i="5201"/>
  <c r="H40" i="5201"/>
  <c r="H12" i="5201"/>
  <c r="H47" i="5201"/>
  <c r="H31" i="5201"/>
  <c r="H32" i="5201"/>
  <c r="H9" i="5201"/>
  <c r="H6" i="5201"/>
  <c r="H24" i="5201"/>
  <c r="H48" i="5201"/>
  <c r="H10" i="5201"/>
  <c r="H20" i="5201"/>
  <c r="H33" i="5201"/>
  <c r="H49" i="5201"/>
  <c r="H13" i="5201"/>
  <c r="H21" i="5201"/>
  <c r="H34" i="5201"/>
  <c r="H42" i="5201"/>
  <c r="H50" i="5201"/>
  <c r="H17" i="5201"/>
  <c r="H22" i="5201"/>
  <c r="H27" i="5201"/>
  <c r="H35" i="5201"/>
  <c r="H43" i="5201"/>
  <c r="H51" i="5201"/>
  <c r="H5" i="5201"/>
  <c r="H11" i="5201"/>
  <c r="H14" i="5201"/>
  <c r="C18" i="5201"/>
  <c r="B23" i="5201"/>
  <c r="H28" i="5201"/>
  <c r="H36" i="5201"/>
  <c r="H44" i="5201"/>
  <c r="H26" i="5201"/>
  <c r="H41" i="5201"/>
  <c r="H7" i="5201"/>
  <c r="H2" i="5201"/>
  <c r="H8" i="5201"/>
  <c r="H18" i="5201"/>
  <c r="H23" i="5201"/>
  <c r="H29" i="5201"/>
  <c r="H37" i="5201"/>
  <c r="H45" i="5201"/>
  <c r="H15" i="5201"/>
  <c r="C19" i="5201"/>
  <c r="H30" i="5201"/>
  <c r="H38" i="5201"/>
  <c r="O19" i="5193" l="1"/>
  <c r="O19" i="5199"/>
  <c r="O15" i="5199"/>
  <c r="C27" i="5199"/>
  <c r="B24" i="5199"/>
  <c r="C20" i="5199"/>
  <c r="B17" i="5199"/>
  <c r="H49" i="5199" s="1"/>
  <c r="C16" i="5199"/>
  <c r="C15" i="5199"/>
  <c r="C14" i="5199"/>
  <c r="C13" i="5199"/>
  <c r="O12" i="5199"/>
  <c r="C12" i="5199"/>
  <c r="O11" i="5199"/>
  <c r="C11" i="5199"/>
  <c r="O10" i="5199"/>
  <c r="C10" i="5199"/>
  <c r="C9" i="5199"/>
  <c r="C8" i="5199"/>
  <c r="O7" i="5199"/>
  <c r="C7" i="5199"/>
  <c r="O6" i="5199"/>
  <c r="B6" i="5199"/>
  <c r="O5" i="5199"/>
  <c r="B5" i="5199"/>
  <c r="O4" i="5199"/>
  <c r="O3" i="5199"/>
  <c r="O2" i="5199"/>
  <c r="O21" i="5189"/>
  <c r="O19" i="5187"/>
  <c r="O22" i="5197"/>
  <c r="O20" i="5191"/>
  <c r="O18" i="5191"/>
  <c r="O19" i="5195"/>
  <c r="O21" i="5197"/>
  <c r="O23" i="5197"/>
  <c r="C27" i="5197"/>
  <c r="B24" i="5197"/>
  <c r="C20" i="5197"/>
  <c r="B17" i="5197"/>
  <c r="H49" i="5197" s="1"/>
  <c r="C16" i="5197"/>
  <c r="C15" i="5197"/>
  <c r="C14" i="5197"/>
  <c r="C13" i="5197"/>
  <c r="O12" i="5197"/>
  <c r="C12" i="5197"/>
  <c r="O11" i="5197"/>
  <c r="C11" i="5197"/>
  <c r="O10" i="5197"/>
  <c r="C10" i="5197"/>
  <c r="C9" i="5197"/>
  <c r="C8" i="5197"/>
  <c r="O7" i="5197"/>
  <c r="C7" i="5197"/>
  <c r="O6" i="5197"/>
  <c r="B6" i="5197"/>
  <c r="O5" i="5197"/>
  <c r="B5" i="5197"/>
  <c r="O4" i="5197"/>
  <c r="O3" i="5197"/>
  <c r="O2" i="5197"/>
  <c r="O21" i="5195"/>
  <c r="O20" i="5195"/>
  <c r="C27" i="5195"/>
  <c r="B24" i="5195"/>
  <c r="C20" i="5195"/>
  <c r="B17" i="5195"/>
  <c r="H51" i="5195" s="1"/>
  <c r="C16" i="5195"/>
  <c r="C15" i="5195"/>
  <c r="C14" i="5195"/>
  <c r="C13" i="5195"/>
  <c r="O12" i="5195"/>
  <c r="C12" i="5195"/>
  <c r="O11" i="5195"/>
  <c r="C11" i="5195"/>
  <c r="O10" i="5195"/>
  <c r="C10" i="5195"/>
  <c r="C9" i="5195"/>
  <c r="C8" i="5195"/>
  <c r="O7" i="5195"/>
  <c r="C7" i="5195"/>
  <c r="O6" i="5195"/>
  <c r="B6" i="5195"/>
  <c r="O5" i="5195"/>
  <c r="B5" i="5195"/>
  <c r="O4" i="5195"/>
  <c r="O3" i="5195"/>
  <c r="O2" i="5195"/>
  <c r="O22" i="5189"/>
  <c r="O24" i="5189"/>
  <c r="O22" i="5187"/>
  <c r="O23" i="5187"/>
  <c r="H24" i="5199" l="1"/>
  <c r="H6" i="5199"/>
  <c r="H36" i="5199"/>
  <c r="H15" i="5199"/>
  <c r="H51" i="5199"/>
  <c r="H9" i="5199"/>
  <c r="H10" i="5199"/>
  <c r="H3" i="5199"/>
  <c r="H4" i="5199"/>
  <c r="C19" i="5199"/>
  <c r="H46" i="5197"/>
  <c r="B23" i="5197"/>
  <c r="H31" i="5197"/>
  <c r="H5" i="5197"/>
  <c r="H34" i="5197"/>
  <c r="H12" i="5197"/>
  <c r="H8" i="5197"/>
  <c r="H2" i="5197"/>
  <c r="H16" i="5197"/>
  <c r="H45" i="5197"/>
  <c r="H11" i="5195"/>
  <c r="H16" i="5195"/>
  <c r="H12" i="5199"/>
  <c r="H19" i="5199"/>
  <c r="H37" i="5199"/>
  <c r="H16" i="5199"/>
  <c r="H27" i="5199"/>
  <c r="H39" i="5199"/>
  <c r="H21" i="5199"/>
  <c r="H28" i="5199"/>
  <c r="H42" i="5199"/>
  <c r="H7" i="5199"/>
  <c r="H13" i="5199"/>
  <c r="C17" i="5199"/>
  <c r="H22" i="5199"/>
  <c r="H29" i="5199"/>
  <c r="H43" i="5199"/>
  <c r="H17" i="5199"/>
  <c r="B23" i="5199"/>
  <c r="H31" i="5199"/>
  <c r="H45" i="5199"/>
  <c r="H5" i="5199"/>
  <c r="H11" i="5199"/>
  <c r="H14" i="5199"/>
  <c r="C18" i="5199"/>
  <c r="H23" i="5199"/>
  <c r="H34" i="5199"/>
  <c r="H47" i="5199"/>
  <c r="H2" i="5199"/>
  <c r="H8" i="5199"/>
  <c r="H18" i="5199"/>
  <c r="H35" i="5199"/>
  <c r="H50" i="5199"/>
  <c r="H44" i="5199"/>
  <c r="H30" i="5199"/>
  <c r="H38" i="5199"/>
  <c r="H46" i="5199"/>
  <c r="H25" i="5199"/>
  <c r="H32" i="5199"/>
  <c r="H40" i="5199"/>
  <c r="H48" i="5199"/>
  <c r="H20" i="5199"/>
  <c r="H26" i="5199"/>
  <c r="H33" i="5199"/>
  <c r="H41" i="5199"/>
  <c r="H36" i="5197"/>
  <c r="H23" i="5197"/>
  <c r="H17" i="5197"/>
  <c r="C18" i="5197"/>
  <c r="H24" i="5197"/>
  <c r="H37" i="5197"/>
  <c r="H35" i="5197"/>
  <c r="H3" i="5197"/>
  <c r="H42" i="5197"/>
  <c r="H4" i="5197"/>
  <c r="H18" i="5197"/>
  <c r="C19" i="5197"/>
  <c r="H43" i="5197"/>
  <c r="H9" i="5197"/>
  <c r="H47" i="5197"/>
  <c r="H6" i="5197"/>
  <c r="H14" i="5197"/>
  <c r="H11" i="5197"/>
  <c r="H27" i="5197"/>
  <c r="H15" i="5197"/>
  <c r="H19" i="5197"/>
  <c r="H30" i="5197"/>
  <c r="H44" i="5197"/>
  <c r="H4" i="5195"/>
  <c r="H23" i="5195"/>
  <c r="H10" i="5197"/>
  <c r="H28" i="5197"/>
  <c r="H50" i="5197"/>
  <c r="H21" i="5197"/>
  <c r="H38" i="5197"/>
  <c r="H7" i="5197"/>
  <c r="H13" i="5197"/>
  <c r="C17" i="5197"/>
  <c r="H22" i="5197"/>
  <c r="H29" i="5197"/>
  <c r="H39" i="5197"/>
  <c r="H51" i="5197"/>
  <c r="H25" i="5197"/>
  <c r="H32" i="5197"/>
  <c r="H40" i="5197"/>
  <c r="H48" i="5197"/>
  <c r="H20" i="5197"/>
  <c r="H26" i="5197"/>
  <c r="H33" i="5197"/>
  <c r="H41" i="5197"/>
  <c r="C18" i="5195"/>
  <c r="H8" i="5195"/>
  <c r="H5" i="5195"/>
  <c r="H28" i="5195"/>
  <c r="H37" i="5195"/>
  <c r="C17" i="5195"/>
  <c r="H29" i="5195"/>
  <c r="H2" i="5195"/>
  <c r="H10" i="5195"/>
  <c r="H18" i="5195"/>
  <c r="H36" i="5195"/>
  <c r="H14" i="5195"/>
  <c r="B23" i="5195"/>
  <c r="H44" i="5195"/>
  <c r="H15" i="5195"/>
  <c r="C19" i="5195"/>
  <c r="H30" i="5195"/>
  <c r="H38" i="5195"/>
  <c r="H46" i="5195"/>
  <c r="H45" i="5195"/>
  <c r="H3" i="5195"/>
  <c r="H6" i="5195"/>
  <c r="H9" i="5195"/>
  <c r="H12" i="5195"/>
  <c r="H19" i="5195"/>
  <c r="H24" i="5195"/>
  <c r="H31" i="5195"/>
  <c r="H39" i="5195"/>
  <c r="H47" i="5195"/>
  <c r="H25" i="5195"/>
  <c r="H32" i="5195"/>
  <c r="H40" i="5195"/>
  <c r="H48" i="5195"/>
  <c r="H26" i="5195"/>
  <c r="H41" i="5195"/>
  <c r="H7" i="5195"/>
  <c r="H13" i="5195"/>
  <c r="H21" i="5195"/>
  <c r="H34" i="5195"/>
  <c r="H42" i="5195"/>
  <c r="H50" i="5195"/>
  <c r="H20" i="5195"/>
  <c r="H33" i="5195"/>
  <c r="H49" i="5195"/>
  <c r="H17" i="5195"/>
  <c r="H22" i="5195"/>
  <c r="H27" i="5195"/>
  <c r="H35" i="5195"/>
  <c r="H43" i="5195"/>
  <c r="O17" i="5193" l="1"/>
  <c r="O20" i="5193"/>
  <c r="C27" i="5193"/>
  <c r="B24" i="5193"/>
  <c r="C20" i="5193"/>
  <c r="B17" i="5193"/>
  <c r="H49" i="5193" s="1"/>
  <c r="C16" i="5193"/>
  <c r="C15" i="5193"/>
  <c r="C14" i="5193"/>
  <c r="C13" i="5193"/>
  <c r="O12" i="5193"/>
  <c r="C12" i="5193"/>
  <c r="O11" i="5193"/>
  <c r="C11" i="5193"/>
  <c r="O10" i="5193"/>
  <c r="C10" i="5193"/>
  <c r="C9" i="5193"/>
  <c r="C8" i="5193"/>
  <c r="O7" i="5193"/>
  <c r="C7" i="5193"/>
  <c r="O6" i="5193"/>
  <c r="B6" i="5193"/>
  <c r="O5" i="5193"/>
  <c r="B5" i="5193"/>
  <c r="O4" i="5193"/>
  <c r="O3" i="5193"/>
  <c r="O2" i="5193"/>
  <c r="O22" i="5191"/>
  <c r="O17" i="5191"/>
  <c r="C27" i="5191"/>
  <c r="B24" i="5191"/>
  <c r="C20" i="5191"/>
  <c r="B17" i="5191"/>
  <c r="H18" i="5191" s="1"/>
  <c r="C16" i="5191"/>
  <c r="C15" i="5191"/>
  <c r="C14" i="5191"/>
  <c r="C13" i="5191"/>
  <c r="O12" i="5191"/>
  <c r="C12" i="5191"/>
  <c r="O11" i="5191"/>
  <c r="C11" i="5191"/>
  <c r="O10" i="5191"/>
  <c r="C10" i="5191"/>
  <c r="C9" i="5191"/>
  <c r="C8" i="5191"/>
  <c r="O7" i="5191"/>
  <c r="C7" i="5191"/>
  <c r="O6" i="5191"/>
  <c r="B6" i="5191"/>
  <c r="O5" i="5191"/>
  <c r="B5" i="5191"/>
  <c r="O4" i="5191"/>
  <c r="O3" i="5191"/>
  <c r="O2" i="5191"/>
  <c r="O25" i="5187"/>
  <c r="O17" i="5189"/>
  <c r="O23" i="5189"/>
  <c r="C27" i="5189"/>
  <c r="B24" i="5189"/>
  <c r="C20" i="5189"/>
  <c r="B17" i="5189"/>
  <c r="H5" i="5189" s="1"/>
  <c r="C16" i="5189"/>
  <c r="C15" i="5189"/>
  <c r="C14" i="5189"/>
  <c r="C13" i="5189"/>
  <c r="O12" i="5189"/>
  <c r="C12" i="5189"/>
  <c r="O11" i="5189"/>
  <c r="C11" i="5189"/>
  <c r="O10" i="5189"/>
  <c r="C10" i="5189"/>
  <c r="C9" i="5189"/>
  <c r="C8" i="5189"/>
  <c r="O7" i="5189"/>
  <c r="C7" i="5189"/>
  <c r="O6" i="5189"/>
  <c r="B6" i="5189"/>
  <c r="O5" i="5189"/>
  <c r="B5" i="5189"/>
  <c r="O4" i="5189"/>
  <c r="O3" i="5189"/>
  <c r="O2" i="5189"/>
  <c r="O17" i="5187"/>
  <c r="O21" i="5187"/>
  <c r="C27" i="5187"/>
  <c r="B24" i="5187"/>
  <c r="C20" i="5187"/>
  <c r="B17" i="5187"/>
  <c r="H49" i="5187" s="1"/>
  <c r="C16" i="5187"/>
  <c r="C15" i="5187"/>
  <c r="C14" i="5187"/>
  <c r="C13" i="5187"/>
  <c r="O12" i="5187"/>
  <c r="C12" i="5187"/>
  <c r="O11" i="5187"/>
  <c r="C11" i="5187"/>
  <c r="O10" i="5187"/>
  <c r="C10" i="5187"/>
  <c r="C9" i="5187"/>
  <c r="C8" i="5187"/>
  <c r="O7" i="5187"/>
  <c r="C7" i="5187"/>
  <c r="O6" i="5187"/>
  <c r="B6" i="5187"/>
  <c r="O5" i="5187"/>
  <c r="B5" i="5187"/>
  <c r="O4" i="5187"/>
  <c r="O3" i="5187"/>
  <c r="O2" i="5187"/>
  <c r="H16" i="5187" l="1"/>
  <c r="C17" i="5193"/>
  <c r="H2" i="5193"/>
  <c r="H34" i="5193"/>
  <c r="H43" i="5193"/>
  <c r="H29" i="5193"/>
  <c r="H44" i="5193"/>
  <c r="H4" i="5193"/>
  <c r="H24" i="5193"/>
  <c r="H26" i="5193"/>
  <c r="C18" i="5193"/>
  <c r="B23" i="5193"/>
  <c r="H31" i="5193"/>
  <c r="H37" i="5193"/>
  <c r="H45" i="5193"/>
  <c r="H42" i="5193"/>
  <c r="H8" i="5193"/>
  <c r="H25" i="5193"/>
  <c r="H35" i="5193"/>
  <c r="H11" i="5193"/>
  <c r="H6" i="5193"/>
  <c r="H3" i="5193"/>
  <c r="H9" i="5193"/>
  <c r="H27" i="5193"/>
  <c r="H30" i="5193"/>
  <c r="H22" i="5193"/>
  <c r="H38" i="5193"/>
  <c r="H46" i="5193"/>
  <c r="H28" i="5193"/>
  <c r="H50" i="5193"/>
  <c r="H51" i="5193"/>
  <c r="H18" i="5193"/>
  <c r="H36" i="5193"/>
  <c r="H17" i="5193"/>
  <c r="C19" i="5193"/>
  <c r="H32" i="5193"/>
  <c r="H39" i="5193"/>
  <c r="H47" i="5193"/>
  <c r="H7" i="5193"/>
  <c r="H21" i="5193"/>
  <c r="H15" i="5193"/>
  <c r="H13" i="5193"/>
  <c r="H5" i="5193"/>
  <c r="H10" i="5193"/>
  <c r="H16" i="5193"/>
  <c r="H19" i="5193"/>
  <c r="H12" i="5193"/>
  <c r="H23" i="5193"/>
  <c r="H40" i="5193"/>
  <c r="H48" i="5193"/>
  <c r="H14" i="5193"/>
  <c r="H20" i="5193"/>
  <c r="H33" i="5193"/>
  <c r="H41" i="5193"/>
  <c r="H35" i="5187"/>
  <c r="H23" i="5187"/>
  <c r="H4" i="5187"/>
  <c r="C17" i="5191"/>
  <c r="H4" i="5191"/>
  <c r="H42" i="5191"/>
  <c r="H21" i="5191"/>
  <c r="H32" i="5191"/>
  <c r="H13" i="5191"/>
  <c r="H29" i="5191"/>
  <c r="H30" i="5191"/>
  <c r="H45" i="5191"/>
  <c r="H12" i="5191"/>
  <c r="H35" i="5191"/>
  <c r="H7" i="5191"/>
  <c r="H41" i="5191"/>
  <c r="C18" i="5191"/>
  <c r="H49" i="5191"/>
  <c r="H9" i="5191"/>
  <c r="H37" i="5191"/>
  <c r="H17" i="5191"/>
  <c r="H2" i="5191"/>
  <c r="H33" i="5191"/>
  <c r="H20" i="5191"/>
  <c r="H15" i="5191"/>
  <c r="H11" i="5191"/>
  <c r="H6" i="5191"/>
  <c r="H10" i="5191"/>
  <c r="H16" i="5191"/>
  <c r="H50" i="5191"/>
  <c r="H3" i="5191"/>
  <c r="H19" i="5191"/>
  <c r="H24" i="5191"/>
  <c r="H27" i="5191"/>
  <c r="H5" i="5191"/>
  <c r="B23" i="5191"/>
  <c r="H34" i="5191"/>
  <c r="H38" i="5191"/>
  <c r="H46" i="5191"/>
  <c r="H39" i="5191"/>
  <c r="H47" i="5191"/>
  <c r="H23" i="5191"/>
  <c r="C19" i="5191"/>
  <c r="H26" i="5191"/>
  <c r="H40" i="5191"/>
  <c r="H48" i="5191"/>
  <c r="H31" i="5191"/>
  <c r="H25" i="5191"/>
  <c r="H28" i="5191"/>
  <c r="H43" i="5191"/>
  <c r="H51" i="5191"/>
  <c r="H8" i="5191"/>
  <c r="H22" i="5191"/>
  <c r="H14" i="5191"/>
  <c r="H36" i="5191"/>
  <c r="H44" i="5191"/>
  <c r="C17" i="5187"/>
  <c r="H2" i="5187"/>
  <c r="H34" i="5187"/>
  <c r="H7" i="5189"/>
  <c r="H33" i="5189"/>
  <c r="H3" i="5189"/>
  <c r="C18" i="5189"/>
  <c r="H39" i="5189"/>
  <c r="H30" i="5189"/>
  <c r="H46" i="5189"/>
  <c r="C17" i="5189"/>
  <c r="H29" i="5189"/>
  <c r="H19" i="5189"/>
  <c r="H40" i="5189"/>
  <c r="H20" i="5189"/>
  <c r="H24" i="5189"/>
  <c r="H6" i="5189"/>
  <c r="H22" i="5189"/>
  <c r="H48" i="5189"/>
  <c r="H10" i="5189"/>
  <c r="H38" i="5189"/>
  <c r="H2" i="5189"/>
  <c r="H13" i="5189"/>
  <c r="H41" i="5189"/>
  <c r="C19" i="5189"/>
  <c r="H11" i="5189"/>
  <c r="H15" i="5189"/>
  <c r="H47" i="5189"/>
  <c r="H4" i="5189"/>
  <c r="H25" i="5189"/>
  <c r="H12" i="5189"/>
  <c r="H28" i="5189"/>
  <c r="H17" i="5189"/>
  <c r="B23" i="5189"/>
  <c r="H26" i="5189"/>
  <c r="H49" i="5189"/>
  <c r="H23" i="5189"/>
  <c r="H35" i="5189"/>
  <c r="H42" i="5189"/>
  <c r="H50" i="5189"/>
  <c r="H31" i="5189"/>
  <c r="H51" i="5189"/>
  <c r="H43" i="5189"/>
  <c r="H8" i="5189"/>
  <c r="H21" i="5189"/>
  <c r="H14" i="5189"/>
  <c r="H36" i="5189"/>
  <c r="H44" i="5189"/>
  <c r="H16" i="5189"/>
  <c r="H34" i="5189"/>
  <c r="H27" i="5189"/>
  <c r="H18" i="5189"/>
  <c r="H32" i="5189"/>
  <c r="H9" i="5189"/>
  <c r="H37" i="5189"/>
  <c r="H45" i="5189"/>
  <c r="H50" i="5187"/>
  <c r="H42" i="5187"/>
  <c r="H29" i="5187"/>
  <c r="H51" i="5187"/>
  <c r="H8" i="5187"/>
  <c r="H14" i="5187"/>
  <c r="H19" i="5187"/>
  <c r="H27" i="5187"/>
  <c r="H37" i="5187"/>
  <c r="H45" i="5187"/>
  <c r="H6" i="5187"/>
  <c r="H30" i="5187"/>
  <c r="B23" i="5187"/>
  <c r="H38" i="5187"/>
  <c r="H3" i="5187"/>
  <c r="H11" i="5187"/>
  <c r="H33" i="5187"/>
  <c r="H31" i="5187"/>
  <c r="H17" i="5187"/>
  <c r="H39" i="5187"/>
  <c r="H47" i="5187"/>
  <c r="H43" i="5187"/>
  <c r="H21" i="5187"/>
  <c r="H44" i="5187"/>
  <c r="H9" i="5187"/>
  <c r="H5" i="5187"/>
  <c r="H20" i="5187"/>
  <c r="C18" i="5187"/>
  <c r="H32" i="5187"/>
  <c r="H25" i="5187"/>
  <c r="C19" i="5187"/>
  <c r="H24" i="5187"/>
  <c r="H40" i="5187"/>
  <c r="H48" i="5187"/>
  <c r="H28" i="5187"/>
  <c r="H36" i="5187"/>
  <c r="H18" i="5187"/>
  <c r="H46" i="5187"/>
  <c r="H10" i="5187"/>
  <c r="H7" i="5187"/>
  <c r="H12" i="5187"/>
  <c r="H22" i="5187"/>
  <c r="H15" i="5187"/>
  <c r="H13" i="5187"/>
  <c r="H26" i="5187"/>
  <c r="H41" i="5187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<sst xmlns="http://schemas.openxmlformats.org/spreadsheetml/2006/main" count="3188" uniqueCount="230">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</sst>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全体!$K$2:$K$479</c:f>
              <c:numCache>
                <c:formatCode>General</c:formatCode>
                <c:ptCount val="47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</c:numCache>
            </c:numRef>
          </c:xVal>
          <c:yVal>
            <c:numRef>
              <c:f>全体!$L$2:$L$479</c:f>
              <c:numCache>
                <c:formatCode>\+0.0;\-0.0;\±0</c:formatCode>
                <c:ptCount val="478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-50.599999999999973</c:v>
                </c:pt>
                <c:pt idx="440">
                  <c:v>-66.299999999999969</c:v>
                </c:pt>
                <c:pt idx="441">
                  <c:v>2.8421709430404007E-14</c:v>
                </c:pt>
                <c:pt idx="442">
                  <c:v>-57.39999999999997</c:v>
                </c:pt>
                <c:pt idx="443">
                  <c:v>-11.39999999999997</c:v>
                </c:pt>
                <c:pt idx="444">
                  <c:v>3.0198066269804258E-14</c:v>
                </c:pt>
                <c:pt idx="445">
                  <c:v>34.300000000000026</c:v>
                </c:pt>
                <c:pt idx="446">
                  <c:v>32.200000000000024</c:v>
                </c:pt>
                <c:pt idx="447">
                  <c:v>2.1316282072803006E-14</c:v>
                </c:pt>
                <c:pt idx="448">
                  <c:v>-56.199999999999982</c:v>
                </c:pt>
                <c:pt idx="449">
                  <c:v>-14.59999999999998</c:v>
                </c:pt>
                <c:pt idx="450">
                  <c:v>1.9539925233402755E-14</c:v>
                </c:pt>
                <c:pt idx="451">
                  <c:v>69.600000000000009</c:v>
                </c:pt>
                <c:pt idx="452">
                  <c:v>59.20000000000001</c:v>
                </c:pt>
                <c:pt idx="453">
                  <c:v>7.1054273576010019E-15</c:v>
                </c:pt>
                <c:pt idx="454">
                  <c:v>-18.699999999999992</c:v>
                </c:pt>
                <c:pt idx="455">
                  <c:v>56.500000000000014</c:v>
                </c:pt>
                <c:pt idx="456">
                  <c:v>1.4210854715202004E-14</c:v>
                </c:pt>
                <c:pt idx="457">
                  <c:v>37.400000000000013</c:v>
                </c:pt>
                <c:pt idx="458">
                  <c:v>6.8000000000000114</c:v>
                </c:pt>
                <c:pt idx="459">
                  <c:v>1.1546319456101628E-14</c:v>
                </c:pt>
                <c:pt idx="460">
                  <c:v>-6.0999999999999881</c:v>
                </c:pt>
                <c:pt idx="461">
                  <c:v>38.70000000000001</c:v>
                </c:pt>
                <c:pt idx="462">
                  <c:v>7.1054273576010019E-15</c:v>
                </c:pt>
                <c:pt idx="463">
                  <c:v>62.500000000000007</c:v>
                </c:pt>
                <c:pt idx="464">
                  <c:v>2.5000000000000071</c:v>
                </c:pt>
                <c:pt idx="465">
                  <c:v>7.1054273576010019E-15</c:v>
                </c:pt>
                <c:pt idx="466">
                  <c:v>-37.699999999999996</c:v>
                </c:pt>
                <c:pt idx="467">
                  <c:v>-47.599999999999994</c:v>
                </c:pt>
                <c:pt idx="468">
                  <c:v>7.1054273576010019E-15</c:v>
                </c:pt>
                <c:pt idx="469">
                  <c:v>20.500000000000007</c:v>
                </c:pt>
                <c:pt idx="470">
                  <c:v>-45.4</c:v>
                </c:pt>
                <c:pt idx="471">
                  <c:v>0</c:v>
                </c:pt>
                <c:pt idx="472">
                  <c:v>51.8</c:v>
                </c:pt>
                <c:pt idx="473">
                  <c:v>59.199999999999996</c:v>
                </c:pt>
                <c:pt idx="474">
                  <c:v>-7.1054273576010019E-15</c:v>
                </c:pt>
                <c:pt idx="475">
                  <c:v>-56.900000000000006</c:v>
                </c:pt>
                <c:pt idx="476">
                  <c:v>-67.7</c:v>
                </c:pt>
                <c:pt idx="47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40-4EC4-B9E8-BE5E72728C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-16.877637130801688</c:v>
                </c:pt>
                <c:pt idx="1">
                  <c:v>-8.5470085470085468</c:v>
                </c:pt>
                <c:pt idx="2">
                  <c:v>13.513513513513514</c:v>
                </c:pt>
                <c:pt idx="3">
                  <c:v>10.1010101010101</c:v>
                </c:pt>
                <c:pt idx="4">
                  <c:v>-11.111111111111111</c:v>
                </c:pt>
                <c:pt idx="5">
                  <c:v>18.348623853211009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86-4FE0-967F-1764DD5F98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だいち!$K$2:$K$111</c:f>
              <c:numCache>
                <c:formatCode>General</c:formatCode>
                <c:ptCount val="1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</c:numCache>
            </c:numRef>
          </c:xVal>
          <c:yVal>
            <c:numRef>
              <c:f>だいち!$L$2:$L$111</c:f>
              <c:numCache>
                <c:formatCode>\+0.0;\-0.0;\±0</c:formatCode>
                <c:ptCount val="110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DBE-4BE1-A1C5-D6BDB314A5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2499.0740740740739</c:v>
                </c:pt>
                <c:pt idx="1">
                  <c:v>1721.6981132075471</c:v>
                </c:pt>
                <c:pt idx="2">
                  <c:v>1769.3069306930693</c:v>
                </c:pt>
                <c:pt idx="3">
                  <c:v>2242.2222222222222</c:v>
                </c:pt>
                <c:pt idx="4">
                  <c:v>126.25</c:v>
                </c:pt>
                <c:pt idx="5">
                  <c:v>387.32394366197184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D8-4B9A-98B3-71A441179E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りくと!$K$2:$K$112</c:f>
              <c:numCache>
                <c:formatCode>General</c:formatCode>
                <c:ptCount val="1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</c:numCache>
            </c:numRef>
          </c:xVal>
          <c:yVal>
            <c:numRef>
              <c:f>りくと!$L$2:$L$112</c:f>
              <c:numCache>
                <c:formatCode>\+0.0;\-0.0;\±0</c:formatCode>
                <c:ptCount val="111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-388.20000000000005</c:v>
                </c:pt>
                <c:pt idx="103">
                  <c:v>-313.00000000000006</c:v>
                </c:pt>
                <c:pt idx="104">
                  <c:v>-343.60000000000008</c:v>
                </c:pt>
                <c:pt idx="105">
                  <c:v>-298.80000000000007</c:v>
                </c:pt>
                <c:pt idx="106">
                  <c:v>-236.30000000000007</c:v>
                </c:pt>
                <c:pt idx="107">
                  <c:v>-274.00000000000006</c:v>
                </c:pt>
                <c:pt idx="108">
                  <c:v>-253.50000000000006</c:v>
                </c:pt>
                <c:pt idx="109">
                  <c:v>-246.10000000000005</c:v>
                </c:pt>
                <c:pt idx="110">
                  <c:v>-256.90000000000003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E9-4646-A8BE-D280E85923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540.36697247706422</c:v>
                </c:pt>
                <c:pt idx="1">
                  <c:v>-2221.4953271028039</c:v>
                </c:pt>
                <c:pt idx="2">
                  <c:v>-137.5</c:v>
                </c:pt>
                <c:pt idx="3">
                  <c:v>631.52173913043475</c:v>
                </c:pt>
                <c:pt idx="4">
                  <c:v>412.04819277108436</c:v>
                </c:pt>
                <c:pt idx="5">
                  <c:v>477.63157894736844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D2-4214-ACEC-F7D41F8572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ただ!$K$2:$K$57</c:f>
              <c:numCache>
                <c:formatCode>General</c:formatCode>
                <c:ptCount val="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</c:numCache>
            </c:numRef>
          </c:xVal>
          <c:yVal>
            <c:numRef>
              <c:f>ただ!$L$2:$L$57</c:f>
              <c:numCache>
                <c:formatCode>\+0.0;\-0.0;\±0</c:formatCode>
                <c:ptCount val="56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-800.5999999999998</c:v>
                </c:pt>
                <c:pt idx="47">
                  <c:v>-754.5999999999998</c:v>
                </c:pt>
                <c:pt idx="48">
                  <c:v>-756.69999999999982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31-41E8-9289-878F2CF9CF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-3507.4074074074074</c:v>
                </c:pt>
                <c:pt idx="1">
                  <c:v>-1726.4150943396226</c:v>
                </c:pt>
                <c:pt idx="2">
                  <c:v>-553.0612244897959</c:v>
                </c:pt>
                <c:pt idx="3">
                  <c:v>-4519.5121951219517</c:v>
                </c:pt>
                <c:pt idx="4">
                  <c:v>-1375.6756756756756</c:v>
                </c:pt>
                <c:pt idx="5">
                  <c:v>-1673.5294117647059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C6-4D1F-9333-1D98A6FD7F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れんたろう!$K$2:$K$64</c:f>
              <c:numCache>
                <c:formatCode>General</c:formatCode>
                <c:ptCount val="6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</c:numCache>
            </c:numRef>
          </c:xVal>
          <c:yVal>
            <c:numRef>
              <c:f>れんたろう!$L$2:$L$64</c:f>
              <c:numCache>
                <c:formatCode>\+0.0;\-0.0;\±0</c:formatCode>
                <c:ptCount val="63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93.299999999999983</c:v>
                </c:pt>
                <c:pt idx="57">
                  <c:v>104.69999999999999</c:v>
                </c:pt>
                <c:pt idx="58">
                  <c:v>72.499999999999986</c:v>
                </c:pt>
                <c:pt idx="59">
                  <c:v>87.09999999999998</c:v>
                </c:pt>
                <c:pt idx="60">
                  <c:v>48.399999999999977</c:v>
                </c:pt>
                <c:pt idx="61">
                  <c:v>45.899999999999977</c:v>
                </c:pt>
                <c:pt idx="62">
                  <c:v>93.499999999999972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9B-45CC-B881-03626F8DB6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48.387096774193552</c:v>
                </c:pt>
                <c:pt idx="1">
                  <c:v>1233.8709677419354</c:v>
                </c:pt>
                <c:pt idx="2">
                  <c:v>98.305084745762713</c:v>
                </c:pt>
                <c:pt idx="3">
                  <c:v>1869.3877551020407</c:v>
                </c:pt>
                <c:pt idx="4">
                  <c:v>-1342.2222222222222</c:v>
                </c:pt>
                <c:pt idx="5">
                  <c:v>1514.6341463414635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7C-4E99-9A9B-540411776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たかの!$K$2:$K$55</c:f>
              <c:numCache>
                <c:formatCode>General</c:formatCode>
                <c:ptCount val="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</c:numCache>
            </c:numRef>
          </c:xVal>
          <c:yVal>
            <c:numRef>
              <c:f>たかの!$L$2:$L$55</c:f>
              <c:numCache>
                <c:formatCode>\+0.0;\-0.0;\±0</c:formatCode>
                <c:ptCount val="54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20-4B6C-BB3A-F0E3B0AC85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505.66037735849056</c:v>
                </c:pt>
                <c:pt idx="1">
                  <c:v>226.41509433962264</c:v>
                </c:pt>
                <c:pt idx="2">
                  <c:v>-358.33333333333331</c:v>
                </c:pt>
                <c:pt idx="3">
                  <c:v>262.22222222222223</c:v>
                </c:pt>
                <c:pt idx="4">
                  <c:v>1381.8181818181818</c:v>
                </c:pt>
                <c:pt idx="5">
                  <c:v>-1105.1282051282051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09-4553-9EB7-1B72304A75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ぱぱ!$L$2:$L$41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70-4FD3-8D18-E5F149A2C4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-2487.1794871794873</c:v>
                </c:pt>
                <c:pt idx="1">
                  <c:v>1597.4358974358975</c:v>
                </c:pt>
                <c:pt idx="2">
                  <c:v>-716.21621621621625</c:v>
                </c:pt>
                <c:pt idx="3">
                  <c:v>-4045.7142857142858</c:v>
                </c:pt>
                <c:pt idx="4">
                  <c:v>145.16129032258064</c:v>
                </c:pt>
                <c:pt idx="5">
                  <c:v>680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25-469B-90E8-8AA99BA00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まっつん!$L$2:$L$31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-202.1</c:v>
                </c:pt>
                <c:pt idx="27">
                  <c:v>-167.8</c:v>
                </c:pt>
                <c:pt idx="28">
                  <c:v>-224</c:v>
                </c:pt>
                <c:pt idx="29">
                  <c:v>-178.6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88-4CFE-8768-5466D3A8F1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-1686.2068965517242</c:v>
                </c:pt>
                <c:pt idx="1">
                  <c:v>-910.71428571428567</c:v>
                </c:pt>
                <c:pt idx="2">
                  <c:v>-1573.0769230769231</c:v>
                </c:pt>
                <c:pt idx="3">
                  <c:v>788</c:v>
                </c:pt>
                <c:pt idx="4">
                  <c:v>-1350</c:v>
                </c:pt>
                <c:pt idx="5">
                  <c:v>257.89473684210526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50-4343-A35B-44BD73878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1E-4690-A072-C6E1B5F3AE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4B-433F-9C8A-474A8674E6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いっしー!$L$2:$L$12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92-422E-B153-22D94400F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-1860</c:v>
                </c:pt>
                <c:pt idx="1">
                  <c:v>-2160</c:v>
                </c:pt>
                <c:pt idx="2">
                  <c:v>-990</c:v>
                </c:pt>
                <c:pt idx="3">
                  <c:v>-5388.8888888888887</c:v>
                </c:pt>
                <c:pt idx="4">
                  <c:v>1077.7777777777778</c:v>
                </c:pt>
                <c:pt idx="5">
                  <c:v>-5400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C6-4024-8DA5-E8F18A4F0B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ほたに!$L$2:$L$7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ED-41DD-8B33-7B931E2ABD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-5040</c:v>
                </c:pt>
                <c:pt idx="1">
                  <c:v>5560</c:v>
                </c:pt>
                <c:pt idx="2">
                  <c:v>-3320</c:v>
                </c:pt>
                <c:pt idx="3">
                  <c:v>-3500</c:v>
                </c:pt>
                <c:pt idx="4">
                  <c:v>4325</c:v>
                </c:pt>
                <c:pt idx="5">
                  <c:v>-475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B0-4B8B-BA65-2AF52CFB3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81-428C-B70C-D95C79AAD0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7A-4EAB-849E-7343D2D2E5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やがさき!$L$2:$L$3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D3-4E3A-B7AF-4F8D39FE4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2000</c:v>
                </c:pt>
                <c:pt idx="1">
                  <c:v>-8000</c:v>
                </c:pt>
                <c:pt idx="2">
                  <c:v>-9000</c:v>
                </c:pt>
                <c:pt idx="3">
                  <c:v>-2000</c:v>
                </c:pt>
                <c:pt idx="4">
                  <c:v>-16000</c:v>
                </c:pt>
                <c:pt idx="5">
                  <c:v>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12-4A09-9719-DEA5230BF9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ただ2!$B$1:$B$2</c:f>
              <c:strCache>
                <c:ptCount val="2"/>
                <c:pt idx="0">
                  <c:v>ただ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ただ2!$A$3:$A$58</c:f>
              <c:numCache>
                <c:formatCode>0\ "回"</c:formatCode>
                <c:ptCount val="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</c:numCache>
            </c:numRef>
          </c:xVal>
          <c:yVal>
            <c:numRef>
              <c:f>ただ2!$B$3:$B$58</c:f>
              <c:numCache>
                <c:formatCode>\+0.0;\-0.0;\±0</c:formatCode>
                <c:ptCount val="56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-800.5999999999998</c:v>
                </c:pt>
                <c:pt idx="47">
                  <c:v>-754.5999999999998</c:v>
                </c:pt>
                <c:pt idx="48">
                  <c:v>-756.69999999999982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ただ2!$C$1:$C$2</c:f>
              <c:strCache>
                <c:ptCount val="2"/>
                <c:pt idx="0">
                  <c:v>ただ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ただ2!$A$3:$A$58</c:f>
              <c:numCache>
                <c:formatCode>0\ "回"</c:formatCode>
                <c:ptCount val="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</c:numCache>
            </c:numRef>
          </c:xVal>
          <c:yVal>
            <c:numRef>
              <c:f>ただ2!$C$3:$C$58</c:f>
              <c:numCache>
                <c:formatCode>\+0.0;\-0.0;\±0</c:formatCode>
                <c:ptCount val="56"/>
                <c:pt idx="1">
                  <c:v>-40.4</c:v>
                </c:pt>
                <c:pt idx="2">
                  <c:v>-1.6999999999999993</c:v>
                </c:pt>
                <c:pt idx="3">
                  <c:v>-7.6999999999999993</c:v>
                </c:pt>
                <c:pt idx="4">
                  <c:v>-7.85</c:v>
                </c:pt>
                <c:pt idx="5">
                  <c:v>-6.4399999999999995</c:v>
                </c:pt>
                <c:pt idx="6">
                  <c:v>-9.75</c:v>
                </c:pt>
                <c:pt idx="7">
                  <c:v>-16.685714285714287</c:v>
                </c:pt>
                <c:pt idx="8">
                  <c:v>-9.9499999999999993</c:v>
                </c:pt>
                <c:pt idx="9">
                  <c:v>-14.177777777777777</c:v>
                </c:pt>
                <c:pt idx="10">
                  <c:v>-23.139999999999997</c:v>
                </c:pt>
                <c:pt idx="11">
                  <c:v>-27.809090909090909</c:v>
                </c:pt>
                <c:pt idx="12">
                  <c:v>-28.125</c:v>
                </c:pt>
                <c:pt idx="13">
                  <c:v>-28.392307692307693</c:v>
                </c:pt>
                <c:pt idx="14">
                  <c:v>-28.185714285714287</c:v>
                </c:pt>
                <c:pt idx="15">
                  <c:v>-28.3</c:v>
                </c:pt>
                <c:pt idx="16">
                  <c:v>-29.5</c:v>
                </c:pt>
                <c:pt idx="17">
                  <c:v>-31.664705882352937</c:v>
                </c:pt>
                <c:pt idx="18">
                  <c:v>-29.844444444444441</c:v>
                </c:pt>
                <c:pt idx="19">
                  <c:v>-29.973684210526311</c:v>
                </c:pt>
                <c:pt idx="20">
                  <c:v>-31.649999999999995</c:v>
                </c:pt>
                <c:pt idx="21">
                  <c:v>-29.976190476190471</c:v>
                </c:pt>
                <c:pt idx="22">
                  <c:v>-30.463636363636361</c:v>
                </c:pt>
                <c:pt idx="23">
                  <c:v>-32.052173913043475</c:v>
                </c:pt>
                <c:pt idx="24">
                  <c:v>-34.045833333333327</c:v>
                </c:pt>
                <c:pt idx="25">
                  <c:v>-31.347999999999999</c:v>
                </c:pt>
                <c:pt idx="26">
                  <c:v>-31.480769230769226</c:v>
                </c:pt>
                <c:pt idx="27">
                  <c:v>-32.451851851851849</c:v>
                </c:pt>
                <c:pt idx="28">
                  <c:v>-33.253571428571426</c:v>
                </c:pt>
                <c:pt idx="29">
                  <c:v>-31.334482758620688</c:v>
                </c:pt>
                <c:pt idx="30">
                  <c:v>-27.56</c:v>
                </c:pt>
                <c:pt idx="31">
                  <c:v>-26.958064516129031</c:v>
                </c:pt>
                <c:pt idx="32">
                  <c:v>-26.209374999999998</c:v>
                </c:pt>
                <c:pt idx="33">
                  <c:v>-26.61212121212121</c:v>
                </c:pt>
                <c:pt idx="34">
                  <c:v>-24.505882352941175</c:v>
                </c:pt>
                <c:pt idx="35">
                  <c:v>-23.302857142857139</c:v>
                </c:pt>
                <c:pt idx="36">
                  <c:v>-21.763888888888886</c:v>
                </c:pt>
                <c:pt idx="37">
                  <c:v>-22.348648648648645</c:v>
                </c:pt>
                <c:pt idx="38">
                  <c:v>-21.84210526315789</c:v>
                </c:pt>
                <c:pt idx="39">
                  <c:v>-20.161538461538459</c:v>
                </c:pt>
                <c:pt idx="40">
                  <c:v>-20.514999999999993</c:v>
                </c:pt>
                <c:pt idx="41">
                  <c:v>-20.963414634146336</c:v>
                </c:pt>
                <c:pt idx="42">
                  <c:v>-19.73571428571428</c:v>
                </c:pt>
                <c:pt idx="43">
                  <c:v>-18.306976744186041</c:v>
                </c:pt>
                <c:pt idx="44">
                  <c:v>-16.927272727272722</c:v>
                </c:pt>
                <c:pt idx="45">
                  <c:v>-17.442222222222217</c:v>
                </c:pt>
                <c:pt idx="46">
                  <c:v>-17.404347826086951</c:v>
                </c:pt>
                <c:pt idx="47">
                  <c:v>-16.055319148936167</c:v>
                </c:pt>
                <c:pt idx="48">
                  <c:v>-15.764583333333329</c:v>
                </c:pt>
                <c:pt idx="49">
                  <c:v>-14.593877551020404</c:v>
                </c:pt>
                <c:pt idx="50">
                  <c:v>-15.485999999999997</c:v>
                </c:pt>
                <c:pt idx="51">
                  <c:v>-16.290196078431368</c:v>
                </c:pt>
                <c:pt idx="52">
                  <c:v>-16.107692307692304</c:v>
                </c:pt>
                <c:pt idx="53">
                  <c:v>-15.918867924528298</c:v>
                </c:pt>
                <c:pt idx="54">
                  <c:v>-16.720370370370368</c:v>
                </c:pt>
                <c:pt idx="55">
                  <c:v>-15.185454545454542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ただ2!$D$1:$D$2</c:f>
              <c:strCache>
                <c:ptCount val="2"/>
                <c:pt idx="0">
                  <c:v>ただ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ただ2!$A$3:$A$58</c:f>
              <c:numCache>
                <c:formatCode>0\ "回"</c:formatCode>
                <c:ptCount val="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</c:numCache>
            </c:numRef>
          </c:xVal>
          <c:yVal>
            <c:numRef>
              <c:f>ただ2!$D$3:$D$58</c:f>
              <c:numCache>
                <c:formatCode>0.00\ "位"</c:formatCode>
                <c:ptCount val="56"/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2.1666666666666665</c:v>
                </c:pt>
                <c:pt idx="7">
                  <c:v>2.2857142857142856</c:v>
                </c:pt>
                <c:pt idx="8">
                  <c:v>2.125</c:v>
                </c:pt>
                <c:pt idx="9">
                  <c:v>2.2222222222222223</c:v>
                </c:pt>
                <c:pt idx="10">
                  <c:v>2.2999999999999998</c:v>
                </c:pt>
                <c:pt idx="11">
                  <c:v>2.3636363636363638</c:v>
                </c:pt>
                <c:pt idx="12">
                  <c:v>2.4166666666666665</c:v>
                </c:pt>
                <c:pt idx="13">
                  <c:v>2.4615384615384617</c:v>
                </c:pt>
                <c:pt idx="14">
                  <c:v>2.4285714285714284</c:v>
                </c:pt>
                <c:pt idx="15">
                  <c:v>2.4666666666666668</c:v>
                </c:pt>
                <c:pt idx="16">
                  <c:v>2.5</c:v>
                </c:pt>
                <c:pt idx="17">
                  <c:v>2.5294117647058822</c:v>
                </c:pt>
                <c:pt idx="18">
                  <c:v>2.5</c:v>
                </c:pt>
                <c:pt idx="19">
                  <c:v>2.5263157894736841</c:v>
                </c:pt>
                <c:pt idx="20">
                  <c:v>2.5499999999999998</c:v>
                </c:pt>
                <c:pt idx="21">
                  <c:v>2.5238095238095237</c:v>
                </c:pt>
                <c:pt idx="22">
                  <c:v>2.5454545454545454</c:v>
                </c:pt>
                <c:pt idx="23">
                  <c:v>2.5652173913043477</c:v>
                </c:pt>
                <c:pt idx="24">
                  <c:v>2.5833333333333335</c:v>
                </c:pt>
                <c:pt idx="25">
                  <c:v>2.52</c:v>
                </c:pt>
                <c:pt idx="26">
                  <c:v>2.5384615384615383</c:v>
                </c:pt>
                <c:pt idx="27">
                  <c:v>2.5555555555555554</c:v>
                </c:pt>
                <c:pt idx="28">
                  <c:v>2.5714285714285716</c:v>
                </c:pt>
                <c:pt idx="29">
                  <c:v>2.5172413793103448</c:v>
                </c:pt>
                <c:pt idx="30">
                  <c:v>2.4666666666666668</c:v>
                </c:pt>
                <c:pt idx="31">
                  <c:v>2.4516129032258065</c:v>
                </c:pt>
                <c:pt idx="32">
                  <c:v>2.4375</c:v>
                </c:pt>
                <c:pt idx="33">
                  <c:v>2.4545454545454546</c:v>
                </c:pt>
                <c:pt idx="34">
                  <c:v>2.4117647058823528</c:v>
                </c:pt>
                <c:pt idx="35">
                  <c:v>2.4</c:v>
                </c:pt>
                <c:pt idx="36">
                  <c:v>2.3611111111111112</c:v>
                </c:pt>
                <c:pt idx="37">
                  <c:v>2.3783783783783785</c:v>
                </c:pt>
                <c:pt idx="38">
                  <c:v>2.3684210526315788</c:v>
                </c:pt>
                <c:pt idx="39">
                  <c:v>2.3333333333333335</c:v>
                </c:pt>
                <c:pt idx="40">
                  <c:v>2.35</c:v>
                </c:pt>
                <c:pt idx="41">
                  <c:v>2.3658536585365852</c:v>
                </c:pt>
                <c:pt idx="42">
                  <c:v>2.3333333333333335</c:v>
                </c:pt>
                <c:pt idx="43">
                  <c:v>2.3023255813953489</c:v>
                </c:pt>
                <c:pt idx="44">
                  <c:v>2.2727272727272729</c:v>
                </c:pt>
                <c:pt idx="45">
                  <c:v>2.2888888888888888</c:v>
                </c:pt>
                <c:pt idx="46">
                  <c:v>2.2826086956521738</c:v>
                </c:pt>
                <c:pt idx="47">
                  <c:v>2.2553191489361701</c:v>
                </c:pt>
                <c:pt idx="48">
                  <c:v>2.25</c:v>
                </c:pt>
                <c:pt idx="49">
                  <c:v>2.2244897959183674</c:v>
                </c:pt>
                <c:pt idx="50">
                  <c:v>2.2400000000000002</c:v>
                </c:pt>
                <c:pt idx="51">
                  <c:v>2.2549019607843137</c:v>
                </c:pt>
                <c:pt idx="52">
                  <c:v>2.25</c:v>
                </c:pt>
                <c:pt idx="53">
                  <c:v>2.2452830188679247</c:v>
                </c:pt>
                <c:pt idx="54">
                  <c:v>2.2592592592592591</c:v>
                </c:pt>
                <c:pt idx="55">
                  <c:v>2.2363636363636363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ただ2!$E$1:$E$2</c:f>
              <c:strCache>
                <c:ptCount val="2"/>
                <c:pt idx="0">
                  <c:v>ただ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ただ2!$A$3:$A$58</c:f>
              <c:numCache>
                <c:formatCode>0\ "回"</c:formatCode>
                <c:ptCount val="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</c:numCache>
            </c:numRef>
          </c:xVal>
          <c:yVal>
            <c:numRef>
              <c:f>ただ2!$E$3:$E$58</c:f>
              <c:numCache>
                <c:formatCode>0.0%</c:formatCode>
                <c:ptCount val="56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0.13333333333333333</c:v>
                </c:pt>
                <c:pt idx="16">
                  <c:v>0.125</c:v>
                </c:pt>
                <c:pt idx="17">
                  <c:v>0.11764705882352941</c:v>
                </c:pt>
                <c:pt idx="18">
                  <c:v>0.1111111111111111</c:v>
                </c:pt>
                <c:pt idx="19">
                  <c:v>0.10526315789473684</c:v>
                </c:pt>
                <c:pt idx="20">
                  <c:v>0.1</c:v>
                </c:pt>
                <c:pt idx="21">
                  <c:v>9.5238095238095233E-2</c:v>
                </c:pt>
                <c:pt idx="22">
                  <c:v>9.0909090909090912E-2</c:v>
                </c:pt>
                <c:pt idx="23">
                  <c:v>8.6956521739130432E-2</c:v>
                </c:pt>
                <c:pt idx="24">
                  <c:v>8.3333333333333329E-2</c:v>
                </c:pt>
                <c:pt idx="25">
                  <c:v>0.12</c:v>
                </c:pt>
                <c:pt idx="26">
                  <c:v>0.11538461538461539</c:v>
                </c:pt>
                <c:pt idx="27">
                  <c:v>0.1111111111111111</c:v>
                </c:pt>
                <c:pt idx="28">
                  <c:v>0.10714285714285714</c:v>
                </c:pt>
                <c:pt idx="29">
                  <c:v>0.13793103448275862</c:v>
                </c:pt>
                <c:pt idx="30">
                  <c:v>0.16666666666666666</c:v>
                </c:pt>
                <c:pt idx="31">
                  <c:v>0.16129032258064516</c:v>
                </c:pt>
                <c:pt idx="32">
                  <c:v>0.15625</c:v>
                </c:pt>
                <c:pt idx="33">
                  <c:v>0.15151515151515152</c:v>
                </c:pt>
                <c:pt idx="34">
                  <c:v>0.17647058823529413</c:v>
                </c:pt>
                <c:pt idx="35">
                  <c:v>0.17142857142857143</c:v>
                </c:pt>
                <c:pt idx="36">
                  <c:v>0.19444444444444445</c:v>
                </c:pt>
                <c:pt idx="37">
                  <c:v>0.1891891891891892</c:v>
                </c:pt>
                <c:pt idx="38">
                  <c:v>0.18421052631578946</c:v>
                </c:pt>
                <c:pt idx="39">
                  <c:v>0.20512820512820512</c:v>
                </c:pt>
                <c:pt idx="40">
                  <c:v>0.2</c:v>
                </c:pt>
                <c:pt idx="41">
                  <c:v>0.1951219512195122</c:v>
                </c:pt>
                <c:pt idx="42">
                  <c:v>0.21428571428571427</c:v>
                </c:pt>
                <c:pt idx="43">
                  <c:v>0.23255813953488372</c:v>
                </c:pt>
                <c:pt idx="44">
                  <c:v>0.25</c:v>
                </c:pt>
                <c:pt idx="45">
                  <c:v>0.24444444444444444</c:v>
                </c:pt>
                <c:pt idx="46">
                  <c:v>0.2391304347826087</c:v>
                </c:pt>
                <c:pt idx="47">
                  <c:v>0.25531914893617019</c:v>
                </c:pt>
                <c:pt idx="48">
                  <c:v>0.25</c:v>
                </c:pt>
                <c:pt idx="49">
                  <c:v>0.26530612244897961</c:v>
                </c:pt>
                <c:pt idx="50">
                  <c:v>0.26</c:v>
                </c:pt>
                <c:pt idx="51">
                  <c:v>0.25490196078431371</c:v>
                </c:pt>
                <c:pt idx="52">
                  <c:v>0.25</c:v>
                </c:pt>
                <c:pt idx="53">
                  <c:v>0.24528301886792453</c:v>
                </c:pt>
                <c:pt idx="54">
                  <c:v>0.24074074074074073</c:v>
                </c:pt>
                <c:pt idx="55">
                  <c:v>0.25454545454545452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ただ2!$F$1:$F$2</c:f>
              <c:strCache>
                <c:ptCount val="2"/>
                <c:pt idx="0">
                  <c:v>ただ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ただ2!$A$3:$A$58</c:f>
              <c:numCache>
                <c:formatCode>0\ "回"</c:formatCode>
                <c:ptCount val="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</c:numCache>
            </c:numRef>
          </c:xVal>
          <c:yVal>
            <c:numRef>
              <c:f>ただ2!$F$3:$F$58</c:f>
              <c:numCache>
                <c:formatCode>0.0%</c:formatCode>
                <c:ptCount val="56"/>
                <c:pt idx="1">
                  <c:v>1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0.375</c:v>
                </c:pt>
                <c:pt idx="9">
                  <c:v>0.44444444444444442</c:v>
                </c:pt>
                <c:pt idx="10">
                  <c:v>0.5</c:v>
                </c:pt>
                <c:pt idx="11">
                  <c:v>0.54545454545454541</c:v>
                </c:pt>
                <c:pt idx="12">
                  <c:v>0.58333333333333337</c:v>
                </c:pt>
                <c:pt idx="13">
                  <c:v>0.61538461538461542</c:v>
                </c:pt>
                <c:pt idx="14">
                  <c:v>0.5714285714285714</c:v>
                </c:pt>
                <c:pt idx="15">
                  <c:v>0.6</c:v>
                </c:pt>
                <c:pt idx="16">
                  <c:v>0.625</c:v>
                </c:pt>
                <c:pt idx="17">
                  <c:v>0.6470588235294118</c:v>
                </c:pt>
                <c:pt idx="18">
                  <c:v>0.61111111111111116</c:v>
                </c:pt>
                <c:pt idx="19">
                  <c:v>0.63157894736842102</c:v>
                </c:pt>
                <c:pt idx="20">
                  <c:v>0.65</c:v>
                </c:pt>
                <c:pt idx="21">
                  <c:v>0.61904761904761907</c:v>
                </c:pt>
                <c:pt idx="22">
                  <c:v>0.63636363636363635</c:v>
                </c:pt>
                <c:pt idx="23">
                  <c:v>0.65217391304347827</c:v>
                </c:pt>
                <c:pt idx="24">
                  <c:v>0.66666666666666663</c:v>
                </c:pt>
                <c:pt idx="25">
                  <c:v>0.64</c:v>
                </c:pt>
                <c:pt idx="26">
                  <c:v>0.65384615384615385</c:v>
                </c:pt>
                <c:pt idx="27">
                  <c:v>0.66666666666666663</c:v>
                </c:pt>
                <c:pt idx="28">
                  <c:v>0.6785714285714286</c:v>
                </c:pt>
                <c:pt idx="29">
                  <c:v>0.65517241379310343</c:v>
                </c:pt>
                <c:pt idx="30">
                  <c:v>0.6333333333333333</c:v>
                </c:pt>
                <c:pt idx="31">
                  <c:v>0.61290322580645162</c:v>
                </c:pt>
                <c:pt idx="32">
                  <c:v>0.59375</c:v>
                </c:pt>
                <c:pt idx="33">
                  <c:v>0.60606060606060608</c:v>
                </c:pt>
                <c:pt idx="34">
                  <c:v>0.58823529411764708</c:v>
                </c:pt>
                <c:pt idx="35">
                  <c:v>0.5714285714285714</c:v>
                </c:pt>
                <c:pt idx="36">
                  <c:v>0.55555555555555558</c:v>
                </c:pt>
                <c:pt idx="37">
                  <c:v>0.56756756756756754</c:v>
                </c:pt>
                <c:pt idx="38">
                  <c:v>0.55263157894736847</c:v>
                </c:pt>
                <c:pt idx="39">
                  <c:v>0.53846153846153844</c:v>
                </c:pt>
                <c:pt idx="40">
                  <c:v>0.55000000000000004</c:v>
                </c:pt>
                <c:pt idx="41">
                  <c:v>0.56097560975609762</c:v>
                </c:pt>
                <c:pt idx="42">
                  <c:v>0.54761904761904767</c:v>
                </c:pt>
                <c:pt idx="43">
                  <c:v>0.53488372093023251</c:v>
                </c:pt>
                <c:pt idx="44">
                  <c:v>0.52272727272727271</c:v>
                </c:pt>
                <c:pt idx="45">
                  <c:v>0.53333333333333333</c:v>
                </c:pt>
                <c:pt idx="46">
                  <c:v>0.52173913043478259</c:v>
                </c:pt>
                <c:pt idx="47">
                  <c:v>0.51063829787234039</c:v>
                </c:pt>
                <c:pt idx="48">
                  <c:v>0.5</c:v>
                </c:pt>
                <c:pt idx="49">
                  <c:v>0.48979591836734693</c:v>
                </c:pt>
                <c:pt idx="50">
                  <c:v>0.5</c:v>
                </c:pt>
                <c:pt idx="51">
                  <c:v>0.50980392156862742</c:v>
                </c:pt>
                <c:pt idx="52">
                  <c:v>0.5</c:v>
                </c:pt>
                <c:pt idx="53">
                  <c:v>0.49056603773584906</c:v>
                </c:pt>
                <c:pt idx="54">
                  <c:v>0.5</c:v>
                </c:pt>
                <c:pt idx="55">
                  <c:v>0.49090909090909091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ただ2!$G$1:$G$2</c:f>
              <c:strCache>
                <c:ptCount val="2"/>
                <c:pt idx="0">
                  <c:v>ただ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ただ2!$A$3:$A$58</c:f>
              <c:numCache>
                <c:formatCode>0\ "回"</c:formatCode>
                <c:ptCount val="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</c:numCache>
            </c:numRef>
          </c:xVal>
          <c:yVal>
            <c:numRef>
              <c:f>ただ2!$G$3:$G$58</c:f>
              <c:numCache>
                <c:formatCode>0.0%</c:formatCode>
                <c:ptCount val="56"/>
                <c:pt idx="1">
                  <c:v>0.16666666666666666</c:v>
                </c:pt>
                <c:pt idx="2">
                  <c:v>0.375</c:v>
                </c:pt>
                <c:pt idx="3">
                  <c:v>0.30769230769230771</c:v>
                </c:pt>
                <c:pt idx="4">
                  <c:v>0.27272727272727271</c:v>
                </c:pt>
                <c:pt idx="5">
                  <c:v>0.30232558139534882</c:v>
                </c:pt>
                <c:pt idx="6">
                  <c:v>0.28846153846153844</c:v>
                </c:pt>
                <c:pt idx="7">
                  <c:v>0.26785714285714285</c:v>
                </c:pt>
                <c:pt idx="8">
                  <c:v>0.2857142857142857</c:v>
                </c:pt>
                <c:pt idx="9">
                  <c:v>0.25333333333333335</c:v>
                </c:pt>
                <c:pt idx="10">
                  <c:v>0.23595505617977527</c:v>
                </c:pt>
                <c:pt idx="11">
                  <c:v>0.20588235294117646</c:v>
                </c:pt>
                <c:pt idx="12">
                  <c:v>0.21428571428571427</c:v>
                </c:pt>
                <c:pt idx="13">
                  <c:v>0.22131147540983606</c:v>
                </c:pt>
                <c:pt idx="14">
                  <c:v>0.2109375</c:v>
                </c:pt>
                <c:pt idx="15">
                  <c:v>0.20588235294117646</c:v>
                </c:pt>
                <c:pt idx="16">
                  <c:v>0.19594594594594594</c:v>
                </c:pt>
                <c:pt idx="17">
                  <c:v>0.18954248366013071</c:v>
                </c:pt>
                <c:pt idx="18">
                  <c:v>0.19875776397515527</c:v>
                </c:pt>
                <c:pt idx="19">
                  <c:v>0.19526627218934911</c:v>
                </c:pt>
                <c:pt idx="20">
                  <c:v>0.19075144508670519</c:v>
                </c:pt>
                <c:pt idx="21">
                  <c:v>0.18994413407821228</c:v>
                </c:pt>
                <c:pt idx="22">
                  <c:v>0.18817204301075269</c:v>
                </c:pt>
                <c:pt idx="23">
                  <c:v>0.18324607329842932</c:v>
                </c:pt>
                <c:pt idx="24">
                  <c:v>0.18181818181818182</c:v>
                </c:pt>
                <c:pt idx="25">
                  <c:v>0.1941747572815534</c:v>
                </c:pt>
                <c:pt idx="26">
                  <c:v>0.19339622641509435</c:v>
                </c:pt>
                <c:pt idx="27">
                  <c:v>0.18468468468468469</c:v>
                </c:pt>
                <c:pt idx="28">
                  <c:v>0.1774891774891775</c:v>
                </c:pt>
                <c:pt idx="29">
                  <c:v>0.1875</c:v>
                </c:pt>
                <c:pt idx="30">
                  <c:v>0.19678714859437751</c:v>
                </c:pt>
                <c:pt idx="31">
                  <c:v>0.19607843137254902</c:v>
                </c:pt>
                <c:pt idx="32">
                  <c:v>0.19548872180451127</c:v>
                </c:pt>
                <c:pt idx="33">
                  <c:v>0.19708029197080293</c:v>
                </c:pt>
                <c:pt idx="34">
                  <c:v>0.20143884892086331</c:v>
                </c:pt>
                <c:pt idx="35">
                  <c:v>0.20494699646643111</c:v>
                </c:pt>
                <c:pt idx="36">
                  <c:v>0.21232876712328766</c:v>
                </c:pt>
                <c:pt idx="37">
                  <c:v>0.21</c:v>
                </c:pt>
                <c:pt idx="38">
                  <c:v>0.21035598705501618</c:v>
                </c:pt>
                <c:pt idx="39">
                  <c:v>0.21766561514195584</c:v>
                </c:pt>
                <c:pt idx="40">
                  <c:v>0.21362229102167182</c:v>
                </c:pt>
                <c:pt idx="41">
                  <c:v>0.21212121212121213</c:v>
                </c:pt>
                <c:pt idx="42">
                  <c:v>0.21301775147928995</c:v>
                </c:pt>
                <c:pt idx="43">
                  <c:v>0.21511627906976744</c:v>
                </c:pt>
                <c:pt idx="44">
                  <c:v>0.22033898305084745</c:v>
                </c:pt>
                <c:pt idx="45">
                  <c:v>0.21944444444444444</c:v>
                </c:pt>
                <c:pt idx="46">
                  <c:v>0.22340425531914893</c:v>
                </c:pt>
                <c:pt idx="47">
                  <c:v>0.22572178477690288</c:v>
                </c:pt>
                <c:pt idx="48">
                  <c:v>0.2236503856041131</c:v>
                </c:pt>
                <c:pt idx="49">
                  <c:v>0.22474747474747475</c:v>
                </c:pt>
                <c:pt idx="50">
                  <c:v>0.22167487684729065</c:v>
                </c:pt>
                <c:pt idx="51">
                  <c:v>0.22168674698795179</c:v>
                </c:pt>
                <c:pt idx="52">
                  <c:v>0.22405660377358491</c:v>
                </c:pt>
                <c:pt idx="53">
                  <c:v>0.22401847575057737</c:v>
                </c:pt>
                <c:pt idx="54">
                  <c:v>0.22247706422018348</c:v>
                </c:pt>
                <c:pt idx="55">
                  <c:v>0.22902494331065759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006042296072507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ただ2!$H$1:$H$2</c:f>
              <c:strCache>
                <c:ptCount val="2"/>
                <c:pt idx="0">
                  <c:v>ただ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ただ2!$A$3:$A$58</c:f>
              <c:numCache>
                <c:formatCode>0\ "回"</c:formatCode>
                <c:ptCount val="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</c:numCache>
            </c:numRef>
          </c:xVal>
          <c:yVal>
            <c:numRef>
              <c:f>ただ2!$H$3:$H$58</c:f>
              <c:numCache>
                <c:formatCode>0.0%</c:formatCode>
                <c:ptCount val="56"/>
                <c:pt idx="1">
                  <c:v>0.33333333333333331</c:v>
                </c:pt>
                <c:pt idx="2">
                  <c:v>0.25</c:v>
                </c:pt>
                <c:pt idx="3">
                  <c:v>0.26923076923076922</c:v>
                </c:pt>
                <c:pt idx="4">
                  <c:v>0.24242424242424243</c:v>
                </c:pt>
                <c:pt idx="5">
                  <c:v>0.2558139534883721</c:v>
                </c:pt>
                <c:pt idx="6">
                  <c:v>0.26923076923076922</c:v>
                </c:pt>
                <c:pt idx="7">
                  <c:v>0.2857142857142857</c:v>
                </c:pt>
                <c:pt idx="8">
                  <c:v>0.25396825396825395</c:v>
                </c:pt>
                <c:pt idx="9">
                  <c:v>0.24</c:v>
                </c:pt>
                <c:pt idx="10">
                  <c:v>0.25842696629213485</c:v>
                </c:pt>
                <c:pt idx="11">
                  <c:v>0.24509803921568626</c:v>
                </c:pt>
                <c:pt idx="12">
                  <c:v>0.22321428571428573</c:v>
                </c:pt>
                <c:pt idx="13">
                  <c:v>0.21311475409836064</c:v>
                </c:pt>
                <c:pt idx="14">
                  <c:v>0.21875</c:v>
                </c:pt>
                <c:pt idx="15">
                  <c:v>0.21323529411764705</c:v>
                </c:pt>
                <c:pt idx="16">
                  <c:v>0.20945945945945946</c:v>
                </c:pt>
                <c:pt idx="17">
                  <c:v>0.21568627450980393</c:v>
                </c:pt>
                <c:pt idx="18">
                  <c:v>0.21739130434782608</c:v>
                </c:pt>
                <c:pt idx="19">
                  <c:v>0.21893491124260356</c:v>
                </c:pt>
                <c:pt idx="20">
                  <c:v>0.22543352601156069</c:v>
                </c:pt>
                <c:pt idx="21">
                  <c:v>0.21787709497206703</c:v>
                </c:pt>
                <c:pt idx="22">
                  <c:v>0.22043010752688172</c:v>
                </c:pt>
                <c:pt idx="23">
                  <c:v>0.21989528795811519</c:v>
                </c:pt>
                <c:pt idx="24">
                  <c:v>0.21717171717171718</c:v>
                </c:pt>
                <c:pt idx="25">
                  <c:v>0.21844660194174756</c:v>
                </c:pt>
                <c:pt idx="26">
                  <c:v>0.22641509433962265</c:v>
                </c:pt>
                <c:pt idx="27">
                  <c:v>0.22972972972972974</c:v>
                </c:pt>
                <c:pt idx="28">
                  <c:v>0.22077922077922077</c:v>
                </c:pt>
                <c:pt idx="29">
                  <c:v>0.22083333333333333</c:v>
                </c:pt>
                <c:pt idx="30">
                  <c:v>0.21285140562248997</c:v>
                </c:pt>
                <c:pt idx="31">
                  <c:v>0.20784313725490197</c:v>
                </c:pt>
                <c:pt idx="32">
                  <c:v>0.19924812030075187</c:v>
                </c:pt>
                <c:pt idx="33">
                  <c:v>0.19708029197080293</c:v>
                </c:pt>
                <c:pt idx="34">
                  <c:v>0.19424460431654678</c:v>
                </c:pt>
                <c:pt idx="35">
                  <c:v>0.19434628975265017</c:v>
                </c:pt>
                <c:pt idx="36">
                  <c:v>0.19178082191780821</c:v>
                </c:pt>
                <c:pt idx="37">
                  <c:v>0.19333333333333333</c:v>
                </c:pt>
                <c:pt idx="38">
                  <c:v>0.1941747572815534</c:v>
                </c:pt>
                <c:pt idx="39">
                  <c:v>0.19242902208201892</c:v>
                </c:pt>
                <c:pt idx="40">
                  <c:v>0.19504643962848298</c:v>
                </c:pt>
                <c:pt idx="41">
                  <c:v>0.19696969696969696</c:v>
                </c:pt>
                <c:pt idx="42">
                  <c:v>0.19526627218934911</c:v>
                </c:pt>
                <c:pt idx="43">
                  <c:v>0.19186046511627908</c:v>
                </c:pt>
                <c:pt idx="44">
                  <c:v>0.19491525423728814</c:v>
                </c:pt>
                <c:pt idx="45">
                  <c:v>0.2</c:v>
                </c:pt>
                <c:pt idx="46">
                  <c:v>0.19680851063829788</c:v>
                </c:pt>
                <c:pt idx="47">
                  <c:v>0.1942257217847769</c:v>
                </c:pt>
                <c:pt idx="48">
                  <c:v>0.19537275064267351</c:v>
                </c:pt>
                <c:pt idx="49">
                  <c:v>0.19191919191919191</c:v>
                </c:pt>
                <c:pt idx="50">
                  <c:v>0.19458128078817735</c:v>
                </c:pt>
                <c:pt idx="51">
                  <c:v>0.19759036144578312</c:v>
                </c:pt>
                <c:pt idx="52">
                  <c:v>0.19811320754716982</c:v>
                </c:pt>
                <c:pt idx="53">
                  <c:v>0.19861431870669746</c:v>
                </c:pt>
                <c:pt idx="54">
                  <c:v>0.20412844036697247</c:v>
                </c:pt>
                <c:pt idx="55">
                  <c:v>0.20181405895691609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84290030211480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ただ2!$I$1:$I$2</c:f>
              <c:strCache>
                <c:ptCount val="2"/>
                <c:pt idx="0">
                  <c:v>ただ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ただ2!$A$3:$A$58</c:f>
              <c:numCache>
                <c:formatCode>0\ "回"</c:formatCode>
                <c:ptCount val="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</c:numCache>
            </c:numRef>
          </c:xVal>
          <c:yVal>
            <c:numRef>
              <c:f>ただ2!$I$3:$I$58</c:f>
              <c:numCache>
                <c:formatCode>0</c:formatCode>
                <c:ptCount val="56"/>
                <c:pt idx="1">
                  <c:v>2800</c:v>
                </c:pt>
                <c:pt idx="2">
                  <c:v>7983.333333333333</c:v>
                </c:pt>
                <c:pt idx="3">
                  <c:v>6837.5</c:v>
                </c:pt>
                <c:pt idx="4">
                  <c:v>7411.1111111111113</c:v>
                </c:pt>
                <c:pt idx="5">
                  <c:v>7515.3846153846152</c:v>
                </c:pt>
                <c:pt idx="6">
                  <c:v>7973.333333333333</c:v>
                </c:pt>
                <c:pt idx="7">
                  <c:v>7973.333333333333</c:v>
                </c:pt>
                <c:pt idx="8">
                  <c:v>7977.7777777777774</c:v>
                </c:pt>
                <c:pt idx="9">
                  <c:v>7710.5263157894733</c:v>
                </c:pt>
                <c:pt idx="10">
                  <c:v>7928.5714285714284</c:v>
                </c:pt>
                <c:pt idx="11">
                  <c:v>7928.5714285714284</c:v>
                </c:pt>
                <c:pt idx="12">
                  <c:v>7287.5</c:v>
                </c:pt>
                <c:pt idx="13">
                  <c:v>7314.8148148148148</c:v>
                </c:pt>
                <c:pt idx="14">
                  <c:v>7314.8148148148148</c:v>
                </c:pt>
                <c:pt idx="15">
                  <c:v>7339.2857142857147</c:v>
                </c:pt>
                <c:pt idx="16">
                  <c:v>7362.0689655172409</c:v>
                </c:pt>
                <c:pt idx="17">
                  <c:v>7362.0689655172409</c:v>
                </c:pt>
                <c:pt idx="18">
                  <c:v>7112.5</c:v>
                </c:pt>
                <c:pt idx="19">
                  <c:v>7260.606060606061</c:v>
                </c:pt>
                <c:pt idx="20">
                  <c:v>7260.606060606061</c:v>
                </c:pt>
                <c:pt idx="21">
                  <c:v>7282.3529411764703</c:v>
                </c:pt>
                <c:pt idx="22">
                  <c:v>7302.8571428571431</c:v>
                </c:pt>
                <c:pt idx="23">
                  <c:v>7302.8571428571431</c:v>
                </c:pt>
                <c:pt idx="24">
                  <c:v>7600</c:v>
                </c:pt>
                <c:pt idx="25">
                  <c:v>7672.5</c:v>
                </c:pt>
                <c:pt idx="26">
                  <c:v>7680.4878048780483</c:v>
                </c:pt>
                <c:pt idx="27">
                  <c:v>7680.4878048780483</c:v>
                </c:pt>
                <c:pt idx="28">
                  <c:v>7680.4878048780483</c:v>
                </c:pt>
                <c:pt idx="29">
                  <c:v>7648.8888888888887</c:v>
                </c:pt>
                <c:pt idx="30">
                  <c:v>8695.9183673469379</c:v>
                </c:pt>
                <c:pt idx="31">
                  <c:v>8564</c:v>
                </c:pt>
                <c:pt idx="32">
                  <c:v>8513.461538461539</c:v>
                </c:pt>
                <c:pt idx="33">
                  <c:v>8348.1481481481478</c:v>
                </c:pt>
                <c:pt idx="34">
                  <c:v>8514.2857142857138</c:v>
                </c:pt>
                <c:pt idx="35">
                  <c:v>8679.310344827587</c:v>
                </c:pt>
                <c:pt idx="36">
                  <c:v>8551.6129032258068</c:v>
                </c:pt>
                <c:pt idx="37">
                  <c:v>8457.1428571428569</c:v>
                </c:pt>
                <c:pt idx="38">
                  <c:v>8566.1538461538457</c:v>
                </c:pt>
                <c:pt idx="39">
                  <c:v>8724.63768115942</c:v>
                </c:pt>
                <c:pt idx="40">
                  <c:v>8724.63768115942</c:v>
                </c:pt>
                <c:pt idx="41">
                  <c:v>8714.2857142857138</c:v>
                </c:pt>
                <c:pt idx="42">
                  <c:v>8750</c:v>
                </c:pt>
                <c:pt idx="43">
                  <c:v>8890.54054054054</c:v>
                </c:pt>
                <c:pt idx="44">
                  <c:v>8953.8461538461543</c:v>
                </c:pt>
                <c:pt idx="45">
                  <c:v>8865.8227848101269</c:v>
                </c:pt>
                <c:pt idx="46">
                  <c:v>8869.0476190476184</c:v>
                </c:pt>
                <c:pt idx="47">
                  <c:v>9081.3953488372099</c:v>
                </c:pt>
                <c:pt idx="48">
                  <c:v>9114.9425287356316</c:v>
                </c:pt>
                <c:pt idx="49">
                  <c:v>9132.5842696629206</c:v>
                </c:pt>
                <c:pt idx="50">
                  <c:v>9074.4444444444453</c:v>
                </c:pt>
                <c:pt idx="51">
                  <c:v>8998.9130434782601</c:v>
                </c:pt>
                <c:pt idx="52">
                  <c:v>9006.3157894736851</c:v>
                </c:pt>
                <c:pt idx="53">
                  <c:v>8926.8041237113393</c:v>
                </c:pt>
                <c:pt idx="54">
                  <c:v>8926.8041237113393</c:v>
                </c:pt>
                <c:pt idx="55">
                  <c:v>8911.8811881188121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70.603015075377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ただ2!$J$1:$J$2</c:f>
              <c:strCache>
                <c:ptCount val="2"/>
                <c:pt idx="0">
                  <c:v>ただ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ただ2!$A$3:$A$58</c:f>
              <c:numCache>
                <c:formatCode>0\ "回"</c:formatCode>
                <c:ptCount val="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</c:numCache>
            </c:numRef>
          </c:xVal>
          <c:yVal>
            <c:numRef>
              <c:f>ただ2!$J$3:$J$58</c:f>
              <c:numCache>
                <c:formatCode>0</c:formatCode>
                <c:ptCount val="56"/>
                <c:pt idx="1">
                  <c:v>-7850</c:v>
                </c:pt>
                <c:pt idx="2">
                  <c:v>-9825</c:v>
                </c:pt>
                <c:pt idx="3">
                  <c:v>-8471.4285714285706</c:v>
                </c:pt>
                <c:pt idx="4">
                  <c:v>-8137.5</c:v>
                </c:pt>
                <c:pt idx="5">
                  <c:v>-8627.2727272727279</c:v>
                </c:pt>
                <c:pt idx="6">
                  <c:v>-8350</c:v>
                </c:pt>
                <c:pt idx="7">
                  <c:v>-9431.25</c:v>
                </c:pt>
                <c:pt idx="8">
                  <c:v>-9431.25</c:v>
                </c:pt>
                <c:pt idx="9">
                  <c:v>-9244.4444444444453</c:v>
                </c:pt>
                <c:pt idx="10">
                  <c:v>-9595.652173913044</c:v>
                </c:pt>
                <c:pt idx="11">
                  <c:v>-9708</c:v>
                </c:pt>
                <c:pt idx="12">
                  <c:v>-9708</c:v>
                </c:pt>
                <c:pt idx="13">
                  <c:v>-9950</c:v>
                </c:pt>
                <c:pt idx="14">
                  <c:v>-9571.4285714285706</c:v>
                </c:pt>
                <c:pt idx="15">
                  <c:v>-9331.0344827586214</c:v>
                </c:pt>
                <c:pt idx="16">
                  <c:v>-9374.1935483870966</c:v>
                </c:pt>
                <c:pt idx="17">
                  <c:v>-9654.545454545454</c:v>
                </c:pt>
                <c:pt idx="18">
                  <c:v>-9422.8571428571431</c:v>
                </c:pt>
                <c:pt idx="19">
                  <c:v>-9345.9459459459467</c:v>
                </c:pt>
                <c:pt idx="20">
                  <c:v>-9892.3076923076915</c:v>
                </c:pt>
                <c:pt idx="21">
                  <c:v>-9892.3076923076915</c:v>
                </c:pt>
                <c:pt idx="22">
                  <c:v>-9748.7804878048773</c:v>
                </c:pt>
                <c:pt idx="23">
                  <c:v>-9802.3809523809523</c:v>
                </c:pt>
                <c:pt idx="24">
                  <c:v>-10690.697674418605</c:v>
                </c:pt>
                <c:pt idx="25">
                  <c:v>-10695.555555555555</c:v>
                </c:pt>
                <c:pt idx="26">
                  <c:v>-10462.5</c:v>
                </c:pt>
                <c:pt idx="27">
                  <c:v>-10100</c:v>
                </c:pt>
                <c:pt idx="28">
                  <c:v>-10100</c:v>
                </c:pt>
                <c:pt idx="29">
                  <c:v>-9890.566037735849</c:v>
                </c:pt>
                <c:pt idx="30">
                  <c:v>-9890.566037735849</c:v>
                </c:pt>
                <c:pt idx="31">
                  <c:v>-9890.566037735849</c:v>
                </c:pt>
                <c:pt idx="32">
                  <c:v>-9890.566037735849</c:v>
                </c:pt>
                <c:pt idx="33">
                  <c:v>-9922.2222222222226</c:v>
                </c:pt>
                <c:pt idx="34">
                  <c:v>-9922.2222222222226</c:v>
                </c:pt>
                <c:pt idx="35">
                  <c:v>-9960</c:v>
                </c:pt>
                <c:pt idx="36">
                  <c:v>-9875</c:v>
                </c:pt>
                <c:pt idx="37">
                  <c:v>-9810.3448275862065</c:v>
                </c:pt>
                <c:pt idx="38">
                  <c:v>-9846.6666666666661</c:v>
                </c:pt>
                <c:pt idx="39">
                  <c:v>-9816.3934426229516</c:v>
                </c:pt>
                <c:pt idx="40">
                  <c:v>-9663.4920634920636</c:v>
                </c:pt>
                <c:pt idx="41">
                  <c:v>-9587.6923076923085</c:v>
                </c:pt>
                <c:pt idx="42">
                  <c:v>-9530.30303030303</c:v>
                </c:pt>
                <c:pt idx="43">
                  <c:v>-9530.30303030303</c:v>
                </c:pt>
                <c:pt idx="44">
                  <c:v>-9349.2753623188401</c:v>
                </c:pt>
                <c:pt idx="45">
                  <c:v>-9261.1111111111113</c:v>
                </c:pt>
                <c:pt idx="46">
                  <c:v>-9212.1621621621616</c:v>
                </c:pt>
                <c:pt idx="47">
                  <c:v>-9212.1621621621616</c:v>
                </c:pt>
                <c:pt idx="48">
                  <c:v>-9038.1578947368416</c:v>
                </c:pt>
                <c:pt idx="49">
                  <c:v>-9038.1578947368416</c:v>
                </c:pt>
                <c:pt idx="50">
                  <c:v>-8943.0379746835442</c:v>
                </c:pt>
                <c:pt idx="51">
                  <c:v>-8996.3414634146338</c:v>
                </c:pt>
                <c:pt idx="52">
                  <c:v>-9016.6666666666661</c:v>
                </c:pt>
                <c:pt idx="53">
                  <c:v>-8963.9534883720935</c:v>
                </c:pt>
                <c:pt idx="54">
                  <c:v>-9068.5393258426975</c:v>
                </c:pt>
                <c:pt idx="55">
                  <c:v>-9068.5393258426975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109.417040358744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ただ2!$K$1:$K$2</c:f>
              <c:strCache>
                <c:ptCount val="2"/>
                <c:pt idx="0">
                  <c:v>ただ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ただ2!$A$3:$A$58</c:f>
              <c:numCache>
                <c:formatCode>0\ "回"</c:formatCode>
                <c:ptCount val="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</c:numCache>
            </c:numRef>
          </c:xVal>
          <c:yVal>
            <c:numRef>
              <c:f>ただ2!$K$3:$K$58</c:f>
              <c:numCache>
                <c:formatCode>0.0%</c:formatCode>
                <c:ptCount val="5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0.2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0.23529411764705882</c:v>
                </c:pt>
                <c:pt idx="18">
                  <c:v>0.22222222222222221</c:v>
                </c:pt>
                <c:pt idx="19">
                  <c:v>0.21052631578947367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0.22727272727272727</c:v>
                </c:pt>
                <c:pt idx="23">
                  <c:v>0.2608695652173913</c:v>
                </c:pt>
                <c:pt idx="24">
                  <c:v>0.29166666666666669</c:v>
                </c:pt>
                <c:pt idx="25">
                  <c:v>0.28000000000000003</c:v>
                </c:pt>
                <c:pt idx="26">
                  <c:v>0.26923076923076922</c:v>
                </c:pt>
                <c:pt idx="27">
                  <c:v>0.29629629629629628</c:v>
                </c:pt>
                <c:pt idx="28">
                  <c:v>0.2857142857142857</c:v>
                </c:pt>
                <c:pt idx="29">
                  <c:v>0.27586206896551724</c:v>
                </c:pt>
                <c:pt idx="30">
                  <c:v>0.26666666666666666</c:v>
                </c:pt>
                <c:pt idx="31">
                  <c:v>0.25806451612903225</c:v>
                </c:pt>
                <c:pt idx="32">
                  <c:v>0.25</c:v>
                </c:pt>
                <c:pt idx="33">
                  <c:v>0.24242424242424243</c:v>
                </c:pt>
                <c:pt idx="34">
                  <c:v>0.23529411764705882</c:v>
                </c:pt>
                <c:pt idx="35">
                  <c:v>0.22857142857142856</c:v>
                </c:pt>
                <c:pt idx="36">
                  <c:v>0.22222222222222221</c:v>
                </c:pt>
                <c:pt idx="37">
                  <c:v>0.21621621621621623</c:v>
                </c:pt>
                <c:pt idx="38">
                  <c:v>0.21052631578947367</c:v>
                </c:pt>
                <c:pt idx="39">
                  <c:v>0.20512820512820512</c:v>
                </c:pt>
                <c:pt idx="40">
                  <c:v>0.2</c:v>
                </c:pt>
                <c:pt idx="41">
                  <c:v>0.1951219512195122</c:v>
                </c:pt>
                <c:pt idx="42">
                  <c:v>0.19047619047619047</c:v>
                </c:pt>
                <c:pt idx="43">
                  <c:v>0.18604651162790697</c:v>
                </c:pt>
                <c:pt idx="44">
                  <c:v>0.18181818181818182</c:v>
                </c:pt>
                <c:pt idx="45">
                  <c:v>0.17777777777777778</c:v>
                </c:pt>
                <c:pt idx="46">
                  <c:v>0.17391304347826086</c:v>
                </c:pt>
                <c:pt idx="47">
                  <c:v>0.1702127659574468</c:v>
                </c:pt>
                <c:pt idx="48">
                  <c:v>0.16666666666666666</c:v>
                </c:pt>
                <c:pt idx="49">
                  <c:v>0.16326530612244897</c:v>
                </c:pt>
                <c:pt idx="50">
                  <c:v>0.18</c:v>
                </c:pt>
                <c:pt idx="51">
                  <c:v>0.19607843137254902</c:v>
                </c:pt>
                <c:pt idx="52">
                  <c:v>0.19230769230769232</c:v>
                </c:pt>
                <c:pt idx="53">
                  <c:v>0.18867924528301888</c:v>
                </c:pt>
                <c:pt idx="54">
                  <c:v>0.20370370370370369</c:v>
                </c:pt>
                <c:pt idx="55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1111111111111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ただ2!$L$1:$L$2</c:f>
              <c:strCache>
                <c:ptCount val="2"/>
                <c:pt idx="0">
                  <c:v>ただ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ただ2!$A$3:$A$58</c:f>
              <c:numCache>
                <c:formatCode>0\ "回"</c:formatCode>
                <c:ptCount val="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</c:numCache>
            </c:numRef>
          </c:xVal>
          <c:yVal>
            <c:numRef>
              <c:f>ただ2!$L$3:$L$58</c:f>
              <c:numCache>
                <c:formatCode>0.0%</c:formatCode>
                <c:ptCount val="56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3.3333333333333333E-2</c:v>
                </c:pt>
                <c:pt idx="31">
                  <c:v>3.2258064516129031E-2</c:v>
                </c:pt>
                <c:pt idx="32">
                  <c:v>3.125E-2</c:v>
                </c:pt>
                <c:pt idx="33">
                  <c:v>3.0303030303030304E-2</c:v>
                </c:pt>
                <c:pt idx="34">
                  <c:v>5.8823529411764705E-2</c:v>
                </c:pt>
                <c:pt idx="35">
                  <c:v>5.7142857142857141E-2</c:v>
                </c:pt>
                <c:pt idx="36">
                  <c:v>5.5555555555555552E-2</c:v>
                </c:pt>
                <c:pt idx="37">
                  <c:v>5.4054054054054057E-2</c:v>
                </c:pt>
                <c:pt idx="38">
                  <c:v>5.2631578947368418E-2</c:v>
                </c:pt>
                <c:pt idx="39">
                  <c:v>5.128205128205128E-2</c:v>
                </c:pt>
                <c:pt idx="40">
                  <c:v>0.05</c:v>
                </c:pt>
                <c:pt idx="41">
                  <c:v>4.878048780487805E-2</c:v>
                </c:pt>
                <c:pt idx="42">
                  <c:v>4.7619047619047616E-2</c:v>
                </c:pt>
                <c:pt idx="43">
                  <c:v>6.9767441860465115E-2</c:v>
                </c:pt>
                <c:pt idx="44">
                  <c:v>9.0909090909090912E-2</c:v>
                </c:pt>
                <c:pt idx="45">
                  <c:v>8.8888888888888892E-2</c:v>
                </c:pt>
                <c:pt idx="46">
                  <c:v>8.6956521739130432E-2</c:v>
                </c:pt>
                <c:pt idx="47">
                  <c:v>0.10638297872340426</c:v>
                </c:pt>
                <c:pt idx="48">
                  <c:v>0.10416666666666667</c:v>
                </c:pt>
                <c:pt idx="49">
                  <c:v>0.12244897959183673</c:v>
                </c:pt>
                <c:pt idx="50">
                  <c:v>0.12</c:v>
                </c:pt>
                <c:pt idx="51">
                  <c:v>0.11764705882352941</c:v>
                </c:pt>
                <c:pt idx="52">
                  <c:v>0.11538461538461539</c:v>
                </c:pt>
                <c:pt idx="53">
                  <c:v>0.11320754716981132</c:v>
                </c:pt>
                <c:pt idx="54">
                  <c:v>0.1111111111111111</c:v>
                </c:pt>
                <c:pt idx="55">
                  <c:v>0.12727272727272726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1111111111111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ただ2!$M$1:$M$2</c:f>
              <c:strCache>
                <c:ptCount val="2"/>
                <c:pt idx="0">
                  <c:v>ただ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ただ2!$A$3:$A$58</c:f>
              <c:numCache>
                <c:formatCode>0\ "回"</c:formatCode>
                <c:ptCount val="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</c:numCache>
            </c:numRef>
          </c:xVal>
          <c:yVal>
            <c:numRef>
              <c:f>ただ2!$M$3:$M$58</c:f>
              <c:numCache>
                <c:formatCode>0.0%</c:formatCode>
                <c:ptCount val="56"/>
                <c:pt idx="1">
                  <c:v>0.16666666666666666</c:v>
                </c:pt>
                <c:pt idx="2">
                  <c:v>0.25</c:v>
                </c:pt>
                <c:pt idx="3">
                  <c:v>0.23076923076923078</c:v>
                </c:pt>
                <c:pt idx="4">
                  <c:v>0.21212121212121213</c:v>
                </c:pt>
                <c:pt idx="5">
                  <c:v>0.18604651162790697</c:v>
                </c:pt>
                <c:pt idx="6">
                  <c:v>0.21153846153846154</c:v>
                </c:pt>
                <c:pt idx="7">
                  <c:v>0.21428571428571427</c:v>
                </c:pt>
                <c:pt idx="8">
                  <c:v>0.23809523809523808</c:v>
                </c:pt>
                <c:pt idx="9">
                  <c:v>0.24</c:v>
                </c:pt>
                <c:pt idx="10">
                  <c:v>0.24719101123595505</c:v>
                </c:pt>
                <c:pt idx="11">
                  <c:v>0.22549019607843138</c:v>
                </c:pt>
                <c:pt idx="12">
                  <c:v>0.22321428571428573</c:v>
                </c:pt>
                <c:pt idx="13">
                  <c:v>0.22950819672131148</c:v>
                </c:pt>
                <c:pt idx="14">
                  <c:v>0.21875</c:v>
                </c:pt>
                <c:pt idx="15">
                  <c:v>0.21323529411764705</c:v>
                </c:pt>
                <c:pt idx="16">
                  <c:v>0.22972972972972974</c:v>
                </c:pt>
                <c:pt idx="17">
                  <c:v>0.22875816993464052</c:v>
                </c:pt>
                <c:pt idx="18">
                  <c:v>0.24223602484472051</c:v>
                </c:pt>
                <c:pt idx="19">
                  <c:v>0.23668639053254437</c:v>
                </c:pt>
                <c:pt idx="20">
                  <c:v>0.23121387283236994</c:v>
                </c:pt>
                <c:pt idx="21">
                  <c:v>0.24022346368715083</c:v>
                </c:pt>
                <c:pt idx="22">
                  <c:v>0.24193548387096775</c:v>
                </c:pt>
                <c:pt idx="23">
                  <c:v>0.2356020942408377</c:v>
                </c:pt>
                <c:pt idx="24">
                  <c:v>0.23737373737373738</c:v>
                </c:pt>
                <c:pt idx="25">
                  <c:v>0.24757281553398058</c:v>
                </c:pt>
                <c:pt idx="26">
                  <c:v>0.24528301886792453</c:v>
                </c:pt>
                <c:pt idx="27">
                  <c:v>0.24324324324324326</c:v>
                </c:pt>
                <c:pt idx="28">
                  <c:v>0.23809523809523808</c:v>
                </c:pt>
                <c:pt idx="29">
                  <c:v>0.24583333333333332</c:v>
                </c:pt>
                <c:pt idx="30">
                  <c:v>0.24899598393574296</c:v>
                </c:pt>
                <c:pt idx="31">
                  <c:v>0.24705882352941178</c:v>
                </c:pt>
                <c:pt idx="32">
                  <c:v>0.24436090225563908</c:v>
                </c:pt>
                <c:pt idx="33">
                  <c:v>0.24087591240875914</c:v>
                </c:pt>
                <c:pt idx="34">
                  <c:v>0.24820143884892087</c:v>
                </c:pt>
                <c:pt idx="35">
                  <c:v>0.25088339222614842</c:v>
                </c:pt>
                <c:pt idx="36">
                  <c:v>0.25342465753424659</c:v>
                </c:pt>
                <c:pt idx="37">
                  <c:v>0.24666666666666667</c:v>
                </c:pt>
                <c:pt idx="38">
                  <c:v>0.24919093851132687</c:v>
                </c:pt>
                <c:pt idx="39">
                  <c:v>0.24921135646687698</c:v>
                </c:pt>
                <c:pt idx="40">
                  <c:v>0.25077399380804954</c:v>
                </c:pt>
                <c:pt idx="41">
                  <c:v>0.24848484848484848</c:v>
                </c:pt>
                <c:pt idx="42">
                  <c:v>0.24852071005917159</c:v>
                </c:pt>
                <c:pt idx="43">
                  <c:v>0.24709302325581395</c:v>
                </c:pt>
                <c:pt idx="44">
                  <c:v>0.25423728813559321</c:v>
                </c:pt>
                <c:pt idx="45">
                  <c:v>0.25555555555555554</c:v>
                </c:pt>
                <c:pt idx="46">
                  <c:v>0.26063829787234044</c:v>
                </c:pt>
                <c:pt idx="47">
                  <c:v>0.25984251968503935</c:v>
                </c:pt>
                <c:pt idx="48">
                  <c:v>0.2647814910025707</c:v>
                </c:pt>
                <c:pt idx="49">
                  <c:v>0.26010101010101011</c:v>
                </c:pt>
                <c:pt idx="50">
                  <c:v>0.2536945812807882</c:v>
                </c:pt>
                <c:pt idx="51">
                  <c:v>0.25542168674698795</c:v>
                </c:pt>
                <c:pt idx="52">
                  <c:v>0.25471698113207547</c:v>
                </c:pt>
                <c:pt idx="53">
                  <c:v>0.25173210161662818</c:v>
                </c:pt>
                <c:pt idx="54">
                  <c:v>0.25</c:v>
                </c:pt>
                <c:pt idx="55">
                  <c:v>0.25396825396825395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36656596173212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ただ2!$N$1:$N$2</c:f>
              <c:strCache>
                <c:ptCount val="2"/>
                <c:pt idx="0">
                  <c:v>ただ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ただ2!$A$3:$A$58</c:f>
              <c:numCache>
                <c:formatCode>0\ "回"</c:formatCode>
                <c:ptCount val="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</c:numCache>
            </c:numRef>
          </c:xVal>
          <c:yVal>
            <c:numRef>
              <c:f>ただ2!$N$3:$N$58</c:f>
              <c:numCache>
                <c:formatCode>0.0%</c:formatCode>
                <c:ptCount val="56"/>
                <c:pt idx="1">
                  <c:v>0.16666666666666666</c:v>
                </c:pt>
                <c:pt idx="2">
                  <c:v>0.25</c:v>
                </c:pt>
                <c:pt idx="3">
                  <c:v>0.30769230769230771</c:v>
                </c:pt>
                <c:pt idx="4">
                  <c:v>0.24242424242424243</c:v>
                </c:pt>
                <c:pt idx="5">
                  <c:v>0.18604651162790697</c:v>
                </c:pt>
                <c:pt idx="6">
                  <c:v>0.15384615384615385</c:v>
                </c:pt>
                <c:pt idx="7">
                  <c:v>0.14285714285714285</c:v>
                </c:pt>
                <c:pt idx="8">
                  <c:v>0.12698412698412698</c:v>
                </c:pt>
                <c:pt idx="9">
                  <c:v>0.10666666666666667</c:v>
                </c:pt>
                <c:pt idx="10">
                  <c:v>0.10112359550561797</c:v>
                </c:pt>
                <c:pt idx="11">
                  <c:v>9.8039215686274508E-2</c:v>
                </c:pt>
                <c:pt idx="12">
                  <c:v>8.9285714285714288E-2</c:v>
                </c:pt>
                <c:pt idx="13">
                  <c:v>9.8360655737704916E-2</c:v>
                </c:pt>
                <c:pt idx="14">
                  <c:v>0.1015625</c:v>
                </c:pt>
                <c:pt idx="15">
                  <c:v>0.11029411764705882</c:v>
                </c:pt>
                <c:pt idx="16">
                  <c:v>0.10810810810810811</c:v>
                </c:pt>
                <c:pt idx="17">
                  <c:v>0.11764705882352941</c:v>
                </c:pt>
                <c:pt idx="18">
                  <c:v>0.11180124223602485</c:v>
                </c:pt>
                <c:pt idx="19">
                  <c:v>0.11242603550295859</c:v>
                </c:pt>
                <c:pt idx="20">
                  <c:v>0.11560693641618497</c:v>
                </c:pt>
                <c:pt idx="21">
                  <c:v>0.11731843575418995</c:v>
                </c:pt>
                <c:pt idx="22">
                  <c:v>0.11827956989247312</c:v>
                </c:pt>
                <c:pt idx="23">
                  <c:v>0.11518324607329843</c:v>
                </c:pt>
                <c:pt idx="24">
                  <c:v>0.11616161616161616</c:v>
                </c:pt>
                <c:pt idx="25">
                  <c:v>0.11165048543689321</c:v>
                </c:pt>
                <c:pt idx="26">
                  <c:v>0.12264150943396226</c:v>
                </c:pt>
                <c:pt idx="27">
                  <c:v>0.13513513513513514</c:v>
                </c:pt>
                <c:pt idx="28">
                  <c:v>0.12987012987012986</c:v>
                </c:pt>
                <c:pt idx="29">
                  <c:v>0.125</c:v>
                </c:pt>
                <c:pt idx="30">
                  <c:v>0.12449799196787148</c:v>
                </c:pt>
                <c:pt idx="31">
                  <c:v>0.12549019607843137</c:v>
                </c:pt>
                <c:pt idx="32">
                  <c:v>0.13909774436090225</c:v>
                </c:pt>
                <c:pt idx="33">
                  <c:v>0.145985401459854</c:v>
                </c:pt>
                <c:pt idx="34">
                  <c:v>0.14388489208633093</c:v>
                </c:pt>
                <c:pt idx="35">
                  <c:v>0.14487632508833923</c:v>
                </c:pt>
                <c:pt idx="36">
                  <c:v>0.14726027397260275</c:v>
                </c:pt>
                <c:pt idx="37">
                  <c:v>0.14666666666666667</c:v>
                </c:pt>
                <c:pt idx="38">
                  <c:v>0.14563106796116504</c:v>
                </c:pt>
                <c:pt idx="39">
                  <c:v>0.14826498422712933</c:v>
                </c:pt>
                <c:pt idx="40">
                  <c:v>0.15170278637770898</c:v>
                </c:pt>
                <c:pt idx="41">
                  <c:v>0.15151515151515152</c:v>
                </c:pt>
                <c:pt idx="42">
                  <c:v>0.15384615384615385</c:v>
                </c:pt>
                <c:pt idx="43">
                  <c:v>0.15697674418604651</c:v>
                </c:pt>
                <c:pt idx="44">
                  <c:v>0.15819209039548024</c:v>
                </c:pt>
                <c:pt idx="45">
                  <c:v>0.15833333333333333</c:v>
                </c:pt>
                <c:pt idx="46">
                  <c:v>0.15691489361702127</c:v>
                </c:pt>
                <c:pt idx="47">
                  <c:v>0.15748031496062992</c:v>
                </c:pt>
                <c:pt idx="48">
                  <c:v>0.15424164524421594</c:v>
                </c:pt>
                <c:pt idx="49">
                  <c:v>0.15404040404040403</c:v>
                </c:pt>
                <c:pt idx="50">
                  <c:v>0.15270935960591134</c:v>
                </c:pt>
                <c:pt idx="51">
                  <c:v>0.15421686746987953</c:v>
                </c:pt>
                <c:pt idx="52">
                  <c:v>0.15566037735849056</c:v>
                </c:pt>
                <c:pt idx="53">
                  <c:v>0.15704387990762125</c:v>
                </c:pt>
                <c:pt idx="54">
                  <c:v>0.15825688073394495</c:v>
                </c:pt>
                <c:pt idx="55">
                  <c:v>0.15646258503401361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0725075528700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ただ2!$O$1:$O$2</c:f>
              <c:strCache>
                <c:ptCount val="2"/>
                <c:pt idx="0">
                  <c:v>ただ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ただ2!$A$3:$A$58</c:f>
              <c:numCache>
                <c:formatCode>0\ "回"</c:formatCode>
                <c:ptCount val="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</c:numCache>
            </c:numRef>
          </c:xVal>
          <c:yVal>
            <c:numRef>
              <c:f>ただ2!$O$3:$O$58</c:f>
              <c:numCache>
                <c:formatCode>0.0%</c:formatCode>
                <c:ptCount val="56"/>
                <c:pt idx="1">
                  <c:v>1</c:v>
                </c:pt>
                <c:pt idx="2">
                  <c:v>1</c:v>
                </c:pt>
                <c:pt idx="3">
                  <c:v>0.66666666666666663</c:v>
                </c:pt>
                <c:pt idx="4">
                  <c:v>0.5714285714285714</c:v>
                </c:pt>
                <c:pt idx="5">
                  <c:v>0.625</c:v>
                </c:pt>
                <c:pt idx="6">
                  <c:v>0.63636363636363635</c:v>
                </c:pt>
                <c:pt idx="7">
                  <c:v>0.58333333333333337</c:v>
                </c:pt>
                <c:pt idx="8">
                  <c:v>0.6</c:v>
                </c:pt>
                <c:pt idx="9">
                  <c:v>0.55555555555555558</c:v>
                </c:pt>
                <c:pt idx="10">
                  <c:v>0.5</c:v>
                </c:pt>
                <c:pt idx="11">
                  <c:v>0.47826086956521741</c:v>
                </c:pt>
                <c:pt idx="12">
                  <c:v>0.48</c:v>
                </c:pt>
                <c:pt idx="13">
                  <c:v>0.5</c:v>
                </c:pt>
                <c:pt idx="14">
                  <c:v>0.5</c:v>
                </c:pt>
                <c:pt idx="15">
                  <c:v>0.51724137931034486</c:v>
                </c:pt>
                <c:pt idx="16">
                  <c:v>0.47058823529411764</c:v>
                </c:pt>
                <c:pt idx="17">
                  <c:v>0.45714285714285713</c:v>
                </c:pt>
                <c:pt idx="18">
                  <c:v>0.46153846153846156</c:v>
                </c:pt>
                <c:pt idx="19">
                  <c:v>0.47499999999999998</c:v>
                </c:pt>
                <c:pt idx="20">
                  <c:v>0.47499999999999998</c:v>
                </c:pt>
                <c:pt idx="21">
                  <c:v>0.46511627906976744</c:v>
                </c:pt>
                <c:pt idx="22">
                  <c:v>0.46666666666666667</c:v>
                </c:pt>
                <c:pt idx="23">
                  <c:v>0.46666666666666667</c:v>
                </c:pt>
                <c:pt idx="24">
                  <c:v>0.46808510638297873</c:v>
                </c:pt>
                <c:pt idx="25">
                  <c:v>0.49019607843137253</c:v>
                </c:pt>
                <c:pt idx="26">
                  <c:v>0.5</c:v>
                </c:pt>
                <c:pt idx="27">
                  <c:v>0.48148148148148145</c:v>
                </c:pt>
                <c:pt idx="28">
                  <c:v>0.47272727272727272</c:v>
                </c:pt>
                <c:pt idx="29">
                  <c:v>0.47457627118644069</c:v>
                </c:pt>
                <c:pt idx="30">
                  <c:v>0.5</c:v>
                </c:pt>
                <c:pt idx="31">
                  <c:v>0.49206349206349204</c:v>
                </c:pt>
                <c:pt idx="32">
                  <c:v>0.47692307692307695</c:v>
                </c:pt>
                <c:pt idx="33">
                  <c:v>0.46969696969696972</c:v>
                </c:pt>
                <c:pt idx="34">
                  <c:v>0.47826086956521741</c:v>
                </c:pt>
                <c:pt idx="35">
                  <c:v>0.49295774647887325</c:v>
                </c:pt>
                <c:pt idx="36">
                  <c:v>0.51351351351351349</c:v>
                </c:pt>
                <c:pt idx="37">
                  <c:v>0.51351351351351349</c:v>
                </c:pt>
                <c:pt idx="38">
                  <c:v>0.50649350649350644</c:v>
                </c:pt>
                <c:pt idx="39">
                  <c:v>0.51898734177215189</c:v>
                </c:pt>
                <c:pt idx="40">
                  <c:v>0.50617283950617287</c:v>
                </c:pt>
                <c:pt idx="41">
                  <c:v>0.51219512195121952</c:v>
                </c:pt>
                <c:pt idx="42">
                  <c:v>0.52380952380952384</c:v>
                </c:pt>
                <c:pt idx="43">
                  <c:v>0.52941176470588236</c:v>
                </c:pt>
                <c:pt idx="44">
                  <c:v>0.53333333333333333</c:v>
                </c:pt>
                <c:pt idx="45">
                  <c:v>0.53260869565217395</c:v>
                </c:pt>
                <c:pt idx="46">
                  <c:v>0.53061224489795922</c:v>
                </c:pt>
                <c:pt idx="47">
                  <c:v>0.53535353535353536</c:v>
                </c:pt>
                <c:pt idx="48">
                  <c:v>0.52427184466019416</c:v>
                </c:pt>
                <c:pt idx="49">
                  <c:v>0.52427184466019416</c:v>
                </c:pt>
                <c:pt idx="50">
                  <c:v>0.52427184466019416</c:v>
                </c:pt>
                <c:pt idx="51">
                  <c:v>0.51886792452830188</c:v>
                </c:pt>
                <c:pt idx="52">
                  <c:v>0.51851851851851849</c:v>
                </c:pt>
                <c:pt idx="53">
                  <c:v>0.52293577981651373</c:v>
                </c:pt>
                <c:pt idx="54">
                  <c:v>0.52293577981651373</c:v>
                </c:pt>
                <c:pt idx="55">
                  <c:v>0.5267857142857143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91536338546458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ただ2!$P$1:$P$2</c:f>
              <c:strCache>
                <c:ptCount val="2"/>
                <c:pt idx="0">
                  <c:v>ただ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ただ2!$A$3:$A$58</c:f>
              <c:numCache>
                <c:formatCode>0\ "回"</c:formatCode>
                <c:ptCount val="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</c:numCache>
            </c:numRef>
          </c:xVal>
          <c:yVal>
            <c:numRef>
              <c:f>ただ2!$P$3:$P$58</c:f>
              <c:numCache>
                <c:formatCode>0.0%</c:formatCode>
                <c:ptCount val="56"/>
                <c:pt idx="1">
                  <c:v>0</c:v>
                </c:pt>
                <c:pt idx="2">
                  <c:v>0.25</c:v>
                </c:pt>
                <c:pt idx="3">
                  <c:v>0.375</c:v>
                </c:pt>
                <c:pt idx="4">
                  <c:v>0.375</c:v>
                </c:pt>
                <c:pt idx="5">
                  <c:v>0.375</c:v>
                </c:pt>
                <c:pt idx="6">
                  <c:v>0.375</c:v>
                </c:pt>
                <c:pt idx="7">
                  <c:v>0.375</c:v>
                </c:pt>
                <c:pt idx="8">
                  <c:v>0.375</c:v>
                </c:pt>
                <c:pt idx="9">
                  <c:v>0.375</c:v>
                </c:pt>
                <c:pt idx="10">
                  <c:v>0.44444444444444442</c:v>
                </c:pt>
                <c:pt idx="11">
                  <c:v>0.4</c:v>
                </c:pt>
                <c:pt idx="12">
                  <c:v>0.4</c:v>
                </c:pt>
                <c:pt idx="13">
                  <c:v>0.33333333333333331</c:v>
                </c:pt>
                <c:pt idx="14">
                  <c:v>0.30769230769230771</c:v>
                </c:pt>
                <c:pt idx="15">
                  <c:v>0.26666666666666666</c:v>
                </c:pt>
                <c:pt idx="16">
                  <c:v>0.25</c:v>
                </c:pt>
                <c:pt idx="17">
                  <c:v>0.22222222222222221</c:v>
                </c:pt>
                <c:pt idx="18">
                  <c:v>0.22222222222222221</c:v>
                </c:pt>
                <c:pt idx="19">
                  <c:v>0.21052631578947367</c:v>
                </c:pt>
                <c:pt idx="20">
                  <c:v>0.2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0.18181818181818182</c:v>
                </c:pt>
                <c:pt idx="24">
                  <c:v>0.17391304347826086</c:v>
                </c:pt>
                <c:pt idx="25">
                  <c:v>0.17391304347826086</c:v>
                </c:pt>
                <c:pt idx="26">
                  <c:v>0.15384615384615385</c:v>
                </c:pt>
                <c:pt idx="27">
                  <c:v>0.13333333333333333</c:v>
                </c:pt>
                <c:pt idx="28">
                  <c:v>0.13333333333333333</c:v>
                </c:pt>
                <c:pt idx="29">
                  <c:v>0.13333333333333333</c:v>
                </c:pt>
                <c:pt idx="30">
                  <c:v>0.12903225806451613</c:v>
                </c:pt>
                <c:pt idx="31">
                  <c:v>0.15625</c:v>
                </c:pt>
                <c:pt idx="32">
                  <c:v>0.1891891891891892</c:v>
                </c:pt>
                <c:pt idx="33">
                  <c:v>0.17499999999999999</c:v>
                </c:pt>
                <c:pt idx="34">
                  <c:v>0.17499999999999999</c:v>
                </c:pt>
                <c:pt idx="35">
                  <c:v>0.17073170731707318</c:v>
                </c:pt>
                <c:pt idx="36">
                  <c:v>0.18604651162790697</c:v>
                </c:pt>
                <c:pt idx="37">
                  <c:v>0.18181818181818182</c:v>
                </c:pt>
                <c:pt idx="38">
                  <c:v>0.2</c:v>
                </c:pt>
                <c:pt idx="39">
                  <c:v>0.21276595744680851</c:v>
                </c:pt>
                <c:pt idx="40">
                  <c:v>0.20408163265306123</c:v>
                </c:pt>
                <c:pt idx="41">
                  <c:v>0.2</c:v>
                </c:pt>
                <c:pt idx="42">
                  <c:v>0.19230769230769232</c:v>
                </c:pt>
                <c:pt idx="43">
                  <c:v>0.20370370370370369</c:v>
                </c:pt>
                <c:pt idx="44">
                  <c:v>0.19642857142857142</c:v>
                </c:pt>
                <c:pt idx="45">
                  <c:v>0.19298245614035087</c:v>
                </c:pt>
                <c:pt idx="46">
                  <c:v>0.20338983050847459</c:v>
                </c:pt>
                <c:pt idx="47">
                  <c:v>0.21666666666666667</c:v>
                </c:pt>
                <c:pt idx="48">
                  <c:v>0.21666666666666667</c:v>
                </c:pt>
                <c:pt idx="49">
                  <c:v>0.22950819672131148</c:v>
                </c:pt>
                <c:pt idx="50">
                  <c:v>0.24193548387096775</c:v>
                </c:pt>
                <c:pt idx="51">
                  <c:v>0.234375</c:v>
                </c:pt>
                <c:pt idx="52">
                  <c:v>0.25757575757575757</c:v>
                </c:pt>
                <c:pt idx="53">
                  <c:v>0.25</c:v>
                </c:pt>
                <c:pt idx="54">
                  <c:v>0.24637681159420291</c:v>
                </c:pt>
                <c:pt idx="55">
                  <c:v>0.24637681159420291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882915173237753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ただ2!$Q$1:$Q$2</c:f>
              <c:strCache>
                <c:ptCount val="2"/>
                <c:pt idx="0">
                  <c:v>ただ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ただ2!$A$3:$A$58</c:f>
              <c:numCache>
                <c:formatCode>0\ "回"</c:formatCode>
                <c:ptCount val="5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</c:numCache>
            </c:numRef>
          </c:xVal>
          <c:yVal>
            <c:numRef>
              <c:f>ただ2!$Q$3:$Q$58</c:f>
              <c:numCache>
                <c:formatCode>0.0%</c:formatCode>
                <c:ptCount val="56"/>
                <c:pt idx="1">
                  <c:v>1</c:v>
                </c:pt>
                <c:pt idx="2">
                  <c:v>0.33333333333333331</c:v>
                </c:pt>
                <c:pt idx="3">
                  <c:v>0.25</c:v>
                </c:pt>
                <c:pt idx="4">
                  <c:v>0.22222222222222221</c:v>
                </c:pt>
                <c:pt idx="5">
                  <c:v>0.30769230769230771</c:v>
                </c:pt>
                <c:pt idx="6">
                  <c:v>0.33333333333333331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0.31578947368421051</c:v>
                </c:pt>
                <c:pt idx="10">
                  <c:v>0.38095238095238093</c:v>
                </c:pt>
                <c:pt idx="11">
                  <c:v>0.38095238095238093</c:v>
                </c:pt>
                <c:pt idx="12">
                  <c:v>0.375</c:v>
                </c:pt>
                <c:pt idx="13">
                  <c:v>0.40740740740740738</c:v>
                </c:pt>
                <c:pt idx="14">
                  <c:v>0.40740740740740738</c:v>
                </c:pt>
                <c:pt idx="15">
                  <c:v>0.39285714285714285</c:v>
                </c:pt>
                <c:pt idx="16">
                  <c:v>0.41379310344827586</c:v>
                </c:pt>
                <c:pt idx="17">
                  <c:v>0.41379310344827586</c:v>
                </c:pt>
                <c:pt idx="18">
                  <c:v>0.46875</c:v>
                </c:pt>
                <c:pt idx="19">
                  <c:v>0.45454545454545453</c:v>
                </c:pt>
                <c:pt idx="20">
                  <c:v>0.45454545454545453</c:v>
                </c:pt>
                <c:pt idx="21">
                  <c:v>0.47058823529411764</c:v>
                </c:pt>
                <c:pt idx="22">
                  <c:v>0.48571428571428571</c:v>
                </c:pt>
                <c:pt idx="23">
                  <c:v>0.48571428571428571</c:v>
                </c:pt>
                <c:pt idx="24">
                  <c:v>0.47222222222222221</c:v>
                </c:pt>
                <c:pt idx="25">
                  <c:v>0.5</c:v>
                </c:pt>
                <c:pt idx="26">
                  <c:v>0.51219512195121952</c:v>
                </c:pt>
                <c:pt idx="27">
                  <c:v>0.51219512195121952</c:v>
                </c:pt>
                <c:pt idx="28">
                  <c:v>0.51219512195121952</c:v>
                </c:pt>
                <c:pt idx="29">
                  <c:v>0.55555555555555558</c:v>
                </c:pt>
                <c:pt idx="30">
                  <c:v>0.53061224489795922</c:v>
                </c:pt>
                <c:pt idx="31">
                  <c:v>0.54</c:v>
                </c:pt>
                <c:pt idx="32">
                  <c:v>0.51923076923076927</c:v>
                </c:pt>
                <c:pt idx="33">
                  <c:v>0.53703703703703709</c:v>
                </c:pt>
                <c:pt idx="34">
                  <c:v>0.5357142857142857</c:v>
                </c:pt>
                <c:pt idx="35">
                  <c:v>0.51724137931034486</c:v>
                </c:pt>
                <c:pt idx="36">
                  <c:v>0.5</c:v>
                </c:pt>
                <c:pt idx="37">
                  <c:v>0.49206349206349204</c:v>
                </c:pt>
                <c:pt idx="38">
                  <c:v>0.50769230769230766</c:v>
                </c:pt>
                <c:pt idx="39">
                  <c:v>0.49275362318840582</c:v>
                </c:pt>
                <c:pt idx="40">
                  <c:v>0.49275362318840582</c:v>
                </c:pt>
                <c:pt idx="41">
                  <c:v>0.48571428571428571</c:v>
                </c:pt>
                <c:pt idx="42">
                  <c:v>0.5</c:v>
                </c:pt>
                <c:pt idx="43">
                  <c:v>0.48648648648648651</c:v>
                </c:pt>
                <c:pt idx="44">
                  <c:v>0.5</c:v>
                </c:pt>
                <c:pt idx="45">
                  <c:v>0.49367088607594939</c:v>
                </c:pt>
                <c:pt idx="46">
                  <c:v>0.5</c:v>
                </c:pt>
                <c:pt idx="47">
                  <c:v>0.48837209302325579</c:v>
                </c:pt>
                <c:pt idx="48">
                  <c:v>0.4942528735632184</c:v>
                </c:pt>
                <c:pt idx="49">
                  <c:v>0.4943820224719101</c:v>
                </c:pt>
                <c:pt idx="50">
                  <c:v>0.48888888888888887</c:v>
                </c:pt>
                <c:pt idx="51">
                  <c:v>0.4891304347826087</c:v>
                </c:pt>
                <c:pt idx="52">
                  <c:v>0.48421052631578948</c:v>
                </c:pt>
                <c:pt idx="53">
                  <c:v>0.47422680412371132</c:v>
                </c:pt>
                <c:pt idx="54">
                  <c:v>0.47422680412371132</c:v>
                </c:pt>
                <c:pt idx="55">
                  <c:v>0.46534653465346537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29983249581239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4"/>
      <c r="C1" s="145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46">
        <v>0</v>
      </c>
      <c r="C2" s="147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48">
        <v>0</v>
      </c>
      <c r="C3" s="149"/>
      <c r="E3" s="63" t="s">
        <v>66</v>
      </c>
      <c r="F3" s="28" t="s">
        <v>22</v>
      </c>
      <c r="G3" s="15">
        <v>0</v>
      </c>
      <c r="H3" s="133">
        <f t="shared" ref="H3:H51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0">
        <v>0</v>
      </c>
      <c r="C4" s="151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2">
        <f>IF(B$2=0,0,B$4/B$2)</f>
        <v>0</v>
      </c>
      <c r="C5" s="153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2">
        <f>IF(B$2=0,0,(B$7*1+B$8*2+B$9*3)/B$2)</f>
        <v>0</v>
      </c>
      <c r="C6" s="143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193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194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0">
        <v>0</v>
      </c>
      <c r="C25" s="141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38">
        <v>0</v>
      </c>
      <c r="C26" s="139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183</v>
      </c>
      <c r="G50" s="47">
        <v>0</v>
      </c>
      <c r="H50" s="133">
        <f t="shared" si="1"/>
        <v>0</v>
      </c>
      <c r="I50" s="94"/>
    </row>
    <row r="51" spans="5:9" x14ac:dyDescent="0.4">
      <c r="E51" s="64" t="s">
        <v>181</v>
      </c>
      <c r="F51" s="61" t="s">
        <v>182</v>
      </c>
      <c r="G51" s="49">
        <v>0</v>
      </c>
      <c r="H51" s="134">
        <f t="shared" si="1"/>
        <v>0</v>
      </c>
      <c r="I51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J42"/>
  <sheetViews>
    <sheetView workbookViewId="0"/>
  </sheetViews>
  <sheetFormatPr defaultColWidth="9" defaultRowHeight="18.75" x14ac:dyDescent="0.4"/>
  <cols>
    <col min="1" max="1" width="16.375" style="30" bestFit="1" customWidth="1"/>
    <col min="2" max="2" width="16.875" style="31" bestFit="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43555.865254629629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43557.861898148149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43559.023657407408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43560.077013888891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43561.108240740738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184</v>
      </c>
      <c r="B7" s="31">
        <v>43562.384884259256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187</v>
      </c>
      <c r="I7" s="30" t="s">
        <v>188</v>
      </c>
      <c r="J7" s="30" t="s">
        <v>189</v>
      </c>
    </row>
    <row r="8" spans="1:10" x14ac:dyDescent="0.4">
      <c r="A8" s="30" t="s">
        <v>190</v>
      </c>
      <c r="B8" s="31">
        <v>43566.499976851854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187</v>
      </c>
      <c r="I8" s="30" t="s">
        <v>188</v>
      </c>
    </row>
    <row r="9" spans="1:10" x14ac:dyDescent="0.4">
      <c r="A9" s="30" t="s">
        <v>191</v>
      </c>
      <c r="B9" s="31">
        <v>43564.018379629626</v>
      </c>
      <c r="C9" s="30" t="s">
        <v>130</v>
      </c>
      <c r="D9" s="30" t="s">
        <v>131</v>
      </c>
    </row>
    <row r="10" spans="1:10" x14ac:dyDescent="0.4">
      <c r="A10" s="30" t="s">
        <v>192</v>
      </c>
      <c r="B10" s="31">
        <v>43565.032939814817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195</v>
      </c>
      <c r="B11" s="31">
        <v>43566.030486111114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196</v>
      </c>
      <c r="B12" s="31">
        <v>43567.091643518521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197</v>
      </c>
      <c r="B13" s="31">
        <v>43568.067824074074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198</v>
      </c>
      <c r="B14" s="31">
        <v>43569.100624999999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199</v>
      </c>
      <c r="B15" s="31">
        <v>43570.006157407406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187</v>
      </c>
    </row>
    <row r="16" spans="1:10" x14ac:dyDescent="0.4">
      <c r="A16" s="30" t="s">
        <v>200</v>
      </c>
      <c r="B16" s="31">
        <v>43571.043124999997</v>
      </c>
      <c r="C16" s="30" t="s">
        <v>130</v>
      </c>
      <c r="D16" s="30" t="s">
        <v>131</v>
      </c>
    </row>
    <row r="17" spans="1:10" x14ac:dyDescent="0.4">
      <c r="A17" s="30" t="s">
        <v>201</v>
      </c>
      <c r="B17" s="31">
        <v>43573.057615740741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203</v>
      </c>
      <c r="B18" s="31">
        <v>43574.063958333332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204</v>
      </c>
      <c r="B19" s="31">
        <v>43575.082037037035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205</v>
      </c>
      <c r="B20" s="31">
        <v>43576.051666666666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187</v>
      </c>
    </row>
    <row r="21" spans="1:10" x14ac:dyDescent="0.4">
      <c r="A21" s="30" t="s">
        <v>206</v>
      </c>
      <c r="B21" s="31">
        <v>43577.022314814814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187</v>
      </c>
      <c r="I21" s="30" t="s">
        <v>188</v>
      </c>
      <c r="J21" s="30" t="s">
        <v>189</v>
      </c>
    </row>
    <row r="22" spans="1:10" x14ac:dyDescent="0.4">
      <c r="A22" s="30" t="s">
        <v>207</v>
      </c>
      <c r="B22" s="31">
        <v>43579.04247685185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208</v>
      </c>
      <c r="B23" s="31">
        <v>43580.060046296298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209</v>
      </c>
      <c r="B24" s="31">
        <v>43581.023773148147</v>
      </c>
      <c r="C24" s="30" t="s">
        <v>130</v>
      </c>
      <c r="D24" s="30" t="s">
        <v>131</v>
      </c>
    </row>
    <row r="25" spans="1:10" x14ac:dyDescent="0.4">
      <c r="A25" s="30" t="s">
        <v>210</v>
      </c>
      <c r="B25" s="31">
        <v>43582.061388888891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211</v>
      </c>
      <c r="B26" s="31">
        <v>43582.906527777777</v>
      </c>
      <c r="C26" s="30" t="s">
        <v>130</v>
      </c>
      <c r="D26" s="30" t="s">
        <v>131</v>
      </c>
    </row>
    <row r="27" spans="1:10" x14ac:dyDescent="0.4">
      <c r="A27" s="30" t="s">
        <v>212</v>
      </c>
      <c r="B27" s="31">
        <v>43590.780717592592</v>
      </c>
      <c r="C27" s="30" t="s">
        <v>130</v>
      </c>
      <c r="D27" s="30" t="s">
        <v>131</v>
      </c>
    </row>
    <row r="28" spans="1:10" x14ac:dyDescent="0.4">
      <c r="A28" s="30" t="s">
        <v>213</v>
      </c>
      <c r="B28" s="31">
        <v>43595.016759259262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214</v>
      </c>
      <c r="B29" s="31">
        <v>43592.020578703705</v>
      </c>
      <c r="C29" s="30" t="s">
        <v>130</v>
      </c>
      <c r="D29" s="30" t="s">
        <v>131</v>
      </c>
    </row>
    <row r="30" spans="1:10" x14ac:dyDescent="0.4">
      <c r="A30" s="30" t="s">
        <v>215</v>
      </c>
      <c r="B30" s="31">
        <v>43593.086967592593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216</v>
      </c>
      <c r="B31" s="31">
        <v>43593.980185185188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217</v>
      </c>
      <c r="B32" s="31">
        <v>43595.036134259259</v>
      </c>
      <c r="C32" s="30" t="s">
        <v>130</v>
      </c>
      <c r="D32" s="30" t="s">
        <v>131</v>
      </c>
    </row>
    <row r="33" spans="1:9" x14ac:dyDescent="0.4">
      <c r="A33" s="30" t="s">
        <v>218</v>
      </c>
      <c r="B33" s="31">
        <v>43596.111018518517</v>
      </c>
      <c r="C33" s="30" t="s">
        <v>130</v>
      </c>
      <c r="D33" s="30" t="s">
        <v>131</v>
      </c>
      <c r="E33" s="30" t="s">
        <v>169</v>
      </c>
    </row>
    <row r="34" spans="1:9" x14ac:dyDescent="0.4">
      <c r="A34" s="30" t="s">
        <v>219</v>
      </c>
      <c r="B34" s="31">
        <v>43597.633935185186</v>
      </c>
      <c r="C34" s="30" t="s">
        <v>130</v>
      </c>
      <c r="D34" s="30" t="s">
        <v>131</v>
      </c>
      <c r="E34" s="30" t="s">
        <v>169</v>
      </c>
    </row>
    <row r="35" spans="1:9" x14ac:dyDescent="0.4">
      <c r="A35" s="30" t="s">
        <v>220</v>
      </c>
      <c r="B35" s="31">
        <v>43597.749398148146</v>
      </c>
      <c r="C35" s="30" t="s">
        <v>130</v>
      </c>
      <c r="D35" s="30" t="s">
        <v>131</v>
      </c>
      <c r="E35" s="30" t="s">
        <v>169</v>
      </c>
    </row>
    <row r="36" spans="1:9" x14ac:dyDescent="0.4">
      <c r="A36" s="30" t="s">
        <v>221</v>
      </c>
      <c r="B36" s="31">
        <v>43599.035115740742</v>
      </c>
      <c r="C36" s="30" t="s">
        <v>130</v>
      </c>
      <c r="D36" s="30" t="s">
        <v>131</v>
      </c>
      <c r="E36" s="30" t="s">
        <v>169</v>
      </c>
    </row>
    <row r="37" spans="1:9" x14ac:dyDescent="0.4">
      <c r="A37" s="30" t="s">
        <v>222</v>
      </c>
      <c r="B37" s="31">
        <v>43599.98951388889</v>
      </c>
      <c r="C37" s="30" t="s">
        <v>130</v>
      </c>
      <c r="D37" s="30" t="s">
        <v>131</v>
      </c>
    </row>
    <row r="38" spans="1:9" x14ac:dyDescent="0.4">
      <c r="A38" s="30" t="s">
        <v>223</v>
      </c>
      <c r="B38" s="31">
        <v>43601.497314814813</v>
      </c>
      <c r="C38" s="30" t="s">
        <v>130</v>
      </c>
      <c r="D38" s="30" t="s">
        <v>131</v>
      </c>
      <c r="E38" s="30" t="s">
        <v>169</v>
      </c>
    </row>
    <row r="39" spans="1:9" x14ac:dyDescent="0.4">
      <c r="A39" s="30" t="s">
        <v>226</v>
      </c>
      <c r="B39" s="31">
        <v>43602.577175925922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9" x14ac:dyDescent="0.4">
      <c r="A40" s="30" t="s">
        <v>227</v>
      </c>
      <c r="B40" s="31">
        <v>43603.979317129626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187</v>
      </c>
      <c r="I40" s="30" t="s">
        <v>188</v>
      </c>
    </row>
    <row r="41" spans="1:9" x14ac:dyDescent="0.4">
      <c r="A41" s="30" t="s">
        <v>228</v>
      </c>
      <c r="B41" s="31">
        <v>43604.870451388888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9" x14ac:dyDescent="0.4">
      <c r="A42" s="30" t="s">
        <v>229</v>
      </c>
      <c r="B42" s="31">
        <v>43604.907256944447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3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477</v>
      </c>
    </row>
    <row r="2" spans="1:2" x14ac:dyDescent="0.4">
      <c r="A2" t="s">
        <v>127</v>
      </c>
      <c r="B2">
        <v>109</v>
      </c>
    </row>
    <row r="3" spans="1:2" x14ac:dyDescent="0.4">
      <c r="A3" t="s">
        <v>128</v>
      </c>
      <c r="B3">
        <v>110</v>
      </c>
    </row>
    <row r="4" spans="1:2" x14ac:dyDescent="0.4">
      <c r="A4" t="s">
        <v>129</v>
      </c>
      <c r="B4">
        <v>55</v>
      </c>
    </row>
    <row r="5" spans="1:2" x14ac:dyDescent="0.4">
      <c r="A5" t="s">
        <v>171</v>
      </c>
      <c r="B5">
        <v>62</v>
      </c>
    </row>
    <row r="6" spans="1:2" x14ac:dyDescent="0.4">
      <c r="A6" t="s">
        <v>172</v>
      </c>
      <c r="B6">
        <v>53</v>
      </c>
    </row>
    <row r="7" spans="1:2" x14ac:dyDescent="0.4">
      <c r="A7" t="s">
        <v>173</v>
      </c>
      <c r="B7">
        <v>39</v>
      </c>
    </row>
    <row r="8" spans="1:2" x14ac:dyDescent="0.4">
      <c r="A8" t="s">
        <v>177</v>
      </c>
      <c r="B8">
        <v>29</v>
      </c>
    </row>
    <row r="9" spans="1:2" x14ac:dyDescent="0.4">
      <c r="A9" t="s">
        <v>185</v>
      </c>
      <c r="B9">
        <v>3</v>
      </c>
    </row>
    <row r="10" spans="1:2" x14ac:dyDescent="0.4">
      <c r="A10" t="s">
        <v>186</v>
      </c>
      <c r="B10">
        <v>10</v>
      </c>
    </row>
    <row r="11" spans="1:2" x14ac:dyDescent="0.4">
      <c r="A11" t="s">
        <v>202</v>
      </c>
      <c r="B11">
        <v>5</v>
      </c>
    </row>
    <row r="12" spans="1:2" x14ac:dyDescent="0.4">
      <c r="A12" t="s">
        <v>224</v>
      </c>
      <c r="B12">
        <v>1</v>
      </c>
    </row>
    <row r="13" spans="1:2" x14ac:dyDescent="0.4">
      <c r="A13" t="s">
        <v>225</v>
      </c>
      <c r="B13">
        <v>1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6" t="s">
        <v>6</v>
      </c>
      <c r="C1" s="157"/>
      <c r="D1" s="156" t="s">
        <v>7</v>
      </c>
      <c r="E1" s="157"/>
      <c r="F1" s="156" t="s">
        <v>16</v>
      </c>
      <c r="G1" s="157"/>
      <c r="H1" s="156" t="s">
        <v>15</v>
      </c>
      <c r="I1" s="157"/>
      <c r="J1" s="156" t="s">
        <v>162</v>
      </c>
      <c r="K1" s="157"/>
      <c r="L1" s="156" t="s">
        <v>149</v>
      </c>
      <c r="M1" s="157"/>
      <c r="N1" s="156" t="s">
        <v>150</v>
      </c>
      <c r="O1" s="157"/>
      <c r="P1" s="156" t="s">
        <v>5</v>
      </c>
      <c r="Q1" s="157"/>
      <c r="R1" s="156" t="s">
        <v>17</v>
      </c>
      <c r="S1" s="157"/>
      <c r="T1" s="156" t="s">
        <v>18</v>
      </c>
      <c r="U1" s="157"/>
      <c r="V1" s="156" t="s">
        <v>141</v>
      </c>
      <c r="W1" s="157"/>
      <c r="X1" s="156" t="s">
        <v>123</v>
      </c>
      <c r="Y1" s="157"/>
      <c r="Z1" s="156" t="s">
        <v>120</v>
      </c>
      <c r="AA1" s="157"/>
      <c r="AB1" s="156" t="s">
        <v>126</v>
      </c>
      <c r="AC1" s="157"/>
      <c r="AD1" s="156" t="s">
        <v>151</v>
      </c>
      <c r="AE1" s="157"/>
      <c r="AF1" s="156" t="s">
        <v>144</v>
      </c>
      <c r="AG1" s="157"/>
      <c r="AH1" s="156" t="s">
        <v>153</v>
      </c>
      <c r="AI1" s="157"/>
    </row>
    <row r="2" spans="1:35" x14ac:dyDescent="0.4">
      <c r="A2" s="72" t="s">
        <v>161</v>
      </c>
      <c r="B2" s="158"/>
      <c r="C2" s="159"/>
      <c r="D2" s="158"/>
      <c r="E2" s="159"/>
      <c r="F2" s="154">
        <v>0.64727297045556031</v>
      </c>
      <c r="G2" s="155"/>
      <c r="H2" s="154">
        <v>0.48266399275321098</v>
      </c>
      <c r="I2" s="155"/>
      <c r="J2" s="154">
        <v>0.62491574444892173</v>
      </c>
      <c r="K2" s="155"/>
      <c r="L2" s="154">
        <v>0.38123163575785163</v>
      </c>
      <c r="M2" s="155"/>
      <c r="N2" s="154">
        <v>0.48033980140455096</v>
      </c>
      <c r="O2" s="155"/>
      <c r="P2" s="154">
        <v>0.66356165882351892</v>
      </c>
      <c r="Q2" s="155"/>
      <c r="R2" s="154">
        <v>-5.8761610129267401E-2</v>
      </c>
      <c r="S2" s="155"/>
      <c r="T2" s="154">
        <v>0.29455349184775548</v>
      </c>
      <c r="U2" s="155"/>
      <c r="V2" s="154">
        <v>0.73567154612176466</v>
      </c>
      <c r="W2" s="155"/>
      <c r="X2" s="154">
        <v>0.93382101255294303</v>
      </c>
      <c r="Y2" s="155"/>
      <c r="Z2" s="154">
        <v>-0.17140260194392878</v>
      </c>
      <c r="AA2" s="155"/>
      <c r="AB2" s="154">
        <v>-6.8145544278129438E-2</v>
      </c>
      <c r="AC2" s="155"/>
      <c r="AD2" s="154">
        <v>-1.5720515469179513E-3</v>
      </c>
      <c r="AE2" s="155"/>
      <c r="AF2" s="154">
        <v>-0.57599182112295522</v>
      </c>
      <c r="AG2" s="155"/>
      <c r="AH2" s="154">
        <v>0.81173454686972868</v>
      </c>
      <c r="AI2" s="155"/>
    </row>
    <row r="3" spans="1:35" x14ac:dyDescent="0.4">
      <c r="A3" s="74">
        <v>1</v>
      </c>
      <c r="B3" s="75" t="s">
        <v>127</v>
      </c>
      <c r="C3" s="76">
        <v>1512.2000000000007</v>
      </c>
      <c r="D3" s="77" t="s">
        <v>185</v>
      </c>
      <c r="E3" s="96">
        <v>20.333333333333332</v>
      </c>
      <c r="F3" s="77" t="s">
        <v>185</v>
      </c>
      <c r="G3" s="78">
        <v>1.3333333333333333</v>
      </c>
      <c r="H3" s="77" t="s">
        <v>185</v>
      </c>
      <c r="I3" s="79">
        <v>0.66666666666666663</v>
      </c>
      <c r="J3" s="77" t="s">
        <v>185</v>
      </c>
      <c r="K3" s="79">
        <v>0</v>
      </c>
      <c r="L3" s="77" t="s">
        <v>225</v>
      </c>
      <c r="M3" s="80">
        <v>0.375</v>
      </c>
      <c r="N3" s="77" t="s">
        <v>224</v>
      </c>
      <c r="O3" s="80">
        <v>7.6923076923076927E-2</v>
      </c>
      <c r="P3" s="77" t="s">
        <v>224</v>
      </c>
      <c r="Q3" s="81">
        <v>13800</v>
      </c>
      <c r="R3" s="77" t="s">
        <v>185</v>
      </c>
      <c r="S3" s="81">
        <v>-5150</v>
      </c>
      <c r="T3" s="77" t="s">
        <v>185</v>
      </c>
      <c r="U3" s="79">
        <v>0</v>
      </c>
      <c r="V3" s="77" t="s">
        <v>127</v>
      </c>
      <c r="W3" s="79">
        <v>0.1834862385321101</v>
      </c>
      <c r="X3" s="77" t="s">
        <v>225</v>
      </c>
      <c r="Y3" s="80">
        <v>0.375</v>
      </c>
      <c r="Z3" s="77" t="s">
        <v>172</v>
      </c>
      <c r="AA3" s="80">
        <v>0.29912663755458513</v>
      </c>
      <c r="AB3" s="77" t="s">
        <v>225</v>
      </c>
      <c r="AC3" s="80">
        <v>1</v>
      </c>
      <c r="AD3" s="77" t="s">
        <v>127</v>
      </c>
      <c r="AE3" s="80">
        <v>0.51530612244897955</v>
      </c>
      <c r="AF3" s="77" t="s">
        <v>225</v>
      </c>
      <c r="AG3" s="80">
        <v>0.66666666666666663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171</v>
      </c>
      <c r="C4" s="84">
        <v>93.499999999999972</v>
      </c>
      <c r="D4" s="85" t="s">
        <v>127</v>
      </c>
      <c r="E4" s="97">
        <v>13.873394495412851</v>
      </c>
      <c r="F4" s="85" t="s">
        <v>127</v>
      </c>
      <c r="G4" s="86">
        <v>1.7064220183486238</v>
      </c>
      <c r="H4" s="85" t="s">
        <v>127</v>
      </c>
      <c r="I4" s="87">
        <v>0.51376146788990829</v>
      </c>
      <c r="J4" s="85" t="s">
        <v>224</v>
      </c>
      <c r="K4" s="87">
        <v>0</v>
      </c>
      <c r="L4" s="85" t="s">
        <v>172</v>
      </c>
      <c r="M4" s="88">
        <v>0.36899563318777295</v>
      </c>
      <c r="N4" s="85" t="s">
        <v>185</v>
      </c>
      <c r="O4" s="88">
        <v>0.10526315789473684</v>
      </c>
      <c r="P4" s="85" t="s">
        <v>171</v>
      </c>
      <c r="Q4" s="89">
        <v>9534.0277777777774</v>
      </c>
      <c r="R4" s="85" t="s">
        <v>202</v>
      </c>
      <c r="S4" s="89">
        <v>-5420</v>
      </c>
      <c r="T4" s="85" t="s">
        <v>202</v>
      </c>
      <c r="U4" s="87">
        <v>0</v>
      </c>
      <c r="V4" s="85" t="s">
        <v>129</v>
      </c>
      <c r="W4" s="87">
        <v>0.12727272727272726</v>
      </c>
      <c r="X4" s="85" t="s">
        <v>127</v>
      </c>
      <c r="Y4" s="88">
        <v>0.32801822323462415</v>
      </c>
      <c r="Z4" s="85" t="s">
        <v>202</v>
      </c>
      <c r="AA4" s="88">
        <v>0.26</v>
      </c>
      <c r="AB4" s="85" t="s">
        <v>177</v>
      </c>
      <c r="AC4" s="88">
        <v>0.68627450980392157</v>
      </c>
      <c r="AD4" s="85" t="s">
        <v>185</v>
      </c>
      <c r="AE4" s="88">
        <v>0.5</v>
      </c>
      <c r="AF4" s="85" t="s">
        <v>202</v>
      </c>
      <c r="AG4" s="88">
        <v>0.58333333333333337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172</v>
      </c>
      <c r="C5" s="84">
        <v>65.199999999999989</v>
      </c>
      <c r="D5" s="85" t="s">
        <v>224</v>
      </c>
      <c r="E5" s="97">
        <v>13.3</v>
      </c>
      <c r="F5" s="85" t="s">
        <v>145</v>
      </c>
      <c r="G5" s="86">
        <v>2</v>
      </c>
      <c r="H5" s="85" t="s">
        <v>177</v>
      </c>
      <c r="I5" s="87">
        <v>0.34482758620689657</v>
      </c>
      <c r="J5" s="85" t="s">
        <v>202</v>
      </c>
      <c r="K5" s="87">
        <v>0.2</v>
      </c>
      <c r="L5" s="85" t="s">
        <v>127</v>
      </c>
      <c r="M5" s="88">
        <v>0.35990888382687924</v>
      </c>
      <c r="N5" s="85" t="s">
        <v>172</v>
      </c>
      <c r="O5" s="88">
        <v>0.1331877729257642</v>
      </c>
      <c r="P5" s="85" t="s">
        <v>128</v>
      </c>
      <c r="Q5" s="89">
        <v>9246.4285714285706</v>
      </c>
      <c r="R5" s="85" t="s">
        <v>171</v>
      </c>
      <c r="S5" s="89">
        <v>-7589.1566265060237</v>
      </c>
      <c r="T5" s="85" t="s">
        <v>224</v>
      </c>
      <c r="U5" s="87">
        <v>0</v>
      </c>
      <c r="V5" s="85" t="s">
        <v>172</v>
      </c>
      <c r="W5" s="87">
        <v>0.11320754716981132</v>
      </c>
      <c r="X5" s="85" t="s">
        <v>128</v>
      </c>
      <c r="Y5" s="88">
        <v>0.29714912280701755</v>
      </c>
      <c r="Z5" s="85" t="s">
        <v>173</v>
      </c>
      <c r="AA5" s="88">
        <v>0.24853801169590642</v>
      </c>
      <c r="AB5" s="85" t="s">
        <v>173</v>
      </c>
      <c r="AC5" s="88">
        <v>0.6</v>
      </c>
      <c r="AD5" s="85" t="s">
        <v>186</v>
      </c>
      <c r="AE5" s="88">
        <v>0.47058823529411764</v>
      </c>
      <c r="AF5" s="85" t="s">
        <v>186</v>
      </c>
      <c r="AG5" s="88">
        <v>0.55000000000000004</v>
      </c>
      <c r="AH5" s="85" t="s">
        <v>172</v>
      </c>
      <c r="AI5" s="92">
        <v>97500</v>
      </c>
    </row>
    <row r="6" spans="1:35" x14ac:dyDescent="0.4">
      <c r="A6" s="82">
        <v>4</v>
      </c>
      <c r="B6" s="83" t="s">
        <v>185</v>
      </c>
      <c r="C6" s="84">
        <v>61</v>
      </c>
      <c r="D6" s="85" t="s">
        <v>171</v>
      </c>
      <c r="E6" s="97">
        <v>1.5080645161290318</v>
      </c>
      <c r="F6" s="85" t="s">
        <v>202</v>
      </c>
      <c r="G6" s="86">
        <v>2</v>
      </c>
      <c r="H6" s="85" t="s">
        <v>145</v>
      </c>
      <c r="I6" s="87">
        <v>0.33333333333333331</v>
      </c>
      <c r="J6" s="85" t="s">
        <v>127</v>
      </c>
      <c r="K6" s="87">
        <v>0.22018348623853212</v>
      </c>
      <c r="L6" s="85" t="s">
        <v>173</v>
      </c>
      <c r="M6" s="88">
        <v>0.30116959064327486</v>
      </c>
      <c r="N6" s="85" t="s">
        <v>127</v>
      </c>
      <c r="O6" s="88">
        <v>0.15375854214123008</v>
      </c>
      <c r="P6" s="85" t="s">
        <v>127</v>
      </c>
      <c r="Q6" s="89">
        <v>9078.7974683544307</v>
      </c>
      <c r="R6" s="85" t="s">
        <v>128</v>
      </c>
      <c r="S6" s="89">
        <v>-7592.9487179487178</v>
      </c>
      <c r="T6" s="85" t="s">
        <v>225</v>
      </c>
      <c r="U6" s="87">
        <v>0</v>
      </c>
      <c r="V6" s="85" t="s">
        <v>171</v>
      </c>
      <c r="W6" s="87">
        <v>0.11290322580645161</v>
      </c>
      <c r="X6" s="85" t="s">
        <v>145</v>
      </c>
      <c r="Y6" s="88">
        <v>0.27366565961732126</v>
      </c>
      <c r="Z6" s="85" t="s">
        <v>127</v>
      </c>
      <c r="AA6" s="88">
        <v>0.22323462414578588</v>
      </c>
      <c r="AB6" s="85" t="s">
        <v>185</v>
      </c>
      <c r="AC6" s="88">
        <v>0.6</v>
      </c>
      <c r="AD6" s="85" t="s">
        <v>172</v>
      </c>
      <c r="AE6" s="88">
        <v>0.43065693430656932</v>
      </c>
      <c r="AF6" s="85" t="s">
        <v>173</v>
      </c>
      <c r="AG6" s="88">
        <v>0.5145631067961165</v>
      </c>
      <c r="AH6" s="85" t="s">
        <v>128</v>
      </c>
      <c r="AI6" s="92">
        <v>97300</v>
      </c>
    </row>
    <row r="7" spans="1:35" x14ac:dyDescent="0.4">
      <c r="A7" s="82">
        <v>5</v>
      </c>
      <c r="B7" s="83" t="s">
        <v>224</v>
      </c>
      <c r="C7" s="84">
        <v>13.3</v>
      </c>
      <c r="D7" s="85" t="s">
        <v>172</v>
      </c>
      <c r="E7" s="97">
        <v>1.2301886792452827</v>
      </c>
      <c r="F7" s="85" t="s">
        <v>224</v>
      </c>
      <c r="G7" s="86">
        <v>2</v>
      </c>
      <c r="H7" s="85" t="s">
        <v>186</v>
      </c>
      <c r="I7" s="87">
        <v>0.3</v>
      </c>
      <c r="J7" s="85" t="s">
        <v>172</v>
      </c>
      <c r="K7" s="87">
        <v>0.32075471698113206</v>
      </c>
      <c r="L7" s="85" t="s">
        <v>145</v>
      </c>
      <c r="M7" s="88">
        <v>0.30060422960725075</v>
      </c>
      <c r="N7" s="85" t="s">
        <v>171</v>
      </c>
      <c r="O7" s="88">
        <v>0.15809523809523809</v>
      </c>
      <c r="P7" s="85" t="s">
        <v>129</v>
      </c>
      <c r="Q7" s="89">
        <v>8911.8811881188121</v>
      </c>
      <c r="R7" s="85" t="s">
        <v>186</v>
      </c>
      <c r="S7" s="89">
        <v>-7686.95652173913</v>
      </c>
      <c r="T7" s="85" t="s">
        <v>171</v>
      </c>
      <c r="U7" s="87">
        <v>3.2258064516129031E-2</v>
      </c>
      <c r="V7" s="85" t="s">
        <v>145</v>
      </c>
      <c r="W7" s="87">
        <v>0.1111111111111111</v>
      </c>
      <c r="X7" s="85" t="s">
        <v>171</v>
      </c>
      <c r="Y7" s="88">
        <v>0.27238095238095239</v>
      </c>
      <c r="Z7" s="85" t="s">
        <v>177</v>
      </c>
      <c r="AA7" s="88">
        <v>0.21576763485477179</v>
      </c>
      <c r="AB7" s="85" t="s">
        <v>171</v>
      </c>
      <c r="AC7" s="88">
        <v>0.59440559440559437</v>
      </c>
      <c r="AD7" s="85" t="s">
        <v>145</v>
      </c>
      <c r="AE7" s="88">
        <v>0.38829151732377537</v>
      </c>
      <c r="AF7" s="85" t="s">
        <v>224</v>
      </c>
      <c r="AG7" s="88">
        <v>0.5</v>
      </c>
      <c r="AH7" s="85" t="s">
        <v>129</v>
      </c>
      <c r="AI7" s="92">
        <v>96900</v>
      </c>
    </row>
    <row r="8" spans="1:35" x14ac:dyDescent="0.4">
      <c r="A8" s="82">
        <v>6</v>
      </c>
      <c r="B8" s="83" t="s">
        <v>145</v>
      </c>
      <c r="C8" s="84">
        <v>0</v>
      </c>
      <c r="D8" s="85" t="s">
        <v>145</v>
      </c>
      <c r="E8" s="97">
        <v>0</v>
      </c>
      <c r="F8" s="85" t="s">
        <v>177</v>
      </c>
      <c r="G8" s="86">
        <v>2.0344827586206895</v>
      </c>
      <c r="H8" s="85" t="s">
        <v>172</v>
      </c>
      <c r="I8" s="87">
        <v>0.28301886792452829</v>
      </c>
      <c r="J8" s="85" t="s">
        <v>173</v>
      </c>
      <c r="K8" s="87">
        <v>0.33333333333333331</v>
      </c>
      <c r="L8" s="85" t="s">
        <v>177</v>
      </c>
      <c r="M8" s="88">
        <v>0.27800829875518673</v>
      </c>
      <c r="N8" s="85" t="s">
        <v>145</v>
      </c>
      <c r="O8" s="88">
        <v>0.16842900302114805</v>
      </c>
      <c r="P8" s="85" t="s">
        <v>225</v>
      </c>
      <c r="Q8" s="89">
        <v>8666.6666666666661</v>
      </c>
      <c r="R8" s="85" t="s">
        <v>173</v>
      </c>
      <c r="S8" s="89">
        <v>-7690.7692307692305</v>
      </c>
      <c r="T8" s="85" t="s">
        <v>172</v>
      </c>
      <c r="U8" s="87">
        <v>5.6603773584905662E-2</v>
      </c>
      <c r="V8" s="85" t="s">
        <v>128</v>
      </c>
      <c r="W8" s="87">
        <v>9.0909090909090912E-2</v>
      </c>
      <c r="X8" s="85" t="s">
        <v>185</v>
      </c>
      <c r="Y8" s="88">
        <v>0.26315789473684209</v>
      </c>
      <c r="Z8" s="85" t="s">
        <v>145</v>
      </c>
      <c r="AA8" s="88">
        <v>0.2107250755287009</v>
      </c>
      <c r="AB8" s="85" t="s">
        <v>128</v>
      </c>
      <c r="AC8" s="88">
        <v>0.59409594095940954</v>
      </c>
      <c r="AD8" s="85" t="s">
        <v>177</v>
      </c>
      <c r="AE8" s="88">
        <v>0.38461538461538464</v>
      </c>
      <c r="AF8" s="85" t="s">
        <v>129</v>
      </c>
      <c r="AG8" s="88">
        <v>0.46534653465346537</v>
      </c>
      <c r="AH8" s="85" t="s">
        <v>171</v>
      </c>
      <c r="AI8" s="92">
        <v>91700</v>
      </c>
    </row>
    <row r="9" spans="1:35" x14ac:dyDescent="0.4">
      <c r="A9" s="82">
        <v>7</v>
      </c>
      <c r="B9" s="83" t="s">
        <v>202</v>
      </c>
      <c r="C9" s="84">
        <v>-16.100000000000005</v>
      </c>
      <c r="D9" s="85" t="s">
        <v>128</v>
      </c>
      <c r="E9" s="97">
        <v>-2.3354545454545459</v>
      </c>
      <c r="F9" s="85" t="s">
        <v>172</v>
      </c>
      <c r="G9" s="86">
        <v>2.0377358490566038</v>
      </c>
      <c r="H9" s="85" t="s">
        <v>173</v>
      </c>
      <c r="I9" s="87">
        <v>0.28205128205128205</v>
      </c>
      <c r="J9" s="85" t="s">
        <v>145</v>
      </c>
      <c r="K9" s="87">
        <v>0.33333333333333331</v>
      </c>
      <c r="L9" s="85" t="s">
        <v>128</v>
      </c>
      <c r="M9" s="88">
        <v>0.27631578947368424</v>
      </c>
      <c r="N9" s="85" t="s">
        <v>177</v>
      </c>
      <c r="O9" s="88">
        <v>0.17012448132780084</v>
      </c>
      <c r="P9" s="85" t="s">
        <v>145</v>
      </c>
      <c r="Q9" s="89">
        <v>8470.6030150753777</v>
      </c>
      <c r="R9" s="85" t="s">
        <v>177</v>
      </c>
      <c r="S9" s="89">
        <v>-7792.6829268292686</v>
      </c>
      <c r="T9" s="85" t="s">
        <v>127</v>
      </c>
      <c r="U9" s="87">
        <v>0.10091743119266056</v>
      </c>
      <c r="V9" s="85" t="s">
        <v>173</v>
      </c>
      <c r="W9" s="87">
        <v>5.128205128205128E-2</v>
      </c>
      <c r="X9" s="85" t="s">
        <v>129</v>
      </c>
      <c r="Y9" s="88">
        <v>0.25396825396825395</v>
      </c>
      <c r="Z9" s="85" t="s">
        <v>185</v>
      </c>
      <c r="AA9" s="88">
        <v>0.21052631578947367</v>
      </c>
      <c r="AB9" s="85" t="s">
        <v>172</v>
      </c>
      <c r="AC9" s="88">
        <v>0.59405940594059403</v>
      </c>
      <c r="AD9" s="85" t="s">
        <v>171</v>
      </c>
      <c r="AE9" s="88">
        <v>0.37894736842105264</v>
      </c>
      <c r="AF9" s="85" t="s">
        <v>145</v>
      </c>
      <c r="AG9" s="88">
        <v>0.43299832495812396</v>
      </c>
      <c r="AH9" s="85" t="s">
        <v>173</v>
      </c>
      <c r="AI9" s="92">
        <v>85900</v>
      </c>
    </row>
    <row r="10" spans="1:35" x14ac:dyDescent="0.4">
      <c r="A10" s="82">
        <v>8</v>
      </c>
      <c r="B10" s="83" t="s">
        <v>225</v>
      </c>
      <c r="C10" s="84">
        <v>-37</v>
      </c>
      <c r="D10" s="85" t="s">
        <v>202</v>
      </c>
      <c r="E10" s="97">
        <v>-3.2200000000000011</v>
      </c>
      <c r="F10" s="85" t="s">
        <v>173</v>
      </c>
      <c r="G10" s="86">
        <v>2.0512820512820511</v>
      </c>
      <c r="H10" s="85" t="s">
        <v>171</v>
      </c>
      <c r="I10" s="87">
        <v>0.27419354838709675</v>
      </c>
      <c r="J10" s="85" t="s">
        <v>171</v>
      </c>
      <c r="K10" s="87">
        <v>0.33870967741935482</v>
      </c>
      <c r="L10" s="85" t="s">
        <v>171</v>
      </c>
      <c r="M10" s="88">
        <v>0.2742857142857143</v>
      </c>
      <c r="N10" s="85" t="s">
        <v>128</v>
      </c>
      <c r="O10" s="88">
        <v>0.17105263157894737</v>
      </c>
      <c r="P10" s="85" t="s">
        <v>202</v>
      </c>
      <c r="Q10" s="89">
        <v>8425</v>
      </c>
      <c r="R10" s="85" t="s">
        <v>145</v>
      </c>
      <c r="S10" s="89">
        <v>-8109.4170403587441</v>
      </c>
      <c r="T10" s="85" t="s">
        <v>173</v>
      </c>
      <c r="U10" s="87">
        <v>0.10256410256410256</v>
      </c>
      <c r="V10" s="85" t="s">
        <v>177</v>
      </c>
      <c r="W10" s="87">
        <v>3.4482758620689655E-2</v>
      </c>
      <c r="X10" s="85" t="s">
        <v>202</v>
      </c>
      <c r="Y10" s="88">
        <v>0.24</v>
      </c>
      <c r="Z10" s="85" t="s">
        <v>186</v>
      </c>
      <c r="AA10" s="88">
        <v>0.2</v>
      </c>
      <c r="AB10" s="85" t="s">
        <v>127</v>
      </c>
      <c r="AC10" s="88">
        <v>0.59375</v>
      </c>
      <c r="AD10" s="85" t="s">
        <v>173</v>
      </c>
      <c r="AE10" s="88">
        <v>0.3411764705882353</v>
      </c>
      <c r="AF10" s="85" t="s">
        <v>128</v>
      </c>
      <c r="AG10" s="88">
        <v>0.42063492063492064</v>
      </c>
      <c r="AH10" s="85" t="s">
        <v>177</v>
      </c>
      <c r="AI10" s="92">
        <v>67500</v>
      </c>
    </row>
    <row r="11" spans="1:35" x14ac:dyDescent="0.4">
      <c r="A11" s="82">
        <v>9</v>
      </c>
      <c r="B11" s="83" t="s">
        <v>177</v>
      </c>
      <c r="C11" s="84">
        <v>-178.6</v>
      </c>
      <c r="D11" s="85" t="s">
        <v>173</v>
      </c>
      <c r="E11" s="97">
        <v>-5.7410256410256411</v>
      </c>
      <c r="F11" s="85" t="s">
        <v>171</v>
      </c>
      <c r="G11" s="86">
        <v>2.064516129032258</v>
      </c>
      <c r="H11" s="85" t="s">
        <v>128</v>
      </c>
      <c r="I11" s="87">
        <v>0.27272727272727271</v>
      </c>
      <c r="J11" s="85" t="s">
        <v>128</v>
      </c>
      <c r="K11" s="87">
        <v>0.34545454545454546</v>
      </c>
      <c r="L11" s="85" t="s">
        <v>185</v>
      </c>
      <c r="M11" s="88">
        <v>0.26315789473684209</v>
      </c>
      <c r="N11" s="85" t="s">
        <v>173</v>
      </c>
      <c r="O11" s="88">
        <v>0.19005847953216373</v>
      </c>
      <c r="P11" s="85" t="s">
        <v>185</v>
      </c>
      <c r="Q11" s="89">
        <v>7860</v>
      </c>
      <c r="R11" s="85" t="s">
        <v>127</v>
      </c>
      <c r="S11" s="89">
        <v>-8373.3333333333339</v>
      </c>
      <c r="T11" s="85" t="s">
        <v>145</v>
      </c>
      <c r="U11" s="87">
        <v>0.1111111111111111</v>
      </c>
      <c r="V11" s="85" t="s">
        <v>186</v>
      </c>
      <c r="W11" s="87">
        <v>0</v>
      </c>
      <c r="X11" s="85" t="s">
        <v>173</v>
      </c>
      <c r="Y11" s="88">
        <v>0.23391812865497075</v>
      </c>
      <c r="Z11" s="85" t="s">
        <v>128</v>
      </c>
      <c r="AA11" s="88">
        <v>0.18311403508771928</v>
      </c>
      <c r="AB11" s="85" t="s">
        <v>145</v>
      </c>
      <c r="AC11" s="88">
        <v>0.59153633854645815</v>
      </c>
      <c r="AD11" s="85" t="s">
        <v>202</v>
      </c>
      <c r="AE11" s="88">
        <v>0.30769230769230771</v>
      </c>
      <c r="AF11" s="85" t="s">
        <v>172</v>
      </c>
      <c r="AG11" s="88">
        <v>0.42011834319526625</v>
      </c>
      <c r="AH11" s="85" t="s">
        <v>186</v>
      </c>
      <c r="AI11" s="92">
        <v>62700</v>
      </c>
    </row>
    <row r="12" spans="1:35" x14ac:dyDescent="0.4">
      <c r="A12" s="82">
        <v>10</v>
      </c>
      <c r="B12" s="83" t="s">
        <v>186</v>
      </c>
      <c r="C12" s="84">
        <v>-197.5</v>
      </c>
      <c r="D12" s="85" t="s">
        <v>177</v>
      </c>
      <c r="E12" s="97">
        <v>-6.1586206896551721</v>
      </c>
      <c r="F12" s="85" t="s">
        <v>128</v>
      </c>
      <c r="G12" s="86">
        <v>2.0727272727272728</v>
      </c>
      <c r="H12" s="85" t="s">
        <v>129</v>
      </c>
      <c r="I12" s="87">
        <v>0.25454545454545452</v>
      </c>
      <c r="J12" s="85" t="s">
        <v>177</v>
      </c>
      <c r="K12" s="87">
        <v>0.37931034482758619</v>
      </c>
      <c r="L12" s="85" t="s">
        <v>202</v>
      </c>
      <c r="M12" s="88">
        <v>0.24</v>
      </c>
      <c r="N12" s="85" t="s">
        <v>202</v>
      </c>
      <c r="O12" s="88">
        <v>0.2</v>
      </c>
      <c r="P12" s="85" t="s">
        <v>177</v>
      </c>
      <c r="Q12" s="89">
        <v>7370.1492537313434</v>
      </c>
      <c r="R12" s="85" t="s">
        <v>129</v>
      </c>
      <c r="S12" s="89">
        <v>-9068.5393258426975</v>
      </c>
      <c r="T12" s="85" t="s">
        <v>128</v>
      </c>
      <c r="U12" s="87">
        <v>0.12727272727272726</v>
      </c>
      <c r="V12" s="85" t="s">
        <v>185</v>
      </c>
      <c r="W12" s="87">
        <v>0</v>
      </c>
      <c r="X12" s="85" t="s">
        <v>224</v>
      </c>
      <c r="Y12" s="88">
        <v>0.23076923076923078</v>
      </c>
      <c r="Z12" s="85" t="s">
        <v>171</v>
      </c>
      <c r="AA12" s="88">
        <v>0.18095238095238095</v>
      </c>
      <c r="AB12" s="85" t="s">
        <v>202</v>
      </c>
      <c r="AC12" s="88">
        <v>0.58333333333333337</v>
      </c>
      <c r="AD12" s="85" t="s">
        <v>128</v>
      </c>
      <c r="AE12" s="88">
        <v>0.29341317365269459</v>
      </c>
      <c r="AF12" s="85" t="s">
        <v>177</v>
      </c>
      <c r="AG12" s="88">
        <v>0.41791044776119401</v>
      </c>
      <c r="AH12" s="85" t="s">
        <v>202</v>
      </c>
      <c r="AI12" s="92">
        <v>54800</v>
      </c>
    </row>
    <row r="13" spans="1:35" x14ac:dyDescent="0.4">
      <c r="A13" s="82">
        <v>11</v>
      </c>
      <c r="B13" s="83" t="s">
        <v>173</v>
      </c>
      <c r="C13" s="84">
        <v>-223.9</v>
      </c>
      <c r="D13" s="85" t="s">
        <v>129</v>
      </c>
      <c r="E13" s="97">
        <v>-15.185454545454542</v>
      </c>
      <c r="F13" s="85" t="s">
        <v>129</v>
      </c>
      <c r="G13" s="86">
        <v>2.2363636363636363</v>
      </c>
      <c r="H13" s="85" t="s">
        <v>202</v>
      </c>
      <c r="I13" s="87">
        <v>0.2</v>
      </c>
      <c r="J13" s="85" t="s">
        <v>129</v>
      </c>
      <c r="K13" s="87">
        <v>0.49090909090909091</v>
      </c>
      <c r="L13" s="85" t="s">
        <v>186</v>
      </c>
      <c r="M13" s="88">
        <v>0.23529411764705882</v>
      </c>
      <c r="N13" s="85" t="s">
        <v>129</v>
      </c>
      <c r="O13" s="88">
        <v>0.20181405895691609</v>
      </c>
      <c r="P13" s="85" t="s">
        <v>186</v>
      </c>
      <c r="Q13" s="89">
        <v>7365</v>
      </c>
      <c r="R13" s="85" t="s">
        <v>172</v>
      </c>
      <c r="S13" s="89">
        <v>-9157.377049180328</v>
      </c>
      <c r="T13" s="85" t="s">
        <v>129</v>
      </c>
      <c r="U13" s="87">
        <v>0.2</v>
      </c>
      <c r="V13" s="85" t="s">
        <v>202</v>
      </c>
      <c r="W13" s="87">
        <v>0</v>
      </c>
      <c r="X13" s="85" t="s">
        <v>172</v>
      </c>
      <c r="Y13" s="88">
        <v>0.2205240174672489</v>
      </c>
      <c r="Z13" s="85" t="s">
        <v>129</v>
      </c>
      <c r="AA13" s="88">
        <v>0.15646258503401361</v>
      </c>
      <c r="AB13" s="85" t="s">
        <v>186</v>
      </c>
      <c r="AC13" s="88">
        <v>0.55555555555555558</v>
      </c>
      <c r="AD13" s="85" t="s">
        <v>129</v>
      </c>
      <c r="AE13" s="88">
        <v>0.24637681159420291</v>
      </c>
      <c r="AF13" s="85" t="s">
        <v>127</v>
      </c>
      <c r="AG13" s="88">
        <v>0.41455696202531644</v>
      </c>
      <c r="AH13" s="85" t="s">
        <v>185</v>
      </c>
      <c r="AI13" s="92">
        <v>53500</v>
      </c>
    </row>
    <row r="14" spans="1:35" x14ac:dyDescent="0.4">
      <c r="A14" s="82">
        <v>12</v>
      </c>
      <c r="B14" s="83" t="s">
        <v>128</v>
      </c>
      <c r="C14" s="84">
        <v>-256.90000000000003</v>
      </c>
      <c r="D14" s="85" t="s">
        <v>186</v>
      </c>
      <c r="E14" s="97">
        <v>-19.75</v>
      </c>
      <c r="F14" s="85" t="s">
        <v>186</v>
      </c>
      <c r="G14" s="86">
        <v>2.2999999999999998</v>
      </c>
      <c r="H14" s="85" t="s">
        <v>224</v>
      </c>
      <c r="I14" s="87">
        <v>0</v>
      </c>
      <c r="J14" s="85" t="s">
        <v>186</v>
      </c>
      <c r="K14" s="87">
        <v>0.6</v>
      </c>
      <c r="L14" s="85" t="s">
        <v>129</v>
      </c>
      <c r="M14" s="88">
        <v>0.22902494331065759</v>
      </c>
      <c r="N14" s="85" t="s">
        <v>186</v>
      </c>
      <c r="O14" s="88">
        <v>0.27058823529411763</v>
      </c>
      <c r="P14" s="85" t="s">
        <v>173</v>
      </c>
      <c r="Q14" s="89">
        <v>6838.8349514563106</v>
      </c>
      <c r="R14" s="85" t="s">
        <v>224</v>
      </c>
      <c r="S14" s="89">
        <v>-12000</v>
      </c>
      <c r="T14" s="85" t="s">
        <v>186</v>
      </c>
      <c r="U14" s="87">
        <v>0.2</v>
      </c>
      <c r="V14" s="85" t="s">
        <v>224</v>
      </c>
      <c r="W14" s="87">
        <v>0</v>
      </c>
      <c r="X14" s="85" t="s">
        <v>186</v>
      </c>
      <c r="Y14" s="88">
        <v>0.21176470588235294</v>
      </c>
      <c r="Z14" s="85" t="s">
        <v>225</v>
      </c>
      <c r="AA14" s="88">
        <v>0.125</v>
      </c>
      <c r="AB14" s="85" t="s">
        <v>129</v>
      </c>
      <c r="AC14" s="88">
        <v>0.5267857142857143</v>
      </c>
      <c r="AD14" s="85" t="s">
        <v>224</v>
      </c>
      <c r="AE14" s="88">
        <v>0</v>
      </c>
      <c r="AF14" s="85" t="s">
        <v>171</v>
      </c>
      <c r="AG14" s="88">
        <v>0.40972222222222221</v>
      </c>
      <c r="AH14" s="85" t="s">
        <v>224</v>
      </c>
      <c r="AI14" s="92">
        <v>48300</v>
      </c>
    </row>
    <row r="15" spans="1:35" x14ac:dyDescent="0.4">
      <c r="A15" s="82">
        <v>13</v>
      </c>
      <c r="B15" s="83" t="s">
        <v>129</v>
      </c>
      <c r="C15" s="84">
        <v>-835.19999999999982</v>
      </c>
      <c r="D15" s="85" t="s">
        <v>225</v>
      </c>
      <c r="E15" s="97">
        <v>-37</v>
      </c>
      <c r="F15" s="85" t="s">
        <v>225</v>
      </c>
      <c r="G15" s="86">
        <v>3</v>
      </c>
      <c r="H15" s="85" t="s">
        <v>225</v>
      </c>
      <c r="I15" s="87">
        <v>0</v>
      </c>
      <c r="J15" s="85" t="s">
        <v>225</v>
      </c>
      <c r="K15" s="87">
        <v>1</v>
      </c>
      <c r="L15" s="85" t="s">
        <v>224</v>
      </c>
      <c r="M15" s="88">
        <v>0.15384615384615385</v>
      </c>
      <c r="N15" s="85" t="s">
        <v>225</v>
      </c>
      <c r="O15" s="88">
        <v>0.375</v>
      </c>
      <c r="P15" s="85" t="s">
        <v>172</v>
      </c>
      <c r="Q15" s="89">
        <v>6523.0769230769229</v>
      </c>
      <c r="R15" s="85" t="s">
        <v>225</v>
      </c>
      <c r="S15" s="89">
        <v>-14000</v>
      </c>
      <c r="T15" s="85" t="s">
        <v>177</v>
      </c>
      <c r="U15" s="87">
        <v>0.20689655172413793</v>
      </c>
      <c r="V15" s="85" t="s">
        <v>225</v>
      </c>
      <c r="W15" s="87">
        <v>0</v>
      </c>
      <c r="X15" s="85" t="s">
        <v>177</v>
      </c>
      <c r="Y15" s="88">
        <v>0.21161825726141079</v>
      </c>
      <c r="Z15" s="85" t="s">
        <v>224</v>
      </c>
      <c r="AA15" s="88">
        <v>7.6923076923076927E-2</v>
      </c>
      <c r="AB15" s="85" t="s">
        <v>224</v>
      </c>
      <c r="AC15" s="88">
        <v>0.33333333333333331</v>
      </c>
      <c r="AD15" s="85" t="s">
        <v>225</v>
      </c>
      <c r="AE15" s="88">
        <v>0</v>
      </c>
      <c r="AF15" s="85" t="s">
        <v>185</v>
      </c>
      <c r="AG15" s="88">
        <v>0.2</v>
      </c>
      <c r="AH15" s="85" t="s">
        <v>225</v>
      </c>
      <c r="AI15" s="92">
        <v>18000</v>
      </c>
    </row>
  </sheetData>
  <sortState ref="AH3:AI45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23C51-A098-44F2-ACD9-550235C7B768}">
  <sheetPr codeName="Sheet4"/>
  <dimension ref="A1:Q479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145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477</v>
      </c>
      <c r="C2" s="147"/>
      <c r="E2" s="62" t="s">
        <v>67</v>
      </c>
      <c r="F2" s="59" t="s">
        <v>23</v>
      </c>
      <c r="G2" s="46">
        <v>876</v>
      </c>
      <c r="H2" s="132">
        <f>IF(B$17=0,0,G2/B$17)</f>
        <v>0.73366834170854267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-16.877637130801688</v>
      </c>
      <c r="P2" s="118">
        <v>474</v>
      </c>
      <c r="Q2" s="102">
        <v>-8000</v>
      </c>
    </row>
    <row r="3" spans="1:17" x14ac:dyDescent="0.4">
      <c r="A3" s="55" t="s">
        <v>8</v>
      </c>
      <c r="B3" s="148">
        <v>3972</v>
      </c>
      <c r="C3" s="149"/>
      <c r="E3" s="63" t="s">
        <v>65</v>
      </c>
      <c r="F3" s="60" t="s">
        <v>21</v>
      </c>
      <c r="G3" s="47">
        <v>617</v>
      </c>
      <c r="H3" s="133">
        <f>IF(B$17=0,0,G3/B$17)</f>
        <v>0.51675041876046901</v>
      </c>
      <c r="I3" s="94">
        <v>8</v>
      </c>
      <c r="K3" s="38">
        <v>1</v>
      </c>
      <c r="L3" s="99">
        <v>-5.0999999999999996</v>
      </c>
      <c r="N3" s="115" t="s">
        <v>133</v>
      </c>
      <c r="O3" s="122">
        <f t="shared" si="0"/>
        <v>-8.5470085470085468</v>
      </c>
      <c r="P3" s="119">
        <v>468</v>
      </c>
      <c r="Q3" s="103">
        <v>-4000</v>
      </c>
    </row>
    <row r="4" spans="1:17" x14ac:dyDescent="0.4">
      <c r="A4" s="55" t="s">
        <v>6</v>
      </c>
      <c r="B4" s="150">
        <v>0</v>
      </c>
      <c r="C4" s="151"/>
      <c r="E4" s="63" t="s">
        <v>73</v>
      </c>
      <c r="F4" s="60" t="s">
        <v>28</v>
      </c>
      <c r="G4" s="47">
        <v>610</v>
      </c>
      <c r="H4" s="133">
        <f>IF(B$17=0,0,G4/B$17)</f>
        <v>0.51088777219430481</v>
      </c>
      <c r="I4" s="94">
        <v>8</v>
      </c>
      <c r="K4" s="38">
        <v>2</v>
      </c>
      <c r="L4" s="99">
        <v>40.4</v>
      </c>
      <c r="N4" s="115" t="s">
        <v>134</v>
      </c>
      <c r="O4" s="122">
        <f t="shared" si="0"/>
        <v>13.513513513513514</v>
      </c>
      <c r="P4" s="119">
        <v>444</v>
      </c>
      <c r="Q4" s="103">
        <v>6000</v>
      </c>
    </row>
    <row r="5" spans="1:17" x14ac:dyDescent="0.4">
      <c r="A5" s="55" t="s">
        <v>7</v>
      </c>
      <c r="B5" s="152">
        <f>IF(B$2=0,0,B$4/B$2)</f>
        <v>0</v>
      </c>
      <c r="C5" s="153"/>
      <c r="E5" s="63" t="s">
        <v>181</v>
      </c>
      <c r="F5" s="60" t="s">
        <v>182</v>
      </c>
      <c r="G5" s="47">
        <v>485</v>
      </c>
      <c r="H5" s="133">
        <f>IF(B$17=0,0,G5/B$17)</f>
        <v>0.40619765494137355</v>
      </c>
      <c r="I5" s="94">
        <v>6</v>
      </c>
      <c r="K5" s="38">
        <v>3</v>
      </c>
      <c r="L5" s="99">
        <v>0</v>
      </c>
      <c r="N5" s="115" t="s">
        <v>135</v>
      </c>
      <c r="O5" s="122">
        <f t="shared" si="0"/>
        <v>10.1010101010101</v>
      </c>
      <c r="P5" s="119">
        <v>396</v>
      </c>
      <c r="Q5" s="103">
        <v>4000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68</v>
      </c>
      <c r="F6" s="60" t="s">
        <v>24</v>
      </c>
      <c r="G6" s="47">
        <v>366</v>
      </c>
      <c r="H6" s="133">
        <f>IF(B$17=0,0,G6/B$17)</f>
        <v>0.30653266331658291</v>
      </c>
      <c r="I6" s="94">
        <v>9</v>
      </c>
      <c r="K6" s="38">
        <v>4</v>
      </c>
      <c r="L6" s="99">
        <v>2.2000000000000002</v>
      </c>
      <c r="N6" s="115" t="s">
        <v>136</v>
      </c>
      <c r="O6" s="122">
        <f t="shared" si="0"/>
        <v>-11.111111111111111</v>
      </c>
      <c r="P6" s="119">
        <v>360</v>
      </c>
      <c r="Q6" s="103">
        <v>-4000</v>
      </c>
    </row>
    <row r="7" spans="1:17" x14ac:dyDescent="0.4">
      <c r="A7" s="55" t="s">
        <v>2</v>
      </c>
      <c r="B7" s="47">
        <v>159</v>
      </c>
      <c r="C7" s="39">
        <f>IF(B$2=0,0,B7/B$2)</f>
        <v>0.33333333333333331</v>
      </c>
      <c r="E7" s="63" t="s">
        <v>69</v>
      </c>
      <c r="F7" s="60" t="s">
        <v>12</v>
      </c>
      <c r="G7" s="47">
        <v>366</v>
      </c>
      <c r="H7" s="133">
        <f>IF(B$17=0,0,G7/B$17)</f>
        <v>0.30653266331658291</v>
      </c>
      <c r="I7" s="94">
        <v>7</v>
      </c>
      <c r="K7" s="38">
        <v>5</v>
      </c>
      <c r="L7" s="99">
        <v>-37</v>
      </c>
      <c r="N7" s="116" t="s">
        <v>137</v>
      </c>
      <c r="O7" s="123">
        <f t="shared" si="0"/>
        <v>18.348623853211009</v>
      </c>
      <c r="P7" s="120">
        <v>327</v>
      </c>
      <c r="Q7" s="104">
        <v>6000</v>
      </c>
    </row>
    <row r="8" spans="1:17" x14ac:dyDescent="0.4">
      <c r="A8" s="55" t="s">
        <v>3</v>
      </c>
      <c r="B8" s="47">
        <v>159</v>
      </c>
      <c r="C8" s="39">
        <f>IF(B$2=0,0,B8/B$2)</f>
        <v>0.33333333333333331</v>
      </c>
      <c r="E8" s="63" t="s">
        <v>70</v>
      </c>
      <c r="F8" s="60" t="s">
        <v>25</v>
      </c>
      <c r="G8" s="47">
        <v>225</v>
      </c>
      <c r="H8" s="133">
        <f>IF(B$17=0,0,G8/B$17)</f>
        <v>0.18844221105527639</v>
      </c>
      <c r="I8" s="94">
        <v>6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159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145</v>
      </c>
      <c r="H9" s="133">
        <f>IF(B$17=0,0,G9/B$17)</f>
        <v>0.12144053601340034</v>
      </c>
      <c r="I9" s="94">
        <v>8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53</v>
      </c>
      <c r="C10" s="40">
        <f>IF(B$2=0,0,B10/B$2)</f>
        <v>0.1111111111111111</v>
      </c>
      <c r="E10" s="63" t="s">
        <v>66</v>
      </c>
      <c r="F10" s="60" t="s">
        <v>22</v>
      </c>
      <c r="G10" s="47">
        <v>144</v>
      </c>
      <c r="H10" s="133">
        <f>IF(B$17=0,0,G10/B$17)</f>
        <v>0.12060301507537688</v>
      </c>
      <c r="I10" s="94">
        <v>4</v>
      </c>
      <c r="K10" s="38">
        <v>8</v>
      </c>
      <c r="L10" s="99">
        <v>19.699999999999996</v>
      </c>
      <c r="N10" s="114" t="s">
        <v>164</v>
      </c>
      <c r="O10" s="124">
        <f>IF(P10=0,0,Q10/P10)</f>
        <v>-2.6635220125786163</v>
      </c>
      <c r="P10" s="118">
        <v>159</v>
      </c>
      <c r="Q10" s="106">
        <v>-423.5</v>
      </c>
    </row>
    <row r="11" spans="1:17" x14ac:dyDescent="0.4">
      <c r="A11" s="56" t="s">
        <v>140</v>
      </c>
      <c r="B11" s="48">
        <v>53</v>
      </c>
      <c r="C11" s="40">
        <f>IF(B$2=0,0,B11/B$2)</f>
        <v>0.1111111111111111</v>
      </c>
      <c r="E11" s="63" t="s">
        <v>71</v>
      </c>
      <c r="F11" s="60" t="s">
        <v>26</v>
      </c>
      <c r="G11" s="47">
        <v>126</v>
      </c>
      <c r="H11" s="133">
        <f>IF(B$17=0,0,G11/B$17)</f>
        <v>0.10552763819095477</v>
      </c>
      <c r="I11" s="94">
        <v>5</v>
      </c>
      <c r="K11" s="38">
        <v>9</v>
      </c>
      <c r="L11" s="99">
        <v>-3.5527136788005009E-15</v>
      </c>
      <c r="N11" s="115" t="s">
        <v>165</v>
      </c>
      <c r="O11" s="125">
        <f>IF(P11=0,0,Q11/P11)</f>
        <v>-0.78930817610062987</v>
      </c>
      <c r="P11" s="119">
        <v>159</v>
      </c>
      <c r="Q11" s="107">
        <v>-125.50000000000014</v>
      </c>
    </row>
    <row r="12" spans="1:17" x14ac:dyDescent="0.4">
      <c r="A12" s="57" t="s">
        <v>160</v>
      </c>
      <c r="B12" s="49">
        <v>41</v>
      </c>
      <c r="C12" s="42">
        <f>IF(B$2=0,0,B12/B$2)</f>
        <v>8.5953878406708595E-2</v>
      </c>
      <c r="E12" s="63" t="s">
        <v>72</v>
      </c>
      <c r="F12" s="60" t="s">
        <v>27</v>
      </c>
      <c r="G12" s="47">
        <v>80</v>
      </c>
      <c r="H12" s="133">
        <f>IF(B$17=0,0,G12/B$17)</f>
        <v>6.7001675041876041E-2</v>
      </c>
      <c r="I12" s="94">
        <v>5</v>
      </c>
      <c r="K12" s="38">
        <v>10</v>
      </c>
      <c r="L12" s="99">
        <v>40.099999999999994</v>
      </c>
      <c r="N12" s="116" t="s">
        <v>166</v>
      </c>
      <c r="O12" s="126">
        <f>IF(P12=0,0,Q12/P12)</f>
        <v>3.4528301886792452</v>
      </c>
      <c r="P12" s="120">
        <v>159</v>
      </c>
      <c r="Q12" s="108">
        <v>549</v>
      </c>
    </row>
    <row r="13" spans="1:17" x14ac:dyDescent="0.4">
      <c r="A13" s="58" t="s">
        <v>122</v>
      </c>
      <c r="B13" s="50">
        <v>1087</v>
      </c>
      <c r="C13" s="44">
        <f>IF(B$3=0,0,B13/B$3)</f>
        <v>0.27366565961732126</v>
      </c>
      <c r="E13" s="63" t="s">
        <v>87</v>
      </c>
      <c r="F13" s="60" t="s">
        <v>42</v>
      </c>
      <c r="G13" s="47">
        <v>69</v>
      </c>
      <c r="H13" s="133">
        <f>IF(B$17=0,0,G13/B$17)</f>
        <v>5.7788944723618091E-2</v>
      </c>
      <c r="I13" s="94">
        <v>6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837</v>
      </c>
      <c r="C14" s="39">
        <f>IF(B$3=0,0,B14/B$3)</f>
        <v>0.2107250755287009</v>
      </c>
      <c r="E14" s="63" t="s">
        <v>84</v>
      </c>
      <c r="F14" s="60" t="s">
        <v>39</v>
      </c>
      <c r="G14" s="47">
        <v>54</v>
      </c>
      <c r="H14" s="133">
        <f>IF(B$17=0,0,G14/B$17)</f>
        <v>4.5226130653266333E-2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643</v>
      </c>
      <c r="C15" s="37">
        <f>IF(B$13=0,0,B15/B$13)</f>
        <v>0.59153633854645815</v>
      </c>
      <c r="E15" s="63" t="s">
        <v>82</v>
      </c>
      <c r="F15" s="60" t="s">
        <v>37</v>
      </c>
      <c r="G15" s="47">
        <v>35</v>
      </c>
      <c r="H15" s="133">
        <f>IF(B$17=0,0,G15/B$17)</f>
        <v>2.9313232830820771E-2</v>
      </c>
      <c r="I15" s="94">
        <v>8</v>
      </c>
      <c r="K15" s="38">
        <v>13</v>
      </c>
      <c r="L15" s="99">
        <v>-42.100000000000009</v>
      </c>
      <c r="N15" s="114" t="s">
        <v>225</v>
      </c>
      <c r="O15" s="124">
        <f>IF(P15=0,0,Q15/P15)</f>
        <v>55.5</v>
      </c>
      <c r="P15" s="118">
        <v>2</v>
      </c>
      <c r="Q15" s="106">
        <v>111</v>
      </c>
    </row>
    <row r="16" spans="1:17" x14ac:dyDescent="0.4">
      <c r="A16" s="54" t="s">
        <v>125</v>
      </c>
      <c r="B16" s="46">
        <v>325</v>
      </c>
      <c r="C16" s="37">
        <f>IF(B$14=0,0,B16/B$14)</f>
        <v>0.38829151732377537</v>
      </c>
      <c r="E16" s="63" t="s">
        <v>79</v>
      </c>
      <c r="F16" s="60" t="s">
        <v>34</v>
      </c>
      <c r="G16" s="47">
        <v>28</v>
      </c>
      <c r="H16" s="133">
        <f>IF(B$17=0,0,G16/B$17)</f>
        <v>2.3450586264656615E-2</v>
      </c>
      <c r="I16" s="94">
        <v>5</v>
      </c>
      <c r="K16" s="38">
        <v>14</v>
      </c>
      <c r="L16" s="99">
        <v>18.79999999999999</v>
      </c>
      <c r="N16" s="115" t="s">
        <v>186</v>
      </c>
      <c r="O16" s="125">
        <f>IF(P16=0,0,Q16/P16)</f>
        <v>29.625</v>
      </c>
      <c r="P16" s="119">
        <v>20</v>
      </c>
      <c r="Q16" s="107">
        <v>592.5</v>
      </c>
    </row>
    <row r="17" spans="1:17" x14ac:dyDescent="0.4">
      <c r="A17" s="54" t="s">
        <v>10</v>
      </c>
      <c r="B17" s="46">
        <f>B19+B18</f>
        <v>1194</v>
      </c>
      <c r="C17" s="37">
        <f>IF(B$3=0,0,B17/B$3)</f>
        <v>0.30060422960725075</v>
      </c>
      <c r="E17" s="63" t="s">
        <v>92</v>
      </c>
      <c r="F17" s="60" t="s">
        <v>47</v>
      </c>
      <c r="G17" s="47">
        <v>21</v>
      </c>
      <c r="H17" s="133">
        <f>IF(B$17=0,0,G17/B$17)</f>
        <v>1.7587939698492462E-2</v>
      </c>
      <c r="I17" s="94">
        <v>4</v>
      </c>
      <c r="K17" s="38">
        <v>15</v>
      </c>
      <c r="L17" s="99">
        <v>-1.0658141036401503E-14</v>
      </c>
      <c r="N17" s="115" t="s">
        <v>129</v>
      </c>
      <c r="O17" s="125">
        <f>IF(P17=0,0,Q17/P17)</f>
        <v>22.778181818181828</v>
      </c>
      <c r="P17" s="119">
        <v>110</v>
      </c>
      <c r="Q17" s="107">
        <v>2505.6000000000013</v>
      </c>
    </row>
    <row r="18" spans="1:17" x14ac:dyDescent="0.4">
      <c r="A18" s="55" t="s">
        <v>12</v>
      </c>
      <c r="B18" s="47">
        <v>517</v>
      </c>
      <c r="C18" s="39">
        <f>IF(B$17=0,0,B18/B$17)</f>
        <v>0.43299832495812396</v>
      </c>
      <c r="E18" s="63" t="s">
        <v>80</v>
      </c>
      <c r="F18" s="60" t="s">
        <v>35</v>
      </c>
      <c r="G18" s="47">
        <v>17</v>
      </c>
      <c r="H18" s="133">
        <f>IF(B$17=0,0,G18/B$17)</f>
        <v>1.423785594639866E-2</v>
      </c>
      <c r="I18" s="94">
        <v>4</v>
      </c>
      <c r="K18" s="38">
        <v>16</v>
      </c>
      <c r="L18" s="99">
        <v>90.899999999999991</v>
      </c>
      <c r="N18" s="115" t="s">
        <v>177</v>
      </c>
      <c r="O18" s="125">
        <f>IF(P18=0,0,Q18/P18)</f>
        <v>9.2379310344827577</v>
      </c>
      <c r="P18" s="119">
        <v>58</v>
      </c>
      <c r="Q18" s="107">
        <v>535.79999999999995</v>
      </c>
    </row>
    <row r="19" spans="1:17" x14ac:dyDescent="0.4">
      <c r="A19" s="55" t="s">
        <v>11</v>
      </c>
      <c r="B19" s="47">
        <v>677</v>
      </c>
      <c r="C19" s="39">
        <f>IF(B$17=0,0,B19/B$17)</f>
        <v>0.56700167504187604</v>
      </c>
      <c r="E19" s="63" t="s">
        <v>180</v>
      </c>
      <c r="F19" s="60" t="s">
        <v>183</v>
      </c>
      <c r="G19" s="47">
        <v>17</v>
      </c>
      <c r="H19" s="133">
        <f>IF(B$17=0,0,G19/B$17)</f>
        <v>1.423785594639866E-2</v>
      </c>
      <c r="I19" s="94">
        <v>3</v>
      </c>
      <c r="K19" s="38">
        <v>17</v>
      </c>
      <c r="L19" s="99">
        <v>8.2999999999999972</v>
      </c>
      <c r="N19" s="115" t="s">
        <v>173</v>
      </c>
      <c r="O19" s="125">
        <f>IF(P19=0,0,Q19/P19)</f>
        <v>8.6115384615384585</v>
      </c>
      <c r="P19" s="119">
        <v>78</v>
      </c>
      <c r="Q19" s="107">
        <v>671.69999999999982</v>
      </c>
    </row>
    <row r="20" spans="1:17" x14ac:dyDescent="0.4">
      <c r="A20" s="55" t="s">
        <v>13</v>
      </c>
      <c r="B20" s="47">
        <v>669</v>
      </c>
      <c r="C20" s="39">
        <f>IF(B$3=0,0,B20/B$3)</f>
        <v>0.16842900302114805</v>
      </c>
      <c r="E20" s="63" t="s">
        <v>74</v>
      </c>
      <c r="F20" s="60" t="s">
        <v>29</v>
      </c>
      <c r="G20" s="47">
        <v>7</v>
      </c>
      <c r="H20" s="133">
        <f>IF(B$17=0,0,G20/B$17)</f>
        <v>5.8626465661641538E-3</v>
      </c>
      <c r="I20" s="94">
        <v>5</v>
      </c>
      <c r="K20" s="38">
        <v>18</v>
      </c>
      <c r="L20" s="99">
        <v>-3.5527136788005009E-15</v>
      </c>
      <c r="N20" s="115" t="s">
        <v>202</v>
      </c>
      <c r="O20" s="125">
        <f>IF(P20=0,0,Q20/P20)</f>
        <v>4.8299999999999983</v>
      </c>
      <c r="P20" s="119">
        <v>10</v>
      </c>
      <c r="Q20" s="107">
        <v>48.299999999999983</v>
      </c>
    </row>
    <row r="21" spans="1:17" x14ac:dyDescent="0.4">
      <c r="A21" s="55" t="s">
        <v>193</v>
      </c>
      <c r="B21" s="47">
        <v>7</v>
      </c>
      <c r="C21" s="135">
        <v>3</v>
      </c>
      <c r="E21" s="63" t="s">
        <v>76</v>
      </c>
      <c r="F21" s="60" t="s">
        <v>31</v>
      </c>
      <c r="G21" s="47">
        <v>7</v>
      </c>
      <c r="H21" s="133">
        <f>IF(B$17=0,0,G21/B$17)</f>
        <v>5.8626465661641538E-3</v>
      </c>
      <c r="I21" s="94">
        <v>5</v>
      </c>
      <c r="K21" s="38">
        <v>19</v>
      </c>
      <c r="L21" s="99">
        <v>30.999999999999996</v>
      </c>
      <c r="N21" s="115" t="s">
        <v>128</v>
      </c>
      <c r="O21" s="125">
        <f>IF(P21=0,0,Q21/P21)</f>
        <v>3.503181818181818</v>
      </c>
      <c r="P21" s="119">
        <v>220</v>
      </c>
      <c r="Q21" s="107">
        <v>770.69999999999993</v>
      </c>
    </row>
    <row r="22" spans="1:17" x14ac:dyDescent="0.4">
      <c r="A22" s="55" t="s">
        <v>194</v>
      </c>
      <c r="B22" s="47">
        <v>31</v>
      </c>
      <c r="C22" s="135">
        <v>6</v>
      </c>
      <c r="E22" s="63" t="s">
        <v>75</v>
      </c>
      <c r="F22" s="60" t="s">
        <v>30</v>
      </c>
      <c r="G22" s="47">
        <v>4</v>
      </c>
      <c r="H22" s="133">
        <f>IF(B$17=0,0,G22/B$17)</f>
        <v>3.3500837520938024E-3</v>
      </c>
      <c r="I22" s="94">
        <v>4</v>
      </c>
      <c r="K22" s="38">
        <v>20</v>
      </c>
      <c r="L22" s="99">
        <v>0.79999999999999716</v>
      </c>
      <c r="N22" s="115" t="s">
        <v>172</v>
      </c>
      <c r="O22" s="125">
        <f>IF(P22=0,0,Q22/P22)</f>
        <v>-1.8452830188679263</v>
      </c>
      <c r="P22" s="119">
        <v>106</v>
      </c>
      <c r="Q22" s="107">
        <v>-195.60000000000019</v>
      </c>
    </row>
    <row r="23" spans="1:17" x14ac:dyDescent="0.4">
      <c r="A23" s="55" t="s">
        <v>5</v>
      </c>
      <c r="B23" s="51">
        <f>IF(B$17=0,0,C23/B$17)</f>
        <v>8470.6030150753777</v>
      </c>
      <c r="C23" s="41">
        <v>10113900</v>
      </c>
      <c r="E23" s="63" t="s">
        <v>88</v>
      </c>
      <c r="F23" s="60" t="s">
        <v>43</v>
      </c>
      <c r="G23" s="47">
        <v>4</v>
      </c>
      <c r="H23" s="133">
        <f>IF(B$17=0,0,G23/B$17)</f>
        <v>3.3500837520938024E-3</v>
      </c>
      <c r="I23" s="94">
        <v>4</v>
      </c>
      <c r="K23" s="38">
        <v>21</v>
      </c>
      <c r="L23" s="99">
        <v>-2.886579864025407E-15</v>
      </c>
      <c r="N23" s="115" t="s">
        <v>171</v>
      </c>
      <c r="O23" s="125">
        <f>IF(P23=0,0,Q23/P23)</f>
        <v>-2.2620967741935467</v>
      </c>
      <c r="P23" s="119">
        <v>124</v>
      </c>
      <c r="Q23" s="107">
        <v>-280.49999999999977</v>
      </c>
    </row>
    <row r="24" spans="1:17" x14ac:dyDescent="0.4">
      <c r="A24" s="57" t="s">
        <v>14</v>
      </c>
      <c r="B24" s="52">
        <f>IF(B$20=0,0,C24/B$20)</f>
        <v>-8109.4170403587441</v>
      </c>
      <c r="C24" s="45">
        <v>-5425200</v>
      </c>
      <c r="E24" s="63" t="s">
        <v>93</v>
      </c>
      <c r="F24" s="60" t="s">
        <v>48</v>
      </c>
      <c r="G24" s="47">
        <v>4</v>
      </c>
      <c r="H24" s="133">
        <f>IF(B$17=0,0,G24/B$17)</f>
        <v>3.3500837520938024E-3</v>
      </c>
      <c r="I24" s="94">
        <v>3</v>
      </c>
      <c r="K24" s="38">
        <v>22</v>
      </c>
      <c r="L24" s="99">
        <v>23.699999999999996</v>
      </c>
      <c r="N24" s="115" t="s">
        <v>224</v>
      </c>
      <c r="O24" s="125">
        <f>IF(P24=0,0,Q24/P24)</f>
        <v>-19.950000000000003</v>
      </c>
      <c r="P24" s="119">
        <v>2</v>
      </c>
      <c r="Q24" s="107">
        <v>-39.900000000000006</v>
      </c>
    </row>
    <row r="25" spans="1:17" x14ac:dyDescent="0.4">
      <c r="A25" s="90" t="s">
        <v>142</v>
      </c>
      <c r="B25" s="140">
        <v>8</v>
      </c>
      <c r="C25" s="141"/>
      <c r="E25" s="63" t="s">
        <v>78</v>
      </c>
      <c r="F25" s="60" t="s">
        <v>33</v>
      </c>
      <c r="G25" s="47">
        <v>3</v>
      </c>
      <c r="H25" s="133">
        <f>IF(B$17=0,0,G25/B$17)</f>
        <v>2.5125628140703518E-3</v>
      </c>
      <c r="I25" s="94">
        <v>4</v>
      </c>
      <c r="K25" s="38">
        <v>23</v>
      </c>
      <c r="L25" s="99">
        <v>26.299999999999997</v>
      </c>
      <c r="N25" s="115" t="s">
        <v>127</v>
      </c>
      <c r="O25" s="125">
        <f>IF(P25=0,0,Q25/P25)</f>
        <v>-20.810091743119255</v>
      </c>
      <c r="P25" s="119">
        <v>218</v>
      </c>
      <c r="Q25" s="107">
        <v>-4536.5999999999976</v>
      </c>
    </row>
    <row r="26" spans="1:17" x14ac:dyDescent="0.4">
      <c r="A26" s="58" t="s">
        <v>152</v>
      </c>
      <c r="B26" s="138">
        <v>116000</v>
      </c>
      <c r="C26" s="139"/>
      <c r="E26" s="63" t="s">
        <v>94</v>
      </c>
      <c r="F26" s="60" t="s">
        <v>49</v>
      </c>
      <c r="G26" s="47">
        <v>3</v>
      </c>
      <c r="H26" s="133">
        <f>IF(B$17=0,0,G26/B$17)</f>
        <v>2.5125628140703518E-3</v>
      </c>
      <c r="I26" s="94">
        <v>4</v>
      </c>
      <c r="K26" s="38">
        <v>24</v>
      </c>
      <c r="L26" s="99">
        <v>-3.5527136788005009E-15</v>
      </c>
      <c r="N26" s="115" t="s">
        <v>185</v>
      </c>
      <c r="O26" s="125">
        <f>IF(P26=0,0,Q26/P26)</f>
        <v>-30.5</v>
      </c>
      <c r="P26" s="119">
        <v>6</v>
      </c>
      <c r="Q26" s="107">
        <v>-183</v>
      </c>
    </row>
    <row r="27" spans="1:17" x14ac:dyDescent="0.4">
      <c r="A27" s="57" t="s">
        <v>143</v>
      </c>
      <c r="B27" s="65">
        <v>12</v>
      </c>
      <c r="C27" s="42">
        <f>IF(B$3=0,0,B27/B$3)</f>
        <v>3.0211480362537764E-3</v>
      </c>
      <c r="E27" s="63" t="s">
        <v>85</v>
      </c>
      <c r="F27" s="60" t="s">
        <v>40</v>
      </c>
      <c r="G27" s="47">
        <v>2</v>
      </c>
      <c r="H27" s="133">
        <f>IF(B$17=0,0,G27/B$17)</f>
        <v>1.6750418760469012E-3</v>
      </c>
      <c r="I27" s="94">
        <v>3</v>
      </c>
      <c r="K27" s="38">
        <v>25</v>
      </c>
      <c r="L27" s="99">
        <v>-31.300000000000004</v>
      </c>
    </row>
    <row r="28" spans="1:17" x14ac:dyDescent="0.4">
      <c r="E28" s="63" t="s">
        <v>89</v>
      </c>
      <c r="F28" s="60" t="s">
        <v>44</v>
      </c>
      <c r="G28" s="47">
        <v>2</v>
      </c>
      <c r="H28" s="133">
        <f>IF(B$17=0,0,G28/B$17)</f>
        <v>1.6750418760469012E-3</v>
      </c>
      <c r="I28" s="94">
        <v>3</v>
      </c>
      <c r="K28" s="38">
        <v>26</v>
      </c>
      <c r="L28" s="99">
        <v>1.8999999999999986</v>
      </c>
    </row>
    <row r="29" spans="1:17" x14ac:dyDescent="0.4">
      <c r="E29" s="63" t="s">
        <v>96</v>
      </c>
      <c r="F29" s="60" t="s">
        <v>51</v>
      </c>
      <c r="G29" s="47">
        <v>2</v>
      </c>
      <c r="H29" s="133">
        <f>IF(B$17=0,0,G29/B$17)</f>
        <v>1.6750418760469012E-3</v>
      </c>
      <c r="I29" s="94">
        <v>3</v>
      </c>
      <c r="K29" s="38">
        <v>27</v>
      </c>
      <c r="L29" s="99">
        <v>-1.3322676295501878E-15</v>
      </c>
    </row>
    <row r="30" spans="1:17" x14ac:dyDescent="0.4">
      <c r="E30" s="63" t="s">
        <v>77</v>
      </c>
      <c r="F30" s="60" t="s">
        <v>32</v>
      </c>
      <c r="G30" s="47">
        <v>1</v>
      </c>
      <c r="H30" s="133">
        <f>IF(B$17=0,0,G30/B$17)</f>
        <v>8.375209380234506E-4</v>
      </c>
      <c r="I30" s="94">
        <v>2</v>
      </c>
      <c r="K30" s="38">
        <v>28</v>
      </c>
      <c r="L30" s="99">
        <v>-58.3</v>
      </c>
    </row>
    <row r="31" spans="1:17" x14ac:dyDescent="0.4">
      <c r="E31" s="63" t="s">
        <v>86</v>
      </c>
      <c r="F31" s="60" t="s">
        <v>41</v>
      </c>
      <c r="G31" s="47">
        <v>1</v>
      </c>
      <c r="H31" s="133">
        <f>IF(B$17=0,0,G31/B$17)</f>
        <v>8.375209380234506E-4</v>
      </c>
      <c r="I31" s="94">
        <v>2</v>
      </c>
      <c r="K31" s="38">
        <v>29</v>
      </c>
      <c r="L31" s="99">
        <v>-9.5</v>
      </c>
    </row>
    <row r="32" spans="1:17" x14ac:dyDescent="0.4">
      <c r="E32" s="63" t="s">
        <v>91</v>
      </c>
      <c r="F32" s="60" t="s">
        <v>46</v>
      </c>
      <c r="G32" s="47">
        <v>1</v>
      </c>
      <c r="H32" s="133">
        <f>IF(B$17=0,0,G32/B$17)</f>
        <v>8.375209380234506E-4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81</v>
      </c>
      <c r="F33" s="60" t="s">
        <v>36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29.1</v>
      </c>
    </row>
    <row r="34" spans="5:12" x14ac:dyDescent="0.4">
      <c r="E34" s="63" t="s">
        <v>83</v>
      </c>
      <c r="F34" s="60" t="s">
        <v>38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38.399999999999991</v>
      </c>
    </row>
    <row r="52" spans="5:12" x14ac:dyDescent="0.4"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-50.599999999999973</v>
      </c>
    </row>
    <row r="442" spans="11:12" x14ac:dyDescent="0.4">
      <c r="K442" s="38">
        <v>440</v>
      </c>
      <c r="L442" s="99">
        <v>-66.299999999999969</v>
      </c>
    </row>
    <row r="443" spans="11:12" x14ac:dyDescent="0.4">
      <c r="K443" s="38">
        <v>441</v>
      </c>
      <c r="L443" s="99">
        <v>2.8421709430404007E-14</v>
      </c>
    </row>
    <row r="444" spans="11:12" x14ac:dyDescent="0.4">
      <c r="K444" s="38">
        <v>442</v>
      </c>
      <c r="L444" s="99">
        <v>-57.39999999999997</v>
      </c>
    </row>
    <row r="445" spans="11:12" x14ac:dyDescent="0.4">
      <c r="K445" s="38">
        <v>443</v>
      </c>
      <c r="L445" s="99">
        <v>-11.39999999999997</v>
      </c>
    </row>
    <row r="446" spans="11:12" x14ac:dyDescent="0.4">
      <c r="K446" s="38">
        <v>444</v>
      </c>
      <c r="L446" s="99">
        <v>3.0198066269804258E-14</v>
      </c>
    </row>
    <row r="447" spans="11:12" x14ac:dyDescent="0.4">
      <c r="K447" s="38">
        <v>445</v>
      </c>
      <c r="L447" s="99">
        <v>34.300000000000026</v>
      </c>
    </row>
    <row r="448" spans="11:12" x14ac:dyDescent="0.4">
      <c r="K448" s="38">
        <v>446</v>
      </c>
      <c r="L448" s="99">
        <v>32.200000000000024</v>
      </c>
    </row>
    <row r="449" spans="11:12" x14ac:dyDescent="0.4">
      <c r="K449" s="38">
        <v>447</v>
      </c>
      <c r="L449" s="99">
        <v>2.1316282072803006E-14</v>
      </c>
    </row>
    <row r="450" spans="11:12" x14ac:dyDescent="0.4">
      <c r="K450" s="38">
        <v>448</v>
      </c>
      <c r="L450" s="99">
        <v>-56.199999999999982</v>
      </c>
    </row>
    <row r="451" spans="11:12" x14ac:dyDescent="0.4">
      <c r="K451" s="38">
        <v>449</v>
      </c>
      <c r="L451" s="99">
        <v>-14.59999999999998</v>
      </c>
    </row>
    <row r="452" spans="11:12" x14ac:dyDescent="0.4">
      <c r="K452" s="38">
        <v>450</v>
      </c>
      <c r="L452" s="99">
        <v>1.9539925233402755E-14</v>
      </c>
    </row>
    <row r="453" spans="11:12" x14ac:dyDescent="0.4">
      <c r="K453" s="38">
        <v>451</v>
      </c>
      <c r="L453" s="99">
        <v>69.600000000000009</v>
      </c>
    </row>
    <row r="454" spans="11:12" x14ac:dyDescent="0.4">
      <c r="K454" s="38">
        <v>452</v>
      </c>
      <c r="L454" s="99">
        <v>59.20000000000001</v>
      </c>
    </row>
    <row r="455" spans="11:12" x14ac:dyDescent="0.4">
      <c r="K455" s="38">
        <v>453</v>
      </c>
      <c r="L455" s="99">
        <v>7.1054273576010019E-15</v>
      </c>
    </row>
    <row r="456" spans="11:12" x14ac:dyDescent="0.4">
      <c r="K456" s="38">
        <v>454</v>
      </c>
      <c r="L456" s="99">
        <v>-18.699999999999992</v>
      </c>
    </row>
    <row r="457" spans="11:12" x14ac:dyDescent="0.4">
      <c r="K457" s="38">
        <v>455</v>
      </c>
      <c r="L457" s="99">
        <v>56.500000000000014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37.400000000000013</v>
      </c>
    </row>
    <row r="460" spans="11:12" x14ac:dyDescent="0.4">
      <c r="K460" s="38">
        <v>458</v>
      </c>
      <c r="L460" s="99">
        <v>6.8000000000000114</v>
      </c>
    </row>
    <row r="461" spans="11:12" x14ac:dyDescent="0.4">
      <c r="K461" s="38">
        <v>459</v>
      </c>
      <c r="L461" s="99">
        <v>1.1546319456101628E-14</v>
      </c>
    </row>
    <row r="462" spans="11:12" x14ac:dyDescent="0.4">
      <c r="K462" s="38">
        <v>460</v>
      </c>
      <c r="L462" s="99">
        <v>-6.0999999999999881</v>
      </c>
    </row>
    <row r="463" spans="11:12" x14ac:dyDescent="0.4">
      <c r="K463" s="38">
        <v>461</v>
      </c>
      <c r="L463" s="99">
        <v>38.70000000000001</v>
      </c>
    </row>
    <row r="464" spans="11:12" x14ac:dyDescent="0.4">
      <c r="K464" s="38">
        <v>462</v>
      </c>
      <c r="L464" s="99">
        <v>7.1054273576010019E-15</v>
      </c>
    </row>
    <row r="465" spans="11:12" x14ac:dyDescent="0.4">
      <c r="K465" s="38">
        <v>463</v>
      </c>
      <c r="L465" s="99">
        <v>62.500000000000007</v>
      </c>
    </row>
    <row r="466" spans="11:12" x14ac:dyDescent="0.4">
      <c r="K466" s="38">
        <v>464</v>
      </c>
      <c r="L466" s="99">
        <v>2.5000000000000071</v>
      </c>
    </row>
    <row r="467" spans="11:12" x14ac:dyDescent="0.4">
      <c r="K467" s="38">
        <v>465</v>
      </c>
      <c r="L467" s="99">
        <v>7.1054273576010019E-15</v>
      </c>
    </row>
    <row r="468" spans="11:12" x14ac:dyDescent="0.4">
      <c r="K468" s="38">
        <v>466</v>
      </c>
      <c r="L468" s="99">
        <v>-37.699999999999996</v>
      </c>
    </row>
    <row r="469" spans="11:12" x14ac:dyDescent="0.4">
      <c r="K469" s="38">
        <v>467</v>
      </c>
      <c r="L469" s="99">
        <v>-47.599999999999994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20.500000000000007</v>
      </c>
    </row>
    <row r="472" spans="11:12" x14ac:dyDescent="0.4">
      <c r="K472" s="38">
        <v>470</v>
      </c>
      <c r="L472" s="99">
        <v>-45.4</v>
      </c>
    </row>
    <row r="473" spans="11:12" x14ac:dyDescent="0.4">
      <c r="K473" s="38">
        <v>471</v>
      </c>
      <c r="L473" s="99">
        <v>0</v>
      </c>
    </row>
    <row r="474" spans="11:12" x14ac:dyDescent="0.4">
      <c r="K474" s="38">
        <v>472</v>
      </c>
      <c r="L474" s="99">
        <v>51.8</v>
      </c>
    </row>
    <row r="475" spans="11:12" x14ac:dyDescent="0.4">
      <c r="K475" s="38">
        <v>473</v>
      </c>
      <c r="L475" s="99">
        <v>59.199999999999996</v>
      </c>
    </row>
    <row r="476" spans="11:12" x14ac:dyDescent="0.4">
      <c r="K476" s="38">
        <v>474</v>
      </c>
      <c r="L476" s="99">
        <v>-7.1054273576010019E-15</v>
      </c>
    </row>
    <row r="477" spans="11:12" x14ac:dyDescent="0.4">
      <c r="K477" s="38">
        <v>475</v>
      </c>
      <c r="L477" s="99">
        <v>-56.900000000000006</v>
      </c>
    </row>
    <row r="478" spans="11:12" x14ac:dyDescent="0.4">
      <c r="K478" s="38">
        <v>476</v>
      </c>
      <c r="L478" s="99">
        <v>-67.7</v>
      </c>
    </row>
    <row r="479" spans="11:12" x14ac:dyDescent="0.4">
      <c r="K479" s="38">
        <v>477</v>
      </c>
      <c r="L479" s="99">
        <v>0</v>
      </c>
    </row>
  </sheetData>
  <sortState ref="N15:Q2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CFB60-66E7-486B-B2F0-53838B2BD8F6}">
  <sheetPr codeName="Sheet7"/>
  <dimension ref="A1:Q11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109</v>
      </c>
      <c r="C2" s="147"/>
      <c r="E2" s="62" t="s">
        <v>67</v>
      </c>
      <c r="F2" s="59" t="s">
        <v>23</v>
      </c>
      <c r="G2" s="46">
        <v>230</v>
      </c>
      <c r="H2" s="132">
        <f>IF(B$17=0,0,G2/B$17)</f>
        <v>0.72784810126582278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2499.0740740740739</v>
      </c>
      <c r="P2" s="118">
        <v>108</v>
      </c>
      <c r="Q2" s="102">
        <v>269900</v>
      </c>
    </row>
    <row r="3" spans="1:17" x14ac:dyDescent="0.4">
      <c r="A3" s="55" t="s">
        <v>8</v>
      </c>
      <c r="B3" s="148">
        <v>878</v>
      </c>
      <c r="C3" s="149"/>
      <c r="E3" s="63" t="s">
        <v>73</v>
      </c>
      <c r="F3" s="60" t="s">
        <v>28</v>
      </c>
      <c r="G3" s="47">
        <v>175</v>
      </c>
      <c r="H3" s="133">
        <f>IF(B$17=0,0,G3/B$17)</f>
        <v>0.55379746835443033</v>
      </c>
      <c r="I3" s="94">
        <v>5</v>
      </c>
      <c r="K3" s="38">
        <v>1</v>
      </c>
      <c r="L3" s="99">
        <v>-5.0999999999999996</v>
      </c>
      <c r="N3" s="115" t="s">
        <v>133</v>
      </c>
      <c r="O3" s="122">
        <f t="shared" si="0"/>
        <v>1721.6981132075471</v>
      </c>
      <c r="P3" s="119">
        <v>106</v>
      </c>
      <c r="Q3" s="103">
        <v>182500</v>
      </c>
    </row>
    <row r="4" spans="1:17" x14ac:dyDescent="0.4">
      <c r="A4" s="55" t="s">
        <v>6</v>
      </c>
      <c r="B4" s="150">
        <v>1512.2000000000007</v>
      </c>
      <c r="C4" s="151"/>
      <c r="E4" s="63" t="s">
        <v>65</v>
      </c>
      <c r="F4" s="60" t="s">
        <v>21</v>
      </c>
      <c r="G4" s="47">
        <v>159</v>
      </c>
      <c r="H4" s="133">
        <f>IF(B$17=0,0,G4/B$17)</f>
        <v>0.50316455696202533</v>
      </c>
      <c r="I4" s="94">
        <v>9</v>
      </c>
      <c r="K4" s="38">
        <v>2</v>
      </c>
      <c r="L4" s="99">
        <v>-2.8999999999999995</v>
      </c>
      <c r="N4" s="115" t="s">
        <v>134</v>
      </c>
      <c r="O4" s="122">
        <f t="shared" si="0"/>
        <v>1769.3069306930693</v>
      </c>
      <c r="P4" s="119">
        <v>101</v>
      </c>
      <c r="Q4" s="103">
        <v>178700</v>
      </c>
    </row>
    <row r="5" spans="1:17" x14ac:dyDescent="0.4">
      <c r="A5" s="55" t="s">
        <v>7</v>
      </c>
      <c r="B5" s="152">
        <f>IF(B$2=0,0,B$4/B$2)</f>
        <v>13.873394495412851</v>
      </c>
      <c r="C5" s="153"/>
      <c r="E5" s="63" t="s">
        <v>181</v>
      </c>
      <c r="F5" s="60" t="s">
        <v>182</v>
      </c>
      <c r="G5" s="47">
        <v>135</v>
      </c>
      <c r="H5" s="133">
        <f>IF(B$17=0,0,G5/B$17)</f>
        <v>0.42721518987341772</v>
      </c>
      <c r="I5" s="94">
        <v>3</v>
      </c>
      <c r="K5" s="38">
        <v>3</v>
      </c>
      <c r="L5" s="99">
        <v>70.399999999999991</v>
      </c>
      <c r="N5" s="115" t="s">
        <v>135</v>
      </c>
      <c r="O5" s="122">
        <f t="shared" si="0"/>
        <v>2242.2222222222222</v>
      </c>
      <c r="P5" s="119">
        <v>90</v>
      </c>
      <c r="Q5" s="103">
        <v>201800</v>
      </c>
    </row>
    <row r="6" spans="1:17" x14ac:dyDescent="0.4">
      <c r="A6" s="55" t="s">
        <v>1</v>
      </c>
      <c r="B6" s="142">
        <f>IF(B$2=0,0,(B$7*1+B$8*2+B$9*3)/B$2)</f>
        <v>1.7064220183486238</v>
      </c>
      <c r="C6" s="143"/>
      <c r="E6" s="63" t="s">
        <v>68</v>
      </c>
      <c r="F6" s="60" t="s">
        <v>24</v>
      </c>
      <c r="G6" s="47">
        <v>97</v>
      </c>
      <c r="H6" s="133">
        <f>IF(B$17=0,0,G6/B$17)</f>
        <v>0.30696202531645572</v>
      </c>
      <c r="I6" s="94">
        <v>8</v>
      </c>
      <c r="K6" s="38">
        <v>4</v>
      </c>
      <c r="L6" s="99">
        <v>110.5</v>
      </c>
      <c r="N6" s="115" t="s">
        <v>136</v>
      </c>
      <c r="O6" s="122">
        <f t="shared" si="0"/>
        <v>126.25</v>
      </c>
      <c r="P6" s="119">
        <v>80</v>
      </c>
      <c r="Q6" s="103">
        <v>10100</v>
      </c>
    </row>
    <row r="7" spans="1:17" x14ac:dyDescent="0.4">
      <c r="A7" s="55" t="s">
        <v>2</v>
      </c>
      <c r="B7" s="47">
        <v>56</v>
      </c>
      <c r="C7" s="39">
        <f>IF(B$2=0,0,B7/B$2)</f>
        <v>0.51376146788990829</v>
      </c>
      <c r="E7" s="63" t="s">
        <v>69</v>
      </c>
      <c r="F7" s="60" t="s">
        <v>12</v>
      </c>
      <c r="G7" s="47">
        <v>82</v>
      </c>
      <c r="H7" s="133">
        <f>IF(B$17=0,0,G7/B$17)</f>
        <v>0.25949367088607594</v>
      </c>
      <c r="I7" s="94">
        <v>11</v>
      </c>
      <c r="K7" s="38">
        <v>5</v>
      </c>
      <c r="L7" s="99">
        <v>201.4</v>
      </c>
      <c r="N7" s="116" t="s">
        <v>137</v>
      </c>
      <c r="O7" s="123">
        <f t="shared" si="0"/>
        <v>387.32394366197184</v>
      </c>
      <c r="P7" s="120">
        <v>71</v>
      </c>
      <c r="Q7" s="104">
        <v>27500</v>
      </c>
    </row>
    <row r="8" spans="1:17" x14ac:dyDescent="0.4">
      <c r="A8" s="55" t="s">
        <v>3</v>
      </c>
      <c r="B8" s="47">
        <v>29</v>
      </c>
      <c r="C8" s="39">
        <f>IF(B$2=0,0,B8/B$2)</f>
        <v>0.26605504587155965</v>
      </c>
      <c r="E8" s="63" t="s">
        <v>70</v>
      </c>
      <c r="F8" s="60" t="s">
        <v>25</v>
      </c>
      <c r="G8" s="47">
        <v>59</v>
      </c>
      <c r="H8" s="133">
        <f>IF(B$17=0,0,G8/B$17)</f>
        <v>0.18670886075949367</v>
      </c>
      <c r="I8" s="94">
        <v>7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24</v>
      </c>
      <c r="C9" s="40">
        <f t="shared" ref="C9" si="1">IF(B$2=0,0,B9/B$2)</f>
        <v>0.22018348623853212</v>
      </c>
      <c r="E9" s="63" t="s">
        <v>90</v>
      </c>
      <c r="F9" s="60" t="s">
        <v>45</v>
      </c>
      <c r="G9" s="47">
        <v>50</v>
      </c>
      <c r="H9" s="133">
        <f>IF(B$17=0,0,G9/B$17)</f>
        <v>0.15822784810126583</v>
      </c>
      <c r="I9" s="94">
        <v>5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11</v>
      </c>
      <c r="C10" s="40">
        <f>IF(B$2=0,0,B10/B$2)</f>
        <v>0.10091743119266056</v>
      </c>
      <c r="E10" s="63" t="s">
        <v>66</v>
      </c>
      <c r="F10" s="60" t="s">
        <v>22</v>
      </c>
      <c r="G10" s="47">
        <v>48</v>
      </c>
      <c r="H10" s="133">
        <f>IF(B$17=0,0,G10/B$17)</f>
        <v>0.15189873417721519</v>
      </c>
      <c r="I10" s="94">
        <v>2</v>
      </c>
      <c r="K10" s="38">
        <v>8</v>
      </c>
      <c r="L10" s="99">
        <v>285.20000000000005</v>
      </c>
      <c r="N10" s="114" t="s">
        <v>164</v>
      </c>
      <c r="O10" s="124">
        <f>IF(P10=0,0,Q10/P10)</f>
        <v>16.679411764705883</v>
      </c>
      <c r="P10" s="118">
        <v>34</v>
      </c>
      <c r="Q10" s="106">
        <v>567.1</v>
      </c>
    </row>
    <row r="11" spans="1:17" x14ac:dyDescent="0.4">
      <c r="A11" s="56" t="s">
        <v>140</v>
      </c>
      <c r="B11" s="48">
        <v>20</v>
      </c>
      <c r="C11" s="40">
        <f>IF(B$2=0,0,B11/B$2)</f>
        <v>0.1834862385321101</v>
      </c>
      <c r="E11" s="63" t="s">
        <v>71</v>
      </c>
      <c r="F11" s="60" t="s">
        <v>26</v>
      </c>
      <c r="G11" s="47">
        <v>32</v>
      </c>
      <c r="H11" s="133">
        <f>IF(B$17=0,0,G11/B$17)</f>
        <v>0.10126582278481013</v>
      </c>
      <c r="I11" s="94">
        <v>6</v>
      </c>
      <c r="K11" s="38">
        <v>9</v>
      </c>
      <c r="L11" s="99">
        <v>277.90000000000003</v>
      </c>
      <c r="N11" s="115" t="s">
        <v>165</v>
      </c>
      <c r="O11" s="125">
        <f>IF(P11=0,0,Q11/P11)</f>
        <v>7.5882352941176467</v>
      </c>
      <c r="P11" s="119">
        <v>34</v>
      </c>
      <c r="Q11" s="107">
        <v>258</v>
      </c>
    </row>
    <row r="12" spans="1:17" x14ac:dyDescent="0.4">
      <c r="A12" s="57" t="s">
        <v>160</v>
      </c>
      <c r="B12" s="49">
        <v>17</v>
      </c>
      <c r="C12" s="42">
        <f>IF(B$2=0,0,B12/B$2)</f>
        <v>0.15596330275229359</v>
      </c>
      <c r="E12" s="63" t="s">
        <v>72</v>
      </c>
      <c r="F12" s="60" t="s">
        <v>27</v>
      </c>
      <c r="G12" s="47">
        <v>21</v>
      </c>
      <c r="H12" s="133">
        <f>IF(B$17=0,0,G12/B$17)</f>
        <v>6.6455696202531639E-2</v>
      </c>
      <c r="I12" s="94">
        <v>6</v>
      </c>
      <c r="K12" s="38">
        <v>10</v>
      </c>
      <c r="L12" s="99">
        <v>246.20000000000005</v>
      </c>
      <c r="N12" s="116" t="s">
        <v>166</v>
      </c>
      <c r="O12" s="126">
        <f>IF(P12=0,0,Q12/P12)</f>
        <v>16.758536585365857</v>
      </c>
      <c r="P12" s="120">
        <v>41</v>
      </c>
      <c r="Q12" s="108">
        <v>687.10000000000014</v>
      </c>
    </row>
    <row r="13" spans="1:17" x14ac:dyDescent="0.4">
      <c r="A13" s="58" t="s">
        <v>122</v>
      </c>
      <c r="B13" s="50">
        <v>288</v>
      </c>
      <c r="C13" s="44">
        <f>IF(B$3=0,0,B13/B$3)</f>
        <v>0.32801822323462415</v>
      </c>
      <c r="E13" s="63" t="s">
        <v>87</v>
      </c>
      <c r="F13" s="60" t="s">
        <v>42</v>
      </c>
      <c r="G13" s="47">
        <v>21</v>
      </c>
      <c r="H13" s="133">
        <f>IF(B$17=0,0,G13/B$17)</f>
        <v>6.6455696202531639E-2</v>
      </c>
      <c r="I13" s="94">
        <v>5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196</v>
      </c>
      <c r="C14" s="39">
        <f>IF(B$3=0,0,B14/B$3)</f>
        <v>0.22323462414578588</v>
      </c>
      <c r="E14" s="63" t="s">
        <v>84</v>
      </c>
      <c r="F14" s="60" t="s">
        <v>39</v>
      </c>
      <c r="G14" s="47">
        <v>16</v>
      </c>
      <c r="H14" s="133">
        <f>IF(B$17=0,0,G14/B$17)</f>
        <v>5.0632911392405063E-2</v>
      </c>
      <c r="I14" s="94">
        <v>3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171</v>
      </c>
      <c r="C15" s="37">
        <f>IF(B$13=0,0,B15/B$13)</f>
        <v>0.59375</v>
      </c>
      <c r="E15" s="63" t="s">
        <v>82</v>
      </c>
      <c r="F15" s="60" t="s">
        <v>37</v>
      </c>
      <c r="G15" s="47">
        <v>11</v>
      </c>
      <c r="H15" s="133">
        <f>IF(B$17=0,0,G15/B$17)</f>
        <v>3.4810126582278479E-2</v>
      </c>
      <c r="I15" s="94">
        <v>4</v>
      </c>
      <c r="K15" s="38">
        <v>13</v>
      </c>
      <c r="L15" s="99">
        <v>418.90000000000003</v>
      </c>
      <c r="N15" s="114" t="s">
        <v>185</v>
      </c>
      <c r="O15" s="124">
        <f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101</v>
      </c>
      <c r="C16" s="37">
        <f>IF(B$14=0,0,B16/B$14)</f>
        <v>0.51530612244897955</v>
      </c>
      <c r="E16" s="63" t="s">
        <v>180</v>
      </c>
      <c r="F16" s="60" t="s">
        <v>183</v>
      </c>
      <c r="G16" s="47">
        <v>10</v>
      </c>
      <c r="H16" s="133">
        <f>IF(B$17=0,0,G16/B$17)</f>
        <v>3.1645569620253167E-2</v>
      </c>
      <c r="I16" s="94">
        <v>1</v>
      </c>
      <c r="K16" s="38">
        <v>14</v>
      </c>
      <c r="L16" s="99">
        <v>473.50000000000006</v>
      </c>
      <c r="N16" s="115" t="s">
        <v>186</v>
      </c>
      <c r="O16" s="125">
        <f>IF(P16=0,0,Q16/P16)</f>
        <v>42.43333333333333</v>
      </c>
      <c r="P16" s="119">
        <v>6</v>
      </c>
      <c r="Q16" s="107">
        <v>254.59999999999997</v>
      </c>
    </row>
    <row r="17" spans="1:17" x14ac:dyDescent="0.4">
      <c r="A17" s="54" t="s">
        <v>10</v>
      </c>
      <c r="B17" s="46">
        <f>B19+B18</f>
        <v>316</v>
      </c>
      <c r="C17" s="37">
        <f>IF(B$3=0,0,B17/B$3)</f>
        <v>0.35990888382687924</v>
      </c>
      <c r="E17" s="63" t="s">
        <v>79</v>
      </c>
      <c r="F17" s="60" t="s">
        <v>34</v>
      </c>
      <c r="G17" s="47">
        <v>6</v>
      </c>
      <c r="H17" s="133">
        <f>IF(B$17=0,0,G17/B$17)</f>
        <v>1.8987341772151899E-2</v>
      </c>
      <c r="I17" s="94">
        <v>7</v>
      </c>
      <c r="K17" s="38">
        <v>15</v>
      </c>
      <c r="L17" s="99">
        <v>481.50000000000006</v>
      </c>
      <c r="N17" s="115" t="s">
        <v>129</v>
      </c>
      <c r="O17" s="125">
        <f>IF(P17=0,0,Q17/P17)</f>
        <v>38.321212121212127</v>
      </c>
      <c r="P17" s="119">
        <v>33</v>
      </c>
      <c r="Q17" s="107">
        <v>1264.6000000000001</v>
      </c>
    </row>
    <row r="18" spans="1:17" x14ac:dyDescent="0.4">
      <c r="A18" s="55" t="s">
        <v>12</v>
      </c>
      <c r="B18" s="47">
        <v>131</v>
      </c>
      <c r="C18" s="39">
        <f>IF(B$17=0,0,B18/B$17)</f>
        <v>0.41455696202531644</v>
      </c>
      <c r="E18" s="63" t="s">
        <v>80</v>
      </c>
      <c r="F18" s="60" t="s">
        <v>35</v>
      </c>
      <c r="G18" s="47">
        <v>4</v>
      </c>
      <c r="H18" s="133">
        <f>IF(B$17=0,0,G18/B$17)</f>
        <v>1.2658227848101266E-2</v>
      </c>
      <c r="I18" s="94">
        <v>5</v>
      </c>
      <c r="K18" s="38">
        <v>16</v>
      </c>
      <c r="L18" s="99">
        <v>425.50000000000006</v>
      </c>
      <c r="N18" s="115" t="s">
        <v>224</v>
      </c>
      <c r="O18" s="125">
        <f>IF(P18=0,0,Q18/P18)</f>
        <v>29.599999999999998</v>
      </c>
      <c r="P18" s="119">
        <v>1</v>
      </c>
      <c r="Q18" s="107">
        <v>29.599999999999998</v>
      </c>
    </row>
    <row r="19" spans="1:17" x14ac:dyDescent="0.4">
      <c r="A19" s="55" t="s">
        <v>11</v>
      </c>
      <c r="B19" s="47">
        <v>185</v>
      </c>
      <c r="C19" s="39">
        <f>IF(B$17=0,0,B19/B$17)</f>
        <v>0.58544303797468356</v>
      </c>
      <c r="E19" s="63" t="s">
        <v>92</v>
      </c>
      <c r="F19" s="60" t="s">
        <v>47</v>
      </c>
      <c r="G19" s="47">
        <v>4</v>
      </c>
      <c r="H19" s="133">
        <f>IF(B$17=0,0,G19/B$17)</f>
        <v>1.2658227848101266E-2</v>
      </c>
      <c r="I19" s="94">
        <v>5</v>
      </c>
      <c r="K19" s="38">
        <v>17</v>
      </c>
      <c r="L19" s="99">
        <v>427.40000000000003</v>
      </c>
      <c r="N19" s="115" t="s">
        <v>177</v>
      </c>
      <c r="O19" s="125">
        <f>IF(P19=0,0,Q19/P19)</f>
        <v>27.290909090909096</v>
      </c>
      <c r="P19" s="119">
        <v>11</v>
      </c>
      <c r="Q19" s="107">
        <v>300.20000000000005</v>
      </c>
    </row>
    <row r="20" spans="1:17" x14ac:dyDescent="0.4">
      <c r="A20" s="55" t="s">
        <v>13</v>
      </c>
      <c r="B20" s="47">
        <v>135</v>
      </c>
      <c r="C20" s="39">
        <f>IF(B$3=0,0,B20/B$3)</f>
        <v>0.15375854214123008</v>
      </c>
      <c r="E20" s="63" t="s">
        <v>74</v>
      </c>
      <c r="F20" s="60" t="s">
        <v>29</v>
      </c>
      <c r="G20" s="47">
        <v>2</v>
      </c>
      <c r="H20" s="133">
        <f>IF(B$17=0,0,G20/B$17)</f>
        <v>6.3291139240506328E-3</v>
      </c>
      <c r="I20" s="94">
        <v>4</v>
      </c>
      <c r="K20" s="38">
        <v>18</v>
      </c>
      <c r="L20" s="99">
        <v>429.3</v>
      </c>
      <c r="N20" s="115" t="s">
        <v>202</v>
      </c>
      <c r="O20" s="125">
        <f>IF(P20=0,0,Q20/P20)</f>
        <v>23.1</v>
      </c>
      <c r="P20" s="119">
        <v>1</v>
      </c>
      <c r="Q20" s="107">
        <v>23.1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76</v>
      </c>
      <c r="F21" s="60" t="s">
        <v>31</v>
      </c>
      <c r="G21" s="47">
        <v>1</v>
      </c>
      <c r="H21" s="133">
        <f>IF(B$17=0,0,G21/B$17)</f>
        <v>3.1645569620253164E-3</v>
      </c>
      <c r="I21" s="94">
        <v>6</v>
      </c>
      <c r="K21" s="38">
        <v>19</v>
      </c>
      <c r="L21" s="99">
        <v>405.40000000000003</v>
      </c>
      <c r="N21" s="115" t="s">
        <v>173</v>
      </c>
      <c r="O21" s="125">
        <f>IF(P21=0,0,Q21/P21)</f>
        <v>22.754999999999999</v>
      </c>
      <c r="P21" s="119">
        <v>20</v>
      </c>
      <c r="Q21" s="107">
        <v>455.09999999999997</v>
      </c>
    </row>
    <row r="22" spans="1:17" x14ac:dyDescent="0.4">
      <c r="A22" s="55" t="s">
        <v>194</v>
      </c>
      <c r="B22" s="47">
        <v>39</v>
      </c>
      <c r="C22" s="135">
        <v>2</v>
      </c>
      <c r="E22" s="63" t="s">
        <v>78</v>
      </c>
      <c r="F22" s="60" t="s">
        <v>33</v>
      </c>
      <c r="G22" s="47">
        <v>1</v>
      </c>
      <c r="H22" s="133">
        <f>IF(B$17=0,0,G22/B$17)</f>
        <v>3.1645569620253164E-3</v>
      </c>
      <c r="I22" s="94">
        <v>3</v>
      </c>
      <c r="K22" s="38">
        <v>20</v>
      </c>
      <c r="L22" s="99">
        <v>469.6</v>
      </c>
      <c r="N22" s="115" t="s">
        <v>172</v>
      </c>
      <c r="O22" s="125">
        <f>IF(P22=0,0,Q22/P22)</f>
        <v>21.879310344827591</v>
      </c>
      <c r="P22" s="119">
        <v>29</v>
      </c>
      <c r="Q22" s="107">
        <v>634.50000000000011</v>
      </c>
    </row>
    <row r="23" spans="1:17" x14ac:dyDescent="0.4">
      <c r="A23" s="55" t="s">
        <v>5</v>
      </c>
      <c r="B23" s="51">
        <f>IF(B$17=0,0,C23/B$17)</f>
        <v>9078.7974683544307</v>
      </c>
      <c r="C23" s="41">
        <v>2868900</v>
      </c>
      <c r="E23" s="63" t="s">
        <v>88</v>
      </c>
      <c r="F23" s="60" t="s">
        <v>43</v>
      </c>
      <c r="G23" s="47">
        <v>1</v>
      </c>
      <c r="H23" s="133">
        <f>IF(B$17=0,0,G23/B$17)</f>
        <v>3.1645569620253164E-3</v>
      </c>
      <c r="I23" s="94">
        <v>5</v>
      </c>
      <c r="K23" s="38">
        <v>21</v>
      </c>
      <c r="L23" s="99">
        <v>468.3</v>
      </c>
      <c r="N23" s="115" t="s">
        <v>128</v>
      </c>
      <c r="O23" s="125">
        <f>IF(P23=0,0,Q23/P23)</f>
        <v>16.614102564102566</v>
      </c>
      <c r="P23" s="119">
        <v>78</v>
      </c>
      <c r="Q23" s="107">
        <v>1295.9000000000001</v>
      </c>
    </row>
    <row r="24" spans="1:17" x14ac:dyDescent="0.4">
      <c r="A24" s="57" t="s">
        <v>14</v>
      </c>
      <c r="B24" s="52">
        <f>IF(B$20=0,0,C24/B$20)</f>
        <v>-8373.3333333333339</v>
      </c>
      <c r="C24" s="45">
        <v>-1130400</v>
      </c>
      <c r="E24" s="63" t="s">
        <v>91</v>
      </c>
      <c r="F24" s="60" t="s">
        <v>46</v>
      </c>
      <c r="G24" s="47">
        <v>1</v>
      </c>
      <c r="H24" s="133">
        <f>IF(B$17=0,0,G24/B$17)</f>
        <v>3.1645569620253164E-3</v>
      </c>
      <c r="I24" s="94">
        <v>1</v>
      </c>
      <c r="K24" s="38">
        <v>22</v>
      </c>
      <c r="L24" s="99">
        <v>519.20000000000005</v>
      </c>
      <c r="N24" s="115" t="s">
        <v>171</v>
      </c>
      <c r="O24" s="125">
        <f>IF(P24=0,0,Q24/P24)</f>
        <v>5.5210526315789439</v>
      </c>
      <c r="P24" s="119">
        <v>38</v>
      </c>
      <c r="Q24" s="107">
        <v>209.79999999999987</v>
      </c>
    </row>
    <row r="25" spans="1:17" x14ac:dyDescent="0.4">
      <c r="A25" s="90" t="s">
        <v>142</v>
      </c>
      <c r="B25" s="140">
        <v>7</v>
      </c>
      <c r="C25" s="141"/>
      <c r="E25" s="63" t="s">
        <v>93</v>
      </c>
      <c r="F25" s="60" t="s">
        <v>48</v>
      </c>
      <c r="G25" s="47">
        <v>1</v>
      </c>
      <c r="H25" s="133">
        <f>IF(B$17=0,0,G25/B$17)</f>
        <v>3.1645569620253164E-3</v>
      </c>
      <c r="I25" s="94">
        <v>4</v>
      </c>
      <c r="K25" s="38">
        <v>23</v>
      </c>
      <c r="L25" s="99">
        <v>555.90000000000009</v>
      </c>
    </row>
    <row r="26" spans="1:17" x14ac:dyDescent="0.4">
      <c r="A26" s="58" t="s">
        <v>152</v>
      </c>
      <c r="B26" s="138">
        <v>116000</v>
      </c>
      <c r="C26" s="139"/>
      <c r="E26" s="63" t="s">
        <v>94</v>
      </c>
      <c r="F26" s="60" t="s">
        <v>49</v>
      </c>
      <c r="G26" s="47">
        <v>1</v>
      </c>
      <c r="H26" s="133">
        <f>IF(B$17=0,0,G26/B$17)</f>
        <v>3.1645569620253164E-3</v>
      </c>
      <c r="I26" s="94">
        <v>3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96</v>
      </c>
      <c r="F27" s="60" t="s">
        <v>51</v>
      </c>
      <c r="G27" s="47">
        <v>1</v>
      </c>
      <c r="H27" s="133">
        <f>IF(B$17=0,0,G27/B$17)</f>
        <v>3.1645569620253164E-3</v>
      </c>
      <c r="I27" s="94">
        <v>2</v>
      </c>
      <c r="K27" s="38">
        <v>25</v>
      </c>
      <c r="L27" s="99">
        <v>655.20000000000005</v>
      </c>
    </row>
    <row r="28" spans="1:17" x14ac:dyDescent="0.4">
      <c r="E28" s="63" t="s">
        <v>75</v>
      </c>
      <c r="F28" s="60" t="s">
        <v>30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625.40000000000009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596.30000000000007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655.6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703.1</v>
      </c>
    </row>
    <row r="32" spans="1:17" x14ac:dyDescent="0.4">
      <c r="E32" s="63" t="s">
        <v>85</v>
      </c>
      <c r="F32" s="60" t="s">
        <v>40</v>
      </c>
      <c r="G32" s="47">
        <v>0</v>
      </c>
      <c r="H32" s="133">
        <f>IF(B$17=0,0,G32/B$17)</f>
        <v>0</v>
      </c>
      <c r="I32" s="94">
        <v>4</v>
      </c>
      <c r="K32" s="38">
        <v>30</v>
      </c>
      <c r="L32" s="99">
        <v>733.6</v>
      </c>
    </row>
    <row r="33" spans="5:12" x14ac:dyDescent="0.4">
      <c r="E33" s="63" t="s">
        <v>86</v>
      </c>
      <c r="F33" s="60" t="s">
        <v>41</v>
      </c>
      <c r="G33" s="47">
        <v>0</v>
      </c>
      <c r="H33" s="133">
        <f>IF(B$17=0,0,G33/B$17)</f>
        <v>0</v>
      </c>
      <c r="I33" s="94">
        <v>3</v>
      </c>
      <c r="K33" s="38">
        <v>31</v>
      </c>
      <c r="L33" s="99">
        <v>796.80000000000007</v>
      </c>
    </row>
    <row r="34" spans="5:12" x14ac:dyDescent="0.4">
      <c r="E34" s="63" t="s">
        <v>89</v>
      </c>
      <c r="F34" s="60" t="s">
        <v>44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788.30000000000007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1013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1131.0999999999999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1259.3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1289.8999999999999</v>
      </c>
    </row>
    <row r="52" spans="5:12" x14ac:dyDescent="0.4"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</sheetData>
  <sortState ref="N15:Q24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D009D-6D1A-453A-98CF-BC161055177C}">
  <sheetPr codeName="Sheet9"/>
  <dimension ref="A1:Q11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128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110</v>
      </c>
      <c r="C2" s="147"/>
      <c r="E2" s="62" t="s">
        <v>67</v>
      </c>
      <c r="F2" s="59" t="s">
        <v>23</v>
      </c>
      <c r="G2" s="46">
        <v>192</v>
      </c>
      <c r="H2" s="132">
        <f>IF(B$17=0,0,G2/B$17)</f>
        <v>0.76190476190476186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540.36697247706422</v>
      </c>
      <c r="P2" s="118">
        <v>109</v>
      </c>
      <c r="Q2" s="102">
        <v>58900</v>
      </c>
    </row>
    <row r="3" spans="1:17" x14ac:dyDescent="0.4">
      <c r="A3" s="55" t="s">
        <v>8</v>
      </c>
      <c r="B3" s="148">
        <v>912</v>
      </c>
      <c r="C3" s="149"/>
      <c r="E3" s="63" t="s">
        <v>65</v>
      </c>
      <c r="F3" s="60" t="s">
        <v>21</v>
      </c>
      <c r="G3" s="47">
        <v>153</v>
      </c>
      <c r="H3" s="133">
        <f>IF(B$17=0,0,G3/B$17)</f>
        <v>0.6071428571428571</v>
      </c>
      <c r="I3" s="94">
        <v>2</v>
      </c>
      <c r="K3" s="38">
        <v>1</v>
      </c>
      <c r="L3" s="99">
        <v>45.5</v>
      </c>
      <c r="N3" s="115" t="s">
        <v>133</v>
      </c>
      <c r="O3" s="122">
        <f t="shared" si="0"/>
        <v>-2221.4953271028039</v>
      </c>
      <c r="P3" s="119">
        <v>107</v>
      </c>
      <c r="Q3" s="103">
        <v>-237700</v>
      </c>
    </row>
    <row r="4" spans="1:17" x14ac:dyDescent="0.4">
      <c r="A4" s="55" t="s">
        <v>6</v>
      </c>
      <c r="B4" s="150">
        <v>-256.90000000000003</v>
      </c>
      <c r="C4" s="151"/>
      <c r="E4" s="63" t="s">
        <v>73</v>
      </c>
      <c r="F4" s="60" t="s">
        <v>28</v>
      </c>
      <c r="G4" s="47">
        <v>118</v>
      </c>
      <c r="H4" s="133">
        <f>IF(B$17=0,0,G4/B$17)</f>
        <v>0.46825396825396826</v>
      </c>
      <c r="I4" s="94">
        <v>10</v>
      </c>
      <c r="K4" s="38">
        <v>2</v>
      </c>
      <c r="L4" s="99">
        <v>6.2999999999999972</v>
      </c>
      <c r="N4" s="115" t="s">
        <v>134</v>
      </c>
      <c r="O4" s="122">
        <f t="shared" si="0"/>
        <v>-137.5</v>
      </c>
      <c r="P4" s="119">
        <v>104</v>
      </c>
      <c r="Q4" s="103">
        <v>-14300</v>
      </c>
    </row>
    <row r="5" spans="1:17" x14ac:dyDescent="0.4">
      <c r="A5" s="55" t="s">
        <v>7</v>
      </c>
      <c r="B5" s="152">
        <f>IF(B$2=0,0,B$4/B$2)</f>
        <v>-2.3354545454545459</v>
      </c>
      <c r="C5" s="153"/>
      <c r="E5" s="63" t="s">
        <v>181</v>
      </c>
      <c r="F5" s="60" t="s">
        <v>182</v>
      </c>
      <c r="G5" s="47">
        <v>110</v>
      </c>
      <c r="H5" s="133">
        <f>IF(B$17=0,0,G5/B$17)</f>
        <v>0.43650793650793651</v>
      </c>
      <c r="I5" s="94">
        <v>2</v>
      </c>
      <c r="K5" s="38">
        <v>3</v>
      </c>
      <c r="L5" s="99">
        <v>-47.300000000000004</v>
      </c>
      <c r="N5" s="115" t="s">
        <v>135</v>
      </c>
      <c r="O5" s="122">
        <f t="shared" si="0"/>
        <v>631.52173913043475</v>
      </c>
      <c r="P5" s="119">
        <v>92</v>
      </c>
      <c r="Q5" s="103">
        <v>58100</v>
      </c>
    </row>
    <row r="6" spans="1:17" x14ac:dyDescent="0.4">
      <c r="A6" s="55" t="s">
        <v>1</v>
      </c>
      <c r="B6" s="142">
        <f>IF(B$2=0,0,(B$7*1+B$8*2+B$9*3)/B$2)</f>
        <v>2.0727272727272728</v>
      </c>
      <c r="C6" s="143"/>
      <c r="E6" s="63" t="s">
        <v>68</v>
      </c>
      <c r="F6" s="60" t="s">
        <v>24</v>
      </c>
      <c r="G6" s="47">
        <v>91</v>
      </c>
      <c r="H6" s="133">
        <f>IF(B$17=0,0,G6/B$17)</f>
        <v>0.3611111111111111</v>
      </c>
      <c r="I6" s="94">
        <v>6</v>
      </c>
      <c r="K6" s="38">
        <v>4</v>
      </c>
      <c r="L6" s="99">
        <v>13.599999999999994</v>
      </c>
      <c r="N6" s="115" t="s">
        <v>136</v>
      </c>
      <c r="O6" s="122">
        <f t="shared" si="0"/>
        <v>412.04819277108436</v>
      </c>
      <c r="P6" s="119">
        <v>83</v>
      </c>
      <c r="Q6" s="103">
        <v>34200</v>
      </c>
    </row>
    <row r="7" spans="1:17" x14ac:dyDescent="0.4">
      <c r="A7" s="55" t="s">
        <v>2</v>
      </c>
      <c r="B7" s="47">
        <v>30</v>
      </c>
      <c r="C7" s="39">
        <f>IF(B$2=0,0,B7/B$2)</f>
        <v>0.27272727272727271</v>
      </c>
      <c r="E7" s="63" t="s">
        <v>69</v>
      </c>
      <c r="F7" s="60" t="s">
        <v>12</v>
      </c>
      <c r="G7" s="47">
        <v>84</v>
      </c>
      <c r="H7" s="133">
        <f>IF(B$17=0,0,G7/B$17)</f>
        <v>0.33333333333333331</v>
      </c>
      <c r="I7" s="94">
        <v>6</v>
      </c>
      <c r="K7" s="38">
        <v>5</v>
      </c>
      <c r="L7" s="99">
        <v>-16.600000000000005</v>
      </c>
      <c r="N7" s="116" t="s">
        <v>137</v>
      </c>
      <c r="O7" s="123">
        <f t="shared" si="0"/>
        <v>477.63157894736844</v>
      </c>
      <c r="P7" s="120">
        <v>76</v>
      </c>
      <c r="Q7" s="104">
        <v>36300</v>
      </c>
    </row>
    <row r="8" spans="1:17" x14ac:dyDescent="0.4">
      <c r="A8" s="55" t="s">
        <v>3</v>
      </c>
      <c r="B8" s="47">
        <v>42</v>
      </c>
      <c r="C8" s="39">
        <f>IF(B$2=0,0,B8/B$2)</f>
        <v>0.38181818181818183</v>
      </c>
      <c r="E8" s="63" t="s">
        <v>70</v>
      </c>
      <c r="F8" s="60" t="s">
        <v>25</v>
      </c>
      <c r="G8" s="47">
        <v>56</v>
      </c>
      <c r="H8" s="133">
        <f>IF(B$17=0,0,G8/B$17)</f>
        <v>0.22222222222222221</v>
      </c>
      <c r="I8" s="94">
        <v>4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38</v>
      </c>
      <c r="C9" s="40">
        <f t="shared" ref="C9" si="1">IF(B$2=0,0,B9/B$2)</f>
        <v>0.34545454545454546</v>
      </c>
      <c r="E9" s="63" t="s">
        <v>66</v>
      </c>
      <c r="F9" s="60" t="s">
        <v>22</v>
      </c>
      <c r="G9" s="47">
        <v>39</v>
      </c>
      <c r="H9" s="133">
        <f>IF(B$17=0,0,G9/B$17)</f>
        <v>0.15476190476190477</v>
      </c>
      <c r="I9" s="94">
        <v>1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14</v>
      </c>
      <c r="C10" s="40">
        <f>IF(B$2=0,0,B10/B$2)</f>
        <v>0.12727272727272726</v>
      </c>
      <c r="E10" s="63" t="s">
        <v>71</v>
      </c>
      <c r="F10" s="60" t="s">
        <v>26</v>
      </c>
      <c r="G10" s="47">
        <v>31</v>
      </c>
      <c r="H10" s="133">
        <f>IF(B$17=0,0,G10/B$17)</f>
        <v>0.12301587301587301</v>
      </c>
      <c r="I10" s="94">
        <v>4</v>
      </c>
      <c r="K10" s="38">
        <v>8</v>
      </c>
      <c r="L10" s="99">
        <v>-49.6</v>
      </c>
      <c r="N10" s="114" t="s">
        <v>164</v>
      </c>
      <c r="O10" s="124">
        <f>IF(P10=0,0,Q10/P10)</f>
        <v>-6.3789473684210538</v>
      </c>
      <c r="P10" s="118">
        <v>57</v>
      </c>
      <c r="Q10" s="106">
        <v>-363.60000000000008</v>
      </c>
    </row>
    <row r="11" spans="1:17" x14ac:dyDescent="0.4">
      <c r="A11" s="56" t="s">
        <v>140</v>
      </c>
      <c r="B11" s="48">
        <v>10</v>
      </c>
      <c r="C11" s="40">
        <f>IF(B$2=0,0,B11/B$2)</f>
        <v>9.0909090909090912E-2</v>
      </c>
      <c r="E11" s="63" t="s">
        <v>90</v>
      </c>
      <c r="F11" s="60" t="s">
        <v>45</v>
      </c>
      <c r="G11" s="47">
        <v>24</v>
      </c>
      <c r="H11" s="133">
        <f>IF(B$17=0,0,G11/B$17)</f>
        <v>9.5238095238095233E-2</v>
      </c>
      <c r="I11" s="94">
        <v>11</v>
      </c>
      <c r="K11" s="38">
        <v>9</v>
      </c>
      <c r="L11" s="99">
        <v>-79.5</v>
      </c>
      <c r="N11" s="115" t="s">
        <v>165</v>
      </c>
      <c r="O11" s="125">
        <f>IF(P11=0,0,Q11/P11)</f>
        <v>-2.3846153846153828</v>
      </c>
      <c r="P11" s="119">
        <v>26</v>
      </c>
      <c r="Q11" s="107">
        <v>-61.99999999999995</v>
      </c>
    </row>
    <row r="12" spans="1:17" x14ac:dyDescent="0.4">
      <c r="A12" s="57" t="s">
        <v>160</v>
      </c>
      <c r="B12" s="49">
        <v>8</v>
      </c>
      <c r="C12" s="42">
        <f>IF(B$2=0,0,B12/B$2)</f>
        <v>7.2727272727272724E-2</v>
      </c>
      <c r="E12" s="63" t="s">
        <v>72</v>
      </c>
      <c r="F12" s="60" t="s">
        <v>27</v>
      </c>
      <c r="G12" s="47">
        <v>14</v>
      </c>
      <c r="H12" s="133">
        <f>IF(B$17=0,0,G12/B$17)</f>
        <v>5.5555555555555552E-2</v>
      </c>
      <c r="I12" s="94">
        <v>8</v>
      </c>
      <c r="K12" s="38">
        <v>10</v>
      </c>
      <c r="L12" s="99">
        <v>-80.900000000000006</v>
      </c>
      <c r="N12" s="116" t="s">
        <v>166</v>
      </c>
      <c r="O12" s="126">
        <f>IF(P12=0,0,Q12/P12)</f>
        <v>6.2481481481481476</v>
      </c>
      <c r="P12" s="120">
        <v>27</v>
      </c>
      <c r="Q12" s="108">
        <v>168.7</v>
      </c>
    </row>
    <row r="13" spans="1:17" x14ac:dyDescent="0.4">
      <c r="A13" s="58" t="s">
        <v>122</v>
      </c>
      <c r="B13" s="50">
        <v>271</v>
      </c>
      <c r="C13" s="44">
        <f>IF(B$3=0,0,B13/B$3)</f>
        <v>0.29714912280701755</v>
      </c>
      <c r="E13" s="63" t="s">
        <v>87</v>
      </c>
      <c r="F13" s="60" t="s">
        <v>42</v>
      </c>
      <c r="G13" s="47">
        <v>13</v>
      </c>
      <c r="H13" s="133">
        <f>IF(B$17=0,0,G13/B$17)</f>
        <v>5.1587301587301584E-2</v>
      </c>
      <c r="I13" s="94">
        <v>7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167</v>
      </c>
      <c r="C14" s="39">
        <f>IF(B$3=0,0,B14/B$3)</f>
        <v>0.18311403508771928</v>
      </c>
      <c r="E14" s="63" t="s">
        <v>84</v>
      </c>
      <c r="F14" s="60" t="s">
        <v>39</v>
      </c>
      <c r="G14" s="47">
        <v>10</v>
      </c>
      <c r="H14" s="133">
        <f>IF(B$17=0,0,G14/B$17)</f>
        <v>3.968253968253968E-2</v>
      </c>
      <c r="I14" s="94">
        <v>7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161</v>
      </c>
      <c r="C15" s="37">
        <f>IF(B$13=0,0,B15/B$13)</f>
        <v>0.59409594095940954</v>
      </c>
      <c r="E15" s="63" t="s">
        <v>82</v>
      </c>
      <c r="F15" s="60" t="s">
        <v>37</v>
      </c>
      <c r="G15" s="47">
        <v>8</v>
      </c>
      <c r="H15" s="133">
        <f>IF(B$17=0,0,G15/B$17)</f>
        <v>3.1746031746031744E-2</v>
      </c>
      <c r="I15" s="94">
        <v>6</v>
      </c>
      <c r="K15" s="38">
        <v>13</v>
      </c>
      <c r="L15" s="99">
        <v>-81.900000000000006</v>
      </c>
      <c r="N15" s="114" t="s">
        <v>202</v>
      </c>
      <c r="O15" s="124">
        <f>IF(P15=0,0,Q15/P15)</f>
        <v>25</v>
      </c>
      <c r="P15" s="118">
        <v>1</v>
      </c>
      <c r="Q15" s="106">
        <v>25</v>
      </c>
    </row>
    <row r="16" spans="1:17" x14ac:dyDescent="0.4">
      <c r="A16" s="54" t="s">
        <v>125</v>
      </c>
      <c r="B16" s="46">
        <v>49</v>
      </c>
      <c r="C16" s="37">
        <f>IF(B$14=0,0,B16/B$14)</f>
        <v>0.29341317365269459</v>
      </c>
      <c r="E16" s="63" t="s">
        <v>92</v>
      </c>
      <c r="F16" s="60" t="s">
        <v>47</v>
      </c>
      <c r="G16" s="47">
        <v>6</v>
      </c>
      <c r="H16" s="133">
        <f>IF(B$17=0,0,G16/B$17)</f>
        <v>2.3809523809523808E-2</v>
      </c>
      <c r="I16" s="94">
        <v>2</v>
      </c>
      <c r="K16" s="38">
        <v>14</v>
      </c>
      <c r="L16" s="99">
        <v>-25.600000000000009</v>
      </c>
      <c r="N16" s="115" t="s">
        <v>186</v>
      </c>
      <c r="O16" s="125">
        <f>IF(P16=0,0,Q16/P16)</f>
        <v>22.250000000000004</v>
      </c>
      <c r="P16" s="119">
        <v>6</v>
      </c>
      <c r="Q16" s="107">
        <v>133.50000000000003</v>
      </c>
    </row>
    <row r="17" spans="1:17" x14ac:dyDescent="0.4">
      <c r="A17" s="54" t="s">
        <v>10</v>
      </c>
      <c r="B17" s="46">
        <f>B19+B18</f>
        <v>252</v>
      </c>
      <c r="C17" s="37">
        <f>IF(B$3=0,0,B17/B$3)</f>
        <v>0.27631578947368424</v>
      </c>
      <c r="E17" s="63" t="s">
        <v>80</v>
      </c>
      <c r="F17" s="60" t="s">
        <v>35</v>
      </c>
      <c r="G17" s="47">
        <v>5</v>
      </c>
      <c r="H17" s="133">
        <f>IF(B$17=0,0,G17/B$17)</f>
        <v>1.984126984126984E-2</v>
      </c>
      <c r="I17" s="94">
        <v>2</v>
      </c>
      <c r="K17" s="38">
        <v>15</v>
      </c>
      <c r="L17" s="99">
        <v>47.999999999999986</v>
      </c>
      <c r="N17" s="115" t="s">
        <v>129</v>
      </c>
      <c r="O17" s="125">
        <f>IF(P17=0,0,Q17/P17)</f>
        <v>12.41176470588235</v>
      </c>
      <c r="P17" s="119">
        <v>34</v>
      </c>
      <c r="Q17" s="107">
        <v>421.99999999999989</v>
      </c>
    </row>
    <row r="18" spans="1:17" x14ac:dyDescent="0.4">
      <c r="A18" s="55" t="s">
        <v>12</v>
      </c>
      <c r="B18" s="47">
        <v>106</v>
      </c>
      <c r="C18" s="39">
        <f>IF(B$17=0,0,B18/B$17)</f>
        <v>0.42063492063492064</v>
      </c>
      <c r="E18" s="63" t="s">
        <v>180</v>
      </c>
      <c r="F18" s="60" t="s">
        <v>183</v>
      </c>
      <c r="G18" s="47">
        <v>4</v>
      </c>
      <c r="H18" s="133">
        <f>IF(B$17=0,0,G18/B$17)</f>
        <v>1.5873015873015872E-2</v>
      </c>
      <c r="I18" s="94">
        <v>2</v>
      </c>
      <c r="K18" s="38">
        <v>16</v>
      </c>
      <c r="L18" s="99">
        <v>41.699999999999989</v>
      </c>
      <c r="N18" s="115" t="s">
        <v>172</v>
      </c>
      <c r="O18" s="125">
        <f>IF(P18=0,0,Q18/P18)</f>
        <v>1.070000000000001</v>
      </c>
      <c r="P18" s="119">
        <v>30</v>
      </c>
      <c r="Q18" s="107">
        <v>32.10000000000003</v>
      </c>
    </row>
    <row r="19" spans="1:17" x14ac:dyDescent="0.4">
      <c r="A19" s="55" t="s">
        <v>11</v>
      </c>
      <c r="B19" s="47">
        <v>146</v>
      </c>
      <c r="C19" s="39">
        <f>IF(B$17=0,0,B19/B$17)</f>
        <v>0.57936507936507942</v>
      </c>
      <c r="E19" s="63" t="s">
        <v>79</v>
      </c>
      <c r="F19" s="60" t="s">
        <v>34</v>
      </c>
      <c r="G19" s="47">
        <v>3</v>
      </c>
      <c r="H19" s="133">
        <f>IF(B$17=0,0,G19/B$17)</f>
        <v>1.1904761904761904E-2</v>
      </c>
      <c r="I19" s="94">
        <v>9</v>
      </c>
      <c r="K19" s="38">
        <v>17</v>
      </c>
      <c r="L19" s="99">
        <v>94.6</v>
      </c>
      <c r="N19" s="115" t="s">
        <v>177</v>
      </c>
      <c r="O19" s="125">
        <f>IF(P19=0,0,Q19/P19)</f>
        <v>0.99473684210526303</v>
      </c>
      <c r="P19" s="119">
        <v>19</v>
      </c>
      <c r="Q19" s="107">
        <v>18.899999999999999</v>
      </c>
    </row>
    <row r="20" spans="1:17" x14ac:dyDescent="0.4">
      <c r="A20" s="55" t="s">
        <v>13</v>
      </c>
      <c r="B20" s="47">
        <v>156</v>
      </c>
      <c r="C20" s="39">
        <f>IF(B$3=0,0,B20/B$3)</f>
        <v>0.17105263157894737</v>
      </c>
      <c r="E20" s="63" t="s">
        <v>74</v>
      </c>
      <c r="F20" s="60" t="s">
        <v>29</v>
      </c>
      <c r="G20" s="47">
        <v>2</v>
      </c>
      <c r="H20" s="133">
        <f>IF(B$17=0,0,G20/B$17)</f>
        <v>7.9365079365079361E-3</v>
      </c>
      <c r="I20" s="94">
        <v>3</v>
      </c>
      <c r="K20" s="38">
        <v>18</v>
      </c>
      <c r="L20" s="99">
        <v>116.69999999999999</v>
      </c>
      <c r="N20" s="115" t="s">
        <v>171</v>
      </c>
      <c r="O20" s="125">
        <f>IF(P20=0,0,Q20/P20)</f>
        <v>-1.0249999999999939</v>
      </c>
      <c r="P20" s="119">
        <v>32</v>
      </c>
      <c r="Q20" s="107">
        <v>-32.799999999999805</v>
      </c>
    </row>
    <row r="21" spans="1:17" x14ac:dyDescent="0.4">
      <c r="A21" s="55" t="s">
        <v>193</v>
      </c>
      <c r="B21" s="47">
        <v>6</v>
      </c>
      <c r="C21" s="135">
        <v>0</v>
      </c>
      <c r="E21" s="63" t="s">
        <v>75</v>
      </c>
      <c r="F21" s="60" t="s">
        <v>30</v>
      </c>
      <c r="G21" s="47">
        <v>2</v>
      </c>
      <c r="H21" s="133">
        <f>IF(B$17=0,0,G21/B$17)</f>
        <v>7.9365079365079361E-3</v>
      </c>
      <c r="I21" s="94">
        <v>3</v>
      </c>
      <c r="K21" s="38">
        <v>19</v>
      </c>
      <c r="L21" s="99">
        <v>138.79999999999998</v>
      </c>
      <c r="N21" s="115" t="s">
        <v>173</v>
      </c>
      <c r="O21" s="125">
        <f>IF(P21=0,0,Q21/P21)</f>
        <v>-3.6750000000000007</v>
      </c>
      <c r="P21" s="119">
        <v>20</v>
      </c>
      <c r="Q21" s="107">
        <v>-73.500000000000014</v>
      </c>
    </row>
    <row r="22" spans="1:17" x14ac:dyDescent="0.4">
      <c r="A22" s="55" t="s">
        <v>194</v>
      </c>
      <c r="B22" s="47">
        <v>24</v>
      </c>
      <c r="C22" s="135">
        <v>1</v>
      </c>
      <c r="E22" s="63" t="s">
        <v>76</v>
      </c>
      <c r="F22" s="60" t="s">
        <v>31</v>
      </c>
      <c r="G22" s="47">
        <v>2</v>
      </c>
      <c r="H22" s="133">
        <f>IF(B$17=0,0,G22/B$17)</f>
        <v>7.9365079365079361E-3</v>
      </c>
      <c r="I22" s="94">
        <v>4</v>
      </c>
      <c r="K22" s="38">
        <v>20</v>
      </c>
      <c r="L22" s="99">
        <v>164.49999999999997</v>
      </c>
      <c r="N22" s="115" t="s">
        <v>127</v>
      </c>
      <c r="O22" s="125">
        <f>IF(P22=0,0,Q22/P22)</f>
        <v>-16.614102564102566</v>
      </c>
      <c r="P22" s="119">
        <v>78</v>
      </c>
      <c r="Q22" s="107">
        <v>-1295.9000000000001</v>
      </c>
    </row>
    <row r="23" spans="1:17" x14ac:dyDescent="0.4">
      <c r="A23" s="55" t="s">
        <v>5</v>
      </c>
      <c r="B23" s="51">
        <f>IF(B$17=0,0,C23/B$17)</f>
        <v>9246.4285714285706</v>
      </c>
      <c r="C23" s="41">
        <v>2330100</v>
      </c>
      <c r="E23" s="63" t="s">
        <v>78</v>
      </c>
      <c r="F23" s="60" t="s">
        <v>33</v>
      </c>
      <c r="G23" s="47">
        <v>1</v>
      </c>
      <c r="H23" s="133">
        <f>IF(B$17=0,0,G23/B$17)</f>
        <v>3.968253968253968E-3</v>
      </c>
      <c r="I23" s="94">
        <v>2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-7592.9487179487178</v>
      </c>
      <c r="C24" s="45">
        <v>-1184500</v>
      </c>
      <c r="E24" s="63" t="s">
        <v>85</v>
      </c>
      <c r="F24" s="60" t="s">
        <v>40</v>
      </c>
      <c r="G24" s="47">
        <v>1</v>
      </c>
      <c r="H24" s="133">
        <f>IF(B$17=0,0,G24/B$17)</f>
        <v>3.968253968253968E-3</v>
      </c>
      <c r="I24" s="94">
        <v>2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0">
        <v>7</v>
      </c>
      <c r="C25" s="141"/>
      <c r="E25" s="63" t="s">
        <v>89</v>
      </c>
      <c r="F25" s="60" t="s">
        <v>44</v>
      </c>
      <c r="G25" s="47">
        <v>1</v>
      </c>
      <c r="H25" s="133">
        <f>IF(B$17=0,0,G25/B$17)</f>
        <v>3.968253968253968E-3</v>
      </c>
      <c r="I25" s="94">
        <v>2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38">
        <v>97300</v>
      </c>
      <c r="C26" s="139"/>
      <c r="E26" s="63" t="s">
        <v>93</v>
      </c>
      <c r="F26" s="60" t="s">
        <v>48</v>
      </c>
      <c r="G26" s="47">
        <v>1</v>
      </c>
      <c r="H26" s="133">
        <f>IF(B$17=0,0,G26/B$17)</f>
        <v>3.968253968253968E-3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5.4824561403508769E-3</v>
      </c>
      <c r="E27" s="63" t="s">
        <v>94</v>
      </c>
      <c r="F27" s="60" t="s">
        <v>49</v>
      </c>
      <c r="G27" s="47">
        <v>1</v>
      </c>
      <c r="H27" s="133">
        <f>IF(B$17=0,0,G27/B$17)</f>
        <v>3.968253968253968E-3</v>
      </c>
      <c r="I27" s="94">
        <v>2</v>
      </c>
      <c r="K27" s="38">
        <v>25</v>
      </c>
      <c r="L27" s="99">
        <v>245.59999999999997</v>
      </c>
    </row>
    <row r="28" spans="1:17" x14ac:dyDescent="0.4">
      <c r="E28" s="63" t="s">
        <v>96</v>
      </c>
      <c r="F28" s="60" t="s">
        <v>51</v>
      </c>
      <c r="G28" s="47">
        <v>1</v>
      </c>
      <c r="H28" s="133">
        <f>IF(B$17=0,0,G28/B$17)</f>
        <v>3.968253968253968E-3</v>
      </c>
      <c r="I28" s="94">
        <v>1</v>
      </c>
      <c r="K28" s="38">
        <v>26</v>
      </c>
      <c r="L28" s="99">
        <v>237.69999999999996</v>
      </c>
    </row>
    <row r="29" spans="1:17" x14ac:dyDescent="0.4">
      <c r="E29" s="63" t="s">
        <v>77</v>
      </c>
      <c r="F29" s="60" t="s">
        <v>32</v>
      </c>
      <c r="G29" s="47">
        <v>0</v>
      </c>
      <c r="H29" s="133">
        <f>IF(B$17=0,0,G29/B$17)</f>
        <v>0</v>
      </c>
      <c r="I29" s="94">
        <v>3</v>
      </c>
      <c r="K29" s="38">
        <v>27</v>
      </c>
      <c r="L29" s="99">
        <v>236.69999999999996</v>
      </c>
    </row>
    <row r="30" spans="1:17" x14ac:dyDescent="0.4">
      <c r="E30" s="63" t="s">
        <v>81</v>
      </c>
      <c r="F30" s="60" t="s">
        <v>36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191.39999999999998</v>
      </c>
    </row>
    <row r="31" spans="1:17" x14ac:dyDescent="0.4">
      <c r="E31" s="63" t="s">
        <v>83</v>
      </c>
      <c r="F31" s="60" t="s">
        <v>38</v>
      </c>
      <c r="G31" s="47">
        <v>0</v>
      </c>
      <c r="H31" s="133">
        <f>IF(B$17=0,0,G31/B$17)</f>
        <v>0</v>
      </c>
      <c r="I31" s="94">
        <v>1</v>
      </c>
      <c r="K31" s="38">
        <v>29</v>
      </c>
      <c r="L31" s="99">
        <v>182.49999999999997</v>
      </c>
    </row>
    <row r="32" spans="1:17" x14ac:dyDescent="0.4">
      <c r="E32" s="63" t="s">
        <v>86</v>
      </c>
      <c r="F32" s="60" t="s">
        <v>41</v>
      </c>
      <c r="G32" s="47">
        <v>0</v>
      </c>
      <c r="H32" s="133">
        <f>IF(B$17=0,0,G32/B$17)</f>
        <v>0</v>
      </c>
      <c r="I32" s="94">
        <v>3</v>
      </c>
      <c r="K32" s="38">
        <v>30</v>
      </c>
      <c r="L32" s="99">
        <v>178.99999999999997</v>
      </c>
    </row>
    <row r="33" spans="5:12" x14ac:dyDescent="0.4">
      <c r="E33" s="63" t="s">
        <v>88</v>
      </c>
      <c r="F33" s="60" t="s">
        <v>43</v>
      </c>
      <c r="G33" s="47">
        <v>0</v>
      </c>
      <c r="H33" s="133">
        <f>IF(B$17=0,0,G33/B$17)</f>
        <v>0</v>
      </c>
      <c r="I33" s="94">
        <v>6</v>
      </c>
      <c r="K33" s="38">
        <v>31</v>
      </c>
      <c r="L33" s="99">
        <v>186.99999999999997</v>
      </c>
    </row>
    <row r="34" spans="5:12" x14ac:dyDescent="0.4">
      <c r="E34" s="63" t="s">
        <v>91</v>
      </c>
      <c r="F34" s="60" t="s">
        <v>46</v>
      </c>
      <c r="G34" s="47">
        <v>0</v>
      </c>
      <c r="H34" s="133">
        <f>IF(B$17=0,0,G34/B$17)</f>
        <v>0</v>
      </c>
      <c r="I34" s="94">
        <v>3</v>
      </c>
      <c r="K34" s="38">
        <v>32</v>
      </c>
      <c r="L34" s="99">
        <v>241.49999999999997</v>
      </c>
    </row>
    <row r="35" spans="5:12" x14ac:dyDescent="0.4">
      <c r="E35" s="63" t="s">
        <v>95</v>
      </c>
      <c r="F35" s="60" t="s">
        <v>50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189.39999999999998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50.599999999999959</v>
      </c>
    </row>
    <row r="51" spans="5:12" x14ac:dyDescent="0.4">
      <c r="E51" s="64" t="s">
        <v>112</v>
      </c>
      <c r="F51" s="61" t="s">
        <v>64</v>
      </c>
      <c r="G51" s="49">
        <v>0</v>
      </c>
      <c r="H51" s="134">
        <f>IF(B$17=0,0,G51/B$17)</f>
        <v>0</v>
      </c>
      <c r="I51" s="95">
        <v>1</v>
      </c>
      <c r="K51" s="38">
        <v>49</v>
      </c>
      <c r="L51" s="99">
        <v>-4.8000000000000398</v>
      </c>
    </row>
    <row r="52" spans="5:12" x14ac:dyDescent="0.4"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-388.20000000000005</v>
      </c>
    </row>
    <row r="105" spans="11:12" x14ac:dyDescent="0.4">
      <c r="K105" s="38">
        <v>103</v>
      </c>
      <c r="L105" s="99">
        <v>-313.00000000000006</v>
      </c>
    </row>
    <row r="106" spans="11:12" x14ac:dyDescent="0.4">
      <c r="K106" s="38">
        <v>104</v>
      </c>
      <c r="L106" s="99">
        <v>-343.60000000000008</v>
      </c>
    </row>
    <row r="107" spans="11:12" x14ac:dyDescent="0.4">
      <c r="K107" s="38">
        <v>105</v>
      </c>
      <c r="L107" s="99">
        <v>-298.80000000000007</v>
      </c>
    </row>
    <row r="108" spans="11:12" x14ac:dyDescent="0.4">
      <c r="K108" s="38">
        <v>106</v>
      </c>
      <c r="L108" s="99">
        <v>-236.30000000000007</v>
      </c>
    </row>
    <row r="109" spans="11:12" x14ac:dyDescent="0.4">
      <c r="K109" s="38">
        <v>107</v>
      </c>
      <c r="L109" s="99">
        <v>-274.00000000000006</v>
      </c>
    </row>
    <row r="110" spans="11:12" x14ac:dyDescent="0.4">
      <c r="K110" s="38">
        <v>108</v>
      </c>
      <c r="L110" s="99">
        <v>-253.50000000000006</v>
      </c>
    </row>
    <row r="111" spans="11:12" x14ac:dyDescent="0.4">
      <c r="K111" s="38">
        <v>109</v>
      </c>
      <c r="L111" s="99">
        <v>-246.10000000000005</v>
      </c>
    </row>
    <row r="112" spans="11:12" x14ac:dyDescent="0.4">
      <c r="K112" s="38">
        <v>110</v>
      </c>
      <c r="L112" s="99">
        <v>-256.90000000000003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C5AAB-1764-4A80-AD58-B78B90CE1D41}">
  <sheetPr codeName="Sheet11"/>
  <dimension ref="A1:Q57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129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55</v>
      </c>
      <c r="C2" s="147"/>
      <c r="E2" s="62" t="s">
        <v>67</v>
      </c>
      <c r="F2" s="59" t="s">
        <v>23</v>
      </c>
      <c r="G2" s="46">
        <v>89</v>
      </c>
      <c r="H2" s="132">
        <f>IF(B$17=0,0,G2/B$17)</f>
        <v>0.88118811881188119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-3507.4074074074074</v>
      </c>
      <c r="P2" s="118">
        <v>54</v>
      </c>
      <c r="Q2" s="102">
        <v>-189400</v>
      </c>
    </row>
    <row r="3" spans="1:17" x14ac:dyDescent="0.4">
      <c r="A3" s="55" t="s">
        <v>8</v>
      </c>
      <c r="B3" s="148">
        <v>441</v>
      </c>
      <c r="C3" s="149"/>
      <c r="E3" s="63" t="s">
        <v>65</v>
      </c>
      <c r="F3" s="60" t="s">
        <v>21</v>
      </c>
      <c r="G3" s="47">
        <v>57</v>
      </c>
      <c r="H3" s="133">
        <f>IF(B$17=0,0,G3/B$17)</f>
        <v>0.5643564356435643</v>
      </c>
      <c r="I3" s="94">
        <v>5</v>
      </c>
      <c r="K3" s="38">
        <v>1</v>
      </c>
      <c r="L3" s="99">
        <v>-40.4</v>
      </c>
      <c r="N3" s="115" t="s">
        <v>133</v>
      </c>
      <c r="O3" s="122">
        <f t="shared" si="0"/>
        <v>-1726.4150943396226</v>
      </c>
      <c r="P3" s="119">
        <v>53</v>
      </c>
      <c r="Q3" s="103">
        <v>-91500</v>
      </c>
    </row>
    <row r="4" spans="1:17" x14ac:dyDescent="0.4">
      <c r="A4" s="55" t="s">
        <v>6</v>
      </c>
      <c r="B4" s="150">
        <v>-835.19999999999982</v>
      </c>
      <c r="C4" s="151"/>
      <c r="E4" s="63" t="s">
        <v>68</v>
      </c>
      <c r="F4" s="60" t="s">
        <v>24</v>
      </c>
      <c r="G4" s="47">
        <v>41</v>
      </c>
      <c r="H4" s="133">
        <f>IF(B$17=0,0,G4/B$17)</f>
        <v>0.40594059405940597</v>
      </c>
      <c r="I4" s="94">
        <v>4</v>
      </c>
      <c r="K4" s="38">
        <v>2</v>
      </c>
      <c r="L4" s="99">
        <v>-3.3999999999999986</v>
      </c>
      <c r="N4" s="115" t="s">
        <v>134</v>
      </c>
      <c r="O4" s="122">
        <f t="shared" si="0"/>
        <v>-553.0612244897959</v>
      </c>
      <c r="P4" s="119">
        <v>49</v>
      </c>
      <c r="Q4" s="103">
        <v>-27100</v>
      </c>
    </row>
    <row r="5" spans="1:17" x14ac:dyDescent="0.4">
      <c r="A5" s="55" t="s">
        <v>7</v>
      </c>
      <c r="B5" s="152">
        <f>IF(B$2=0,0,B$4/B$2)</f>
        <v>-15.185454545454542</v>
      </c>
      <c r="C5" s="153"/>
      <c r="E5" s="63" t="s">
        <v>69</v>
      </c>
      <c r="F5" s="60" t="s">
        <v>12</v>
      </c>
      <c r="G5" s="47">
        <v>41</v>
      </c>
      <c r="H5" s="133">
        <f>IF(B$17=0,0,G5/B$17)</f>
        <v>0.40594059405940597</v>
      </c>
      <c r="I5" s="94">
        <v>4</v>
      </c>
      <c r="K5" s="38">
        <v>3</v>
      </c>
      <c r="L5" s="99">
        <v>-23.099999999999998</v>
      </c>
      <c r="N5" s="115" t="s">
        <v>135</v>
      </c>
      <c r="O5" s="122">
        <f t="shared" si="0"/>
        <v>-4519.5121951219517</v>
      </c>
      <c r="P5" s="119">
        <v>41</v>
      </c>
      <c r="Q5" s="103">
        <v>-185300</v>
      </c>
    </row>
    <row r="6" spans="1:17" x14ac:dyDescent="0.4">
      <c r="A6" s="55" t="s">
        <v>1</v>
      </c>
      <c r="B6" s="142">
        <f>IF(B$2=0,0,(B$7*1+B$8*2+B$9*3)/B$2)</f>
        <v>2.2363636363636363</v>
      </c>
      <c r="C6" s="143"/>
      <c r="E6" s="63" t="s">
        <v>181</v>
      </c>
      <c r="F6" s="60" t="s">
        <v>182</v>
      </c>
      <c r="G6" s="47">
        <v>41</v>
      </c>
      <c r="H6" s="133">
        <f>IF(B$17=0,0,G6/B$17)</f>
        <v>0.40594059405940597</v>
      </c>
      <c r="I6" s="94">
        <v>7</v>
      </c>
      <c r="K6" s="38">
        <v>4</v>
      </c>
      <c r="L6" s="99">
        <v>-31.4</v>
      </c>
      <c r="N6" s="115" t="s">
        <v>136</v>
      </c>
      <c r="O6" s="122">
        <f t="shared" si="0"/>
        <v>-1375.6756756756756</v>
      </c>
      <c r="P6" s="119">
        <v>37</v>
      </c>
      <c r="Q6" s="103">
        <v>-50900</v>
      </c>
    </row>
    <row r="7" spans="1:17" x14ac:dyDescent="0.4">
      <c r="A7" s="55" t="s">
        <v>2</v>
      </c>
      <c r="B7" s="47">
        <v>14</v>
      </c>
      <c r="C7" s="39">
        <f>IF(B$2=0,0,B7/B$2)</f>
        <v>0.25454545454545452</v>
      </c>
      <c r="E7" s="63" t="s">
        <v>73</v>
      </c>
      <c r="F7" s="60" t="s">
        <v>28</v>
      </c>
      <c r="G7" s="47">
        <v>33</v>
      </c>
      <c r="H7" s="133">
        <f>IF(B$17=0,0,G7/B$17)</f>
        <v>0.32673267326732675</v>
      </c>
      <c r="I7" s="94">
        <v>12</v>
      </c>
      <c r="K7" s="38">
        <v>5</v>
      </c>
      <c r="L7" s="99">
        <v>-32.199999999999996</v>
      </c>
      <c r="N7" s="116" t="s">
        <v>137</v>
      </c>
      <c r="O7" s="123">
        <f t="shared" si="0"/>
        <v>-1673.5294117647059</v>
      </c>
      <c r="P7" s="120">
        <v>34</v>
      </c>
      <c r="Q7" s="104">
        <v>-56900</v>
      </c>
    </row>
    <row r="8" spans="1:17" x14ac:dyDescent="0.4">
      <c r="A8" s="55" t="s">
        <v>3</v>
      </c>
      <c r="B8" s="47">
        <v>14</v>
      </c>
      <c r="C8" s="39">
        <f>IF(B$2=0,0,B8/B$2)</f>
        <v>0.25454545454545452</v>
      </c>
      <c r="E8" s="63" t="s">
        <v>70</v>
      </c>
      <c r="F8" s="60" t="s">
        <v>25</v>
      </c>
      <c r="G8" s="47">
        <v>24</v>
      </c>
      <c r="H8" s="133">
        <f>IF(B$17=0,0,G8/B$17)</f>
        <v>0.23762376237623761</v>
      </c>
      <c r="I8" s="94">
        <v>2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27</v>
      </c>
      <c r="C9" s="40">
        <f t="shared" ref="C9" si="1">IF(B$2=0,0,B9/B$2)</f>
        <v>0.49090909090909091</v>
      </c>
      <c r="E9" s="63" t="s">
        <v>71</v>
      </c>
      <c r="F9" s="60" t="s">
        <v>26</v>
      </c>
      <c r="G9" s="47">
        <v>16</v>
      </c>
      <c r="H9" s="133">
        <f>IF(B$17=0,0,G9/B$17)</f>
        <v>0.15841584158415842</v>
      </c>
      <c r="I9" s="94">
        <v>1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11</v>
      </c>
      <c r="C10" s="40">
        <f>IF(B$2=0,0,B10/B$2)</f>
        <v>0.2</v>
      </c>
      <c r="E10" s="63" t="s">
        <v>72</v>
      </c>
      <c r="F10" s="60" t="s">
        <v>27</v>
      </c>
      <c r="G10" s="47">
        <v>12</v>
      </c>
      <c r="H10" s="133">
        <f>IF(B$17=0,0,G10/B$17)</f>
        <v>0.11881188118811881</v>
      </c>
      <c r="I10" s="94">
        <v>2</v>
      </c>
      <c r="K10" s="38">
        <v>8</v>
      </c>
      <c r="L10" s="99">
        <v>-79.599999999999994</v>
      </c>
      <c r="N10" s="114" t="s">
        <v>164</v>
      </c>
      <c r="O10" s="124">
        <f>IF(P10=0,0,Q10/P10)</f>
        <v>-16.227777777777774</v>
      </c>
      <c r="P10" s="118">
        <v>18</v>
      </c>
      <c r="Q10" s="106">
        <v>-292.09999999999997</v>
      </c>
    </row>
    <row r="11" spans="1:17" x14ac:dyDescent="0.4">
      <c r="A11" s="56" t="s">
        <v>140</v>
      </c>
      <c r="B11" s="48">
        <v>7</v>
      </c>
      <c r="C11" s="40">
        <f>IF(B$2=0,0,B11/B$2)</f>
        <v>0.12727272727272726</v>
      </c>
      <c r="E11" s="63" t="s">
        <v>90</v>
      </c>
      <c r="F11" s="60" t="s">
        <v>45</v>
      </c>
      <c r="G11" s="47">
        <v>10</v>
      </c>
      <c r="H11" s="133">
        <f>IF(B$17=0,0,G11/B$17)</f>
        <v>9.9009900990099015E-2</v>
      </c>
      <c r="I11" s="94">
        <v>10</v>
      </c>
      <c r="K11" s="38">
        <v>9</v>
      </c>
      <c r="L11" s="99">
        <v>-127.6</v>
      </c>
      <c r="N11" s="115" t="s">
        <v>165</v>
      </c>
      <c r="O11" s="125">
        <f>IF(P11=0,0,Q11/P11)</f>
        <v>-9.3666666666666707</v>
      </c>
      <c r="P11" s="119">
        <v>21</v>
      </c>
      <c r="Q11" s="107">
        <v>-196.7000000000001</v>
      </c>
    </row>
    <row r="12" spans="1:17" x14ac:dyDescent="0.4">
      <c r="A12" s="57" t="s">
        <v>160</v>
      </c>
      <c r="B12" s="49">
        <v>5</v>
      </c>
      <c r="C12" s="42">
        <f>IF(B$2=0,0,B12/B$2)</f>
        <v>9.0909090909090912E-2</v>
      </c>
      <c r="E12" s="63" t="s">
        <v>87</v>
      </c>
      <c r="F12" s="60" t="s">
        <v>42</v>
      </c>
      <c r="G12" s="47">
        <v>8</v>
      </c>
      <c r="H12" s="133">
        <f>IF(B$17=0,0,G12/B$17)</f>
        <v>7.9207920792079209E-2</v>
      </c>
      <c r="I12" s="94">
        <v>4</v>
      </c>
      <c r="K12" s="38">
        <v>10</v>
      </c>
      <c r="L12" s="99">
        <v>-231.39999999999998</v>
      </c>
      <c r="N12" s="116" t="s">
        <v>166</v>
      </c>
      <c r="O12" s="126">
        <f>IF(P12=0,0,Q12/P12)</f>
        <v>-21.65</v>
      </c>
      <c r="P12" s="120">
        <v>16</v>
      </c>
      <c r="Q12" s="108">
        <v>-346.4</v>
      </c>
    </row>
    <row r="13" spans="1:17" x14ac:dyDescent="0.4">
      <c r="A13" s="58" t="s">
        <v>122</v>
      </c>
      <c r="B13" s="50">
        <v>112</v>
      </c>
      <c r="C13" s="44">
        <f>IF(B$3=0,0,B13/B$3)</f>
        <v>0.25396825396825395</v>
      </c>
      <c r="E13" s="63" t="s">
        <v>66</v>
      </c>
      <c r="F13" s="60" t="s">
        <v>22</v>
      </c>
      <c r="G13" s="47">
        <v>7</v>
      </c>
      <c r="H13" s="133">
        <f>IF(B$17=0,0,G13/B$17)</f>
        <v>6.9306930693069313E-2</v>
      </c>
      <c r="I13" s="94">
        <v>9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69</v>
      </c>
      <c r="C14" s="39">
        <f>IF(B$3=0,0,B14/B$3)</f>
        <v>0.15646258503401361</v>
      </c>
      <c r="E14" s="63" t="s">
        <v>79</v>
      </c>
      <c r="F14" s="60" t="s">
        <v>34</v>
      </c>
      <c r="G14" s="47">
        <v>4</v>
      </c>
      <c r="H14" s="133">
        <f>IF(B$17=0,0,G14/B$17)</f>
        <v>3.9603960396039604E-2</v>
      </c>
      <c r="I14" s="94">
        <v>4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59</v>
      </c>
      <c r="C15" s="37">
        <f>IF(B$13=0,0,B15/B$13)</f>
        <v>0.5267857142857143</v>
      </c>
      <c r="E15" s="63" t="s">
        <v>84</v>
      </c>
      <c r="F15" s="60" t="s">
        <v>39</v>
      </c>
      <c r="G15" s="47">
        <v>4</v>
      </c>
      <c r="H15" s="133">
        <f>IF(B$17=0,0,G15/B$17)</f>
        <v>3.9603960396039604E-2</v>
      </c>
      <c r="I15" s="94">
        <v>8</v>
      </c>
      <c r="K15" s="38">
        <v>13</v>
      </c>
      <c r="L15" s="99">
        <v>-369.1</v>
      </c>
      <c r="N15" s="114" t="s">
        <v>225</v>
      </c>
      <c r="O15" s="124">
        <f>IF(P15=0,0,Q15/P15)</f>
        <v>80.7</v>
      </c>
      <c r="P15" s="118">
        <v>1</v>
      </c>
      <c r="Q15" s="106">
        <v>80.7</v>
      </c>
    </row>
    <row r="16" spans="1:17" x14ac:dyDescent="0.4">
      <c r="A16" s="54" t="s">
        <v>125</v>
      </c>
      <c r="B16" s="46">
        <v>17</v>
      </c>
      <c r="C16" s="37">
        <f>IF(B$14=0,0,B16/B$14)</f>
        <v>0.24637681159420291</v>
      </c>
      <c r="E16" s="63" t="s">
        <v>75</v>
      </c>
      <c r="F16" s="60" t="s">
        <v>30</v>
      </c>
      <c r="G16" s="47">
        <v>1</v>
      </c>
      <c r="H16" s="133">
        <f>IF(B$17=0,0,G16/B$17)</f>
        <v>9.9009900990099011E-3</v>
      </c>
      <c r="I16" s="94">
        <v>2</v>
      </c>
      <c r="K16" s="38">
        <v>14</v>
      </c>
      <c r="L16" s="99">
        <v>-394.6</v>
      </c>
      <c r="N16" s="115" t="s">
        <v>177</v>
      </c>
      <c r="O16" s="125">
        <f>IF(P16=0,0,Q16/P16)</f>
        <v>21.775000000000006</v>
      </c>
      <c r="P16" s="119">
        <v>8</v>
      </c>
      <c r="Q16" s="107">
        <v>174.20000000000005</v>
      </c>
    </row>
    <row r="17" spans="1:17" x14ac:dyDescent="0.4">
      <c r="A17" s="54" t="s">
        <v>10</v>
      </c>
      <c r="B17" s="46">
        <f>B19+B18</f>
        <v>101</v>
      </c>
      <c r="C17" s="37">
        <f>IF(B$3=0,0,B17/B$3)</f>
        <v>0.22902494331065759</v>
      </c>
      <c r="E17" s="63" t="s">
        <v>78</v>
      </c>
      <c r="F17" s="60" t="s">
        <v>33</v>
      </c>
      <c r="G17" s="47">
        <v>1</v>
      </c>
      <c r="H17" s="133">
        <f>IF(B$17=0,0,G17/B$17)</f>
        <v>9.9009900990099011E-3</v>
      </c>
      <c r="I17" s="94">
        <v>1</v>
      </c>
      <c r="K17" s="38">
        <v>15</v>
      </c>
      <c r="L17" s="99">
        <v>-424.5</v>
      </c>
      <c r="N17" s="115" t="s">
        <v>128</v>
      </c>
      <c r="O17" s="125">
        <f>IF(P17=0,0,Q17/P17)</f>
        <v>-12.411764705882348</v>
      </c>
      <c r="P17" s="119">
        <v>34</v>
      </c>
      <c r="Q17" s="107">
        <v>-421.99999999999983</v>
      </c>
    </row>
    <row r="18" spans="1:17" x14ac:dyDescent="0.4">
      <c r="A18" s="55" t="s">
        <v>12</v>
      </c>
      <c r="B18" s="47">
        <v>47</v>
      </c>
      <c r="C18" s="39">
        <f>IF(B$17=0,0,B18/B$17)</f>
        <v>0.46534653465346537</v>
      </c>
      <c r="E18" s="63" t="s">
        <v>80</v>
      </c>
      <c r="F18" s="60" t="s">
        <v>35</v>
      </c>
      <c r="G18" s="47">
        <v>1</v>
      </c>
      <c r="H18" s="133">
        <f>IF(B$17=0,0,G18/B$17)</f>
        <v>9.9009900990099011E-3</v>
      </c>
      <c r="I18" s="94">
        <v>7</v>
      </c>
      <c r="K18" s="38">
        <v>16</v>
      </c>
      <c r="L18" s="99">
        <v>-472</v>
      </c>
      <c r="N18" s="115" t="s">
        <v>171</v>
      </c>
      <c r="O18" s="125">
        <f>IF(P18=0,0,Q18/P18)</f>
        <v>-18.473333333333336</v>
      </c>
      <c r="P18" s="119">
        <v>15</v>
      </c>
      <c r="Q18" s="107">
        <v>-277.10000000000002</v>
      </c>
    </row>
    <row r="19" spans="1:17" x14ac:dyDescent="0.4">
      <c r="A19" s="55" t="s">
        <v>11</v>
      </c>
      <c r="B19" s="47">
        <v>54</v>
      </c>
      <c r="C19" s="39">
        <f>IF(B$17=0,0,B19/B$17)</f>
        <v>0.53465346534653468</v>
      </c>
      <c r="E19" s="63" t="s">
        <v>82</v>
      </c>
      <c r="F19" s="60" t="s">
        <v>37</v>
      </c>
      <c r="G19" s="47">
        <v>1</v>
      </c>
      <c r="H19" s="133">
        <f>IF(B$17=0,0,G19/B$17)</f>
        <v>9.9009900990099011E-3</v>
      </c>
      <c r="I19" s="94">
        <v>9</v>
      </c>
      <c r="K19" s="38">
        <v>17</v>
      </c>
      <c r="L19" s="99">
        <v>-538.29999999999995</v>
      </c>
      <c r="N19" s="115" t="s">
        <v>173</v>
      </c>
      <c r="O19" s="125">
        <f>IF(P19=0,0,Q19/P19)</f>
        <v>-30.299999999999994</v>
      </c>
      <c r="P19" s="119">
        <v>7</v>
      </c>
      <c r="Q19" s="107">
        <v>-212.09999999999997</v>
      </c>
    </row>
    <row r="20" spans="1:17" x14ac:dyDescent="0.4">
      <c r="A20" s="55" t="s">
        <v>13</v>
      </c>
      <c r="B20" s="47">
        <v>89</v>
      </c>
      <c r="C20" s="39">
        <f>IF(B$3=0,0,B20/B$3)</f>
        <v>0.20181405895691609</v>
      </c>
      <c r="E20" s="63" t="s">
        <v>88</v>
      </c>
      <c r="F20" s="60" t="s">
        <v>43</v>
      </c>
      <c r="G20" s="47">
        <v>1</v>
      </c>
      <c r="H20" s="133">
        <f>IF(B$17=0,0,G20/B$17)</f>
        <v>9.9009900990099011E-3</v>
      </c>
      <c r="I20" s="94">
        <v>1</v>
      </c>
      <c r="K20" s="38">
        <v>18</v>
      </c>
      <c r="L20" s="99">
        <v>-537.19999999999993</v>
      </c>
      <c r="N20" s="115" t="s">
        <v>127</v>
      </c>
      <c r="O20" s="125">
        <f>IF(P20=0,0,Q20/P20)</f>
        <v>-38.321212121212135</v>
      </c>
      <c r="P20" s="119">
        <v>33</v>
      </c>
      <c r="Q20" s="107">
        <v>-1264.6000000000004</v>
      </c>
    </row>
    <row r="21" spans="1:17" x14ac:dyDescent="0.4">
      <c r="A21" s="55" t="s">
        <v>193</v>
      </c>
      <c r="B21" s="47">
        <v>4</v>
      </c>
      <c r="C21" s="135">
        <v>3</v>
      </c>
      <c r="E21" s="63" t="s">
        <v>89</v>
      </c>
      <c r="F21" s="60" t="s">
        <v>44</v>
      </c>
      <c r="G21" s="47">
        <v>1</v>
      </c>
      <c r="H21" s="133">
        <f>IF(B$17=0,0,G21/B$17)</f>
        <v>9.9009900990099011E-3</v>
      </c>
      <c r="I21" s="94">
        <v>1</v>
      </c>
      <c r="K21" s="38">
        <v>19</v>
      </c>
      <c r="L21" s="99">
        <v>-569.49999999999989</v>
      </c>
      <c r="N21" s="115" t="s">
        <v>172</v>
      </c>
      <c r="O21" s="125">
        <f>IF(P21=0,0,Q21/P21)</f>
        <v>-46.581818181818171</v>
      </c>
      <c r="P21" s="119">
        <v>11</v>
      </c>
      <c r="Q21" s="107">
        <v>-512.39999999999986</v>
      </c>
    </row>
    <row r="22" spans="1:17" x14ac:dyDescent="0.4">
      <c r="A22" s="55" t="s">
        <v>194</v>
      </c>
      <c r="B22" s="47">
        <v>31</v>
      </c>
      <c r="C22" s="135">
        <v>5</v>
      </c>
      <c r="E22" s="63" t="s">
        <v>92</v>
      </c>
      <c r="F22" s="60" t="s">
        <v>47</v>
      </c>
      <c r="G22" s="47">
        <v>1</v>
      </c>
      <c r="H22" s="133">
        <f>IF(B$17=0,0,G22/B$17)</f>
        <v>9.9009900990099011E-3</v>
      </c>
      <c r="I22" s="94">
        <v>7</v>
      </c>
      <c r="K22" s="38">
        <v>20</v>
      </c>
      <c r="L22" s="99">
        <v>-632.99999999999989</v>
      </c>
      <c r="N22" s="115" t="s">
        <v>186</v>
      </c>
      <c r="O22" s="125">
        <f>IF(P22=0,0,Q22/P22)</f>
        <v>-72.3</v>
      </c>
      <c r="P22" s="119">
        <v>1</v>
      </c>
      <c r="Q22" s="107">
        <v>-72.3</v>
      </c>
    </row>
    <row r="23" spans="1:17" x14ac:dyDescent="0.4">
      <c r="A23" s="55" t="s">
        <v>5</v>
      </c>
      <c r="B23" s="51">
        <f>IF(B$17=0,0,C23/B$17)</f>
        <v>8911.8811881188121</v>
      </c>
      <c r="C23" s="41">
        <v>900100</v>
      </c>
      <c r="E23" s="63" t="s">
        <v>94</v>
      </c>
      <c r="F23" s="60" t="s">
        <v>49</v>
      </c>
      <c r="G23" s="47">
        <v>1</v>
      </c>
      <c r="H23" s="133">
        <f>IF(B$17=0,0,G23/B$17)</f>
        <v>9.9009900990099011E-3</v>
      </c>
      <c r="I23" s="94">
        <v>1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-9068.5393258426975</v>
      </c>
      <c r="C24" s="45">
        <v>-807100</v>
      </c>
      <c r="E24" s="63" t="s">
        <v>74</v>
      </c>
      <c r="F24" s="60" t="s">
        <v>29</v>
      </c>
      <c r="G24" s="47">
        <v>0</v>
      </c>
      <c r="H24" s="133">
        <f>IF(B$17=0,0,G24/B$17)</f>
        <v>0</v>
      </c>
      <c r="I24" s="94">
        <v>6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0">
        <v>7</v>
      </c>
      <c r="C25" s="141"/>
      <c r="E25" s="63" t="s">
        <v>76</v>
      </c>
      <c r="F25" s="60" t="s">
        <v>31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38">
        <v>96900</v>
      </c>
      <c r="C26" s="139"/>
      <c r="E26" s="63" t="s">
        <v>77</v>
      </c>
      <c r="F26" s="60" t="s">
        <v>32</v>
      </c>
      <c r="G26" s="47">
        <v>0</v>
      </c>
      <c r="H26" s="133">
        <f>IF(B$17=0,0,G26/B$17)</f>
        <v>0</v>
      </c>
      <c r="I26" s="94">
        <v>3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2.2675736961451248E-3</v>
      </c>
      <c r="E27" s="63" t="s">
        <v>81</v>
      </c>
      <c r="F27" s="60" t="s">
        <v>36</v>
      </c>
      <c r="G27" s="47">
        <v>0</v>
      </c>
      <c r="H27" s="133">
        <f>IF(B$17=0,0,G27/B$17)</f>
        <v>0</v>
      </c>
      <c r="I27" s="94">
        <v>1</v>
      </c>
      <c r="K27" s="38">
        <v>25</v>
      </c>
      <c r="L27" s="99">
        <v>-783.69999999999993</v>
      </c>
    </row>
    <row r="28" spans="1:17" x14ac:dyDescent="0.4">
      <c r="E28" s="63" t="s">
        <v>83</v>
      </c>
      <c r="F28" s="60" t="s">
        <v>38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-818.49999999999989</v>
      </c>
    </row>
    <row r="29" spans="1:17" x14ac:dyDescent="0.4">
      <c r="E29" s="63" t="s">
        <v>85</v>
      </c>
      <c r="F29" s="60" t="s">
        <v>40</v>
      </c>
      <c r="G29" s="47">
        <v>0</v>
      </c>
      <c r="H29" s="133">
        <f>IF(B$17=0,0,G29/B$17)</f>
        <v>0</v>
      </c>
      <c r="I29" s="94">
        <v>4</v>
      </c>
      <c r="K29" s="38">
        <v>27</v>
      </c>
      <c r="L29" s="99">
        <v>-876.19999999999993</v>
      </c>
    </row>
    <row r="30" spans="1:17" x14ac:dyDescent="0.4">
      <c r="E30" s="63" t="s">
        <v>86</v>
      </c>
      <c r="F30" s="60" t="s">
        <v>41</v>
      </c>
      <c r="G30" s="47">
        <v>0</v>
      </c>
      <c r="H30" s="133">
        <f>IF(B$17=0,0,G30/B$17)</f>
        <v>0</v>
      </c>
      <c r="I30" s="94">
        <v>3</v>
      </c>
      <c r="K30" s="38">
        <v>28</v>
      </c>
      <c r="L30" s="99">
        <v>-931.09999999999991</v>
      </c>
    </row>
    <row r="31" spans="1:17" x14ac:dyDescent="0.4">
      <c r="E31" s="63" t="s">
        <v>91</v>
      </c>
      <c r="F31" s="60" t="s">
        <v>46</v>
      </c>
      <c r="G31" s="47">
        <v>0</v>
      </c>
      <c r="H31" s="133">
        <f>IF(B$17=0,0,G31/B$17)</f>
        <v>0</v>
      </c>
      <c r="I31" s="94">
        <v>3</v>
      </c>
      <c r="K31" s="38">
        <v>29</v>
      </c>
      <c r="L31" s="99">
        <v>-908.69999999999993</v>
      </c>
    </row>
    <row r="32" spans="1:17" x14ac:dyDescent="0.4">
      <c r="E32" s="63" t="s">
        <v>93</v>
      </c>
      <c r="F32" s="60" t="s">
        <v>48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-826.8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-835.69999999999993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-838.69999999999993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-829.99999999999989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-786.29999999999984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-744.79999999999973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-800.5999999999998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-754.5999999999998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-756.69999999999982</v>
      </c>
    </row>
    <row r="51" spans="5:12" x14ac:dyDescent="0.4">
      <c r="E51" s="64" t="s">
        <v>180</v>
      </c>
      <c r="F51" s="61" t="s">
        <v>183</v>
      </c>
      <c r="G51" s="49">
        <v>0</v>
      </c>
      <c r="H51" s="134">
        <f>IF(B$17=0,0,G51/B$17)</f>
        <v>0</v>
      </c>
      <c r="I51" s="95">
        <v>6</v>
      </c>
      <c r="K51" s="38">
        <v>49</v>
      </c>
      <c r="L51" s="99">
        <v>-715.0999999999998</v>
      </c>
    </row>
    <row r="52" spans="5:12" x14ac:dyDescent="0.4"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</sheetData>
  <sortState ref="N15:Q22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2C70B-7B6F-4817-A3D9-AA9796660D58}">
  <sheetPr codeName="Sheet13"/>
  <dimension ref="A1:Q64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171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62</v>
      </c>
      <c r="C2" s="147"/>
      <c r="E2" s="62" t="s">
        <v>65</v>
      </c>
      <c r="F2" s="59" t="s">
        <v>21</v>
      </c>
      <c r="G2" s="46">
        <v>81</v>
      </c>
      <c r="H2" s="132">
        <f>IF(B$17=0,0,G2/B$17)</f>
        <v>0.5625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48.387096774193552</v>
      </c>
      <c r="P2" s="118">
        <v>62</v>
      </c>
      <c r="Q2" s="102">
        <v>3000</v>
      </c>
    </row>
    <row r="3" spans="1:17" x14ac:dyDescent="0.4">
      <c r="A3" s="55" t="s">
        <v>8</v>
      </c>
      <c r="B3" s="148">
        <v>525</v>
      </c>
      <c r="C3" s="149"/>
      <c r="E3" s="63" t="s">
        <v>66</v>
      </c>
      <c r="F3" s="60" t="s">
        <v>22</v>
      </c>
      <c r="G3" s="47">
        <v>19</v>
      </c>
      <c r="H3" s="133">
        <f>IF(B$17=0,0,G3/B$17)</f>
        <v>0.13194444444444445</v>
      </c>
      <c r="I3" s="94">
        <v>3</v>
      </c>
      <c r="K3" s="38">
        <v>1</v>
      </c>
      <c r="L3" s="99">
        <v>-51.2</v>
      </c>
      <c r="N3" s="115" t="s">
        <v>133</v>
      </c>
      <c r="O3" s="122">
        <f t="shared" si="0"/>
        <v>1233.8709677419354</v>
      </c>
      <c r="P3" s="119">
        <v>62</v>
      </c>
      <c r="Q3" s="103">
        <v>76500</v>
      </c>
    </row>
    <row r="4" spans="1:17" x14ac:dyDescent="0.4">
      <c r="A4" s="55" t="s">
        <v>6</v>
      </c>
      <c r="B4" s="150">
        <v>93.499999999999972</v>
      </c>
      <c r="C4" s="151"/>
      <c r="E4" s="63" t="s">
        <v>67</v>
      </c>
      <c r="F4" s="60" t="s">
        <v>23</v>
      </c>
      <c r="G4" s="47">
        <v>114</v>
      </c>
      <c r="H4" s="133">
        <f>IF(B$17=0,0,G4/B$17)</f>
        <v>0.79166666666666663</v>
      </c>
      <c r="I4" s="94">
        <v>4</v>
      </c>
      <c r="K4" s="38">
        <v>2</v>
      </c>
      <c r="L4" s="99">
        <v>-93.300000000000011</v>
      </c>
      <c r="N4" s="115" t="s">
        <v>134</v>
      </c>
      <c r="O4" s="122">
        <f t="shared" si="0"/>
        <v>98.305084745762713</v>
      </c>
      <c r="P4" s="119">
        <v>59</v>
      </c>
      <c r="Q4" s="103">
        <v>5800</v>
      </c>
    </row>
    <row r="5" spans="1:17" x14ac:dyDescent="0.4">
      <c r="A5" s="55" t="s">
        <v>7</v>
      </c>
      <c r="B5" s="152">
        <f>IF(B$2=0,0,B$4/B$2)</f>
        <v>1.5080645161290318</v>
      </c>
      <c r="C5" s="153"/>
      <c r="E5" s="63" t="s">
        <v>68</v>
      </c>
      <c r="F5" s="60" t="s">
        <v>24</v>
      </c>
      <c r="G5" s="47">
        <v>48</v>
      </c>
      <c r="H5" s="133">
        <f>IF(B$17=0,0,G5/B$17)</f>
        <v>0.33333333333333331</v>
      </c>
      <c r="I5" s="94">
        <v>7</v>
      </c>
      <c r="K5" s="38">
        <v>3</v>
      </c>
      <c r="L5" s="99">
        <v>-60.100000000000009</v>
      </c>
      <c r="N5" s="115" t="s">
        <v>135</v>
      </c>
      <c r="O5" s="122">
        <f t="shared" si="0"/>
        <v>1869.3877551020407</v>
      </c>
      <c r="P5" s="119">
        <v>49</v>
      </c>
      <c r="Q5" s="103">
        <v>91600</v>
      </c>
    </row>
    <row r="6" spans="1:17" x14ac:dyDescent="0.4">
      <c r="A6" s="55" t="s">
        <v>1</v>
      </c>
      <c r="B6" s="142">
        <f>IF(B$2=0,0,(B$7*1+B$8*2+B$9*3)/B$2)</f>
        <v>2.064516129032258</v>
      </c>
      <c r="C6" s="143"/>
      <c r="E6" s="63" t="s">
        <v>69</v>
      </c>
      <c r="F6" s="60" t="s">
        <v>12</v>
      </c>
      <c r="G6" s="47">
        <v>42</v>
      </c>
      <c r="H6" s="133">
        <f>IF(B$17=0,0,G6/B$17)</f>
        <v>0.29166666666666669</v>
      </c>
      <c r="I6" s="94">
        <v>9</v>
      </c>
      <c r="K6" s="38">
        <v>4</v>
      </c>
      <c r="L6" s="99">
        <v>-11.300000000000011</v>
      </c>
      <c r="N6" s="115" t="s">
        <v>136</v>
      </c>
      <c r="O6" s="122">
        <f t="shared" si="0"/>
        <v>-1342.2222222222222</v>
      </c>
      <c r="P6" s="119">
        <v>45</v>
      </c>
      <c r="Q6" s="103">
        <v>-60400</v>
      </c>
    </row>
    <row r="7" spans="1:17" x14ac:dyDescent="0.4">
      <c r="A7" s="55" t="s">
        <v>2</v>
      </c>
      <c r="B7" s="47">
        <v>17</v>
      </c>
      <c r="C7" s="39">
        <f>IF(B$2=0,0,B7/B$2)</f>
        <v>0.27419354838709675</v>
      </c>
      <c r="E7" s="63" t="s">
        <v>70</v>
      </c>
      <c r="F7" s="60" t="s">
        <v>25</v>
      </c>
      <c r="G7" s="47">
        <v>33</v>
      </c>
      <c r="H7" s="133">
        <f>IF(B$17=0,0,G7/B$17)</f>
        <v>0.22916666666666666</v>
      </c>
      <c r="I7" s="94">
        <v>3</v>
      </c>
      <c r="K7" s="38">
        <v>5</v>
      </c>
      <c r="L7" s="99">
        <v>-36.100000000000009</v>
      </c>
      <c r="N7" s="116" t="s">
        <v>137</v>
      </c>
      <c r="O7" s="123">
        <f t="shared" si="0"/>
        <v>1514.6341463414635</v>
      </c>
      <c r="P7" s="120">
        <v>41</v>
      </c>
      <c r="Q7" s="104">
        <v>62100</v>
      </c>
    </row>
    <row r="8" spans="1:17" x14ac:dyDescent="0.4">
      <c r="A8" s="55" t="s">
        <v>3</v>
      </c>
      <c r="B8" s="47">
        <v>24</v>
      </c>
      <c r="C8" s="39">
        <f>IF(B$2=0,0,B8/B$2)</f>
        <v>0.38709677419354838</v>
      </c>
      <c r="E8" s="63" t="s">
        <v>71</v>
      </c>
      <c r="F8" s="60" t="s">
        <v>26</v>
      </c>
      <c r="G8" s="47">
        <v>19</v>
      </c>
      <c r="H8" s="133">
        <f>IF(B$17=0,0,G8/B$17)</f>
        <v>0.13194444444444445</v>
      </c>
      <c r="I8" s="94">
        <v>2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21</v>
      </c>
      <c r="C9" s="40">
        <f t="shared" ref="C9" si="1">IF(B$2=0,0,B9/B$2)</f>
        <v>0.33870967741935482</v>
      </c>
      <c r="E9" s="63" t="s">
        <v>72</v>
      </c>
      <c r="F9" s="60" t="s">
        <v>27</v>
      </c>
      <c r="G9" s="47">
        <v>11</v>
      </c>
      <c r="H9" s="133">
        <f>IF(B$17=0,0,G9/B$17)</f>
        <v>7.6388888888888895E-2</v>
      </c>
      <c r="I9" s="94">
        <v>3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3.2258064516129031E-2</v>
      </c>
      <c r="E10" s="63" t="s">
        <v>73</v>
      </c>
      <c r="F10" s="60" t="s">
        <v>28</v>
      </c>
      <c r="G10" s="47">
        <v>69</v>
      </c>
      <c r="H10" s="133">
        <f>IF(B$17=0,0,G10/B$17)</f>
        <v>0.47916666666666669</v>
      </c>
      <c r="I10" s="94">
        <v>9</v>
      </c>
      <c r="K10" s="38">
        <v>8</v>
      </c>
      <c r="L10" s="99">
        <v>-1.7000000000000028</v>
      </c>
      <c r="N10" s="114" t="s">
        <v>164</v>
      </c>
      <c r="O10" s="124">
        <f>IF(P10=0,0,Q10/P10)</f>
        <v>6.8999999999999995</v>
      </c>
      <c r="P10" s="118">
        <v>14</v>
      </c>
      <c r="Q10" s="106">
        <v>96.6</v>
      </c>
    </row>
    <row r="11" spans="1:17" x14ac:dyDescent="0.4">
      <c r="A11" s="56" t="s">
        <v>140</v>
      </c>
      <c r="B11" s="48">
        <v>7</v>
      </c>
      <c r="C11" s="40">
        <f>IF(B$2=0,0,B11/B$2)</f>
        <v>0.11290322580645161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6</v>
      </c>
      <c r="K11" s="38">
        <v>9</v>
      </c>
      <c r="L11" s="99">
        <v>-5.8000000000000025</v>
      </c>
      <c r="N11" s="115" t="s">
        <v>165</v>
      </c>
      <c r="O11" s="125">
        <f>IF(P11=0,0,Q11/P11)</f>
        <v>-0.62399999999999878</v>
      </c>
      <c r="P11" s="119">
        <v>25</v>
      </c>
      <c r="Q11" s="107">
        <v>-15.599999999999969</v>
      </c>
    </row>
    <row r="12" spans="1:17" x14ac:dyDescent="0.4">
      <c r="A12" s="57" t="s">
        <v>160</v>
      </c>
      <c r="B12" s="49">
        <v>5</v>
      </c>
      <c r="C12" s="42">
        <f>IF(B$2=0,0,B12/B$2)</f>
        <v>8.0645161290322578E-2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K12" s="38">
        <v>10</v>
      </c>
      <c r="L12" s="99">
        <v>-56.500000000000007</v>
      </c>
      <c r="N12" s="116" t="s">
        <v>166</v>
      </c>
      <c r="O12" s="126">
        <f>IF(P12=0,0,Q12/P12)</f>
        <v>0.54347826086956486</v>
      </c>
      <c r="P12" s="120">
        <v>23</v>
      </c>
      <c r="Q12" s="108">
        <v>12.499999999999993</v>
      </c>
    </row>
    <row r="13" spans="1:17" x14ac:dyDescent="0.4">
      <c r="A13" s="58" t="s">
        <v>122</v>
      </c>
      <c r="B13" s="50">
        <v>143</v>
      </c>
      <c r="C13" s="44">
        <f>IF(B$3=0,0,B13/B$3)</f>
        <v>0.27238095238095239</v>
      </c>
      <c r="E13" s="63" t="s">
        <v>76</v>
      </c>
      <c r="F13" s="60" t="s">
        <v>31</v>
      </c>
      <c r="G13" s="47">
        <v>2</v>
      </c>
      <c r="H13" s="133">
        <f>IF(B$17=0,0,G13/B$17)</f>
        <v>1.3888888888888888E-2</v>
      </c>
      <c r="I13" s="94">
        <v>3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95</v>
      </c>
      <c r="C14" s="39">
        <f>IF(B$3=0,0,B14/B$3)</f>
        <v>0.18095238095238095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85</v>
      </c>
      <c r="C15" s="37">
        <f>IF(B$13=0,0,B15/B$13)</f>
        <v>0.59440559440559437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-58.7</v>
      </c>
      <c r="N15" s="114" t="s">
        <v>186</v>
      </c>
      <c r="O15" s="124">
        <f t="shared" ref="O15:O23" si="2">IF(P15=0,0,Q15/P15)</f>
        <v>25.400000000000002</v>
      </c>
      <c r="P15" s="118">
        <v>2</v>
      </c>
      <c r="Q15" s="106">
        <v>50.800000000000004</v>
      </c>
    </row>
    <row r="16" spans="1:17" x14ac:dyDescent="0.4">
      <c r="A16" s="54" t="s">
        <v>125</v>
      </c>
      <c r="B16" s="46">
        <v>36</v>
      </c>
      <c r="C16" s="37">
        <f>IF(B$14=0,0,B16/B$14)</f>
        <v>0.37894736842105264</v>
      </c>
      <c r="E16" s="63" t="s">
        <v>79</v>
      </c>
      <c r="F16" s="60" t="s">
        <v>34</v>
      </c>
      <c r="G16" s="47">
        <v>7</v>
      </c>
      <c r="H16" s="133">
        <f>IF(B$17=0,0,G16/B$17)</f>
        <v>4.8611111111111112E-2</v>
      </c>
      <c r="I16" s="94">
        <v>3</v>
      </c>
      <c r="K16" s="38">
        <v>14</v>
      </c>
      <c r="L16" s="99">
        <v>-29.400000000000002</v>
      </c>
      <c r="N16" s="115" t="s">
        <v>177</v>
      </c>
      <c r="O16" s="125">
        <f t="shared" si="2"/>
        <v>19.380000000000003</v>
      </c>
      <c r="P16" s="119">
        <v>5</v>
      </c>
      <c r="Q16" s="107">
        <v>96.9</v>
      </c>
    </row>
    <row r="17" spans="1:17" x14ac:dyDescent="0.4">
      <c r="A17" s="54" t="s">
        <v>10</v>
      </c>
      <c r="B17" s="46">
        <f>B19+B18</f>
        <v>144</v>
      </c>
      <c r="C17" s="37">
        <f>IF(B$3=0,0,B17/B$3)</f>
        <v>0.2742857142857143</v>
      </c>
      <c r="E17" s="63" t="s">
        <v>80</v>
      </c>
      <c r="F17" s="60" t="s">
        <v>35</v>
      </c>
      <c r="G17" s="47">
        <v>1</v>
      </c>
      <c r="H17" s="133">
        <f>IF(B$17=0,0,G17/B$17)</f>
        <v>6.9444444444444441E-3</v>
      </c>
      <c r="I17" s="94">
        <v>8</v>
      </c>
      <c r="K17" s="38">
        <v>15</v>
      </c>
      <c r="L17" s="99">
        <v>-26.3</v>
      </c>
      <c r="N17" s="115" t="s">
        <v>129</v>
      </c>
      <c r="O17" s="125">
        <f t="shared" si="2"/>
        <v>18.473333333333336</v>
      </c>
      <c r="P17" s="119">
        <v>15</v>
      </c>
      <c r="Q17" s="107">
        <v>277.10000000000002</v>
      </c>
    </row>
    <row r="18" spans="1:17" x14ac:dyDescent="0.4">
      <c r="A18" s="55" t="s">
        <v>12</v>
      </c>
      <c r="B18" s="47">
        <v>59</v>
      </c>
      <c r="C18" s="39">
        <f>IF(B$17=0,0,B18/B$17)</f>
        <v>0.40972222222222221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-50.3</v>
      </c>
      <c r="N18" s="115" t="s">
        <v>173</v>
      </c>
      <c r="O18" s="125">
        <f t="shared" si="2"/>
        <v>13.774999999999999</v>
      </c>
      <c r="P18" s="119">
        <v>16</v>
      </c>
      <c r="Q18" s="107">
        <v>220.39999999999998</v>
      </c>
    </row>
    <row r="19" spans="1:17" x14ac:dyDescent="0.4">
      <c r="A19" s="55" t="s">
        <v>11</v>
      </c>
      <c r="B19" s="47">
        <v>85</v>
      </c>
      <c r="C19" s="39">
        <f>IF(B$17=0,0,B19/B$17)</f>
        <v>0.59027777777777779</v>
      </c>
      <c r="E19" s="63" t="s">
        <v>82</v>
      </c>
      <c r="F19" s="60" t="s">
        <v>37</v>
      </c>
      <c r="G19" s="47">
        <v>5</v>
      </c>
      <c r="H19" s="133">
        <f>IF(B$17=0,0,G19/B$17)</f>
        <v>3.4722222222222224E-2</v>
      </c>
      <c r="I19" s="94">
        <v>5</v>
      </c>
      <c r="K19" s="38">
        <v>17</v>
      </c>
      <c r="L19" s="99">
        <v>-74.3</v>
      </c>
      <c r="N19" s="115" t="s">
        <v>128</v>
      </c>
      <c r="O19" s="125">
        <f t="shared" si="2"/>
        <v>1.0249999999999939</v>
      </c>
      <c r="P19" s="119">
        <v>32</v>
      </c>
      <c r="Q19" s="107">
        <v>32.799999999999805</v>
      </c>
    </row>
    <row r="20" spans="1:17" x14ac:dyDescent="0.4">
      <c r="A20" s="55" t="s">
        <v>13</v>
      </c>
      <c r="B20" s="47">
        <v>83</v>
      </c>
      <c r="C20" s="39">
        <f>IF(B$3=0,0,B20/B$3)</f>
        <v>0.15809523809523809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-76.099999999999994</v>
      </c>
      <c r="N20" s="115" t="s">
        <v>172</v>
      </c>
      <c r="O20" s="125">
        <f t="shared" si="2"/>
        <v>-1.0923076923076933</v>
      </c>
      <c r="P20" s="119">
        <v>13</v>
      </c>
      <c r="Q20" s="107">
        <v>-14.200000000000012</v>
      </c>
    </row>
    <row r="21" spans="1:17" x14ac:dyDescent="0.4">
      <c r="A21" s="55" t="s">
        <v>193</v>
      </c>
      <c r="B21" s="47">
        <v>5</v>
      </c>
      <c r="C21" s="135">
        <v>1</v>
      </c>
      <c r="E21" s="63" t="s">
        <v>84</v>
      </c>
      <c r="F21" s="60" t="s">
        <v>39</v>
      </c>
      <c r="G21" s="47">
        <v>7</v>
      </c>
      <c r="H21" s="133">
        <f>IF(B$17=0,0,G21/B$17)</f>
        <v>4.8611111111111112E-2</v>
      </c>
      <c r="I21" s="94">
        <v>4</v>
      </c>
      <c r="K21" s="38">
        <v>19</v>
      </c>
      <c r="L21" s="99">
        <v>0.60000000000000853</v>
      </c>
      <c r="N21" s="115" t="s">
        <v>127</v>
      </c>
      <c r="O21" s="125">
        <f t="shared" si="2"/>
        <v>-5.5210526315789421</v>
      </c>
      <c r="P21" s="119">
        <v>38</v>
      </c>
      <c r="Q21" s="107">
        <v>-209.79999999999978</v>
      </c>
    </row>
    <row r="22" spans="1:17" x14ac:dyDescent="0.4">
      <c r="A22" s="55" t="s">
        <v>194</v>
      </c>
      <c r="B22" s="47">
        <v>20</v>
      </c>
      <c r="C22" s="135">
        <v>1</v>
      </c>
      <c r="E22" s="63" t="s">
        <v>85</v>
      </c>
      <c r="F22" s="60" t="s">
        <v>40</v>
      </c>
      <c r="G22" s="47">
        <v>1</v>
      </c>
      <c r="H22" s="133">
        <f>IF(B$17=0,0,G22/B$17)</f>
        <v>6.9444444444444441E-3</v>
      </c>
      <c r="I22" s="94">
        <v>1</v>
      </c>
      <c r="K22" s="38">
        <v>20</v>
      </c>
      <c r="L22" s="99">
        <v>-3.5999999999999917</v>
      </c>
      <c r="N22" s="115" t="s">
        <v>202</v>
      </c>
      <c r="O22" s="125">
        <f t="shared" si="2"/>
        <v>-51.999999999999993</v>
      </c>
      <c r="P22" s="119">
        <v>2</v>
      </c>
      <c r="Q22" s="107">
        <v>-103.99999999999999</v>
      </c>
    </row>
    <row r="23" spans="1:17" x14ac:dyDescent="0.4">
      <c r="A23" s="55" t="s">
        <v>5</v>
      </c>
      <c r="B23" s="51">
        <f>IF(B$17=0,0,C23/B$17)</f>
        <v>9534.0277777777774</v>
      </c>
      <c r="C23" s="41">
        <v>1372900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3</v>
      </c>
      <c r="K23" s="38">
        <v>21</v>
      </c>
      <c r="L23" s="99">
        <v>-3.0999999999999917</v>
      </c>
      <c r="N23" s="115" t="s">
        <v>224</v>
      </c>
      <c r="O23" s="125">
        <f t="shared" si="2"/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-7589.1566265060237</v>
      </c>
      <c r="C24" s="45">
        <v>-629900</v>
      </c>
      <c r="E24" s="63" t="s">
        <v>87</v>
      </c>
      <c r="F24" s="60" t="s">
        <v>42</v>
      </c>
      <c r="G24" s="47">
        <v>12</v>
      </c>
      <c r="H24" s="133">
        <f>IF(B$17=0,0,G24/B$17)</f>
        <v>8.3333333333333329E-2</v>
      </c>
      <c r="I24" s="94">
        <v>2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0">
        <v>8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6.9444444444444441E-3</v>
      </c>
      <c r="I25" s="94">
        <v>2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38">
        <v>91700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1.9047619047619048E-3</v>
      </c>
      <c r="E27" s="63" t="s">
        <v>90</v>
      </c>
      <c r="F27" s="60" t="s">
        <v>45</v>
      </c>
      <c r="G27" s="47">
        <v>20</v>
      </c>
      <c r="H27" s="133">
        <f>IF(B$17=0,0,G27/B$17)</f>
        <v>0.1388888888888889</v>
      </c>
      <c r="I27" s="94">
        <v>6</v>
      </c>
      <c r="K27" s="38">
        <v>25</v>
      </c>
      <c r="L27" s="99">
        <v>-39.999999999999986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-71.099999999999994</v>
      </c>
    </row>
    <row r="29" spans="1:17" x14ac:dyDescent="0.4">
      <c r="E29" s="63" t="s">
        <v>92</v>
      </c>
      <c r="F29" s="60" t="s">
        <v>47</v>
      </c>
      <c r="G29" s="47">
        <v>3</v>
      </c>
      <c r="H29" s="133">
        <f>IF(B$17=0,0,G29/B$17)</f>
        <v>2.0833333333333332E-2</v>
      </c>
      <c r="I29" s="94">
        <v>3</v>
      </c>
      <c r="K29" s="38">
        <v>27</v>
      </c>
      <c r="L29" s="99">
        <v>-66.199999999999989</v>
      </c>
    </row>
    <row r="30" spans="1:17" x14ac:dyDescent="0.4">
      <c r="E30" s="63" t="s">
        <v>93</v>
      </c>
      <c r="F30" s="60" t="s">
        <v>48</v>
      </c>
      <c r="G30" s="47">
        <v>2</v>
      </c>
      <c r="H30" s="133">
        <f>IF(B$17=0,0,G30/B$17)</f>
        <v>1.3888888888888888E-2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-121.79999999999998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-156.19999999999999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-91.899999999999991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-108.9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-64.099999999999994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180</v>
      </c>
      <c r="F50" s="60" t="s">
        <v>183</v>
      </c>
      <c r="G50" s="47">
        <v>2</v>
      </c>
      <c r="H50" s="133">
        <f>IF(B$17=0,0,G50/B$17)</f>
        <v>1.3888888888888888E-2</v>
      </c>
      <c r="I50" s="94">
        <v>4</v>
      </c>
      <c r="K50" s="38">
        <v>48</v>
      </c>
      <c r="L50" s="99">
        <v>-33.800000000000004</v>
      </c>
    </row>
    <row r="51" spans="5:12" x14ac:dyDescent="0.4">
      <c r="E51" s="64" t="s">
        <v>181</v>
      </c>
      <c r="F51" s="61" t="s">
        <v>182</v>
      </c>
      <c r="G51" s="49">
        <v>54</v>
      </c>
      <c r="H51" s="134">
        <f>IF(B$17=0,0,G51/B$17)</f>
        <v>0.375</v>
      </c>
      <c r="I51" s="95">
        <v>9</v>
      </c>
      <c r="K51" s="38">
        <v>49</v>
      </c>
      <c r="L51" s="99">
        <v>-23.100000000000005</v>
      </c>
    </row>
    <row r="52" spans="5:12" x14ac:dyDescent="0.4"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93.299999999999983</v>
      </c>
    </row>
    <row r="59" spans="5:12" x14ac:dyDescent="0.4">
      <c r="K59" s="38">
        <v>57</v>
      </c>
      <c r="L59" s="99">
        <v>104.69999999999999</v>
      </c>
    </row>
    <row r="60" spans="5:12" x14ac:dyDescent="0.4">
      <c r="K60" s="38">
        <v>58</v>
      </c>
      <c r="L60" s="99">
        <v>72.499999999999986</v>
      </c>
    </row>
    <row r="61" spans="5:12" x14ac:dyDescent="0.4">
      <c r="K61" s="38">
        <v>59</v>
      </c>
      <c r="L61" s="99">
        <v>87.09999999999998</v>
      </c>
    </row>
    <row r="62" spans="5:12" x14ac:dyDescent="0.4">
      <c r="K62" s="38">
        <v>60</v>
      </c>
      <c r="L62" s="99">
        <v>48.399999999999977</v>
      </c>
    </row>
    <row r="63" spans="5:12" x14ac:dyDescent="0.4">
      <c r="K63" s="38">
        <v>61</v>
      </c>
      <c r="L63" s="99">
        <v>45.899999999999977</v>
      </c>
    </row>
    <row r="64" spans="5:12" x14ac:dyDescent="0.4">
      <c r="K64" s="38">
        <v>62</v>
      </c>
      <c r="L64" s="99">
        <v>93.499999999999972</v>
      </c>
    </row>
  </sheetData>
  <sortState ref="E2:I64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99F75-A9A4-43A6-BD10-1A8799F8CC15}">
  <sheetPr codeName="Sheet15"/>
  <dimension ref="A1:Q5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53</v>
      </c>
      <c r="C2" s="147"/>
      <c r="E2" s="62" t="s">
        <v>65</v>
      </c>
      <c r="F2" s="59" t="s">
        <v>21</v>
      </c>
      <c r="G2" s="46">
        <v>60</v>
      </c>
      <c r="H2" s="132">
        <f>IF(B$17=0,0,G2/B$17)</f>
        <v>0.35502958579881655</v>
      </c>
      <c r="I2" s="93">
        <v>13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505.66037735849056</v>
      </c>
      <c r="P2" s="118">
        <v>53</v>
      </c>
      <c r="Q2" s="102">
        <v>26800</v>
      </c>
    </row>
    <row r="3" spans="1:17" x14ac:dyDescent="0.4">
      <c r="A3" s="55" t="s">
        <v>8</v>
      </c>
      <c r="B3" s="148">
        <v>458</v>
      </c>
      <c r="C3" s="149"/>
      <c r="E3" s="63" t="s">
        <v>66</v>
      </c>
      <c r="F3" s="60" t="s">
        <v>22</v>
      </c>
      <c r="G3" s="47">
        <v>17</v>
      </c>
      <c r="H3" s="133">
        <f>IF(B$17=0,0,G3/B$17)</f>
        <v>0.10059171597633136</v>
      </c>
      <c r="I3" s="94">
        <v>5</v>
      </c>
      <c r="K3" s="38">
        <v>1</v>
      </c>
      <c r="L3" s="99">
        <v>11.1</v>
      </c>
      <c r="N3" s="115" t="s">
        <v>133</v>
      </c>
      <c r="O3" s="122">
        <f t="shared" si="0"/>
        <v>226.41509433962264</v>
      </c>
      <c r="P3" s="119">
        <v>53</v>
      </c>
      <c r="Q3" s="103">
        <v>12000</v>
      </c>
    </row>
    <row r="4" spans="1:17" x14ac:dyDescent="0.4">
      <c r="A4" s="55" t="s">
        <v>6</v>
      </c>
      <c r="B4" s="150">
        <v>65.199999999999989</v>
      </c>
      <c r="C4" s="151"/>
      <c r="E4" s="63" t="s">
        <v>67</v>
      </c>
      <c r="F4" s="60" t="s">
        <v>23</v>
      </c>
      <c r="G4" s="47">
        <v>116</v>
      </c>
      <c r="H4" s="133">
        <f>IF(B$17=0,0,G4/B$17)</f>
        <v>0.68639053254437865</v>
      </c>
      <c r="I4" s="94">
        <v>9</v>
      </c>
      <c r="K4" s="38">
        <v>2</v>
      </c>
      <c r="L4" s="99">
        <v>-7.7000000000000011</v>
      </c>
      <c r="N4" s="115" t="s">
        <v>134</v>
      </c>
      <c r="O4" s="122">
        <f t="shared" si="0"/>
        <v>-358.33333333333331</v>
      </c>
      <c r="P4" s="119">
        <v>48</v>
      </c>
      <c r="Q4" s="103">
        <v>-17200</v>
      </c>
    </row>
    <row r="5" spans="1:17" x14ac:dyDescent="0.4">
      <c r="A5" s="55" t="s">
        <v>7</v>
      </c>
      <c r="B5" s="152">
        <f>IF(B$2=0,0,B$4/B$2)</f>
        <v>1.2301886792452827</v>
      </c>
      <c r="C5" s="153"/>
      <c r="E5" s="63" t="s">
        <v>68</v>
      </c>
      <c r="F5" s="60" t="s">
        <v>24</v>
      </c>
      <c r="G5" s="47">
        <v>29</v>
      </c>
      <c r="H5" s="133">
        <f>IF(B$17=0,0,G5/B$17)</f>
        <v>0.17159763313609466</v>
      </c>
      <c r="I5" s="94">
        <v>12</v>
      </c>
      <c r="K5" s="38">
        <v>3</v>
      </c>
      <c r="L5" s="99">
        <v>1.7999999999999989</v>
      </c>
      <c r="N5" s="115" t="s">
        <v>135</v>
      </c>
      <c r="O5" s="122">
        <f t="shared" si="0"/>
        <v>262.22222222222223</v>
      </c>
      <c r="P5" s="119">
        <v>45</v>
      </c>
      <c r="Q5" s="103">
        <v>11800</v>
      </c>
    </row>
    <row r="6" spans="1:17" x14ac:dyDescent="0.4">
      <c r="A6" s="55" t="s">
        <v>1</v>
      </c>
      <c r="B6" s="142">
        <f>IF(B$2=0,0,(B$7*1+B$8*2+B$9*3)/B$2)</f>
        <v>2.0377358490566038</v>
      </c>
      <c r="C6" s="143"/>
      <c r="E6" s="63" t="s">
        <v>69</v>
      </c>
      <c r="F6" s="60" t="s">
        <v>12</v>
      </c>
      <c r="G6" s="47">
        <v>45</v>
      </c>
      <c r="H6" s="133">
        <f>IF(B$17=0,0,G6/B$17)</f>
        <v>0.26627218934911245</v>
      </c>
      <c r="I6" s="94">
        <v>10</v>
      </c>
      <c r="K6" s="38">
        <v>4</v>
      </c>
      <c r="L6" s="99">
        <v>34.9</v>
      </c>
      <c r="N6" s="115" t="s">
        <v>136</v>
      </c>
      <c r="O6" s="122">
        <f t="shared" si="0"/>
        <v>1381.8181818181818</v>
      </c>
      <c r="P6" s="119">
        <v>44</v>
      </c>
      <c r="Q6" s="103">
        <v>60800</v>
      </c>
    </row>
    <row r="7" spans="1:17" x14ac:dyDescent="0.4">
      <c r="A7" s="55" t="s">
        <v>2</v>
      </c>
      <c r="B7" s="47">
        <v>15</v>
      </c>
      <c r="C7" s="39">
        <f>IF(B$2=0,0,B7/B$2)</f>
        <v>0.28301886792452829</v>
      </c>
      <c r="E7" s="63" t="s">
        <v>70</v>
      </c>
      <c r="F7" s="60" t="s">
        <v>25</v>
      </c>
      <c r="G7" s="47">
        <v>24</v>
      </c>
      <c r="H7" s="133">
        <f>IF(B$17=0,0,G7/B$17)</f>
        <v>0.14201183431952663</v>
      </c>
      <c r="I7" s="94">
        <v>9</v>
      </c>
      <c r="K7" s="38">
        <v>5</v>
      </c>
      <c r="L7" s="99">
        <v>29.4</v>
      </c>
      <c r="N7" s="116" t="s">
        <v>137</v>
      </c>
      <c r="O7" s="123">
        <f t="shared" si="0"/>
        <v>-1105.1282051282051</v>
      </c>
      <c r="P7" s="120">
        <v>39</v>
      </c>
      <c r="Q7" s="104">
        <v>-43100</v>
      </c>
    </row>
    <row r="8" spans="1:17" x14ac:dyDescent="0.4">
      <c r="A8" s="55" t="s">
        <v>3</v>
      </c>
      <c r="B8" s="47">
        <v>21</v>
      </c>
      <c r="C8" s="39">
        <f>IF(B$2=0,0,B8/B$2)</f>
        <v>0.39622641509433965</v>
      </c>
      <c r="E8" s="63" t="s">
        <v>71</v>
      </c>
      <c r="F8" s="60" t="s">
        <v>26</v>
      </c>
      <c r="G8" s="47">
        <v>10</v>
      </c>
      <c r="H8" s="133">
        <f>IF(B$17=0,0,G8/B$17)</f>
        <v>5.9171597633136092E-2</v>
      </c>
      <c r="I8" s="94">
        <v>8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17</v>
      </c>
      <c r="C9" s="40">
        <f t="shared" ref="C9" si="1">IF(B$2=0,0,B9/B$2)</f>
        <v>0.32075471698113206</v>
      </c>
      <c r="E9" s="63" t="s">
        <v>72</v>
      </c>
      <c r="F9" s="60" t="s">
        <v>27</v>
      </c>
      <c r="G9" s="47">
        <v>12</v>
      </c>
      <c r="H9" s="133">
        <f>IF(B$17=0,0,G9/B$17)</f>
        <v>7.1005917159763315E-2</v>
      </c>
      <c r="I9" s="94">
        <v>4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5.6603773584905662E-2</v>
      </c>
      <c r="E10" s="63" t="s">
        <v>73</v>
      </c>
      <c r="F10" s="60" t="s">
        <v>28</v>
      </c>
      <c r="G10" s="47">
        <v>100</v>
      </c>
      <c r="H10" s="133">
        <f>IF(B$17=0,0,G10/B$17)</f>
        <v>0.59171597633136097</v>
      </c>
      <c r="I10" s="94">
        <v>3</v>
      </c>
      <c r="K10" s="38">
        <v>8</v>
      </c>
      <c r="L10" s="99">
        <v>-29.5</v>
      </c>
      <c r="N10" s="114" t="s">
        <v>164</v>
      </c>
      <c r="O10" s="124">
        <f>IF(P10=0,0,Q10/P10)</f>
        <v>-9.6466666666666701</v>
      </c>
      <c r="P10" s="118">
        <v>15</v>
      </c>
      <c r="Q10" s="106">
        <v>-144.70000000000005</v>
      </c>
    </row>
    <row r="11" spans="1:17" x14ac:dyDescent="0.4">
      <c r="A11" s="56" t="s">
        <v>140</v>
      </c>
      <c r="B11" s="48">
        <v>6</v>
      </c>
      <c r="C11" s="40">
        <f>IF(B$2=0,0,B11/B$2)</f>
        <v>0.11320754716981132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6</v>
      </c>
      <c r="K11" s="38">
        <v>9</v>
      </c>
      <c r="L11" s="99">
        <v>-56.5</v>
      </c>
      <c r="N11" s="115" t="s">
        <v>165</v>
      </c>
      <c r="O11" s="125">
        <f>IF(P11=0,0,Q11/P11)</f>
        <v>6.7947368421052632</v>
      </c>
      <c r="P11" s="119">
        <v>19</v>
      </c>
      <c r="Q11" s="107">
        <v>129.1</v>
      </c>
    </row>
    <row r="12" spans="1:17" x14ac:dyDescent="0.4">
      <c r="A12" s="57" t="s">
        <v>160</v>
      </c>
      <c r="B12" s="49">
        <v>2</v>
      </c>
      <c r="C12" s="42">
        <f>IF(B$2=0,0,B12/B$2)</f>
        <v>3.7735849056603772E-2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K12" s="38">
        <v>10</v>
      </c>
      <c r="L12" s="99">
        <v>24.200000000000003</v>
      </c>
      <c r="N12" s="116" t="s">
        <v>166</v>
      </c>
      <c r="O12" s="126">
        <f>IF(P12=0,0,Q12/P12)</f>
        <v>4.2526315789473692</v>
      </c>
      <c r="P12" s="120">
        <v>19</v>
      </c>
      <c r="Q12" s="108">
        <v>80.800000000000011</v>
      </c>
    </row>
    <row r="13" spans="1:17" x14ac:dyDescent="0.4">
      <c r="A13" s="58" t="s">
        <v>122</v>
      </c>
      <c r="B13" s="50">
        <v>101</v>
      </c>
      <c r="C13" s="44">
        <f>IF(B$3=0,0,B13/B$3)</f>
        <v>0.2205240174672489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7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137</v>
      </c>
      <c r="C14" s="39">
        <f>IF(B$3=0,0,B14/B$3)</f>
        <v>0.29912663755458513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60</v>
      </c>
      <c r="C15" s="37">
        <f>IF(B$13=0,0,B15/B$13)</f>
        <v>0.59405940594059403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-3</v>
      </c>
      <c r="N15" s="114" t="s">
        <v>129</v>
      </c>
      <c r="O15" s="124">
        <f t="shared" ref="O15:O23" si="2">IF(P15=0,0,Q15/P15)</f>
        <v>46.581818181818157</v>
      </c>
      <c r="P15" s="118">
        <v>11</v>
      </c>
      <c r="Q15" s="106">
        <v>512.39999999999975</v>
      </c>
    </row>
    <row r="16" spans="1:17" x14ac:dyDescent="0.4">
      <c r="A16" s="54" t="s">
        <v>125</v>
      </c>
      <c r="B16" s="46">
        <v>59</v>
      </c>
      <c r="C16" s="37">
        <f>IF(B$14=0,0,B16/B$14)</f>
        <v>0.43065693430656932</v>
      </c>
      <c r="E16" s="63" t="s">
        <v>79</v>
      </c>
      <c r="F16" s="60" t="s">
        <v>34</v>
      </c>
      <c r="G16" s="47">
        <v>2</v>
      </c>
      <c r="H16" s="133">
        <f>IF(B$17=0,0,G16/B$17)</f>
        <v>1.1834319526627219E-2</v>
      </c>
      <c r="I16" s="94">
        <v>10</v>
      </c>
      <c r="K16" s="38">
        <v>14</v>
      </c>
      <c r="L16" s="99">
        <v>-12.3</v>
      </c>
      <c r="N16" s="115" t="s">
        <v>225</v>
      </c>
      <c r="O16" s="125">
        <f t="shared" si="2"/>
        <v>30.3</v>
      </c>
      <c r="P16" s="119">
        <v>1</v>
      </c>
      <c r="Q16" s="107">
        <v>30.3</v>
      </c>
    </row>
    <row r="17" spans="1:17" x14ac:dyDescent="0.4">
      <c r="A17" s="54" t="s">
        <v>10</v>
      </c>
      <c r="B17" s="46">
        <f>B19+B18</f>
        <v>169</v>
      </c>
      <c r="C17" s="37">
        <f>IF(B$3=0,0,B17/B$3)</f>
        <v>0.36899563318777295</v>
      </c>
      <c r="E17" s="63" t="s">
        <v>80</v>
      </c>
      <c r="F17" s="60" t="s">
        <v>35</v>
      </c>
      <c r="G17" s="47">
        <v>2</v>
      </c>
      <c r="H17" s="133">
        <f>IF(B$17=0,0,G17/B$17)</f>
        <v>1.1834319526627219E-2</v>
      </c>
      <c r="I17" s="94">
        <v>6</v>
      </c>
      <c r="K17" s="38">
        <v>15</v>
      </c>
      <c r="L17" s="99">
        <v>-80.3</v>
      </c>
      <c r="N17" s="115" t="s">
        <v>177</v>
      </c>
      <c r="O17" s="125">
        <f t="shared" si="2"/>
        <v>18.733333333333334</v>
      </c>
      <c r="P17" s="119">
        <v>6</v>
      </c>
      <c r="Q17" s="107">
        <v>112.4</v>
      </c>
    </row>
    <row r="18" spans="1:17" x14ac:dyDescent="0.4">
      <c r="A18" s="55" t="s">
        <v>12</v>
      </c>
      <c r="B18" s="47">
        <v>71</v>
      </c>
      <c r="C18" s="39">
        <f>IF(B$17=0,0,B18/B$17)</f>
        <v>0.42011834319526625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-87.6</v>
      </c>
      <c r="N18" s="115" t="s">
        <v>186</v>
      </c>
      <c r="O18" s="125">
        <f t="shared" si="2"/>
        <v>17.349999999999998</v>
      </c>
      <c r="P18" s="119">
        <v>2</v>
      </c>
      <c r="Q18" s="107">
        <v>34.699999999999996</v>
      </c>
    </row>
    <row r="19" spans="1:17" x14ac:dyDescent="0.4">
      <c r="A19" s="55" t="s">
        <v>11</v>
      </c>
      <c r="B19" s="47">
        <v>98</v>
      </c>
      <c r="C19" s="39">
        <f>IF(B$17=0,0,B19/B$17)</f>
        <v>0.57988165680473369</v>
      </c>
      <c r="E19" s="63" t="s">
        <v>82</v>
      </c>
      <c r="F19" s="60" t="s">
        <v>37</v>
      </c>
      <c r="G19" s="47">
        <v>5</v>
      </c>
      <c r="H19" s="133">
        <f>IF(B$17=0,0,G19/B$17)</f>
        <v>2.9585798816568046E-2</v>
      </c>
      <c r="I19" s="94">
        <v>7</v>
      </c>
      <c r="K19" s="38">
        <v>17</v>
      </c>
      <c r="L19" s="99">
        <v>-55.099999999999994</v>
      </c>
      <c r="N19" s="115" t="s">
        <v>202</v>
      </c>
      <c r="O19" s="125">
        <f t="shared" si="2"/>
        <v>16.449999999999996</v>
      </c>
      <c r="P19" s="119">
        <v>4</v>
      </c>
      <c r="Q19" s="107">
        <v>65.799999999999983</v>
      </c>
    </row>
    <row r="20" spans="1:17" x14ac:dyDescent="0.4">
      <c r="A20" s="55" t="s">
        <v>13</v>
      </c>
      <c r="B20" s="47">
        <v>61</v>
      </c>
      <c r="C20" s="39">
        <f>IF(B$3=0,0,B20/B$3)</f>
        <v>0.1331877729257642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-28.199999999999996</v>
      </c>
      <c r="N20" s="115" t="s">
        <v>173</v>
      </c>
      <c r="O20" s="125">
        <f t="shared" si="2"/>
        <v>9.2399999999999984</v>
      </c>
      <c r="P20" s="119">
        <v>10</v>
      </c>
      <c r="Q20" s="107">
        <v>92.399999999999977</v>
      </c>
    </row>
    <row r="21" spans="1:17" x14ac:dyDescent="0.4">
      <c r="A21" s="55" t="s">
        <v>193</v>
      </c>
      <c r="B21" s="47">
        <v>10</v>
      </c>
      <c r="C21" s="135">
        <v>0</v>
      </c>
      <c r="E21" s="63" t="s">
        <v>84</v>
      </c>
      <c r="F21" s="60" t="s">
        <v>39</v>
      </c>
      <c r="G21" s="47">
        <v>8</v>
      </c>
      <c r="H21" s="133">
        <f>IF(B$17=0,0,G21/B$17)</f>
        <v>4.7337278106508875E-2</v>
      </c>
      <c r="I21" s="94">
        <v>5</v>
      </c>
      <c r="K21" s="38">
        <v>19</v>
      </c>
      <c r="L21" s="99">
        <v>29.200000000000003</v>
      </c>
      <c r="N21" s="115" t="s">
        <v>171</v>
      </c>
      <c r="O21" s="125">
        <f t="shared" si="2"/>
        <v>1.0923076923076911</v>
      </c>
      <c r="P21" s="119">
        <v>13</v>
      </c>
      <c r="Q21" s="107">
        <v>14.199999999999983</v>
      </c>
    </row>
    <row r="22" spans="1:17" x14ac:dyDescent="0.4">
      <c r="A22" s="55" t="s">
        <v>194</v>
      </c>
      <c r="B22" s="47">
        <v>23</v>
      </c>
      <c r="C22" s="135">
        <v>3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  <c r="K22" s="38">
        <v>20</v>
      </c>
      <c r="L22" s="99">
        <v>43</v>
      </c>
      <c r="N22" s="115" t="s">
        <v>128</v>
      </c>
      <c r="O22" s="125">
        <f t="shared" si="2"/>
        <v>-1.0700000000000003</v>
      </c>
      <c r="P22" s="119">
        <v>30</v>
      </c>
      <c r="Q22" s="107">
        <v>-32.100000000000009</v>
      </c>
    </row>
    <row r="23" spans="1:17" x14ac:dyDescent="0.4">
      <c r="A23" s="55" t="s">
        <v>5</v>
      </c>
      <c r="B23" s="51">
        <f>IF(B$17=0,0,C23/B$17)</f>
        <v>6523.0769230769229</v>
      </c>
      <c r="C23" s="41">
        <v>1102400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3</v>
      </c>
      <c r="K23" s="38">
        <v>21</v>
      </c>
      <c r="L23" s="99">
        <v>89.9</v>
      </c>
      <c r="N23" s="115" t="s">
        <v>127</v>
      </c>
      <c r="O23" s="125">
        <f t="shared" si="2"/>
        <v>-21.879310344827591</v>
      </c>
      <c r="P23" s="119">
        <v>29</v>
      </c>
      <c r="Q23" s="107">
        <v>-634.50000000000011</v>
      </c>
    </row>
    <row r="24" spans="1:17" x14ac:dyDescent="0.4">
      <c r="A24" s="57" t="s">
        <v>14</v>
      </c>
      <c r="B24" s="52">
        <f>IF(B$20=0,0,C24/B$20)</f>
        <v>-9157.377049180328</v>
      </c>
      <c r="C24" s="45">
        <v>-558600</v>
      </c>
      <c r="E24" s="63" t="s">
        <v>87</v>
      </c>
      <c r="F24" s="60" t="s">
        <v>42</v>
      </c>
      <c r="G24" s="47">
        <v>8</v>
      </c>
      <c r="H24" s="133">
        <f>IF(B$17=0,0,G24/B$17)</f>
        <v>4.7337278106508875E-2</v>
      </c>
      <c r="I24" s="94">
        <v>8</v>
      </c>
      <c r="K24" s="38">
        <v>22</v>
      </c>
      <c r="L24" s="99">
        <v>54.7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5.9171597633136093E-3</v>
      </c>
      <c r="I25" s="94">
        <v>3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38">
        <v>97500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2.1834061135371178E-3</v>
      </c>
      <c r="E27" s="63" t="s">
        <v>90</v>
      </c>
      <c r="F27" s="60" t="s">
        <v>45</v>
      </c>
      <c r="G27" s="47">
        <v>11</v>
      </c>
      <c r="H27" s="133">
        <f>IF(B$17=0,0,G27/B$17)</f>
        <v>6.5088757396449703E-2</v>
      </c>
      <c r="I27" s="94">
        <v>12</v>
      </c>
      <c r="K27" s="38">
        <v>25</v>
      </c>
      <c r="L27" s="99">
        <v>30.400000000000006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32.900000000000006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>IF(B$17=0,0,G29/B$17)</f>
        <v>1.1834319526627219E-2</v>
      </c>
      <c r="I29" s="94">
        <v>6</v>
      </c>
      <c r="K29" s="38">
        <v>27</v>
      </c>
      <c r="L29" s="99">
        <v>40.400000000000006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5</v>
      </c>
      <c r="K30" s="38">
        <v>28</v>
      </c>
      <c r="L30" s="99">
        <v>8.3000000000000043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90.800000000000011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63.300000000000011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114.4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76.900000000000006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30.000000000000007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32.100000000000009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  <c r="K50" s="38">
        <v>48</v>
      </c>
      <c r="L50" s="99">
        <v>111.4</v>
      </c>
    </row>
    <row r="51" spans="5:12" x14ac:dyDescent="0.4">
      <c r="E51" s="64" t="s">
        <v>181</v>
      </c>
      <c r="F51" s="61" t="s">
        <v>182</v>
      </c>
      <c r="G51" s="49">
        <v>70</v>
      </c>
      <c r="H51" s="134">
        <f>IF(B$17=0,0,G51/B$17)</f>
        <v>0.41420118343195267</v>
      </c>
      <c r="I51" s="95">
        <v>5</v>
      </c>
      <c r="K51" s="38">
        <v>49</v>
      </c>
      <c r="L51" s="99">
        <v>113</v>
      </c>
    </row>
    <row r="52" spans="5:12" x14ac:dyDescent="0.4"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</sheetData>
  <sortState ref="E2:I55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10711-F9E4-4AF2-A433-CFFA129B58E0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173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39</v>
      </c>
      <c r="C2" s="147"/>
      <c r="E2" s="62" t="s">
        <v>65</v>
      </c>
      <c r="F2" s="59" t="s">
        <v>21</v>
      </c>
      <c r="G2" s="46">
        <v>47</v>
      </c>
      <c r="H2" s="132">
        <f>IF(B$17=0,0,G2/B$17)</f>
        <v>0.4563106796116505</v>
      </c>
      <c r="I2" s="93">
        <v>12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-2487.1794871794873</v>
      </c>
      <c r="P2" s="118">
        <v>39</v>
      </c>
      <c r="Q2" s="102">
        <v>-97000</v>
      </c>
    </row>
    <row r="3" spans="1:17" x14ac:dyDescent="0.4">
      <c r="A3" s="55" t="s">
        <v>8</v>
      </c>
      <c r="B3" s="148">
        <v>342</v>
      </c>
      <c r="C3" s="149"/>
      <c r="E3" s="63" t="s">
        <v>66</v>
      </c>
      <c r="F3" s="60" t="s">
        <v>22</v>
      </c>
      <c r="G3" s="47">
        <v>8</v>
      </c>
      <c r="H3" s="133">
        <f>IF(B$17=0,0,G3/B$17)</f>
        <v>7.7669902912621352E-2</v>
      </c>
      <c r="I3" s="94">
        <v>7</v>
      </c>
      <c r="K3" s="38">
        <v>1</v>
      </c>
      <c r="L3" s="99">
        <v>-82.6</v>
      </c>
      <c r="N3" s="115" t="s">
        <v>133</v>
      </c>
      <c r="O3" s="122">
        <f t="shared" si="0"/>
        <v>1597.4358974358975</v>
      </c>
      <c r="P3" s="119">
        <v>39</v>
      </c>
      <c r="Q3" s="103">
        <v>62300</v>
      </c>
    </row>
    <row r="4" spans="1:17" x14ac:dyDescent="0.4">
      <c r="A4" s="55" t="s">
        <v>6</v>
      </c>
      <c r="B4" s="150">
        <v>-223.9</v>
      </c>
      <c r="C4" s="151"/>
      <c r="E4" s="63" t="s">
        <v>67</v>
      </c>
      <c r="F4" s="60" t="s">
        <v>23</v>
      </c>
      <c r="G4" s="47">
        <v>73</v>
      </c>
      <c r="H4" s="133">
        <f>IF(B$17=0,0,G4/B$17)</f>
        <v>0.70873786407766992</v>
      </c>
      <c r="I4" s="94">
        <v>8</v>
      </c>
      <c r="K4" s="38">
        <v>2</v>
      </c>
      <c r="L4" s="99">
        <v>-122.3</v>
      </c>
      <c r="N4" s="115" t="s">
        <v>134</v>
      </c>
      <c r="O4" s="122">
        <f t="shared" si="0"/>
        <v>-716.21621621621625</v>
      </c>
      <c r="P4" s="119">
        <v>37</v>
      </c>
      <c r="Q4" s="103">
        <v>-26500</v>
      </c>
    </row>
    <row r="5" spans="1:17" x14ac:dyDescent="0.4">
      <c r="A5" s="55" t="s">
        <v>7</v>
      </c>
      <c r="B5" s="152">
        <f>IF(B$2=0,0,B$4/B$2)</f>
        <v>-5.7410256410256411</v>
      </c>
      <c r="C5" s="153"/>
      <c r="E5" s="63" t="s">
        <v>68</v>
      </c>
      <c r="F5" s="60" t="s">
        <v>24</v>
      </c>
      <c r="G5" s="47">
        <v>26</v>
      </c>
      <c r="H5" s="133">
        <f>IF(B$17=0,0,G5/B$17)</f>
        <v>0.25242718446601942</v>
      </c>
      <c r="I5" s="94">
        <v>11</v>
      </c>
      <c r="K5" s="38">
        <v>3</v>
      </c>
      <c r="L5" s="99">
        <v>-149</v>
      </c>
      <c r="N5" s="115" t="s">
        <v>135</v>
      </c>
      <c r="O5" s="122">
        <f t="shared" si="0"/>
        <v>-4045.7142857142858</v>
      </c>
      <c r="P5" s="119">
        <v>35</v>
      </c>
      <c r="Q5" s="103">
        <v>-141600</v>
      </c>
    </row>
    <row r="6" spans="1:17" x14ac:dyDescent="0.4">
      <c r="A6" s="55" t="s">
        <v>1</v>
      </c>
      <c r="B6" s="142">
        <f>IF(B$2=0,0,(B$7*1+B$8*2+B$9*3)/B$2)</f>
        <v>2.0512820512820511</v>
      </c>
      <c r="C6" s="143"/>
      <c r="E6" s="63" t="s">
        <v>69</v>
      </c>
      <c r="F6" s="60" t="s">
        <v>12</v>
      </c>
      <c r="G6" s="47">
        <v>40</v>
      </c>
      <c r="H6" s="133">
        <f>IF(B$17=0,0,G6/B$17)</f>
        <v>0.38834951456310679</v>
      </c>
      <c r="I6" s="94">
        <v>5</v>
      </c>
      <c r="K6" s="38">
        <v>4</v>
      </c>
      <c r="L6" s="99">
        <v>-150.6</v>
      </c>
      <c r="N6" s="115" t="s">
        <v>136</v>
      </c>
      <c r="O6" s="122">
        <f t="shared" si="0"/>
        <v>145.16129032258064</v>
      </c>
      <c r="P6" s="119">
        <v>31</v>
      </c>
      <c r="Q6" s="103">
        <v>4500</v>
      </c>
    </row>
    <row r="7" spans="1:17" x14ac:dyDescent="0.4">
      <c r="A7" s="55" t="s">
        <v>2</v>
      </c>
      <c r="B7" s="47">
        <v>11</v>
      </c>
      <c r="C7" s="39">
        <f>IF(B$2=0,0,B7/B$2)</f>
        <v>0.28205128205128205</v>
      </c>
      <c r="E7" s="63" t="s">
        <v>70</v>
      </c>
      <c r="F7" s="60" t="s">
        <v>25</v>
      </c>
      <c r="G7" s="47">
        <v>11</v>
      </c>
      <c r="H7" s="133">
        <f>IF(B$17=0,0,G7/B$17)</f>
        <v>0.10679611650485436</v>
      </c>
      <c r="I7" s="94">
        <v>10</v>
      </c>
      <c r="K7" s="38">
        <v>5</v>
      </c>
      <c r="L7" s="99">
        <v>-184.89999999999998</v>
      </c>
      <c r="N7" s="116" t="s">
        <v>137</v>
      </c>
      <c r="O7" s="123">
        <f t="shared" si="0"/>
        <v>680</v>
      </c>
      <c r="P7" s="120">
        <v>30</v>
      </c>
      <c r="Q7" s="104">
        <v>20400</v>
      </c>
    </row>
    <row r="8" spans="1:17" x14ac:dyDescent="0.4">
      <c r="A8" s="55" t="s">
        <v>3</v>
      </c>
      <c r="B8" s="47">
        <v>15</v>
      </c>
      <c r="C8" s="39">
        <f>IF(B$2=0,0,B8/B$2)</f>
        <v>0.38461538461538464</v>
      </c>
      <c r="E8" s="63" t="s">
        <v>71</v>
      </c>
      <c r="F8" s="60" t="s">
        <v>26</v>
      </c>
      <c r="G8" s="47">
        <v>13</v>
      </c>
      <c r="H8" s="133">
        <f>IF(B$17=0,0,G8/B$17)</f>
        <v>0.12621359223300971</v>
      </c>
      <c r="I8" s="94">
        <v>3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13</v>
      </c>
      <c r="C9" s="40">
        <f t="shared" ref="C9" si="1">IF(B$2=0,0,B9/B$2)</f>
        <v>0.33333333333333331</v>
      </c>
      <c r="E9" s="63" t="s">
        <v>72</v>
      </c>
      <c r="F9" s="60" t="s">
        <v>27</v>
      </c>
      <c r="G9" s="47">
        <v>6</v>
      </c>
      <c r="H9" s="133">
        <f>IF(B$17=0,0,G9/B$17)</f>
        <v>5.8252427184466021E-2</v>
      </c>
      <c r="I9" s="94">
        <v>7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4</v>
      </c>
      <c r="C10" s="40">
        <f>IF(B$2=0,0,B10/B$2)</f>
        <v>0.10256410256410256</v>
      </c>
      <c r="E10" s="63" t="s">
        <v>73</v>
      </c>
      <c r="F10" s="60" t="s">
        <v>28</v>
      </c>
      <c r="G10" s="47">
        <v>53</v>
      </c>
      <c r="H10" s="133">
        <f>IF(B$17=0,0,G10/B$17)</f>
        <v>0.5145631067961165</v>
      </c>
      <c r="I10" s="94">
        <v>7</v>
      </c>
      <c r="K10" s="38">
        <v>8</v>
      </c>
      <c r="L10" s="99">
        <v>-219.59999999999997</v>
      </c>
      <c r="N10" s="114" t="s">
        <v>164</v>
      </c>
      <c r="O10" s="124">
        <f>IF(P10=0,0,Q10/P10)</f>
        <v>-7</v>
      </c>
      <c r="P10" s="118">
        <v>10</v>
      </c>
      <c r="Q10" s="106">
        <v>-70</v>
      </c>
    </row>
    <row r="11" spans="1:17" x14ac:dyDescent="0.4">
      <c r="A11" s="56" t="s">
        <v>140</v>
      </c>
      <c r="B11" s="48">
        <v>2</v>
      </c>
      <c r="C11" s="40">
        <f>IF(B$2=0,0,B11/B$2)</f>
        <v>5.128205128205128E-2</v>
      </c>
      <c r="E11" s="63" t="s">
        <v>74</v>
      </c>
      <c r="F11" s="60" t="s">
        <v>29</v>
      </c>
      <c r="G11" s="47">
        <v>2</v>
      </c>
      <c r="H11" s="133">
        <f>IF(B$17=0,0,G11/B$17)</f>
        <v>1.9417475728155338E-2</v>
      </c>
      <c r="I11" s="94">
        <v>2</v>
      </c>
      <c r="K11" s="38">
        <v>9</v>
      </c>
      <c r="L11" s="99">
        <v>-260.59999999999997</v>
      </c>
      <c r="N11" s="115" t="s">
        <v>165</v>
      </c>
      <c r="O11" s="125">
        <f>IF(P11=0,0,Q11/P11)</f>
        <v>-5.2111111111111104</v>
      </c>
      <c r="P11" s="119">
        <v>18</v>
      </c>
      <c r="Q11" s="107">
        <v>-93.799999999999983</v>
      </c>
    </row>
    <row r="12" spans="1:17" x14ac:dyDescent="0.4">
      <c r="A12" s="57" t="s">
        <v>160</v>
      </c>
      <c r="B12" s="49">
        <v>1</v>
      </c>
      <c r="C12" s="42">
        <f>IF(B$2=0,0,B12/B$2)</f>
        <v>2.564102564102564E-2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K12" s="38">
        <v>10</v>
      </c>
      <c r="L12" s="99">
        <v>-318.39999999999998</v>
      </c>
      <c r="N12" s="116" t="s">
        <v>166</v>
      </c>
      <c r="O12" s="126">
        <f>IF(P12=0,0,Q12/P12)</f>
        <v>-5.4636363636363621</v>
      </c>
      <c r="P12" s="120">
        <v>11</v>
      </c>
      <c r="Q12" s="108">
        <v>-60.099999999999987</v>
      </c>
    </row>
    <row r="13" spans="1:17" x14ac:dyDescent="0.4">
      <c r="A13" s="58" t="s">
        <v>122</v>
      </c>
      <c r="B13" s="50">
        <v>80</v>
      </c>
      <c r="C13" s="44">
        <f>IF(B$3=0,0,B13/B$3)</f>
        <v>0.23391812865497075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7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85</v>
      </c>
      <c r="C14" s="39">
        <f>IF(B$3=0,0,B14/B$3)</f>
        <v>0.24853801169590642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48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-302.59999999999997</v>
      </c>
      <c r="N15" s="114" t="s">
        <v>129</v>
      </c>
      <c r="O15" s="124">
        <f t="shared" ref="O15:O22" si="2">IF(P15=0,0,Q15/P15)</f>
        <v>30.3</v>
      </c>
      <c r="P15" s="118">
        <v>7</v>
      </c>
      <c r="Q15" s="106">
        <v>212.1</v>
      </c>
    </row>
    <row r="16" spans="1:17" x14ac:dyDescent="0.4">
      <c r="A16" s="54" t="s">
        <v>125</v>
      </c>
      <c r="B16" s="46">
        <v>29</v>
      </c>
      <c r="C16" s="37">
        <f>IF(B$14=0,0,B16/B$14)</f>
        <v>0.3411764705882353</v>
      </c>
      <c r="E16" s="63" t="s">
        <v>79</v>
      </c>
      <c r="F16" s="60" t="s">
        <v>34</v>
      </c>
      <c r="G16" s="47">
        <v>2</v>
      </c>
      <c r="H16" s="133">
        <f>IF(B$17=0,0,G16/B$17)</f>
        <v>1.9417475728155338E-2</v>
      </c>
      <c r="I16" s="94">
        <v>6</v>
      </c>
      <c r="K16" s="38">
        <v>14</v>
      </c>
      <c r="L16" s="99">
        <v>-269.99999999999994</v>
      </c>
      <c r="N16" s="115" t="s">
        <v>128</v>
      </c>
      <c r="O16" s="125">
        <f t="shared" si="2"/>
        <v>3.6750000000000016</v>
      </c>
      <c r="P16" s="119">
        <v>20</v>
      </c>
      <c r="Q16" s="107">
        <v>73.500000000000028</v>
      </c>
    </row>
    <row r="17" spans="1:17" x14ac:dyDescent="0.4">
      <c r="A17" s="54" t="s">
        <v>10</v>
      </c>
      <c r="B17" s="46">
        <f>B19+B18</f>
        <v>103</v>
      </c>
      <c r="C17" s="37">
        <f>IF(B$3=0,0,B17/B$3)</f>
        <v>0.30116959064327486</v>
      </c>
      <c r="E17" s="63" t="s">
        <v>80</v>
      </c>
      <c r="F17" s="60" t="s">
        <v>35</v>
      </c>
      <c r="G17" s="47">
        <v>2</v>
      </c>
      <c r="H17" s="133">
        <f>IF(B$17=0,0,G17/B$17)</f>
        <v>1.9417475728155338E-2</v>
      </c>
      <c r="I17" s="94">
        <v>3</v>
      </c>
      <c r="K17" s="38">
        <v>15</v>
      </c>
      <c r="L17" s="99">
        <v>-264.59999999999997</v>
      </c>
      <c r="N17" s="115" t="s">
        <v>172</v>
      </c>
      <c r="O17" s="125">
        <f t="shared" si="2"/>
        <v>-9.2399999999999984</v>
      </c>
      <c r="P17" s="119">
        <v>10</v>
      </c>
      <c r="Q17" s="107">
        <v>-92.399999999999977</v>
      </c>
    </row>
    <row r="18" spans="1:17" x14ac:dyDescent="0.4">
      <c r="A18" s="55" t="s">
        <v>12</v>
      </c>
      <c r="B18" s="47">
        <v>53</v>
      </c>
      <c r="C18" s="39">
        <f>IF(B$17=0,0,B18/B$17)</f>
        <v>0.5145631067961165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-292.79999999999995</v>
      </c>
      <c r="N18" s="115" t="s">
        <v>171</v>
      </c>
      <c r="O18" s="125">
        <f t="shared" si="2"/>
        <v>-13.774999999999999</v>
      </c>
      <c r="P18" s="119">
        <v>16</v>
      </c>
      <c r="Q18" s="107">
        <v>-220.39999999999998</v>
      </c>
    </row>
    <row r="19" spans="1:17" x14ac:dyDescent="0.4">
      <c r="A19" s="55" t="s">
        <v>11</v>
      </c>
      <c r="B19" s="47">
        <v>50</v>
      </c>
      <c r="C19" s="39">
        <f>IF(B$17=0,0,B19/B$17)</f>
        <v>0.4854368932038835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K19" s="38">
        <v>17</v>
      </c>
      <c r="L19" s="99">
        <v>-248.89999999999995</v>
      </c>
      <c r="N19" s="115" t="s">
        <v>127</v>
      </c>
      <c r="O19" s="125">
        <f t="shared" si="2"/>
        <v>-22.754999999999995</v>
      </c>
      <c r="P19" s="119">
        <v>20</v>
      </c>
      <c r="Q19" s="107">
        <v>-455.09999999999991</v>
      </c>
    </row>
    <row r="20" spans="1:17" x14ac:dyDescent="0.4">
      <c r="A20" s="55" t="s">
        <v>13</v>
      </c>
      <c r="B20" s="47">
        <v>65</v>
      </c>
      <c r="C20" s="39">
        <f>IF(B$3=0,0,B20/B$3)</f>
        <v>0.19005847953216373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-218.99999999999994</v>
      </c>
      <c r="N20" s="115" t="s">
        <v>177</v>
      </c>
      <c r="O20" s="125">
        <f t="shared" si="2"/>
        <v>-33.6</v>
      </c>
      <c r="P20" s="119">
        <v>3</v>
      </c>
      <c r="Q20" s="107">
        <v>-100.80000000000001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84</v>
      </c>
      <c r="F21" s="60" t="s">
        <v>39</v>
      </c>
      <c r="G21" s="47">
        <v>2</v>
      </c>
      <c r="H21" s="133">
        <f>IF(B$17=0,0,G21/B$17)</f>
        <v>1.9417475728155338E-2</v>
      </c>
      <c r="I21" s="94">
        <v>9</v>
      </c>
      <c r="K21" s="38">
        <v>19</v>
      </c>
      <c r="L21" s="99">
        <v>-188.59999999999994</v>
      </c>
      <c r="N21" s="115" t="s">
        <v>202</v>
      </c>
      <c r="O21" s="125">
        <f t="shared" si="2"/>
        <v>-43.1</v>
      </c>
      <c r="P21" s="119">
        <v>1</v>
      </c>
      <c r="Q21" s="107">
        <v>-43.1</v>
      </c>
    </row>
    <row r="22" spans="1:17" x14ac:dyDescent="0.4">
      <c r="A22" s="55" t="s">
        <v>194</v>
      </c>
      <c r="B22" s="47">
        <v>24</v>
      </c>
      <c r="C22" s="135">
        <v>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  <c r="K22" s="38">
        <v>20</v>
      </c>
      <c r="L22" s="99">
        <v>-182.79999999999993</v>
      </c>
      <c r="N22" s="115" t="s">
        <v>185</v>
      </c>
      <c r="O22" s="125">
        <f t="shared" si="2"/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6838.8349514563106</v>
      </c>
      <c r="C23" s="41">
        <v>704400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3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-7690.7692307692305</v>
      </c>
      <c r="C24" s="45">
        <v>-499900</v>
      </c>
      <c r="E24" s="63" t="s">
        <v>87</v>
      </c>
      <c r="F24" s="60" t="s">
        <v>42</v>
      </c>
      <c r="G24" s="47">
        <v>4</v>
      </c>
      <c r="H24" s="133">
        <f>IF(B$17=0,0,G24/B$17)</f>
        <v>3.8834951456310676E-2</v>
      </c>
      <c r="I24" s="94">
        <v>9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0">
        <v>6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38">
        <v>85900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5.8479532163742687E-3</v>
      </c>
      <c r="E27" s="63" t="s">
        <v>90</v>
      </c>
      <c r="F27" s="60" t="s">
        <v>45</v>
      </c>
      <c r="G27" s="47">
        <v>12</v>
      </c>
      <c r="H27" s="133">
        <f>IF(B$17=0,0,G27/B$17)</f>
        <v>0.11650485436893204</v>
      </c>
      <c r="I27" s="94">
        <v>9</v>
      </c>
      <c r="K27" s="38">
        <v>25</v>
      </c>
      <c r="L27" s="99">
        <v>-344.29999999999995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-285.09999999999997</v>
      </c>
    </row>
    <row r="29" spans="1:17" x14ac:dyDescent="0.4">
      <c r="E29" s="63" t="s">
        <v>92</v>
      </c>
      <c r="F29" s="60" t="s">
        <v>47</v>
      </c>
      <c r="G29" s="47">
        <v>1</v>
      </c>
      <c r="H29" s="133">
        <f>IF(B$17=0,0,G29/B$17)</f>
        <v>9.7087378640776691E-3</v>
      </c>
      <c r="I29" s="94">
        <v>8</v>
      </c>
      <c r="K29" s="38">
        <v>27</v>
      </c>
      <c r="L29" s="99">
        <v>-257.39999999999998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5</v>
      </c>
      <c r="K30" s="38">
        <v>28</v>
      </c>
      <c r="L30" s="99">
        <v>-248.2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-177.29999999999998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-202.79999999999998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-226.29999999999998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-194.1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-234.4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-223.9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1</v>
      </c>
      <c r="H50" s="133">
        <f>IF(B$17=0,0,G50/B$17)</f>
        <v>9.7087378640776691E-3</v>
      </c>
      <c r="I50" s="94">
        <v>5</v>
      </c>
    </row>
    <row r="51" spans="5:9" x14ac:dyDescent="0.4">
      <c r="E51" s="64" t="s">
        <v>181</v>
      </c>
      <c r="F51" s="61" t="s">
        <v>182</v>
      </c>
      <c r="G51" s="49">
        <v>38</v>
      </c>
      <c r="H51" s="134">
        <f>IF(B$17=0,0,G51/B$17)</f>
        <v>0.36893203883495146</v>
      </c>
      <c r="I51" s="95">
        <v>10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3AF2F-8C90-485B-BD2B-28D912A0493C}">
  <sheetPr codeName="Sheet1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29</v>
      </c>
      <c r="C2" s="147"/>
      <c r="E2" s="62" t="s">
        <v>65</v>
      </c>
      <c r="F2" s="59" t="s">
        <v>21</v>
      </c>
      <c r="G2" s="46">
        <v>36</v>
      </c>
      <c r="H2" s="132">
        <f>IF(B$17=0,0,G2/B$17)</f>
        <v>0.53731343283582089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-1686.2068965517242</v>
      </c>
      <c r="P2" s="118">
        <v>29</v>
      </c>
      <c r="Q2" s="102">
        <v>-48900</v>
      </c>
    </row>
    <row r="3" spans="1:17" x14ac:dyDescent="0.4">
      <c r="A3" s="55" t="s">
        <v>8</v>
      </c>
      <c r="B3" s="148">
        <v>241</v>
      </c>
      <c r="C3" s="149"/>
      <c r="E3" s="63" t="s">
        <v>66</v>
      </c>
      <c r="F3" s="60" t="s">
        <v>22</v>
      </c>
      <c r="G3" s="47">
        <v>5</v>
      </c>
      <c r="H3" s="133">
        <f>IF(B$17=0,0,G3/B$17)</f>
        <v>7.4626865671641784E-2</v>
      </c>
      <c r="I3" s="94">
        <v>8</v>
      </c>
      <c r="K3" s="38">
        <v>1</v>
      </c>
      <c r="L3" s="99">
        <v>-1.9</v>
      </c>
      <c r="N3" s="115" t="s">
        <v>133</v>
      </c>
      <c r="O3" s="122">
        <f t="shared" si="0"/>
        <v>-910.71428571428567</v>
      </c>
      <c r="P3" s="119">
        <v>28</v>
      </c>
      <c r="Q3" s="103">
        <v>-25500</v>
      </c>
    </row>
    <row r="4" spans="1:17" x14ac:dyDescent="0.4">
      <c r="A4" s="55" t="s">
        <v>6</v>
      </c>
      <c r="B4" s="150">
        <v>-178.6</v>
      </c>
      <c r="C4" s="151"/>
      <c r="E4" s="63" t="s">
        <v>67</v>
      </c>
      <c r="F4" s="60" t="s">
        <v>23</v>
      </c>
      <c r="G4" s="47">
        <v>33</v>
      </c>
      <c r="H4" s="133">
        <f>IF(B$17=0,0,G4/B$17)</f>
        <v>0.4925373134328358</v>
      </c>
      <c r="I4" s="94">
        <v>12</v>
      </c>
      <c r="K4" s="38">
        <v>2</v>
      </c>
      <c r="L4" s="99">
        <v>30</v>
      </c>
      <c r="N4" s="115" t="s">
        <v>134</v>
      </c>
      <c r="O4" s="122">
        <f t="shared" si="0"/>
        <v>-1573.0769230769231</v>
      </c>
      <c r="P4" s="119">
        <v>26</v>
      </c>
      <c r="Q4" s="103">
        <v>-40900</v>
      </c>
    </row>
    <row r="5" spans="1:17" x14ac:dyDescent="0.4">
      <c r="A5" s="55" t="s">
        <v>7</v>
      </c>
      <c r="B5" s="152">
        <f>IF(B$2=0,0,B$4/B$2)</f>
        <v>-6.1586206896551721</v>
      </c>
      <c r="C5" s="153"/>
      <c r="E5" s="63" t="s">
        <v>68</v>
      </c>
      <c r="F5" s="60" t="s">
        <v>24</v>
      </c>
      <c r="G5" s="47">
        <v>19</v>
      </c>
      <c r="H5" s="133">
        <f>IF(B$17=0,0,G5/B$17)</f>
        <v>0.28358208955223879</v>
      </c>
      <c r="I5" s="94">
        <v>10</v>
      </c>
      <c r="K5" s="38">
        <v>3</v>
      </c>
      <c r="L5" s="99">
        <v>-10</v>
      </c>
      <c r="N5" s="115" t="s">
        <v>135</v>
      </c>
      <c r="O5" s="122">
        <f t="shared" si="0"/>
        <v>788</v>
      </c>
      <c r="P5" s="119">
        <v>25</v>
      </c>
      <c r="Q5" s="103">
        <v>19700</v>
      </c>
    </row>
    <row r="6" spans="1:17" x14ac:dyDescent="0.4">
      <c r="A6" s="55" t="s">
        <v>1</v>
      </c>
      <c r="B6" s="142">
        <f>IF(B$2=0,0,(B$7*1+B$8*2+B$9*3)/B$2)</f>
        <v>2.0344827586206895</v>
      </c>
      <c r="C6" s="143"/>
      <c r="E6" s="63" t="s">
        <v>69</v>
      </c>
      <c r="F6" s="60" t="s">
        <v>12</v>
      </c>
      <c r="G6" s="47">
        <v>17</v>
      </c>
      <c r="H6" s="133">
        <f>IF(B$17=0,0,G6/B$17)</f>
        <v>0.2537313432835821</v>
      </c>
      <c r="I6" s="94">
        <v>12</v>
      </c>
      <c r="K6" s="38">
        <v>4</v>
      </c>
      <c r="L6" s="99">
        <v>40</v>
      </c>
      <c r="N6" s="115" t="s">
        <v>136</v>
      </c>
      <c r="O6" s="122">
        <f t="shared" si="0"/>
        <v>-1350</v>
      </c>
      <c r="P6" s="119">
        <v>22</v>
      </c>
      <c r="Q6" s="103">
        <v>-29700</v>
      </c>
    </row>
    <row r="7" spans="1:17" x14ac:dyDescent="0.4">
      <c r="A7" s="55" t="s">
        <v>2</v>
      </c>
      <c r="B7" s="47">
        <v>10</v>
      </c>
      <c r="C7" s="39">
        <f>IF(B$2=0,0,B7/B$2)</f>
        <v>0.34482758620689657</v>
      </c>
      <c r="E7" s="63" t="s">
        <v>70</v>
      </c>
      <c r="F7" s="60" t="s">
        <v>25</v>
      </c>
      <c r="G7" s="47">
        <v>10</v>
      </c>
      <c r="H7" s="133">
        <f>IF(B$17=0,0,G7/B$17)</f>
        <v>0.14925373134328357</v>
      </c>
      <c r="I7" s="94">
        <v>8</v>
      </c>
      <c r="K7" s="38">
        <v>5</v>
      </c>
      <c r="L7" s="99">
        <v>35.4</v>
      </c>
      <c r="N7" s="116" t="s">
        <v>137</v>
      </c>
      <c r="O7" s="123">
        <f t="shared" si="0"/>
        <v>257.89473684210526</v>
      </c>
      <c r="P7" s="120">
        <v>19</v>
      </c>
      <c r="Q7" s="104">
        <v>4900</v>
      </c>
    </row>
    <row r="8" spans="1:17" x14ac:dyDescent="0.4">
      <c r="A8" s="55" t="s">
        <v>3</v>
      </c>
      <c r="B8" s="47">
        <v>8</v>
      </c>
      <c r="C8" s="39">
        <f>IF(B$2=0,0,B8/B$2)</f>
        <v>0.27586206896551724</v>
      </c>
      <c r="E8" s="63" t="s">
        <v>71</v>
      </c>
      <c r="F8" s="60" t="s">
        <v>26</v>
      </c>
      <c r="G8" s="47">
        <v>3</v>
      </c>
      <c r="H8" s="133">
        <f>IF(B$17=0,0,G8/B$17)</f>
        <v>4.4776119402985072E-2</v>
      </c>
      <c r="I8" s="94">
        <v>9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11</v>
      </c>
      <c r="C9" s="40">
        <f t="shared" ref="C9" si="1">IF(B$2=0,0,B9/B$2)</f>
        <v>0.37931034482758619</v>
      </c>
      <c r="E9" s="63" t="s">
        <v>72</v>
      </c>
      <c r="F9" s="60" t="s">
        <v>27</v>
      </c>
      <c r="G9" s="47">
        <v>3</v>
      </c>
      <c r="H9" s="133">
        <f>IF(B$17=0,0,G9/B$17)</f>
        <v>4.4776119402985072E-2</v>
      </c>
      <c r="I9" s="94">
        <v>9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6</v>
      </c>
      <c r="C10" s="40">
        <f>IF(B$2=0,0,B10/B$2)</f>
        <v>0.20689655172413793</v>
      </c>
      <c r="E10" s="63" t="s">
        <v>73</v>
      </c>
      <c r="F10" s="60" t="s">
        <v>28</v>
      </c>
      <c r="G10" s="47">
        <v>35</v>
      </c>
      <c r="H10" s="133">
        <f>IF(B$17=0,0,G10/B$17)</f>
        <v>0.52238805970149249</v>
      </c>
      <c r="I10" s="94">
        <v>6</v>
      </c>
      <c r="K10" s="38">
        <v>8</v>
      </c>
      <c r="L10" s="99">
        <v>-87.1</v>
      </c>
      <c r="N10" s="114" t="s">
        <v>164</v>
      </c>
      <c r="O10" s="124">
        <f>IF(P10=0,0,Q10/P10)</f>
        <v>-5.7500000000000027</v>
      </c>
      <c r="P10" s="118">
        <v>6</v>
      </c>
      <c r="Q10" s="106">
        <v>-34.500000000000014</v>
      </c>
    </row>
    <row r="11" spans="1:17" x14ac:dyDescent="0.4">
      <c r="A11" s="56" t="s">
        <v>140</v>
      </c>
      <c r="B11" s="48">
        <v>1</v>
      </c>
      <c r="C11" s="40">
        <f>IF(B$2=0,0,B11/B$2)</f>
        <v>3.4482758620689655E-2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6</v>
      </c>
      <c r="K11" s="38">
        <v>9</v>
      </c>
      <c r="L11" s="99">
        <v>-128.6</v>
      </c>
      <c r="N11" s="115" t="s">
        <v>165</v>
      </c>
      <c r="O11" s="125">
        <f>IF(P11=0,0,Q11/P11)</f>
        <v>-9.61</v>
      </c>
      <c r="P11" s="119">
        <v>10</v>
      </c>
      <c r="Q11" s="107">
        <v>-96.1</v>
      </c>
    </row>
    <row r="12" spans="1:17" x14ac:dyDescent="0.4">
      <c r="A12" s="57" t="s">
        <v>160</v>
      </c>
      <c r="B12" s="49">
        <v>3</v>
      </c>
      <c r="C12" s="42">
        <f>IF(B$2=0,0,B12/B$2)</f>
        <v>0.10344827586206896</v>
      </c>
      <c r="E12" s="63" t="s">
        <v>75</v>
      </c>
      <c r="F12" s="60" t="s">
        <v>30</v>
      </c>
      <c r="G12" s="47">
        <v>1</v>
      </c>
      <c r="H12" s="133">
        <f>IF(B$17=0,0,G12/B$17)</f>
        <v>1.4925373134328358E-2</v>
      </c>
      <c r="I12" s="94">
        <v>1</v>
      </c>
      <c r="K12" s="38">
        <v>10</v>
      </c>
      <c r="L12" s="99">
        <v>-183.7</v>
      </c>
      <c r="N12" s="116" t="s">
        <v>166</v>
      </c>
      <c r="O12" s="126">
        <f>IF(P12=0,0,Q12/P12)</f>
        <v>-3.6923076923076916</v>
      </c>
      <c r="P12" s="120">
        <v>13</v>
      </c>
      <c r="Q12" s="108">
        <v>-47.999999999999993</v>
      </c>
    </row>
    <row r="13" spans="1:17" x14ac:dyDescent="0.4">
      <c r="A13" s="58" t="s">
        <v>122</v>
      </c>
      <c r="B13" s="50">
        <v>51</v>
      </c>
      <c r="C13" s="44">
        <f>IF(B$3=0,0,B13/B$3)</f>
        <v>0.21161825726141079</v>
      </c>
      <c r="E13" s="63" t="s">
        <v>76</v>
      </c>
      <c r="F13" s="60" t="s">
        <v>31</v>
      </c>
      <c r="G13" s="47">
        <v>1</v>
      </c>
      <c r="H13" s="133">
        <f>IF(B$17=0,0,G13/B$17)</f>
        <v>1.4925373134328358E-2</v>
      </c>
      <c r="I13" s="94">
        <v>2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52</v>
      </c>
      <c r="C14" s="39">
        <f>IF(B$3=0,0,B14/B$3)</f>
        <v>0.21576763485477179</v>
      </c>
      <c r="E14" s="63" t="s">
        <v>77</v>
      </c>
      <c r="F14" s="60" t="s">
        <v>32</v>
      </c>
      <c r="G14" s="47">
        <v>1</v>
      </c>
      <c r="H14" s="133">
        <f>IF(B$17=0,0,G14/B$17)</f>
        <v>1.4925373134328358E-2</v>
      </c>
      <c r="I14" s="94">
        <v>1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35</v>
      </c>
      <c r="C15" s="37">
        <f>IF(B$13=0,0,B15/B$13)</f>
        <v>0.68627450980392157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-209.59999999999997</v>
      </c>
      <c r="N15" s="114" t="s">
        <v>202</v>
      </c>
      <c r="O15" s="124">
        <f t="shared" ref="O15:O23" si="2">IF(P15=0,0,Q15/P15)</f>
        <v>81.5</v>
      </c>
      <c r="P15" s="118">
        <v>1</v>
      </c>
      <c r="Q15" s="106">
        <v>81.5</v>
      </c>
    </row>
    <row r="16" spans="1:17" x14ac:dyDescent="0.4">
      <c r="A16" s="54" t="s">
        <v>125</v>
      </c>
      <c r="B16" s="46">
        <v>20</v>
      </c>
      <c r="C16" s="37">
        <f>IF(B$14=0,0,B16/B$14)</f>
        <v>0.38461538461538464</v>
      </c>
      <c r="E16" s="63" t="s">
        <v>79</v>
      </c>
      <c r="F16" s="60" t="s">
        <v>34</v>
      </c>
      <c r="G16" s="47">
        <v>1</v>
      </c>
      <c r="H16" s="133">
        <f>IF(B$17=0,0,G16/B$17)</f>
        <v>1.4925373134328358E-2</v>
      </c>
      <c r="I16" s="94">
        <v>8</v>
      </c>
      <c r="K16" s="38">
        <v>14</v>
      </c>
      <c r="L16" s="99">
        <v>-178.49999999999997</v>
      </c>
      <c r="N16" s="115" t="s">
        <v>186</v>
      </c>
      <c r="O16" s="125">
        <f t="shared" si="2"/>
        <v>60.800000000000004</v>
      </c>
      <c r="P16" s="119">
        <v>2</v>
      </c>
      <c r="Q16" s="107">
        <v>121.60000000000001</v>
      </c>
    </row>
    <row r="17" spans="1:17" x14ac:dyDescent="0.4">
      <c r="A17" s="54" t="s">
        <v>10</v>
      </c>
      <c r="B17" s="46">
        <f>B19+B18</f>
        <v>67</v>
      </c>
      <c r="C17" s="37">
        <f>IF(B$3=0,0,B17/B$3)</f>
        <v>0.27800829875518673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9</v>
      </c>
      <c r="K17" s="38">
        <v>15</v>
      </c>
      <c r="L17" s="99">
        <v>-146.19999999999999</v>
      </c>
      <c r="N17" s="115" t="s">
        <v>173</v>
      </c>
      <c r="O17" s="125">
        <f t="shared" si="2"/>
        <v>33.6</v>
      </c>
      <c r="P17" s="119">
        <v>3</v>
      </c>
      <c r="Q17" s="107">
        <v>100.80000000000001</v>
      </c>
    </row>
    <row r="18" spans="1:17" x14ac:dyDescent="0.4">
      <c r="A18" s="55" t="s">
        <v>12</v>
      </c>
      <c r="B18" s="47">
        <v>28</v>
      </c>
      <c r="C18" s="39">
        <f>IF(B$17=0,0,B18/B$17)</f>
        <v>0.41791044776119401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-153.29999999999998</v>
      </c>
      <c r="N18" s="115" t="s">
        <v>128</v>
      </c>
      <c r="O18" s="125">
        <f t="shared" si="2"/>
        <v>-0.99473684210526236</v>
      </c>
      <c r="P18" s="119">
        <v>19</v>
      </c>
      <c r="Q18" s="107">
        <v>-18.899999999999984</v>
      </c>
    </row>
    <row r="19" spans="1:17" x14ac:dyDescent="0.4">
      <c r="A19" s="55" t="s">
        <v>11</v>
      </c>
      <c r="B19" s="47">
        <v>39</v>
      </c>
      <c r="C19" s="39">
        <f>IF(B$17=0,0,B19/B$17)</f>
        <v>0.58208955223880599</v>
      </c>
      <c r="E19" s="63" t="s">
        <v>82</v>
      </c>
      <c r="F19" s="60" t="s">
        <v>37</v>
      </c>
      <c r="G19" s="47">
        <v>3</v>
      </c>
      <c r="H19" s="133">
        <f>IF(B$17=0,0,G19/B$17)</f>
        <v>4.4776119402985072E-2</v>
      </c>
      <c r="I19" s="94">
        <v>3</v>
      </c>
      <c r="K19" s="38">
        <v>17</v>
      </c>
      <c r="L19" s="99">
        <v>-161.19999999999999</v>
      </c>
      <c r="N19" s="115" t="s">
        <v>172</v>
      </c>
      <c r="O19" s="125">
        <f t="shared" si="2"/>
        <v>-18.733333333333338</v>
      </c>
      <c r="P19" s="119">
        <v>6</v>
      </c>
      <c r="Q19" s="107">
        <v>-112.40000000000002</v>
      </c>
    </row>
    <row r="20" spans="1:17" x14ac:dyDescent="0.4">
      <c r="A20" s="55" t="s">
        <v>13</v>
      </c>
      <c r="B20" s="47">
        <v>41</v>
      </c>
      <c r="C20" s="39">
        <f>IF(B$3=0,0,B20/B$3)</f>
        <v>0.17012448132780084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-159</v>
      </c>
      <c r="N20" s="115" t="s">
        <v>171</v>
      </c>
      <c r="O20" s="125">
        <f t="shared" si="2"/>
        <v>-19.38</v>
      </c>
      <c r="P20" s="119">
        <v>5</v>
      </c>
      <c r="Q20" s="107">
        <v>-96.899999999999991</v>
      </c>
    </row>
    <row r="21" spans="1:17" x14ac:dyDescent="0.4">
      <c r="A21" s="55" t="s">
        <v>193</v>
      </c>
      <c r="B21" s="47">
        <v>4</v>
      </c>
      <c r="C21" s="135">
        <v>1</v>
      </c>
      <c r="E21" s="63" t="s">
        <v>84</v>
      </c>
      <c r="F21" s="60" t="s">
        <v>39</v>
      </c>
      <c r="G21" s="47">
        <v>4</v>
      </c>
      <c r="H21" s="133">
        <f>IF(B$17=0,0,G21/B$17)</f>
        <v>5.9701492537313432E-2</v>
      </c>
      <c r="I21" s="94">
        <v>2</v>
      </c>
      <c r="K21" s="38">
        <v>19</v>
      </c>
      <c r="L21" s="99">
        <v>-235.6</v>
      </c>
      <c r="N21" s="115" t="s">
        <v>129</v>
      </c>
      <c r="O21" s="125">
        <f t="shared" si="2"/>
        <v>-21.775000000000002</v>
      </c>
      <c r="P21" s="119">
        <v>8</v>
      </c>
      <c r="Q21" s="107">
        <v>-174.20000000000002</v>
      </c>
    </row>
    <row r="22" spans="1:17" x14ac:dyDescent="0.4">
      <c r="A22" s="55" t="s">
        <v>194</v>
      </c>
      <c r="B22" s="47">
        <v>21</v>
      </c>
      <c r="C22" s="135">
        <v>6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  <c r="K22" s="38">
        <v>20</v>
      </c>
      <c r="L22" s="99">
        <v>-200.8</v>
      </c>
      <c r="N22" s="115" t="s">
        <v>127</v>
      </c>
      <c r="O22" s="125">
        <f t="shared" si="2"/>
        <v>-27.290909090909096</v>
      </c>
      <c r="P22" s="119">
        <v>11</v>
      </c>
      <c r="Q22" s="107">
        <v>-300.20000000000005</v>
      </c>
    </row>
    <row r="23" spans="1:17" x14ac:dyDescent="0.4">
      <c r="A23" s="55" t="s">
        <v>5</v>
      </c>
      <c r="B23" s="51">
        <f>IF(B$17=0,0,C23/B$17)</f>
        <v>7370.1492537313434</v>
      </c>
      <c r="C23" s="41">
        <v>493800</v>
      </c>
      <c r="E23" s="63" t="s">
        <v>86</v>
      </c>
      <c r="F23" s="60" t="s">
        <v>41</v>
      </c>
      <c r="G23" s="47">
        <v>1</v>
      </c>
      <c r="H23" s="133">
        <f>IF(B$17=0,0,G23/B$17)</f>
        <v>1.4925373134328358E-2</v>
      </c>
      <c r="I23" s="94">
        <v>1</v>
      </c>
      <c r="K23" s="38">
        <v>21</v>
      </c>
      <c r="L23" s="99">
        <v>-188.60000000000002</v>
      </c>
      <c r="N23" s="115" t="s">
        <v>185</v>
      </c>
      <c r="O23" s="125">
        <f t="shared" si="2"/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-7792.6829268292686</v>
      </c>
      <c r="C24" s="45">
        <v>-319500</v>
      </c>
      <c r="E24" s="63" t="s">
        <v>87</v>
      </c>
      <c r="F24" s="60" t="s">
        <v>42</v>
      </c>
      <c r="G24" s="47">
        <v>1</v>
      </c>
      <c r="H24" s="133">
        <f>IF(B$17=0,0,G24/B$17)</f>
        <v>1.4925373134328358E-2</v>
      </c>
      <c r="I24" s="94">
        <v>10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38">
        <v>67500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2</v>
      </c>
      <c r="C27" s="42">
        <f>IF(B$3=0,0,B27/B$3)</f>
        <v>8.2987551867219917E-3</v>
      </c>
      <c r="E27" s="63" t="s">
        <v>90</v>
      </c>
      <c r="F27" s="60" t="s">
        <v>45</v>
      </c>
      <c r="G27" s="47">
        <v>9</v>
      </c>
      <c r="H27" s="133">
        <f>IF(B$17=0,0,G27/B$17)</f>
        <v>0.13432835820895522</v>
      </c>
      <c r="I27" s="94">
        <v>7</v>
      </c>
      <c r="K27" s="38">
        <v>25</v>
      </c>
      <c r="L27" s="99">
        <v>-151.5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  <c r="K28" s="38">
        <v>26</v>
      </c>
      <c r="L28" s="99">
        <v>-202.1</v>
      </c>
    </row>
    <row r="29" spans="1:17" x14ac:dyDescent="0.4">
      <c r="E29" s="63" t="s">
        <v>92</v>
      </c>
      <c r="F29" s="60" t="s">
        <v>47</v>
      </c>
      <c r="G29" s="47">
        <v>4</v>
      </c>
      <c r="H29" s="133">
        <f>IF(B$17=0,0,G29/B$17)</f>
        <v>5.9701492537313432E-2</v>
      </c>
      <c r="I29" s="94">
        <v>1</v>
      </c>
      <c r="K29" s="38">
        <v>27</v>
      </c>
      <c r="L29" s="99">
        <v>-167.8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5</v>
      </c>
      <c r="K30" s="38">
        <v>28</v>
      </c>
      <c r="L30" s="99">
        <v>-224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5</v>
      </c>
      <c r="K31" s="38">
        <v>29</v>
      </c>
      <c r="L31" s="99">
        <v>-178.6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23</v>
      </c>
      <c r="H51" s="134">
        <f>IF(B$17=0,0,G51/B$17)</f>
        <v>0.34328358208955223</v>
      </c>
      <c r="I51" s="95">
        <v>11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C6EEB-8B21-40E7-B8EA-811F805E8CBF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48">
        <v>19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10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0">
        <v>61</v>
      </c>
      <c r="C4" s="151"/>
      <c r="E4" s="63" t="s">
        <v>67</v>
      </c>
      <c r="F4" s="60" t="s">
        <v>23</v>
      </c>
      <c r="G4" s="47">
        <v>3</v>
      </c>
      <c r="H4" s="133">
        <f>IF(B$17=0,0,G4/B$17)</f>
        <v>0.6</v>
      </c>
      <c r="I4" s="94">
        <v>10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2">
        <f>IF(B$2=0,0,B$4/B$2)</f>
        <v>20.333333333333332</v>
      </c>
      <c r="C5" s="153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5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2">
        <f>IF(B$2=0,0,(B$7*1+B$8*2+B$9*3)/B$2)</f>
        <v>1.3333333333333333</v>
      </c>
      <c r="C6" s="143"/>
      <c r="E6" s="63" t="s">
        <v>69</v>
      </c>
      <c r="F6" s="60" t="s">
        <v>12</v>
      </c>
      <c r="G6" s="47">
        <v>1</v>
      </c>
      <c r="H6" s="133">
        <f>IF(B$17=0,0,G6/B$17)</f>
        <v>0.2</v>
      </c>
      <c r="I6" s="94">
        <v>13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70</v>
      </c>
      <c r="F7" s="60" t="s">
        <v>25</v>
      </c>
      <c r="G7" s="47">
        <v>1</v>
      </c>
      <c r="H7" s="133">
        <f>IF(B$17=0,0,G7/B$17)</f>
        <v>0.2</v>
      </c>
      <c r="I7" s="94">
        <v>5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1</v>
      </c>
      <c r="H9" s="133">
        <f>IF(B$17=0,0,G9/B$17)</f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3</v>
      </c>
      <c r="H10" s="133">
        <f>IF(B$17=0,0,G10/B$17)</f>
        <v>0.6</v>
      </c>
      <c r="I10" s="94">
        <v>2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6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186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9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10</v>
      </c>
    </row>
    <row r="22" spans="1:17" x14ac:dyDescent="0.4">
      <c r="A22" s="55" t="s">
        <v>194</v>
      </c>
      <c r="B22" s="47">
        <v>12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3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87</v>
      </c>
      <c r="F24" s="60" t="s">
        <v>42</v>
      </c>
      <c r="G24" s="47">
        <v>1</v>
      </c>
      <c r="H24" s="133">
        <f>IF(B$17=0,0,G24/B$17)</f>
        <v>0.2</v>
      </c>
      <c r="I24" s="94">
        <v>1</v>
      </c>
    </row>
    <row r="25" spans="1:17" x14ac:dyDescent="0.4">
      <c r="A25" s="90" t="s">
        <v>142</v>
      </c>
      <c r="B25" s="140">
        <v>3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17" x14ac:dyDescent="0.4">
      <c r="A26" s="58" t="s">
        <v>152</v>
      </c>
      <c r="B26" s="138">
        <v>53500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2</v>
      </c>
      <c r="H51" s="134">
        <f>IF(B$17=0,0,G51/B$17)</f>
        <v>0.4</v>
      </c>
      <c r="I51" s="95">
        <v>8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F55D7-4FF9-4E46-A6D6-62FA74016378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186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10</v>
      </c>
      <c r="C2" s="147"/>
      <c r="E2" s="62" t="s">
        <v>65</v>
      </c>
      <c r="F2" s="59" t="s">
        <v>21</v>
      </c>
      <c r="G2" s="46">
        <v>10</v>
      </c>
      <c r="H2" s="132">
        <f>IF(B$17=0,0,G2/B$17)</f>
        <v>0.5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-1860</v>
      </c>
      <c r="P2" s="118">
        <v>10</v>
      </c>
      <c r="Q2" s="102">
        <v>-18600</v>
      </c>
    </row>
    <row r="3" spans="1:17" x14ac:dyDescent="0.4">
      <c r="A3" s="55" t="s">
        <v>8</v>
      </c>
      <c r="B3" s="148">
        <v>85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10</v>
      </c>
      <c r="K3" s="38">
        <v>1</v>
      </c>
      <c r="L3" s="99">
        <v>-43.7</v>
      </c>
      <c r="N3" s="115" t="s">
        <v>133</v>
      </c>
      <c r="O3" s="122">
        <f t="shared" si="0"/>
        <v>-2160</v>
      </c>
      <c r="P3" s="119">
        <v>10</v>
      </c>
      <c r="Q3" s="103">
        <v>-21600</v>
      </c>
    </row>
    <row r="4" spans="1:17" x14ac:dyDescent="0.4">
      <c r="A4" s="55" t="s">
        <v>6</v>
      </c>
      <c r="B4" s="150">
        <v>-197.5</v>
      </c>
      <c r="C4" s="151"/>
      <c r="E4" s="63" t="s">
        <v>67</v>
      </c>
      <c r="F4" s="60" t="s">
        <v>23</v>
      </c>
      <c r="G4" s="47">
        <v>16</v>
      </c>
      <c r="H4" s="133">
        <f>IF(B$17=0,0,G4/B$17)</f>
        <v>0.8</v>
      </c>
      <c r="I4" s="94">
        <v>3</v>
      </c>
      <c r="K4" s="38">
        <v>2</v>
      </c>
      <c r="L4" s="99">
        <v>-76.2</v>
      </c>
      <c r="N4" s="115" t="s">
        <v>134</v>
      </c>
      <c r="O4" s="122">
        <f t="shared" si="0"/>
        <v>-990</v>
      </c>
      <c r="P4" s="119">
        <v>10</v>
      </c>
      <c r="Q4" s="103">
        <v>-9900</v>
      </c>
    </row>
    <row r="5" spans="1:17" x14ac:dyDescent="0.4">
      <c r="A5" s="55" t="s">
        <v>7</v>
      </c>
      <c r="B5" s="152">
        <f>IF(B$2=0,0,B$4/B$2)</f>
        <v>-19.75</v>
      </c>
      <c r="C5" s="153"/>
      <c r="E5" s="63" t="s">
        <v>68</v>
      </c>
      <c r="F5" s="60" t="s">
        <v>24</v>
      </c>
      <c r="G5" s="47">
        <v>2</v>
      </c>
      <c r="H5" s="133">
        <f>IF(B$17=0,0,G5/B$17)</f>
        <v>0.1</v>
      </c>
      <c r="I5" s="94">
        <v>13</v>
      </c>
      <c r="K5" s="38">
        <v>3</v>
      </c>
      <c r="L5" s="99">
        <v>-78.400000000000006</v>
      </c>
      <c r="N5" s="115" t="s">
        <v>135</v>
      </c>
      <c r="O5" s="122">
        <f t="shared" si="0"/>
        <v>-5388.8888888888887</v>
      </c>
      <c r="P5" s="119">
        <v>9</v>
      </c>
      <c r="Q5" s="103">
        <v>-48500</v>
      </c>
    </row>
    <row r="6" spans="1:17" x14ac:dyDescent="0.4">
      <c r="A6" s="55" t="s">
        <v>1</v>
      </c>
      <c r="B6" s="142">
        <f>IF(B$2=0,0,(B$7*1+B$8*2+B$9*3)/B$2)</f>
        <v>2.2999999999999998</v>
      </c>
      <c r="C6" s="143"/>
      <c r="E6" s="63" t="s">
        <v>69</v>
      </c>
      <c r="F6" s="60" t="s">
        <v>12</v>
      </c>
      <c r="G6" s="47">
        <v>6</v>
      </c>
      <c r="H6" s="133">
        <f>IF(B$17=0,0,G6/B$17)</f>
        <v>0.3</v>
      </c>
      <c r="I6" s="94">
        <v>8</v>
      </c>
      <c r="K6" s="38">
        <v>4</v>
      </c>
      <c r="L6" s="99">
        <v>-49.800000000000004</v>
      </c>
      <c r="N6" s="115" t="s">
        <v>136</v>
      </c>
      <c r="O6" s="122">
        <f t="shared" si="0"/>
        <v>1077.7777777777778</v>
      </c>
      <c r="P6" s="119">
        <v>9</v>
      </c>
      <c r="Q6" s="103">
        <v>9700</v>
      </c>
    </row>
    <row r="7" spans="1:17" x14ac:dyDescent="0.4">
      <c r="A7" s="55" t="s">
        <v>2</v>
      </c>
      <c r="B7" s="47">
        <v>3</v>
      </c>
      <c r="C7" s="39">
        <f>IF(B$2=0,0,B7/B$2)</f>
        <v>0.3</v>
      </c>
      <c r="E7" s="63" t="s">
        <v>70</v>
      </c>
      <c r="F7" s="60" t="s">
        <v>25</v>
      </c>
      <c r="G7" s="47">
        <v>2</v>
      </c>
      <c r="H7" s="133">
        <f>IF(B$17=0,0,G7/B$17)</f>
        <v>0.1</v>
      </c>
      <c r="I7" s="94">
        <v>11</v>
      </c>
      <c r="K7" s="38">
        <v>5</v>
      </c>
      <c r="L7" s="99">
        <v>-121</v>
      </c>
      <c r="N7" s="116" t="s">
        <v>137</v>
      </c>
      <c r="O7" s="123">
        <f t="shared" si="0"/>
        <v>-5400</v>
      </c>
      <c r="P7" s="120">
        <v>9</v>
      </c>
      <c r="Q7" s="104">
        <v>-48600</v>
      </c>
    </row>
    <row r="8" spans="1:17" x14ac:dyDescent="0.4">
      <c r="A8" s="55" t="s">
        <v>3</v>
      </c>
      <c r="B8" s="47">
        <v>1</v>
      </c>
      <c r="C8" s="39">
        <f>IF(B$2=0,0,B8/B$2)</f>
        <v>0.1</v>
      </c>
      <c r="E8" s="63" t="s">
        <v>71</v>
      </c>
      <c r="F8" s="60" t="s">
        <v>26</v>
      </c>
      <c r="G8" s="47">
        <v>2</v>
      </c>
      <c r="H8" s="133">
        <f>IF(B$17=0,0,G8/B$17)</f>
        <v>0.1</v>
      </c>
      <c r="I8" s="94">
        <v>7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6</v>
      </c>
      <c r="C9" s="40">
        <f t="shared" ref="C9" si="1">IF(B$2=0,0,B9/B$2)</f>
        <v>0.6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10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0.2</v>
      </c>
      <c r="E10" s="63" t="s">
        <v>73</v>
      </c>
      <c r="F10" s="60" t="s">
        <v>28</v>
      </c>
      <c r="G10" s="47">
        <v>16</v>
      </c>
      <c r="H10" s="133">
        <f>IF(B$17=0,0,G10/B$17)</f>
        <v>0.8</v>
      </c>
      <c r="I10" s="94">
        <v>1</v>
      </c>
      <c r="K10" s="38">
        <v>8</v>
      </c>
      <c r="L10" s="99">
        <v>-170.5</v>
      </c>
      <c r="N10" s="114" t="s">
        <v>164</v>
      </c>
      <c r="O10" s="124">
        <f>IF(P10=0,0,Q10/P10)</f>
        <v>-43.233333333333327</v>
      </c>
      <c r="P10" s="118">
        <v>3</v>
      </c>
      <c r="Q10" s="106">
        <v>-129.69999999999999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1</v>
      </c>
      <c r="H11" s="133">
        <f>IF(B$17=0,0,G11/B$17)</f>
        <v>0.05</v>
      </c>
      <c r="I11" s="94">
        <v>1</v>
      </c>
      <c r="K11" s="38">
        <v>9</v>
      </c>
      <c r="L11" s="99">
        <v>-228.1</v>
      </c>
      <c r="N11" s="115" t="s">
        <v>165</v>
      </c>
      <c r="O11" s="125">
        <f>IF(P11=0,0,Q11/P11)</f>
        <v>-17.350000000000001</v>
      </c>
      <c r="P11" s="119">
        <v>4</v>
      </c>
      <c r="Q11" s="107">
        <v>-69.400000000000006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K12" s="38">
        <v>10</v>
      </c>
      <c r="L12" s="99">
        <v>-197.5</v>
      </c>
      <c r="N12" s="116" t="s">
        <v>166</v>
      </c>
      <c r="O12" s="126">
        <f>IF(P12=0,0,Q12/P12)</f>
        <v>0.53333333333333377</v>
      </c>
      <c r="P12" s="120">
        <v>3</v>
      </c>
      <c r="Q12" s="108">
        <v>1.6000000000000014</v>
      </c>
    </row>
    <row r="13" spans="1:17" x14ac:dyDescent="0.4">
      <c r="A13" s="58" t="s">
        <v>122</v>
      </c>
      <c r="B13" s="50">
        <v>18</v>
      </c>
      <c r="C13" s="44">
        <f>IF(B$3=0,0,B13/B$3)</f>
        <v>0.21176470588235294</v>
      </c>
      <c r="E13" s="63" t="s">
        <v>76</v>
      </c>
      <c r="F13" s="60" t="s">
        <v>31</v>
      </c>
      <c r="G13" s="47">
        <v>1</v>
      </c>
      <c r="H13" s="133">
        <f>IF(B$17=0,0,G13/B$17)</f>
        <v>0.05</v>
      </c>
      <c r="I13" s="94">
        <v>1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</v>
      </c>
      <c r="C14" s="39">
        <f>IF(B$3=0,0,B14/B$3)</f>
        <v>0.2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10</v>
      </c>
      <c r="C15" s="37">
        <f>IF(B$13=0,0,B15/B$13)</f>
        <v>0.55555555555555558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129</v>
      </c>
      <c r="O15" s="124">
        <f t="shared" ref="O15:O21" si="2">IF(P15=0,0,Q15/P15)</f>
        <v>72.3</v>
      </c>
      <c r="P15" s="118">
        <v>1</v>
      </c>
      <c r="Q15" s="106">
        <v>72.3</v>
      </c>
    </row>
    <row r="16" spans="1:17" x14ac:dyDescent="0.4">
      <c r="A16" s="54" t="s">
        <v>125</v>
      </c>
      <c r="B16" s="46">
        <v>8</v>
      </c>
      <c r="C16" s="37">
        <f>IF(B$14=0,0,B16/B$14)</f>
        <v>0.47058823529411764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172</v>
      </c>
      <c r="O16" s="125">
        <f t="shared" si="2"/>
        <v>-17.350000000000001</v>
      </c>
      <c r="P16" s="119">
        <v>2</v>
      </c>
      <c r="Q16" s="107">
        <v>-34.700000000000003</v>
      </c>
    </row>
    <row r="17" spans="1:17" x14ac:dyDescent="0.4">
      <c r="A17" s="54" t="s">
        <v>10</v>
      </c>
      <c r="B17" s="46">
        <f>B19+B18</f>
        <v>20</v>
      </c>
      <c r="C17" s="37">
        <f>IF(B$3=0,0,B17/B$3)</f>
        <v>0.23529411764705882</v>
      </c>
      <c r="E17" s="63" t="s">
        <v>80</v>
      </c>
      <c r="F17" s="60" t="s">
        <v>35</v>
      </c>
      <c r="G17" s="47">
        <v>2</v>
      </c>
      <c r="H17" s="133">
        <f>IF(B$17=0,0,G17/B$17)</f>
        <v>0.1</v>
      </c>
      <c r="I17" s="94">
        <v>1</v>
      </c>
      <c r="N17" s="115" t="s">
        <v>128</v>
      </c>
      <c r="O17" s="125">
        <f t="shared" si="2"/>
        <v>-22.25</v>
      </c>
      <c r="P17" s="119">
        <v>6</v>
      </c>
      <c r="Q17" s="107">
        <v>-133.5</v>
      </c>
    </row>
    <row r="18" spans="1:17" x14ac:dyDescent="0.4">
      <c r="A18" s="55" t="s">
        <v>12</v>
      </c>
      <c r="B18" s="47">
        <v>11</v>
      </c>
      <c r="C18" s="39">
        <f>IF(B$17=0,0,B18/B$17)</f>
        <v>0.55000000000000004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171</v>
      </c>
      <c r="O18" s="125">
        <f t="shared" si="2"/>
        <v>-25.400000000000002</v>
      </c>
      <c r="P18" s="119">
        <v>2</v>
      </c>
      <c r="Q18" s="107">
        <v>-50.800000000000004</v>
      </c>
    </row>
    <row r="19" spans="1:17" x14ac:dyDescent="0.4">
      <c r="A19" s="55" t="s">
        <v>11</v>
      </c>
      <c r="B19" s="47">
        <v>9</v>
      </c>
      <c r="C19" s="39">
        <f>IF(B$17=0,0,B19/B$17)</f>
        <v>0.45</v>
      </c>
      <c r="E19" s="63" t="s">
        <v>82</v>
      </c>
      <c r="F19" s="60" t="s">
        <v>37</v>
      </c>
      <c r="G19" s="47">
        <v>1</v>
      </c>
      <c r="H19" s="133">
        <f>IF(B$17=0,0,G19/B$17)</f>
        <v>0.05</v>
      </c>
      <c r="I19" s="94">
        <v>2</v>
      </c>
      <c r="N19" s="115" t="s">
        <v>127</v>
      </c>
      <c r="O19" s="125">
        <f t="shared" si="2"/>
        <v>-42.43333333333333</v>
      </c>
      <c r="P19" s="119">
        <v>6</v>
      </c>
      <c r="Q19" s="107">
        <v>-254.6</v>
      </c>
    </row>
    <row r="20" spans="1:17" x14ac:dyDescent="0.4">
      <c r="A20" s="55" t="s">
        <v>13</v>
      </c>
      <c r="B20" s="47">
        <v>23</v>
      </c>
      <c r="C20" s="39">
        <f>IF(B$3=0,0,B20/B$3)</f>
        <v>0.27058823529411763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177</v>
      </c>
      <c r="O20" s="125">
        <f t="shared" si="2"/>
        <v>-60.800000000000004</v>
      </c>
      <c r="P20" s="119">
        <v>2</v>
      </c>
      <c r="Q20" s="107">
        <v>-121.60000000000001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84</v>
      </c>
      <c r="F21" s="60" t="s">
        <v>39</v>
      </c>
      <c r="G21" s="47">
        <v>3</v>
      </c>
      <c r="H21" s="133">
        <f>IF(B$17=0,0,G21/B$17)</f>
        <v>0.15</v>
      </c>
      <c r="I21" s="94">
        <v>1</v>
      </c>
      <c r="N21" s="115" t="s">
        <v>185</v>
      </c>
      <c r="O21" s="125">
        <f t="shared" si="2"/>
        <v>-69.599999999999994</v>
      </c>
      <c r="P21" s="119">
        <v>1</v>
      </c>
      <c r="Q21" s="107">
        <v>-69.599999999999994</v>
      </c>
    </row>
    <row r="22" spans="1:17" x14ac:dyDescent="0.4">
      <c r="A22" s="55" t="s">
        <v>194</v>
      </c>
      <c r="B22" s="47">
        <v>10</v>
      </c>
      <c r="C22" s="135">
        <v>4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17" x14ac:dyDescent="0.4">
      <c r="A23" s="55" t="s">
        <v>5</v>
      </c>
      <c r="B23" s="51">
        <f>IF(B$17=0,0,C23/B$17)</f>
        <v>7365</v>
      </c>
      <c r="C23" s="41">
        <v>147300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3</v>
      </c>
    </row>
    <row r="24" spans="1:17" x14ac:dyDescent="0.4">
      <c r="A24" s="57" t="s">
        <v>14</v>
      </c>
      <c r="B24" s="52">
        <f>IF(B$20=0,0,C24/B$20)</f>
        <v>-7686.95652173913</v>
      </c>
      <c r="C24" s="45">
        <v>-176800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0">
        <v>5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17" x14ac:dyDescent="0.4">
      <c r="A26" s="58" t="s">
        <v>152</v>
      </c>
      <c r="B26" s="138">
        <v>62700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4</v>
      </c>
      <c r="H27" s="133">
        <f>IF(B$17=0,0,G27/B$17)</f>
        <v>0.2</v>
      </c>
      <c r="I27" s="94">
        <v>3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5</v>
      </c>
      <c r="H51" s="134">
        <f>IF(B$17=0,0,G51/B$17)</f>
        <v>0.25</v>
      </c>
      <c r="I51" s="95">
        <v>13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1C6E7-3C48-4D43-B558-DE3E6A7C1F3A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202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</v>
      </c>
      <c r="C2" s="147"/>
      <c r="E2" s="62" t="s">
        <v>65</v>
      </c>
      <c r="F2" s="59" t="s">
        <v>21</v>
      </c>
      <c r="G2" s="46">
        <v>7</v>
      </c>
      <c r="H2" s="132">
        <f>IF(B$17=0,0,G2/B$17)</f>
        <v>0.58333333333333337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-5040</v>
      </c>
      <c r="P2" s="118">
        <v>5</v>
      </c>
      <c r="Q2" s="102">
        <v>-25200</v>
      </c>
    </row>
    <row r="3" spans="1:17" x14ac:dyDescent="0.4">
      <c r="A3" s="55" t="s">
        <v>8</v>
      </c>
      <c r="B3" s="148">
        <v>50</v>
      </c>
      <c r="C3" s="149"/>
      <c r="E3" s="63" t="s">
        <v>66</v>
      </c>
      <c r="F3" s="60" t="s">
        <v>22</v>
      </c>
      <c r="G3" s="47">
        <v>1</v>
      </c>
      <c r="H3" s="133">
        <f>IF(B$17=0,0,G3/B$17)</f>
        <v>8.3333333333333329E-2</v>
      </c>
      <c r="I3" s="94">
        <v>6</v>
      </c>
      <c r="K3" s="38">
        <v>1</v>
      </c>
      <c r="L3" s="99">
        <v>-12.5</v>
      </c>
      <c r="N3" s="115" t="s">
        <v>133</v>
      </c>
      <c r="O3" s="122">
        <f t="shared" si="0"/>
        <v>5560</v>
      </c>
      <c r="P3" s="119">
        <v>5</v>
      </c>
      <c r="Q3" s="103">
        <v>27800</v>
      </c>
    </row>
    <row r="4" spans="1:17" x14ac:dyDescent="0.4">
      <c r="A4" s="55" t="s">
        <v>6</v>
      </c>
      <c r="B4" s="150">
        <v>-16.100000000000005</v>
      </c>
      <c r="C4" s="151"/>
      <c r="E4" s="63" t="s">
        <v>67</v>
      </c>
      <c r="F4" s="60" t="s">
        <v>23</v>
      </c>
      <c r="G4" s="47">
        <v>7</v>
      </c>
      <c r="H4" s="133">
        <f>IF(B$17=0,0,G4/B$17)</f>
        <v>0.58333333333333337</v>
      </c>
      <c r="I4" s="94">
        <v>11</v>
      </c>
      <c r="K4" s="38">
        <v>2</v>
      </c>
      <c r="L4" s="99">
        <v>-28.1</v>
      </c>
      <c r="N4" s="115" t="s">
        <v>134</v>
      </c>
      <c r="O4" s="122">
        <f t="shared" si="0"/>
        <v>-3320</v>
      </c>
      <c r="P4" s="119">
        <v>5</v>
      </c>
      <c r="Q4" s="103">
        <v>-16600</v>
      </c>
    </row>
    <row r="5" spans="1:17" x14ac:dyDescent="0.4">
      <c r="A5" s="55" t="s">
        <v>7</v>
      </c>
      <c r="B5" s="152">
        <f>IF(B$2=0,0,B$4/B$2)</f>
        <v>-3.2200000000000011</v>
      </c>
      <c r="C5" s="153"/>
      <c r="E5" s="63" t="s">
        <v>68</v>
      </c>
      <c r="F5" s="60" t="s">
        <v>24</v>
      </c>
      <c r="G5" s="47">
        <v>7</v>
      </c>
      <c r="H5" s="133">
        <f>IF(B$17=0,0,G5/B$17)</f>
        <v>0.58333333333333337</v>
      </c>
      <c r="I5" s="94">
        <v>2</v>
      </c>
      <c r="K5" s="38">
        <v>3</v>
      </c>
      <c r="L5" s="99">
        <v>-20.400000000000002</v>
      </c>
      <c r="N5" s="115" t="s">
        <v>135</v>
      </c>
      <c r="O5" s="122">
        <f t="shared" si="0"/>
        <v>-3500</v>
      </c>
      <c r="P5" s="119">
        <v>5</v>
      </c>
      <c r="Q5" s="103">
        <v>-17500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5</v>
      </c>
      <c r="H6" s="133">
        <f>IF(B$17=0,0,G6/B$17)</f>
        <v>0.41666666666666669</v>
      </c>
      <c r="I6" s="94">
        <v>3</v>
      </c>
      <c r="K6" s="38">
        <v>4</v>
      </c>
      <c r="L6" s="99">
        <v>19.399999999999995</v>
      </c>
      <c r="N6" s="115" t="s">
        <v>136</v>
      </c>
      <c r="O6" s="122">
        <f t="shared" si="0"/>
        <v>4325</v>
      </c>
      <c r="P6" s="119">
        <v>4</v>
      </c>
      <c r="Q6" s="103">
        <v>17300</v>
      </c>
    </row>
    <row r="7" spans="1:17" x14ac:dyDescent="0.4">
      <c r="A7" s="55" t="s">
        <v>2</v>
      </c>
      <c r="B7" s="47">
        <v>1</v>
      </c>
      <c r="C7" s="39">
        <f>IF(B$2=0,0,B7/B$2)</f>
        <v>0.2</v>
      </c>
      <c r="E7" s="63" t="s">
        <v>70</v>
      </c>
      <c r="F7" s="60" t="s">
        <v>25</v>
      </c>
      <c r="G7" s="47">
        <v>5</v>
      </c>
      <c r="H7" s="133">
        <f>IF(B$17=0,0,G7/B$17)</f>
        <v>0.41666666666666669</v>
      </c>
      <c r="I7" s="94">
        <v>1</v>
      </c>
      <c r="K7" s="38">
        <v>5</v>
      </c>
      <c r="L7" s="99">
        <v>-16.100000000000005</v>
      </c>
      <c r="N7" s="116" t="s">
        <v>137</v>
      </c>
      <c r="O7" s="123">
        <f t="shared" si="0"/>
        <v>-475</v>
      </c>
      <c r="P7" s="120">
        <v>4</v>
      </c>
      <c r="Q7" s="104">
        <v>-1900</v>
      </c>
    </row>
    <row r="8" spans="1:17" x14ac:dyDescent="0.4">
      <c r="A8" s="55" t="s">
        <v>3</v>
      </c>
      <c r="B8" s="47">
        <v>3</v>
      </c>
      <c r="C8" s="39">
        <f>IF(B$2=0,0,B8/B$2)</f>
        <v>0.6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0.2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10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7</v>
      </c>
      <c r="H10" s="133">
        <f>IF(B$17=0,0,G10/B$17)</f>
        <v>0.58333333333333337</v>
      </c>
      <c r="I10" s="94">
        <v>4</v>
      </c>
      <c r="N10" s="114" t="s">
        <v>164</v>
      </c>
      <c r="O10" s="124">
        <f>IF(P10=0,0,Q10/P10)</f>
        <v>-15.6</v>
      </c>
      <c r="P10" s="118">
        <v>1</v>
      </c>
      <c r="Q10" s="106">
        <v>-15.6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6</v>
      </c>
      <c r="N11" s="115" t="s">
        <v>165</v>
      </c>
      <c r="O11" s="125">
        <f>IF(P11=0,0,Q11/P11)</f>
        <v>7.7</v>
      </c>
      <c r="P11" s="119">
        <v>1</v>
      </c>
      <c r="Q11" s="107">
        <v>7.7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N12" s="116" t="s">
        <v>166</v>
      </c>
      <c r="O12" s="126">
        <f>IF(P12=0,0,Q12/P12)</f>
        <v>-2.7333333333333343</v>
      </c>
      <c r="P12" s="120">
        <v>3</v>
      </c>
      <c r="Q12" s="108">
        <v>-8.2000000000000028</v>
      </c>
    </row>
    <row r="13" spans="1:17" x14ac:dyDescent="0.4">
      <c r="A13" s="58" t="s">
        <v>122</v>
      </c>
      <c r="B13" s="50">
        <v>12</v>
      </c>
      <c r="C13" s="44">
        <f>IF(B$3=0,0,B13/B$3)</f>
        <v>0.24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</v>
      </c>
      <c r="C14" s="39">
        <f>IF(B$3=0,0,B14/B$3)</f>
        <v>0.26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</v>
      </c>
      <c r="C15" s="37">
        <f>IF(B$13=0,0,B15/B$13)</f>
        <v>0.58333333333333337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171</v>
      </c>
      <c r="O15" s="124">
        <f t="shared" ref="O15:O20" si="2">IF(P15=0,0,Q15/P15)</f>
        <v>52</v>
      </c>
      <c r="P15" s="118">
        <v>2</v>
      </c>
      <c r="Q15" s="106">
        <v>104</v>
      </c>
    </row>
    <row r="16" spans="1:17" x14ac:dyDescent="0.4">
      <c r="A16" s="54" t="s">
        <v>125</v>
      </c>
      <c r="B16" s="46">
        <v>4</v>
      </c>
      <c r="C16" s="37">
        <f>IF(B$14=0,0,B16/B$14)</f>
        <v>0.30769230769230771</v>
      </c>
      <c r="E16" s="63" t="s">
        <v>79</v>
      </c>
      <c r="F16" s="60" t="s">
        <v>34</v>
      </c>
      <c r="G16" s="47">
        <v>2</v>
      </c>
      <c r="H16" s="133">
        <f>IF(B$17=0,0,G16/B$17)</f>
        <v>0.16666666666666666</v>
      </c>
      <c r="I16" s="94">
        <v>2</v>
      </c>
      <c r="N16" s="115" t="s">
        <v>173</v>
      </c>
      <c r="O16" s="125">
        <f t="shared" si="2"/>
        <v>43.1</v>
      </c>
      <c r="P16" s="119">
        <v>1</v>
      </c>
      <c r="Q16" s="107">
        <v>43.1</v>
      </c>
    </row>
    <row r="17" spans="1:17" x14ac:dyDescent="0.4">
      <c r="A17" s="54" t="s">
        <v>10</v>
      </c>
      <c r="B17" s="46">
        <f>B19+B18</f>
        <v>12</v>
      </c>
      <c r="C17" s="37">
        <f>IF(B$3=0,0,B17/B$3)</f>
        <v>0.24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9</v>
      </c>
      <c r="N17" s="115" t="s">
        <v>172</v>
      </c>
      <c r="O17" s="125">
        <f t="shared" si="2"/>
        <v>-16.450000000000006</v>
      </c>
      <c r="P17" s="119">
        <v>4</v>
      </c>
      <c r="Q17" s="107">
        <v>-65.800000000000026</v>
      </c>
    </row>
    <row r="18" spans="1:17" x14ac:dyDescent="0.4">
      <c r="A18" s="55" t="s">
        <v>12</v>
      </c>
      <c r="B18" s="47">
        <v>7</v>
      </c>
      <c r="C18" s="39">
        <f>IF(B$17=0,0,B18/B$17)</f>
        <v>0.58333333333333337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 t="shared" si="2"/>
        <v>-23.1</v>
      </c>
      <c r="P18" s="119">
        <v>1</v>
      </c>
      <c r="Q18" s="107">
        <v>-23.1</v>
      </c>
    </row>
    <row r="19" spans="1:17" x14ac:dyDescent="0.4">
      <c r="A19" s="55" t="s">
        <v>11</v>
      </c>
      <c r="B19" s="47">
        <v>5</v>
      </c>
      <c r="C19" s="39">
        <f>IF(B$17=0,0,B19/B$17)</f>
        <v>0.41666666666666669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N19" s="115" t="s">
        <v>128</v>
      </c>
      <c r="O19" s="125">
        <f t="shared" si="2"/>
        <v>-25</v>
      </c>
      <c r="P19" s="119">
        <v>1</v>
      </c>
      <c r="Q19" s="107">
        <v>-25</v>
      </c>
    </row>
    <row r="20" spans="1:17" x14ac:dyDescent="0.4">
      <c r="A20" s="55" t="s">
        <v>13</v>
      </c>
      <c r="B20" s="47">
        <v>10</v>
      </c>
      <c r="C20" s="39">
        <f>IF(B$3=0,0,B20/B$3)</f>
        <v>0.2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177</v>
      </c>
      <c r="O20" s="125">
        <f t="shared" si="2"/>
        <v>-81.5</v>
      </c>
      <c r="P20" s="119">
        <v>1</v>
      </c>
      <c r="Q20" s="107">
        <v>-81.5</v>
      </c>
    </row>
    <row r="21" spans="1:17" x14ac:dyDescent="0.4">
      <c r="A21" s="55" t="s">
        <v>193</v>
      </c>
      <c r="B21" s="47">
        <v>3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10</v>
      </c>
    </row>
    <row r="22" spans="1:17" x14ac:dyDescent="0.4">
      <c r="A22" s="55" t="s">
        <v>194</v>
      </c>
      <c r="B22" s="47">
        <v>8</v>
      </c>
      <c r="C22" s="135">
        <v>3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17" x14ac:dyDescent="0.4">
      <c r="A23" s="55" t="s">
        <v>5</v>
      </c>
      <c r="B23" s="51">
        <f>IF(B$17=0,0,C23/B$17)</f>
        <v>8425</v>
      </c>
      <c r="C23" s="41">
        <v>101100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3</v>
      </c>
    </row>
    <row r="24" spans="1:17" x14ac:dyDescent="0.4">
      <c r="A24" s="57" t="s">
        <v>14</v>
      </c>
      <c r="B24" s="52">
        <f>IF(B$20=0,0,C24/B$20)</f>
        <v>-5420</v>
      </c>
      <c r="C24" s="45">
        <v>-54200</v>
      </c>
      <c r="E24" s="63" t="s">
        <v>87</v>
      </c>
      <c r="F24" s="60" t="s">
        <v>42</v>
      </c>
      <c r="G24" s="47">
        <v>1</v>
      </c>
      <c r="H24" s="133">
        <f>IF(B$17=0,0,G24/B$17)</f>
        <v>8.3333333333333329E-2</v>
      </c>
      <c r="I24" s="94">
        <v>2</v>
      </c>
    </row>
    <row r="25" spans="1:17" x14ac:dyDescent="0.4">
      <c r="A25" s="90" t="s">
        <v>142</v>
      </c>
      <c r="B25" s="140">
        <v>4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17" x14ac:dyDescent="0.4">
      <c r="A26" s="58" t="s">
        <v>152</v>
      </c>
      <c r="B26" s="138">
        <v>54800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0.16666666666666666</v>
      </c>
      <c r="I27" s="94">
        <v>4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5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5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5</v>
      </c>
      <c r="H51" s="134">
        <f>IF(B$17=0,0,G51/B$17)</f>
        <v>0.41666666666666669</v>
      </c>
      <c r="I51" s="95">
        <v>4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1B8A0-CBF6-4A4E-9513-4CAD1BC811B6}">
  <sheetPr codeName="Sheet2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224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65</v>
      </c>
      <c r="F2" s="59" t="s">
        <v>21</v>
      </c>
      <c r="G2" s="46">
        <v>1</v>
      </c>
      <c r="H2" s="132">
        <f>IF(B$17=0,0,G2/B$17)</f>
        <v>0.5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48">
        <v>13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10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0">
        <v>13.3</v>
      </c>
      <c r="C4" s="151"/>
      <c r="E4" s="63" t="s">
        <v>67</v>
      </c>
      <c r="F4" s="60" t="s">
        <v>23</v>
      </c>
      <c r="G4" s="47">
        <v>3</v>
      </c>
      <c r="H4" s="133">
        <f>IF(B$17=0,0,G4/B$17)</f>
        <v>1.5</v>
      </c>
      <c r="I4" s="94">
        <v>1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2">
        <f>IF(B$2=0,0,B$4/B$2)</f>
        <v>13.3</v>
      </c>
      <c r="C5" s="153"/>
      <c r="E5" s="63" t="s">
        <v>68</v>
      </c>
      <c r="F5" s="60" t="s">
        <v>24</v>
      </c>
      <c r="G5" s="47">
        <v>1</v>
      </c>
      <c r="H5" s="133">
        <f>IF(B$17=0,0,G5/B$17)</f>
        <v>0.5</v>
      </c>
      <c r="I5" s="94">
        <v>3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1</v>
      </c>
      <c r="H6" s="133">
        <f>IF(B$17=0,0,G6/B$17)</f>
        <v>0.5</v>
      </c>
      <c r="I6" s="94">
        <v>2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10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0</v>
      </c>
      <c r="H10" s="133">
        <f>IF(B$17=0,0,G10/B$17)</f>
        <v>0</v>
      </c>
      <c r="I10" s="94">
        <v>13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6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9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0.5</v>
      </c>
      <c r="I19" s="94">
        <v>1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10</v>
      </c>
    </row>
    <row r="22" spans="1:9" x14ac:dyDescent="0.4">
      <c r="A22" s="55" t="s">
        <v>194</v>
      </c>
      <c r="B22" s="47">
        <v>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3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0">
        <v>5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9" x14ac:dyDescent="0.4">
      <c r="A26" s="58" t="s">
        <v>152</v>
      </c>
      <c r="B26" s="138">
        <v>48300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13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5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5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1</v>
      </c>
      <c r="H51" s="134">
        <f>IF(B$17=0,0,G51/B$17)</f>
        <v>0.5</v>
      </c>
      <c r="I51" s="95">
        <v>1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874EB-7F6A-47AB-912D-96F9492B01E5}">
  <sheetPr codeName="Sheet2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1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2000</v>
      </c>
      <c r="P2" s="118">
        <v>1</v>
      </c>
      <c r="Q2" s="102">
        <v>2000</v>
      </c>
    </row>
    <row r="3" spans="1:17" x14ac:dyDescent="0.4">
      <c r="A3" s="55" t="s">
        <v>8</v>
      </c>
      <c r="B3" s="148">
        <v>8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10</v>
      </c>
      <c r="K3" s="38">
        <v>1</v>
      </c>
      <c r="L3" s="99">
        <v>-37</v>
      </c>
      <c r="N3" s="115" t="s">
        <v>133</v>
      </c>
      <c r="O3" s="122">
        <f t="shared" si="0"/>
        <v>-8000</v>
      </c>
      <c r="P3" s="119">
        <v>1</v>
      </c>
      <c r="Q3" s="103">
        <v>-8000</v>
      </c>
    </row>
    <row r="4" spans="1:17" x14ac:dyDescent="0.4">
      <c r="A4" s="55" t="s">
        <v>6</v>
      </c>
      <c r="B4" s="150">
        <v>-37</v>
      </c>
      <c r="C4" s="151"/>
      <c r="E4" s="63" t="s">
        <v>67</v>
      </c>
      <c r="F4" s="60" t="s">
        <v>23</v>
      </c>
      <c r="G4" s="47">
        <v>0</v>
      </c>
      <c r="H4" s="133">
        <f>IF(B$17=0,0,G4/B$17)</f>
        <v>0</v>
      </c>
      <c r="I4" s="94">
        <v>13</v>
      </c>
      <c r="N4" s="115" t="s">
        <v>134</v>
      </c>
      <c r="O4" s="122">
        <f t="shared" si="0"/>
        <v>-9000</v>
      </c>
      <c r="P4" s="119">
        <v>1</v>
      </c>
      <c r="Q4" s="103">
        <v>-9000</v>
      </c>
    </row>
    <row r="5" spans="1:17" x14ac:dyDescent="0.4">
      <c r="A5" s="55" t="s">
        <v>7</v>
      </c>
      <c r="B5" s="152">
        <f>IF(B$2=0,0,B$4/B$2)</f>
        <v>-37</v>
      </c>
      <c r="C5" s="153"/>
      <c r="E5" s="63" t="s">
        <v>68</v>
      </c>
      <c r="F5" s="60" t="s">
        <v>24</v>
      </c>
      <c r="G5" s="47">
        <v>3</v>
      </c>
      <c r="H5" s="133">
        <f>IF(B$17=0,0,G5/B$17)</f>
        <v>1</v>
      </c>
      <c r="I5" s="94">
        <v>1</v>
      </c>
      <c r="N5" s="115" t="s">
        <v>135</v>
      </c>
      <c r="O5" s="122">
        <f t="shared" si="0"/>
        <v>-2000</v>
      </c>
      <c r="P5" s="119">
        <v>1</v>
      </c>
      <c r="Q5" s="103">
        <v>-2000</v>
      </c>
    </row>
    <row r="6" spans="1:17" x14ac:dyDescent="0.4">
      <c r="A6" s="55" t="s">
        <v>1</v>
      </c>
      <c r="B6" s="142">
        <f>IF(B$2=0,0,(B$7*1+B$8*2+B$9*3)/B$2)</f>
        <v>3</v>
      </c>
      <c r="C6" s="143"/>
      <c r="E6" s="63" t="s">
        <v>69</v>
      </c>
      <c r="F6" s="60" t="s">
        <v>12</v>
      </c>
      <c r="G6" s="47">
        <v>2</v>
      </c>
      <c r="H6" s="133">
        <f>IF(B$17=0,0,G6/B$17)</f>
        <v>0.66666666666666663</v>
      </c>
      <c r="I6" s="94">
        <v>1</v>
      </c>
      <c r="N6" s="115" t="s">
        <v>136</v>
      </c>
      <c r="O6" s="122">
        <f t="shared" si="0"/>
        <v>-16000</v>
      </c>
      <c r="P6" s="119">
        <v>1</v>
      </c>
      <c r="Q6" s="103">
        <v>-16000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16000</v>
      </c>
      <c r="P7" s="120">
        <v>1</v>
      </c>
      <c r="Q7" s="104">
        <v>16000</v>
      </c>
    </row>
    <row r="8" spans="1:17" x14ac:dyDescent="0.4">
      <c r="A8" s="55" t="s">
        <v>3</v>
      </c>
      <c r="B8" s="47">
        <v>0</v>
      </c>
      <c r="C8" s="39">
        <f>IF(B$2=0,0,B8/B$2)</f>
        <v>0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1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10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</v>
      </c>
      <c r="H10" s="133">
        <f>IF(B$17=0,0,G10/B$17)</f>
        <v>0.33333333333333331</v>
      </c>
      <c r="I10" s="94">
        <v>12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6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5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0.375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0.125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3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172</v>
      </c>
      <c r="O15" s="124">
        <f>IF(P15=0,0,Q15/P15)</f>
        <v>-30.3</v>
      </c>
      <c r="P15" s="118">
        <v>1</v>
      </c>
      <c r="Q15" s="106">
        <v>-30.3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1</v>
      </c>
      <c r="H16" s="133">
        <f>IF(B$17=0,0,G16/B$17)</f>
        <v>0.33333333333333331</v>
      </c>
      <c r="I16" s="94">
        <v>1</v>
      </c>
      <c r="N16" s="115" t="s">
        <v>129</v>
      </c>
      <c r="O16" s="125">
        <f>IF(P16=0,0,Q16/P16)</f>
        <v>-80.7</v>
      </c>
      <c r="P16" s="119">
        <v>1</v>
      </c>
      <c r="Q16" s="107">
        <v>-80.7</v>
      </c>
    </row>
    <row r="17" spans="1:9" x14ac:dyDescent="0.4">
      <c r="A17" s="54" t="s">
        <v>10</v>
      </c>
      <c r="B17" s="46">
        <f>B19+B18</f>
        <v>3</v>
      </c>
      <c r="C17" s="37">
        <f>IF(B$3=0,0,B17/B$3)</f>
        <v>0.375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9</v>
      </c>
    </row>
    <row r="18" spans="1:9" x14ac:dyDescent="0.4">
      <c r="A18" s="55" t="s">
        <v>12</v>
      </c>
      <c r="B18" s="47">
        <v>2</v>
      </c>
      <c r="C18" s="39">
        <f>IF(B$17=0,0,B18/B$17)</f>
        <v>0.66666666666666663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0.33333333333333331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9" x14ac:dyDescent="0.4">
      <c r="A20" s="55" t="s">
        <v>13</v>
      </c>
      <c r="B20" s="47">
        <v>3</v>
      </c>
      <c r="C20" s="39">
        <f>IF(B$3=0,0,B20/B$3)</f>
        <v>0.375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10</v>
      </c>
    </row>
    <row r="22" spans="1:9" x14ac:dyDescent="0.4">
      <c r="A22" s="55" t="s">
        <v>194</v>
      </c>
      <c r="B22" s="47">
        <v>2</v>
      </c>
      <c r="C22" s="135">
        <v>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4</v>
      </c>
    </row>
    <row r="23" spans="1:9" x14ac:dyDescent="0.4">
      <c r="A23" s="55" t="s">
        <v>5</v>
      </c>
      <c r="B23" s="51">
        <f>IF(B$17=0,0,C23/B$17)</f>
        <v>8666.6666666666661</v>
      </c>
      <c r="C23" s="41">
        <v>26000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3</v>
      </c>
    </row>
    <row r="24" spans="1:9" x14ac:dyDescent="0.4">
      <c r="A24" s="57" t="s">
        <v>14</v>
      </c>
      <c r="B24" s="52">
        <f>IF(B$20=0,0,C24/B$20)</f>
        <v>-14000</v>
      </c>
      <c r="C24" s="45">
        <v>-42000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0">
        <v>3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6</v>
      </c>
    </row>
    <row r="26" spans="1:9" x14ac:dyDescent="0.4">
      <c r="A26" s="58" t="s">
        <v>152</v>
      </c>
      <c r="B26" s="138">
        <v>18000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1</v>
      </c>
      <c r="H27" s="133">
        <f>IF(B$17=0,0,G27/B$17)</f>
        <v>0.33333333333333331</v>
      </c>
      <c r="I27" s="94">
        <v>2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3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5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5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1</v>
      </c>
      <c r="H51" s="134">
        <f>IF(B$17=0,0,G51/B$17)</f>
        <v>0.33333333333333331</v>
      </c>
      <c r="I51" s="95">
        <v>12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99DAF-E2BC-4FEC-81A5-DCCC19012AEC}">
  <sheetPr codeName="Sheet30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225</v>
      </c>
      <c r="B1" s="70" t="s">
        <v>225</v>
      </c>
      <c r="C1" s="70" t="s">
        <v>225</v>
      </c>
      <c r="D1" s="71" t="s">
        <v>225</v>
      </c>
      <c r="E1" s="70" t="s">
        <v>225</v>
      </c>
      <c r="F1" s="70" t="s">
        <v>225</v>
      </c>
      <c r="G1" s="70" t="s">
        <v>225</v>
      </c>
      <c r="H1" s="70" t="s">
        <v>225</v>
      </c>
      <c r="I1" s="70" t="s">
        <v>225</v>
      </c>
      <c r="J1" s="70" t="s">
        <v>225</v>
      </c>
      <c r="K1" s="70" t="s">
        <v>225</v>
      </c>
      <c r="L1" s="70" t="s">
        <v>225</v>
      </c>
      <c r="M1" s="70" t="s">
        <v>225</v>
      </c>
      <c r="N1" s="70" t="s">
        <v>225</v>
      </c>
      <c r="O1" s="70" t="s">
        <v>225</v>
      </c>
      <c r="P1" s="70" t="s">
        <v>225</v>
      </c>
      <c r="Q1" s="70" t="s">
        <v>225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8ED9C-659F-4BB5-9AD9-D6A53A3E5B38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224</v>
      </c>
      <c r="B1" s="70" t="s">
        <v>224</v>
      </c>
      <c r="C1" s="70" t="s">
        <v>224</v>
      </c>
      <c r="D1" s="71" t="s">
        <v>224</v>
      </c>
      <c r="E1" s="70" t="s">
        <v>224</v>
      </c>
      <c r="F1" s="70" t="s">
        <v>224</v>
      </c>
      <c r="G1" s="70" t="s">
        <v>224</v>
      </c>
      <c r="H1" s="70" t="s">
        <v>224</v>
      </c>
      <c r="I1" s="70" t="s">
        <v>224</v>
      </c>
      <c r="J1" s="70" t="s">
        <v>224</v>
      </c>
      <c r="K1" s="70" t="s">
        <v>224</v>
      </c>
      <c r="L1" s="70" t="s">
        <v>224</v>
      </c>
      <c r="M1" s="70" t="s">
        <v>224</v>
      </c>
      <c r="N1" s="70" t="s">
        <v>224</v>
      </c>
      <c r="O1" s="70" t="s">
        <v>224</v>
      </c>
      <c r="P1" s="70" t="s">
        <v>224</v>
      </c>
      <c r="Q1" s="70" t="s">
        <v>224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E405A-DAA9-4108-B518-63A9E780838B}">
  <sheetPr codeName="Sheet26"/>
  <dimension ref="A1:Q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202</v>
      </c>
      <c r="B1" s="70" t="s">
        <v>202</v>
      </c>
      <c r="C1" s="70" t="s">
        <v>202</v>
      </c>
      <c r="D1" s="71" t="s">
        <v>202</v>
      </c>
      <c r="E1" s="70" t="s">
        <v>202</v>
      </c>
      <c r="F1" s="70" t="s">
        <v>202</v>
      </c>
      <c r="G1" s="70" t="s">
        <v>202</v>
      </c>
      <c r="H1" s="70" t="s">
        <v>202</v>
      </c>
      <c r="I1" s="70" t="s">
        <v>202</v>
      </c>
      <c r="J1" s="70" t="s">
        <v>202</v>
      </c>
      <c r="K1" s="70" t="s">
        <v>202</v>
      </c>
      <c r="L1" s="70" t="s">
        <v>202</v>
      </c>
      <c r="M1" s="70" t="s">
        <v>202</v>
      </c>
      <c r="N1" s="70" t="s">
        <v>202</v>
      </c>
      <c r="O1" s="70" t="s">
        <v>202</v>
      </c>
      <c r="P1" s="70" t="s">
        <v>202</v>
      </c>
      <c r="Q1" s="70" t="s">
        <v>202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F22F5-61F2-44B1-8A2F-10EFBB58B3B3}">
  <sheetPr codeName="Sheet24"/>
  <dimension ref="A1:Q1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45A1DB-6A18-47E8-96BA-9616D2DABFBB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E3480-D988-4E1C-99AD-954F7430778C}">
  <sheetPr codeName="Sheet20"/>
  <dimension ref="A1:Q3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-202.1</v>
      </c>
      <c r="C29" s="66">
        <v>-7.773076923076923</v>
      </c>
      <c r="D29" s="71">
        <v>2.0769230769230771</v>
      </c>
      <c r="E29" s="67">
        <v>0.30769230769230771</v>
      </c>
      <c r="F29" s="67">
        <v>0.38461538461538464</v>
      </c>
      <c r="G29" s="67">
        <v>0.26818181818181819</v>
      </c>
      <c r="H29" s="67">
        <v>0.17272727272727273</v>
      </c>
      <c r="I29" s="68">
        <v>7227.1186440677966</v>
      </c>
      <c r="J29" s="68">
        <v>-7302.6315789473683</v>
      </c>
      <c r="K29" s="67">
        <v>0.19230769230769232</v>
      </c>
      <c r="L29" s="67">
        <v>0</v>
      </c>
      <c r="M29" s="67">
        <v>0.20454545454545456</v>
      </c>
      <c r="N29" s="67">
        <v>0.22727272727272727</v>
      </c>
      <c r="O29" s="67">
        <v>0.66666666666666663</v>
      </c>
      <c r="P29" s="67">
        <v>0.38</v>
      </c>
      <c r="Q29" s="67">
        <v>0.42372881355932202</v>
      </c>
    </row>
    <row r="30" spans="1:17" x14ac:dyDescent="0.4">
      <c r="A30" s="69">
        <v>27</v>
      </c>
      <c r="B30" s="66">
        <v>-167.8</v>
      </c>
      <c r="C30" s="66">
        <v>-6.2148148148148152</v>
      </c>
      <c r="D30" s="71">
        <v>2.0370370370370372</v>
      </c>
      <c r="E30" s="67">
        <v>0.33333333333333331</v>
      </c>
      <c r="F30" s="67">
        <v>0.37037037037037035</v>
      </c>
      <c r="G30" s="67">
        <v>0.27192982456140352</v>
      </c>
      <c r="H30" s="67">
        <v>0.16666666666666666</v>
      </c>
      <c r="I30" s="68">
        <v>7237.0967741935483</v>
      </c>
      <c r="J30" s="68">
        <v>-7302.6315789473683</v>
      </c>
      <c r="K30" s="67">
        <v>0.18518518518518517</v>
      </c>
      <c r="L30" s="67">
        <v>0</v>
      </c>
      <c r="M30" s="67">
        <v>0.20614035087719298</v>
      </c>
      <c r="N30" s="67">
        <v>0.21929824561403508</v>
      </c>
      <c r="O30" s="67">
        <v>0.68085106382978722</v>
      </c>
      <c r="P30" s="67">
        <v>0.38</v>
      </c>
      <c r="Q30" s="67">
        <v>0.43548387096774194</v>
      </c>
    </row>
    <row r="31" spans="1:17" x14ac:dyDescent="0.4">
      <c r="A31" s="69">
        <v>28</v>
      </c>
      <c r="B31" s="66">
        <v>-224</v>
      </c>
      <c r="C31" s="66">
        <v>-8</v>
      </c>
      <c r="D31" s="71">
        <v>2.0714285714285716</v>
      </c>
      <c r="E31" s="67">
        <v>0.32142857142857145</v>
      </c>
      <c r="F31" s="67">
        <v>0.39285714285714285</v>
      </c>
      <c r="G31" s="67">
        <v>0.2723404255319149</v>
      </c>
      <c r="H31" s="67">
        <v>0.17446808510638298</v>
      </c>
      <c r="I31" s="68">
        <v>7217.1875</v>
      </c>
      <c r="J31" s="68">
        <v>-7792.6829268292686</v>
      </c>
      <c r="K31" s="67">
        <v>0.21428571428571427</v>
      </c>
      <c r="L31" s="67">
        <v>0</v>
      </c>
      <c r="M31" s="67">
        <v>0.20851063829787234</v>
      </c>
      <c r="N31" s="67">
        <v>0.21702127659574469</v>
      </c>
      <c r="O31" s="67">
        <v>0.67346938775510201</v>
      </c>
      <c r="P31" s="67">
        <v>0.37254901960784315</v>
      </c>
      <c r="Q31" s="67">
        <v>0.4375</v>
      </c>
    </row>
    <row r="32" spans="1:17" x14ac:dyDescent="0.4">
      <c r="A32" s="69">
        <v>29</v>
      </c>
      <c r="B32" s="66">
        <v>-178.6</v>
      </c>
      <c r="C32" s="66">
        <v>-6.1586206896551721</v>
      </c>
      <c r="D32" s="71">
        <v>2.0344827586206895</v>
      </c>
      <c r="E32" s="67">
        <v>0.34482758620689657</v>
      </c>
      <c r="F32" s="67">
        <v>0.37931034482758619</v>
      </c>
      <c r="G32" s="67">
        <v>0.27800829875518673</v>
      </c>
      <c r="H32" s="67">
        <v>0.17012448132780084</v>
      </c>
      <c r="I32" s="68">
        <v>7370.1492537313434</v>
      </c>
      <c r="J32" s="68">
        <v>-7792.6829268292686</v>
      </c>
      <c r="K32" s="67">
        <v>0.20689655172413793</v>
      </c>
      <c r="L32" s="67">
        <v>3.4482758620689655E-2</v>
      </c>
      <c r="M32" s="67">
        <v>0.21161825726141079</v>
      </c>
      <c r="N32" s="67">
        <v>0.21576763485477179</v>
      </c>
      <c r="O32" s="67">
        <v>0.68627450980392157</v>
      </c>
      <c r="P32" s="67">
        <v>0.38461538461538464</v>
      </c>
      <c r="Q32" s="67">
        <v>0.41791044776119401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A61BB-1D2F-4812-B1FE-876CE465CB56}">
  <sheetPr codeName="Sheet18"/>
  <dimension ref="A1:Q4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B0502-BDF5-4553-A482-A540038A6774}">
  <sheetPr codeName="Sheet16"/>
  <dimension ref="A1:Q5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CBB3EF-660C-4867-A715-CAF7F527A479}">
  <sheetPr codeName="Sheet14"/>
  <dimension ref="A1:Q6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93.299999999999983</v>
      </c>
      <c r="C59" s="66">
        <v>1.6660714285714282</v>
      </c>
      <c r="D59" s="71">
        <v>2.0535714285714284</v>
      </c>
      <c r="E59" s="67">
        <v>0.2857142857142857</v>
      </c>
      <c r="F59" s="67">
        <v>0.3392857142857143</v>
      </c>
      <c r="G59" s="67">
        <v>0.26819126819126821</v>
      </c>
      <c r="H59" s="67">
        <v>0.15384615384615385</v>
      </c>
      <c r="I59" s="68">
        <v>9606.2015503875973</v>
      </c>
      <c r="J59" s="68">
        <v>-7431.0810810810808</v>
      </c>
      <c r="K59" s="67">
        <v>3.5714285714285712E-2</v>
      </c>
      <c r="L59" s="67">
        <v>0.125</v>
      </c>
      <c r="M59" s="67">
        <v>0.27027027027027029</v>
      </c>
      <c r="N59" s="67">
        <v>0.1787941787941788</v>
      </c>
      <c r="O59" s="67">
        <v>0.58461538461538465</v>
      </c>
      <c r="P59" s="67">
        <v>0.36046511627906974</v>
      </c>
      <c r="Q59" s="67">
        <v>0.41860465116279072</v>
      </c>
    </row>
    <row r="60" spans="1:17" x14ac:dyDescent="0.4">
      <c r="A60" s="69">
        <v>57</v>
      </c>
      <c r="B60" s="66">
        <v>104.69999999999999</v>
      </c>
      <c r="C60" s="66">
        <v>1.8368421052631576</v>
      </c>
      <c r="D60" s="71">
        <v>2.0526315789473686</v>
      </c>
      <c r="E60" s="67">
        <v>0.2807017543859649</v>
      </c>
      <c r="F60" s="67">
        <v>0.33333333333333331</v>
      </c>
      <c r="G60" s="67">
        <v>0.26954732510288065</v>
      </c>
      <c r="H60" s="67">
        <v>0.15432098765432098</v>
      </c>
      <c r="I60" s="68">
        <v>9612.2137404580153</v>
      </c>
      <c r="J60" s="68">
        <v>-7486.666666666667</v>
      </c>
      <c r="K60" s="67">
        <v>3.5087719298245612E-2</v>
      </c>
      <c r="L60" s="67">
        <v>0.12280701754385964</v>
      </c>
      <c r="M60" s="67">
        <v>0.27160493827160492</v>
      </c>
      <c r="N60" s="67">
        <v>0.17695473251028807</v>
      </c>
      <c r="O60" s="67">
        <v>0.59090909090909094</v>
      </c>
      <c r="P60" s="67">
        <v>0.36046511627906974</v>
      </c>
      <c r="Q60" s="67">
        <v>0.42748091603053434</v>
      </c>
    </row>
    <row r="61" spans="1:17" x14ac:dyDescent="0.4">
      <c r="A61" s="69">
        <v>58</v>
      </c>
      <c r="B61" s="66">
        <v>72.499999999999986</v>
      </c>
      <c r="C61" s="66">
        <v>1.2499999999999998</v>
      </c>
      <c r="D61" s="71">
        <v>2.0689655172413794</v>
      </c>
      <c r="E61" s="67">
        <v>0.27586206896551724</v>
      </c>
      <c r="F61" s="67">
        <v>0.34482758620689657</v>
      </c>
      <c r="G61" s="67">
        <v>0.26720647773279355</v>
      </c>
      <c r="H61" s="67">
        <v>0.15182186234817813</v>
      </c>
      <c r="I61" s="68">
        <v>9559.0909090909099</v>
      </c>
      <c r="J61" s="68">
        <v>-7486.666666666667</v>
      </c>
      <c r="K61" s="67">
        <v>3.4482758620689655E-2</v>
      </c>
      <c r="L61" s="67">
        <v>0.1206896551724138</v>
      </c>
      <c r="M61" s="67">
        <v>0.26923076923076922</v>
      </c>
      <c r="N61" s="67">
        <v>0.17611336032388664</v>
      </c>
      <c r="O61" s="67">
        <v>0.5864661654135338</v>
      </c>
      <c r="P61" s="67">
        <v>0.36781609195402298</v>
      </c>
      <c r="Q61" s="67">
        <v>0.42424242424242425</v>
      </c>
    </row>
    <row r="62" spans="1:17" x14ac:dyDescent="0.4">
      <c r="A62" s="69">
        <v>59</v>
      </c>
      <c r="B62" s="66">
        <v>87.09999999999998</v>
      </c>
      <c r="C62" s="66">
        <v>1.4762711864406777</v>
      </c>
      <c r="D62" s="71">
        <v>2.0677966101694913</v>
      </c>
      <c r="E62" s="67">
        <v>0.2711864406779661</v>
      </c>
      <c r="F62" s="67">
        <v>0.33898305084745761</v>
      </c>
      <c r="G62" s="67">
        <v>0.26746506986027946</v>
      </c>
      <c r="H62" s="67">
        <v>0.15169660678642716</v>
      </c>
      <c r="I62" s="68">
        <v>9640.2985074626868</v>
      </c>
      <c r="J62" s="68">
        <v>-7546.0526315789475</v>
      </c>
      <c r="K62" s="67">
        <v>3.3898305084745763E-2</v>
      </c>
      <c r="L62" s="67">
        <v>0.11864406779661017</v>
      </c>
      <c r="M62" s="67">
        <v>0.26746506986027946</v>
      </c>
      <c r="N62" s="67">
        <v>0.17764471057884232</v>
      </c>
      <c r="O62" s="67">
        <v>0.58955223880597019</v>
      </c>
      <c r="P62" s="67">
        <v>0.3707865168539326</v>
      </c>
      <c r="Q62" s="67">
        <v>0.41791044776119401</v>
      </c>
    </row>
    <row r="63" spans="1:17" x14ac:dyDescent="0.4">
      <c r="A63" s="69">
        <v>60</v>
      </c>
      <c r="B63" s="66">
        <v>48.399999999999977</v>
      </c>
      <c r="C63" s="66">
        <v>0.80666666666666631</v>
      </c>
      <c r="D63" s="71">
        <v>2.0833333333333335</v>
      </c>
      <c r="E63" s="67">
        <v>0.26666666666666666</v>
      </c>
      <c r="F63" s="67">
        <v>0.35</v>
      </c>
      <c r="G63" s="67">
        <v>0.27058823529411763</v>
      </c>
      <c r="H63" s="67">
        <v>0.15686274509803921</v>
      </c>
      <c r="I63" s="68">
        <v>9544.927536231884</v>
      </c>
      <c r="J63" s="68">
        <v>-7647.5</v>
      </c>
      <c r="K63" s="67">
        <v>3.3333333333333333E-2</v>
      </c>
      <c r="L63" s="67">
        <v>0.11666666666666667</v>
      </c>
      <c r="M63" s="67">
        <v>0.27254901960784311</v>
      </c>
      <c r="N63" s="67">
        <v>0.1803921568627451</v>
      </c>
      <c r="O63" s="67">
        <v>0.59712230215827333</v>
      </c>
      <c r="P63" s="67">
        <v>0.35869565217391303</v>
      </c>
      <c r="Q63" s="67">
        <v>0.40579710144927539</v>
      </c>
    </row>
    <row r="64" spans="1:17" x14ac:dyDescent="0.4">
      <c r="A64" s="69">
        <v>61</v>
      </c>
      <c r="B64" s="66">
        <v>45.899999999999977</v>
      </c>
      <c r="C64" s="66">
        <v>0.75245901639344226</v>
      </c>
      <c r="D64" s="71">
        <v>2.081967213114754</v>
      </c>
      <c r="E64" s="67">
        <v>0.26229508196721313</v>
      </c>
      <c r="F64" s="67">
        <v>0.34426229508196721</v>
      </c>
      <c r="G64" s="67">
        <v>0.26990291262135924</v>
      </c>
      <c r="H64" s="67">
        <v>0.1553398058252427</v>
      </c>
      <c r="I64" s="68">
        <v>9533.8129496402871</v>
      </c>
      <c r="J64" s="68">
        <v>-7647.5</v>
      </c>
      <c r="K64" s="67">
        <v>3.2786885245901641E-2</v>
      </c>
      <c r="L64" s="67">
        <v>0.11475409836065574</v>
      </c>
      <c r="M64" s="67">
        <v>0.26990291262135924</v>
      </c>
      <c r="N64" s="67">
        <v>0.18058252427184465</v>
      </c>
      <c r="O64" s="67">
        <v>0.59712230215827333</v>
      </c>
      <c r="P64" s="67">
        <v>0.36559139784946237</v>
      </c>
      <c r="Q64" s="67">
        <v>0.40287769784172661</v>
      </c>
    </row>
    <row r="65" spans="1:17" x14ac:dyDescent="0.4">
      <c r="A65" s="69">
        <v>62</v>
      </c>
      <c r="B65" s="66">
        <v>93.499999999999972</v>
      </c>
      <c r="C65" s="66">
        <v>1.5080645161290318</v>
      </c>
      <c r="D65" s="71">
        <v>2.064516129032258</v>
      </c>
      <c r="E65" s="67">
        <v>0.27419354838709675</v>
      </c>
      <c r="F65" s="67">
        <v>0.33870967741935482</v>
      </c>
      <c r="G65" s="67">
        <v>0.2742857142857143</v>
      </c>
      <c r="H65" s="67">
        <v>0.15809523809523809</v>
      </c>
      <c r="I65" s="68">
        <v>9534.0277777777774</v>
      </c>
      <c r="J65" s="68">
        <v>-7589.1566265060237</v>
      </c>
      <c r="K65" s="67">
        <v>3.2258064516129031E-2</v>
      </c>
      <c r="L65" s="67">
        <v>0.11290322580645161</v>
      </c>
      <c r="M65" s="67">
        <v>0.27238095238095239</v>
      </c>
      <c r="N65" s="67">
        <v>0.18095238095238095</v>
      </c>
      <c r="O65" s="67">
        <v>0.59440559440559437</v>
      </c>
      <c r="P65" s="67">
        <v>0.37894736842105264</v>
      </c>
      <c r="Q65" s="67">
        <v>0.40972222222222221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69C0BB-59C1-4F80-8F7E-9BB662E92804}">
  <sheetPr codeName="Sheet12"/>
  <dimension ref="A1:Q58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-800.5999999999998</v>
      </c>
      <c r="C49" s="66">
        <v>-17.404347826086951</v>
      </c>
      <c r="D49" s="71">
        <v>2.2826086956521738</v>
      </c>
      <c r="E49" s="67">
        <v>0.2391304347826087</v>
      </c>
      <c r="F49" s="67">
        <v>0.52173913043478259</v>
      </c>
      <c r="G49" s="67">
        <v>0.22340425531914893</v>
      </c>
      <c r="H49" s="67">
        <v>0.19680851063829788</v>
      </c>
      <c r="I49" s="68">
        <v>8869.0476190476184</v>
      </c>
      <c r="J49" s="68">
        <v>-9212.1621621621616</v>
      </c>
      <c r="K49" s="67">
        <v>0.17391304347826086</v>
      </c>
      <c r="L49" s="67">
        <v>8.6956521739130432E-2</v>
      </c>
      <c r="M49" s="67">
        <v>0.26063829787234044</v>
      </c>
      <c r="N49" s="67">
        <v>0.15691489361702127</v>
      </c>
      <c r="O49" s="67">
        <v>0.53061224489795922</v>
      </c>
      <c r="P49" s="67">
        <v>0.20338983050847459</v>
      </c>
      <c r="Q49" s="67">
        <v>0.5</v>
      </c>
    </row>
    <row r="50" spans="1:17" x14ac:dyDescent="0.4">
      <c r="A50" s="69">
        <v>47</v>
      </c>
      <c r="B50" s="66">
        <v>-754.5999999999998</v>
      </c>
      <c r="C50" s="66">
        <v>-16.055319148936167</v>
      </c>
      <c r="D50" s="71">
        <v>2.2553191489361701</v>
      </c>
      <c r="E50" s="67">
        <v>0.25531914893617019</v>
      </c>
      <c r="F50" s="67">
        <v>0.51063829787234039</v>
      </c>
      <c r="G50" s="67">
        <v>0.22572178477690288</v>
      </c>
      <c r="H50" s="67">
        <v>0.1942257217847769</v>
      </c>
      <c r="I50" s="68">
        <v>9081.3953488372099</v>
      </c>
      <c r="J50" s="68">
        <v>-9212.1621621621616</v>
      </c>
      <c r="K50" s="67">
        <v>0.1702127659574468</v>
      </c>
      <c r="L50" s="67">
        <v>0.10638297872340426</v>
      </c>
      <c r="M50" s="67">
        <v>0.25984251968503935</v>
      </c>
      <c r="N50" s="67">
        <v>0.15748031496062992</v>
      </c>
      <c r="O50" s="67">
        <v>0.53535353535353536</v>
      </c>
      <c r="P50" s="67">
        <v>0.21666666666666667</v>
      </c>
      <c r="Q50" s="67">
        <v>0.48837209302325579</v>
      </c>
    </row>
    <row r="51" spans="1:17" x14ac:dyDescent="0.4">
      <c r="A51" s="69">
        <v>48</v>
      </c>
      <c r="B51" s="66">
        <v>-756.69999999999982</v>
      </c>
      <c r="C51" s="66">
        <v>-15.764583333333329</v>
      </c>
      <c r="D51" s="71">
        <v>2.25</v>
      </c>
      <c r="E51" s="67">
        <v>0.25</v>
      </c>
      <c r="F51" s="67">
        <v>0.5</v>
      </c>
      <c r="G51" s="67">
        <v>0.2236503856041131</v>
      </c>
      <c r="H51" s="67">
        <v>0.19537275064267351</v>
      </c>
      <c r="I51" s="68">
        <v>9114.9425287356316</v>
      </c>
      <c r="J51" s="68">
        <v>-9038.1578947368416</v>
      </c>
      <c r="K51" s="67">
        <v>0.16666666666666666</v>
      </c>
      <c r="L51" s="67">
        <v>0.10416666666666667</v>
      </c>
      <c r="M51" s="67">
        <v>0.2647814910025707</v>
      </c>
      <c r="N51" s="67">
        <v>0.15424164524421594</v>
      </c>
      <c r="O51" s="67">
        <v>0.52427184466019416</v>
      </c>
      <c r="P51" s="67">
        <v>0.21666666666666667</v>
      </c>
      <c r="Q51" s="67">
        <v>0.4942528735632184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45086-593E-40CA-B697-4AF92BE8D6EC}">
  <sheetPr codeName="Sheet10"/>
  <dimension ref="A1:Q11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-388.20000000000005</v>
      </c>
      <c r="C105" s="66">
        <v>-3.8058823529411767</v>
      </c>
      <c r="D105" s="71">
        <v>2.0882352941176472</v>
      </c>
      <c r="E105" s="67">
        <v>0.26470588235294118</v>
      </c>
      <c r="F105" s="67">
        <v>0.35294117647058826</v>
      </c>
      <c r="G105" s="67">
        <v>0.27336448598130841</v>
      </c>
      <c r="H105" s="67">
        <v>0.17406542056074767</v>
      </c>
      <c r="I105" s="68">
        <v>9156.8376068376074</v>
      </c>
      <c r="J105" s="68">
        <v>-7672.4832214765102</v>
      </c>
      <c r="K105" s="67">
        <v>0.13725490196078433</v>
      </c>
      <c r="L105" s="67">
        <v>7.8431372549019607E-2</v>
      </c>
      <c r="M105" s="67">
        <v>0.29322429906542058</v>
      </c>
      <c r="N105" s="67">
        <v>0.1822429906542056</v>
      </c>
      <c r="O105" s="67">
        <v>0.59362549800796816</v>
      </c>
      <c r="P105" s="67">
        <v>0.27564102564102566</v>
      </c>
      <c r="Q105" s="67">
        <v>0.42735042735042733</v>
      </c>
    </row>
    <row r="106" spans="1:17" x14ac:dyDescent="0.4">
      <c r="A106" s="69">
        <v>103</v>
      </c>
      <c r="B106" s="66">
        <v>-313.00000000000006</v>
      </c>
      <c r="C106" s="66">
        <v>-3.0388349514563111</v>
      </c>
      <c r="D106" s="71">
        <v>2.0776699029126213</v>
      </c>
      <c r="E106" s="67">
        <v>0.27184466019417475</v>
      </c>
      <c r="F106" s="67">
        <v>0.34951456310679613</v>
      </c>
      <c r="G106" s="67">
        <v>0.27630057803468205</v>
      </c>
      <c r="H106" s="67">
        <v>0.1722543352601156</v>
      </c>
      <c r="I106" s="68">
        <v>9196.2343096234308</v>
      </c>
      <c r="J106" s="68">
        <v>-7672.4832214765102</v>
      </c>
      <c r="K106" s="67">
        <v>0.13592233009708737</v>
      </c>
      <c r="L106" s="67">
        <v>8.7378640776699032E-2</v>
      </c>
      <c r="M106" s="67">
        <v>0.29826589595375724</v>
      </c>
      <c r="N106" s="67">
        <v>0.18034682080924855</v>
      </c>
      <c r="O106" s="67">
        <v>0.5968992248062015</v>
      </c>
      <c r="P106" s="67">
        <v>0.27564102564102566</v>
      </c>
      <c r="Q106" s="67">
        <v>0.42677824267782427</v>
      </c>
    </row>
    <row r="107" spans="1:17" x14ac:dyDescent="0.4">
      <c r="A107" s="69">
        <v>104</v>
      </c>
      <c r="B107" s="66">
        <v>-343.60000000000008</v>
      </c>
      <c r="C107" s="66">
        <v>-3.3038461538461545</v>
      </c>
      <c r="D107" s="71">
        <v>2.0865384615384617</v>
      </c>
      <c r="E107" s="67">
        <v>0.26923076923076922</v>
      </c>
      <c r="F107" s="67">
        <v>0.35576923076923078</v>
      </c>
      <c r="G107" s="67">
        <v>0.27459954233409611</v>
      </c>
      <c r="H107" s="67">
        <v>0.17162471395881007</v>
      </c>
      <c r="I107" s="68">
        <v>9207.9166666666661</v>
      </c>
      <c r="J107" s="68">
        <v>-7672.666666666667</v>
      </c>
      <c r="K107" s="67">
        <v>0.13461538461538461</v>
      </c>
      <c r="L107" s="67">
        <v>8.6538461538461536E-2</v>
      </c>
      <c r="M107" s="67">
        <v>0.29633867276887871</v>
      </c>
      <c r="N107" s="67">
        <v>0.18306636155606407</v>
      </c>
      <c r="O107" s="67">
        <v>0.59459459459459463</v>
      </c>
      <c r="P107" s="67">
        <v>0.27500000000000002</v>
      </c>
      <c r="Q107" s="67">
        <v>0.42499999999999999</v>
      </c>
    </row>
    <row r="108" spans="1:17" x14ac:dyDescent="0.4">
      <c r="A108" s="69">
        <v>105</v>
      </c>
      <c r="B108" s="66">
        <v>-298.80000000000007</v>
      </c>
      <c r="C108" s="66">
        <v>-2.8457142857142865</v>
      </c>
      <c r="D108" s="71">
        <v>2.0761904761904764</v>
      </c>
      <c r="E108" s="67">
        <v>0.27619047619047621</v>
      </c>
      <c r="F108" s="67">
        <v>0.35238095238095241</v>
      </c>
      <c r="G108" s="67">
        <v>0.27519818799546997</v>
      </c>
      <c r="H108" s="67">
        <v>0.17214043035107587</v>
      </c>
      <c r="I108" s="68">
        <v>9241.1522633744862</v>
      </c>
      <c r="J108" s="68">
        <v>-7650</v>
      </c>
      <c r="K108" s="67">
        <v>0.13333333333333333</v>
      </c>
      <c r="L108" s="67">
        <v>8.5714285714285715E-2</v>
      </c>
      <c r="M108" s="67">
        <v>0.29558323895809741</v>
      </c>
      <c r="N108" s="67">
        <v>0.18459796149490373</v>
      </c>
      <c r="O108" s="67">
        <v>0.5938697318007663</v>
      </c>
      <c r="P108" s="67">
        <v>0.2822085889570552</v>
      </c>
      <c r="Q108" s="67">
        <v>0.42386831275720166</v>
      </c>
    </row>
    <row r="109" spans="1:17" x14ac:dyDescent="0.4">
      <c r="A109" s="69">
        <v>106</v>
      </c>
      <c r="B109" s="66">
        <v>-236.30000000000007</v>
      </c>
      <c r="C109" s="66">
        <v>-2.2292452830188685</v>
      </c>
      <c r="D109" s="71">
        <v>2.0660377358490565</v>
      </c>
      <c r="E109" s="67">
        <v>0.28301886792452829</v>
      </c>
      <c r="F109" s="67">
        <v>0.34905660377358488</v>
      </c>
      <c r="G109" s="67">
        <v>0.27702702702702703</v>
      </c>
      <c r="H109" s="67">
        <v>0.17117117117117117</v>
      </c>
      <c r="I109" s="68">
        <v>9291.0569105691065</v>
      </c>
      <c r="J109" s="68">
        <v>-7650</v>
      </c>
      <c r="K109" s="67">
        <v>0.13207547169811321</v>
      </c>
      <c r="L109" s="67">
        <v>9.4339622641509441E-2</v>
      </c>
      <c r="M109" s="67">
        <v>0.29617117117117114</v>
      </c>
      <c r="N109" s="67">
        <v>0.18468468468468469</v>
      </c>
      <c r="O109" s="67">
        <v>0.59695817490494296</v>
      </c>
      <c r="P109" s="67">
        <v>0.28658536585365851</v>
      </c>
      <c r="Q109" s="67">
        <v>0.42682926829268292</v>
      </c>
    </row>
    <row r="110" spans="1:17" x14ac:dyDescent="0.4">
      <c r="A110" s="69">
        <v>107</v>
      </c>
      <c r="B110" s="66">
        <v>-274.00000000000006</v>
      </c>
      <c r="C110" s="66">
        <v>-2.5607476635514024</v>
      </c>
      <c r="D110" s="71">
        <v>2.0747663551401869</v>
      </c>
      <c r="E110" s="67">
        <v>0.28037383177570091</v>
      </c>
      <c r="F110" s="67">
        <v>0.35514018691588783</v>
      </c>
      <c r="G110" s="67">
        <v>0.27728285077951004</v>
      </c>
      <c r="H110" s="67">
        <v>0.17260579064587972</v>
      </c>
      <c r="I110" s="68">
        <v>9251.8072289156626</v>
      </c>
      <c r="J110" s="68">
        <v>-7626.4516129032254</v>
      </c>
      <c r="K110" s="67">
        <v>0.13084112149532709</v>
      </c>
      <c r="L110" s="67">
        <v>9.3457943925233641E-2</v>
      </c>
      <c r="M110" s="67">
        <v>0.29621380846325168</v>
      </c>
      <c r="N110" s="67">
        <v>0.18596881959910913</v>
      </c>
      <c r="O110" s="67">
        <v>0.59398496240601506</v>
      </c>
      <c r="P110" s="67">
        <v>0.29341317365269459</v>
      </c>
      <c r="Q110" s="67">
        <v>0.42168674698795183</v>
      </c>
    </row>
    <row r="111" spans="1:17" x14ac:dyDescent="0.4">
      <c r="A111" s="69">
        <v>108</v>
      </c>
      <c r="B111" s="66">
        <v>-253.50000000000006</v>
      </c>
      <c r="C111" s="66">
        <v>-2.3472222222222228</v>
      </c>
      <c r="D111" s="71">
        <v>2.074074074074074</v>
      </c>
      <c r="E111" s="67">
        <v>0.27777777777777779</v>
      </c>
      <c r="F111" s="67">
        <v>0.35185185185185186</v>
      </c>
      <c r="G111" s="67">
        <v>0.27765486725663718</v>
      </c>
      <c r="H111" s="67">
        <v>0.17146017699115043</v>
      </c>
      <c r="I111" s="68">
        <v>9257.7689243027889</v>
      </c>
      <c r="J111" s="68">
        <v>-7626.4516129032254</v>
      </c>
      <c r="K111" s="67">
        <v>0.12962962962962962</v>
      </c>
      <c r="L111" s="67">
        <v>9.2592592592592587E-2</v>
      </c>
      <c r="M111" s="67">
        <v>0.29646017699115046</v>
      </c>
      <c r="N111" s="67">
        <v>0.18473451327433629</v>
      </c>
      <c r="O111" s="67">
        <v>0.59701492537313428</v>
      </c>
      <c r="P111" s="67">
        <v>0.29341317365269459</v>
      </c>
      <c r="Q111" s="67">
        <v>0.42231075697211157</v>
      </c>
    </row>
    <row r="112" spans="1:17" x14ac:dyDescent="0.4">
      <c r="A112" s="69">
        <v>109</v>
      </c>
      <c r="B112" s="66">
        <v>-246.10000000000005</v>
      </c>
      <c r="C112" s="66">
        <v>-2.2577981651376153</v>
      </c>
      <c r="D112" s="71">
        <v>2.073394495412844</v>
      </c>
      <c r="E112" s="67">
        <v>0.27522935779816515</v>
      </c>
      <c r="F112" s="67">
        <v>0.34862385321100919</v>
      </c>
      <c r="G112" s="67">
        <v>0.27783902976846747</v>
      </c>
      <c r="H112" s="67">
        <v>0.17089305402425578</v>
      </c>
      <c r="I112" s="68">
        <v>9246.4285714285706</v>
      </c>
      <c r="J112" s="68">
        <v>-7626.4516129032254</v>
      </c>
      <c r="K112" s="67">
        <v>0.12844036697247707</v>
      </c>
      <c r="L112" s="67">
        <v>9.1743119266055051E-2</v>
      </c>
      <c r="M112" s="67">
        <v>0.29768467475192945</v>
      </c>
      <c r="N112" s="67">
        <v>0.18412348401323042</v>
      </c>
      <c r="O112" s="67">
        <v>0.59629629629629632</v>
      </c>
      <c r="P112" s="67">
        <v>0.29341317365269459</v>
      </c>
      <c r="Q112" s="67">
        <v>0.42063492063492064</v>
      </c>
    </row>
    <row r="113" spans="1:17" x14ac:dyDescent="0.4">
      <c r="A113" s="69">
        <v>110</v>
      </c>
      <c r="B113" s="66">
        <v>-256.90000000000003</v>
      </c>
      <c r="C113" s="66">
        <v>-2.3354545454545459</v>
      </c>
      <c r="D113" s="71">
        <v>2.0727272727272728</v>
      </c>
      <c r="E113" s="67">
        <v>0.27272727272727271</v>
      </c>
      <c r="F113" s="67">
        <v>0.34545454545454546</v>
      </c>
      <c r="G113" s="67">
        <v>0.27631578947368424</v>
      </c>
      <c r="H113" s="67">
        <v>0.17105263157894737</v>
      </c>
      <c r="I113" s="68">
        <v>9246.4285714285706</v>
      </c>
      <c r="J113" s="68">
        <v>-7592.9487179487178</v>
      </c>
      <c r="K113" s="67">
        <v>0.12727272727272726</v>
      </c>
      <c r="L113" s="67">
        <v>9.0909090909090912E-2</v>
      </c>
      <c r="M113" s="67">
        <v>0.29714912280701755</v>
      </c>
      <c r="N113" s="67">
        <v>0.18311403508771928</v>
      </c>
      <c r="O113" s="67">
        <v>0.59409594095940954</v>
      </c>
      <c r="P113" s="67">
        <v>0.29341317365269459</v>
      </c>
      <c r="Q113" s="67">
        <v>0.42063492063492064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74C7B-A2AF-4B9C-ACEF-62A1B0BF9CCE}">
  <sheetPr codeName="Sheet8"/>
  <dimension ref="A1:Q11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550BA-412C-4BDC-86F7-DF04D06B7C7D}">
  <sheetPr codeName="Sheet6"/>
  <dimension ref="A1:Q16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2.8421709430404007E-14</v>
      </c>
      <c r="C150" s="66">
        <v>6.4448320703863964E-17</v>
      </c>
      <c r="D150" s="71">
        <v>2</v>
      </c>
      <c r="E150" s="67">
        <v>0.33333333333333331</v>
      </c>
      <c r="F150" s="67">
        <v>0.33333333333333331</v>
      </c>
      <c r="G150" s="67">
        <v>0.3018309100700054</v>
      </c>
      <c r="H150" s="67">
        <v>0.16693591814754982</v>
      </c>
      <c r="I150" s="68">
        <v>8396.8777876895638</v>
      </c>
      <c r="J150" s="68">
        <v>-8022.7419354838712</v>
      </c>
      <c r="K150" s="67">
        <v>0.10204081632653061</v>
      </c>
      <c r="L150" s="67">
        <v>0.10204081632653061</v>
      </c>
      <c r="M150" s="67">
        <v>0.2719439956919763</v>
      </c>
      <c r="N150" s="67">
        <v>0.21351642434033388</v>
      </c>
      <c r="O150" s="67">
        <v>0.59504950495049502</v>
      </c>
      <c r="P150" s="67">
        <v>0.38209331651954603</v>
      </c>
      <c r="Q150" s="67">
        <v>0.43978590544157004</v>
      </c>
    </row>
    <row r="151" spans="1:17" x14ac:dyDescent="0.4">
      <c r="A151" s="69">
        <v>148</v>
      </c>
      <c r="B151" s="66">
        <v>3.0198066269804258E-14</v>
      </c>
      <c r="C151" s="66">
        <v>6.8013662769829405E-17</v>
      </c>
      <c r="D151" s="71">
        <v>2</v>
      </c>
      <c r="E151" s="67">
        <v>0.33333333333333331</v>
      </c>
      <c r="F151" s="67">
        <v>0.33333333333333331</v>
      </c>
      <c r="G151" s="67">
        <v>0.3019576293912577</v>
      </c>
      <c r="H151" s="67">
        <v>0.16706891928130865</v>
      </c>
      <c r="I151" s="68">
        <v>8419.6269982238009</v>
      </c>
      <c r="J151" s="68">
        <v>-8060.5136436597113</v>
      </c>
      <c r="K151" s="67">
        <v>0.1036036036036036</v>
      </c>
      <c r="L151" s="67">
        <v>0.1036036036036036</v>
      </c>
      <c r="M151" s="67">
        <v>0.27192276749798872</v>
      </c>
      <c r="N151" s="67">
        <v>0.21346205417001876</v>
      </c>
      <c r="O151" s="67">
        <v>0.596646942800789</v>
      </c>
      <c r="P151" s="67">
        <v>0.38190954773869346</v>
      </c>
      <c r="Q151" s="67">
        <v>0.43960923623445824</v>
      </c>
    </row>
    <row r="152" spans="1:17" x14ac:dyDescent="0.4">
      <c r="A152" s="69">
        <v>149</v>
      </c>
      <c r="B152" s="66">
        <v>2.1316282072803006E-14</v>
      </c>
      <c r="C152" s="66">
        <v>4.7687431930208065E-17</v>
      </c>
      <c r="D152" s="71">
        <v>2</v>
      </c>
      <c r="E152" s="67">
        <v>0.33333333333333331</v>
      </c>
      <c r="F152" s="67">
        <v>0.33333333333333331</v>
      </c>
      <c r="G152" s="67">
        <v>0.30135891286970423</v>
      </c>
      <c r="H152" s="67">
        <v>0.16653343991473488</v>
      </c>
      <c r="I152" s="68">
        <v>8415.030946065428</v>
      </c>
      <c r="J152" s="68">
        <v>-8043.04</v>
      </c>
      <c r="K152" s="67">
        <v>0.1029082774049217</v>
      </c>
      <c r="L152" s="67">
        <v>0.1029082774049217</v>
      </c>
      <c r="M152" s="67">
        <v>0.27204902744471088</v>
      </c>
      <c r="N152" s="67">
        <v>0.21236344257926992</v>
      </c>
      <c r="O152" s="67">
        <v>0.59549461312438789</v>
      </c>
      <c r="P152" s="67">
        <v>0.38268506900878296</v>
      </c>
      <c r="Q152" s="67">
        <v>0.44031830238726788</v>
      </c>
    </row>
    <row r="153" spans="1:17" x14ac:dyDescent="0.4">
      <c r="A153" s="69">
        <v>150</v>
      </c>
      <c r="B153" s="66">
        <v>1.9539925233402755E-14</v>
      </c>
      <c r="C153" s="66">
        <v>4.3422056074228347E-17</v>
      </c>
      <c r="D153" s="71">
        <v>2</v>
      </c>
      <c r="E153" s="67">
        <v>0.33333333333333331</v>
      </c>
      <c r="F153" s="67">
        <v>0.33333333333333331</v>
      </c>
      <c r="G153" s="67">
        <v>0.30127186009538953</v>
      </c>
      <c r="H153" s="67">
        <v>0.16666666666666666</v>
      </c>
      <c r="I153" s="68">
        <v>8426.0334212840808</v>
      </c>
      <c r="J153" s="68">
        <v>-8077.7424483306841</v>
      </c>
      <c r="K153" s="67">
        <v>0.10444444444444445</v>
      </c>
      <c r="L153" s="67">
        <v>0.10444444444444445</v>
      </c>
      <c r="M153" s="67">
        <v>0.27133015368309488</v>
      </c>
      <c r="N153" s="67">
        <v>0.21224165341812401</v>
      </c>
      <c r="O153" s="67">
        <v>0.595703125</v>
      </c>
      <c r="P153" s="67">
        <v>0.38327091136079899</v>
      </c>
      <c r="Q153" s="67">
        <v>0.43975373790677219</v>
      </c>
    </row>
    <row r="154" spans="1:17" x14ac:dyDescent="0.4">
      <c r="A154" s="69">
        <v>151</v>
      </c>
      <c r="B154" s="66">
        <v>7.1054273576010019E-15</v>
      </c>
      <c r="C154" s="66">
        <v>1.5685270105079474E-17</v>
      </c>
      <c r="D154" s="71">
        <v>2</v>
      </c>
      <c r="E154" s="67">
        <v>0.33333333333333331</v>
      </c>
      <c r="F154" s="67">
        <v>0.33333333333333331</v>
      </c>
      <c r="G154" s="67">
        <v>0.30073606729758151</v>
      </c>
      <c r="H154" s="67">
        <v>0.16666666666666666</v>
      </c>
      <c r="I154" s="68">
        <v>8427.9720279720277</v>
      </c>
      <c r="J154" s="68">
        <v>-8063.2492113564667</v>
      </c>
      <c r="K154" s="67">
        <v>0.10596026490066225</v>
      </c>
      <c r="L154" s="67">
        <v>0.10596026490066225</v>
      </c>
      <c r="M154" s="67">
        <v>0.27155625657202942</v>
      </c>
      <c r="N154" s="67">
        <v>0.21161934805467927</v>
      </c>
      <c r="O154" s="67">
        <v>0.59438528557599224</v>
      </c>
      <c r="P154" s="67">
        <v>0.38509316770186336</v>
      </c>
      <c r="Q154" s="67">
        <v>0.4388111888111888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0.30070477682067348</v>
      </c>
      <c r="H155" s="67">
        <v>0.16653615244061604</v>
      </c>
      <c r="I155" s="68">
        <v>8434.0277777777774</v>
      </c>
      <c r="J155" s="68">
        <v>-8066.6144200626959</v>
      </c>
      <c r="K155" s="67">
        <v>0.10745614035087719</v>
      </c>
      <c r="L155" s="67">
        <v>0.10745614035087719</v>
      </c>
      <c r="M155" s="67">
        <v>0.27329678935003915</v>
      </c>
      <c r="N155" s="67">
        <v>0.21091098929783347</v>
      </c>
      <c r="O155" s="67">
        <v>0.59312320916905448</v>
      </c>
      <c r="P155" s="67">
        <v>0.38366336633663367</v>
      </c>
      <c r="Q155" s="67">
        <v>0.4392361111111111</v>
      </c>
    </row>
    <row r="156" spans="1:17" x14ac:dyDescent="0.4">
      <c r="A156" s="69">
        <v>153</v>
      </c>
      <c r="B156" s="66">
        <v>1.1546319456101628E-14</v>
      </c>
      <c r="C156" s="66">
        <v>2.5155380078652783E-17</v>
      </c>
      <c r="D156" s="71">
        <v>2</v>
      </c>
      <c r="E156" s="67">
        <v>0.33333333333333331</v>
      </c>
      <c r="F156" s="67">
        <v>0.33333333333333331</v>
      </c>
      <c r="G156" s="67">
        <v>0.30067392431311563</v>
      </c>
      <c r="H156" s="67">
        <v>0.16666666666666666</v>
      </c>
      <c r="I156" s="68">
        <v>8443.7931034482754</v>
      </c>
      <c r="J156" s="68">
        <v>-8070.9175738724725</v>
      </c>
      <c r="K156" s="67">
        <v>0.10675381263616558</v>
      </c>
      <c r="L156" s="67">
        <v>0.10675381263616558</v>
      </c>
      <c r="M156" s="67">
        <v>0.27319854847071023</v>
      </c>
      <c r="N156" s="67">
        <v>0.21150855365474339</v>
      </c>
      <c r="O156" s="67">
        <v>0.59203036053130931</v>
      </c>
      <c r="P156" s="67">
        <v>0.38480392156862747</v>
      </c>
      <c r="Q156" s="67">
        <v>0.43879310344827588</v>
      </c>
    </row>
    <row r="157" spans="1:17" x14ac:dyDescent="0.4">
      <c r="A157" s="69">
        <v>154</v>
      </c>
      <c r="B157" s="66">
        <v>7.1054273576010019E-15</v>
      </c>
      <c r="C157" s="66">
        <v>1.5379712895240264E-17</v>
      </c>
      <c r="D157" s="71">
        <v>2</v>
      </c>
      <c r="E157" s="67">
        <v>0.33333333333333331</v>
      </c>
      <c r="F157" s="67">
        <v>0.33333333333333331</v>
      </c>
      <c r="G157" s="67">
        <v>0.30090090090090088</v>
      </c>
      <c r="H157" s="67">
        <v>0.16756756756756758</v>
      </c>
      <c r="I157" s="68">
        <v>8439.8631308810945</v>
      </c>
      <c r="J157" s="68">
        <v>-8069.5852534562209</v>
      </c>
      <c r="K157" s="67">
        <v>0.10606060606060606</v>
      </c>
      <c r="L157" s="67">
        <v>0.10606060606060606</v>
      </c>
      <c r="M157" s="67">
        <v>0.27335907335907333</v>
      </c>
      <c r="N157" s="67">
        <v>0.21209781209781209</v>
      </c>
      <c r="O157" s="67">
        <v>0.59322033898305082</v>
      </c>
      <c r="P157" s="67">
        <v>0.38349514563106796</v>
      </c>
      <c r="Q157" s="67">
        <v>0.43627031650983744</v>
      </c>
    </row>
    <row r="158" spans="1:17" x14ac:dyDescent="0.4">
      <c r="A158" s="69">
        <v>155</v>
      </c>
      <c r="B158" s="66">
        <v>7.1054273576010019E-15</v>
      </c>
      <c r="C158" s="66">
        <v>1.5280488941077423E-17</v>
      </c>
      <c r="D158" s="71">
        <v>2</v>
      </c>
      <c r="E158" s="67">
        <v>0.33333333333333331</v>
      </c>
      <c r="F158" s="67">
        <v>0.33333333333333331</v>
      </c>
      <c r="G158" s="67">
        <v>0.30076923076923079</v>
      </c>
      <c r="H158" s="67">
        <v>0.16743589743589743</v>
      </c>
      <c r="I158" s="68">
        <v>8452.0034100596768</v>
      </c>
      <c r="J158" s="68">
        <v>-8093.874425727412</v>
      </c>
      <c r="K158" s="67">
        <v>0.10752688172043011</v>
      </c>
      <c r="L158" s="67">
        <v>0.10752688172043011</v>
      </c>
      <c r="M158" s="67">
        <v>0.27282051282051284</v>
      </c>
      <c r="N158" s="67">
        <v>0.2117948717948718</v>
      </c>
      <c r="O158" s="67">
        <v>0.59398496240601506</v>
      </c>
      <c r="P158" s="67">
        <v>0.38498789346246975</v>
      </c>
      <c r="Q158" s="67">
        <v>0.43648763853367434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0.30076335877862598</v>
      </c>
      <c r="H159" s="67">
        <v>0.16768447837150127</v>
      </c>
      <c r="I159" s="68">
        <v>8453.1302876480549</v>
      </c>
      <c r="J159" s="68">
        <v>-8076.9347496206374</v>
      </c>
      <c r="K159" s="67">
        <v>0.10683760683760683</v>
      </c>
      <c r="L159" s="67">
        <v>0.10683760683760683</v>
      </c>
      <c r="M159" s="67">
        <v>0.2732824427480916</v>
      </c>
      <c r="N159" s="67">
        <v>0.21195928753180662</v>
      </c>
      <c r="O159" s="67">
        <v>0.5912476722532588</v>
      </c>
      <c r="P159" s="67">
        <v>0.38775510204081631</v>
      </c>
      <c r="Q159" s="67">
        <v>0.43570219966159052</v>
      </c>
    </row>
    <row r="160" spans="1:17" x14ac:dyDescent="0.4">
      <c r="A160" s="69">
        <v>157</v>
      </c>
      <c r="B160" s="66">
        <v>0</v>
      </c>
      <c r="C160" s="66">
        <v>0</v>
      </c>
      <c r="D160" s="71">
        <v>2</v>
      </c>
      <c r="E160" s="67">
        <v>0.33333333333333331</v>
      </c>
      <c r="F160" s="67">
        <v>0.33333333333333331</v>
      </c>
      <c r="G160" s="67">
        <v>0.30065856129685919</v>
      </c>
      <c r="H160" s="67">
        <v>0.16793313069908813</v>
      </c>
      <c r="I160" s="68">
        <v>8461.2468407750639</v>
      </c>
      <c r="J160" s="68">
        <v>-8088.3861236802413</v>
      </c>
      <c r="K160" s="67">
        <v>0.10828025477707007</v>
      </c>
      <c r="L160" s="67">
        <v>0.10828025477707007</v>
      </c>
      <c r="M160" s="67">
        <v>0.27304964539007093</v>
      </c>
      <c r="N160" s="67">
        <v>0.21149949341438704</v>
      </c>
      <c r="O160" s="67">
        <v>0.59276437847866414</v>
      </c>
      <c r="P160" s="67">
        <v>0.38802395209580837</v>
      </c>
      <c r="Q160" s="67">
        <v>0.43470935130581295</v>
      </c>
    </row>
    <row r="161" spans="1:17" x14ac:dyDescent="0.4">
      <c r="A161" s="69">
        <v>158</v>
      </c>
      <c r="B161" s="66">
        <v>-7.1054273576010019E-15</v>
      </c>
      <c r="C161" s="66">
        <v>-1.4990353075107598E-17</v>
      </c>
      <c r="D161" s="71">
        <v>2</v>
      </c>
      <c r="E161" s="67">
        <v>0.33333333333333331</v>
      </c>
      <c r="F161" s="67">
        <v>0.33333333333333331</v>
      </c>
      <c r="G161" s="67">
        <v>0.30073287844326507</v>
      </c>
      <c r="H161" s="67">
        <v>0.1683093252463988</v>
      </c>
      <c r="I161" s="68">
        <v>8470.3361344537807</v>
      </c>
      <c r="J161" s="68">
        <v>-8106.3063063063064</v>
      </c>
      <c r="K161" s="67">
        <v>0.10970464135021098</v>
      </c>
      <c r="L161" s="67">
        <v>0.10970464135021098</v>
      </c>
      <c r="M161" s="67">
        <v>0.27318675764468031</v>
      </c>
      <c r="N161" s="67">
        <v>0.21152388172858225</v>
      </c>
      <c r="O161" s="67">
        <v>0.5929694727104533</v>
      </c>
      <c r="P161" s="67">
        <v>0.38829151732377537</v>
      </c>
      <c r="Q161" s="67">
        <v>0.43361344537815127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0.30060422960725075</v>
      </c>
      <c r="H162" s="67">
        <v>0.16842900302114805</v>
      </c>
      <c r="I162" s="68">
        <v>8470.6030150753777</v>
      </c>
      <c r="J162" s="68">
        <v>-8109.4170403587441</v>
      </c>
      <c r="K162" s="67">
        <v>0.1111111111111111</v>
      </c>
      <c r="L162" s="67">
        <v>0.1111111111111111</v>
      </c>
      <c r="M162" s="67">
        <v>0.27366565961732126</v>
      </c>
      <c r="N162" s="67">
        <v>0.2107250755287009</v>
      </c>
      <c r="O162" s="67">
        <v>0.59153633854645815</v>
      </c>
      <c r="P162" s="67">
        <v>0.38829151732377537</v>
      </c>
      <c r="Q162" s="67">
        <v>0.43299832495812396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546</vt:i4>
      </vt:variant>
    </vt:vector>
  </HeadingPairs>
  <TitlesOfParts>
    <vt:vector size="59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dcterms:created xsi:type="dcterms:W3CDTF">2018-11-18T09:24:12Z</dcterms:created>
  <dcterms:modified xsi:type="dcterms:W3CDTF">2019-05-19T12:53:56Z</dcterms:modified>
</cp:coreProperties>
</file>