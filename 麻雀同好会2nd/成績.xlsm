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DB0D3B6-4622-4271-A0B4-BD1709B98F9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4977" l="1"/>
  <c r="O18" i="4995"/>
  <c r="O21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6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7" i="4985" l="1"/>
  <c r="O15" i="4981"/>
  <c r="O19" i="4989"/>
  <c r="O20" i="4989"/>
  <c r="O17" i="4977" l="1"/>
  <c r="O17" i="4993"/>
  <c r="O16" i="4993" l="1"/>
  <c r="O15" i="4993"/>
  <c r="O16" i="4983"/>
  <c r="O19" i="4981"/>
  <c r="O17" i="4991" l="1"/>
  <c r="O22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1" i="4989"/>
  <c r="O22" i="4989"/>
  <c r="O15" i="4977"/>
  <c r="O18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9" i="4987"/>
  <c r="O16" i="4987"/>
  <c r="O20" i="4979"/>
  <c r="O18" i="4985" l="1"/>
  <c r="O17" i="4983"/>
  <c r="O17" i="4987"/>
  <c r="O18" i="4987"/>
  <c r="O15" i="4985" l="1"/>
  <c r="O15" i="4983"/>
  <c r="O20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20" i="4983"/>
  <c r="O19" i="4979"/>
  <c r="O17" i="4975"/>
  <c r="H3" i="4989" l="1"/>
  <c r="H4" i="4989"/>
  <c r="H40" i="4989"/>
  <c r="H13" i="4989"/>
  <c r="H2" i="4989"/>
  <c r="H7" i="4989"/>
  <c r="H26" i="4989"/>
  <c r="H32" i="4989"/>
  <c r="H48" i="4989"/>
  <c r="C17" i="4989"/>
  <c r="H10" i="4989"/>
  <c r="H44" i="4989"/>
  <c r="H8" i="4989"/>
  <c r="H6" i="4989"/>
  <c r="H14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6" i="4989"/>
  <c r="H29" i="4989"/>
  <c r="H12" i="4989"/>
  <c r="H34" i="4989"/>
  <c r="H38" i="4989"/>
  <c r="H42" i="4989"/>
  <c r="H46" i="4989"/>
  <c r="H50" i="4989"/>
  <c r="H15" i="4989"/>
  <c r="H20" i="4989"/>
  <c r="C19" i="4989"/>
  <c r="H11" i="4989"/>
  <c r="H31" i="4989"/>
  <c r="H35" i="4989"/>
  <c r="H39" i="4989"/>
  <c r="H43" i="4989"/>
  <c r="H47" i="4989"/>
  <c r="O17" i="4981" l="1"/>
  <c r="O20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20" i="4977"/>
  <c r="O18" i="4975"/>
  <c r="O20" i="4985"/>
  <c r="O17" i="4979"/>
  <c r="O18" i="4979"/>
  <c r="O19" i="4983"/>
  <c r="O19" i="4985"/>
  <c r="O21" i="4985"/>
  <c r="C27" i="4985"/>
  <c r="B24" i="4985"/>
  <c r="C20" i="4985"/>
  <c r="B17" i="4985"/>
  <c r="H5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19" i="4977"/>
  <c r="O23" i="4977"/>
  <c r="O21" i="4975"/>
  <c r="O19" i="4975"/>
  <c r="H4" i="4987" l="1"/>
  <c r="H9" i="4987"/>
  <c r="H2" i="4987"/>
  <c r="H3" i="4987"/>
  <c r="H19" i="4985"/>
  <c r="H22" i="4985"/>
  <c r="H7" i="4985"/>
  <c r="H11" i="4985"/>
  <c r="H2" i="4985"/>
  <c r="H8" i="4985"/>
  <c r="H4" i="4985"/>
  <c r="H16" i="4985"/>
  <c r="H2" i="4983"/>
  <c r="H4" i="4983"/>
  <c r="H3" i="4983"/>
  <c r="H10" i="4983"/>
  <c r="H29" i="4987"/>
  <c r="H38" i="4987"/>
  <c r="H10" i="4987"/>
  <c r="H23" i="4987"/>
  <c r="C17" i="4987"/>
  <c r="H14" i="4987"/>
  <c r="H42" i="4987"/>
  <c r="H20" i="4987"/>
  <c r="C18" i="4987"/>
  <c r="B23" i="4987"/>
  <c r="H31" i="4987"/>
  <c r="H46" i="4987"/>
  <c r="H21" i="4987"/>
  <c r="H12" i="4987"/>
  <c r="H5" i="4987"/>
  <c r="H11" i="4987"/>
  <c r="H7" i="4987"/>
  <c r="H15" i="4987"/>
  <c r="H22" i="4987"/>
  <c r="H16" i="4987"/>
  <c r="C19" i="4987"/>
  <c r="H34" i="4987"/>
  <c r="H50" i="4987"/>
  <c r="H24" i="4987"/>
  <c r="H26" i="4987"/>
  <c r="H28" i="4987"/>
  <c r="H30" i="4987"/>
  <c r="H18" i="4987"/>
  <c r="H35" i="4987"/>
  <c r="H39" i="4987"/>
  <c r="H43" i="4987"/>
  <c r="H47" i="4987"/>
  <c r="H51" i="4987"/>
  <c r="H32" i="4987"/>
  <c r="H36" i="4987"/>
  <c r="H40" i="4987"/>
  <c r="H44" i="4987"/>
  <c r="H48" i="4987"/>
  <c r="H19" i="4987"/>
  <c r="H17" i="4987"/>
  <c r="H25" i="4987"/>
  <c r="H27" i="4987"/>
  <c r="H13" i="4987"/>
  <c r="H8" i="4987"/>
  <c r="H33" i="4987"/>
  <c r="H37" i="4987"/>
  <c r="H41" i="4987"/>
  <c r="H45" i="4987"/>
  <c r="H49" i="4987"/>
  <c r="H3" i="4985"/>
  <c r="H21" i="4985"/>
  <c r="H23" i="4985"/>
  <c r="C19" i="4985"/>
  <c r="C17" i="4983"/>
  <c r="C17" i="4985"/>
  <c r="H12" i="4985"/>
  <c r="H9" i="4985"/>
  <c r="H6" i="4985"/>
  <c r="H14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5" i="4985"/>
  <c r="H10" i="4985"/>
  <c r="H32" i="4985"/>
  <c r="H36" i="4985"/>
  <c r="H40" i="4985"/>
  <c r="H44" i="4985"/>
  <c r="H48" i="4985"/>
  <c r="H6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7" i="4983"/>
  <c r="H36" i="4983"/>
  <c r="H40" i="4983"/>
  <c r="H44" i="4983"/>
  <c r="H48" i="4983"/>
  <c r="H18" i="4983"/>
  <c r="H9" i="4983"/>
  <c r="H7" i="4983"/>
  <c r="H13" i="4983"/>
  <c r="H21" i="4983"/>
  <c r="H24" i="4983"/>
  <c r="H19" i="4983"/>
  <c r="H27" i="4983"/>
  <c r="H12" i="4983"/>
  <c r="H11" i="4983"/>
  <c r="H33" i="4983"/>
  <c r="H37" i="4983"/>
  <c r="H41" i="4983"/>
  <c r="H45" i="4983"/>
  <c r="H49" i="4983"/>
  <c r="O16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2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7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20" i="4979"/>
  <c r="H23" i="4979"/>
  <c r="H15" i="4979"/>
  <c r="H42" i="4979"/>
  <c r="H31" i="4979"/>
  <c r="C17" i="4979"/>
  <c r="H9" i="4979"/>
  <c r="H7" i="4979"/>
  <c r="H13" i="4979"/>
  <c r="H19" i="4979"/>
  <c r="C18" i="4979"/>
  <c r="B23" i="4979"/>
  <c r="H32" i="4979"/>
  <c r="H46" i="4979"/>
  <c r="H6" i="4979"/>
  <c r="H22" i="4979"/>
  <c r="H27" i="4979"/>
  <c r="H21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18" i="4979"/>
  <c r="H14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1" i="4977"/>
  <c r="H50" i="4977"/>
  <c r="H23" i="4977"/>
  <c r="H38" i="4977"/>
  <c r="H8" i="4977"/>
  <c r="H22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8" i="4977"/>
  <c r="H27" i="4977"/>
  <c r="H39" i="4977"/>
  <c r="H43" i="4977"/>
  <c r="H47" i="4977"/>
  <c r="H51" i="4977"/>
  <c r="H25" i="4977"/>
  <c r="H36" i="4977"/>
  <c r="H40" i="4977"/>
  <c r="H44" i="4977"/>
  <c r="H48" i="4977"/>
  <c r="H16" i="4977"/>
  <c r="H20" i="4977"/>
  <c r="H15" i="4977"/>
  <c r="H32" i="4977"/>
  <c r="H12" i="4977"/>
  <c r="H9" i="4977"/>
  <c r="H26" i="4977"/>
  <c r="H37" i="4977"/>
  <c r="H41" i="4977"/>
  <c r="H45" i="4977"/>
  <c r="H49" i="4977"/>
  <c r="H2" i="4975"/>
  <c r="H3" i="4975"/>
  <c r="C17" i="4975"/>
  <c r="H14" i="4975"/>
  <c r="H10" i="4975"/>
  <c r="H6" i="4975"/>
  <c r="H13" i="4975"/>
  <c r="H23" i="4975"/>
  <c r="C18" i="4975"/>
  <c r="H8" i="4975"/>
  <c r="H20" i="4975"/>
  <c r="H24" i="4975"/>
  <c r="H7" i="4975"/>
  <c r="H21" i="4975"/>
  <c r="H32" i="4975"/>
  <c r="H16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7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19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<sst xmlns="http://schemas.openxmlformats.org/spreadsheetml/2006/main" count="2685" uniqueCount="212">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</sst>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全体!$K$2:$K$314</c:f>
              <c:numCache>
                <c:formatCode>General</c:formatCode>
                <c:ptCount val="3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</c:numCache>
            </c:numRef>
          </c:xVal>
          <c:yVal>
            <c:numRef>
              <c:f>全体!$L$2:$L$314</c:f>
              <c:numCache>
                <c:formatCode>\+0.0;\-0.0;\±0</c:formatCode>
                <c:ptCount val="31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-16.025641025641026</c:v>
                </c:pt>
                <c:pt idx="1">
                  <c:v>-12.944983818770227</c:v>
                </c:pt>
                <c:pt idx="2">
                  <c:v>17.543859649122808</c:v>
                </c:pt>
                <c:pt idx="3">
                  <c:v>11.363636363636363</c:v>
                </c:pt>
                <c:pt idx="4">
                  <c:v>-20.833333333333332</c:v>
                </c:pt>
                <c:pt idx="5">
                  <c:v>27.027027027027028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だいち!$L$2:$L$75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2734.2465753424658</c:v>
                </c:pt>
                <c:pt idx="1">
                  <c:v>2705.5555555555557</c:v>
                </c:pt>
                <c:pt idx="2">
                  <c:v>3142.6470588235293</c:v>
                </c:pt>
                <c:pt idx="3">
                  <c:v>3821.311475409836</c:v>
                </c:pt>
                <c:pt idx="4">
                  <c:v>592.59259259259261</c:v>
                </c:pt>
                <c:pt idx="5">
                  <c:v>1414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1076</c:v>
                </c:pt>
                <c:pt idx="1">
                  <c:v>-1747.2972972972973</c:v>
                </c:pt>
                <c:pt idx="2">
                  <c:v>-1628.1690140845071</c:v>
                </c:pt>
                <c:pt idx="3">
                  <c:v>1070.7692307692307</c:v>
                </c:pt>
                <c:pt idx="4">
                  <c:v>996.61016949152543</c:v>
                </c:pt>
                <c:pt idx="5">
                  <c:v>521.81818181818187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-3264.2857142857142</c:v>
                </c:pt>
                <c:pt idx="1">
                  <c:v>-4703.5714285714284</c:v>
                </c:pt>
                <c:pt idx="2">
                  <c:v>-3648</c:v>
                </c:pt>
                <c:pt idx="3">
                  <c:v>-7163.636363636364</c:v>
                </c:pt>
                <c:pt idx="4">
                  <c:v>-3610</c:v>
                </c:pt>
                <c:pt idx="5">
                  <c:v>-2531.5789473684213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-505.12820512820514</c:v>
                </c:pt>
                <c:pt idx="1">
                  <c:v>676.92307692307691</c:v>
                </c:pt>
                <c:pt idx="2">
                  <c:v>1058.3333333333333</c:v>
                </c:pt>
                <c:pt idx="3">
                  <c:v>-324.24242424242425</c:v>
                </c:pt>
                <c:pt idx="4">
                  <c:v>-970</c:v>
                </c:pt>
                <c:pt idx="5">
                  <c:v>242.85714285714286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1657.1428571428571</c:v>
                </c:pt>
                <c:pt idx="1">
                  <c:v>145.71428571428572</c:v>
                </c:pt>
                <c:pt idx="2">
                  <c:v>724.13793103448279</c:v>
                </c:pt>
                <c:pt idx="3">
                  <c:v>396.42857142857144</c:v>
                </c:pt>
                <c:pt idx="4">
                  <c:v>-1233.3333333333333</c:v>
                </c:pt>
                <c:pt idx="5">
                  <c:v>-1673.9130434782608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ぱぱ!$L$2:$L$33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-2980.6451612903224</c:v>
                </c:pt>
                <c:pt idx="1">
                  <c:v>1854.8387096774193</c:v>
                </c:pt>
                <c:pt idx="2">
                  <c:v>-1792.8571428571429</c:v>
                </c:pt>
                <c:pt idx="3">
                  <c:v>-4244.4444444444443</c:v>
                </c:pt>
                <c:pt idx="4">
                  <c:v>1175</c:v>
                </c:pt>
                <c:pt idx="5">
                  <c:v>-68.181818181818187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-5794.1176470588234</c:v>
                </c:pt>
                <c:pt idx="1">
                  <c:v>-1168.75</c:v>
                </c:pt>
                <c:pt idx="2">
                  <c:v>421.42857142857144</c:v>
                </c:pt>
                <c:pt idx="3">
                  <c:v>26.666666666666668</c:v>
                </c:pt>
                <c:pt idx="4">
                  <c:v>-414.28571428571428</c:v>
                </c:pt>
                <c:pt idx="5">
                  <c:v>2130.7692307692309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677532013969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905316259216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1.1538461538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6.41083521444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5641025641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5641025641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03686457120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79937912301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7364568081991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9613356766256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07692307692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43582.90587962963</v>
      </c>
      <c r="C26" s="30" t="s">
        <v>130</v>
      </c>
      <c r="D26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0.72559860930605125</v>
      </c>
      <c r="G2" s="155"/>
      <c r="H2" s="154">
        <v>0.78810678710869264</v>
      </c>
      <c r="I2" s="155"/>
      <c r="J2" s="154">
        <v>0.62782660783677702</v>
      </c>
      <c r="K2" s="155"/>
      <c r="L2" s="154">
        <v>0.62915497833251888</v>
      </c>
      <c r="M2" s="155"/>
      <c r="N2" s="154">
        <v>0.55605060207912715</v>
      </c>
      <c r="O2" s="155"/>
      <c r="P2" s="154">
        <v>0.7630608717787345</v>
      </c>
      <c r="Q2" s="155"/>
      <c r="R2" s="154">
        <v>-4.4158817452614969E-2</v>
      </c>
      <c r="S2" s="155"/>
      <c r="T2" s="154">
        <v>0.36330027025032308</v>
      </c>
      <c r="U2" s="155"/>
      <c r="V2" s="154">
        <v>0.71537677480310014</v>
      </c>
      <c r="W2" s="155"/>
      <c r="X2" s="154">
        <v>0.93425948415886551</v>
      </c>
      <c r="Y2" s="155"/>
      <c r="Z2" s="154">
        <v>-2.9031481540579895E-2</v>
      </c>
      <c r="AA2" s="155"/>
      <c r="AB2" s="154">
        <v>0.53582108587167587</v>
      </c>
      <c r="AC2" s="155"/>
      <c r="AD2" s="154">
        <v>0.4967699800127936</v>
      </c>
      <c r="AE2" s="155"/>
      <c r="AF2" s="154">
        <v>-0.1426661377489315</v>
      </c>
      <c r="AG2" s="155"/>
      <c r="AH2" s="154">
        <v>0.70795828908783665</v>
      </c>
      <c r="AI2" s="155"/>
    </row>
    <row r="3" spans="1:35" x14ac:dyDescent="0.4">
      <c r="A3" s="74">
        <v>1</v>
      </c>
      <c r="B3" s="75" t="s">
        <v>127</v>
      </c>
      <c r="C3" s="76">
        <v>1588.9000000000005</v>
      </c>
      <c r="D3" s="77" t="s">
        <v>127</v>
      </c>
      <c r="E3" s="96">
        <v>21.765753424657543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0.39451114922813035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0.19178082191780821</v>
      </c>
      <c r="X3" s="77" t="s">
        <v>127</v>
      </c>
      <c r="Y3" s="80">
        <v>0.32590051457975988</v>
      </c>
      <c r="Z3" s="77" t="s">
        <v>172</v>
      </c>
      <c r="AA3" s="80">
        <v>0.3164983164983165</v>
      </c>
      <c r="AB3" s="77" t="s">
        <v>186</v>
      </c>
      <c r="AC3" s="80">
        <v>0.7142857142857143</v>
      </c>
      <c r="AD3" s="77" t="s">
        <v>127</v>
      </c>
      <c r="AE3" s="80">
        <v>0.53472222222222221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185</v>
      </c>
      <c r="E4" s="97">
        <v>20.333333333333332</v>
      </c>
      <c r="F4" s="85" t="s">
        <v>127</v>
      </c>
      <c r="G4" s="86">
        <v>1.5616438356164384</v>
      </c>
      <c r="H4" s="85" t="s">
        <v>127</v>
      </c>
      <c r="I4" s="87">
        <v>0.58904109589041098</v>
      </c>
      <c r="J4" s="85" t="s">
        <v>202</v>
      </c>
      <c r="K4" s="87">
        <v>0</v>
      </c>
      <c r="L4" s="85" t="s">
        <v>172</v>
      </c>
      <c r="M4" s="88">
        <v>0.35016835016835018</v>
      </c>
      <c r="N4" s="85" t="s">
        <v>127</v>
      </c>
      <c r="O4" s="88">
        <v>0.14579759862778729</v>
      </c>
      <c r="P4" s="85" t="s">
        <v>127</v>
      </c>
      <c r="Q4" s="89">
        <v>9301.7391304347821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0.14285714285714285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0.64204545454545459</v>
      </c>
      <c r="AD4" s="85" t="s">
        <v>185</v>
      </c>
      <c r="AE4" s="88">
        <v>0.5</v>
      </c>
      <c r="AF4" s="85" t="s">
        <v>129</v>
      </c>
      <c r="AG4" s="88">
        <v>0.51219512195121952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202</v>
      </c>
      <c r="C5" s="84">
        <v>19.399999999999995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0.15068493150684931</v>
      </c>
      <c r="L5" s="85" t="s">
        <v>173</v>
      </c>
      <c r="M5" s="88">
        <v>0.30656934306569344</v>
      </c>
      <c r="N5" s="85" t="s">
        <v>172</v>
      </c>
      <c r="O5" s="88">
        <v>0.14814814814814814</v>
      </c>
      <c r="P5" s="85" t="s">
        <v>128</v>
      </c>
      <c r="Q5" s="89">
        <v>8938.1215469613253</v>
      </c>
      <c r="R5" s="85" t="s">
        <v>177</v>
      </c>
      <c r="S5" s="89">
        <v>-7029.6296296296296</v>
      </c>
      <c r="T5" s="85" t="s">
        <v>171</v>
      </c>
      <c r="U5" s="87">
        <v>2.564102564102564E-2</v>
      </c>
      <c r="V5" s="85" t="s">
        <v>171</v>
      </c>
      <c r="W5" s="87">
        <v>0.12820512820512819</v>
      </c>
      <c r="X5" s="85" t="s">
        <v>128</v>
      </c>
      <c r="Y5" s="88">
        <v>0.28295819935691319</v>
      </c>
      <c r="Z5" s="85" t="s">
        <v>177</v>
      </c>
      <c r="AA5" s="88">
        <v>0.27480916030534353</v>
      </c>
      <c r="AB5" s="85" t="s">
        <v>127</v>
      </c>
      <c r="AC5" s="88">
        <v>0.62105263157894741</v>
      </c>
      <c r="AD5" s="85" t="s">
        <v>172</v>
      </c>
      <c r="AE5" s="88">
        <v>0.42553191489361702</v>
      </c>
      <c r="AF5" s="85" t="s">
        <v>173</v>
      </c>
      <c r="AG5" s="88">
        <v>0.51190476190476186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145</v>
      </c>
      <c r="C6" s="84">
        <v>0</v>
      </c>
      <c r="D6" s="85" t="s">
        <v>145</v>
      </c>
      <c r="E6" s="97">
        <v>0</v>
      </c>
      <c r="F6" s="85" t="s">
        <v>145</v>
      </c>
      <c r="G6" s="86">
        <v>2</v>
      </c>
      <c r="H6" s="85" t="s">
        <v>177</v>
      </c>
      <c r="I6" s="87">
        <v>0.29411764705882354</v>
      </c>
      <c r="J6" s="85" t="s">
        <v>128</v>
      </c>
      <c r="K6" s="87">
        <v>0.30666666666666664</v>
      </c>
      <c r="L6" s="85" t="s">
        <v>145</v>
      </c>
      <c r="M6" s="88">
        <v>0.30267753201396974</v>
      </c>
      <c r="N6" s="85" t="s">
        <v>171</v>
      </c>
      <c r="O6" s="88">
        <v>0.15596330275229359</v>
      </c>
      <c r="P6" s="85" t="s">
        <v>171</v>
      </c>
      <c r="Q6" s="89">
        <v>8769.1358024691363</v>
      </c>
      <c r="R6" s="85" t="s">
        <v>171</v>
      </c>
      <c r="S6" s="89">
        <v>-7225.4901960784309</v>
      </c>
      <c r="T6" s="85" t="s">
        <v>127</v>
      </c>
      <c r="U6" s="87">
        <v>5.4794520547945202E-2</v>
      </c>
      <c r="V6" s="85" t="s">
        <v>145</v>
      </c>
      <c r="W6" s="87">
        <v>0.10256410256410256</v>
      </c>
      <c r="X6" s="85" t="s">
        <v>145</v>
      </c>
      <c r="Y6" s="88">
        <v>0.26503686457120684</v>
      </c>
      <c r="Z6" s="85" t="s">
        <v>127</v>
      </c>
      <c r="AA6" s="88">
        <v>0.24699828473413379</v>
      </c>
      <c r="AB6" s="85" t="s">
        <v>173</v>
      </c>
      <c r="AC6" s="88">
        <v>0.60606060606060608</v>
      </c>
      <c r="AD6" s="85" t="s">
        <v>177</v>
      </c>
      <c r="AE6" s="88">
        <v>0.3888888888888889</v>
      </c>
      <c r="AF6" s="85" t="s">
        <v>186</v>
      </c>
      <c r="AG6" s="88">
        <v>0.5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172</v>
      </c>
      <c r="C7" s="84">
        <v>-8.2999999999999972</v>
      </c>
      <c r="D7" s="85" t="s">
        <v>172</v>
      </c>
      <c r="E7" s="97">
        <v>-0.23714285714285707</v>
      </c>
      <c r="F7" s="85" t="s">
        <v>128</v>
      </c>
      <c r="G7" s="86">
        <v>2.0266666666666668</v>
      </c>
      <c r="H7" s="85" t="s">
        <v>172</v>
      </c>
      <c r="I7" s="87">
        <v>0.2857142857142857</v>
      </c>
      <c r="J7" s="85" t="s">
        <v>145</v>
      </c>
      <c r="K7" s="87">
        <v>0.33333333333333331</v>
      </c>
      <c r="L7" s="85" t="s">
        <v>128</v>
      </c>
      <c r="M7" s="88">
        <v>0.29099678456591638</v>
      </c>
      <c r="N7" s="85" t="s">
        <v>202</v>
      </c>
      <c r="O7" s="88">
        <v>0.16666666666666666</v>
      </c>
      <c r="P7" s="85" t="s">
        <v>145</v>
      </c>
      <c r="Q7" s="89">
        <v>8371.1538461538457</v>
      </c>
      <c r="R7" s="85" t="s">
        <v>128</v>
      </c>
      <c r="S7" s="89">
        <v>-7408.2568807339449</v>
      </c>
      <c r="T7" s="85" t="s">
        <v>172</v>
      </c>
      <c r="U7" s="87">
        <v>5.7142857142857141E-2</v>
      </c>
      <c r="V7" s="85" t="s">
        <v>128</v>
      </c>
      <c r="W7" s="87">
        <v>0.08</v>
      </c>
      <c r="X7" s="85" t="s">
        <v>185</v>
      </c>
      <c r="Y7" s="88">
        <v>0.26315789473684209</v>
      </c>
      <c r="Z7" s="85" t="s">
        <v>173</v>
      </c>
      <c r="AA7" s="88">
        <v>0.22992700729927007</v>
      </c>
      <c r="AB7" s="85" t="s">
        <v>185</v>
      </c>
      <c r="AC7" s="88">
        <v>0.6</v>
      </c>
      <c r="AD7" s="85" t="s">
        <v>186</v>
      </c>
      <c r="AE7" s="88">
        <v>0.38461538461538464</v>
      </c>
      <c r="AF7" s="85" t="s">
        <v>172</v>
      </c>
      <c r="AG7" s="88">
        <v>0.44230769230769229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128</v>
      </c>
      <c r="C8" s="84">
        <v>-52.900000000000055</v>
      </c>
      <c r="D8" s="85" t="s">
        <v>128</v>
      </c>
      <c r="E8" s="97">
        <v>-0.70533333333333403</v>
      </c>
      <c r="F8" s="85" t="s">
        <v>173</v>
      </c>
      <c r="G8" s="86">
        <v>2.096774193548387</v>
      </c>
      <c r="H8" s="85" t="s">
        <v>128</v>
      </c>
      <c r="I8" s="87">
        <v>0.28000000000000003</v>
      </c>
      <c r="J8" s="85" t="s">
        <v>173</v>
      </c>
      <c r="K8" s="87">
        <v>0.35483870967741937</v>
      </c>
      <c r="L8" s="85" t="s">
        <v>185</v>
      </c>
      <c r="M8" s="88">
        <v>0.26315789473684209</v>
      </c>
      <c r="N8" s="85" t="s">
        <v>145</v>
      </c>
      <c r="O8" s="88">
        <v>0.17190531625921615</v>
      </c>
      <c r="P8" s="85" t="s">
        <v>185</v>
      </c>
      <c r="Q8" s="89">
        <v>7860</v>
      </c>
      <c r="R8" s="85" t="s">
        <v>127</v>
      </c>
      <c r="S8" s="89">
        <v>-8017.6470588235297</v>
      </c>
      <c r="T8" s="85" t="s">
        <v>145</v>
      </c>
      <c r="U8" s="87">
        <v>0.10256410256410256</v>
      </c>
      <c r="V8" s="85" t="s">
        <v>173</v>
      </c>
      <c r="W8" s="87">
        <v>6.4516129032258063E-2</v>
      </c>
      <c r="X8" s="85" t="s">
        <v>171</v>
      </c>
      <c r="Y8" s="88">
        <v>0.25076452599388377</v>
      </c>
      <c r="Z8" s="85" t="s">
        <v>186</v>
      </c>
      <c r="AA8" s="88">
        <v>0.22807017543859648</v>
      </c>
      <c r="AB8" s="85" t="s">
        <v>145</v>
      </c>
      <c r="AC8" s="88">
        <v>0.59736456808199123</v>
      </c>
      <c r="AD8" s="85" t="s">
        <v>145</v>
      </c>
      <c r="AE8" s="88">
        <v>0.37961335676625657</v>
      </c>
      <c r="AF8" s="85" t="s">
        <v>145</v>
      </c>
      <c r="AG8" s="88">
        <v>0.42307692307692307</v>
      </c>
      <c r="AH8" s="85" t="s">
        <v>173</v>
      </c>
      <c r="AI8" s="92">
        <v>85900</v>
      </c>
    </row>
    <row r="9" spans="1:35" x14ac:dyDescent="0.4">
      <c r="A9" s="82">
        <v>7</v>
      </c>
      <c r="B9" s="83" t="s">
        <v>171</v>
      </c>
      <c r="C9" s="84">
        <v>-71.3</v>
      </c>
      <c r="D9" s="85" t="s">
        <v>171</v>
      </c>
      <c r="E9" s="97">
        <v>-1.8282051282051281</v>
      </c>
      <c r="F9" s="85" t="s">
        <v>171</v>
      </c>
      <c r="G9" s="86">
        <v>2.1025641025641026</v>
      </c>
      <c r="H9" s="85" t="s">
        <v>173</v>
      </c>
      <c r="I9" s="87">
        <v>0.25806451612903225</v>
      </c>
      <c r="J9" s="85" t="s">
        <v>171</v>
      </c>
      <c r="K9" s="87">
        <v>0.35897435897435898</v>
      </c>
      <c r="L9" s="85" t="s">
        <v>177</v>
      </c>
      <c r="M9" s="88">
        <v>0.25190839694656486</v>
      </c>
      <c r="N9" s="85" t="s">
        <v>128</v>
      </c>
      <c r="O9" s="88">
        <v>0.17524115755627009</v>
      </c>
      <c r="P9" s="85" t="s">
        <v>129</v>
      </c>
      <c r="Q9" s="89">
        <v>7680.4878048780483</v>
      </c>
      <c r="R9" s="85" t="s">
        <v>145</v>
      </c>
      <c r="S9" s="89">
        <v>-8026.4108352144467</v>
      </c>
      <c r="T9" s="85" t="s">
        <v>128</v>
      </c>
      <c r="U9" s="87">
        <v>0.12</v>
      </c>
      <c r="V9" s="85" t="s">
        <v>129</v>
      </c>
      <c r="W9" s="87">
        <v>0</v>
      </c>
      <c r="X9" s="85" t="s">
        <v>173</v>
      </c>
      <c r="Y9" s="88">
        <v>0.24087591240875914</v>
      </c>
      <c r="Z9" s="85" t="s">
        <v>145</v>
      </c>
      <c r="AA9" s="88">
        <v>0.22079937912301126</v>
      </c>
      <c r="AB9" s="85" t="s">
        <v>171</v>
      </c>
      <c r="AC9" s="88">
        <v>0.57317073170731703</v>
      </c>
      <c r="AD9" s="85" t="s">
        <v>173</v>
      </c>
      <c r="AE9" s="88">
        <v>0.31746031746031744</v>
      </c>
      <c r="AF9" s="85" t="s">
        <v>127</v>
      </c>
      <c r="AG9" s="88">
        <v>0.40869565217391307</v>
      </c>
      <c r="AH9" s="85" t="s">
        <v>177</v>
      </c>
      <c r="AI9" s="92">
        <v>65000</v>
      </c>
    </row>
    <row r="10" spans="1:35" x14ac:dyDescent="0.4">
      <c r="A10" s="82">
        <v>8</v>
      </c>
      <c r="B10" s="83" t="s">
        <v>177</v>
      </c>
      <c r="C10" s="84">
        <v>-161.19999999999999</v>
      </c>
      <c r="D10" s="85" t="s">
        <v>173</v>
      </c>
      <c r="E10" s="97">
        <v>-7.3</v>
      </c>
      <c r="F10" s="85" t="s">
        <v>172</v>
      </c>
      <c r="G10" s="86">
        <v>2.1142857142857143</v>
      </c>
      <c r="H10" s="85" t="s">
        <v>171</v>
      </c>
      <c r="I10" s="87">
        <v>0.25641025641025639</v>
      </c>
      <c r="J10" s="85" t="s">
        <v>172</v>
      </c>
      <c r="K10" s="87">
        <v>0.4</v>
      </c>
      <c r="L10" s="85" t="s">
        <v>202</v>
      </c>
      <c r="M10" s="88">
        <v>0.25</v>
      </c>
      <c r="N10" s="85" t="s">
        <v>173</v>
      </c>
      <c r="O10" s="88">
        <v>0.18978102189781021</v>
      </c>
      <c r="P10" s="85" t="s">
        <v>172</v>
      </c>
      <c r="Q10" s="89">
        <v>7118.2692307692305</v>
      </c>
      <c r="R10" s="85" t="s">
        <v>173</v>
      </c>
      <c r="S10" s="89">
        <v>-8353.8461538461543</v>
      </c>
      <c r="T10" s="85" t="s">
        <v>173</v>
      </c>
      <c r="U10" s="87">
        <v>0.12903225806451613</v>
      </c>
      <c r="V10" s="85" t="s">
        <v>177</v>
      </c>
      <c r="W10" s="87">
        <v>0</v>
      </c>
      <c r="X10" s="85" t="s">
        <v>129</v>
      </c>
      <c r="Y10" s="88">
        <v>0.23809523809523808</v>
      </c>
      <c r="Z10" s="85" t="s">
        <v>185</v>
      </c>
      <c r="AA10" s="88">
        <v>0.21052631578947367</v>
      </c>
      <c r="AB10" s="85" t="s">
        <v>172</v>
      </c>
      <c r="AC10" s="88">
        <v>0.55882352941176472</v>
      </c>
      <c r="AD10" s="85" t="s">
        <v>171</v>
      </c>
      <c r="AE10" s="88">
        <v>0.30909090909090908</v>
      </c>
      <c r="AF10" s="85" t="s">
        <v>128</v>
      </c>
      <c r="AG10" s="88">
        <v>0.39779005524861877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186</v>
      </c>
      <c r="C11" s="84">
        <v>-218.2</v>
      </c>
      <c r="D11" s="85" t="s">
        <v>177</v>
      </c>
      <c r="E11" s="97">
        <v>-9.4823529411764707</v>
      </c>
      <c r="F11" s="85" t="s">
        <v>177</v>
      </c>
      <c r="G11" s="86">
        <v>2.1176470588235294</v>
      </c>
      <c r="H11" s="85" t="s">
        <v>202</v>
      </c>
      <c r="I11" s="87">
        <v>0.25</v>
      </c>
      <c r="J11" s="85" t="s">
        <v>177</v>
      </c>
      <c r="K11" s="87">
        <v>0.41176470588235292</v>
      </c>
      <c r="L11" s="85" t="s">
        <v>171</v>
      </c>
      <c r="M11" s="88">
        <v>0.24770642201834864</v>
      </c>
      <c r="N11" s="85" t="s">
        <v>177</v>
      </c>
      <c r="O11" s="88">
        <v>0.20610687022900764</v>
      </c>
      <c r="P11" s="85" t="s">
        <v>177</v>
      </c>
      <c r="Q11" s="89">
        <v>7036.363636363636</v>
      </c>
      <c r="R11" s="85" t="s">
        <v>172</v>
      </c>
      <c r="S11" s="89">
        <v>-8481.818181818182</v>
      </c>
      <c r="T11" s="85" t="s">
        <v>186</v>
      </c>
      <c r="U11" s="87">
        <v>0.14285714285714285</v>
      </c>
      <c r="V11" s="85" t="s">
        <v>185</v>
      </c>
      <c r="W11" s="87">
        <v>0</v>
      </c>
      <c r="X11" s="85" t="s">
        <v>172</v>
      </c>
      <c r="Y11" s="88">
        <v>0.22895622895622897</v>
      </c>
      <c r="Z11" s="85" t="s">
        <v>128</v>
      </c>
      <c r="AA11" s="88">
        <v>0.19292604501607716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0.39393939393939392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173</v>
      </c>
      <c r="C12" s="84">
        <v>-226.29999999999998</v>
      </c>
      <c r="D12" s="85" t="s">
        <v>186</v>
      </c>
      <c r="E12" s="97">
        <v>-31.171428571428571</v>
      </c>
      <c r="F12" s="85" t="s">
        <v>129</v>
      </c>
      <c r="G12" s="86">
        <v>2.5714285714285716</v>
      </c>
      <c r="H12" s="85" t="s">
        <v>186</v>
      </c>
      <c r="I12" s="87">
        <v>0.14285714285714285</v>
      </c>
      <c r="J12" s="85" t="s">
        <v>129</v>
      </c>
      <c r="K12" s="87">
        <v>0.6785714285714286</v>
      </c>
      <c r="L12" s="85" t="s">
        <v>186</v>
      </c>
      <c r="M12" s="88">
        <v>0.21052631578947367</v>
      </c>
      <c r="N12" s="85" t="s">
        <v>129</v>
      </c>
      <c r="O12" s="88">
        <v>0.22077922077922077</v>
      </c>
      <c r="P12" s="85" t="s">
        <v>173</v>
      </c>
      <c r="Q12" s="89">
        <v>6801.1904761904761</v>
      </c>
      <c r="R12" s="85" t="s">
        <v>186</v>
      </c>
      <c r="S12" s="89">
        <v>-8762.5</v>
      </c>
      <c r="T12" s="85" t="s">
        <v>177</v>
      </c>
      <c r="U12" s="87">
        <v>0.17647058823529413</v>
      </c>
      <c r="V12" s="85" t="s">
        <v>186</v>
      </c>
      <c r="W12" s="87">
        <v>0</v>
      </c>
      <c r="X12" s="85" t="s">
        <v>177</v>
      </c>
      <c r="Y12" s="88">
        <v>0.17557251908396945</v>
      </c>
      <c r="Z12" s="85" t="s">
        <v>171</v>
      </c>
      <c r="AA12" s="88">
        <v>0.16819571865443425</v>
      </c>
      <c r="AB12" s="85" t="s">
        <v>177</v>
      </c>
      <c r="AC12" s="88">
        <v>0.52173913043478259</v>
      </c>
      <c r="AD12" s="85" t="s">
        <v>128</v>
      </c>
      <c r="AE12" s="88">
        <v>0.28333333333333333</v>
      </c>
      <c r="AF12" s="85" t="s">
        <v>171</v>
      </c>
      <c r="AG12" s="88">
        <v>0.34567901234567899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-931.09999999999991</v>
      </c>
      <c r="D13" s="85" t="s">
        <v>129</v>
      </c>
      <c r="E13" s="97">
        <v>-33.253571428571426</v>
      </c>
      <c r="F13" s="85" t="s">
        <v>186</v>
      </c>
      <c r="G13" s="86">
        <v>2.5714285714285716</v>
      </c>
      <c r="H13" s="85" t="s">
        <v>129</v>
      </c>
      <c r="I13" s="87">
        <v>0.10714285714285714</v>
      </c>
      <c r="J13" s="85" t="s">
        <v>186</v>
      </c>
      <c r="K13" s="87">
        <v>0.7142857142857143</v>
      </c>
      <c r="L13" s="85" t="s">
        <v>129</v>
      </c>
      <c r="M13" s="88">
        <v>0.1774891774891775</v>
      </c>
      <c r="N13" s="85" t="s">
        <v>186</v>
      </c>
      <c r="O13" s="88">
        <v>0.2807017543859649</v>
      </c>
      <c r="P13" s="85" t="s">
        <v>186</v>
      </c>
      <c r="Q13" s="89">
        <v>6500</v>
      </c>
      <c r="R13" s="85" t="s">
        <v>129</v>
      </c>
      <c r="S13" s="89">
        <v>-10100</v>
      </c>
      <c r="T13" s="85" t="s">
        <v>129</v>
      </c>
      <c r="U13" s="87">
        <v>0.2857142857142857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0.12987012987012986</v>
      </c>
      <c r="AB13" s="85" t="s">
        <v>129</v>
      </c>
      <c r="AC13" s="88">
        <v>0.47272727272727272</v>
      </c>
      <c r="AD13" s="85" t="s">
        <v>129</v>
      </c>
      <c r="AE13" s="88">
        <v>0.13333333333333333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314"/>
  <sheetViews>
    <sheetView showGridLines="0" topLeftCell="A14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312</v>
      </c>
      <c r="C2" s="147"/>
      <c r="E2" s="62" t="s">
        <v>67</v>
      </c>
      <c r="F2" s="59" t="s">
        <v>23</v>
      </c>
      <c r="G2" s="46">
        <v>574</v>
      </c>
      <c r="H2" s="132">
        <f>IF(B$17=0,0,G2/B$17)</f>
        <v>0.73589743589743595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-16.025641025641026</v>
      </c>
      <c r="P2" s="118">
        <v>312</v>
      </c>
      <c r="Q2" s="102">
        <v>-5000</v>
      </c>
    </row>
    <row r="3" spans="1:17" x14ac:dyDescent="0.4">
      <c r="A3" s="55" t="s">
        <v>8</v>
      </c>
      <c r="B3" s="148">
        <v>2577</v>
      </c>
      <c r="C3" s="149"/>
      <c r="E3" s="63" t="s">
        <v>73</v>
      </c>
      <c r="F3" s="60" t="s">
        <v>28</v>
      </c>
      <c r="G3" s="47">
        <v>411</v>
      </c>
      <c r="H3" s="133">
        <f>IF(B$17=0,0,G3/B$17)</f>
        <v>0.52692307692307694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-12.944983818770227</v>
      </c>
      <c r="P3" s="119">
        <v>309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388</v>
      </c>
      <c r="H4" s="133">
        <f>IF(B$17=0,0,G4/B$17)</f>
        <v>0.49743589743589745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17.543859649122808</v>
      </c>
      <c r="P4" s="119">
        <v>285</v>
      </c>
      <c r="Q4" s="103">
        <v>5000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298</v>
      </c>
      <c r="H5" s="133">
        <f>IF(B$17=0,0,G5/B$17)</f>
        <v>0.38205128205128203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11.363636363636363</v>
      </c>
      <c r="P5" s="119">
        <v>264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228</v>
      </c>
      <c r="H6" s="133">
        <f>IF(B$17=0,0,G6/B$17)</f>
        <v>0.29230769230769232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-20.833333333333332</v>
      </c>
      <c r="P6" s="119">
        <v>240</v>
      </c>
      <c r="Q6" s="103">
        <v>-5000</v>
      </c>
    </row>
    <row r="7" spans="1:17" x14ac:dyDescent="0.4">
      <c r="A7" s="55" t="s">
        <v>2</v>
      </c>
      <c r="B7" s="47">
        <v>104</v>
      </c>
      <c r="C7" s="39">
        <f>IF(B$2=0,0,B7/B$2)</f>
        <v>0.33333333333333331</v>
      </c>
      <c r="E7" s="63" t="s">
        <v>68</v>
      </c>
      <c r="F7" s="60" t="s">
        <v>24</v>
      </c>
      <c r="G7" s="47">
        <v>222</v>
      </c>
      <c r="H7" s="133">
        <f>IF(B$17=0,0,G7/B$17)</f>
        <v>0.2846153846153846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27.027027027027028</v>
      </c>
      <c r="P7" s="120">
        <v>222</v>
      </c>
      <c r="Q7" s="104">
        <v>6000</v>
      </c>
    </row>
    <row r="8" spans="1:17" x14ac:dyDescent="0.4">
      <c r="A8" s="55" t="s">
        <v>3</v>
      </c>
      <c r="B8" s="47">
        <v>104</v>
      </c>
      <c r="C8" s="39">
        <f>IF(B$2=0,0,B8/B$2)</f>
        <v>0.33333333333333331</v>
      </c>
      <c r="E8" s="63" t="s">
        <v>70</v>
      </c>
      <c r="F8" s="60" t="s">
        <v>25</v>
      </c>
      <c r="G8" s="47">
        <v>140</v>
      </c>
      <c r="H8" s="133">
        <f>IF(B$17=0,0,G8/B$17)</f>
        <v>0.17948717948717949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104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108</v>
      </c>
      <c r="H9" s="133">
        <f>IF(B$17=0,0,G9/B$17)</f>
        <v>0.13846153846153847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32</v>
      </c>
      <c r="C10" s="40">
        <f>IF(B$2=0,0,B10/B$2)</f>
        <v>0.10256410256410256</v>
      </c>
      <c r="E10" s="63" t="s">
        <v>66</v>
      </c>
      <c r="F10" s="60" t="s">
        <v>22</v>
      </c>
      <c r="G10" s="47">
        <v>97</v>
      </c>
      <c r="H10" s="133">
        <f>IF(B$17=0,0,G10/B$17)</f>
        <v>0.12435897435897436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-1.9644230769230773</v>
      </c>
      <c r="P10" s="118">
        <v>104</v>
      </c>
      <c r="Q10" s="106">
        <v>-204.30000000000004</v>
      </c>
    </row>
    <row r="11" spans="1:17" x14ac:dyDescent="0.4">
      <c r="A11" s="56" t="s">
        <v>140</v>
      </c>
      <c r="B11" s="48">
        <v>32</v>
      </c>
      <c r="C11" s="40">
        <f>IF(B$2=0,0,B11/B$2)</f>
        <v>0.10256410256410256</v>
      </c>
      <c r="E11" s="63" t="s">
        <v>71</v>
      </c>
      <c r="F11" s="60" t="s">
        <v>26</v>
      </c>
      <c r="G11" s="47">
        <v>85</v>
      </c>
      <c r="H11" s="133">
        <f>IF(B$17=0,0,G11/B$17)</f>
        <v>0.10897435897435898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-4.4163461538461544</v>
      </c>
      <c r="P11" s="119">
        <v>104</v>
      </c>
      <c r="Q11" s="107">
        <v>-459.30000000000007</v>
      </c>
    </row>
    <row r="12" spans="1:17" x14ac:dyDescent="0.4">
      <c r="A12" s="57" t="s">
        <v>160</v>
      </c>
      <c r="B12" s="49">
        <v>32</v>
      </c>
      <c r="C12" s="42">
        <f>IF(B$2=0,0,B12/B$2)</f>
        <v>0.10256410256410256</v>
      </c>
      <c r="E12" s="63" t="s">
        <v>87</v>
      </c>
      <c r="F12" s="60" t="s">
        <v>42</v>
      </c>
      <c r="G12" s="47">
        <v>49</v>
      </c>
      <c r="H12" s="133">
        <f>IF(B$17=0,0,G12/B$17)</f>
        <v>6.2820512820512819E-2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6.3807692307692303</v>
      </c>
      <c r="P12" s="120">
        <v>104</v>
      </c>
      <c r="Q12" s="108">
        <v>663.59999999999991</v>
      </c>
    </row>
    <row r="13" spans="1:17" x14ac:dyDescent="0.4">
      <c r="A13" s="58" t="s">
        <v>122</v>
      </c>
      <c r="B13" s="50">
        <v>683</v>
      </c>
      <c r="C13" s="44">
        <f>IF(B$3=0,0,B13/B$3)</f>
        <v>0.26503686457120684</v>
      </c>
      <c r="E13" s="63" t="s">
        <v>72</v>
      </c>
      <c r="F13" s="60" t="s">
        <v>27</v>
      </c>
      <c r="G13" s="47">
        <v>43</v>
      </c>
      <c r="H13" s="133">
        <f>IF(B$17=0,0,G13/B$17)</f>
        <v>5.5128205128205127E-2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569</v>
      </c>
      <c r="C14" s="39">
        <f>IF(B$3=0,0,B14/B$3)</f>
        <v>0.22079937912301126</v>
      </c>
      <c r="E14" s="63" t="s">
        <v>84</v>
      </c>
      <c r="F14" s="60" t="s">
        <v>39</v>
      </c>
      <c r="G14" s="47">
        <v>35</v>
      </c>
      <c r="H14" s="133">
        <f>IF(B$17=0,0,G14/B$17)</f>
        <v>4.4871794871794872E-2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408</v>
      </c>
      <c r="C15" s="37">
        <f>IF(B$13=0,0,B15/B$13)</f>
        <v>0.59736456808199123</v>
      </c>
      <c r="E15" s="63" t="s">
        <v>82</v>
      </c>
      <c r="F15" s="60" t="s">
        <v>37</v>
      </c>
      <c r="G15" s="47">
        <v>22</v>
      </c>
      <c r="H15" s="133">
        <f>IF(B$17=0,0,G15/B$17)</f>
        <v>2.8205128205128206E-2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49.880357142857143</v>
      </c>
      <c r="P15" s="118">
        <v>56</v>
      </c>
      <c r="Q15" s="106">
        <v>2793.3</v>
      </c>
    </row>
    <row r="16" spans="1:17" x14ac:dyDescent="0.4">
      <c r="A16" s="54" t="s">
        <v>125</v>
      </c>
      <c r="B16" s="46">
        <v>216</v>
      </c>
      <c r="C16" s="37">
        <f>IF(B$14=0,0,B16/B$14)</f>
        <v>0.37961335676625657</v>
      </c>
      <c r="E16" s="63" t="s">
        <v>79</v>
      </c>
      <c r="F16" s="60" t="s">
        <v>34</v>
      </c>
      <c r="G16" s="47">
        <v>14</v>
      </c>
      <c r="H16" s="133">
        <f>IF(B$17=0,0,G16/B$17)</f>
        <v>1.7948717948717947E-2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780</v>
      </c>
      <c r="C17" s="37">
        <f>IF(B$3=0,0,B17/B$3)</f>
        <v>0.30267753201396974</v>
      </c>
      <c r="E17" s="63" t="s">
        <v>92</v>
      </c>
      <c r="F17" s="60" t="s">
        <v>47</v>
      </c>
      <c r="G17" s="47">
        <v>13</v>
      </c>
      <c r="H17" s="133">
        <f>IF(B$17=0,0,G17/B$17)</f>
        <v>1.6666666666666666E-2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14.223529411764703</v>
      </c>
      <c r="P17" s="119">
        <v>34</v>
      </c>
      <c r="Q17" s="107">
        <v>483.59999999999991</v>
      </c>
    </row>
    <row r="18" spans="1:17" x14ac:dyDescent="0.4">
      <c r="A18" s="55" t="s">
        <v>12</v>
      </c>
      <c r="B18" s="47">
        <v>330</v>
      </c>
      <c r="C18" s="39">
        <f>IF(B$17=0,0,B18/B$17)</f>
        <v>0.42307692307692307</v>
      </c>
      <c r="E18" s="63" t="s">
        <v>180</v>
      </c>
      <c r="F18" s="60" t="s">
        <v>183</v>
      </c>
      <c r="G18" s="47">
        <v>13</v>
      </c>
      <c r="H18" s="133">
        <f>IF(B$17=0,0,G18/B$17)</f>
        <v>1.6666666666666666E-2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10.95</v>
      </c>
      <c r="P18" s="119">
        <v>62</v>
      </c>
      <c r="Q18" s="107">
        <v>678.9</v>
      </c>
    </row>
    <row r="19" spans="1:17" x14ac:dyDescent="0.4">
      <c r="A19" s="55" t="s">
        <v>11</v>
      </c>
      <c r="B19" s="47">
        <v>450</v>
      </c>
      <c r="C19" s="39">
        <f>IF(B$17=0,0,B19/B$17)</f>
        <v>0.57692307692307687</v>
      </c>
      <c r="E19" s="63" t="s">
        <v>80</v>
      </c>
      <c r="F19" s="60" t="s">
        <v>35</v>
      </c>
      <c r="G19" s="47">
        <v>8</v>
      </c>
      <c r="H19" s="133">
        <f>IF(B$17=0,0,G19/B$17)</f>
        <v>1.0256410256410256E-2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2.7423076923076946</v>
      </c>
      <c r="P19" s="119">
        <v>78</v>
      </c>
      <c r="Q19" s="107">
        <v>213.90000000000018</v>
      </c>
    </row>
    <row r="20" spans="1:17" x14ac:dyDescent="0.4">
      <c r="A20" s="55" t="s">
        <v>13</v>
      </c>
      <c r="B20" s="47">
        <v>443</v>
      </c>
      <c r="C20" s="39">
        <f>IF(B$3=0,0,B20/B$3)</f>
        <v>0.17190531625921615</v>
      </c>
      <c r="E20" s="63" t="s">
        <v>76</v>
      </c>
      <c r="F20" s="60" t="s">
        <v>31</v>
      </c>
      <c r="G20" s="47">
        <v>6</v>
      </c>
      <c r="H20" s="133">
        <f>IF(B$17=0,0,G20/B$17)</f>
        <v>7.6923076923076927E-3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1.0579999999999974</v>
      </c>
      <c r="P20" s="119">
        <v>150</v>
      </c>
      <c r="Q20" s="107">
        <v>158.69999999999962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5.1282051282051282E-3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0.35571428571428426</v>
      </c>
      <c r="P21" s="119">
        <v>70</v>
      </c>
      <c r="Q21" s="107">
        <v>24.899999999999899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93</v>
      </c>
      <c r="F22" s="60" t="s">
        <v>48</v>
      </c>
      <c r="G22" s="47">
        <v>4</v>
      </c>
      <c r="H22" s="133">
        <f>IF(B$17=0,0,G22/B$17)</f>
        <v>5.1282051282051282E-3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8371.1538461538457</v>
      </c>
      <c r="C23" s="41">
        <v>6529500</v>
      </c>
      <c r="E23" s="63" t="s">
        <v>75</v>
      </c>
      <c r="F23" s="60" t="s">
        <v>30</v>
      </c>
      <c r="G23" s="47">
        <v>2</v>
      </c>
      <c r="H23" s="133">
        <f>IF(B$17=0,0,G23/B$17)</f>
        <v>2.5641025641025641E-3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>IF(P23=0,0,Q23/P23)</f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-8026.4108352144467</v>
      </c>
      <c r="C24" s="45">
        <v>-3555700</v>
      </c>
      <c r="E24" s="63" t="s">
        <v>78</v>
      </c>
      <c r="F24" s="60" t="s">
        <v>33</v>
      </c>
      <c r="G24" s="47">
        <v>2</v>
      </c>
      <c r="H24" s="133">
        <f>IF(B$17=0,0,G24/B$17)</f>
        <v>2.5641025641025641E-3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-32.64863013698627</v>
      </c>
      <c r="P24" s="119">
        <v>146</v>
      </c>
      <c r="Q24" s="107">
        <v>-4766.6999999999953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>IF(B$17=0,0,G25/B$17)</f>
        <v>2.5641025641025641E-3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1.2820512820512821E-3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9</v>
      </c>
      <c r="C27" s="42">
        <f>IF(B$3=0,0,B27/B$3)</f>
        <v>3.4924330616996507E-3</v>
      </c>
      <c r="E27" s="63" t="s">
        <v>86</v>
      </c>
      <c r="F27" s="60" t="s">
        <v>41</v>
      </c>
      <c r="G27" s="47">
        <v>1</v>
      </c>
      <c r="H27" s="133">
        <f>IF(B$17=0,0,G27/B$17)</f>
        <v>1.2820512820512821E-3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1.2820512820512821E-3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>IF(B$17=0,0,G29/B$17)</f>
        <v>1.2820512820512821E-3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>IF(B$17=0,0,G30/B$17)</f>
        <v>1.2820512820512821E-3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1.2820512820512821E-3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7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73</v>
      </c>
      <c r="C2" s="147"/>
      <c r="E2" s="62" t="s">
        <v>67</v>
      </c>
      <c r="F2" s="59" t="s">
        <v>23</v>
      </c>
      <c r="G2" s="46">
        <v>174</v>
      </c>
      <c r="H2" s="132">
        <f>IF(B$17=0,0,G2/B$17)</f>
        <v>0.75652173913043474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2734.2465753424658</v>
      </c>
      <c r="P2" s="118">
        <v>73</v>
      </c>
      <c r="Q2" s="102">
        <v>199600</v>
      </c>
    </row>
    <row r="3" spans="1:17" x14ac:dyDescent="0.4">
      <c r="A3" s="55" t="s">
        <v>8</v>
      </c>
      <c r="B3" s="148">
        <v>583</v>
      </c>
      <c r="C3" s="149"/>
      <c r="E3" s="63" t="s">
        <v>73</v>
      </c>
      <c r="F3" s="60" t="s">
        <v>28</v>
      </c>
      <c r="G3" s="47">
        <v>126</v>
      </c>
      <c r="H3" s="133">
        <f>IF(B$17=0,0,G3/B$17)</f>
        <v>0.54782608695652169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2705.5555555555557</v>
      </c>
      <c r="P3" s="119">
        <v>72</v>
      </c>
      <c r="Q3" s="103">
        <v>194800</v>
      </c>
    </row>
    <row r="4" spans="1:17" x14ac:dyDescent="0.4">
      <c r="A4" s="55" t="s">
        <v>6</v>
      </c>
      <c r="B4" s="150">
        <v>1588.9000000000005</v>
      </c>
      <c r="C4" s="151"/>
      <c r="E4" s="63" t="s">
        <v>65</v>
      </c>
      <c r="F4" s="60" t="s">
        <v>21</v>
      </c>
      <c r="G4" s="47">
        <v>109</v>
      </c>
      <c r="H4" s="133">
        <f>IF(B$17=0,0,G4/B$17)</f>
        <v>0.47391304347826085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3142.6470588235293</v>
      </c>
      <c r="P4" s="119">
        <v>68</v>
      </c>
      <c r="Q4" s="103">
        <v>213700</v>
      </c>
    </row>
    <row r="5" spans="1:17" x14ac:dyDescent="0.4">
      <c r="A5" s="55" t="s">
        <v>7</v>
      </c>
      <c r="B5" s="152">
        <f>IF(B$2=0,0,B$4/B$2)</f>
        <v>21.765753424657543</v>
      </c>
      <c r="C5" s="153"/>
      <c r="E5" s="63" t="s">
        <v>181</v>
      </c>
      <c r="F5" s="60" t="s">
        <v>182</v>
      </c>
      <c r="G5" s="47">
        <v>93</v>
      </c>
      <c r="H5" s="133">
        <f>IF(B$17=0,0,G5/B$17)</f>
        <v>0.40434782608695652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3821.311475409836</v>
      </c>
      <c r="P5" s="119">
        <v>61</v>
      </c>
      <c r="Q5" s="103">
        <v>233100</v>
      </c>
    </row>
    <row r="6" spans="1:17" x14ac:dyDescent="0.4">
      <c r="A6" s="55" t="s">
        <v>1</v>
      </c>
      <c r="B6" s="142">
        <f>IF(B$2=0,0,(B$7*1+B$8*2+B$9*3)/B$2)</f>
        <v>1.5616438356164384</v>
      </c>
      <c r="C6" s="143"/>
      <c r="E6" s="63" t="s">
        <v>68</v>
      </c>
      <c r="F6" s="60" t="s">
        <v>24</v>
      </c>
      <c r="G6" s="47">
        <v>75</v>
      </c>
      <c r="H6" s="133">
        <f>IF(B$17=0,0,G6/B$17)</f>
        <v>0.32608695652173914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592.59259259259261</v>
      </c>
      <c r="P6" s="119">
        <v>54</v>
      </c>
      <c r="Q6" s="103">
        <v>32000</v>
      </c>
    </row>
    <row r="7" spans="1:17" x14ac:dyDescent="0.4">
      <c r="A7" s="55" t="s">
        <v>2</v>
      </c>
      <c r="B7" s="47">
        <v>43</v>
      </c>
      <c r="C7" s="39">
        <f>IF(B$2=0,0,B7/B$2)</f>
        <v>0.58904109589041098</v>
      </c>
      <c r="E7" s="63" t="s">
        <v>69</v>
      </c>
      <c r="F7" s="60" t="s">
        <v>12</v>
      </c>
      <c r="G7" s="47">
        <v>55</v>
      </c>
      <c r="H7" s="133">
        <f>IF(B$17=0,0,G7/B$17)</f>
        <v>0.2391304347826087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1414</v>
      </c>
      <c r="P7" s="120">
        <v>50</v>
      </c>
      <c r="Q7" s="104">
        <v>70700</v>
      </c>
    </row>
    <row r="8" spans="1:17" x14ac:dyDescent="0.4">
      <c r="A8" s="55" t="s">
        <v>3</v>
      </c>
      <c r="B8" s="47">
        <v>19</v>
      </c>
      <c r="C8" s="39">
        <f>IF(B$2=0,0,B8/B$2)</f>
        <v>0.26027397260273971</v>
      </c>
      <c r="E8" s="63" t="s">
        <v>70</v>
      </c>
      <c r="F8" s="60" t="s">
        <v>25</v>
      </c>
      <c r="G8" s="47">
        <v>43</v>
      </c>
      <c r="H8" s="133">
        <f>IF(B$17=0,0,G8/B$17)</f>
        <v>0.18695652173913044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0.15068493150684931</v>
      </c>
      <c r="E9" s="63" t="s">
        <v>90</v>
      </c>
      <c r="F9" s="60" t="s">
        <v>45</v>
      </c>
      <c r="G9" s="47">
        <v>43</v>
      </c>
      <c r="H9" s="133">
        <f>IF(B$17=0,0,G9/B$17)</f>
        <v>0.18695652173913044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5.4794520547945202E-2</v>
      </c>
      <c r="E10" s="63" t="s">
        <v>66</v>
      </c>
      <c r="F10" s="60" t="s">
        <v>22</v>
      </c>
      <c r="G10" s="47">
        <v>32</v>
      </c>
      <c r="H10" s="133">
        <f>IF(B$17=0,0,G10/B$17)</f>
        <v>0.1391304347826087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21.395652173913042</v>
      </c>
      <c r="P10" s="118">
        <v>23</v>
      </c>
      <c r="Q10" s="106">
        <v>492.09999999999997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0.19178082191780821</v>
      </c>
      <c r="E11" s="63" t="s">
        <v>71</v>
      </c>
      <c r="F11" s="60" t="s">
        <v>26</v>
      </c>
      <c r="G11" s="47">
        <v>20</v>
      </c>
      <c r="H11" s="133">
        <f>IF(B$17=0,0,G11/B$17)</f>
        <v>8.6956521739130432E-2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15.577272727272726</v>
      </c>
      <c r="P11" s="119">
        <v>22</v>
      </c>
      <c r="Q11" s="107">
        <v>342.7</v>
      </c>
    </row>
    <row r="12" spans="1:17" x14ac:dyDescent="0.4">
      <c r="A12" s="57" t="s">
        <v>160</v>
      </c>
      <c r="B12" s="49">
        <v>16</v>
      </c>
      <c r="C12" s="42">
        <f>IF(B$2=0,0,B12/B$2)</f>
        <v>0.21917808219178081</v>
      </c>
      <c r="E12" s="63" t="s">
        <v>87</v>
      </c>
      <c r="F12" s="60" t="s">
        <v>42</v>
      </c>
      <c r="G12" s="47">
        <v>19</v>
      </c>
      <c r="H12" s="133">
        <f>IF(B$17=0,0,G12/B$17)</f>
        <v>8.2608695652173908E-2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26.93214285714286</v>
      </c>
      <c r="P12" s="120">
        <v>28</v>
      </c>
      <c r="Q12" s="108">
        <v>754.10000000000014</v>
      </c>
    </row>
    <row r="13" spans="1:17" x14ac:dyDescent="0.4">
      <c r="A13" s="58" t="s">
        <v>122</v>
      </c>
      <c r="B13" s="50">
        <v>190</v>
      </c>
      <c r="C13" s="44">
        <f>IF(B$3=0,0,B13/B$3)</f>
        <v>0.32590051457975988</v>
      </c>
      <c r="E13" s="63" t="s">
        <v>72</v>
      </c>
      <c r="F13" s="60" t="s">
        <v>27</v>
      </c>
      <c r="G13" s="47">
        <v>13</v>
      </c>
      <c r="H13" s="133">
        <f>IF(B$17=0,0,G13/B$17)</f>
        <v>5.6521739130434782E-2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0.24699828473413379</v>
      </c>
      <c r="E14" s="63" t="s">
        <v>84</v>
      </c>
      <c r="F14" s="60" t="s">
        <v>39</v>
      </c>
      <c r="G14" s="47">
        <v>13</v>
      </c>
      <c r="H14" s="133">
        <f>IF(B$17=0,0,G14/B$17)</f>
        <v>5.6521739130434782E-2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</v>
      </c>
      <c r="C15" s="37">
        <f>IF(B$13=0,0,B15/B$13)</f>
        <v>0.62105263157894741</v>
      </c>
      <c r="E15" s="63" t="s">
        <v>82</v>
      </c>
      <c r="F15" s="60" t="s">
        <v>37</v>
      </c>
      <c r="G15" s="47">
        <v>7</v>
      </c>
      <c r="H15" s="133">
        <f>IF(B$17=0,0,G15/B$17)</f>
        <v>3.0434782608695653E-2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77</v>
      </c>
      <c r="C16" s="37">
        <f>IF(B$14=0,0,B16/B$14)</f>
        <v>0.53472222222222221</v>
      </c>
      <c r="E16" s="63" t="s">
        <v>180</v>
      </c>
      <c r="F16" s="60" t="s">
        <v>183</v>
      </c>
      <c r="G16" s="47">
        <v>6</v>
      </c>
      <c r="H16" s="133">
        <f>IF(B$17=0,0,G16/B$17)</f>
        <v>2.6086956521739129E-2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62.552631578947377</v>
      </c>
      <c r="P16" s="119">
        <v>19</v>
      </c>
      <c r="Q16" s="107">
        <v>1188.5000000000002</v>
      </c>
    </row>
    <row r="17" spans="1:17" x14ac:dyDescent="0.4">
      <c r="A17" s="54" t="s">
        <v>10</v>
      </c>
      <c r="B17" s="46">
        <f>B19+B18</f>
        <v>230</v>
      </c>
      <c r="C17" s="37">
        <f>IF(B$3=0,0,B17/B$3)</f>
        <v>0.39451114922813035</v>
      </c>
      <c r="E17" s="63" t="s">
        <v>79</v>
      </c>
      <c r="F17" s="60" t="s">
        <v>34</v>
      </c>
      <c r="G17" s="47">
        <v>4</v>
      </c>
      <c r="H17" s="133">
        <f>IF(B$17=0,0,G17/B$17)</f>
        <v>1.7391304347826087E-2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>IF(P17=0,0,Q17/P17)</f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94</v>
      </c>
      <c r="C18" s="39">
        <f>IF(B$17=0,0,B18/B$17)</f>
        <v>0.40869565217391307</v>
      </c>
      <c r="E18" s="63" t="s">
        <v>92</v>
      </c>
      <c r="F18" s="60" t="s">
        <v>47</v>
      </c>
      <c r="G18" s="47">
        <v>3</v>
      </c>
      <c r="H18" s="133">
        <f>IF(B$17=0,0,G18/B$17)</f>
        <v>1.3043478260869565E-2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40.06666666666667</v>
      </c>
      <c r="P18" s="119">
        <v>9</v>
      </c>
      <c r="Q18" s="107">
        <v>360.6</v>
      </c>
    </row>
    <row r="19" spans="1:17" x14ac:dyDescent="0.4">
      <c r="A19" s="55" t="s">
        <v>11</v>
      </c>
      <c r="B19" s="47">
        <v>136</v>
      </c>
      <c r="C19" s="39">
        <f>IF(B$17=0,0,B19/B$17)</f>
        <v>0.59130434782608698</v>
      </c>
      <c r="E19" s="63" t="s">
        <v>74</v>
      </c>
      <c r="F19" s="60" t="s">
        <v>29</v>
      </c>
      <c r="G19" s="47">
        <v>2</v>
      </c>
      <c r="H19" s="133">
        <f>IF(B$17=0,0,G19/B$17)</f>
        <v>8.6956521739130436E-3</v>
      </c>
      <c r="I19" s="94">
        <v>2</v>
      </c>
      <c r="K19" s="38">
        <v>17</v>
      </c>
      <c r="L19" s="99">
        <v>427.40000000000003</v>
      </c>
      <c r="N19" s="115" t="s">
        <v>172</v>
      </c>
      <c r="O19" s="125">
        <f>IF(P19=0,0,Q19/P19)</f>
        <v>38.435294117647068</v>
      </c>
      <c r="P19" s="119">
        <v>17</v>
      </c>
      <c r="Q19" s="107">
        <v>653.4000000000002</v>
      </c>
    </row>
    <row r="20" spans="1:17" x14ac:dyDescent="0.4">
      <c r="A20" s="55" t="s">
        <v>13</v>
      </c>
      <c r="B20" s="47">
        <v>85</v>
      </c>
      <c r="C20" s="39">
        <f>IF(B$3=0,0,B20/B$3)</f>
        <v>0.14579759862778729</v>
      </c>
      <c r="E20" s="63" t="s">
        <v>80</v>
      </c>
      <c r="F20" s="60" t="s">
        <v>35</v>
      </c>
      <c r="G20" s="47">
        <v>2</v>
      </c>
      <c r="H20" s="133">
        <f>IF(B$17=0,0,G20/B$17)</f>
        <v>8.6956521739130436E-3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33.157142857142858</v>
      </c>
      <c r="P20" s="119">
        <v>14</v>
      </c>
      <c r="Q20" s="107">
        <v>464.2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4.3478260869565218E-3</v>
      </c>
      <c r="I21" s="94">
        <v>5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12</v>
      </c>
      <c r="E22" s="63" t="s">
        <v>78</v>
      </c>
      <c r="F22" s="60" t="s">
        <v>33</v>
      </c>
      <c r="G22" s="47">
        <v>1</v>
      </c>
      <c r="H22" s="133">
        <f>IF(B$17=0,0,G22/B$17)</f>
        <v>4.3478260869565218E-3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22.382456140350889</v>
      </c>
      <c r="P22" s="119">
        <v>57</v>
      </c>
      <c r="Q22" s="107">
        <v>1275.8000000000006</v>
      </c>
    </row>
    <row r="23" spans="1:17" x14ac:dyDescent="0.4">
      <c r="A23" s="55" t="s">
        <v>5</v>
      </c>
      <c r="B23" s="51">
        <f>IF(B$17=0,0,C23/B$17)</f>
        <v>9301.7391304347821</v>
      </c>
      <c r="C23" s="41">
        <v>2139400</v>
      </c>
      <c r="E23" s="63" t="s">
        <v>88</v>
      </c>
      <c r="F23" s="60" t="s">
        <v>43</v>
      </c>
      <c r="G23" s="47">
        <v>1</v>
      </c>
      <c r="H23" s="133">
        <f>IF(B$17=0,0,G23/B$17)</f>
        <v>4.3478260869565218E-3</v>
      </c>
      <c r="I23" s="94">
        <v>1</v>
      </c>
      <c r="K23" s="38">
        <v>21</v>
      </c>
      <c r="L23" s="99">
        <v>468.3</v>
      </c>
      <c r="N23" s="115" t="s">
        <v>171</v>
      </c>
      <c r="O23" s="125">
        <f>IF(P23=0,0,Q23/P23)</f>
        <v>21.029166666666658</v>
      </c>
      <c r="P23" s="119">
        <v>24</v>
      </c>
      <c r="Q23" s="107">
        <v>504.69999999999982</v>
      </c>
    </row>
    <row r="24" spans="1:17" x14ac:dyDescent="0.4">
      <c r="A24" s="57" t="s">
        <v>14</v>
      </c>
      <c r="B24" s="52">
        <f>IF(B$20=0,0,C24/B$20)</f>
        <v>-8017.6470588235297</v>
      </c>
      <c r="C24" s="45">
        <v>-681500</v>
      </c>
      <c r="E24" s="63" t="s">
        <v>91</v>
      </c>
      <c r="F24" s="60" t="s">
        <v>46</v>
      </c>
      <c r="G24" s="47">
        <v>1</v>
      </c>
      <c r="H24" s="133">
        <f>IF(B$17=0,0,G24/B$17)</f>
        <v>4.3478260869565218E-3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4.3478260869565218E-3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4.3478260869565218E-3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4.3478260869565218E-3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67</v>
      </c>
      <c r="F2" s="59" t="s">
        <v>23</v>
      </c>
      <c r="G2" s="46">
        <v>127</v>
      </c>
      <c r="H2" s="132">
        <f>IF(B$17=0,0,G2/B$17)</f>
        <v>0.7016574585635359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1076</v>
      </c>
      <c r="P2" s="118">
        <v>75</v>
      </c>
      <c r="Q2" s="102">
        <v>80700</v>
      </c>
    </row>
    <row r="3" spans="1:17" x14ac:dyDescent="0.4">
      <c r="A3" s="55" t="s">
        <v>8</v>
      </c>
      <c r="B3" s="148">
        <v>622</v>
      </c>
      <c r="C3" s="149"/>
      <c r="E3" s="63" t="s">
        <v>65</v>
      </c>
      <c r="F3" s="60" t="s">
        <v>21</v>
      </c>
      <c r="G3" s="47">
        <v>107</v>
      </c>
      <c r="H3" s="133">
        <f>IF(B$17=0,0,G3/B$17)</f>
        <v>0.59116022099447518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-1747.2972972972973</v>
      </c>
      <c r="P3" s="119">
        <v>74</v>
      </c>
      <c r="Q3" s="103">
        <v>-129300</v>
      </c>
    </row>
    <row r="4" spans="1:17" x14ac:dyDescent="0.4">
      <c r="A4" s="55" t="s">
        <v>6</v>
      </c>
      <c r="B4" s="150">
        <v>-52.900000000000055</v>
      </c>
      <c r="C4" s="151"/>
      <c r="E4" s="63" t="s">
        <v>73</v>
      </c>
      <c r="F4" s="60" t="s">
        <v>28</v>
      </c>
      <c r="G4" s="47">
        <v>83</v>
      </c>
      <c r="H4" s="133">
        <f>IF(B$17=0,0,G4/B$17)</f>
        <v>0.4585635359116022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-1628.1690140845071</v>
      </c>
      <c r="P4" s="119">
        <v>71</v>
      </c>
      <c r="Q4" s="103">
        <v>-115600</v>
      </c>
    </row>
    <row r="5" spans="1:17" x14ac:dyDescent="0.4">
      <c r="A5" s="55" t="s">
        <v>7</v>
      </c>
      <c r="B5" s="152">
        <f>IF(B$2=0,0,B$4/B$2)</f>
        <v>-0.70533333333333403</v>
      </c>
      <c r="C5" s="153"/>
      <c r="E5" s="63" t="s">
        <v>181</v>
      </c>
      <c r="F5" s="60" t="s">
        <v>182</v>
      </c>
      <c r="G5" s="47">
        <v>78</v>
      </c>
      <c r="H5" s="133">
        <f>IF(B$17=0,0,G5/B$17)</f>
        <v>0.43093922651933703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1070.7692307692307</v>
      </c>
      <c r="P5" s="119">
        <v>65</v>
      </c>
      <c r="Q5" s="103">
        <v>69600</v>
      </c>
    </row>
    <row r="6" spans="1:17" x14ac:dyDescent="0.4">
      <c r="A6" s="55" t="s">
        <v>1</v>
      </c>
      <c r="B6" s="142">
        <f>IF(B$2=0,0,(B$7*1+B$8*2+B$9*3)/B$2)</f>
        <v>2.0266666666666668</v>
      </c>
      <c r="C6" s="143"/>
      <c r="E6" s="63" t="s">
        <v>68</v>
      </c>
      <c r="F6" s="60" t="s">
        <v>24</v>
      </c>
      <c r="G6" s="47">
        <v>61</v>
      </c>
      <c r="H6" s="133">
        <f>IF(B$17=0,0,G6/B$17)</f>
        <v>0.33701657458563539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996.61016949152543</v>
      </c>
      <c r="P6" s="119">
        <v>59</v>
      </c>
      <c r="Q6" s="103">
        <v>58800</v>
      </c>
    </row>
    <row r="7" spans="1:17" x14ac:dyDescent="0.4">
      <c r="A7" s="55" t="s">
        <v>2</v>
      </c>
      <c r="B7" s="47">
        <v>21</v>
      </c>
      <c r="C7" s="39">
        <f>IF(B$2=0,0,B7/B$2)</f>
        <v>0.28000000000000003</v>
      </c>
      <c r="E7" s="63" t="s">
        <v>69</v>
      </c>
      <c r="F7" s="60" t="s">
        <v>12</v>
      </c>
      <c r="G7" s="47">
        <v>60</v>
      </c>
      <c r="H7" s="133">
        <f>IF(B$17=0,0,G7/B$17)</f>
        <v>0.33149171270718231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521.81818181818187</v>
      </c>
      <c r="P7" s="120">
        <v>55</v>
      </c>
      <c r="Q7" s="104">
        <v>28700</v>
      </c>
    </row>
    <row r="8" spans="1:17" x14ac:dyDescent="0.4">
      <c r="A8" s="55" t="s">
        <v>3</v>
      </c>
      <c r="B8" s="47">
        <v>31</v>
      </c>
      <c r="C8" s="39">
        <f>IF(B$2=0,0,B8/B$2)</f>
        <v>0.41333333333333333</v>
      </c>
      <c r="E8" s="63" t="s">
        <v>70</v>
      </c>
      <c r="F8" s="60" t="s">
        <v>25</v>
      </c>
      <c r="G8" s="47">
        <v>38</v>
      </c>
      <c r="H8" s="133">
        <f>IF(B$17=0,0,G8/B$17)</f>
        <v>0.20994475138121546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0.30666666666666664</v>
      </c>
      <c r="E9" s="63" t="s">
        <v>66</v>
      </c>
      <c r="F9" s="60" t="s">
        <v>22</v>
      </c>
      <c r="G9" s="47">
        <v>30</v>
      </c>
      <c r="H9" s="133">
        <f>IF(B$17=0,0,G9/B$17)</f>
        <v>0.16574585635359115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0.12</v>
      </c>
      <c r="E10" s="63" t="s">
        <v>71</v>
      </c>
      <c r="F10" s="60" t="s">
        <v>26</v>
      </c>
      <c r="G10" s="47">
        <v>25</v>
      </c>
      <c r="H10" s="133">
        <f>IF(B$17=0,0,G10/B$17)</f>
        <v>0.13812154696132597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-0.65945945945946016</v>
      </c>
      <c r="P10" s="118">
        <v>37</v>
      </c>
      <c r="Q10" s="106">
        <v>-24.400000000000027</v>
      </c>
    </row>
    <row r="11" spans="1:17" x14ac:dyDescent="0.4">
      <c r="A11" s="56" t="s">
        <v>140</v>
      </c>
      <c r="B11" s="48">
        <v>6</v>
      </c>
      <c r="C11" s="40">
        <f>IF(B$2=0,0,B11/B$2)</f>
        <v>0.08</v>
      </c>
      <c r="E11" s="63" t="s">
        <v>90</v>
      </c>
      <c r="F11" s="60" t="s">
        <v>45</v>
      </c>
      <c r="G11" s="47">
        <v>18</v>
      </c>
      <c r="H11" s="133">
        <f>IF(B$17=0,0,G11/B$17)</f>
        <v>9.9447513812154692E-2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6</v>
      </c>
      <c r="C12" s="42">
        <f>IF(B$2=0,0,B12/B$2)</f>
        <v>0.08</v>
      </c>
      <c r="E12" s="63" t="s">
        <v>87</v>
      </c>
      <c r="F12" s="60" t="s">
        <v>42</v>
      </c>
      <c r="G12" s="47">
        <v>11</v>
      </c>
      <c r="H12" s="133">
        <f>IF(B$17=0,0,G12/B$17)</f>
        <v>6.0773480662983423E-2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6.1222222222222227</v>
      </c>
      <c r="P12" s="120">
        <v>18</v>
      </c>
      <c r="Q12" s="108">
        <v>110.2</v>
      </c>
    </row>
    <row r="13" spans="1:17" x14ac:dyDescent="0.4">
      <c r="A13" s="58" t="s">
        <v>122</v>
      </c>
      <c r="B13" s="50">
        <v>176</v>
      </c>
      <c r="C13" s="44">
        <f>IF(B$3=0,0,B13/B$3)</f>
        <v>0.28295819935691319</v>
      </c>
      <c r="E13" s="63" t="s">
        <v>72</v>
      </c>
      <c r="F13" s="60" t="s">
        <v>27</v>
      </c>
      <c r="G13" s="47">
        <v>8</v>
      </c>
      <c r="H13" s="133">
        <f>IF(B$17=0,0,G13/B$17)</f>
        <v>4.4198895027624308E-2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120</v>
      </c>
      <c r="C14" s="39">
        <f>IF(B$3=0,0,B14/B$3)</f>
        <v>0.19292604501607716</v>
      </c>
      <c r="E14" s="63" t="s">
        <v>82</v>
      </c>
      <c r="F14" s="60" t="s">
        <v>37</v>
      </c>
      <c r="G14" s="47">
        <v>8</v>
      </c>
      <c r="H14" s="133">
        <f>IF(B$17=0,0,G14/B$17)</f>
        <v>4.4198895027624308E-2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113</v>
      </c>
      <c r="C15" s="37">
        <f>IF(B$13=0,0,B15/B$13)</f>
        <v>0.64204545454545459</v>
      </c>
      <c r="E15" s="63" t="s">
        <v>84</v>
      </c>
      <c r="F15" s="60" t="s">
        <v>39</v>
      </c>
      <c r="G15" s="47">
        <v>5</v>
      </c>
      <c r="H15" s="133">
        <f>IF(B$17=0,0,G15/B$17)</f>
        <v>2.7624309392265192E-2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34</v>
      </c>
      <c r="C16" s="37">
        <f>IF(B$14=0,0,B16/B$14)</f>
        <v>0.28333333333333333</v>
      </c>
      <c r="E16" s="63" t="s">
        <v>92</v>
      </c>
      <c r="F16" s="60" t="s">
        <v>47</v>
      </c>
      <c r="G16" s="47">
        <v>5</v>
      </c>
      <c r="H16" s="133">
        <f>IF(B$17=0,0,G16/B$17)</f>
        <v>2.7624309392265192E-2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181</v>
      </c>
      <c r="C17" s="37">
        <f>IF(B$3=0,0,B17/B$3)</f>
        <v>0.29099678456591638</v>
      </c>
      <c r="E17" s="63" t="s">
        <v>180</v>
      </c>
      <c r="F17" s="60" t="s">
        <v>183</v>
      </c>
      <c r="G17" s="47">
        <v>4</v>
      </c>
      <c r="H17" s="133">
        <f>IF(B$17=0,0,G17/B$17)</f>
        <v>2.2099447513812154E-2</v>
      </c>
      <c r="I17" s="94">
        <v>3</v>
      </c>
      <c r="K17" s="38">
        <v>15</v>
      </c>
      <c r="L17" s="99">
        <v>47.999999999999986</v>
      </c>
      <c r="N17" s="115" t="s">
        <v>171</v>
      </c>
      <c r="O17" s="125">
        <f>IF(P17=0,0,Q17/P17)</f>
        <v>10.050000000000008</v>
      </c>
      <c r="P17" s="119">
        <v>20</v>
      </c>
      <c r="Q17" s="107">
        <v>201.00000000000017</v>
      </c>
    </row>
    <row r="18" spans="1:17" x14ac:dyDescent="0.4">
      <c r="A18" s="55" t="s">
        <v>12</v>
      </c>
      <c r="B18" s="47">
        <v>72</v>
      </c>
      <c r="C18" s="39">
        <f>IF(B$17=0,0,B18/B$17)</f>
        <v>0.39779005524861877</v>
      </c>
      <c r="E18" s="63" t="s">
        <v>80</v>
      </c>
      <c r="F18" s="60" t="s">
        <v>35</v>
      </c>
      <c r="G18" s="47">
        <v>3</v>
      </c>
      <c r="H18" s="133">
        <f>IF(B$17=0,0,G18/B$17)</f>
        <v>1.6574585635359115E-2</v>
      </c>
      <c r="I18" s="94">
        <v>2</v>
      </c>
      <c r="K18" s="38">
        <v>16</v>
      </c>
      <c r="L18" s="99">
        <v>41.699999999999989</v>
      </c>
      <c r="N18" s="115" t="s">
        <v>172</v>
      </c>
      <c r="O18" s="125">
        <f>IF(P18=0,0,Q18/P18)</f>
        <v>8.7249999999999979</v>
      </c>
      <c r="P18" s="119">
        <v>20</v>
      </c>
      <c r="Q18" s="107">
        <v>174.49999999999997</v>
      </c>
    </row>
    <row r="19" spans="1:17" x14ac:dyDescent="0.4">
      <c r="A19" s="55" t="s">
        <v>11</v>
      </c>
      <c r="B19" s="47">
        <v>109</v>
      </c>
      <c r="C19" s="39">
        <f>IF(B$17=0,0,B19/B$17)</f>
        <v>0.60220994475138123</v>
      </c>
      <c r="E19" s="63" t="s">
        <v>75</v>
      </c>
      <c r="F19" s="60" t="s">
        <v>30</v>
      </c>
      <c r="G19" s="47">
        <v>2</v>
      </c>
      <c r="H19" s="133">
        <f>IF(B$17=0,0,G19/B$17)</f>
        <v>1.1049723756906077E-2</v>
      </c>
      <c r="I19" s="94">
        <v>1</v>
      </c>
      <c r="K19" s="38">
        <v>17</v>
      </c>
      <c r="L19" s="99">
        <v>94.6</v>
      </c>
      <c r="N19" s="115" t="s">
        <v>177</v>
      </c>
      <c r="O19" s="125">
        <f>IF(P19=0,0,Q19/P19)</f>
        <v>8.1666666666666661</v>
      </c>
      <c r="P19" s="119">
        <v>12</v>
      </c>
      <c r="Q19" s="107">
        <v>98</v>
      </c>
    </row>
    <row r="20" spans="1:17" x14ac:dyDescent="0.4">
      <c r="A20" s="55" t="s">
        <v>13</v>
      </c>
      <c r="B20" s="47">
        <v>109</v>
      </c>
      <c r="C20" s="39">
        <f>IF(B$3=0,0,B20/B$3)</f>
        <v>0.17524115755627009</v>
      </c>
      <c r="E20" s="63" t="s">
        <v>76</v>
      </c>
      <c r="F20" s="60" t="s">
        <v>31</v>
      </c>
      <c r="G20" s="47">
        <v>2</v>
      </c>
      <c r="H20" s="133">
        <f>IF(B$17=0,0,G20/B$17)</f>
        <v>1.1049723756906077E-2</v>
      </c>
      <c r="I20" s="94">
        <v>3</v>
      </c>
      <c r="K20" s="38">
        <v>18</v>
      </c>
      <c r="L20" s="99">
        <v>116.69999999999999</v>
      </c>
      <c r="N20" s="115" t="s">
        <v>173</v>
      </c>
      <c r="O20" s="125">
        <f>IF(P20=0,0,Q20/P20)</f>
        <v>-2.0842105263157902</v>
      </c>
      <c r="P20" s="119">
        <v>19</v>
      </c>
      <c r="Q20" s="107">
        <v>-39.600000000000016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79</v>
      </c>
      <c r="F21" s="60" t="s">
        <v>34</v>
      </c>
      <c r="G21" s="47">
        <v>2</v>
      </c>
      <c r="H21" s="133">
        <f>IF(B$17=0,0,G21/B$17)</f>
        <v>1.1049723756906077E-2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-22.382456140350889</v>
      </c>
      <c r="P21" s="119">
        <v>57</v>
      </c>
      <c r="Q21" s="107">
        <v>-1275.8000000000006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74</v>
      </c>
      <c r="F22" s="60" t="s">
        <v>29</v>
      </c>
      <c r="G22" s="47">
        <v>1</v>
      </c>
      <c r="H22" s="133">
        <f>IF(B$17=0,0,G22/B$17)</f>
        <v>5.5248618784530384E-3</v>
      </c>
      <c r="I22" s="94">
        <v>3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8938.1215469613253</v>
      </c>
      <c r="C23" s="41">
        <v>1617800</v>
      </c>
      <c r="E23" s="63" t="s">
        <v>78</v>
      </c>
      <c r="F23" s="60" t="s">
        <v>33</v>
      </c>
      <c r="G23" s="47">
        <v>1</v>
      </c>
      <c r="H23" s="133">
        <f>IF(B$17=0,0,G23/B$17)</f>
        <v>5.5248618784530384E-3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-7408.2568807339449</v>
      </c>
      <c r="C24" s="45">
        <v>-807500</v>
      </c>
      <c r="E24" s="63" t="s">
        <v>85</v>
      </c>
      <c r="F24" s="60" t="s">
        <v>40</v>
      </c>
      <c r="G24" s="47">
        <v>1</v>
      </c>
      <c r="H24" s="133">
        <f>IF(B$17=0,0,G24/B$17)</f>
        <v>5.5248618784530384E-3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5.5248618784530384E-3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5.5248618784530384E-3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6.4308681672025723E-3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28</v>
      </c>
      <c r="C2" s="147"/>
      <c r="E2" s="62" t="s">
        <v>67</v>
      </c>
      <c r="F2" s="59" t="s">
        <v>23</v>
      </c>
      <c r="G2" s="46">
        <v>36</v>
      </c>
      <c r="H2" s="132">
        <f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-3264.2857142857142</v>
      </c>
      <c r="P2" s="118">
        <v>28</v>
      </c>
      <c r="Q2" s="102">
        <v>-91400</v>
      </c>
    </row>
    <row r="3" spans="1:17" x14ac:dyDescent="0.4">
      <c r="A3" s="55" t="s">
        <v>8</v>
      </c>
      <c r="B3" s="148">
        <v>231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-4703.5714285714284</v>
      </c>
      <c r="P3" s="119">
        <v>28</v>
      </c>
      <c r="Q3" s="103">
        <v>-131700</v>
      </c>
    </row>
    <row r="4" spans="1:17" x14ac:dyDescent="0.4">
      <c r="A4" s="55" t="s">
        <v>6</v>
      </c>
      <c r="B4" s="150">
        <v>-931.09999999999991</v>
      </c>
      <c r="C4" s="151"/>
      <c r="E4" s="63" t="s">
        <v>69</v>
      </c>
      <c r="F4" s="60" t="s">
        <v>12</v>
      </c>
      <c r="G4" s="47">
        <v>17</v>
      </c>
      <c r="H4" s="133">
        <f>IF(B$17=0,0,G4/B$17)</f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-3648</v>
      </c>
      <c r="P4" s="119">
        <v>25</v>
      </c>
      <c r="Q4" s="103">
        <v>-91200</v>
      </c>
    </row>
    <row r="5" spans="1:17" x14ac:dyDescent="0.4">
      <c r="A5" s="55" t="s">
        <v>7</v>
      </c>
      <c r="B5" s="152">
        <f>IF(B$2=0,0,B$4/B$2)</f>
        <v>-33.253571428571426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-7163.636363636364</v>
      </c>
      <c r="P5" s="119">
        <v>22</v>
      </c>
      <c r="Q5" s="103">
        <v>-157600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181</v>
      </c>
      <c r="F6" s="60" t="s">
        <v>182</v>
      </c>
      <c r="G6" s="47">
        <v>14</v>
      </c>
      <c r="H6" s="133">
        <f>IF(B$17=0,0,G6/B$17)</f>
        <v>0.34146341463414637</v>
      </c>
      <c r="I6" s="94">
        <v>8</v>
      </c>
      <c r="K6" s="38">
        <v>4</v>
      </c>
      <c r="L6" s="99">
        <v>-31.4</v>
      </c>
      <c r="N6" s="115" t="s">
        <v>136</v>
      </c>
      <c r="O6" s="122">
        <f t="shared" si="0"/>
        <v>-3610</v>
      </c>
      <c r="P6" s="119">
        <v>20</v>
      </c>
      <c r="Q6" s="103">
        <v>-72200</v>
      </c>
    </row>
    <row r="7" spans="1:17" x14ac:dyDescent="0.4">
      <c r="A7" s="55" t="s">
        <v>2</v>
      </c>
      <c r="B7" s="47">
        <v>3</v>
      </c>
      <c r="C7" s="39">
        <f>IF(B$2=0,0,B7/B$2)</f>
        <v>0.10714285714285714</v>
      </c>
      <c r="E7" s="63" t="s">
        <v>73</v>
      </c>
      <c r="F7" s="60" t="s">
        <v>28</v>
      </c>
      <c r="G7" s="47">
        <v>12</v>
      </c>
      <c r="H7" s="133">
        <f>IF(B$17=0,0,G7/B$17)</f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-2531.5789473684213</v>
      </c>
      <c r="P7" s="120">
        <v>19</v>
      </c>
      <c r="Q7" s="104">
        <v>-48100</v>
      </c>
    </row>
    <row r="8" spans="1:17" x14ac:dyDescent="0.4">
      <c r="A8" s="55" t="s">
        <v>3</v>
      </c>
      <c r="B8" s="47">
        <v>6</v>
      </c>
      <c r="C8" s="39">
        <f>IF(B$2=0,0,B8/B$2)</f>
        <v>0.21428571428571427</v>
      </c>
      <c r="E8" s="63" t="s">
        <v>71</v>
      </c>
      <c r="F8" s="60" t="s">
        <v>26</v>
      </c>
      <c r="G8" s="47">
        <v>9</v>
      </c>
      <c r="H8" s="133">
        <f>IF(B$17=0,0,G8/B$17)</f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0.6785714285714286</v>
      </c>
      <c r="E9" s="63" t="s">
        <v>70</v>
      </c>
      <c r="F9" s="60" t="s">
        <v>25</v>
      </c>
      <c r="G9" s="47">
        <v>8</v>
      </c>
      <c r="H9" s="133">
        <f>IF(B$17=0,0,G9/B$17)</f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0.2857142857142857</v>
      </c>
      <c r="E10" s="63" t="s">
        <v>72</v>
      </c>
      <c r="F10" s="60" t="s">
        <v>27</v>
      </c>
      <c r="G10" s="47">
        <v>5</v>
      </c>
      <c r="H10" s="133">
        <f>IF(B$17=0,0,G10/B$17)</f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-32.749999999999993</v>
      </c>
      <c r="P10" s="118">
        <v>10</v>
      </c>
      <c r="Q10" s="106">
        <v>-327.49999999999994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>IF(B$17=0,0,G11/B$17)</f>
        <v>0.12195121951219512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3.5714285714285712E-2</v>
      </c>
      <c r="E12" s="63" t="s">
        <v>66</v>
      </c>
      <c r="F12" s="60" t="s">
        <v>22</v>
      </c>
      <c r="G12" s="47">
        <v>4</v>
      </c>
      <c r="H12" s="133">
        <f>IF(B$17=0,0,G12/B$17)</f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-36.587499999999999</v>
      </c>
      <c r="P12" s="120">
        <v>8</v>
      </c>
      <c r="Q12" s="108">
        <v>-292.7</v>
      </c>
    </row>
    <row r="13" spans="1:17" x14ac:dyDescent="0.4">
      <c r="A13" s="58" t="s">
        <v>122</v>
      </c>
      <c r="B13" s="50">
        <v>55</v>
      </c>
      <c r="C13" s="44">
        <f>IF(B$3=0,0,B13/B$3)</f>
        <v>0.23809523809523808</v>
      </c>
      <c r="E13" s="63" t="s">
        <v>87</v>
      </c>
      <c r="F13" s="60" t="s">
        <v>42</v>
      </c>
      <c r="G13" s="47">
        <v>2</v>
      </c>
      <c r="H13" s="133">
        <f>IF(B$17=0,0,G13/B$17)</f>
        <v>4.878048780487805E-2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0.12987012987012986</v>
      </c>
      <c r="E14" s="63" t="s">
        <v>79</v>
      </c>
      <c r="F14" s="60" t="s">
        <v>34</v>
      </c>
      <c r="G14" s="47">
        <v>1</v>
      </c>
      <c r="H14" s="133">
        <f>IF(B$17=0,0,G14/B$17)</f>
        <v>2.4390243902439025E-2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0.47272727272727272</v>
      </c>
      <c r="E15" s="63" t="s">
        <v>84</v>
      </c>
      <c r="F15" s="60" t="s">
        <v>39</v>
      </c>
      <c r="G15" s="47">
        <v>1</v>
      </c>
      <c r="H15" s="133">
        <f>IF(B$17=0,0,G15/B$17)</f>
        <v>2.4390243902439025E-2</v>
      </c>
      <c r="I15" s="94">
        <v>8</v>
      </c>
      <c r="K15" s="38">
        <v>13</v>
      </c>
      <c r="L15" s="99">
        <v>-369.1</v>
      </c>
      <c r="N15" s="114" t="s">
        <v>177</v>
      </c>
      <c r="O15" s="124">
        <f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0.13333333333333333</v>
      </c>
      <c r="E16" s="63" t="s">
        <v>89</v>
      </c>
      <c r="F16" s="60" t="s">
        <v>44</v>
      </c>
      <c r="G16" s="47">
        <v>1</v>
      </c>
      <c r="H16" s="133">
        <f>IF(B$17=0,0,G16/B$17)</f>
        <v>2.4390243902439025E-2</v>
      </c>
      <c r="I16" s="94">
        <v>1</v>
      </c>
      <c r="K16" s="38">
        <v>14</v>
      </c>
      <c r="L16" s="99">
        <v>-394.6</v>
      </c>
      <c r="N16" s="115" t="s">
        <v>128</v>
      </c>
      <c r="O16" s="125">
        <f>IF(P16=0,0,Q16/P16)</f>
        <v>-23.638888888888886</v>
      </c>
      <c r="P16" s="119">
        <v>18</v>
      </c>
      <c r="Q16" s="107">
        <v>-425.49999999999994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0.1774891774891775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>IF(P18=0,0,Q18/P18)</f>
        <v>-62.552631578947391</v>
      </c>
      <c r="P18" s="119">
        <v>19</v>
      </c>
      <c r="Q18" s="107">
        <v>-1188.5000000000005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51</v>
      </c>
      <c r="C20" s="39">
        <f>IF(B$3=0,0,B20/B$3)</f>
        <v>0.22077922077922077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13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-10100</v>
      </c>
      <c r="C24" s="45">
        <v>-515100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4.329004329004329E-3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-931.09999999999991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57</v>
      </c>
      <c r="H2" s="132">
        <f>IF(B$17=0,0,G2/B$17)</f>
        <v>0.70370370370370372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-505.12820512820514</v>
      </c>
      <c r="P2" s="118">
        <v>39</v>
      </c>
      <c r="Q2" s="102">
        <v>-19700</v>
      </c>
    </row>
    <row r="3" spans="1:17" x14ac:dyDescent="0.4">
      <c r="A3" s="55" t="s">
        <v>8</v>
      </c>
      <c r="B3" s="148">
        <v>327</v>
      </c>
      <c r="C3" s="149"/>
      <c r="E3" s="63" t="s">
        <v>65</v>
      </c>
      <c r="F3" s="60" t="s">
        <v>21</v>
      </c>
      <c r="G3" s="47">
        <v>44</v>
      </c>
      <c r="H3" s="133">
        <f>IF(B$17=0,0,G3/B$17)</f>
        <v>0.54320987654320985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676.92307692307691</v>
      </c>
      <c r="P3" s="119">
        <v>39</v>
      </c>
      <c r="Q3" s="103">
        <v>26400</v>
      </c>
    </row>
    <row r="4" spans="1:17" x14ac:dyDescent="0.4">
      <c r="A4" s="55" t="s">
        <v>6</v>
      </c>
      <c r="B4" s="150">
        <v>-71.3</v>
      </c>
      <c r="C4" s="151"/>
      <c r="E4" s="63" t="s">
        <v>73</v>
      </c>
      <c r="F4" s="60" t="s">
        <v>28</v>
      </c>
      <c r="G4" s="47">
        <v>39</v>
      </c>
      <c r="H4" s="133">
        <f>IF(B$17=0,0,G4/B$17)</f>
        <v>0.48148148148148145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1058.3333333333333</v>
      </c>
      <c r="P4" s="119">
        <v>36</v>
      </c>
      <c r="Q4" s="103">
        <v>38100</v>
      </c>
    </row>
    <row r="5" spans="1:17" x14ac:dyDescent="0.4">
      <c r="A5" s="55" t="s">
        <v>7</v>
      </c>
      <c r="B5" s="152">
        <f>IF(B$2=0,0,B$4/B$2)</f>
        <v>-1.8282051282051281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0.30864197530864196</v>
      </c>
      <c r="I5" s="94">
        <v>11</v>
      </c>
      <c r="K5" s="38">
        <v>3</v>
      </c>
      <c r="L5" s="99">
        <v>-60.100000000000009</v>
      </c>
      <c r="N5" s="115" t="s">
        <v>135</v>
      </c>
      <c r="O5" s="122">
        <f t="shared" si="0"/>
        <v>-324.24242424242425</v>
      </c>
      <c r="P5" s="119">
        <v>33</v>
      </c>
      <c r="Q5" s="103">
        <v>-10700</v>
      </c>
    </row>
    <row r="6" spans="1:17" x14ac:dyDescent="0.4">
      <c r="A6" s="55" t="s">
        <v>1</v>
      </c>
      <c r="B6" s="142">
        <f>IF(B$2=0,0,(B$7*1+B$8*2+B$9*3)/B$2)</f>
        <v>2.1025641025641026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0.24691358024691357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-970</v>
      </c>
      <c r="P6" s="119">
        <v>30</v>
      </c>
      <c r="Q6" s="103">
        <v>-29100</v>
      </c>
    </row>
    <row r="7" spans="1:17" x14ac:dyDescent="0.4">
      <c r="A7" s="55" t="s">
        <v>2</v>
      </c>
      <c r="B7" s="47">
        <v>10</v>
      </c>
      <c r="C7" s="39">
        <f>IF(B$2=0,0,B7/B$2)</f>
        <v>0.25641025641025639</v>
      </c>
      <c r="E7" s="63" t="s">
        <v>69</v>
      </c>
      <c r="F7" s="60" t="s">
        <v>12</v>
      </c>
      <c r="G7" s="47">
        <v>20</v>
      </c>
      <c r="H7" s="133">
        <f>IF(B$17=0,0,G7/B$17)</f>
        <v>0.24691358024691357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242.85714285714286</v>
      </c>
      <c r="P7" s="120">
        <v>28</v>
      </c>
      <c r="Q7" s="104">
        <v>6800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70</v>
      </c>
      <c r="F8" s="60" t="s">
        <v>25</v>
      </c>
      <c r="G8" s="47">
        <v>18</v>
      </c>
      <c r="H8" s="133">
        <f>IF(B$17=0,0,G8/B$17)</f>
        <v>0.22222222222222221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0.35897435897435898</v>
      </c>
      <c r="E9" s="63" t="s">
        <v>66</v>
      </c>
      <c r="F9" s="60" t="s">
        <v>22</v>
      </c>
      <c r="G9" s="47">
        <v>13</v>
      </c>
      <c r="H9" s="133">
        <f>IF(B$17=0,0,G9/B$17)</f>
        <v>0.16049382716049382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2.564102564102564E-2</v>
      </c>
      <c r="E10" s="63" t="s">
        <v>71</v>
      </c>
      <c r="F10" s="60" t="s">
        <v>26</v>
      </c>
      <c r="G10" s="47">
        <v>11</v>
      </c>
      <c r="H10" s="133">
        <f>IF(B$17=0,0,G10/B$17)</f>
        <v>0.13580246913580246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0.12820512820512819</v>
      </c>
      <c r="E11" s="63" t="s">
        <v>90</v>
      </c>
      <c r="F11" s="60" t="s">
        <v>45</v>
      </c>
      <c r="G11" s="47">
        <v>11</v>
      </c>
      <c r="H11" s="133">
        <f>IF(B$17=0,0,G11/B$17)</f>
        <v>0.13580246913580246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-8.8812499999999979</v>
      </c>
      <c r="P11" s="119">
        <v>16</v>
      </c>
      <c r="Q11" s="107">
        <v>-142.09999999999997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87</v>
      </c>
      <c r="F12" s="60" t="s">
        <v>42</v>
      </c>
      <c r="G12" s="47">
        <v>7</v>
      </c>
      <c r="H12" s="133">
        <f>IF(B$17=0,0,G12/B$17)</f>
        <v>8.6419753086419748E-2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82</v>
      </c>
      <c r="C13" s="44">
        <f>IF(B$3=0,0,B13/B$3)</f>
        <v>0.25076452599388377</v>
      </c>
      <c r="E13" s="63" t="s">
        <v>72</v>
      </c>
      <c r="F13" s="60" t="s">
        <v>27</v>
      </c>
      <c r="G13" s="47">
        <v>6</v>
      </c>
      <c r="H13" s="133">
        <f>IF(B$17=0,0,G13/B$17)</f>
        <v>7.407407407407407E-2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0.16819571865443425</v>
      </c>
      <c r="E14" s="63" t="s">
        <v>84</v>
      </c>
      <c r="F14" s="60" t="s">
        <v>39</v>
      </c>
      <c r="G14" s="47">
        <v>4</v>
      </c>
      <c r="H14" s="133">
        <f>IF(B$17=0,0,G14/B$17)</f>
        <v>4.9382716049382713E-2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0.57317073170731703</v>
      </c>
      <c r="E15" s="63" t="s">
        <v>79</v>
      </c>
      <c r="F15" s="60" t="s">
        <v>34</v>
      </c>
      <c r="G15" s="47">
        <v>3</v>
      </c>
      <c r="H15" s="133">
        <f>IF(B$17=0,0,G15/B$17)</f>
        <v>3.7037037037037035E-2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17</v>
      </c>
      <c r="C16" s="37">
        <f>IF(B$14=0,0,B16/B$14)</f>
        <v>0.30909090909090908</v>
      </c>
      <c r="E16" s="63" t="s">
        <v>76</v>
      </c>
      <c r="F16" s="60" t="s">
        <v>31</v>
      </c>
      <c r="G16" s="47">
        <v>2</v>
      </c>
      <c r="H16" s="133">
        <f>IF(B$17=0,0,G16/B$17)</f>
        <v>2.4691358024691357E-2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0.24770642201834864</v>
      </c>
      <c r="E17" s="63" t="s">
        <v>93</v>
      </c>
      <c r="F17" s="60" t="s">
        <v>48</v>
      </c>
      <c r="G17" s="47">
        <v>2</v>
      </c>
      <c r="H17" s="133">
        <f>IF(B$17=0,0,G17/B$17)</f>
        <v>2.4691358024691357E-2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14.875</v>
      </c>
      <c r="P17" s="119">
        <v>12</v>
      </c>
      <c r="Q17" s="107">
        <v>178.5</v>
      </c>
    </row>
    <row r="18" spans="1:17" x14ac:dyDescent="0.4">
      <c r="A18" s="55" t="s">
        <v>12</v>
      </c>
      <c r="B18" s="47">
        <v>28</v>
      </c>
      <c r="C18" s="39">
        <f>IF(B$17=0,0,B18/B$17)</f>
        <v>0.34567901234567899</v>
      </c>
      <c r="E18" s="63" t="s">
        <v>180</v>
      </c>
      <c r="F18" s="60" t="s">
        <v>183</v>
      </c>
      <c r="G18" s="47">
        <v>2</v>
      </c>
      <c r="H18" s="133">
        <f>IF(B$17=0,0,G18/B$17)</f>
        <v>2.4691358024691357E-2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53</v>
      </c>
      <c r="C19" s="39">
        <f>IF(B$17=0,0,B19/B$17)</f>
        <v>0.65432098765432101</v>
      </c>
      <c r="E19" s="63" t="s">
        <v>82</v>
      </c>
      <c r="F19" s="60" t="s">
        <v>37</v>
      </c>
      <c r="G19" s="47">
        <v>1</v>
      </c>
      <c r="H19" s="133">
        <f>IF(B$17=0,0,G19/B$17)</f>
        <v>1.2345679012345678E-2</v>
      </c>
      <c r="I19" s="94">
        <v>6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0.15596330275229359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-21.029166666666665</v>
      </c>
      <c r="P21" s="119">
        <v>24</v>
      </c>
      <c r="Q21" s="107">
        <v>-504.69999999999993</v>
      </c>
    </row>
    <row r="22" spans="1:17" x14ac:dyDescent="0.4">
      <c r="A22" s="55" t="s">
        <v>194</v>
      </c>
      <c r="B22" s="47">
        <v>20</v>
      </c>
      <c r="C22" s="135">
        <v>8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8769.1358024691363</v>
      </c>
      <c r="C23" s="41">
        <v>710300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3.0581039755351682E-3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76</v>
      </c>
      <c r="H2" s="132">
        <f>IF(B$17=0,0,G2/B$17)</f>
        <v>0.73076923076923073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1657.1428571428571</v>
      </c>
      <c r="P2" s="118">
        <v>35</v>
      </c>
      <c r="Q2" s="102">
        <v>58000</v>
      </c>
    </row>
    <row r="3" spans="1:17" x14ac:dyDescent="0.4">
      <c r="A3" s="55" t="s">
        <v>8</v>
      </c>
      <c r="B3" s="148">
        <v>297</v>
      </c>
      <c r="C3" s="149"/>
      <c r="E3" s="63" t="s">
        <v>73</v>
      </c>
      <c r="F3" s="60" t="s">
        <v>28</v>
      </c>
      <c r="G3" s="47">
        <v>67</v>
      </c>
      <c r="H3" s="133">
        <f>IF(B$17=0,0,G3/B$17)</f>
        <v>0.64423076923076927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145.71428571428572</v>
      </c>
      <c r="P3" s="119">
        <v>35</v>
      </c>
      <c r="Q3" s="103">
        <v>5100</v>
      </c>
    </row>
    <row r="4" spans="1:17" x14ac:dyDescent="0.4">
      <c r="A4" s="55" t="s">
        <v>6</v>
      </c>
      <c r="B4" s="150">
        <v>-8.2999999999999972</v>
      </c>
      <c r="C4" s="151"/>
      <c r="E4" s="63" t="s">
        <v>65</v>
      </c>
      <c r="F4" s="60" t="s">
        <v>21</v>
      </c>
      <c r="G4" s="47">
        <v>37</v>
      </c>
      <c r="H4" s="133">
        <f>IF(B$17=0,0,G4/B$17)</f>
        <v>0.35576923076923078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724.13793103448279</v>
      </c>
      <c r="P4" s="119">
        <v>29</v>
      </c>
      <c r="Q4" s="103">
        <v>21000</v>
      </c>
    </row>
    <row r="5" spans="1:17" x14ac:dyDescent="0.4">
      <c r="A5" s="55" t="s">
        <v>7</v>
      </c>
      <c r="B5" s="152">
        <f>IF(B$2=0,0,B$4/B$2)</f>
        <v>-0.23714285714285707</v>
      </c>
      <c r="C5" s="153"/>
      <c r="E5" s="63" t="s">
        <v>181</v>
      </c>
      <c r="F5" s="60" t="s">
        <v>182</v>
      </c>
      <c r="G5" s="47">
        <v>37</v>
      </c>
      <c r="H5" s="133">
        <f>IF(B$17=0,0,G5/B$17)</f>
        <v>0.35576923076923078</v>
      </c>
      <c r="I5" s="94">
        <v>6</v>
      </c>
      <c r="K5" s="38">
        <v>3</v>
      </c>
      <c r="L5" s="99">
        <v>1.7999999999999989</v>
      </c>
      <c r="N5" s="115" t="s">
        <v>135</v>
      </c>
      <c r="O5" s="122">
        <f t="shared" si="0"/>
        <v>396.42857142857144</v>
      </c>
      <c r="P5" s="119">
        <v>28</v>
      </c>
      <c r="Q5" s="103">
        <v>11100</v>
      </c>
    </row>
    <row r="6" spans="1:17" x14ac:dyDescent="0.4">
      <c r="A6" s="55" t="s">
        <v>1</v>
      </c>
      <c r="B6" s="142">
        <f>IF(B$2=0,0,(B$7*1+B$8*2+B$9*3)/B$2)</f>
        <v>2.1142857142857143</v>
      </c>
      <c r="C6" s="143"/>
      <c r="E6" s="63" t="s">
        <v>69</v>
      </c>
      <c r="F6" s="60" t="s">
        <v>12</v>
      </c>
      <c r="G6" s="47">
        <v>29</v>
      </c>
      <c r="H6" s="133">
        <f>IF(B$17=0,0,G6/B$17)</f>
        <v>0.27884615384615385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-1233.3333333333333</v>
      </c>
      <c r="P6" s="119">
        <v>27</v>
      </c>
      <c r="Q6" s="103">
        <v>-33300</v>
      </c>
    </row>
    <row r="7" spans="1:17" x14ac:dyDescent="0.4">
      <c r="A7" s="55" t="s">
        <v>2</v>
      </c>
      <c r="B7" s="47">
        <v>10</v>
      </c>
      <c r="C7" s="39">
        <f>IF(B$2=0,0,B7/B$2)</f>
        <v>0.2857142857142857</v>
      </c>
      <c r="E7" s="63" t="s">
        <v>68</v>
      </c>
      <c r="F7" s="60" t="s">
        <v>24</v>
      </c>
      <c r="G7" s="47">
        <v>19</v>
      </c>
      <c r="H7" s="133">
        <f>IF(B$17=0,0,G7/B$17)</f>
        <v>0.18269230769230768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-1673.9130434782608</v>
      </c>
      <c r="P7" s="120">
        <v>23</v>
      </c>
      <c r="Q7" s="104">
        <v>-38500</v>
      </c>
    </row>
    <row r="8" spans="1:17" x14ac:dyDescent="0.4">
      <c r="A8" s="55" t="s">
        <v>3</v>
      </c>
      <c r="B8" s="47">
        <v>11</v>
      </c>
      <c r="C8" s="39">
        <f>IF(B$2=0,0,B8/B$2)</f>
        <v>0.31428571428571428</v>
      </c>
      <c r="E8" s="63" t="s">
        <v>70</v>
      </c>
      <c r="F8" s="60" t="s">
        <v>25</v>
      </c>
      <c r="G8" s="47">
        <v>14</v>
      </c>
      <c r="H8" s="133">
        <f>IF(B$17=0,0,G8/B$17)</f>
        <v>0.13461538461538461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0.4</v>
      </c>
      <c r="E9" s="63" t="s">
        <v>66</v>
      </c>
      <c r="F9" s="60" t="s">
        <v>22</v>
      </c>
      <c r="G9" s="47">
        <v>9</v>
      </c>
      <c r="H9" s="133">
        <f>IF(B$17=0,0,G9/B$17)</f>
        <v>8.6538461538461536E-2</v>
      </c>
      <c r="I9" s="94">
        <v>8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5.7142857142857141E-2</v>
      </c>
      <c r="E10" s="63" t="s">
        <v>90</v>
      </c>
      <c r="F10" s="60" t="s">
        <v>45</v>
      </c>
      <c r="G10" s="47">
        <v>9</v>
      </c>
      <c r="H10" s="133">
        <f>IF(B$17=0,0,G10/B$17)</f>
        <v>8.6538461538461536E-2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0.14285714285714285</v>
      </c>
      <c r="E11" s="63" t="s">
        <v>71</v>
      </c>
      <c r="F11" s="60" t="s">
        <v>26</v>
      </c>
      <c r="G11" s="47">
        <v>8</v>
      </c>
      <c r="H11" s="133">
        <f>IF(B$17=0,0,G11/B$17)</f>
        <v>7.6923076923076927E-2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5.7142857142857141E-2</v>
      </c>
      <c r="E12" s="63" t="s">
        <v>84</v>
      </c>
      <c r="F12" s="60" t="s">
        <v>39</v>
      </c>
      <c r="G12" s="47">
        <v>7</v>
      </c>
      <c r="H12" s="133">
        <f>IF(B$17=0,0,G12/B$17)</f>
        <v>6.7307692307692304E-2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-1.0307692307692307</v>
      </c>
      <c r="P12" s="120">
        <v>13</v>
      </c>
      <c r="Q12" s="108">
        <v>-13.399999999999999</v>
      </c>
    </row>
    <row r="13" spans="1:17" x14ac:dyDescent="0.4">
      <c r="A13" s="58" t="s">
        <v>122</v>
      </c>
      <c r="B13" s="50">
        <v>68</v>
      </c>
      <c r="C13" s="44">
        <f>IF(B$3=0,0,B13/B$3)</f>
        <v>0.22895622895622897</v>
      </c>
      <c r="E13" s="63" t="s">
        <v>82</v>
      </c>
      <c r="F13" s="60" t="s">
        <v>37</v>
      </c>
      <c r="G13" s="47">
        <v>5</v>
      </c>
      <c r="H13" s="133">
        <f>IF(B$17=0,0,G13/B$17)</f>
        <v>4.807692307692308E-2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</v>
      </c>
      <c r="C14" s="39">
        <f>IF(B$3=0,0,B14/B$3)</f>
        <v>0.3164983164983165</v>
      </c>
      <c r="E14" s="63" t="s">
        <v>72</v>
      </c>
      <c r="F14" s="60" t="s">
        <v>27</v>
      </c>
      <c r="G14" s="47">
        <v>4</v>
      </c>
      <c r="H14" s="133">
        <f>IF(B$17=0,0,G14/B$17)</f>
        <v>3.8461538461538464E-2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</v>
      </c>
      <c r="C15" s="37">
        <f>IF(B$13=0,0,B15/B$13)</f>
        <v>0.55882352941176472</v>
      </c>
      <c r="E15" s="63" t="s">
        <v>87</v>
      </c>
      <c r="F15" s="60" t="s">
        <v>42</v>
      </c>
      <c r="G15" s="47">
        <v>4</v>
      </c>
      <c r="H15" s="133">
        <f>IF(B$17=0,0,G15/B$17)</f>
        <v>3.8461538461538464E-2</v>
      </c>
      <c r="I15" s="94">
        <v>9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40</v>
      </c>
      <c r="C16" s="37">
        <f>IF(B$14=0,0,B16/B$14)</f>
        <v>0.42553191489361702</v>
      </c>
      <c r="E16" s="63" t="s">
        <v>79</v>
      </c>
      <c r="F16" s="60" t="s">
        <v>34</v>
      </c>
      <c r="G16" s="47">
        <v>2</v>
      </c>
      <c r="H16" s="133">
        <f>IF(B$17=0,0,G16/B$17)</f>
        <v>1.9230769230769232E-2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0.35016835016835018</v>
      </c>
      <c r="E17" s="63" t="s">
        <v>80</v>
      </c>
      <c r="F17" s="60" t="s">
        <v>35</v>
      </c>
      <c r="G17" s="47">
        <v>2</v>
      </c>
      <c r="H17" s="133">
        <f>IF(B$17=0,0,G17/B$17)</f>
        <v>1.9230769230769232E-2</v>
      </c>
      <c r="I17" s="94">
        <v>1</v>
      </c>
      <c r="K17" s="38">
        <v>15</v>
      </c>
      <c r="L17" s="99">
        <v>-80.3</v>
      </c>
      <c r="N17" s="115" t="s">
        <v>177</v>
      </c>
      <c r="O17" s="125">
        <f>IF(P17=0,0,Q17/P17)</f>
        <v>13.33333333333333</v>
      </c>
      <c r="P17" s="119">
        <v>3</v>
      </c>
      <c r="Q17" s="107">
        <v>39.999999999999993</v>
      </c>
    </row>
    <row r="18" spans="1:17" x14ac:dyDescent="0.4">
      <c r="A18" s="55" t="s">
        <v>12</v>
      </c>
      <c r="B18" s="47">
        <v>46</v>
      </c>
      <c r="C18" s="39">
        <f>IF(B$17=0,0,B18/B$17)</f>
        <v>0.44230769230769229</v>
      </c>
      <c r="E18" s="63" t="s">
        <v>92</v>
      </c>
      <c r="F18" s="60" t="s">
        <v>47</v>
      </c>
      <c r="G18" s="47">
        <v>2</v>
      </c>
      <c r="H18" s="133">
        <f>IF(B$17=0,0,G18/B$17)</f>
        <v>1.9230769230769232E-2</v>
      </c>
      <c r="I18" s="94">
        <v>3</v>
      </c>
      <c r="K18" s="38">
        <v>16</v>
      </c>
      <c r="L18" s="99">
        <v>-87.6</v>
      </c>
      <c r="N18" s="115" t="s">
        <v>173</v>
      </c>
      <c r="O18" s="125">
        <f>IF(P18=0,0,Q18/P18)</f>
        <v>11.574999999999999</v>
      </c>
      <c r="P18" s="119">
        <v>8</v>
      </c>
      <c r="Q18" s="107">
        <v>92.6</v>
      </c>
    </row>
    <row r="19" spans="1:17" x14ac:dyDescent="0.4">
      <c r="A19" s="55" t="s">
        <v>11</v>
      </c>
      <c r="B19" s="47">
        <v>58</v>
      </c>
      <c r="C19" s="39">
        <f>IF(B$17=0,0,B19/B$17)</f>
        <v>0.55769230769230771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0.14814814814814814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-8.7249999999999996</v>
      </c>
      <c r="P20" s="119">
        <v>20</v>
      </c>
      <c r="Q20" s="107">
        <v>-174.5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>IF(P21=0,0,Q21/P21)</f>
        <v>-38.435294117647068</v>
      </c>
      <c r="P21" s="119">
        <v>17</v>
      </c>
      <c r="Q21" s="107">
        <v>-653.4000000000002</v>
      </c>
    </row>
    <row r="22" spans="1:17" x14ac:dyDescent="0.4">
      <c r="A22" s="55" t="s">
        <v>194</v>
      </c>
      <c r="B22" s="47">
        <v>23</v>
      </c>
      <c r="C22" s="135">
        <v>4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7118.2692307692305</v>
      </c>
      <c r="C23" s="41">
        <v>740300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-8481.818181818182</v>
      </c>
      <c r="C24" s="45">
        <v>-373200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3.3670033670033669E-3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topLeftCell="A2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31</v>
      </c>
      <c r="C2" s="147"/>
      <c r="E2" s="62" t="s">
        <v>67</v>
      </c>
      <c r="F2" s="59" t="s">
        <v>23</v>
      </c>
      <c r="G2" s="46">
        <v>61</v>
      </c>
      <c r="H2" s="132">
        <f>IF(B$17=0,0,G2/B$17)</f>
        <v>0.72619047619047616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-2980.6451612903224</v>
      </c>
      <c r="P2" s="118">
        <v>31</v>
      </c>
      <c r="Q2" s="102">
        <v>-92400</v>
      </c>
    </row>
    <row r="3" spans="1:17" x14ac:dyDescent="0.4">
      <c r="A3" s="55" t="s">
        <v>8</v>
      </c>
      <c r="B3" s="148">
        <v>274</v>
      </c>
      <c r="C3" s="149"/>
      <c r="E3" s="63" t="s">
        <v>73</v>
      </c>
      <c r="F3" s="60" t="s">
        <v>28</v>
      </c>
      <c r="G3" s="47">
        <v>41</v>
      </c>
      <c r="H3" s="133">
        <f>IF(B$17=0,0,G3/B$17)</f>
        <v>0.48809523809523808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1854.8387096774193</v>
      </c>
      <c r="P3" s="119">
        <v>31</v>
      </c>
      <c r="Q3" s="103">
        <v>57500</v>
      </c>
    </row>
    <row r="4" spans="1:17" x14ac:dyDescent="0.4">
      <c r="A4" s="55" t="s">
        <v>6</v>
      </c>
      <c r="B4" s="150">
        <v>-226.29999999999998</v>
      </c>
      <c r="C4" s="151"/>
      <c r="E4" s="63" t="s">
        <v>65</v>
      </c>
      <c r="F4" s="60" t="s">
        <v>21</v>
      </c>
      <c r="G4" s="47">
        <v>39</v>
      </c>
      <c r="H4" s="133">
        <f>IF(B$17=0,0,G4/B$17)</f>
        <v>0.4642857142857143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-1792.8571428571429</v>
      </c>
      <c r="P4" s="119">
        <v>28</v>
      </c>
      <c r="Q4" s="103">
        <v>-50200</v>
      </c>
    </row>
    <row r="5" spans="1:17" x14ac:dyDescent="0.4">
      <c r="A5" s="55" t="s">
        <v>7</v>
      </c>
      <c r="B5" s="152">
        <f>IF(B$2=0,0,B$4/B$2)</f>
        <v>-7.3</v>
      </c>
      <c r="C5" s="153"/>
      <c r="E5" s="63" t="s">
        <v>69</v>
      </c>
      <c r="F5" s="60" t="s">
        <v>12</v>
      </c>
      <c r="G5" s="47">
        <v>34</v>
      </c>
      <c r="H5" s="133">
        <f>IF(B$17=0,0,G5/B$17)</f>
        <v>0.40476190476190477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-4244.4444444444443</v>
      </c>
      <c r="P5" s="119">
        <v>27</v>
      </c>
      <c r="Q5" s="103">
        <v>-114600</v>
      </c>
    </row>
    <row r="6" spans="1:17" x14ac:dyDescent="0.4">
      <c r="A6" s="55" t="s">
        <v>1</v>
      </c>
      <c r="B6" s="142">
        <f>IF(B$2=0,0,(B$7*1+B$8*2+B$9*3)/B$2)</f>
        <v>2.096774193548387</v>
      </c>
      <c r="C6" s="143"/>
      <c r="E6" s="63" t="s">
        <v>181</v>
      </c>
      <c r="F6" s="60" t="s">
        <v>182</v>
      </c>
      <c r="G6" s="47">
        <v>29</v>
      </c>
      <c r="H6" s="133">
        <f>IF(B$17=0,0,G6/B$17)</f>
        <v>0.34523809523809523</v>
      </c>
      <c r="I6" s="94">
        <v>7</v>
      </c>
      <c r="K6" s="38">
        <v>4</v>
      </c>
      <c r="L6" s="99">
        <v>-150.6</v>
      </c>
      <c r="N6" s="115" t="s">
        <v>136</v>
      </c>
      <c r="O6" s="122">
        <f t="shared" si="0"/>
        <v>1175</v>
      </c>
      <c r="P6" s="119">
        <v>24</v>
      </c>
      <c r="Q6" s="103">
        <v>28200</v>
      </c>
    </row>
    <row r="7" spans="1:17" x14ac:dyDescent="0.4">
      <c r="A7" s="55" t="s">
        <v>2</v>
      </c>
      <c r="B7" s="47">
        <v>8</v>
      </c>
      <c r="C7" s="39">
        <f>IF(B$2=0,0,B7/B$2)</f>
        <v>0.25806451612903225</v>
      </c>
      <c r="E7" s="63" t="s">
        <v>68</v>
      </c>
      <c r="F7" s="60" t="s">
        <v>24</v>
      </c>
      <c r="G7" s="47">
        <v>21</v>
      </c>
      <c r="H7" s="133">
        <f>IF(B$17=0,0,G7/B$17)</f>
        <v>0.25</v>
      </c>
      <c r="I7" s="94">
        <v>7</v>
      </c>
      <c r="K7" s="38">
        <v>5</v>
      </c>
      <c r="L7" s="99">
        <v>-184.89999999999998</v>
      </c>
      <c r="N7" s="116" t="s">
        <v>137</v>
      </c>
      <c r="O7" s="123">
        <f t="shared" si="0"/>
        <v>-68.181818181818187</v>
      </c>
      <c r="P7" s="120">
        <v>22</v>
      </c>
      <c r="Q7" s="104">
        <v>-1500</v>
      </c>
    </row>
    <row r="8" spans="1:17" x14ac:dyDescent="0.4">
      <c r="A8" s="55" t="s">
        <v>3</v>
      </c>
      <c r="B8" s="47">
        <v>12</v>
      </c>
      <c r="C8" s="39">
        <f>IF(B$2=0,0,B8/B$2)</f>
        <v>0.38709677419354838</v>
      </c>
      <c r="E8" s="63" t="s">
        <v>90</v>
      </c>
      <c r="F8" s="60" t="s">
        <v>45</v>
      </c>
      <c r="G8" s="47">
        <v>11</v>
      </c>
      <c r="H8" s="133">
        <f>IF(B$17=0,0,G8/B$17)</f>
        <v>0.13095238095238096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0.35483870967741937</v>
      </c>
      <c r="E9" s="63" t="s">
        <v>71</v>
      </c>
      <c r="F9" s="60" t="s">
        <v>26</v>
      </c>
      <c r="G9" s="47">
        <v>10</v>
      </c>
      <c r="H9" s="133">
        <f>IF(B$17=0,0,G9/B$17)</f>
        <v>0.11904761904761904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0.12903225806451613</v>
      </c>
      <c r="E10" s="63" t="s">
        <v>70</v>
      </c>
      <c r="F10" s="60" t="s">
        <v>25</v>
      </c>
      <c r="G10" s="47">
        <v>8</v>
      </c>
      <c r="H10" s="133">
        <f>IF(B$17=0,0,G10/B$17)</f>
        <v>9.5238095238095233E-2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2</v>
      </c>
      <c r="C11" s="40">
        <f>IF(B$2=0,0,B11/B$2)</f>
        <v>6.4516129032258063E-2</v>
      </c>
      <c r="E11" s="63" t="s">
        <v>72</v>
      </c>
      <c r="F11" s="60" t="s">
        <v>27</v>
      </c>
      <c r="G11" s="47">
        <v>5</v>
      </c>
      <c r="H11" s="133">
        <f>IF(B$17=0,0,G11/B$17)</f>
        <v>5.9523809523809521E-2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-7.2749999999999986</v>
      </c>
      <c r="P11" s="119">
        <v>16</v>
      </c>
      <c r="Q11" s="107">
        <v>-116.39999999999998</v>
      </c>
    </row>
    <row r="12" spans="1:17" x14ac:dyDescent="0.4">
      <c r="A12" s="57" t="s">
        <v>160</v>
      </c>
      <c r="B12" s="49">
        <v>1</v>
      </c>
      <c r="C12" s="42">
        <f>IF(B$2=0,0,B12/B$2)</f>
        <v>3.2258064516129031E-2</v>
      </c>
      <c r="E12" s="63" t="s">
        <v>66</v>
      </c>
      <c r="F12" s="60" t="s">
        <v>22</v>
      </c>
      <c r="G12" s="47">
        <v>4</v>
      </c>
      <c r="H12" s="133">
        <f>IF(B$17=0,0,G12/B$17)</f>
        <v>4.7619047619047616E-2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-2.1124999999999989</v>
      </c>
      <c r="P12" s="120">
        <v>8</v>
      </c>
      <c r="Q12" s="108">
        <v>-16.899999999999991</v>
      </c>
    </row>
    <row r="13" spans="1:17" x14ac:dyDescent="0.4">
      <c r="A13" s="58" t="s">
        <v>122</v>
      </c>
      <c r="B13" s="50">
        <v>66</v>
      </c>
      <c r="C13" s="44">
        <f>IF(B$3=0,0,B13/B$3)</f>
        <v>0.24087591240875914</v>
      </c>
      <c r="E13" s="63" t="s">
        <v>87</v>
      </c>
      <c r="F13" s="60" t="s">
        <v>42</v>
      </c>
      <c r="G13" s="47">
        <v>4</v>
      </c>
      <c r="H13" s="133">
        <f>IF(B$17=0,0,G13/B$17)</f>
        <v>4.7619047619047616E-2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63</v>
      </c>
      <c r="C14" s="39">
        <f>IF(B$3=0,0,B14/B$3)</f>
        <v>0.22992700729927007</v>
      </c>
      <c r="E14" s="63" t="s">
        <v>84</v>
      </c>
      <c r="F14" s="60" t="s">
        <v>39</v>
      </c>
      <c r="G14" s="47">
        <v>2</v>
      </c>
      <c r="H14" s="133">
        <f>IF(B$17=0,0,G14/B$17)</f>
        <v>2.3809523809523808E-2</v>
      </c>
      <c r="I14" s="94">
        <v>9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</v>
      </c>
      <c r="C15" s="37">
        <f>IF(B$13=0,0,B15/B$13)</f>
        <v>0.60606060606060608</v>
      </c>
      <c r="E15" s="63" t="s">
        <v>74</v>
      </c>
      <c r="F15" s="60" t="s">
        <v>29</v>
      </c>
      <c r="G15" s="47">
        <v>1</v>
      </c>
      <c r="H15" s="133">
        <f>IF(B$17=0,0,G15/B$17)</f>
        <v>1.1904761904761904E-2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20</v>
      </c>
      <c r="C16" s="37">
        <f>IF(B$14=0,0,B16/B$14)</f>
        <v>0.31746031746031744</v>
      </c>
      <c r="E16" s="63" t="s">
        <v>79</v>
      </c>
      <c r="F16" s="60" t="s">
        <v>34</v>
      </c>
      <c r="G16" s="47">
        <v>1</v>
      </c>
      <c r="H16" s="133">
        <f>IF(B$17=0,0,G16/B$17)</f>
        <v>1.1904761904761904E-2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>IF(P16=0,0,Q16/P16)</f>
        <v>2.0842105263157902</v>
      </c>
      <c r="P16" s="119">
        <v>19</v>
      </c>
      <c r="Q16" s="107">
        <v>39.600000000000016</v>
      </c>
    </row>
    <row r="17" spans="1:17" x14ac:dyDescent="0.4">
      <c r="A17" s="54" t="s">
        <v>10</v>
      </c>
      <c r="B17" s="46">
        <f>B19+B18</f>
        <v>84</v>
      </c>
      <c r="C17" s="37">
        <f>IF(B$3=0,0,B17/B$3)</f>
        <v>0.30656934306569344</v>
      </c>
      <c r="E17" s="63" t="s">
        <v>80</v>
      </c>
      <c r="F17" s="60" t="s">
        <v>35</v>
      </c>
      <c r="G17" s="47">
        <v>1</v>
      </c>
      <c r="H17" s="133">
        <f>IF(B$17=0,0,G17/B$17)</f>
        <v>1.1904761904761904E-2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>IF(P17=0,0,Q17/P17)</f>
        <v>-11.574999999999999</v>
      </c>
      <c r="P17" s="119">
        <v>8</v>
      </c>
      <c r="Q17" s="107">
        <v>-92.6</v>
      </c>
    </row>
    <row r="18" spans="1:17" x14ac:dyDescent="0.4">
      <c r="A18" s="55" t="s">
        <v>12</v>
      </c>
      <c r="B18" s="47">
        <v>43</v>
      </c>
      <c r="C18" s="39">
        <f>IF(B$17=0,0,B18/B$17)</f>
        <v>0.51190476190476186</v>
      </c>
      <c r="E18" s="63" t="s">
        <v>92</v>
      </c>
      <c r="F18" s="60" t="s">
        <v>47</v>
      </c>
      <c r="G18" s="47">
        <v>1</v>
      </c>
      <c r="H18" s="133">
        <f>IF(B$17=0,0,G18/B$17)</f>
        <v>1.1904761904761904E-2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-14.874999999999998</v>
      </c>
      <c r="P18" s="119">
        <v>12</v>
      </c>
      <c r="Q18" s="107">
        <v>-178.49999999999997</v>
      </c>
    </row>
    <row r="19" spans="1:17" x14ac:dyDescent="0.4">
      <c r="A19" s="55" t="s">
        <v>11</v>
      </c>
      <c r="B19" s="47">
        <v>41</v>
      </c>
      <c r="C19" s="39">
        <f>IF(B$17=0,0,B19/B$17)</f>
        <v>0.48809523809523808</v>
      </c>
      <c r="E19" s="63" t="s">
        <v>180</v>
      </c>
      <c r="F19" s="60" t="s">
        <v>183</v>
      </c>
      <c r="G19" s="47">
        <v>1</v>
      </c>
      <c r="H19" s="133">
        <f>IF(B$17=0,0,G19/B$17)</f>
        <v>1.1904761904761904E-2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52</v>
      </c>
      <c r="C20" s="39">
        <f>IF(B$3=0,0,B20/B$3)</f>
        <v>0.18978102189781021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-33.157142857142851</v>
      </c>
      <c r="P20" s="119">
        <v>14</v>
      </c>
      <c r="Q20" s="107">
        <v>-464.19999999999993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6801.1904761904761</v>
      </c>
      <c r="C23" s="41">
        <v>571300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-8353.8461538461543</v>
      </c>
      <c r="C24" s="45">
        <v>-434400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3.6496350364963502E-3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17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0.72727272727272729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-5794.1176470588234</v>
      </c>
      <c r="P2" s="118">
        <v>17</v>
      </c>
      <c r="Q2" s="102">
        <v>-98500</v>
      </c>
    </row>
    <row r="3" spans="1:17" x14ac:dyDescent="0.4">
      <c r="A3" s="55" t="s">
        <v>8</v>
      </c>
      <c r="B3" s="148">
        <v>131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0.69696969696969702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-1168.75</v>
      </c>
      <c r="P3" s="119">
        <v>16</v>
      </c>
      <c r="Q3" s="103">
        <v>-18700</v>
      </c>
    </row>
    <row r="4" spans="1:17" x14ac:dyDescent="0.4">
      <c r="A4" s="55" t="s">
        <v>6</v>
      </c>
      <c r="B4" s="150">
        <v>-161.19999999999999</v>
      </c>
      <c r="C4" s="151"/>
      <c r="E4" s="63" t="s">
        <v>65</v>
      </c>
      <c r="F4" s="60" t="s">
        <v>21</v>
      </c>
      <c r="G4" s="47">
        <v>13</v>
      </c>
      <c r="H4" s="133">
        <f>IF(B$17=0,0,G4/B$17)</f>
        <v>0.39393939393939392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421.42857142857144</v>
      </c>
      <c r="P4" s="119">
        <v>14</v>
      </c>
      <c r="Q4" s="103">
        <v>5900</v>
      </c>
    </row>
    <row r="5" spans="1:17" x14ac:dyDescent="0.4">
      <c r="A5" s="55" t="s">
        <v>7</v>
      </c>
      <c r="B5" s="152">
        <f>IF(B$2=0,0,B$4/B$2)</f>
        <v>-9.4823529411764707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0.33333333333333331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26.666666666666668</v>
      </c>
      <c r="P5" s="119">
        <v>15</v>
      </c>
      <c r="Q5" s="103">
        <v>400</v>
      </c>
    </row>
    <row r="6" spans="1:17" x14ac:dyDescent="0.4">
      <c r="A6" s="55" t="s">
        <v>1</v>
      </c>
      <c r="B6" s="142">
        <f>IF(B$2=0,0,(B$7*1+B$8*2+B$9*3)/B$2)</f>
        <v>2.1176470588235294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0.15151515151515152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-414.28571428571428</v>
      </c>
      <c r="P6" s="119">
        <v>14</v>
      </c>
      <c r="Q6" s="103">
        <v>-5800</v>
      </c>
    </row>
    <row r="7" spans="1:17" x14ac:dyDescent="0.4">
      <c r="A7" s="55" t="s">
        <v>2</v>
      </c>
      <c r="B7" s="47">
        <v>5</v>
      </c>
      <c r="C7" s="39">
        <f>IF(B$2=0,0,B7/B$2)</f>
        <v>0.29411764705882354</v>
      </c>
      <c r="E7" s="63" t="s">
        <v>70</v>
      </c>
      <c r="F7" s="60" t="s">
        <v>25</v>
      </c>
      <c r="G7" s="47">
        <v>5</v>
      </c>
      <c r="H7" s="133">
        <f>IF(B$17=0,0,G7/B$17)</f>
        <v>0.15151515151515152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2130.7692307692309</v>
      </c>
      <c r="P7" s="120">
        <v>13</v>
      </c>
      <c r="Q7" s="104">
        <v>27700</v>
      </c>
    </row>
    <row r="8" spans="1:17" x14ac:dyDescent="0.4">
      <c r="A8" s="55" t="s">
        <v>3</v>
      </c>
      <c r="B8" s="47">
        <v>5</v>
      </c>
      <c r="C8" s="39">
        <f>IF(B$2=0,0,B8/B$2)</f>
        <v>0.29411764705882354</v>
      </c>
      <c r="E8" s="63" t="s">
        <v>66</v>
      </c>
      <c r="F8" s="60" t="s">
        <v>22</v>
      </c>
      <c r="G8" s="47">
        <v>4</v>
      </c>
      <c r="H8" s="133">
        <f>IF(B$17=0,0,G8/B$17)</f>
        <v>0.12121212121212122</v>
      </c>
      <c r="I8" s="94">
        <v>5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68</v>
      </c>
      <c r="F9" s="60" t="s">
        <v>24</v>
      </c>
      <c r="G9" s="47">
        <v>4</v>
      </c>
      <c r="H9" s="133">
        <f>IF(B$17=0,0,G9/B$17)</f>
        <v>0.12121212121212122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0.17647058823529413</v>
      </c>
      <c r="E10" s="63" t="s">
        <v>90</v>
      </c>
      <c r="F10" s="60" t="s">
        <v>45</v>
      </c>
      <c r="G10" s="47">
        <v>4</v>
      </c>
      <c r="H10" s="133">
        <f>IF(B$17=0,0,G10/B$17)</f>
        <v>0.12121212121212122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6.0606060606060608E-2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-24.366666666666664</v>
      </c>
      <c r="P11" s="119">
        <v>6</v>
      </c>
      <c r="Q11" s="107">
        <v>-146.19999999999999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0.11764705882352941</v>
      </c>
      <c r="E12" s="63" t="s">
        <v>92</v>
      </c>
      <c r="F12" s="60" t="s">
        <v>47</v>
      </c>
      <c r="G12" s="47">
        <v>2</v>
      </c>
      <c r="H12" s="133">
        <f>IF(B$17=0,0,G12/B$17)</f>
        <v>6.0606060606060608E-2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23</v>
      </c>
      <c r="C13" s="44">
        <f>IF(B$3=0,0,B13/B$3)</f>
        <v>0.17557251908396945</v>
      </c>
      <c r="E13" s="63" t="s">
        <v>71</v>
      </c>
      <c r="F13" s="60" t="s">
        <v>26</v>
      </c>
      <c r="G13" s="47">
        <v>1</v>
      </c>
      <c r="H13" s="133">
        <f>IF(B$17=0,0,G13/B$17)</f>
        <v>3.0303030303030304E-2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</v>
      </c>
      <c r="C14" s="39">
        <f>IF(B$3=0,0,B14/B$3)</f>
        <v>0.27480916030534353</v>
      </c>
      <c r="E14" s="63" t="s">
        <v>72</v>
      </c>
      <c r="F14" s="60" t="s">
        <v>27</v>
      </c>
      <c r="G14" s="47">
        <v>1</v>
      </c>
      <c r="H14" s="133">
        <f>IF(B$17=0,0,G14/B$17)</f>
        <v>3.0303030303030304E-2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0.52173913043478259</v>
      </c>
      <c r="E15" s="63" t="s">
        <v>76</v>
      </c>
      <c r="F15" s="60" t="s">
        <v>31</v>
      </c>
      <c r="G15" s="47">
        <v>1</v>
      </c>
      <c r="H15" s="133">
        <f>IF(B$17=0,0,G15/B$17)</f>
        <v>3.0303030303030304E-2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0.3888888888888889</v>
      </c>
      <c r="E16" s="63" t="s">
        <v>86</v>
      </c>
      <c r="F16" s="60" t="s">
        <v>41</v>
      </c>
      <c r="G16" s="47">
        <v>1</v>
      </c>
      <c r="H16" s="133">
        <f>IF(B$17=0,0,G16/B$17)</f>
        <v>3.0303030303030304E-2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0.25190839694656486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13</v>
      </c>
      <c r="C18" s="39">
        <f>IF(B$17=0,0,B18/B$17)</f>
        <v>0.39393939393939392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-153.29999999999998</v>
      </c>
      <c r="N18" s="115" t="s">
        <v>128</v>
      </c>
      <c r="O18" s="125">
        <f>IF(P18=0,0,Q18/P18)</f>
        <v>-8.1666666666666661</v>
      </c>
      <c r="P18" s="119">
        <v>12</v>
      </c>
      <c r="Q18" s="107">
        <v>-98</v>
      </c>
    </row>
    <row r="19" spans="1:17" x14ac:dyDescent="0.4">
      <c r="A19" s="55" t="s">
        <v>11</v>
      </c>
      <c r="B19" s="47">
        <v>20</v>
      </c>
      <c r="C19" s="39">
        <f>IF(B$17=0,0,B19/B$17)</f>
        <v>0.60606060606060608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27</v>
      </c>
      <c r="C20" s="39">
        <f>IF(B$3=0,0,B20/B$3)</f>
        <v>0.20610687022900764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129</v>
      </c>
      <c r="O20" s="125">
        <f>IF(P20=0,0,Q20/P20)</f>
        <v>-29.700000000000003</v>
      </c>
      <c r="P20" s="119">
        <v>1</v>
      </c>
      <c r="Q20" s="107">
        <v>-29.700000000000003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  <c r="N21" s="115" t="s">
        <v>127</v>
      </c>
      <c r="O21" s="125">
        <f>IF(P21=0,0,Q21/P21)</f>
        <v>-40.066666666666677</v>
      </c>
      <c r="P21" s="119">
        <v>9</v>
      </c>
      <c r="Q21" s="107">
        <v>-360.60000000000008</v>
      </c>
    </row>
    <row r="22" spans="1:17" x14ac:dyDescent="0.4">
      <c r="A22" s="55" t="s">
        <v>194</v>
      </c>
      <c r="B22" s="47">
        <v>16</v>
      </c>
      <c r="C22" s="135">
        <v>3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185</v>
      </c>
      <c r="O22" s="125">
        <f>IF(P22=0,0,Q22/P22)</f>
        <v>-45.699999999999996</v>
      </c>
      <c r="P22" s="119">
        <v>3</v>
      </c>
      <c r="Q22" s="107">
        <v>-137.1</v>
      </c>
    </row>
    <row r="23" spans="1:17" x14ac:dyDescent="0.4">
      <c r="A23" s="55" t="s">
        <v>5</v>
      </c>
      <c r="B23" s="51">
        <f>IF(B$17=0,0,C23/B$17)</f>
        <v>7036.363636363636</v>
      </c>
      <c r="C23" s="41">
        <v>232200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-7029.6296296296296</v>
      </c>
      <c r="C24" s="45">
        <v>-189800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7.6335877862595417E-3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>IF(B$17=0,0,G3/B$17)</f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>IF(B$17=0,0,G4/B$17)</f>
        <v>0.41666666666666669</v>
      </c>
      <c r="I4" s="94">
        <v>9</v>
      </c>
      <c r="K4" s="38">
        <v>2</v>
      </c>
      <c r="L4" s="99">
        <v>-76.2</v>
      </c>
      <c r="N4" s="115" t="s">
        <v>134</v>
      </c>
      <c r="O4" s="122">
        <f t="shared" si="0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>IF(B$17=0,0,G5/B$17)</f>
        <v>0.33333333333333331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>IF(B$17=0,0,G6/B$17)</f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>IF(B$17=0,0,G7/B$17)</f>
        <v>0.16666666666666666</v>
      </c>
      <c r="I7" s="94">
        <v>10</v>
      </c>
      <c r="K7" s="38">
        <v>5</v>
      </c>
      <c r="L7" s="99">
        <v>-121</v>
      </c>
      <c r="N7" s="116" t="s">
        <v>137</v>
      </c>
      <c r="O7" s="123">
        <f t="shared" si="0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>IF(B$17=0,0,G8/B$17)</f>
        <v>0.16666666666666666</v>
      </c>
      <c r="I8" s="94">
        <v>8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3">
        <f>IF(B$17=0,0,G9/B$17)</f>
        <v>8.3333333333333329E-2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>IF(B$17=0,0,G10/B$17)</f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127</v>
      </c>
      <c r="O17" s="125">
        <f>IF(P17=0,0,Q17/P17)</f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>IF(P18=0,0,Q18/P18)</f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128</v>
      </c>
      <c r="O19" s="125">
        <f>IF(P19=0,0,Q19/P19)</f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9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1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2019-04-27T12:45:01Z</dcterms:modified>
</cp:coreProperties>
</file>