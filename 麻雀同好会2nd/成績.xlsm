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A8AC1DA8-6313-4D35-AAC9-BE98AC380BD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6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20" i="5385" l="1"/>
  <c r="O16" i="5381"/>
  <c r="O21" i="5389"/>
  <c r="O20" i="5389"/>
  <c r="O21" i="5377" l="1"/>
  <c r="O17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8" i="5393"/>
  <c r="C27" i="5393"/>
  <c r="B24" i="5393"/>
  <c r="C20" i="5393"/>
  <c r="B17" i="5393"/>
  <c r="H50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6" i="5393" l="1"/>
  <c r="H9" i="5393"/>
  <c r="H35" i="5393"/>
  <c r="H3" i="5393"/>
  <c r="H5" i="5393"/>
  <c r="C17" i="5391"/>
  <c r="H8" i="5391"/>
  <c r="H3" i="5391"/>
  <c r="H10" i="5391"/>
  <c r="H2" i="5391"/>
  <c r="H4" i="5391"/>
  <c r="H21" i="5393"/>
  <c r="H14" i="5393"/>
  <c r="H27" i="5393"/>
  <c r="H44" i="5393"/>
  <c r="H18" i="5393"/>
  <c r="H17" i="5393"/>
  <c r="H12" i="5393"/>
  <c r="H45" i="5393"/>
  <c r="H2" i="5393"/>
  <c r="H11" i="5393"/>
  <c r="H8" i="5393"/>
  <c r="H47" i="5393"/>
  <c r="H37" i="5393"/>
  <c r="H16" i="5393"/>
  <c r="H24" i="5393"/>
  <c r="H30" i="5393"/>
  <c r="H7" i="5393"/>
  <c r="H19" i="5393"/>
  <c r="H25" i="5393"/>
  <c r="H31" i="5393"/>
  <c r="H40" i="5393"/>
  <c r="H49" i="5393"/>
  <c r="H46" i="5393"/>
  <c r="H29" i="5393"/>
  <c r="B23" i="5393"/>
  <c r="H48" i="5393"/>
  <c r="H15" i="5393"/>
  <c r="H4" i="5393"/>
  <c r="H10" i="5393"/>
  <c r="H22" i="5393"/>
  <c r="H32" i="5393"/>
  <c r="H41" i="5393"/>
  <c r="H51" i="5393"/>
  <c r="C17" i="5393"/>
  <c r="H38" i="5393"/>
  <c r="H13" i="5393"/>
  <c r="H39" i="5393"/>
  <c r="C18" i="5393"/>
  <c r="H20" i="5393"/>
  <c r="C19" i="5393"/>
  <c r="H26" i="5393"/>
  <c r="H33" i="5393"/>
  <c r="H43" i="5393"/>
  <c r="H6" i="5393"/>
  <c r="H23" i="5393"/>
  <c r="H28" i="5393"/>
  <c r="H34" i="5393"/>
  <c r="H42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7" i="5387"/>
  <c r="O16" i="5387"/>
  <c r="O17" i="5379"/>
  <c r="O19" i="5385" l="1"/>
  <c r="O17" i="5383"/>
  <c r="O18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50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2" i="5375"/>
  <c r="H13" i="5389" l="1"/>
  <c r="H24" i="5389"/>
  <c r="H10" i="5389"/>
  <c r="H43" i="5389"/>
  <c r="H17" i="5389"/>
  <c r="H15" i="5389"/>
  <c r="H4" i="5389"/>
  <c r="C17" i="5389"/>
  <c r="H33" i="5389"/>
  <c r="H6" i="5389"/>
  <c r="H25" i="5389"/>
  <c r="H18" i="5389"/>
  <c r="H11" i="5389"/>
  <c r="H37" i="5389"/>
  <c r="H48" i="5389"/>
  <c r="H3" i="5389"/>
  <c r="H14" i="5389"/>
  <c r="H21" i="5389"/>
  <c r="H44" i="5389"/>
  <c r="H45" i="5389"/>
  <c r="C18" i="5389"/>
  <c r="H46" i="5389"/>
  <c r="C19" i="5389"/>
  <c r="H19" i="5389"/>
  <c r="H38" i="5389"/>
  <c r="H51" i="5389"/>
  <c r="H22" i="5389"/>
  <c r="H8" i="5389"/>
  <c r="H30" i="5389"/>
  <c r="B23" i="5389"/>
  <c r="H26" i="5389"/>
  <c r="H36" i="5389"/>
  <c r="H2" i="5389"/>
  <c r="H28" i="5389"/>
  <c r="H27" i="5389"/>
  <c r="H9" i="5389"/>
  <c r="H7" i="5389"/>
  <c r="H12" i="5389"/>
  <c r="H20" i="5389"/>
  <c r="H16" i="5389"/>
  <c r="H39" i="5389"/>
  <c r="H5" i="5389"/>
  <c r="H23" i="5389"/>
  <c r="H40" i="5389"/>
  <c r="H47" i="5389"/>
  <c r="H31" i="5389"/>
  <c r="H34" i="5389"/>
  <c r="H41" i="5389"/>
  <c r="H49" i="5389"/>
  <c r="H29" i="5389"/>
  <c r="H32" i="5389"/>
  <c r="H35" i="5389"/>
  <c r="H42" i="5389"/>
  <c r="O18" i="5381" l="1"/>
  <c r="O20" i="5387"/>
  <c r="O15" i="5387"/>
  <c r="C27" i="5387"/>
  <c r="B24" i="5387"/>
  <c r="C20" i="5387"/>
  <c r="B17" i="5387"/>
  <c r="H49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9" i="5383"/>
  <c r="O22" i="5385"/>
  <c r="O23" i="5385"/>
  <c r="C27" i="5385"/>
  <c r="B24" i="5385"/>
  <c r="C20" i="5385"/>
  <c r="B17" i="5385"/>
  <c r="H50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8" i="5383"/>
  <c r="C27" i="5383"/>
  <c r="B24" i="5383"/>
  <c r="C20" i="5383"/>
  <c r="B17" i="5383"/>
  <c r="H50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3" i="5375"/>
  <c r="H43" i="5385" l="1"/>
  <c r="H30" i="5387"/>
  <c r="H8" i="5387"/>
  <c r="H16" i="5387"/>
  <c r="H19" i="5387"/>
  <c r="H5" i="5387"/>
  <c r="H31" i="5387"/>
  <c r="H43" i="5387"/>
  <c r="H2" i="5387"/>
  <c r="H45" i="5387"/>
  <c r="H15" i="5387"/>
  <c r="H12" i="5387"/>
  <c r="H9" i="5387"/>
  <c r="C19" i="5387"/>
  <c r="H44" i="5387"/>
  <c r="H11" i="5387"/>
  <c r="H27" i="5387"/>
  <c r="B23" i="5387"/>
  <c r="H3" i="5387"/>
  <c r="H23" i="5387"/>
  <c r="H10" i="5387"/>
  <c r="H36" i="5387"/>
  <c r="H46" i="5387"/>
  <c r="H6" i="5387"/>
  <c r="H47" i="5387"/>
  <c r="H17" i="5387"/>
  <c r="H4" i="5387"/>
  <c r="C18" i="5387"/>
  <c r="H24" i="5387"/>
  <c r="H37" i="5387"/>
  <c r="H34" i="5387"/>
  <c r="H35" i="5387"/>
  <c r="H14" i="5387"/>
  <c r="H18" i="5387"/>
  <c r="H42" i="5387"/>
  <c r="H40" i="5385"/>
  <c r="H3" i="5383"/>
  <c r="H4" i="5383"/>
  <c r="H10" i="5383"/>
  <c r="H6" i="5383"/>
  <c r="H21" i="5387"/>
  <c r="H28" i="5387"/>
  <c r="H38" i="5387"/>
  <c r="H50" i="5387"/>
  <c r="H7" i="5387"/>
  <c r="H13" i="5387"/>
  <c r="C17" i="5387"/>
  <c r="H22" i="5387"/>
  <c r="H29" i="5387"/>
  <c r="H39" i="5387"/>
  <c r="H51" i="5387"/>
  <c r="H25" i="5387"/>
  <c r="H32" i="5387"/>
  <c r="H40" i="5387"/>
  <c r="H48" i="5387"/>
  <c r="H20" i="5387"/>
  <c r="H26" i="5387"/>
  <c r="H33" i="5387"/>
  <c r="H41" i="5387"/>
  <c r="H17" i="5385"/>
  <c r="H44" i="5385"/>
  <c r="H9" i="5385"/>
  <c r="H30" i="5385"/>
  <c r="H3" i="5385"/>
  <c r="H14" i="5385"/>
  <c r="C19" i="5385"/>
  <c r="H32" i="5385"/>
  <c r="H5" i="5385"/>
  <c r="H8" i="5385"/>
  <c r="H24" i="5385"/>
  <c r="H25" i="5385"/>
  <c r="H2" i="5385"/>
  <c r="C18" i="5385"/>
  <c r="H45" i="5385"/>
  <c r="H6" i="5385"/>
  <c r="H18" i="5385"/>
  <c r="H31" i="5385"/>
  <c r="H11" i="5385"/>
  <c r="H15" i="5385"/>
  <c r="H23" i="5385"/>
  <c r="H35" i="5385"/>
  <c r="H12" i="5385"/>
  <c r="H19" i="5385"/>
  <c r="H36" i="5385"/>
  <c r="H46" i="5385"/>
  <c r="H16" i="5385"/>
  <c r="H27" i="5385"/>
  <c r="H37" i="5385"/>
  <c r="H47" i="5385"/>
  <c r="H48" i="5385"/>
  <c r="H4" i="5385"/>
  <c r="H10" i="5385"/>
  <c r="H22" i="5385"/>
  <c r="H28" i="5385"/>
  <c r="H38" i="5385"/>
  <c r="H7" i="5385"/>
  <c r="H13" i="5385"/>
  <c r="C17" i="5385"/>
  <c r="B23" i="5385"/>
  <c r="H29" i="5385"/>
  <c r="H39" i="5385"/>
  <c r="H51" i="5385"/>
  <c r="H20" i="5385"/>
  <c r="H26" i="5385"/>
  <c r="H33" i="5385"/>
  <c r="H41" i="5385"/>
  <c r="H49" i="5385"/>
  <c r="H21" i="5385"/>
  <c r="H34" i="5385"/>
  <c r="H42" i="5385"/>
  <c r="H8" i="5383"/>
  <c r="C17" i="5383"/>
  <c r="H12" i="5383"/>
  <c r="H2" i="5383"/>
  <c r="H9" i="5383"/>
  <c r="H17" i="5383"/>
  <c r="H22" i="5383"/>
  <c r="H27" i="5383"/>
  <c r="H35" i="5383"/>
  <c r="H43" i="5383"/>
  <c r="H51" i="5383"/>
  <c r="H5" i="5383"/>
  <c r="H11" i="5383"/>
  <c r="H14" i="5383"/>
  <c r="C18" i="5383"/>
  <c r="B23" i="5383"/>
  <c r="H28" i="5383"/>
  <c r="H36" i="5383"/>
  <c r="H44" i="5383"/>
  <c r="H18" i="5383"/>
  <c r="H23" i="5383"/>
  <c r="H29" i="5383"/>
  <c r="H37" i="5383"/>
  <c r="H45" i="5383"/>
  <c r="H15" i="5383"/>
  <c r="C19" i="5383"/>
  <c r="H30" i="5383"/>
  <c r="H38" i="5383"/>
  <c r="H46" i="5383"/>
  <c r="H19" i="5383"/>
  <c r="H24" i="5383"/>
  <c r="H31" i="5383"/>
  <c r="H39" i="5383"/>
  <c r="H47" i="5383"/>
  <c r="H16" i="5383"/>
  <c r="H25" i="5383"/>
  <c r="H32" i="5383"/>
  <c r="H40" i="5383"/>
  <c r="H48" i="5383"/>
  <c r="H20" i="5383"/>
  <c r="H26" i="5383"/>
  <c r="H33" i="5383"/>
  <c r="H41" i="5383"/>
  <c r="H49" i="5383"/>
  <c r="H7" i="5383"/>
  <c r="H13" i="5383"/>
  <c r="H21" i="5383"/>
  <c r="H34" i="5383"/>
  <c r="H42" i="5383"/>
  <c r="O17" i="5381" l="1"/>
  <c r="O20" i="5381"/>
  <c r="C27" i="5381"/>
  <c r="B24" i="5381"/>
  <c r="C20" i="5381"/>
  <c r="B17" i="5381"/>
  <c r="H51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2" i="5377"/>
  <c r="C27" i="5377"/>
  <c r="B24" i="5377"/>
  <c r="C20" i="5377"/>
  <c r="B17" i="5377"/>
  <c r="H51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23" i="5377"/>
  <c r="H4" i="5377"/>
  <c r="H44" i="5377"/>
  <c r="H45" i="5377"/>
  <c r="H17" i="5377"/>
  <c r="H13" i="5381"/>
  <c r="H2" i="5381"/>
  <c r="H3" i="5379"/>
  <c r="H2" i="5377"/>
  <c r="H11" i="5377"/>
  <c r="H13" i="5377"/>
  <c r="H26" i="5377"/>
  <c r="H46" i="5377"/>
  <c r="H12" i="5377"/>
  <c r="H32" i="5377"/>
  <c r="H28" i="5377"/>
  <c r="H30" i="5377"/>
  <c r="C19" i="5377"/>
  <c r="H35" i="5377"/>
  <c r="H10" i="5377"/>
  <c r="H3" i="5377"/>
  <c r="H16" i="5377"/>
  <c r="H36" i="5377"/>
  <c r="H7" i="5377"/>
  <c r="H37" i="5377"/>
  <c r="H9" i="5381"/>
  <c r="H11" i="5381"/>
  <c r="H16" i="5381"/>
  <c r="H20" i="5381"/>
  <c r="H18" i="5381"/>
  <c r="H36" i="5381"/>
  <c r="C17" i="5381"/>
  <c r="H3" i="5381"/>
  <c r="H10" i="5381"/>
  <c r="H17" i="5381"/>
  <c r="H4" i="5381"/>
  <c r="H40" i="5381"/>
  <c r="H12" i="5381"/>
  <c r="H6" i="5381"/>
  <c r="H29" i="5381"/>
  <c r="H44" i="5381"/>
  <c r="H5" i="5381"/>
  <c r="H7" i="5381"/>
  <c r="H24" i="5381"/>
  <c r="H26" i="5381"/>
  <c r="C18" i="5381"/>
  <c r="B23" i="5381"/>
  <c r="H31" i="5381"/>
  <c r="H37" i="5381"/>
  <c r="H45" i="5381"/>
  <c r="H27" i="5381"/>
  <c r="H30" i="5381"/>
  <c r="H23" i="5381"/>
  <c r="H38" i="5381"/>
  <c r="H46" i="5381"/>
  <c r="H19" i="5381"/>
  <c r="C19" i="5381"/>
  <c r="H32" i="5381"/>
  <c r="H39" i="5381"/>
  <c r="H47" i="5381"/>
  <c r="H48" i="5381"/>
  <c r="H15" i="5381"/>
  <c r="H21" i="5381"/>
  <c r="H33" i="5381"/>
  <c r="H41" i="5381"/>
  <c r="H49" i="5381"/>
  <c r="H28" i="5381"/>
  <c r="H22" i="5381"/>
  <c r="H34" i="5381"/>
  <c r="H42" i="5381"/>
  <c r="H50" i="5381"/>
  <c r="H8" i="5381"/>
  <c r="H25" i="5381"/>
  <c r="H14" i="5381"/>
  <c r="H35" i="5381"/>
  <c r="H43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7" i="5377"/>
  <c r="H22" i="5377"/>
  <c r="H14" i="5377"/>
  <c r="H38" i="5377"/>
  <c r="C17" i="5377"/>
  <c r="H39" i="5377"/>
  <c r="B23" i="5377"/>
  <c r="H18" i="5377"/>
  <c r="H40" i="5377"/>
  <c r="H15" i="5377"/>
  <c r="H9" i="5377"/>
  <c r="H48" i="5377"/>
  <c r="H8" i="5377"/>
  <c r="H24" i="5377"/>
  <c r="H27" i="5377"/>
  <c r="H50" i="5377"/>
  <c r="H19" i="5377"/>
  <c r="H6" i="5377"/>
  <c r="H20" i="5377"/>
  <c r="H31" i="5377"/>
  <c r="C18" i="5377"/>
  <c r="H25" i="5377"/>
  <c r="H21" i="5377"/>
  <c r="H42" i="5377"/>
  <c r="H5" i="5377"/>
  <c r="H41" i="5377"/>
  <c r="H49" i="5377"/>
  <c r="H33" i="5377"/>
  <c r="H34" i="5377"/>
  <c r="H29" i="5377"/>
  <c r="H43" i="5377"/>
  <c r="H16" i="5375"/>
  <c r="H9" i="5375"/>
  <c r="H22" i="5375"/>
  <c r="H17" i="5375"/>
  <c r="H37" i="5375"/>
  <c r="H44" i="5375"/>
  <c r="C17" i="5375"/>
  <c r="H4" i="5375"/>
  <c r="H34" i="5375"/>
  <c r="H40" i="5375"/>
  <c r="H27" i="5375"/>
  <c r="H47" i="5375"/>
  <c r="H6" i="5375"/>
  <c r="H12" i="5375"/>
  <c r="H2" i="5375"/>
  <c r="H20" i="5375"/>
  <c r="H8" i="5375"/>
  <c r="C19" i="5375"/>
  <c r="H7" i="5375"/>
  <c r="H14" i="5375"/>
  <c r="H3" i="5375"/>
  <c r="H11" i="5375"/>
  <c r="H28" i="5375"/>
  <c r="H19" i="5375"/>
  <c r="H21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6" i="5375"/>
  <c r="H10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<sst xmlns="http://schemas.openxmlformats.org/spreadsheetml/2006/main" count="3222" uniqueCount="239">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</sst>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全体!$K$2:$K$557</c:f>
              <c:numCache>
                <c:formatCode>General</c:formatCode>
                <c:ptCount val="5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</c:numCache>
            </c:numRef>
          </c:xVal>
          <c:yVal>
            <c:numRef>
              <c:f>全体!$L$2:$L$557</c:f>
              <c:numCache>
                <c:formatCode>\+0.0;\-0.0;\±0</c:formatCode>
                <c:ptCount val="55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-14.414414414414415</c:v>
                </c:pt>
                <c:pt idx="1">
                  <c:v>-7.3664825046040514</c:v>
                </c:pt>
                <c:pt idx="2">
                  <c:v>7.7972709551656916</c:v>
                </c:pt>
                <c:pt idx="3">
                  <c:v>10.75268817204301</c:v>
                </c:pt>
                <c:pt idx="4">
                  <c:v>-14.388489208633093</c:v>
                </c:pt>
                <c:pt idx="5">
                  <c:v>23.80952380952381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だいち!$L$2:$L$126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1561.2903225806451</c:v>
                </c:pt>
                <c:pt idx="1">
                  <c:v>1351.2396694214876</c:v>
                </c:pt>
                <c:pt idx="2">
                  <c:v>1440</c:v>
                </c:pt>
                <c:pt idx="3">
                  <c:v>2357.1428571428573</c:v>
                </c:pt>
                <c:pt idx="4">
                  <c:v>878.26086956521738</c:v>
                </c:pt>
                <c:pt idx="5">
                  <c:v>896.2962962962963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ただ!$L$2:$L$68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-1890.909090909091</c:v>
                </c:pt>
                <c:pt idx="1">
                  <c:v>-1323.4375</c:v>
                </c:pt>
                <c:pt idx="2">
                  <c:v>-1010</c:v>
                </c:pt>
                <c:pt idx="3">
                  <c:v>-5440.3846153846152</c:v>
                </c:pt>
                <c:pt idx="4">
                  <c:v>-1971.7391304347825</c:v>
                </c:pt>
                <c:pt idx="5">
                  <c:v>-2148.8372093023254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-1152</c:v>
                </c:pt>
                <c:pt idx="1">
                  <c:v>382.43243243243245</c:v>
                </c:pt>
                <c:pt idx="2">
                  <c:v>1686.9565217391305</c:v>
                </c:pt>
                <c:pt idx="3">
                  <c:v>2362.7118644067796</c:v>
                </c:pt>
                <c:pt idx="4">
                  <c:v>-838.46153846153845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ぱぱ!$L$2:$L$45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-2806.9767441860463</c:v>
                </c:pt>
                <c:pt idx="1">
                  <c:v>2062.7906976744184</c:v>
                </c:pt>
                <c:pt idx="2">
                  <c:v>-831.70731707317077</c:v>
                </c:pt>
                <c:pt idx="3">
                  <c:v>-3700</c:v>
                </c:pt>
                <c:pt idx="4">
                  <c:v>-44.117647058823529</c:v>
                </c:pt>
                <c:pt idx="5">
                  <c:v>136.36363636363637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いっしー2!$C$3:$C$17</c:f>
              <c:numCache>
                <c:formatCode>\+0.0;\-0.0;\±0</c:formatCode>
                <c:ptCount val="15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  <c:pt idx="8">
                  <c:v>-21.3125</c:v>
                </c:pt>
                <c:pt idx="9">
                  <c:v>-25.344444444444445</c:v>
                </c:pt>
                <c:pt idx="10">
                  <c:v>-19.75</c:v>
                </c:pt>
                <c:pt idx="11">
                  <c:v>-14.654545454545454</c:v>
                </c:pt>
                <c:pt idx="12">
                  <c:v>-9.7166666666666668</c:v>
                </c:pt>
                <c:pt idx="13">
                  <c:v>-11.138461538461538</c:v>
                </c:pt>
                <c:pt idx="14">
                  <c:v>-9.9071428571428566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80257181549730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いっしー2!$D$3:$D$17</c:f>
              <c:numCache>
                <c:formatCode>0.00\ "位"</c:formatCode>
                <c:ptCount val="1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2.375</c:v>
                </c:pt>
                <c:pt idx="9">
                  <c:v>2.4444444444444446</c:v>
                </c:pt>
                <c:pt idx="10">
                  <c:v>2.2999999999999998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いっしー2!$E$3:$E$17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いっしー2!$F$3:$F$17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いっしー2!$G$3:$G$17</c:f>
              <c:numCache>
                <c:formatCode>0.0%</c:formatCode>
                <c:ptCount val="15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0.25</c:v>
                </c:pt>
                <c:pt idx="9">
                  <c:v>0.23076923076923078</c:v>
                </c:pt>
                <c:pt idx="10">
                  <c:v>0.23529411764705882</c:v>
                </c:pt>
                <c:pt idx="11">
                  <c:v>0.25531914893617019</c:v>
                </c:pt>
                <c:pt idx="12">
                  <c:v>0.26923076923076922</c:v>
                </c:pt>
                <c:pt idx="13">
                  <c:v>0.2767857142857143</c:v>
                </c:pt>
                <c:pt idx="14">
                  <c:v>0.28813559322033899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05321219987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いっしー2!$H$3:$H$17</c:f>
              <c:numCache>
                <c:formatCode>0.0%</c:formatCode>
                <c:ptCount val="15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  <c:pt idx="8">
                  <c:v>0.25</c:v>
                </c:pt>
                <c:pt idx="9">
                  <c:v>0.26923076923076922</c:v>
                </c:pt>
                <c:pt idx="10">
                  <c:v>0.27058823529411763</c:v>
                </c:pt>
                <c:pt idx="11">
                  <c:v>0.25531914893617019</c:v>
                </c:pt>
                <c:pt idx="12">
                  <c:v>0.23076923076923078</c:v>
                </c:pt>
                <c:pt idx="13">
                  <c:v>0.23214285714285715</c:v>
                </c:pt>
                <c:pt idx="14">
                  <c:v>0.22033898305084745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0744105559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いっしー2!$I$3:$I$17</c:f>
              <c:numCache>
                <c:formatCode>0</c:formatCode>
                <c:ptCount val="15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  <c:pt idx="8">
                  <c:v>7364.7058823529414</c:v>
                </c:pt>
                <c:pt idx="9">
                  <c:v>7072.2222222222226</c:v>
                </c:pt>
                <c:pt idx="10">
                  <c:v>7365</c:v>
                </c:pt>
                <c:pt idx="11">
                  <c:v>7358.333333333333</c:v>
                </c:pt>
                <c:pt idx="12">
                  <c:v>7700</c:v>
                </c:pt>
                <c:pt idx="13">
                  <c:v>7577.4193548387093</c:v>
                </c:pt>
                <c:pt idx="14">
                  <c:v>7494.1176470588234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55.41125541125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いっしー2!$J$3:$J$17</c:f>
              <c:numCache>
                <c:formatCode>0</c:formatCode>
                <c:ptCount val="15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  <c:pt idx="8">
                  <c:v>-8323.5294117647063</c:v>
                </c:pt>
                <c:pt idx="9">
                  <c:v>-8233.3333333333339</c:v>
                </c:pt>
                <c:pt idx="10">
                  <c:v>-7686.95652173913</c:v>
                </c:pt>
                <c:pt idx="11">
                  <c:v>-7700</c:v>
                </c:pt>
                <c:pt idx="12">
                  <c:v>-7700</c:v>
                </c:pt>
                <c:pt idx="13">
                  <c:v>-8107.6923076923076</c:v>
                </c:pt>
                <c:pt idx="14">
                  <c:v>-8107.6923076923076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34.2820181112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51351351351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いっしー2!$L$3:$L$17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51351351351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いっしー2!$M$3:$M$17</c:f>
              <c:numCache>
                <c:formatCode>0.0%</c:formatCode>
                <c:ptCount val="15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  <c:pt idx="8">
                  <c:v>0.17647058823529413</c:v>
                </c:pt>
                <c:pt idx="9">
                  <c:v>0.20512820512820512</c:v>
                </c:pt>
                <c:pt idx="10">
                  <c:v>0.21176470588235294</c:v>
                </c:pt>
                <c:pt idx="11">
                  <c:v>0.21276595744680851</c:v>
                </c:pt>
                <c:pt idx="12">
                  <c:v>0.23076923076923078</c:v>
                </c:pt>
                <c:pt idx="13">
                  <c:v>0.22321428571428573</c:v>
                </c:pt>
                <c:pt idx="14">
                  <c:v>0.23728813559322035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039584685269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いっしー2!$N$3:$N$17</c:f>
              <c:numCache>
                <c:formatCode>0.0%</c:formatCode>
                <c:ptCount val="15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  <c:pt idx="8">
                  <c:v>0.22058823529411764</c:v>
                </c:pt>
                <c:pt idx="9">
                  <c:v>0.20512820512820512</c:v>
                </c:pt>
                <c:pt idx="10">
                  <c:v>0.2</c:v>
                </c:pt>
                <c:pt idx="11">
                  <c:v>0.21276595744680851</c:v>
                </c:pt>
                <c:pt idx="12">
                  <c:v>0.19230769230769232</c:v>
                </c:pt>
                <c:pt idx="13">
                  <c:v>0.21428571428571427</c:v>
                </c:pt>
                <c:pt idx="14">
                  <c:v>0.21186440677966101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20462902876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いっしー2!$O$3:$O$17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0.66666666666666663</c:v>
                </c:pt>
                <c:pt idx="9">
                  <c:v>0.5625</c:v>
                </c:pt>
                <c:pt idx="10">
                  <c:v>0.55555555555555558</c:v>
                </c:pt>
                <c:pt idx="11">
                  <c:v>0.6</c:v>
                </c:pt>
                <c:pt idx="12">
                  <c:v>0.625</c:v>
                </c:pt>
                <c:pt idx="13">
                  <c:v>0.64</c:v>
                </c:pt>
                <c:pt idx="14">
                  <c:v>0.6785714285714286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20930232558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いっしー2!$P$3:$P$17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0.46666666666666667</c:v>
                </c:pt>
                <c:pt idx="9">
                  <c:v>0.4375</c:v>
                </c:pt>
                <c:pt idx="10">
                  <c:v>0.47058823529411764</c:v>
                </c:pt>
                <c:pt idx="11">
                  <c:v>0.45</c:v>
                </c:pt>
                <c:pt idx="12">
                  <c:v>0.45</c:v>
                </c:pt>
                <c:pt idx="13">
                  <c:v>0.45833333333333331</c:v>
                </c:pt>
                <c:pt idx="14">
                  <c:v>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721649484536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いっしー2!$Q$3:$Q$17</c:f>
              <c:numCache>
                <c:formatCode>0.0%</c:formatCode>
                <c:ptCount val="15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  <c:pt idx="8">
                  <c:v>0.52941176470588236</c:v>
                </c:pt>
                <c:pt idx="9">
                  <c:v>0.55555555555555558</c:v>
                </c:pt>
                <c:pt idx="10">
                  <c:v>0.55000000000000004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0.5161290322580645</c:v>
                </c:pt>
                <c:pt idx="14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50793650793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555</v>
      </c>
    </row>
    <row r="2" spans="1:2" x14ac:dyDescent="0.4">
      <c r="A2" t="s">
        <v>127</v>
      </c>
      <c r="B2">
        <v>124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66</v>
      </c>
    </row>
    <row r="5" spans="1:2" x14ac:dyDescent="0.4">
      <c r="A5" t="s">
        <v>171</v>
      </c>
      <c r="B5">
        <v>75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43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0.45238665076230833</v>
      </c>
      <c r="G2" s="159"/>
      <c r="H2" s="158">
        <v>0.22953623418538038</v>
      </c>
      <c r="I2" s="159"/>
      <c r="J2" s="158">
        <v>0.55213500817771777</v>
      </c>
      <c r="K2" s="159"/>
      <c r="L2" s="158">
        <v>0.15092071868467624</v>
      </c>
      <c r="M2" s="159"/>
      <c r="N2" s="158">
        <v>0.38059540024943761</v>
      </c>
      <c r="O2" s="159"/>
      <c r="P2" s="158">
        <v>0.47552698590679487</v>
      </c>
      <c r="Q2" s="159"/>
      <c r="R2" s="158">
        <v>7.9853495208211306E-2</v>
      </c>
      <c r="S2" s="159"/>
      <c r="T2" s="158">
        <v>0.15605638678093151</v>
      </c>
      <c r="U2" s="159"/>
      <c r="V2" s="158">
        <v>0.66475511974753165</v>
      </c>
      <c r="W2" s="159"/>
      <c r="X2" s="158">
        <v>0.80129302935833691</v>
      </c>
      <c r="Y2" s="159"/>
      <c r="Z2" s="158">
        <v>-0.1796733528446578</v>
      </c>
      <c r="AA2" s="159"/>
      <c r="AB2" s="158">
        <v>-0.46879885266093907</v>
      </c>
      <c r="AC2" s="159"/>
      <c r="AD2" s="158">
        <v>4.692737422072496E-2</v>
      </c>
      <c r="AE2" s="159"/>
      <c r="AF2" s="158">
        <v>-0.57740339328412071</v>
      </c>
      <c r="AG2" s="159"/>
      <c r="AH2" s="158">
        <v>0.68882993102151091</v>
      </c>
      <c r="AI2" s="159"/>
    </row>
    <row r="3" spans="1:35" x14ac:dyDescent="0.4">
      <c r="A3" s="74">
        <v>1</v>
      </c>
      <c r="B3" s="75" t="s">
        <v>127</v>
      </c>
      <c r="C3" s="76">
        <v>1628.600000000001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0.16935483870967741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0.51583710407239824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145.29999999999998</v>
      </c>
      <c r="D4" s="85" t="s">
        <v>224</v>
      </c>
      <c r="E4" s="97">
        <v>13.3</v>
      </c>
      <c r="F4" s="85" t="s">
        <v>127</v>
      </c>
      <c r="G4" s="86">
        <v>1.717741935483871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9939.8876404494385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0.13333333333333333</v>
      </c>
      <c r="X4" s="85" t="s">
        <v>127</v>
      </c>
      <c r="Y4" s="88">
        <v>0.32703777335984097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13.133870967741943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0.35089463220675943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0.11351351351351352</v>
      </c>
      <c r="X5" s="85" t="s">
        <v>128</v>
      </c>
      <c r="Y5" s="88">
        <v>0.29778247096092925</v>
      </c>
      <c r="Z5" s="85" t="s">
        <v>173</v>
      </c>
      <c r="AA5" s="88">
        <v>0.26133333333333331</v>
      </c>
      <c r="AB5" s="85" t="s">
        <v>186</v>
      </c>
      <c r="AC5" s="88">
        <v>0.6785714285714286</v>
      </c>
      <c r="AD5" s="85" t="s">
        <v>172</v>
      </c>
      <c r="AE5" s="88">
        <v>0.44295302013422821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171</v>
      </c>
      <c r="E6" s="97">
        <v>1.9373333333333331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0.21774193548387097</v>
      </c>
      <c r="L6" s="85" t="s">
        <v>202</v>
      </c>
      <c r="M6" s="88">
        <v>0.30434782608695654</v>
      </c>
      <c r="N6" s="85" t="s">
        <v>127</v>
      </c>
      <c r="O6" s="88">
        <v>0.15407554671968191</v>
      </c>
      <c r="P6" s="85" t="s">
        <v>127</v>
      </c>
      <c r="Q6" s="89">
        <v>9134.2776203966005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177</v>
      </c>
      <c r="W6" s="87">
        <v>0.10638297872340426</v>
      </c>
      <c r="X6" s="85" t="s">
        <v>171</v>
      </c>
      <c r="Y6" s="88">
        <v>0.2861685214626391</v>
      </c>
      <c r="Z6" s="85" t="s">
        <v>127</v>
      </c>
      <c r="AA6" s="88">
        <v>0.21968190854870775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0.50450450450450446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177</v>
      </c>
      <c r="E7" s="97">
        <v>1.5127659574468084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145</v>
      </c>
      <c r="M7" s="88">
        <v>0.29980532121998704</v>
      </c>
      <c r="N7" s="85" t="s">
        <v>177</v>
      </c>
      <c r="O7" s="88">
        <v>0.16010498687664043</v>
      </c>
      <c r="P7" s="85" t="s">
        <v>129</v>
      </c>
      <c r="Q7" s="89">
        <v>9066.9421487603304</v>
      </c>
      <c r="R7" s="85" t="s">
        <v>173</v>
      </c>
      <c r="S7" s="89">
        <v>-7807.1428571428569</v>
      </c>
      <c r="T7" s="85" t="s">
        <v>172</v>
      </c>
      <c r="U7" s="87">
        <v>5.0847457627118647E-2</v>
      </c>
      <c r="V7" s="85" t="s">
        <v>129</v>
      </c>
      <c r="W7" s="87">
        <v>0.10606060606060606</v>
      </c>
      <c r="X7" s="85" t="s">
        <v>145</v>
      </c>
      <c r="Y7" s="88">
        <v>0.27903958468526929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0.30666666666666664</v>
      </c>
      <c r="J8" s="85" t="s">
        <v>177</v>
      </c>
      <c r="K8" s="87">
        <v>0.31914893617021278</v>
      </c>
      <c r="L8" s="85" t="s">
        <v>173</v>
      </c>
      <c r="M8" s="88">
        <v>0.29599999999999999</v>
      </c>
      <c r="N8" s="85" t="s">
        <v>145</v>
      </c>
      <c r="O8" s="88">
        <v>0.1672074410555916</v>
      </c>
      <c r="P8" s="85" t="s">
        <v>177</v>
      </c>
      <c r="Q8" s="89">
        <v>8838.3928571428569</v>
      </c>
      <c r="R8" s="85" t="s">
        <v>171</v>
      </c>
      <c r="S8" s="89">
        <v>-7845.3703703703704</v>
      </c>
      <c r="T8" s="85" t="s">
        <v>171</v>
      </c>
      <c r="U8" s="87">
        <v>6.6666666666666666E-2</v>
      </c>
      <c r="V8" s="85" t="s">
        <v>172</v>
      </c>
      <c r="W8" s="87">
        <v>0.10169491525423729</v>
      </c>
      <c r="X8" s="85" t="s">
        <v>129</v>
      </c>
      <c r="Y8" s="88">
        <v>0.26568265682656828</v>
      </c>
      <c r="Z8" s="85" t="s">
        <v>185</v>
      </c>
      <c r="AA8" s="88">
        <v>0.21052631578947367</v>
      </c>
      <c r="AB8" s="85" t="s">
        <v>173</v>
      </c>
      <c r="AC8" s="88">
        <v>0.59302325581395354</v>
      </c>
      <c r="AD8" s="85" t="s">
        <v>171</v>
      </c>
      <c r="AE8" s="88">
        <v>0.39830508474576271</v>
      </c>
      <c r="AF8" s="85" t="s">
        <v>129</v>
      </c>
      <c r="AG8" s="88">
        <v>0.49586776859504134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1.2802571815497301E-17</v>
      </c>
      <c r="F9" s="85" t="s">
        <v>172</v>
      </c>
      <c r="G9" s="86">
        <v>2.0338983050847457</v>
      </c>
      <c r="H9" s="85" t="s">
        <v>173</v>
      </c>
      <c r="I9" s="87">
        <v>0.27906976744186046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171</v>
      </c>
      <c r="O9" s="88">
        <v>0.17170111287758347</v>
      </c>
      <c r="P9" s="85" t="s">
        <v>225</v>
      </c>
      <c r="Q9" s="89">
        <v>8666.6666666666661</v>
      </c>
      <c r="R9" s="85" t="s">
        <v>186</v>
      </c>
      <c r="S9" s="89">
        <v>-8107.6923076923076</v>
      </c>
      <c r="T9" s="85" t="s">
        <v>127</v>
      </c>
      <c r="U9" s="87">
        <v>0.10483870967741936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145</v>
      </c>
      <c r="AA9" s="88">
        <v>0.20982046290287693</v>
      </c>
      <c r="AB9" s="85" t="s">
        <v>171</v>
      </c>
      <c r="AC9" s="88">
        <v>0.58888888888888891</v>
      </c>
      <c r="AD9" s="85" t="s">
        <v>145</v>
      </c>
      <c r="AE9" s="88">
        <v>0.39072164948453608</v>
      </c>
      <c r="AF9" s="85" t="s">
        <v>145</v>
      </c>
      <c r="AG9" s="88">
        <v>0.43650793650793651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2.04</v>
      </c>
      <c r="H10" s="85" t="s">
        <v>172</v>
      </c>
      <c r="I10" s="87">
        <v>0.2711864406779661</v>
      </c>
      <c r="J10" s="85" t="s">
        <v>171</v>
      </c>
      <c r="K10" s="87">
        <v>0.34666666666666668</v>
      </c>
      <c r="L10" s="85" t="s">
        <v>186</v>
      </c>
      <c r="M10" s="88">
        <v>0.28813559322033899</v>
      </c>
      <c r="N10" s="85" t="s">
        <v>128</v>
      </c>
      <c r="O10" s="88">
        <v>0.17212249208025343</v>
      </c>
      <c r="P10" s="85" t="s">
        <v>145</v>
      </c>
      <c r="Q10" s="89">
        <v>8655.4112554112562</v>
      </c>
      <c r="R10" s="85" t="s">
        <v>127</v>
      </c>
      <c r="S10" s="89">
        <v>-8178.0645161290322</v>
      </c>
      <c r="T10" s="85" t="s">
        <v>145</v>
      </c>
      <c r="U10" s="87">
        <v>0.11351351351351352</v>
      </c>
      <c r="V10" s="85" t="s">
        <v>173</v>
      </c>
      <c r="W10" s="87">
        <v>6.9767441860465115E-2</v>
      </c>
      <c r="X10" s="85" t="s">
        <v>177</v>
      </c>
      <c r="Y10" s="88">
        <v>0.25984251968503935</v>
      </c>
      <c r="Z10" s="85" t="s">
        <v>177</v>
      </c>
      <c r="AA10" s="88">
        <v>0.19160104986876642</v>
      </c>
      <c r="AB10" s="85" t="s">
        <v>128</v>
      </c>
      <c r="AC10" s="88">
        <v>0.58510638297872342</v>
      </c>
      <c r="AD10" s="85" t="s">
        <v>177</v>
      </c>
      <c r="AE10" s="88">
        <v>0.35616438356164382</v>
      </c>
      <c r="AF10" s="85" t="s">
        <v>171</v>
      </c>
      <c r="AG10" s="88">
        <v>0.42696629213483145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2.0782608695652174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0.28298887122416533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-8234.2820181112547</v>
      </c>
      <c r="T11" s="85" t="s">
        <v>173</v>
      </c>
      <c r="U11" s="87">
        <v>0.11627906976744186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0.18759936406995231</v>
      </c>
      <c r="AB11" s="85" t="s">
        <v>145</v>
      </c>
      <c r="AC11" s="88">
        <v>0.58372093023255811</v>
      </c>
      <c r="AD11" s="85" t="s">
        <v>173</v>
      </c>
      <c r="AE11" s="88">
        <v>0.33673469387755101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-6.7372093023255815</v>
      </c>
      <c r="F12" s="85" t="s">
        <v>173</v>
      </c>
      <c r="G12" s="86">
        <v>2.0930232558139537</v>
      </c>
      <c r="H12" s="85" t="s">
        <v>129</v>
      </c>
      <c r="I12" s="87">
        <v>0.22727272727272727</v>
      </c>
      <c r="J12" s="85" t="s">
        <v>173</v>
      </c>
      <c r="K12" s="87">
        <v>0.37209302325581395</v>
      </c>
      <c r="L12" s="85" t="s">
        <v>128</v>
      </c>
      <c r="M12" s="88">
        <v>0.27243928194297784</v>
      </c>
      <c r="N12" s="85" t="s">
        <v>173</v>
      </c>
      <c r="O12" s="88">
        <v>0.18666666666666668</v>
      </c>
      <c r="P12" s="85" t="s">
        <v>186</v>
      </c>
      <c r="Q12" s="89">
        <v>7494.1176470588234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172</v>
      </c>
      <c r="AC12" s="88">
        <v>0.57894736842105265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-289.7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0.19557195571955718</v>
      </c>
      <c r="P13" s="85" t="s">
        <v>202</v>
      </c>
      <c r="Q13" s="89">
        <v>7438.0952380952385</v>
      </c>
      <c r="R13" s="85" t="s">
        <v>129</v>
      </c>
      <c r="S13" s="89">
        <v>-9527.3584905660373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0.16605166051660517</v>
      </c>
      <c r="AB13" s="85" t="s">
        <v>127</v>
      </c>
      <c r="AC13" s="88">
        <v>0.57750759878419455</v>
      </c>
      <c r="AD13" s="85" t="s">
        <v>129</v>
      </c>
      <c r="AE13" s="88">
        <v>0.23333333333333334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-17.015151515151512</v>
      </c>
      <c r="F14" s="85" t="s">
        <v>129</v>
      </c>
      <c r="G14" s="86">
        <v>2.2878787878787881</v>
      </c>
      <c r="H14" s="85" t="s">
        <v>224</v>
      </c>
      <c r="I14" s="87">
        <v>0</v>
      </c>
      <c r="J14" s="85" t="s">
        <v>129</v>
      </c>
      <c r="K14" s="87">
        <v>0.51515151515151514</v>
      </c>
      <c r="L14" s="85" t="s">
        <v>129</v>
      </c>
      <c r="M14" s="88">
        <v>0.22324723247232472</v>
      </c>
      <c r="N14" s="85" t="s">
        <v>186</v>
      </c>
      <c r="O14" s="88">
        <v>0.22033898305084745</v>
      </c>
      <c r="P14" s="85" t="s">
        <v>173</v>
      </c>
      <c r="Q14" s="89">
        <v>6976.5765765765764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0.22933333333333333</v>
      </c>
      <c r="Z14" s="85" t="s">
        <v>225</v>
      </c>
      <c r="AA14" s="88">
        <v>0.125</v>
      </c>
      <c r="AB14" s="85" t="s">
        <v>129</v>
      </c>
      <c r="AC14" s="88">
        <v>0.49305555555555558</v>
      </c>
      <c r="AD14" s="85" t="s">
        <v>224</v>
      </c>
      <c r="AE14" s="88">
        <v>0</v>
      </c>
      <c r="AF14" s="85" t="s">
        <v>127</v>
      </c>
      <c r="AG14" s="88">
        <v>0.40509915014164305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-1122.9999999999998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0.18181818181818182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555</v>
      </c>
      <c r="C2" s="147"/>
      <c r="E2" s="62" t="s">
        <v>67</v>
      </c>
      <c r="F2" s="59" t="s">
        <v>23</v>
      </c>
      <c r="G2" s="46">
        <v>1029</v>
      </c>
      <c r="H2" s="132">
        <f>IF(B$17=0,0,G2/B$17)</f>
        <v>0.74242424242424243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-14.414414414414415</v>
      </c>
      <c r="P2" s="118">
        <v>555</v>
      </c>
      <c r="Q2" s="102">
        <v>-8000</v>
      </c>
    </row>
    <row r="3" spans="1:17" x14ac:dyDescent="0.4">
      <c r="A3" s="55" t="s">
        <v>8</v>
      </c>
      <c r="B3" s="148">
        <v>4623</v>
      </c>
      <c r="C3" s="149"/>
      <c r="E3" s="63" t="s">
        <v>65</v>
      </c>
      <c r="F3" s="60" t="s">
        <v>21</v>
      </c>
      <c r="G3" s="47">
        <v>720</v>
      </c>
      <c r="H3" s="133">
        <f>IF(B$17=0,0,G3/B$17)</f>
        <v>0.51948051948051943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-7.3664825046040514</v>
      </c>
      <c r="P3" s="119">
        <v>543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707</v>
      </c>
      <c r="H4" s="133">
        <f>IF(B$17=0,0,G4/B$17)</f>
        <v>0.51010101010101006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7.7972709551656916</v>
      </c>
      <c r="P4" s="119">
        <v>513</v>
      </c>
      <c r="Q4" s="103">
        <v>4000</v>
      </c>
    </row>
    <row r="5" spans="1:17" x14ac:dyDescent="0.4">
      <c r="A5" s="55" t="s">
        <v>7</v>
      </c>
      <c r="B5" s="152">
        <f>IF(B$2=0,0,B$4/B$2)</f>
        <v>1.2802571815497301E-17</v>
      </c>
      <c r="C5" s="153"/>
      <c r="E5" s="63" t="s">
        <v>181</v>
      </c>
      <c r="F5" s="60" t="s">
        <v>182</v>
      </c>
      <c r="G5" s="47">
        <v>573</v>
      </c>
      <c r="H5" s="133">
        <f>IF(B$17=0,0,G5/B$17)</f>
        <v>0.41341991341991341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10.75268817204301</v>
      </c>
      <c r="P5" s="119">
        <v>465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437</v>
      </c>
      <c r="H6" s="133">
        <f>IF(B$17=0,0,G6/B$17)</f>
        <v>0.3152958152958153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-14.388489208633093</v>
      </c>
      <c r="P6" s="119">
        <v>417</v>
      </c>
      <c r="Q6" s="103">
        <v>-6000</v>
      </c>
    </row>
    <row r="7" spans="1:17" x14ac:dyDescent="0.4">
      <c r="A7" s="55" t="s">
        <v>2</v>
      </c>
      <c r="B7" s="47">
        <v>185</v>
      </c>
      <c r="C7" s="39">
        <f>IF(B$2=0,0,B7/B$2)</f>
        <v>0.33333333333333331</v>
      </c>
      <c r="E7" s="63" t="s">
        <v>68</v>
      </c>
      <c r="F7" s="60" t="s">
        <v>24</v>
      </c>
      <c r="G7" s="47">
        <v>415</v>
      </c>
      <c r="H7" s="133">
        <f>IF(B$17=0,0,G7/B$17)</f>
        <v>0.29942279942279942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23.80952380952381</v>
      </c>
      <c r="P7" s="120">
        <v>378</v>
      </c>
      <c r="Q7" s="104">
        <v>9000</v>
      </c>
    </row>
    <row r="8" spans="1:17" x14ac:dyDescent="0.4">
      <c r="A8" s="55" t="s">
        <v>3</v>
      </c>
      <c r="B8" s="47">
        <v>185</v>
      </c>
      <c r="C8" s="39">
        <f>IF(B$2=0,0,B8/B$2)</f>
        <v>0.33333333333333331</v>
      </c>
      <c r="E8" s="63" t="s">
        <v>70</v>
      </c>
      <c r="F8" s="60" t="s">
        <v>25</v>
      </c>
      <c r="G8" s="47">
        <v>251</v>
      </c>
      <c r="H8" s="133">
        <f>IF(B$17=0,0,G8/B$17)</f>
        <v>0.18109668109668109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185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171</v>
      </c>
      <c r="H9" s="133">
        <f>IF(B$17=0,0,G9/B$17)</f>
        <v>0.12337662337662338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63</v>
      </c>
      <c r="C10" s="40">
        <f>IF(B$2=0,0,B10/B$2)</f>
        <v>0.11351351351351352</v>
      </c>
      <c r="E10" s="63" t="s">
        <v>90</v>
      </c>
      <c r="F10" s="60" t="s">
        <v>45</v>
      </c>
      <c r="G10" s="47">
        <v>167</v>
      </c>
      <c r="H10" s="133">
        <f>IF(B$17=0,0,G10/B$17)</f>
        <v>0.1204906204906205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-2.9351351351351354</v>
      </c>
      <c r="P10" s="118">
        <v>185</v>
      </c>
      <c r="Q10" s="106">
        <v>-543</v>
      </c>
    </row>
    <row r="11" spans="1:17" x14ac:dyDescent="0.4">
      <c r="A11" s="56" t="s">
        <v>140</v>
      </c>
      <c r="B11" s="48">
        <v>63</v>
      </c>
      <c r="C11" s="40">
        <f>IF(B$2=0,0,B11/B$2)</f>
        <v>0.11351351351351352</v>
      </c>
      <c r="E11" s="63" t="s">
        <v>71</v>
      </c>
      <c r="F11" s="60" t="s">
        <v>26</v>
      </c>
      <c r="G11" s="47">
        <v>142</v>
      </c>
      <c r="H11" s="133">
        <f>IF(B$17=0,0,G11/B$17)</f>
        <v>0.10245310245310245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-0.38486486486486504</v>
      </c>
      <c r="P11" s="119">
        <v>185</v>
      </c>
      <c r="Q11" s="107">
        <v>-71.200000000000031</v>
      </c>
    </row>
    <row r="12" spans="1:17" x14ac:dyDescent="0.4">
      <c r="A12" s="57" t="s">
        <v>160</v>
      </c>
      <c r="B12" s="49">
        <v>48</v>
      </c>
      <c r="C12" s="42">
        <f>IF(B$2=0,0,B12/B$2)</f>
        <v>8.6486486486486491E-2</v>
      </c>
      <c r="E12" s="63" t="s">
        <v>72</v>
      </c>
      <c r="F12" s="60" t="s">
        <v>27</v>
      </c>
      <c r="G12" s="47">
        <v>93</v>
      </c>
      <c r="H12" s="133">
        <f>IF(B$17=0,0,G12/B$17)</f>
        <v>6.7099567099567103E-2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3.3200000000000003</v>
      </c>
      <c r="P12" s="120">
        <v>185</v>
      </c>
      <c r="Q12" s="108">
        <v>614.20000000000005</v>
      </c>
    </row>
    <row r="13" spans="1:17" x14ac:dyDescent="0.4">
      <c r="A13" s="58" t="s">
        <v>122</v>
      </c>
      <c r="B13" s="50">
        <v>1290</v>
      </c>
      <c r="C13" s="44">
        <f>IF(B$3=0,0,B13/B$3)</f>
        <v>0.27903958468526929</v>
      </c>
      <c r="E13" s="63" t="s">
        <v>87</v>
      </c>
      <c r="F13" s="60" t="s">
        <v>42</v>
      </c>
      <c r="G13" s="47">
        <v>77</v>
      </c>
      <c r="H13" s="133">
        <f>IF(B$17=0,0,G13/B$17)</f>
        <v>5.5555555555555552E-2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970</v>
      </c>
      <c r="C14" s="39">
        <f>IF(B$3=0,0,B14/B$3)</f>
        <v>0.20982046290287693</v>
      </c>
      <c r="E14" s="63" t="s">
        <v>84</v>
      </c>
      <c r="F14" s="60" t="s">
        <v>39</v>
      </c>
      <c r="G14" s="47">
        <v>61</v>
      </c>
      <c r="H14" s="133">
        <f>IF(B$17=0,0,G14/B$17)</f>
        <v>4.4011544011544008E-2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753</v>
      </c>
      <c r="C15" s="37">
        <f>IF(B$13=0,0,B15/B$13)</f>
        <v>0.58372093023255811</v>
      </c>
      <c r="E15" s="63" t="s">
        <v>82</v>
      </c>
      <c r="F15" s="60" t="s">
        <v>37</v>
      </c>
      <c r="G15" s="47">
        <v>39</v>
      </c>
      <c r="H15" s="133">
        <f>IF(B$17=0,0,G15/B$17)</f>
        <v>2.813852813852814E-2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379</v>
      </c>
      <c r="C16" s="37">
        <f>IF(B$14=0,0,B16/B$14)</f>
        <v>0.39072164948453608</v>
      </c>
      <c r="E16" s="63" t="s">
        <v>79</v>
      </c>
      <c r="F16" s="60" t="s">
        <v>34</v>
      </c>
      <c r="G16" s="47">
        <v>36</v>
      </c>
      <c r="H16" s="133">
        <f>IF(B$17=0,0,G16/B$17)</f>
        <v>2.5974025974025976E-2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25.522727272727295</v>
      </c>
      <c r="P16" s="119">
        <v>132</v>
      </c>
      <c r="Q16" s="107">
        <v>3369.0000000000027</v>
      </c>
    </row>
    <row r="17" spans="1:17" x14ac:dyDescent="0.4">
      <c r="A17" s="54" t="s">
        <v>10</v>
      </c>
      <c r="B17" s="46">
        <f>B19+B18</f>
        <v>1386</v>
      </c>
      <c r="C17" s="37">
        <f>IF(B$3=0,0,B17/B$3)</f>
        <v>0.29980532121998704</v>
      </c>
      <c r="E17" s="63" t="s">
        <v>92</v>
      </c>
      <c r="F17" s="60" t="s">
        <v>47</v>
      </c>
      <c r="G17" s="47">
        <v>27</v>
      </c>
      <c r="H17" s="133">
        <f>IF(B$17=0,0,G17/B$17)</f>
        <v>1.948051948051948E-2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605</v>
      </c>
      <c r="C18" s="39">
        <f>IF(B$17=0,0,B18/B$17)</f>
        <v>0.43650793650793651</v>
      </c>
      <c r="E18" s="63" t="s">
        <v>80</v>
      </c>
      <c r="F18" s="60" t="s">
        <v>35</v>
      </c>
      <c r="G18" s="47">
        <v>22</v>
      </c>
      <c r="H18" s="133">
        <f>IF(B$17=0,0,G18/B$17)</f>
        <v>1.5873015873015872E-2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10.10581395348837</v>
      </c>
      <c r="P18" s="119">
        <v>86</v>
      </c>
      <c r="Q18" s="107">
        <v>869.0999999999998</v>
      </c>
    </row>
    <row r="19" spans="1:17" x14ac:dyDescent="0.4">
      <c r="A19" s="55" t="s">
        <v>11</v>
      </c>
      <c r="B19" s="47">
        <v>781</v>
      </c>
      <c r="C19" s="39">
        <f>IF(B$17=0,0,B19/B$17)</f>
        <v>0.56349206349206349</v>
      </c>
      <c r="E19" s="63" t="s">
        <v>180</v>
      </c>
      <c r="F19" s="60" t="s">
        <v>183</v>
      </c>
      <c r="G19" s="47">
        <v>20</v>
      </c>
      <c r="H19" s="133">
        <f>IF(B$17=0,0,G19/B$17)</f>
        <v>1.443001443001443E-2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773</v>
      </c>
      <c r="C20" s="39">
        <f>IF(B$3=0,0,B20/B$3)</f>
        <v>0.1672074410555916</v>
      </c>
      <c r="E20" s="63" t="s">
        <v>76</v>
      </c>
      <c r="F20" s="60" t="s">
        <v>31</v>
      </c>
      <c r="G20" s="47">
        <v>9</v>
      </c>
      <c r="H20" s="133">
        <f>IF(B$17=0,0,G20/B$17)</f>
        <v>6.4935064935064939E-3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8</v>
      </c>
      <c r="H21" s="133">
        <f>IF(B$17=0,0,G21/B$17)</f>
        <v>5.772005772005772E-3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75</v>
      </c>
      <c r="F22" s="60" t="s">
        <v>30</v>
      </c>
      <c r="G22" s="47">
        <v>6</v>
      </c>
      <c r="H22" s="133">
        <f>IF(B$17=0,0,G22/B$17)</f>
        <v>4.329004329004329E-3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-2.2691489361702146</v>
      </c>
      <c r="P22" s="119">
        <v>94</v>
      </c>
      <c r="Q22" s="107">
        <v>-213.30000000000018</v>
      </c>
    </row>
    <row r="23" spans="1:17" x14ac:dyDescent="0.4">
      <c r="A23" s="55" t="s">
        <v>5</v>
      </c>
      <c r="B23" s="51">
        <f>IF(B$17=0,0,C23/B$17)</f>
        <v>8655.4112554112562</v>
      </c>
      <c r="C23" s="41">
        <v>11996400</v>
      </c>
      <c r="E23" s="63" t="s">
        <v>93</v>
      </c>
      <c r="F23" s="60" t="s">
        <v>48</v>
      </c>
      <c r="G23" s="47">
        <v>6</v>
      </c>
      <c r="H23" s="133">
        <f>IF(B$17=0,0,G23/B$17)</f>
        <v>4.329004329004329E-3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-2.9059999999999979</v>
      </c>
      <c r="P23" s="119">
        <v>150</v>
      </c>
      <c r="Q23" s="107">
        <v>-435.89999999999969</v>
      </c>
    </row>
    <row r="24" spans="1:17" x14ac:dyDescent="0.4">
      <c r="A24" s="57" t="s">
        <v>14</v>
      </c>
      <c r="B24" s="52">
        <f>IF(B$20=0,0,C24/B$20)</f>
        <v>-8234.2820181112547</v>
      </c>
      <c r="C24" s="45">
        <v>-6365100</v>
      </c>
      <c r="E24" s="63" t="s">
        <v>88</v>
      </c>
      <c r="F24" s="60" t="s">
        <v>43</v>
      </c>
      <c r="G24" s="47">
        <v>5</v>
      </c>
      <c r="H24" s="133">
        <f>IF(B$17=0,0,G24/B$17)</f>
        <v>3.6075036075036075E-3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-19.700806451612873</v>
      </c>
      <c r="P24" s="119">
        <v>248</v>
      </c>
      <c r="Q24" s="107">
        <v>-4885.7999999999929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3.6075036075036075E-3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2.886002886002886E-3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3.0283365779796667E-3</v>
      </c>
      <c r="E27" s="63" t="s">
        <v>78</v>
      </c>
      <c r="F27" s="60" t="s">
        <v>33</v>
      </c>
      <c r="G27" s="47">
        <v>3</v>
      </c>
      <c r="H27" s="133">
        <f>IF(B$17=0,0,G27/B$17)</f>
        <v>2.1645021645021645E-3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2.1645021645021645E-3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1.443001443001443E-3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1.443001443001443E-3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1.443001443001443E-3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7.215007215007215E-4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124</v>
      </c>
      <c r="C2" s="147"/>
      <c r="E2" s="62" t="s">
        <v>67</v>
      </c>
      <c r="F2" s="59" t="s">
        <v>23</v>
      </c>
      <c r="G2" s="46">
        <v>263</v>
      </c>
      <c r="H2" s="132">
        <f>IF(B$17=0,0,G2/B$17)</f>
        <v>0.74504249291784708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1561.2903225806451</v>
      </c>
      <c r="P2" s="118">
        <v>124</v>
      </c>
      <c r="Q2" s="102">
        <v>193600</v>
      </c>
    </row>
    <row r="3" spans="1:17" x14ac:dyDescent="0.4">
      <c r="A3" s="55" t="s">
        <v>8</v>
      </c>
      <c r="B3" s="148">
        <v>1006</v>
      </c>
      <c r="C3" s="149"/>
      <c r="E3" s="63" t="s">
        <v>73</v>
      </c>
      <c r="F3" s="60" t="s">
        <v>28</v>
      </c>
      <c r="G3" s="47">
        <v>200</v>
      </c>
      <c r="H3" s="133">
        <f>IF(B$17=0,0,G3/B$17)</f>
        <v>0.56657223796033995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1351.2396694214876</v>
      </c>
      <c r="P3" s="119">
        <v>121</v>
      </c>
      <c r="Q3" s="103">
        <v>163500</v>
      </c>
    </row>
    <row r="4" spans="1:17" x14ac:dyDescent="0.4">
      <c r="A4" s="55" t="s">
        <v>6</v>
      </c>
      <c r="B4" s="150">
        <v>1628.600000000001</v>
      </c>
      <c r="C4" s="151"/>
      <c r="E4" s="63" t="s">
        <v>65</v>
      </c>
      <c r="F4" s="60" t="s">
        <v>21</v>
      </c>
      <c r="G4" s="47">
        <v>175</v>
      </c>
      <c r="H4" s="133">
        <f>IF(B$17=0,0,G4/B$17)</f>
        <v>0.49575070821529743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1440</v>
      </c>
      <c r="P4" s="119">
        <v>115</v>
      </c>
      <c r="Q4" s="103">
        <v>165600</v>
      </c>
    </row>
    <row r="5" spans="1:17" x14ac:dyDescent="0.4">
      <c r="A5" s="55" t="s">
        <v>7</v>
      </c>
      <c r="B5" s="152">
        <f>IF(B$2=0,0,B$4/B$2)</f>
        <v>13.133870967741943</v>
      </c>
      <c r="C5" s="153"/>
      <c r="E5" s="63" t="s">
        <v>181</v>
      </c>
      <c r="F5" s="60" t="s">
        <v>182</v>
      </c>
      <c r="G5" s="47">
        <v>145</v>
      </c>
      <c r="H5" s="133">
        <f>IF(B$17=0,0,G5/B$17)</f>
        <v>0.41076487252124644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2357.1428571428573</v>
      </c>
      <c r="P5" s="119">
        <v>105</v>
      </c>
      <c r="Q5" s="103">
        <v>247500</v>
      </c>
    </row>
    <row r="6" spans="1:17" x14ac:dyDescent="0.4">
      <c r="A6" s="55" t="s">
        <v>1</v>
      </c>
      <c r="B6" s="142">
        <f>IF(B$2=0,0,(B$7*1+B$8*2+B$9*3)/B$2)</f>
        <v>1.717741935483871</v>
      </c>
      <c r="C6" s="143"/>
      <c r="E6" s="63" t="s">
        <v>68</v>
      </c>
      <c r="F6" s="60" t="s">
        <v>24</v>
      </c>
      <c r="G6" s="47">
        <v>103</v>
      </c>
      <c r="H6" s="133">
        <f>IF(B$17=0,0,G6/B$17)</f>
        <v>0.29178470254957506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878.26086956521738</v>
      </c>
      <c r="P6" s="119">
        <v>92</v>
      </c>
      <c r="Q6" s="103">
        <v>80800</v>
      </c>
    </row>
    <row r="7" spans="1:17" x14ac:dyDescent="0.4">
      <c r="A7" s="55" t="s">
        <v>2</v>
      </c>
      <c r="B7" s="47">
        <v>62</v>
      </c>
      <c r="C7" s="39">
        <f>IF(B$2=0,0,B7/B$2)</f>
        <v>0.5</v>
      </c>
      <c r="E7" s="63" t="s">
        <v>69</v>
      </c>
      <c r="F7" s="60" t="s">
        <v>12</v>
      </c>
      <c r="G7" s="47">
        <v>91</v>
      </c>
      <c r="H7" s="133">
        <f>IF(B$17=0,0,G7/B$17)</f>
        <v>0.25779036827195467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896.2962962962963</v>
      </c>
      <c r="P7" s="120">
        <v>81</v>
      </c>
      <c r="Q7" s="104">
        <v>72600</v>
      </c>
    </row>
    <row r="8" spans="1:17" x14ac:dyDescent="0.4">
      <c r="A8" s="55" t="s">
        <v>3</v>
      </c>
      <c r="B8" s="47">
        <v>35</v>
      </c>
      <c r="C8" s="39">
        <f>IF(B$2=0,0,B8/B$2)</f>
        <v>0.28225806451612906</v>
      </c>
      <c r="E8" s="63" t="s">
        <v>70</v>
      </c>
      <c r="F8" s="60" t="s">
        <v>25</v>
      </c>
      <c r="G8" s="47">
        <v>61</v>
      </c>
      <c r="H8" s="133">
        <f>IF(B$17=0,0,G8/B$17)</f>
        <v>0.17280453257790368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0.21774193548387097</v>
      </c>
      <c r="E9" s="63" t="s">
        <v>90</v>
      </c>
      <c r="F9" s="60" t="s">
        <v>45</v>
      </c>
      <c r="G9" s="47">
        <v>53</v>
      </c>
      <c r="H9" s="133">
        <f>IF(B$17=0,0,G9/B$17)</f>
        <v>0.1501416430594901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0.10483870967741936</v>
      </c>
      <c r="E10" s="63" t="s">
        <v>66</v>
      </c>
      <c r="F10" s="60" t="s">
        <v>22</v>
      </c>
      <c r="G10" s="47">
        <v>50</v>
      </c>
      <c r="H10" s="133">
        <f>IF(B$17=0,0,G10/B$17)</f>
        <v>0.14164305949008499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0.16935483870967741</v>
      </c>
      <c r="E11" s="63" t="s">
        <v>71</v>
      </c>
      <c r="F11" s="60" t="s">
        <v>26</v>
      </c>
      <c r="G11" s="47">
        <v>34</v>
      </c>
      <c r="H11" s="133">
        <f>IF(B$17=0,0,G11/B$17)</f>
        <v>9.6317280453257784E-2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0.15322580645161291</v>
      </c>
      <c r="E12" s="63" t="s">
        <v>72</v>
      </c>
      <c r="F12" s="60" t="s">
        <v>27</v>
      </c>
      <c r="G12" s="47">
        <v>25</v>
      </c>
      <c r="H12" s="133">
        <f>IF(B$17=0,0,G12/B$17)</f>
        <v>7.0821529745042494E-2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329</v>
      </c>
      <c r="C13" s="44">
        <f>IF(B$3=0,0,B13/B$3)</f>
        <v>0.32703777335984097</v>
      </c>
      <c r="E13" s="63" t="s">
        <v>87</v>
      </c>
      <c r="F13" s="60" t="s">
        <v>42</v>
      </c>
      <c r="G13" s="47">
        <v>24</v>
      </c>
      <c r="H13" s="133">
        <f>IF(B$17=0,0,G13/B$17)</f>
        <v>6.79886685552408E-2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221</v>
      </c>
      <c r="C14" s="39">
        <f>IF(B$3=0,0,B14/B$3)</f>
        <v>0.21968190854870775</v>
      </c>
      <c r="E14" s="63" t="s">
        <v>84</v>
      </c>
      <c r="F14" s="60" t="s">
        <v>39</v>
      </c>
      <c r="G14" s="47">
        <v>17</v>
      </c>
      <c r="H14" s="133">
        <f>IF(B$17=0,0,G14/B$17)</f>
        <v>4.8158640226628892E-2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190</v>
      </c>
      <c r="C15" s="37">
        <f>IF(B$13=0,0,B15/B$13)</f>
        <v>0.57750759878419455</v>
      </c>
      <c r="E15" s="63" t="s">
        <v>180</v>
      </c>
      <c r="F15" s="60" t="s">
        <v>183</v>
      </c>
      <c r="G15" s="47">
        <v>12</v>
      </c>
      <c r="H15" s="133">
        <f>IF(B$17=0,0,G15/B$17)</f>
        <v>3.39943342776204E-2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114</v>
      </c>
      <c r="C16" s="37">
        <f>IF(B$14=0,0,B16/B$14)</f>
        <v>0.51583710407239824</v>
      </c>
      <c r="E16" s="63" t="s">
        <v>82</v>
      </c>
      <c r="F16" s="60" t="s">
        <v>37</v>
      </c>
      <c r="G16" s="47">
        <v>11</v>
      </c>
      <c r="H16" s="133">
        <f>IF(B$17=0,0,G16/B$17)</f>
        <v>3.1161473087818695E-2</v>
      </c>
      <c r="I16" s="94">
        <v>4</v>
      </c>
      <c r="K16" s="38">
        <v>14</v>
      </c>
      <c r="L16" s="99">
        <v>473.50000000000006</v>
      </c>
      <c r="N16" s="115" t="s">
        <v>129</v>
      </c>
      <c r="O16" s="125">
        <f>IF(P16=0,0,Q16/P16)</f>
        <v>36.828205128205141</v>
      </c>
      <c r="P16" s="119">
        <v>39</v>
      </c>
      <c r="Q16" s="107">
        <v>1436.3000000000004</v>
      </c>
    </row>
    <row r="17" spans="1:17" x14ac:dyDescent="0.4">
      <c r="A17" s="54" t="s">
        <v>10</v>
      </c>
      <c r="B17" s="46">
        <f>B19+B18</f>
        <v>353</v>
      </c>
      <c r="C17" s="37">
        <f>IF(B$3=0,0,B17/B$3)</f>
        <v>0.35089463220675943</v>
      </c>
      <c r="E17" s="63" t="s">
        <v>79</v>
      </c>
      <c r="F17" s="60" t="s">
        <v>34</v>
      </c>
      <c r="G17" s="47">
        <v>7</v>
      </c>
      <c r="H17" s="133">
        <f>IF(B$17=0,0,G17/B$17)</f>
        <v>1.9830028328611898E-2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143</v>
      </c>
      <c r="C18" s="39">
        <f>IF(B$17=0,0,B18/B$17)</f>
        <v>0.40509915014164305</v>
      </c>
      <c r="E18" s="63" t="s">
        <v>92</v>
      </c>
      <c r="F18" s="60" t="s">
        <v>47</v>
      </c>
      <c r="G18" s="47">
        <v>7</v>
      </c>
      <c r="H18" s="133">
        <f>IF(B$17=0,0,G18/B$17)</f>
        <v>1.9830028328611898E-2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210</v>
      </c>
      <c r="C19" s="39">
        <f>IF(B$17=0,0,B19/B$17)</f>
        <v>0.59490084985835689</v>
      </c>
      <c r="E19" s="63" t="s">
        <v>80</v>
      </c>
      <c r="F19" s="60" t="s">
        <v>35</v>
      </c>
      <c r="G19" s="47">
        <v>5</v>
      </c>
      <c r="H19" s="133">
        <f>IF(B$17=0,0,G19/B$17)</f>
        <v>1.4164305949008499E-2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155</v>
      </c>
      <c r="C20" s="39">
        <f>IF(B$3=0,0,B20/B$3)</f>
        <v>0.15407554671968191</v>
      </c>
      <c r="E20" s="63" t="s">
        <v>74</v>
      </c>
      <c r="F20" s="60" t="s">
        <v>29</v>
      </c>
      <c r="G20" s="47">
        <v>2</v>
      </c>
      <c r="H20" s="133">
        <f>IF(B$17=0,0,G20/B$17)</f>
        <v>5.6657223796033997E-3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5.6657223796033997E-3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76</v>
      </c>
      <c r="F22" s="60" t="s">
        <v>31</v>
      </c>
      <c r="G22" s="47">
        <v>1</v>
      </c>
      <c r="H22" s="133">
        <f>IF(B$17=0,0,G22/B$17)</f>
        <v>2.8328611898016999E-3</v>
      </c>
      <c r="I22" s="94">
        <v>7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9134.2776203966005</v>
      </c>
      <c r="C23" s="41">
        <v>3224400</v>
      </c>
      <c r="E23" s="63" t="s">
        <v>78</v>
      </c>
      <c r="F23" s="60" t="s">
        <v>33</v>
      </c>
      <c r="G23" s="47">
        <v>1</v>
      </c>
      <c r="H23" s="133">
        <f>IF(B$17=0,0,G23/B$17)</f>
        <v>2.8328611898016999E-3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-1.0727272727272756</v>
      </c>
      <c r="P23" s="119">
        <v>44</v>
      </c>
      <c r="Q23" s="107">
        <v>-47.200000000000131</v>
      </c>
    </row>
    <row r="24" spans="1:17" x14ac:dyDescent="0.4">
      <c r="A24" s="57" t="s">
        <v>14</v>
      </c>
      <c r="B24" s="52">
        <f>IF(B$20=0,0,C24/B$20)</f>
        <v>-8178.0645161290322</v>
      </c>
      <c r="C24" s="45">
        <v>-1267600</v>
      </c>
      <c r="E24" s="63" t="s">
        <v>85</v>
      </c>
      <c r="F24" s="60" t="s">
        <v>40</v>
      </c>
      <c r="G24" s="47">
        <v>1</v>
      </c>
      <c r="H24" s="133">
        <f>IF(B$17=0,0,G24/B$17)</f>
        <v>2.8328611898016999E-3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86</v>
      </c>
      <c r="F25" s="60" t="s">
        <v>41</v>
      </c>
      <c r="G25" s="47">
        <v>1</v>
      </c>
      <c r="H25" s="133">
        <f>IF(B$17=0,0,G25/B$17)</f>
        <v>2.8328611898016999E-3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2.8328611898016999E-3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9.9403578528827028E-4</v>
      </c>
      <c r="E27" s="63" t="s">
        <v>91</v>
      </c>
      <c r="F27" s="60" t="s">
        <v>46</v>
      </c>
      <c r="G27" s="47">
        <v>1</v>
      </c>
      <c r="H27" s="133">
        <f>IF(B$17=0,0,G27/B$17)</f>
        <v>2.8328611898016999E-3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2.8328611898016999E-3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2.8328611898016999E-3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67</v>
      </c>
      <c r="F2" s="59" t="s">
        <v>23</v>
      </c>
      <c r="G2" s="46">
        <v>108</v>
      </c>
      <c r="H2" s="132">
        <f>IF(B$17=0,0,G2/B$17)</f>
        <v>0.8925619834710744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-1890.909090909091</v>
      </c>
      <c r="P2" s="118">
        <v>66</v>
      </c>
      <c r="Q2" s="102">
        <v>-124800</v>
      </c>
    </row>
    <row r="3" spans="1:17" x14ac:dyDescent="0.4">
      <c r="A3" s="55" t="s">
        <v>8</v>
      </c>
      <c r="B3" s="148">
        <v>542</v>
      </c>
      <c r="C3" s="149"/>
      <c r="E3" s="63" t="s">
        <v>65</v>
      </c>
      <c r="F3" s="60" t="s">
        <v>21</v>
      </c>
      <c r="G3" s="47">
        <v>68</v>
      </c>
      <c r="H3" s="133">
        <f>IF(B$17=0,0,G3/B$17)</f>
        <v>0.56198347107438018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-1323.4375</v>
      </c>
      <c r="P3" s="119">
        <v>64</v>
      </c>
      <c r="Q3" s="103">
        <v>-84700</v>
      </c>
    </row>
    <row r="4" spans="1:17" x14ac:dyDescent="0.4">
      <c r="A4" s="55" t="s">
        <v>6</v>
      </c>
      <c r="B4" s="150">
        <v>-1122.9999999999998</v>
      </c>
      <c r="C4" s="151"/>
      <c r="E4" s="63" t="s">
        <v>69</v>
      </c>
      <c r="F4" s="60" t="s">
        <v>12</v>
      </c>
      <c r="G4" s="47">
        <v>52</v>
      </c>
      <c r="H4" s="133">
        <f>IF(B$17=0,0,G4/B$17)</f>
        <v>0.42975206611570249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-1010</v>
      </c>
      <c r="P4" s="119">
        <v>60</v>
      </c>
      <c r="Q4" s="103">
        <v>-60600</v>
      </c>
    </row>
    <row r="5" spans="1:17" x14ac:dyDescent="0.4">
      <c r="A5" s="55" t="s">
        <v>7</v>
      </c>
      <c r="B5" s="152">
        <f>IF(B$2=0,0,B$4/B$2)</f>
        <v>-17.015151515151512</v>
      </c>
      <c r="C5" s="153"/>
      <c r="E5" s="63" t="s">
        <v>181</v>
      </c>
      <c r="F5" s="60" t="s">
        <v>182</v>
      </c>
      <c r="G5" s="47">
        <v>47</v>
      </c>
      <c r="H5" s="133">
        <f>IF(B$17=0,0,G5/B$17)</f>
        <v>0.38842975206611569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-5440.3846153846152</v>
      </c>
      <c r="P5" s="119">
        <v>52</v>
      </c>
      <c r="Q5" s="103">
        <v>-282900</v>
      </c>
    </row>
    <row r="6" spans="1:17" x14ac:dyDescent="0.4">
      <c r="A6" s="55" t="s">
        <v>1</v>
      </c>
      <c r="B6" s="142">
        <f>IF(B$2=0,0,(B$7*1+B$8*2+B$9*3)/B$2)</f>
        <v>2.2878787878787881</v>
      </c>
      <c r="C6" s="143"/>
      <c r="E6" s="63" t="s">
        <v>73</v>
      </c>
      <c r="F6" s="60" t="s">
        <v>28</v>
      </c>
      <c r="G6" s="47">
        <v>43</v>
      </c>
      <c r="H6" s="133">
        <f>IF(B$17=0,0,G6/B$17)</f>
        <v>0.35537190082644626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-1971.7391304347825</v>
      </c>
      <c r="P6" s="119">
        <v>46</v>
      </c>
      <c r="Q6" s="103">
        <v>-90700</v>
      </c>
    </row>
    <row r="7" spans="1:17" x14ac:dyDescent="0.4">
      <c r="A7" s="55" t="s">
        <v>2</v>
      </c>
      <c r="B7" s="47">
        <v>15</v>
      </c>
      <c r="C7" s="39">
        <f>IF(B$2=0,0,B7/B$2)</f>
        <v>0.22727272727272727</v>
      </c>
      <c r="E7" s="63" t="s">
        <v>68</v>
      </c>
      <c r="F7" s="60" t="s">
        <v>24</v>
      </c>
      <c r="G7" s="47">
        <v>41</v>
      </c>
      <c r="H7" s="133">
        <f>IF(B$17=0,0,G7/B$17)</f>
        <v>0.33884297520661155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-2148.8372093023254</v>
      </c>
      <c r="P7" s="120">
        <v>43</v>
      </c>
      <c r="Q7" s="104">
        <v>-92400</v>
      </c>
    </row>
    <row r="8" spans="1:17" x14ac:dyDescent="0.4">
      <c r="A8" s="55" t="s">
        <v>3</v>
      </c>
      <c r="B8" s="47">
        <v>17</v>
      </c>
      <c r="C8" s="39">
        <f>IF(B$2=0,0,B8/B$2)</f>
        <v>0.25757575757575757</v>
      </c>
      <c r="E8" s="63" t="s">
        <v>70</v>
      </c>
      <c r="F8" s="60" t="s">
        <v>25</v>
      </c>
      <c r="G8" s="47">
        <v>27</v>
      </c>
      <c r="H8" s="133">
        <f>IF(B$17=0,0,G8/B$17)</f>
        <v>0.2231404958677686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0.51515151515151514</v>
      </c>
      <c r="E9" s="63" t="s">
        <v>71</v>
      </c>
      <c r="F9" s="60" t="s">
        <v>26</v>
      </c>
      <c r="G9" s="47">
        <v>20</v>
      </c>
      <c r="H9" s="133">
        <f>IF(B$17=0,0,G9/B$17)</f>
        <v>0.16528925619834711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0.18181818181818182</v>
      </c>
      <c r="E10" s="63" t="s">
        <v>72</v>
      </c>
      <c r="F10" s="60" t="s">
        <v>27</v>
      </c>
      <c r="G10" s="47">
        <v>13</v>
      </c>
      <c r="H10" s="133">
        <f>IF(B$17=0,0,G10/B$17)</f>
        <v>0.10743801652892562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90</v>
      </c>
      <c r="F11" s="60" t="s">
        <v>45</v>
      </c>
      <c r="G11" s="47">
        <v>11</v>
      </c>
      <c r="H11" s="133">
        <f>IF(B$17=0,0,G11/B$17)</f>
        <v>9.0909090909090912E-2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-13.785185185185188</v>
      </c>
      <c r="P11" s="119">
        <v>27</v>
      </c>
      <c r="Q11" s="107">
        <v>-372.2000000000001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66</v>
      </c>
      <c r="F12" s="60" t="s">
        <v>22</v>
      </c>
      <c r="G12" s="47">
        <v>9</v>
      </c>
      <c r="H12" s="133">
        <f>IF(B$17=0,0,G12/B$17)</f>
        <v>7.43801652892562E-2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144</v>
      </c>
      <c r="C13" s="44">
        <f>IF(B$3=0,0,B13/B$3)</f>
        <v>0.26568265682656828</v>
      </c>
      <c r="E13" s="63" t="s">
        <v>87</v>
      </c>
      <c r="F13" s="60" t="s">
        <v>42</v>
      </c>
      <c r="G13" s="47">
        <v>9</v>
      </c>
      <c r="H13" s="133">
        <f>IF(B$17=0,0,G13/B$17)</f>
        <v>7.43801652892562E-2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0.16605166051660517</v>
      </c>
      <c r="E14" s="63" t="s">
        <v>84</v>
      </c>
      <c r="F14" s="60" t="s">
        <v>39</v>
      </c>
      <c r="G14" s="47">
        <v>5</v>
      </c>
      <c r="H14" s="133">
        <f>IF(B$17=0,0,G14/B$17)</f>
        <v>4.1322314049586778E-2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0.49305555555555558</v>
      </c>
      <c r="E15" s="63" t="s">
        <v>79</v>
      </c>
      <c r="F15" s="60" t="s">
        <v>34</v>
      </c>
      <c r="G15" s="47">
        <v>4</v>
      </c>
      <c r="H15" s="133">
        <f>IF(B$17=0,0,G15/B$17)</f>
        <v>3.3057851239669422E-2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0.23333333333333334</v>
      </c>
      <c r="E16" s="63" t="s">
        <v>75</v>
      </c>
      <c r="F16" s="60" t="s">
        <v>30</v>
      </c>
      <c r="G16" s="47">
        <v>2</v>
      </c>
      <c r="H16" s="133">
        <f>IF(B$17=0,0,G16/B$17)</f>
        <v>1.6528925619834711E-2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121</v>
      </c>
      <c r="C17" s="37">
        <f>IF(B$3=0,0,B17/B$3)</f>
        <v>0.22324723247232472</v>
      </c>
      <c r="E17" s="63" t="s">
        <v>82</v>
      </c>
      <c r="F17" s="60" t="s">
        <v>37</v>
      </c>
      <c r="G17" s="47">
        <v>2</v>
      </c>
      <c r="H17" s="133">
        <f>IF(B$17=0,0,G17/B$17)</f>
        <v>1.6528925619834711E-2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0.49586776859504134</v>
      </c>
      <c r="E18" s="63" t="s">
        <v>94</v>
      </c>
      <c r="F18" s="60" t="s">
        <v>49</v>
      </c>
      <c r="G18" s="47">
        <v>2</v>
      </c>
      <c r="H18" s="133">
        <f>IF(B$17=0,0,G18/B$17)</f>
        <v>1.6528925619834711E-2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61</v>
      </c>
      <c r="C19" s="39">
        <f>IF(B$17=0,0,B19/B$17)</f>
        <v>0.50413223140495866</v>
      </c>
      <c r="E19" s="63" t="s">
        <v>78</v>
      </c>
      <c r="F19" s="60" t="s">
        <v>33</v>
      </c>
      <c r="G19" s="47">
        <v>1</v>
      </c>
      <c r="H19" s="133">
        <f>IF(B$17=0,0,G19/B$17)</f>
        <v>8.2644628099173556E-3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106</v>
      </c>
      <c r="C20" s="39">
        <f>IF(B$3=0,0,B20/B$3)</f>
        <v>0.19557195571955718</v>
      </c>
      <c r="E20" s="63" t="s">
        <v>80</v>
      </c>
      <c r="F20" s="60" t="s">
        <v>35</v>
      </c>
      <c r="G20" s="47">
        <v>1</v>
      </c>
      <c r="H20" s="133">
        <f>IF(B$17=0,0,G20/B$17)</f>
        <v>8.2644628099173556E-3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-36.828205128205141</v>
      </c>
      <c r="P20" s="119">
        <v>39</v>
      </c>
      <c r="Q20" s="107">
        <v>-1436.3000000000006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8.2644628099173556E-3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89</v>
      </c>
      <c r="F22" s="60" t="s">
        <v>44</v>
      </c>
      <c r="G22" s="47">
        <v>1</v>
      </c>
      <c r="H22" s="133">
        <f>IF(B$17=0,0,G22/B$17)</f>
        <v>8.2644628099173556E-3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9066.9421487603304</v>
      </c>
      <c r="C23" s="41">
        <v>1097100</v>
      </c>
      <c r="E23" s="63" t="s">
        <v>92</v>
      </c>
      <c r="F23" s="60" t="s">
        <v>47</v>
      </c>
      <c r="G23" s="47">
        <v>1</v>
      </c>
      <c r="H23" s="133">
        <f>IF(B$17=0,0,G23/B$17)</f>
        <v>8.2644628099173556E-3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-9527.3584905660373</v>
      </c>
      <c r="C24" s="45">
        <v>-1009900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1.8450184501845018E-3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65</v>
      </c>
      <c r="F2" s="59" t="s">
        <v>21</v>
      </c>
      <c r="G2" s="46">
        <v>101</v>
      </c>
      <c r="H2" s="132">
        <f>IF(B$17=0,0,G2/B$17)</f>
        <v>0.56741573033707871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-1152</v>
      </c>
      <c r="P2" s="118">
        <v>75</v>
      </c>
      <c r="Q2" s="102">
        <v>-86400</v>
      </c>
    </row>
    <row r="3" spans="1:17" x14ac:dyDescent="0.4">
      <c r="A3" s="55" t="s">
        <v>8</v>
      </c>
      <c r="B3" s="148">
        <v>629</v>
      </c>
      <c r="C3" s="149"/>
      <c r="E3" s="63" t="s">
        <v>66</v>
      </c>
      <c r="F3" s="60" t="s">
        <v>22</v>
      </c>
      <c r="G3" s="47">
        <v>25</v>
      </c>
      <c r="H3" s="133">
        <f>IF(B$17=0,0,G3/B$17)</f>
        <v>0.1404494382022472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382.43243243243245</v>
      </c>
      <c r="P3" s="119">
        <v>74</v>
      </c>
      <c r="Q3" s="103">
        <v>28300</v>
      </c>
    </row>
    <row r="4" spans="1:17" x14ac:dyDescent="0.4">
      <c r="A4" s="55" t="s">
        <v>6</v>
      </c>
      <c r="B4" s="150">
        <v>145.29999999999998</v>
      </c>
      <c r="C4" s="151"/>
      <c r="E4" s="63" t="s">
        <v>67</v>
      </c>
      <c r="F4" s="60" t="s">
        <v>23</v>
      </c>
      <c r="G4" s="47">
        <v>155</v>
      </c>
      <c r="H4" s="133">
        <f>IF(B$17=0,0,G4/B$17)</f>
        <v>0.8707865168539326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1686.9565217391305</v>
      </c>
      <c r="P4" s="119">
        <v>69</v>
      </c>
      <c r="Q4" s="103">
        <v>116400</v>
      </c>
    </row>
    <row r="5" spans="1:17" x14ac:dyDescent="0.4">
      <c r="A5" s="55" t="s">
        <v>7</v>
      </c>
      <c r="B5" s="152">
        <f>IF(B$2=0,0,B$4/B$2)</f>
        <v>1.9373333333333331</v>
      </c>
      <c r="C5" s="153"/>
      <c r="E5" s="63" t="s">
        <v>68</v>
      </c>
      <c r="F5" s="60" t="s">
        <v>24</v>
      </c>
      <c r="G5" s="47">
        <v>59</v>
      </c>
      <c r="H5" s="133">
        <f>IF(B$17=0,0,G5/B$17)</f>
        <v>0.33146067415730335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2362.7118644067796</v>
      </c>
      <c r="P5" s="119">
        <v>59</v>
      </c>
      <c r="Q5" s="103">
        <v>139400</v>
      </c>
    </row>
    <row r="6" spans="1:17" x14ac:dyDescent="0.4">
      <c r="A6" s="55" t="s">
        <v>1</v>
      </c>
      <c r="B6" s="142">
        <f>IF(B$2=0,0,(B$7*1+B$8*2+B$9*3)/B$2)</f>
        <v>2.04</v>
      </c>
      <c r="C6" s="143"/>
      <c r="E6" s="63" t="s">
        <v>69</v>
      </c>
      <c r="F6" s="60" t="s">
        <v>12</v>
      </c>
      <c r="G6" s="47">
        <v>56</v>
      </c>
      <c r="H6" s="133">
        <f>IF(B$17=0,0,G6/B$17)</f>
        <v>0.3146067415730337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-838.46153846153845</v>
      </c>
      <c r="P6" s="119">
        <v>52</v>
      </c>
      <c r="Q6" s="103">
        <v>-43600</v>
      </c>
    </row>
    <row r="7" spans="1:17" x14ac:dyDescent="0.4">
      <c r="A7" s="55" t="s">
        <v>2</v>
      </c>
      <c r="B7" s="47">
        <v>23</v>
      </c>
      <c r="C7" s="39">
        <f>IF(B$2=0,0,B7/B$2)</f>
        <v>0.30666666666666664</v>
      </c>
      <c r="E7" s="63" t="s">
        <v>70</v>
      </c>
      <c r="F7" s="60" t="s">
        <v>25</v>
      </c>
      <c r="G7" s="47">
        <v>35</v>
      </c>
      <c r="H7" s="133">
        <f>IF(B$17=0,0,G7/B$17)</f>
        <v>0.19662921348314608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462.5</v>
      </c>
      <c r="P7" s="120">
        <v>48</v>
      </c>
      <c r="Q7" s="104">
        <v>22200</v>
      </c>
    </row>
    <row r="8" spans="1:17" x14ac:dyDescent="0.4">
      <c r="A8" s="55" t="s">
        <v>3</v>
      </c>
      <c r="B8" s="47">
        <v>26</v>
      </c>
      <c r="C8" s="39">
        <f>IF(B$2=0,0,B8/B$2)</f>
        <v>0.34666666666666668</v>
      </c>
      <c r="E8" s="63" t="s">
        <v>71</v>
      </c>
      <c r="F8" s="60" t="s">
        <v>26</v>
      </c>
      <c r="G8" s="47">
        <v>20</v>
      </c>
      <c r="H8" s="133">
        <f>IF(B$17=0,0,G8/B$17)</f>
        <v>0.11235955056179775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0.34666666666666668</v>
      </c>
      <c r="E9" s="63" t="s">
        <v>72</v>
      </c>
      <c r="F9" s="60" t="s">
        <v>27</v>
      </c>
      <c r="G9" s="47">
        <v>12</v>
      </c>
      <c r="H9" s="133">
        <f>IF(B$17=0,0,G9/B$17)</f>
        <v>6.741573033707865E-2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6.6666666666666666E-2</v>
      </c>
      <c r="E10" s="63" t="s">
        <v>73</v>
      </c>
      <c r="F10" s="60" t="s">
        <v>28</v>
      </c>
      <c r="G10" s="47">
        <v>89</v>
      </c>
      <c r="H10" s="133">
        <f>IF(B$17=0,0,G10/B$17)</f>
        <v>0.5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0.13333333333333333</v>
      </c>
      <c r="E11" s="63" t="s">
        <v>74</v>
      </c>
      <c r="F11" s="60" t="s">
        <v>29</v>
      </c>
      <c r="G11" s="47">
        <v>1</v>
      </c>
      <c r="H11" s="133">
        <f>IF(B$17=0,0,G11/B$17)</f>
        <v>5.6179775280898875E-3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180</v>
      </c>
      <c r="C13" s="44">
        <f>IF(B$3=0,0,B13/B$3)</f>
        <v>0.2861685214626391</v>
      </c>
      <c r="E13" s="63" t="s">
        <v>76</v>
      </c>
      <c r="F13" s="60" t="s">
        <v>31</v>
      </c>
      <c r="G13" s="47">
        <v>3</v>
      </c>
      <c r="H13" s="133">
        <f>IF(B$17=0,0,G13/B$17)</f>
        <v>1.6853932584269662E-2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118</v>
      </c>
      <c r="C14" s="39">
        <f>IF(B$3=0,0,B14/B$3)</f>
        <v>0.18759936406995231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0.58888888888888891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47</v>
      </c>
      <c r="C16" s="37">
        <f>IF(B$14=0,0,B16/B$14)</f>
        <v>0.39830508474576271</v>
      </c>
      <c r="E16" s="63" t="s">
        <v>79</v>
      </c>
      <c r="F16" s="60" t="s">
        <v>34</v>
      </c>
      <c r="G16" s="47">
        <v>9</v>
      </c>
      <c r="H16" s="133">
        <f>IF(B$17=0,0,G16/B$17)</f>
        <v>5.0561797752808987E-2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178</v>
      </c>
      <c r="C17" s="37">
        <f>IF(B$3=0,0,B17/B$3)</f>
        <v>0.28298887122416533</v>
      </c>
      <c r="E17" s="63" t="s">
        <v>80</v>
      </c>
      <c r="F17" s="60" t="s">
        <v>35</v>
      </c>
      <c r="G17" s="47">
        <v>3</v>
      </c>
      <c r="H17" s="133">
        <f>IF(B$17=0,0,G17/B$17)</f>
        <v>1.6853932584269662E-2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76</v>
      </c>
      <c r="C18" s="39">
        <f>IF(B$17=0,0,B18/B$17)</f>
        <v>0.42696629213483145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102</v>
      </c>
      <c r="C19" s="39">
        <f>IF(B$17=0,0,B19/B$17)</f>
        <v>0.5730337078651685</v>
      </c>
      <c r="E19" s="63" t="s">
        <v>82</v>
      </c>
      <c r="F19" s="60" t="s">
        <v>37</v>
      </c>
      <c r="G19" s="47">
        <v>7</v>
      </c>
      <c r="H19" s="133">
        <f>IF(B$17=0,0,G19/B$17)</f>
        <v>3.9325842696629212E-2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108</v>
      </c>
      <c r="C20" s="39">
        <f>IF(B$3=0,0,B20/B$3)</f>
        <v>0.17170111287758347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1.0727272727272774</v>
      </c>
      <c r="P20" s="119">
        <v>44</v>
      </c>
      <c r="Q20" s="107">
        <v>47.200000000000202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3.9325842696629212E-2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85</v>
      </c>
      <c r="F22" s="60" t="s">
        <v>40</v>
      </c>
      <c r="G22" s="47">
        <v>2</v>
      </c>
      <c r="H22" s="133">
        <f>IF(B$17=0,0,G22/B$17)</f>
        <v>1.1235955056179775E-2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9939.8876404494385</v>
      </c>
      <c r="C23" s="41">
        <v>1769300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-7845.3703703703704</v>
      </c>
      <c r="C24" s="45">
        <v>-847300</v>
      </c>
      <c r="E24" s="63" t="s">
        <v>87</v>
      </c>
      <c r="F24" s="60" t="s">
        <v>42</v>
      </c>
      <c r="G24" s="47">
        <v>13</v>
      </c>
      <c r="H24" s="133">
        <f>IF(B$17=0,0,G24/B$17)</f>
        <v>7.3033707865168537E-2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5.6179775280898875E-3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1.589825119236884E-3</v>
      </c>
      <c r="E27" s="63" t="s">
        <v>90</v>
      </c>
      <c r="F27" s="60" t="s">
        <v>45</v>
      </c>
      <c r="G27" s="47">
        <v>27</v>
      </c>
      <c r="H27" s="133">
        <f>IF(B$17=0,0,G27/B$17)</f>
        <v>0.15168539325842698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2.247191011235955E-2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1.1235955056179775E-2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5.6179775280898875E-3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1.1235955056179775E-2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70</v>
      </c>
      <c r="H51" s="134">
        <f>IF(B$17=0,0,G51/B$17)</f>
        <v>0.39325842696629215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</sheetData>
  <sortState ref="E2:I7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0.35106382978723405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0.11170212765957446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67</v>
      </c>
      <c r="F4" s="60" t="s">
        <v>23</v>
      </c>
      <c r="G4" s="47">
        <v>125</v>
      </c>
      <c r="H4" s="133">
        <f>IF(B$17=0,0,G4/B$17)</f>
        <v>0.66489361702127658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0.1702127659574468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70</v>
      </c>
      <c r="F7" s="60" t="s">
        <v>25</v>
      </c>
      <c r="G7" s="47">
        <v>28</v>
      </c>
      <c r="H7" s="133">
        <f>IF(B$17=0,0,G7/B$17)</f>
        <v>0.14893617021276595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71</v>
      </c>
      <c r="F8" s="60" t="s">
        <v>26</v>
      </c>
      <c r="G8" s="47">
        <v>11</v>
      </c>
      <c r="H8" s="133">
        <f>IF(B$17=0,0,G8/B$17)</f>
        <v>5.8510638297872342E-2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72</v>
      </c>
      <c r="F9" s="60" t="s">
        <v>27</v>
      </c>
      <c r="G9" s="47">
        <v>15</v>
      </c>
      <c r="H9" s="133">
        <f>IF(B$17=0,0,G9/B$17)</f>
        <v>7.9787234042553196E-2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73</v>
      </c>
      <c r="F10" s="60" t="s">
        <v>28</v>
      </c>
      <c r="G10" s="47">
        <v>106</v>
      </c>
      <c r="H10" s="133">
        <f>IF(B$17=0,0,G10/B$17)</f>
        <v>0.56382978723404253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75</v>
      </c>
      <c r="F12" s="60" t="s">
        <v>30</v>
      </c>
      <c r="G12" s="47">
        <v>1</v>
      </c>
      <c r="H12" s="133">
        <f>IF(B$17=0,0,G12/B$17)</f>
        <v>5.3191489361702126E-3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82</v>
      </c>
      <c r="F19" s="60" t="s">
        <v>37</v>
      </c>
      <c r="G19" s="47">
        <v>6</v>
      </c>
      <c r="H19" s="133">
        <f>IF(B$17=0,0,G19/B$17)</f>
        <v>3.1914893617021274E-2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84</v>
      </c>
      <c r="F21" s="60" t="s">
        <v>39</v>
      </c>
      <c r="G21" s="47">
        <v>10</v>
      </c>
      <c r="H21" s="133">
        <f>IF(B$17=0,0,G21/B$17)</f>
        <v>5.3191489361702128E-2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87</v>
      </c>
      <c r="F24" s="60" t="s">
        <v>42</v>
      </c>
      <c r="G24" s="47">
        <v>8</v>
      </c>
      <c r="H24" s="133">
        <f>IF(B$17=0,0,G24/B$17)</f>
        <v>4.2553191489361701E-2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90</v>
      </c>
      <c r="F27" s="60" t="s">
        <v>45</v>
      </c>
      <c r="G27" s="47">
        <v>12</v>
      </c>
      <c r="H27" s="133">
        <f>IF(B$17=0,0,G27/B$17)</f>
        <v>6.3829787234042548E-2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1.0638297872340425E-2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86</v>
      </c>
      <c r="H51" s="134">
        <f>IF(B$17=0,0,G51/B$17)</f>
        <v>0.45744680851063829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43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0.45045045045045046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-2806.9767441860463</v>
      </c>
      <c r="P2" s="118">
        <v>43</v>
      </c>
      <c r="Q2" s="102">
        <v>-120700</v>
      </c>
    </row>
    <row r="3" spans="1:17" x14ac:dyDescent="0.4">
      <c r="A3" s="55" t="s">
        <v>8</v>
      </c>
      <c r="B3" s="148">
        <v>375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8.1081081081081086E-2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2062.7906976744184</v>
      </c>
      <c r="P3" s="119">
        <v>43</v>
      </c>
      <c r="Q3" s="103">
        <v>88700</v>
      </c>
    </row>
    <row r="4" spans="1:17" x14ac:dyDescent="0.4">
      <c r="A4" s="55" t="s">
        <v>6</v>
      </c>
      <c r="B4" s="150">
        <v>-289.7</v>
      </c>
      <c r="C4" s="151"/>
      <c r="E4" s="63" t="s">
        <v>67</v>
      </c>
      <c r="F4" s="60" t="s">
        <v>23</v>
      </c>
      <c r="G4" s="47">
        <v>75</v>
      </c>
      <c r="H4" s="133">
        <f>IF(B$17=0,0,G4/B$17)</f>
        <v>0.67567567567567566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-831.70731707317077</v>
      </c>
      <c r="P4" s="119">
        <v>41</v>
      </c>
      <c r="Q4" s="103">
        <v>-34100</v>
      </c>
    </row>
    <row r="5" spans="1:17" x14ac:dyDescent="0.4">
      <c r="A5" s="55" t="s">
        <v>7</v>
      </c>
      <c r="B5" s="152">
        <f>IF(B$2=0,0,B$4/B$2)</f>
        <v>-6.7372093023255815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0.23423423423423423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-3700</v>
      </c>
      <c r="P5" s="119">
        <v>38</v>
      </c>
      <c r="Q5" s="103">
        <v>-140600</v>
      </c>
    </row>
    <row r="6" spans="1:17" x14ac:dyDescent="0.4">
      <c r="A6" s="55" t="s">
        <v>1</v>
      </c>
      <c r="B6" s="142">
        <f>IF(B$2=0,0,(B$7*1+B$8*2+B$9*3)/B$2)</f>
        <v>2.0930232558139537</v>
      </c>
      <c r="C6" s="143"/>
      <c r="E6" s="63" t="s">
        <v>69</v>
      </c>
      <c r="F6" s="60" t="s">
        <v>12</v>
      </c>
      <c r="G6" s="47">
        <v>42</v>
      </c>
      <c r="H6" s="133">
        <f>IF(B$17=0,0,G6/B$17)</f>
        <v>0.3783783783783784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-44.117647058823529</v>
      </c>
      <c r="P6" s="119">
        <v>34</v>
      </c>
      <c r="Q6" s="103">
        <v>-1500</v>
      </c>
    </row>
    <row r="7" spans="1:17" x14ac:dyDescent="0.4">
      <c r="A7" s="55" t="s">
        <v>2</v>
      </c>
      <c r="B7" s="47">
        <v>12</v>
      </c>
      <c r="C7" s="39">
        <f>IF(B$2=0,0,B7/B$2)</f>
        <v>0.27906976744186046</v>
      </c>
      <c r="E7" s="63" t="s">
        <v>70</v>
      </c>
      <c r="F7" s="60" t="s">
        <v>25</v>
      </c>
      <c r="G7" s="47">
        <v>12</v>
      </c>
      <c r="H7" s="133">
        <f>IF(B$17=0,0,G7/B$17)</f>
        <v>0.10810810810810811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136.36363636363637</v>
      </c>
      <c r="P7" s="120">
        <v>33</v>
      </c>
      <c r="Q7" s="104">
        <v>4500</v>
      </c>
    </row>
    <row r="8" spans="1:17" x14ac:dyDescent="0.4">
      <c r="A8" s="55" t="s">
        <v>3</v>
      </c>
      <c r="B8" s="47">
        <v>15</v>
      </c>
      <c r="C8" s="39">
        <f>IF(B$2=0,0,B8/B$2)</f>
        <v>0.34883720930232559</v>
      </c>
      <c r="E8" s="63" t="s">
        <v>71</v>
      </c>
      <c r="F8" s="60" t="s">
        <v>26</v>
      </c>
      <c r="G8" s="47">
        <v>14</v>
      </c>
      <c r="H8" s="133">
        <f>IF(B$17=0,0,G8/B$17)</f>
        <v>0.12612612612612611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0.37209302325581395</v>
      </c>
      <c r="E9" s="63" t="s">
        <v>72</v>
      </c>
      <c r="F9" s="60" t="s">
        <v>27</v>
      </c>
      <c r="G9" s="47">
        <v>6</v>
      </c>
      <c r="H9" s="133">
        <f>IF(B$17=0,0,G9/B$17)</f>
        <v>5.4054054054054057E-2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0.11627906976744186</v>
      </c>
      <c r="E10" s="63" t="s">
        <v>73</v>
      </c>
      <c r="F10" s="60" t="s">
        <v>28</v>
      </c>
      <c r="G10" s="47">
        <v>59</v>
      </c>
      <c r="H10" s="133">
        <f>IF(B$17=0,0,G10/B$17)</f>
        <v>0.53153153153153154</v>
      </c>
      <c r="I10" s="94">
        <v>6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3</v>
      </c>
      <c r="C11" s="40">
        <f>IF(B$2=0,0,B11/B$2)</f>
        <v>6.9767441860465115E-2</v>
      </c>
      <c r="E11" s="63" t="s">
        <v>74</v>
      </c>
      <c r="F11" s="60" t="s">
        <v>29</v>
      </c>
      <c r="G11" s="47">
        <v>2</v>
      </c>
      <c r="H11" s="133">
        <f>IF(B$17=0,0,G11/B$17)</f>
        <v>1.8018018018018018E-2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1</v>
      </c>
      <c r="C12" s="42">
        <f>IF(B$2=0,0,B12/B$2)</f>
        <v>2.3255813953488372E-2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86</v>
      </c>
      <c r="C13" s="44">
        <f>IF(B$3=0,0,B13/B$3)</f>
        <v>0.22933333333333333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0.26133333333333331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51</v>
      </c>
      <c r="C15" s="37">
        <f>IF(B$13=0,0,B15/B$13)</f>
        <v>0.59302325581395354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1.8018018018018018E-2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0.29599999999999999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4</v>
      </c>
      <c r="K17" s="38">
        <v>15</v>
      </c>
      <c r="L17" s="99">
        <v>-264.59999999999997</v>
      </c>
      <c r="N17" s="115" t="s">
        <v>177</v>
      </c>
      <c r="O17" s="125">
        <f t="shared" si="2"/>
        <v>-10.050000000000001</v>
      </c>
      <c r="P17" s="119">
        <v>6</v>
      </c>
      <c r="Q17" s="107">
        <v>-60.300000000000004</v>
      </c>
    </row>
    <row r="18" spans="1:17" x14ac:dyDescent="0.4">
      <c r="A18" s="55" t="s">
        <v>12</v>
      </c>
      <c r="B18" s="47">
        <v>56</v>
      </c>
      <c r="C18" s="39">
        <f>IF(B$17=0,0,B18/B$17)</f>
        <v>0.50450450450450446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172</v>
      </c>
      <c r="O18" s="125">
        <f t="shared" si="2"/>
        <v>-12.590909090909088</v>
      </c>
      <c r="P18" s="119">
        <v>11</v>
      </c>
      <c r="Q18" s="107">
        <v>-138.49999999999997</v>
      </c>
    </row>
    <row r="19" spans="1:17" x14ac:dyDescent="0.4">
      <c r="A19" s="55" t="s">
        <v>11</v>
      </c>
      <c r="B19" s="47">
        <v>55</v>
      </c>
      <c r="C19" s="39">
        <f>IF(B$17=0,0,B19/B$17)</f>
        <v>0.49549549549549549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-13.774999999999999</v>
      </c>
      <c r="P19" s="119">
        <v>16</v>
      </c>
      <c r="Q19" s="107">
        <v>-220.39999999999998</v>
      </c>
    </row>
    <row r="20" spans="1:17" x14ac:dyDescent="0.4">
      <c r="A20" s="55" t="s">
        <v>13</v>
      </c>
      <c r="B20" s="47">
        <v>70</v>
      </c>
      <c r="C20" s="39">
        <f>IF(B$3=0,0,B20/B$3)</f>
        <v>0.18666666666666668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1.8018018018018018E-2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6976.5765765765764</v>
      </c>
      <c r="C23" s="41">
        <v>774400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-7807.1428571428569</v>
      </c>
      <c r="C24" s="45">
        <v>-546500</v>
      </c>
      <c r="E24" s="63" t="s">
        <v>87</v>
      </c>
      <c r="F24" s="60" t="s">
        <v>42</v>
      </c>
      <c r="G24" s="47">
        <v>4</v>
      </c>
      <c r="H24" s="133">
        <f>IF(B$17=0,0,G24/B$17)</f>
        <v>3.6036036036036036E-2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9.0090090090090089E-3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5.3333333333333332E-3</v>
      </c>
      <c r="E27" s="63" t="s">
        <v>90</v>
      </c>
      <c r="F27" s="60" t="s">
        <v>45</v>
      </c>
      <c r="G27" s="47">
        <v>14</v>
      </c>
      <c r="H27" s="133">
        <f>IF(B$17=0,0,G27/B$17)</f>
        <v>0.12612612612612611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1.8018018018018018E-2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9.0090090090090089E-3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41</v>
      </c>
      <c r="H51" s="134">
        <f>IF(B$17=0,0,G51/B$17)</f>
        <v>0.36936936936936937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67</v>
      </c>
      <c r="F3" s="60" t="s">
        <v>23</v>
      </c>
      <c r="G3" s="47">
        <v>61</v>
      </c>
      <c r="H3" s="133">
        <f>IF(B$17=0,0,G3/B$17)</f>
        <v>0.5446428571428571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73</v>
      </c>
      <c r="F4" s="60" t="s">
        <v>28</v>
      </c>
      <c r="G4" s="47">
        <v>52</v>
      </c>
      <c r="H4" s="133">
        <f>IF(B$17=0,0,G4/B$17)</f>
        <v>0.4642857142857143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181</v>
      </c>
      <c r="F5" s="60" t="s">
        <v>182</v>
      </c>
      <c r="G5" s="47">
        <v>47</v>
      </c>
      <c r="H5" s="133">
        <f>IF(B$17=0,0,G5/B$17)</f>
        <v>0.41964285714285715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68</v>
      </c>
      <c r="F6" s="60" t="s">
        <v>24</v>
      </c>
      <c r="G6" s="47">
        <v>39</v>
      </c>
      <c r="H6" s="133">
        <f>IF(B$17=0,0,G6/B$17)</f>
        <v>0.3482142857142857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69</v>
      </c>
      <c r="F7" s="60" t="s">
        <v>12</v>
      </c>
      <c r="G7" s="47">
        <v>33</v>
      </c>
      <c r="H7" s="133">
        <f>IF(B$17=0,0,G7/B$17)</f>
        <v>0.29464285714285715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70</v>
      </c>
      <c r="F8" s="60" t="s">
        <v>25</v>
      </c>
      <c r="G8" s="47">
        <v>18</v>
      </c>
      <c r="H8" s="133">
        <f>IF(B$17=0,0,G8/B$17)</f>
        <v>0.16071428571428573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66</v>
      </c>
      <c r="F9" s="60" t="s">
        <v>22</v>
      </c>
      <c r="G9" s="47">
        <v>14</v>
      </c>
      <c r="H9" s="133">
        <f>IF(B$17=0,0,G9/B$17)</f>
        <v>0.125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90</v>
      </c>
      <c r="F10" s="60" t="s">
        <v>45</v>
      </c>
      <c r="G10" s="47">
        <v>13</v>
      </c>
      <c r="H10" s="133">
        <f>IF(B$17=0,0,G10/B$17)</f>
        <v>0.11607142857142858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71</v>
      </c>
      <c r="F11" s="60" t="s">
        <v>26</v>
      </c>
      <c r="G11" s="47">
        <v>8</v>
      </c>
      <c r="H11" s="133">
        <f>IF(B$17=0,0,G11/B$17)</f>
        <v>7.1428571428571425E-2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72</v>
      </c>
      <c r="F12" s="60" t="s">
        <v>27</v>
      </c>
      <c r="G12" s="47">
        <v>5</v>
      </c>
      <c r="H12" s="133">
        <f>IF(B$17=0,0,G12/B$17)</f>
        <v>4.4642857142857144E-2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79</v>
      </c>
      <c r="F13" s="60" t="s">
        <v>34</v>
      </c>
      <c r="G13" s="47">
        <v>5</v>
      </c>
      <c r="H13" s="133">
        <f>IF(B$17=0,0,G13/B$17)</f>
        <v>4.4642857142857144E-2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84</v>
      </c>
      <c r="F14" s="60" t="s">
        <v>39</v>
      </c>
      <c r="G14" s="47">
        <v>5</v>
      </c>
      <c r="H14" s="133">
        <f>IF(B$17=0,0,G14/B$17)</f>
        <v>4.4642857142857144E-2</v>
      </c>
      <c r="I14" s="94">
        <v>5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92</v>
      </c>
      <c r="F15" s="60" t="s">
        <v>47</v>
      </c>
      <c r="G15" s="47">
        <v>5</v>
      </c>
      <c r="H15" s="133">
        <f>IF(B$17=0,0,G15/B$17)</f>
        <v>4.4642857142857144E-2</v>
      </c>
      <c r="I15" s="94">
        <v>1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82</v>
      </c>
      <c r="F16" s="60" t="s">
        <v>37</v>
      </c>
      <c r="G16" s="47">
        <v>3</v>
      </c>
      <c r="H16" s="133">
        <f>IF(B$17=0,0,G16/B$17)</f>
        <v>2.6785714285714284E-2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86</v>
      </c>
      <c r="F18" s="60" t="s">
        <v>41</v>
      </c>
      <c r="G18" s="47">
        <v>2</v>
      </c>
      <c r="H18" s="133">
        <f>IF(B$17=0,0,G18/B$17)</f>
        <v>1.7857142857142856E-2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>IF(P18=0,0,Q18/P18)</f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87</v>
      </c>
      <c r="F19" s="60" t="s">
        <v>42</v>
      </c>
      <c r="G19" s="47">
        <v>2</v>
      </c>
      <c r="H19" s="133">
        <f>IF(B$17=0,0,G19/B$17)</f>
        <v>1.7857142857142856E-2</v>
      </c>
      <c r="I19" s="94">
        <v>10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75</v>
      </c>
      <c r="F20" s="60" t="s">
        <v>30</v>
      </c>
      <c r="G20" s="47">
        <v>1</v>
      </c>
      <c r="H20" s="133">
        <f>IF(B$17=0,0,G20/B$17)</f>
        <v>8.9285714285714281E-3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8.9285714285714281E-3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91</v>
      </c>
      <c r="F22" s="60" t="s">
        <v>46</v>
      </c>
      <c r="G22" s="47">
        <v>1</v>
      </c>
      <c r="H22" s="133">
        <f>IF(B$17=0,0,G22/B$17)</f>
        <v>8.9285714285714281E-3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93</v>
      </c>
      <c r="F23" s="60" t="s">
        <v>48</v>
      </c>
      <c r="G23" s="47">
        <v>1</v>
      </c>
      <c r="H23" s="133">
        <f>IF(B$17=0,0,G23/B$17)</f>
        <v>8.9285714285714281E-3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102</v>
      </c>
      <c r="F24" s="60" t="s">
        <v>57</v>
      </c>
      <c r="G24" s="47">
        <v>1</v>
      </c>
      <c r="H24" s="133">
        <f>IF(B$17=0,0,G24/B$17)</f>
        <v>8.9285714285714281E-3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67</v>
      </c>
      <c r="F2" s="59" t="s">
        <v>23</v>
      </c>
      <c r="G2" s="46">
        <v>28</v>
      </c>
      <c r="H2" s="132">
        <f>IF(B$17=0,0,G2/B$17)</f>
        <v>0.82352941176470584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73</v>
      </c>
      <c r="F3" s="60" t="s">
        <v>28</v>
      </c>
      <c r="G3" s="47">
        <v>21</v>
      </c>
      <c r="H3" s="133">
        <f>IF(B$17=0,0,G3/B$17)</f>
        <v>0.61764705882352944</v>
      </c>
      <c r="I3" s="94">
        <v>2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0.55882352941176472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69</v>
      </c>
      <c r="F5" s="60" t="s">
        <v>12</v>
      </c>
      <c r="G5" s="47">
        <v>12</v>
      </c>
      <c r="H5" s="133">
        <f>IF(B$17=0,0,G5/B$17)</f>
        <v>0.35294117647058826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181</v>
      </c>
      <c r="F6" s="60" t="s">
        <v>182</v>
      </c>
      <c r="G6" s="47">
        <v>12</v>
      </c>
      <c r="H6" s="133">
        <f>IF(B$17=0,0,G6/B$17)</f>
        <v>0.35294117647058826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70</v>
      </c>
      <c r="F8" s="60" t="s">
        <v>25</v>
      </c>
      <c r="G8" s="47">
        <v>6</v>
      </c>
      <c r="H8" s="133">
        <f>IF(B$17=0,0,G8/B$17)</f>
        <v>0.17647058823529413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90</v>
      </c>
      <c r="F9" s="60" t="s">
        <v>45</v>
      </c>
      <c r="G9" s="47">
        <v>5</v>
      </c>
      <c r="H9" s="133">
        <f>IF(B$17=0,0,G9/B$17)</f>
        <v>0.14705882352941177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0.11764705882352941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2</v>
      </c>
      <c r="H12" s="133">
        <f>IF(B$17=0,0,G12/B$17)</f>
        <v>5.8823529411764705E-2</v>
      </c>
      <c r="I12" s="94">
        <v>7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80</v>
      </c>
      <c r="F13" s="60" t="s">
        <v>35</v>
      </c>
      <c r="G13" s="47">
        <v>2</v>
      </c>
      <c r="H13" s="133">
        <f>IF(B$17=0,0,G13/B$17)</f>
        <v>5.8823529411764705E-2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66</v>
      </c>
      <c r="F14" s="60" t="s">
        <v>22</v>
      </c>
      <c r="G14" s="47">
        <v>1</v>
      </c>
      <c r="H14" s="133">
        <f>IF(B$17=0,0,G14/B$17)</f>
        <v>2.9411764705882353E-2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74</v>
      </c>
      <c r="F15" s="60" t="s">
        <v>29</v>
      </c>
      <c r="G15" s="47">
        <v>1</v>
      </c>
      <c r="H15" s="133">
        <f>IF(B$17=0,0,G15/B$17)</f>
        <v>2.9411764705882353E-2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76</v>
      </c>
      <c r="F16" s="60" t="s">
        <v>31</v>
      </c>
      <c r="G16" s="47">
        <v>1</v>
      </c>
      <c r="H16" s="133">
        <f>IF(B$17=0,0,G16/B$17)</f>
        <v>2.9411764705882353E-2</v>
      </c>
      <c r="I16" s="94">
        <v>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82</v>
      </c>
      <c r="F17" s="60" t="s">
        <v>37</v>
      </c>
      <c r="G17" s="47">
        <v>1</v>
      </c>
      <c r="H17" s="133">
        <f>IF(B$17=0,0,G17/B$17)</f>
        <v>2.9411764705882353E-2</v>
      </c>
      <c r="I17" s="94">
        <v>6</v>
      </c>
      <c r="N17" s="115" t="s">
        <v>127</v>
      </c>
      <c r="O17" s="125">
        <f>IF(P17=0,0,Q17/P17)</f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2019-05-24T11:55:53Z</dcterms:modified>
</cp:coreProperties>
</file>