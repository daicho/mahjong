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6375FC6-DF82-4DE5-A7A2-26506CA8CFD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6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7" i="5459"/>
  <c r="O21" i="5467"/>
  <c r="O18" i="5467"/>
  <c r="O21" i="5455" l="1"/>
  <c r="O17" i="5471"/>
  <c r="O19" i="5471" l="1"/>
  <c r="O15" i="5471"/>
  <c r="O15" i="5461"/>
  <c r="O22" i="5459"/>
  <c r="O17" i="5469" l="1"/>
  <c r="O22" i="5465"/>
  <c r="O15" i="5469"/>
  <c r="O21" i="5471"/>
  <c r="O15" i="5457"/>
  <c r="O17" i="5467"/>
  <c r="O17" i="5453"/>
  <c r="O20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9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9" i="5467" l="1"/>
  <c r="O19" i="5465"/>
  <c r="O16" i="5465"/>
  <c r="O17" i="5457"/>
  <c r="O18" i="5463" l="1"/>
  <c r="O17" i="5461"/>
  <c r="O17" i="5465"/>
  <c r="O18" i="5465"/>
  <c r="O15" i="5463" l="1"/>
  <c r="O16" i="5461"/>
  <c r="O21" i="5459"/>
  <c r="O18" i="5459"/>
  <c r="O15" i="5467"/>
  <c r="O20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11" i="5467" l="1"/>
  <c r="H2" i="5467"/>
  <c r="C17" i="5467"/>
  <c r="H3" i="5467"/>
  <c r="H5" i="5467"/>
  <c r="H29" i="5467"/>
  <c r="H30" i="5467"/>
  <c r="H18" i="5467"/>
  <c r="H33" i="5467"/>
  <c r="H16" i="5467"/>
  <c r="H35" i="5467"/>
  <c r="H39" i="5467"/>
  <c r="H42" i="5467"/>
  <c r="H46" i="5467"/>
  <c r="H50" i="5467"/>
  <c r="H8" i="5467"/>
  <c r="H22" i="5467"/>
  <c r="H28" i="5467"/>
  <c r="C19" i="5467"/>
  <c r="H14" i="5467"/>
  <c r="H23" i="5467"/>
  <c r="H36" i="5467"/>
  <c r="H40" i="5467"/>
  <c r="H43" i="5467"/>
  <c r="H47" i="5467"/>
  <c r="H51" i="5467"/>
  <c r="H9" i="5467"/>
  <c r="H7" i="5467"/>
  <c r="H12" i="5467"/>
  <c r="H21" i="5467"/>
  <c r="H19" i="5467"/>
  <c r="H17" i="5467"/>
  <c r="H31" i="5467"/>
  <c r="H13" i="5467"/>
  <c r="H10" i="5467"/>
  <c r="H24" i="5467"/>
  <c r="H37" i="5467"/>
  <c r="H25" i="5467"/>
  <c r="H44" i="5467"/>
  <c r="H48" i="5467"/>
  <c r="H4" i="5467"/>
  <c r="H6" i="5467"/>
  <c r="H26" i="5467"/>
  <c r="H27" i="5467"/>
  <c r="H15" i="5467"/>
  <c r="C18" i="5467"/>
  <c r="B23" i="5467"/>
  <c r="H32" i="5467"/>
  <c r="H20" i="5467"/>
  <c r="H34" i="5467"/>
  <c r="H38" i="5467"/>
  <c r="H41" i="5467"/>
  <c r="H45" i="5467"/>
  <c r="H49" i="5467"/>
  <c r="O19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18" i="5455"/>
  <c r="O18" i="5453"/>
  <c r="O19" i="5463"/>
  <c r="O18" i="5457"/>
  <c r="O19" i="5457"/>
  <c r="O19" i="5461"/>
  <c r="O22" i="5463"/>
  <c r="O23" i="5463"/>
  <c r="C27" i="5463"/>
  <c r="B24" i="5463"/>
  <c r="C20" i="5463"/>
  <c r="B17" i="5463"/>
  <c r="H51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20" i="5455"/>
  <c r="O23" i="5455"/>
  <c r="O20" i="5453"/>
  <c r="O21" i="5453"/>
  <c r="C17" i="5465" l="1"/>
  <c r="H4" i="5465"/>
  <c r="H10" i="5465"/>
  <c r="H2" i="5465"/>
  <c r="H8" i="5465"/>
  <c r="H2" i="5463"/>
  <c r="H5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8" i="5463"/>
  <c r="C17" i="5463"/>
  <c r="H40" i="5463"/>
  <c r="H32" i="5463"/>
  <c r="H22" i="5463"/>
  <c r="H10" i="5463"/>
  <c r="H20" i="5463"/>
  <c r="H24" i="5463"/>
  <c r="H9" i="5463"/>
  <c r="H6" i="5463"/>
  <c r="H19" i="5463"/>
  <c r="H18" i="5463"/>
  <c r="H48" i="5463"/>
  <c r="H7" i="5463"/>
  <c r="H12" i="5463"/>
  <c r="H3" i="5463"/>
  <c r="H10" i="5461"/>
  <c r="H17" i="5463"/>
  <c r="C18" i="5463"/>
  <c r="B23" i="5463"/>
  <c r="H33" i="5463"/>
  <c r="H41" i="5463"/>
  <c r="H49" i="5463"/>
  <c r="H14" i="5463"/>
  <c r="H11" i="5463"/>
  <c r="H36" i="5463"/>
  <c r="H44" i="5463"/>
  <c r="H4" i="5463"/>
  <c r="H15" i="5463"/>
  <c r="H23" i="5463"/>
  <c r="H37" i="5463"/>
  <c r="H45" i="5463"/>
  <c r="H52" i="5463"/>
  <c r="H26" i="5463"/>
  <c r="H27" i="5463"/>
  <c r="H29" i="5463"/>
  <c r="H30" i="5463"/>
  <c r="H16" i="5463"/>
  <c r="H34" i="5463"/>
  <c r="H38" i="5463"/>
  <c r="H42" i="5463"/>
  <c r="H46" i="5463"/>
  <c r="H50" i="5463"/>
  <c r="H8" i="5463"/>
  <c r="H21" i="5463"/>
  <c r="H25" i="5463"/>
  <c r="C19" i="5463"/>
  <c r="H13" i="5463"/>
  <c r="H31" i="5463"/>
  <c r="H35" i="5463"/>
  <c r="H39" i="5463"/>
  <c r="H43" i="5463"/>
  <c r="H47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8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27" i="5459"/>
  <c r="H10" i="5459"/>
  <c r="H43" i="5459"/>
  <c r="H3" i="5459"/>
  <c r="H6" i="5459"/>
  <c r="H22" i="5459"/>
  <c r="H8" i="5459"/>
  <c r="C17" i="5459"/>
  <c r="H23" i="5455"/>
  <c r="H13" i="5455"/>
  <c r="H38" i="5455"/>
  <c r="H4" i="5455"/>
  <c r="H2" i="5455"/>
  <c r="H7" i="5455"/>
  <c r="H30" i="5455"/>
  <c r="B23" i="5455"/>
  <c r="H10" i="5455"/>
  <c r="H39" i="5459"/>
  <c r="H12" i="5459"/>
  <c r="H17" i="5459"/>
  <c r="H31" i="5459"/>
  <c r="H47" i="5459"/>
  <c r="H2" i="5459"/>
  <c r="H4" i="5459"/>
  <c r="H9" i="5459"/>
  <c r="H19" i="5459"/>
  <c r="H24" i="5459"/>
  <c r="H35" i="5459"/>
  <c r="H51" i="5459"/>
  <c r="H18" i="5459"/>
  <c r="H20" i="5459"/>
  <c r="H23" i="5459"/>
  <c r="H26" i="5459"/>
  <c r="H29" i="5459"/>
  <c r="H33" i="5459"/>
  <c r="H37" i="5459"/>
  <c r="H41" i="5459"/>
  <c r="H45" i="5459"/>
  <c r="H49" i="5459"/>
  <c r="H7" i="5459"/>
  <c r="H13" i="5459"/>
  <c r="H15" i="5459"/>
  <c r="C19" i="5459"/>
  <c r="H21" i="5459"/>
  <c r="H30" i="5459"/>
  <c r="H34" i="5459"/>
  <c r="H38" i="5459"/>
  <c r="H42" i="5459"/>
  <c r="H46" i="5459"/>
  <c r="H50" i="5459"/>
  <c r="H5" i="5459"/>
  <c r="H11" i="5459"/>
  <c r="H14" i="5459"/>
  <c r="H16" i="5459"/>
  <c r="C18" i="5459"/>
  <c r="B23" i="5459"/>
  <c r="H25" i="5459"/>
  <c r="H28" i="5459"/>
  <c r="H32" i="5459"/>
  <c r="H36" i="5459"/>
  <c r="H40" i="5459"/>
  <c r="H44" i="5459"/>
  <c r="H48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2" i="5453"/>
  <c r="H3" i="5453"/>
  <c r="H4" i="5453"/>
  <c r="H37" i="5453"/>
  <c r="H11" i="5453"/>
  <c r="H33" i="5453"/>
  <c r="H12" i="5453"/>
  <c r="H16" i="5453"/>
  <c r="H25" i="5453"/>
  <c r="H7" i="5453"/>
  <c r="H24" i="5453"/>
  <c r="C18" i="5453"/>
  <c r="H46" i="5455"/>
  <c r="H6" i="5455"/>
  <c r="H11" i="5455"/>
  <c r="H3" i="5455"/>
  <c r="C18" i="5455"/>
  <c r="H52" i="5455"/>
  <c r="H21" i="5455"/>
  <c r="H31" i="5455"/>
  <c r="H16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7" i="5455"/>
  <c r="H26" i="5455"/>
  <c r="H12" i="5455"/>
  <c r="H9" i="5455"/>
  <c r="H28" i="5455"/>
  <c r="H37" i="5455"/>
  <c r="H41" i="5455"/>
  <c r="H45" i="5455"/>
  <c r="H49" i="5455"/>
  <c r="H34" i="5453"/>
  <c r="H29" i="5453"/>
  <c r="H42" i="5453"/>
  <c r="H10" i="5453"/>
  <c r="H6" i="5453"/>
  <c r="H20" i="5453"/>
  <c r="H19" i="5453"/>
  <c r="B23" i="5453"/>
  <c r="H26" i="5453"/>
  <c r="H49" i="5453"/>
  <c r="H50" i="5453"/>
  <c r="H15" i="5453"/>
  <c r="H9" i="5453"/>
  <c r="H32" i="5453"/>
  <c r="H45" i="5453"/>
  <c r="H5" i="5453"/>
  <c r="C17" i="5453"/>
  <c r="H13" i="5453"/>
  <c r="H27" i="5453"/>
  <c r="H39" i="5453"/>
  <c r="H46" i="5453"/>
  <c r="H52" i="5453"/>
  <c r="H35" i="5453"/>
  <c r="H36" i="5453"/>
  <c r="H22" i="5453"/>
  <c r="H30" i="5453"/>
  <c r="H17" i="5453"/>
  <c r="H31" i="5453"/>
  <c r="H40" i="5453"/>
  <c r="H43" i="5453"/>
  <c r="H47" i="5453"/>
  <c r="H51" i="5453"/>
  <c r="H8" i="5453"/>
  <c r="H21" i="5453"/>
  <c r="H28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<sst xmlns="http://schemas.openxmlformats.org/spreadsheetml/2006/main" count="3310" uniqueCount="258">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</sst>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全体!$K$2:$K$680</c:f>
              <c:numCache>
                <c:formatCode>General</c:formatCode>
                <c:ptCount val="6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</c:numCache>
            </c:numRef>
          </c:xVal>
          <c:yVal>
            <c:numRef>
              <c:f>全体!$L$2:$L$680</c:f>
              <c:numCache>
                <c:formatCode>\+0.0;\-0.0;\±0</c:formatCode>
                <c:ptCount val="67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  <c:pt idx="664">
                  <c:v>-58.700000000000017</c:v>
                </c:pt>
                <c:pt idx="665">
                  <c:v>-41.100000000000016</c:v>
                </c:pt>
                <c:pt idx="666">
                  <c:v>-1.0000000000000142</c:v>
                </c:pt>
                <c:pt idx="667">
                  <c:v>-2.9000000000000141</c:v>
                </c:pt>
                <c:pt idx="668">
                  <c:v>31.79999999999999</c:v>
                </c:pt>
                <c:pt idx="669">
                  <c:v>-1.0000000000000071</c:v>
                </c:pt>
                <c:pt idx="670">
                  <c:v>10.599999999999993</c:v>
                </c:pt>
                <c:pt idx="671">
                  <c:v>-44.800000000000004</c:v>
                </c:pt>
                <c:pt idx="672">
                  <c:v>-1.0000000000000071</c:v>
                </c:pt>
                <c:pt idx="673">
                  <c:v>-2.0000000000000071</c:v>
                </c:pt>
                <c:pt idx="674">
                  <c:v>-60.000000000000007</c:v>
                </c:pt>
                <c:pt idx="675">
                  <c:v>-1.0000000000000071</c:v>
                </c:pt>
                <c:pt idx="676">
                  <c:v>-2.3000000000000069</c:v>
                </c:pt>
                <c:pt idx="677">
                  <c:v>33.699999999999996</c:v>
                </c:pt>
                <c:pt idx="678">
                  <c:v>-1.0000000000000071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-16.296296296296298</c:v>
                </c:pt>
                <c:pt idx="1">
                  <c:v>-6.0606060606060606</c:v>
                </c:pt>
                <c:pt idx="2">
                  <c:v>9.6618357487922708</c:v>
                </c:pt>
                <c:pt idx="3">
                  <c:v>7.0921985815602833</c:v>
                </c:pt>
                <c:pt idx="4">
                  <c:v>-11.834319526627219</c:v>
                </c:pt>
                <c:pt idx="5">
                  <c:v>22.075055187637968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だいち!$L$2:$L$155</c:f>
              <c:numCache>
                <c:formatCode>\+0.0;\-0.0;\±0</c:formatCode>
                <c:ptCount val="15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  <c:pt idx="150">
                  <c:v>1744.7000000000007</c:v>
                </c:pt>
                <c:pt idx="151">
                  <c:v>1788.5000000000007</c:v>
                </c:pt>
                <c:pt idx="152">
                  <c:v>1847.5000000000007</c:v>
                </c:pt>
                <c:pt idx="153">
                  <c:v>1812.8000000000006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2117.1052631578946</c:v>
                </c:pt>
                <c:pt idx="1">
                  <c:v>1435.1351351351352</c:v>
                </c:pt>
                <c:pt idx="2">
                  <c:v>776.59574468085111</c:v>
                </c:pt>
                <c:pt idx="3">
                  <c:v>2429.4573643410854</c:v>
                </c:pt>
                <c:pt idx="4">
                  <c:v>198.24561403508773</c:v>
                </c:pt>
                <c:pt idx="5">
                  <c:v>879.79797979797979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りくと!$L$2:$L$128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144.44444444444446</c:v>
                </c:pt>
                <c:pt idx="1">
                  <c:v>-2159.8360655737706</c:v>
                </c:pt>
                <c:pt idx="2">
                  <c:v>378.81355932203388</c:v>
                </c:pt>
                <c:pt idx="3">
                  <c:v>-2.8846153846153846</c:v>
                </c:pt>
                <c:pt idx="4">
                  <c:v>187.09677419354838</c:v>
                </c:pt>
                <c:pt idx="5">
                  <c:v>330.23255813953489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ただ!$L$2:$L$92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-3215.5555555555557</c:v>
                </c:pt>
                <c:pt idx="1">
                  <c:v>-1106.8181818181818</c:v>
                </c:pt>
                <c:pt idx="2">
                  <c:v>-266.26506024096386</c:v>
                </c:pt>
                <c:pt idx="3">
                  <c:v>-4465.7534246575342</c:v>
                </c:pt>
                <c:pt idx="4">
                  <c:v>-1045.4545454545455</c:v>
                </c:pt>
                <c:pt idx="5">
                  <c:v>-1223.3333333333333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-675.28089887640454</c:v>
                </c:pt>
                <c:pt idx="1">
                  <c:v>281.60919540229884</c:v>
                </c:pt>
                <c:pt idx="2">
                  <c:v>1300</c:v>
                </c:pt>
                <c:pt idx="3">
                  <c:v>862.31884057971013</c:v>
                </c:pt>
                <c:pt idx="4">
                  <c:v>-473.77049180327867</c:v>
                </c:pt>
                <c:pt idx="5">
                  <c:v>-285.71428571428572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たかの!$L$2:$L$80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630.76923076923072</c:v>
                </c:pt>
                <c:pt idx="1">
                  <c:v>-897.43589743589746</c:v>
                </c:pt>
                <c:pt idx="2">
                  <c:v>-1478.5714285714287</c:v>
                </c:pt>
                <c:pt idx="3">
                  <c:v>740.90909090909088</c:v>
                </c:pt>
                <c:pt idx="4">
                  <c:v>900</c:v>
                </c:pt>
                <c:pt idx="5">
                  <c:v>-372.22222222222223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ぱぱ!$L$2:$L$47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-2853.3333333333335</c:v>
                </c:pt>
                <c:pt idx="1">
                  <c:v>2168.8888888888887</c:v>
                </c:pt>
                <c:pt idx="2">
                  <c:v>-865.11627906976742</c:v>
                </c:pt>
                <c:pt idx="3">
                  <c:v>-3805</c:v>
                </c:pt>
                <c:pt idx="4">
                  <c:v>-205.55555555555554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1382.8125</c:v>
                </c:pt>
                <c:pt idx="1">
                  <c:v>1136.0655737704917</c:v>
                </c:pt>
                <c:pt idx="2">
                  <c:v>-752.72727272727275</c:v>
                </c:pt>
                <c:pt idx="3">
                  <c:v>2473.5849056603774</c:v>
                </c:pt>
                <c:pt idx="4">
                  <c:v>-1159.5744680851064</c:v>
                </c:pt>
                <c:pt idx="5">
                  <c:v>276.92307692307691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いっしー!$L$2:$L$18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  <c:pt idx="16">
                  <c:v>-140.79999999999998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-256.25</c:v>
                </c:pt>
                <c:pt idx="1">
                  <c:v>-1175</c:v>
                </c:pt>
                <c:pt idx="2">
                  <c:v>537.5</c:v>
                </c:pt>
                <c:pt idx="3">
                  <c:v>-4620</c:v>
                </c:pt>
                <c:pt idx="4">
                  <c:v>1806.6666666666667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まっつん2!$B$3:$B$68</c:f>
              <c:numCache>
                <c:formatCode>\+0.0;\-0.0;\±0</c:formatCode>
                <c:ptCount val="6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まっつん2!$C$3:$C$68</c:f>
              <c:numCache>
                <c:formatCode>\+0.0;\-0.0;\±0</c:formatCode>
                <c:ptCount val="66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4.916666666666667</c:v>
                </c:pt>
                <c:pt idx="61">
                  <c:v>5.8918032786885242</c:v>
                </c:pt>
                <c:pt idx="62">
                  <c:v>5.604838709677419</c:v>
                </c:pt>
                <c:pt idx="63">
                  <c:v>5.4857142857142858</c:v>
                </c:pt>
                <c:pt idx="64">
                  <c:v>4.4937500000000004</c:v>
                </c:pt>
                <c:pt idx="65">
                  <c:v>4.9784615384615387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74926253687326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まっつん2!$D$3:$D$68</c:f>
              <c:numCache>
                <c:formatCode>0.00\ "位"</c:formatCode>
                <c:ptCount val="66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1.8524590163934427</c:v>
                </c:pt>
                <c:pt idx="62">
                  <c:v>1.8548387096774193</c:v>
                </c:pt>
                <c:pt idx="63">
                  <c:v>1.8571428571428572</c:v>
                </c:pt>
                <c:pt idx="64">
                  <c:v>1.875</c:v>
                </c:pt>
                <c:pt idx="65">
                  <c:v>1.8615384615384616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575221238938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まっつん2!$E$3:$E$68</c:f>
              <c:numCache>
                <c:formatCode>0.0%</c:formatCode>
                <c:ptCount val="6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283185840707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まっつん2!$F$3:$F$68</c:f>
              <c:numCache>
                <c:formatCode>0.0%</c:formatCode>
                <c:ptCount val="6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0.27692307692307694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5840707964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まっつん2!$G$3:$G$68</c:f>
              <c:numCache>
                <c:formatCode>0.0%</c:formatCode>
                <c:ptCount val="66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0.30721649484536084</c:v>
                </c:pt>
                <c:pt idx="61">
                  <c:v>0.30894308943089432</c:v>
                </c:pt>
                <c:pt idx="62">
                  <c:v>0.30645161290322581</c:v>
                </c:pt>
                <c:pt idx="63">
                  <c:v>0.3061630218687873</c:v>
                </c:pt>
                <c:pt idx="64">
                  <c:v>0.30078125</c:v>
                </c:pt>
                <c:pt idx="65">
                  <c:v>0.30250481695568399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6705715299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まっつん2!$H$3:$H$68</c:f>
              <c:numCache>
                <c:formatCode>0.0%</c:formatCode>
                <c:ptCount val="66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0.15257731958762888</c:v>
                </c:pt>
                <c:pt idx="61">
                  <c:v>0.15040650406504066</c:v>
                </c:pt>
                <c:pt idx="62">
                  <c:v>0.14919354838709678</c:v>
                </c:pt>
                <c:pt idx="63">
                  <c:v>0.14910536779324055</c:v>
                </c:pt>
                <c:pt idx="64">
                  <c:v>0.1484375</c:v>
                </c:pt>
                <c:pt idx="65">
                  <c:v>0.14836223506743737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37664181753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まっつん2!$I$3:$I$68</c:f>
              <c:numCache>
                <c:formatCode>0</c:formatCode>
                <c:ptCount val="66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8833.5570469798658</c:v>
                </c:pt>
                <c:pt idx="61">
                  <c:v>8948.0263157894733</c:v>
                </c:pt>
                <c:pt idx="62">
                  <c:v>8948.0263157894733</c:v>
                </c:pt>
                <c:pt idx="63">
                  <c:v>8912.9870129870123</c:v>
                </c:pt>
                <c:pt idx="64">
                  <c:v>8912.9870129870123</c:v>
                </c:pt>
                <c:pt idx="65">
                  <c:v>8923.5668789808915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34.62224866151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まっつん2!$J$3:$J$68</c:f>
              <c:numCache>
                <c:formatCode>0</c:formatCode>
                <c:ptCount val="66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-7635.135135135135</c:v>
                </c:pt>
                <c:pt idx="63">
                  <c:v>-7568</c:v>
                </c:pt>
                <c:pt idx="64">
                  <c:v>-7626.3157894736842</c:v>
                </c:pt>
                <c:pt idx="65">
                  <c:v>-7553.2467532467535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68.08059384941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まっつん2!$K$3:$K$68</c:f>
              <c:numCache>
                <c:formatCode>0.0%</c:formatCode>
                <c:ptCount val="6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0.15625</c:v>
                </c:pt>
                <c:pt idx="65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99410029498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まっつん2!$L$3:$L$68</c:f>
              <c:numCache>
                <c:formatCode>0.0%</c:formatCode>
                <c:ptCount val="6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0.13333333333333333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994100294985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まっつん2!$M$3:$M$68</c:f>
              <c:numCache>
                <c:formatCode>0.0%</c:formatCode>
                <c:ptCount val="66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0.2907216494845361</c:v>
                </c:pt>
                <c:pt idx="61">
                  <c:v>0.29065040650406504</c:v>
                </c:pt>
                <c:pt idx="62">
                  <c:v>0.29032258064516131</c:v>
                </c:pt>
                <c:pt idx="63">
                  <c:v>0.2922465208747515</c:v>
                </c:pt>
                <c:pt idx="64">
                  <c:v>0.29296875</c:v>
                </c:pt>
                <c:pt idx="65">
                  <c:v>0.2947976878612717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262690805821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まっつん2!$N$3:$N$68</c:f>
              <c:numCache>
                <c:formatCode>0.0%</c:formatCode>
                <c:ptCount val="66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0.18144329896907216</c:v>
                </c:pt>
                <c:pt idx="61">
                  <c:v>0.17886178861788618</c:v>
                </c:pt>
                <c:pt idx="62">
                  <c:v>0.18145161290322581</c:v>
                </c:pt>
                <c:pt idx="63">
                  <c:v>0.17892644135188868</c:v>
                </c:pt>
                <c:pt idx="64">
                  <c:v>0.177734375</c:v>
                </c:pt>
                <c:pt idx="65">
                  <c:v>0.17533718689788053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247781327653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まっつん2!$O$3:$O$68</c:f>
              <c:numCache>
                <c:formatCode>0.0%</c:formatCode>
                <c:ptCount val="66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0.65957446808510634</c:v>
                </c:pt>
                <c:pt idx="61">
                  <c:v>0.65734265734265729</c:v>
                </c:pt>
                <c:pt idx="62">
                  <c:v>0.65277777777777779</c:v>
                </c:pt>
                <c:pt idx="63">
                  <c:v>0.65306122448979587</c:v>
                </c:pt>
                <c:pt idx="64">
                  <c:v>0.64</c:v>
                </c:pt>
                <c:pt idx="65">
                  <c:v>0.64052287581699341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31412286257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まっつん2!$P$3:$P$68</c:f>
              <c:numCache>
                <c:formatCode>0.0%</c:formatCode>
                <c:ptCount val="66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0.375</c:v>
                </c:pt>
                <c:pt idx="62">
                  <c:v>0.36666666666666664</c:v>
                </c:pt>
                <c:pt idx="63">
                  <c:v>0.36666666666666664</c:v>
                </c:pt>
                <c:pt idx="64">
                  <c:v>0.36263736263736263</c:v>
                </c:pt>
                <c:pt idx="65">
                  <c:v>0.36263736263736263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287435456110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まっつん2!$Q$3:$Q$68</c:f>
              <c:numCache>
                <c:formatCode>0.0%</c:formatCode>
                <c:ptCount val="66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0.44295302013422821</c:v>
                </c:pt>
                <c:pt idx="61">
                  <c:v>0.44736842105263158</c:v>
                </c:pt>
                <c:pt idx="62">
                  <c:v>0.44736842105263158</c:v>
                </c:pt>
                <c:pt idx="63">
                  <c:v>0.44805194805194803</c:v>
                </c:pt>
                <c:pt idx="64">
                  <c:v>0.44805194805194803</c:v>
                </c:pt>
                <c:pt idx="65">
                  <c:v>0.45222929936305734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075550267697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7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43630.960740740738</v>
      </c>
      <c r="C64" s="30" t="s">
        <v>130</v>
      </c>
      <c r="D64" s="30" t="s">
        <v>131</v>
      </c>
      <c r="E64" s="30" t="s">
        <v>169</v>
      </c>
    </row>
    <row r="65" spans="1:5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678</v>
      </c>
    </row>
    <row r="2" spans="1:2" x14ac:dyDescent="0.4">
      <c r="A2" t="s">
        <v>127</v>
      </c>
      <c r="B2">
        <v>153</v>
      </c>
    </row>
    <row r="3" spans="1:2" x14ac:dyDescent="0.4">
      <c r="A3" t="s">
        <v>128</v>
      </c>
      <c r="B3">
        <v>126</v>
      </c>
    </row>
    <row r="4" spans="1:2" x14ac:dyDescent="0.4">
      <c r="A4" t="s">
        <v>129</v>
      </c>
      <c r="B4">
        <v>90</v>
      </c>
    </row>
    <row r="5" spans="1:2" x14ac:dyDescent="0.4">
      <c r="A5" t="s">
        <v>171</v>
      </c>
      <c r="B5">
        <v>89</v>
      </c>
    </row>
    <row r="6" spans="1:2" x14ac:dyDescent="0.4">
      <c r="A6" t="s">
        <v>172</v>
      </c>
      <c r="B6">
        <v>78</v>
      </c>
    </row>
    <row r="7" spans="1:2" x14ac:dyDescent="0.4">
      <c r="A7" t="s">
        <v>173</v>
      </c>
      <c r="B7">
        <v>45</v>
      </c>
    </row>
    <row r="8" spans="1:2" x14ac:dyDescent="0.4">
      <c r="A8" t="s">
        <v>177</v>
      </c>
      <c r="B8">
        <v>65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16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0.92228737738314581</v>
      </c>
      <c r="G2" s="163"/>
      <c r="H2" s="162">
        <v>0.69964979977922126</v>
      </c>
      <c r="I2" s="163"/>
      <c r="J2" s="162">
        <v>0.77057352610344954</v>
      </c>
      <c r="K2" s="163"/>
      <c r="L2" s="162">
        <v>0.77336249796697565</v>
      </c>
      <c r="M2" s="163"/>
      <c r="N2" s="162">
        <v>0.69344935442162814</v>
      </c>
      <c r="O2" s="163"/>
      <c r="P2" s="162">
        <v>0.16013699889788346</v>
      </c>
      <c r="Q2" s="163"/>
      <c r="R2" s="162">
        <v>0.36320775354811935</v>
      </c>
      <c r="S2" s="163"/>
      <c r="T2" s="162">
        <v>0.50954422397856647</v>
      </c>
      <c r="U2" s="163"/>
      <c r="V2" s="162">
        <v>0.50751531242519221</v>
      </c>
      <c r="W2" s="163"/>
      <c r="X2" s="162">
        <v>0.36277726503249863</v>
      </c>
      <c r="Y2" s="163"/>
      <c r="Z2" s="162">
        <v>0.2211361816391923</v>
      </c>
      <c r="AA2" s="163"/>
      <c r="AB2" s="162">
        <v>0.33512877556092935</v>
      </c>
      <c r="AC2" s="163"/>
      <c r="AD2" s="162">
        <v>0.71665665978253401</v>
      </c>
      <c r="AE2" s="163"/>
      <c r="AF2" s="162">
        <v>-0.15833525540845617</v>
      </c>
      <c r="AG2" s="163"/>
      <c r="AH2" s="162">
        <v>0.34415793297485153</v>
      </c>
      <c r="AI2" s="163"/>
    </row>
    <row r="3" spans="1:35" x14ac:dyDescent="0.4">
      <c r="A3" s="74">
        <v>1</v>
      </c>
      <c r="B3" s="75" t="s">
        <v>127</v>
      </c>
      <c r="C3" s="76">
        <v>1812.8000000000006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0.34430176565008025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0.17647058823529413</v>
      </c>
      <c r="X3" s="77" t="s">
        <v>127</v>
      </c>
      <c r="Y3" s="80">
        <v>0.3130016051364366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0.51851851851851849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323.60000000000002</v>
      </c>
      <c r="D4" s="85" t="s">
        <v>222</v>
      </c>
      <c r="E4" s="97">
        <v>13.3</v>
      </c>
      <c r="F4" s="85" t="s">
        <v>127</v>
      </c>
      <c r="G4" s="86">
        <v>1.7516339869281046</v>
      </c>
      <c r="H4" s="85" t="s">
        <v>127</v>
      </c>
      <c r="I4" s="87">
        <v>0.48366013071895425</v>
      </c>
      <c r="J4" s="85" t="s">
        <v>222</v>
      </c>
      <c r="K4" s="87">
        <v>0</v>
      </c>
      <c r="L4" s="85" t="s">
        <v>172</v>
      </c>
      <c r="M4" s="88">
        <v>0.34384384384384387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177</v>
      </c>
      <c r="W4" s="87">
        <v>0.13846153846153847</v>
      </c>
      <c r="X4" s="85" t="s">
        <v>128</v>
      </c>
      <c r="Y4" s="88">
        <v>0.29942418426103645</v>
      </c>
      <c r="Z4" s="85" t="s">
        <v>172</v>
      </c>
      <c r="AA4" s="88">
        <v>0.29129129129129128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11.8483660130719</v>
      </c>
      <c r="F5" s="85" t="s">
        <v>200</v>
      </c>
      <c r="G5" s="86">
        <v>1.8</v>
      </c>
      <c r="H5" s="85" t="s">
        <v>177</v>
      </c>
      <c r="I5" s="87">
        <v>0.41538461538461541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0.13813813813813813</v>
      </c>
      <c r="P5" s="85" t="s">
        <v>171</v>
      </c>
      <c r="Q5" s="89">
        <v>9831.2796208530799</v>
      </c>
      <c r="R5" s="85" t="s">
        <v>177</v>
      </c>
      <c r="S5" s="89">
        <v>-7553.2467532467535</v>
      </c>
      <c r="T5" s="85" t="s">
        <v>222</v>
      </c>
      <c r="U5" s="87">
        <v>0</v>
      </c>
      <c r="V5" s="85" t="s">
        <v>171</v>
      </c>
      <c r="W5" s="87">
        <v>0.1348314606741573</v>
      </c>
      <c r="X5" s="85" t="s">
        <v>177</v>
      </c>
      <c r="Y5" s="88">
        <v>0.2947976878612717</v>
      </c>
      <c r="Z5" s="85" t="s">
        <v>173</v>
      </c>
      <c r="AA5" s="88">
        <v>0.25449871465295631</v>
      </c>
      <c r="AB5" s="85" t="s">
        <v>177</v>
      </c>
      <c r="AC5" s="88">
        <v>0.64052287581699341</v>
      </c>
      <c r="AD5" s="85" t="s">
        <v>200</v>
      </c>
      <c r="AE5" s="88">
        <v>0.48</v>
      </c>
      <c r="AF5" s="85" t="s">
        <v>184</v>
      </c>
      <c r="AG5" s="88">
        <v>0.51351351351351349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32.000000000000028</v>
      </c>
      <c r="D6" s="85" t="s">
        <v>177</v>
      </c>
      <c r="E6" s="97">
        <v>4.9784615384615387</v>
      </c>
      <c r="F6" s="85" t="s">
        <v>177</v>
      </c>
      <c r="G6" s="86">
        <v>1.8615384615384616</v>
      </c>
      <c r="H6" s="85" t="s">
        <v>184</v>
      </c>
      <c r="I6" s="87">
        <v>0.375</v>
      </c>
      <c r="J6" s="85" t="s">
        <v>127</v>
      </c>
      <c r="K6" s="87">
        <v>0.23529411764705882</v>
      </c>
      <c r="L6" s="85" t="s">
        <v>177</v>
      </c>
      <c r="M6" s="88">
        <v>0.30250481695568399</v>
      </c>
      <c r="N6" s="85" t="s">
        <v>177</v>
      </c>
      <c r="O6" s="88">
        <v>0.14836223506743737</v>
      </c>
      <c r="P6" s="85" t="s">
        <v>128</v>
      </c>
      <c r="Q6" s="89">
        <v>9241.7857142857138</v>
      </c>
      <c r="R6" s="85" t="s">
        <v>173</v>
      </c>
      <c r="S6" s="89">
        <v>-7787.6712328767126</v>
      </c>
      <c r="T6" s="85" t="s">
        <v>223</v>
      </c>
      <c r="U6" s="87">
        <v>0</v>
      </c>
      <c r="V6" s="85" t="s">
        <v>145</v>
      </c>
      <c r="W6" s="87">
        <v>0.11799410029498525</v>
      </c>
      <c r="X6" s="85" t="s">
        <v>171</v>
      </c>
      <c r="Y6" s="88">
        <v>0.29166666666666669</v>
      </c>
      <c r="Z6" s="85" t="s">
        <v>223</v>
      </c>
      <c r="AA6" s="88">
        <v>0.23529411764705882</v>
      </c>
      <c r="AB6" s="85" t="s">
        <v>184</v>
      </c>
      <c r="AC6" s="88">
        <v>0.625</v>
      </c>
      <c r="AD6" s="85" t="s">
        <v>184</v>
      </c>
      <c r="AE6" s="88">
        <v>0.42857142857142855</v>
      </c>
      <c r="AF6" s="85" t="s">
        <v>173</v>
      </c>
      <c r="AG6" s="88">
        <v>0.50862068965517238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1.8099999999999994</v>
      </c>
      <c r="F7" s="85" t="s">
        <v>145</v>
      </c>
      <c r="G7" s="86">
        <v>1.9955752212389382</v>
      </c>
      <c r="H7" s="85" t="s">
        <v>145</v>
      </c>
      <c r="I7" s="87">
        <v>0.33628318584070799</v>
      </c>
      <c r="J7" s="85" t="s">
        <v>177</v>
      </c>
      <c r="K7" s="87">
        <v>0.27692307692307694</v>
      </c>
      <c r="L7" s="85" t="s">
        <v>145</v>
      </c>
      <c r="M7" s="88">
        <v>0.29836705715299966</v>
      </c>
      <c r="N7" s="85" t="s">
        <v>127</v>
      </c>
      <c r="O7" s="88">
        <v>0.15730337078651685</v>
      </c>
      <c r="P7" s="85" t="s">
        <v>127</v>
      </c>
      <c r="Q7" s="89">
        <v>9096.7365967365968</v>
      </c>
      <c r="R7" s="85" t="s">
        <v>128</v>
      </c>
      <c r="S7" s="89">
        <v>-7806.7415730337079</v>
      </c>
      <c r="T7" s="85" t="s">
        <v>172</v>
      </c>
      <c r="U7" s="87">
        <v>5.128205128205128E-2</v>
      </c>
      <c r="V7" s="85" t="s">
        <v>172</v>
      </c>
      <c r="W7" s="87">
        <v>0.11538461538461539</v>
      </c>
      <c r="X7" s="85" t="s">
        <v>129</v>
      </c>
      <c r="Y7" s="88">
        <v>0.28026315789473683</v>
      </c>
      <c r="Z7" s="85" t="s">
        <v>127</v>
      </c>
      <c r="AA7" s="88">
        <v>0.21669341894060995</v>
      </c>
      <c r="AB7" s="85" t="s">
        <v>183</v>
      </c>
      <c r="AC7" s="88">
        <v>0.6</v>
      </c>
      <c r="AD7" s="85" t="s">
        <v>172</v>
      </c>
      <c r="AE7" s="88">
        <v>0.42268041237113402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0.35955056179775313</v>
      </c>
      <c r="F8" s="85" t="s">
        <v>222</v>
      </c>
      <c r="G8" s="86">
        <v>2</v>
      </c>
      <c r="H8" s="85" t="s">
        <v>171</v>
      </c>
      <c r="I8" s="87">
        <v>0.30337078651685395</v>
      </c>
      <c r="J8" s="85" t="s">
        <v>172</v>
      </c>
      <c r="K8" s="87">
        <v>0.30769230769230771</v>
      </c>
      <c r="L8" s="85" t="s">
        <v>173</v>
      </c>
      <c r="M8" s="88">
        <v>0.29820051413881749</v>
      </c>
      <c r="N8" s="85" t="s">
        <v>200</v>
      </c>
      <c r="O8" s="88">
        <v>0.16470588235294117</v>
      </c>
      <c r="P8" s="85" t="s">
        <v>177</v>
      </c>
      <c r="Q8" s="89">
        <v>8923.5668789808915</v>
      </c>
      <c r="R8" s="85" t="s">
        <v>184</v>
      </c>
      <c r="S8" s="89">
        <v>-8053.333333333333</v>
      </c>
      <c r="T8" s="85" t="s">
        <v>127</v>
      </c>
      <c r="U8" s="87">
        <v>9.8039215686274508E-2</v>
      </c>
      <c r="V8" s="85" t="s">
        <v>129</v>
      </c>
      <c r="W8" s="87">
        <v>0.1</v>
      </c>
      <c r="X8" s="85" t="s">
        <v>145</v>
      </c>
      <c r="Y8" s="88">
        <v>0.28026269080582178</v>
      </c>
      <c r="Z8" s="85" t="s">
        <v>183</v>
      </c>
      <c r="AA8" s="88">
        <v>0.21052631578947367</v>
      </c>
      <c r="AB8" s="85" t="s">
        <v>173</v>
      </c>
      <c r="AC8" s="88">
        <v>0.5842696629213483</v>
      </c>
      <c r="AD8" s="85" t="s">
        <v>171</v>
      </c>
      <c r="AE8" s="88">
        <v>0.41428571428571431</v>
      </c>
      <c r="AF8" s="85" t="s">
        <v>177</v>
      </c>
      <c r="AG8" s="88">
        <v>0.45222929936305734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-1.0000000000000071</v>
      </c>
      <c r="D9" s="85" t="s">
        <v>145</v>
      </c>
      <c r="E9" s="97">
        <v>-1.474926253687326E-3</v>
      </c>
      <c r="F9" s="85" t="s">
        <v>172</v>
      </c>
      <c r="G9" s="86">
        <v>2.0384615384615383</v>
      </c>
      <c r="H9" s="85" t="s">
        <v>200</v>
      </c>
      <c r="I9" s="87">
        <v>0.3</v>
      </c>
      <c r="J9" s="85" t="s">
        <v>145</v>
      </c>
      <c r="K9" s="87">
        <v>0.33185840707964603</v>
      </c>
      <c r="L9" s="85" t="s">
        <v>223</v>
      </c>
      <c r="M9" s="88">
        <v>0.29411764705882354</v>
      </c>
      <c r="N9" s="85" t="s">
        <v>145</v>
      </c>
      <c r="O9" s="88">
        <v>0.16737664181753639</v>
      </c>
      <c r="P9" s="85" t="s">
        <v>129</v>
      </c>
      <c r="Q9" s="89">
        <v>8701.1049723756914</v>
      </c>
      <c r="R9" s="85" t="s">
        <v>127</v>
      </c>
      <c r="S9" s="89">
        <v>-8253.0612244897966</v>
      </c>
      <c r="T9" s="85" t="s">
        <v>171</v>
      </c>
      <c r="U9" s="87">
        <v>0.10112359550561797</v>
      </c>
      <c r="V9" s="85" t="s">
        <v>128</v>
      </c>
      <c r="W9" s="87">
        <v>8.7301587301587297E-2</v>
      </c>
      <c r="X9" s="85" t="s">
        <v>183</v>
      </c>
      <c r="Y9" s="88">
        <v>0.26315789473684209</v>
      </c>
      <c r="Z9" s="85" t="s">
        <v>184</v>
      </c>
      <c r="AA9" s="88">
        <v>0.20895522388059701</v>
      </c>
      <c r="AB9" s="85" t="s">
        <v>128</v>
      </c>
      <c r="AC9" s="88">
        <v>0.58333333333333337</v>
      </c>
      <c r="AD9" s="85" t="s">
        <v>145</v>
      </c>
      <c r="AE9" s="88">
        <v>0.39328743545611017</v>
      </c>
      <c r="AF9" s="85" t="s">
        <v>145</v>
      </c>
      <c r="AG9" s="88">
        <v>0.43307555026769778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-0.49487179487179506</v>
      </c>
      <c r="F10" s="85" t="s">
        <v>171</v>
      </c>
      <c r="G10" s="86">
        <v>2.0449438202247192</v>
      </c>
      <c r="H10" s="85" t="s">
        <v>173</v>
      </c>
      <c r="I10" s="87">
        <v>0.28888888888888886</v>
      </c>
      <c r="J10" s="85" t="s">
        <v>171</v>
      </c>
      <c r="K10" s="87">
        <v>0.34831460674157305</v>
      </c>
      <c r="L10" s="85" t="s">
        <v>171</v>
      </c>
      <c r="M10" s="88">
        <v>0.28360215053763443</v>
      </c>
      <c r="N10" s="85" t="s">
        <v>128</v>
      </c>
      <c r="O10" s="88">
        <v>0.17082533589251439</v>
      </c>
      <c r="P10" s="85" t="s">
        <v>145</v>
      </c>
      <c r="Q10" s="89">
        <v>8634.6222486615115</v>
      </c>
      <c r="R10" s="85" t="s">
        <v>145</v>
      </c>
      <c r="S10" s="89">
        <v>-8268.0805938494159</v>
      </c>
      <c r="T10" s="85" t="s">
        <v>173</v>
      </c>
      <c r="U10" s="87">
        <v>0.1111111111111111</v>
      </c>
      <c r="V10" s="85" t="s">
        <v>173</v>
      </c>
      <c r="W10" s="87">
        <v>6.6666666666666666E-2</v>
      </c>
      <c r="X10" s="85" t="s">
        <v>184</v>
      </c>
      <c r="Y10" s="88">
        <v>0.23880597014925373</v>
      </c>
      <c r="Z10" s="85" t="s">
        <v>145</v>
      </c>
      <c r="AA10" s="88">
        <v>0.20624778132765353</v>
      </c>
      <c r="AB10" s="85" t="s">
        <v>145</v>
      </c>
      <c r="AC10" s="88">
        <v>0.57631412286257122</v>
      </c>
      <c r="AD10" s="85" t="s">
        <v>177</v>
      </c>
      <c r="AE10" s="88">
        <v>0.36263736263736263</v>
      </c>
      <c r="AF10" s="85" t="s">
        <v>129</v>
      </c>
      <c r="AG10" s="88">
        <v>0.43093922651933703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-38.600000000000016</v>
      </c>
      <c r="D11" s="85" t="s">
        <v>128</v>
      </c>
      <c r="E11" s="97">
        <v>-3.4769841269841271</v>
      </c>
      <c r="F11" s="85" t="s">
        <v>173</v>
      </c>
      <c r="G11" s="86">
        <v>2.088888888888889</v>
      </c>
      <c r="H11" s="85" t="s">
        <v>172</v>
      </c>
      <c r="I11" s="87">
        <v>0.26923076923076922</v>
      </c>
      <c r="J11" s="85" t="s">
        <v>128</v>
      </c>
      <c r="K11" s="87">
        <v>0.35714285714285715</v>
      </c>
      <c r="L11" s="85" t="s">
        <v>184</v>
      </c>
      <c r="M11" s="88">
        <v>0.27611940298507465</v>
      </c>
      <c r="N11" s="85" t="s">
        <v>171</v>
      </c>
      <c r="O11" s="88">
        <v>0.17473118279569894</v>
      </c>
      <c r="P11" s="85" t="s">
        <v>184</v>
      </c>
      <c r="Q11" s="89">
        <v>8135.135135135135</v>
      </c>
      <c r="R11" s="85" t="s">
        <v>171</v>
      </c>
      <c r="S11" s="89">
        <v>-8504.6153846153848</v>
      </c>
      <c r="T11" s="85" t="s">
        <v>145</v>
      </c>
      <c r="U11" s="87">
        <v>0.11799410029498525</v>
      </c>
      <c r="V11" s="85" t="s">
        <v>184</v>
      </c>
      <c r="W11" s="87">
        <v>0</v>
      </c>
      <c r="X11" s="85" t="s">
        <v>200</v>
      </c>
      <c r="Y11" s="88">
        <v>0.23529411764705882</v>
      </c>
      <c r="Z11" s="85" t="s">
        <v>171</v>
      </c>
      <c r="AA11" s="88">
        <v>0.18817204301075269</v>
      </c>
      <c r="AB11" s="85" t="s">
        <v>127</v>
      </c>
      <c r="AC11" s="88">
        <v>0.57435897435897432</v>
      </c>
      <c r="AD11" s="85" t="s">
        <v>173</v>
      </c>
      <c r="AE11" s="88">
        <v>0.33333333333333331</v>
      </c>
      <c r="AF11" s="85" t="s">
        <v>128</v>
      </c>
      <c r="AG11" s="88">
        <v>0.42499999999999999</v>
      </c>
      <c r="AH11" s="85" t="s">
        <v>184</v>
      </c>
      <c r="AI11" s="92">
        <v>68300</v>
      </c>
    </row>
    <row r="12" spans="1:35" x14ac:dyDescent="0.4">
      <c r="A12" s="82">
        <v>10</v>
      </c>
      <c r="B12" s="83" t="s">
        <v>184</v>
      </c>
      <c r="C12" s="84">
        <v>-140.79999999999998</v>
      </c>
      <c r="D12" s="85" t="s">
        <v>173</v>
      </c>
      <c r="E12" s="97">
        <v>-6.5644444444444439</v>
      </c>
      <c r="F12" s="85" t="s">
        <v>128</v>
      </c>
      <c r="G12" s="86">
        <v>2.0952380952380953</v>
      </c>
      <c r="H12" s="85" t="s">
        <v>128</v>
      </c>
      <c r="I12" s="87">
        <v>0.26190476190476192</v>
      </c>
      <c r="J12" s="85" t="s">
        <v>173</v>
      </c>
      <c r="K12" s="87">
        <v>0.37777777777777777</v>
      </c>
      <c r="L12" s="85" t="s">
        <v>128</v>
      </c>
      <c r="M12" s="88">
        <v>0.2687140115163148</v>
      </c>
      <c r="N12" s="85" t="s">
        <v>173</v>
      </c>
      <c r="O12" s="88">
        <v>0.18766066838046272</v>
      </c>
      <c r="P12" s="85" t="s">
        <v>183</v>
      </c>
      <c r="Q12" s="89">
        <v>7860</v>
      </c>
      <c r="R12" s="85" t="s">
        <v>172</v>
      </c>
      <c r="S12" s="89">
        <v>-8579.347826086956</v>
      </c>
      <c r="T12" s="85" t="s">
        <v>128</v>
      </c>
      <c r="U12" s="87">
        <v>0.13492063492063491</v>
      </c>
      <c r="V12" s="85" t="s">
        <v>200</v>
      </c>
      <c r="W12" s="87">
        <v>0</v>
      </c>
      <c r="X12" s="85" t="s">
        <v>222</v>
      </c>
      <c r="Y12" s="88">
        <v>0.23076923076923078</v>
      </c>
      <c r="Z12" s="85" t="s">
        <v>128</v>
      </c>
      <c r="AA12" s="88">
        <v>0.1765834932821497</v>
      </c>
      <c r="AB12" s="85" t="s">
        <v>172</v>
      </c>
      <c r="AC12" s="88">
        <v>0.56338028169014087</v>
      </c>
      <c r="AD12" s="85" t="s">
        <v>128</v>
      </c>
      <c r="AE12" s="88">
        <v>0.28804347826086957</v>
      </c>
      <c r="AF12" s="85" t="s">
        <v>172</v>
      </c>
      <c r="AG12" s="88">
        <v>0.42358078602620086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-295.39999999999998</v>
      </c>
      <c r="D13" s="85" t="s">
        <v>184</v>
      </c>
      <c r="E13" s="97">
        <v>-8.7999999999999989</v>
      </c>
      <c r="F13" s="85" t="s">
        <v>184</v>
      </c>
      <c r="G13" s="86">
        <v>2.125</v>
      </c>
      <c r="H13" s="85" t="s">
        <v>129</v>
      </c>
      <c r="I13" s="87">
        <v>0.24444444444444444</v>
      </c>
      <c r="J13" s="85" t="s">
        <v>129</v>
      </c>
      <c r="K13" s="87">
        <v>0.48888888888888887</v>
      </c>
      <c r="L13" s="85" t="s">
        <v>183</v>
      </c>
      <c r="M13" s="88">
        <v>0.26315789473684209</v>
      </c>
      <c r="N13" s="85" t="s">
        <v>129</v>
      </c>
      <c r="O13" s="88">
        <v>0.19210526315789472</v>
      </c>
      <c r="P13" s="85" t="s">
        <v>173</v>
      </c>
      <c r="Q13" s="89">
        <v>6945.6896551724139</v>
      </c>
      <c r="R13" s="85" t="s">
        <v>129</v>
      </c>
      <c r="S13" s="89">
        <v>-9189.7260273972606</v>
      </c>
      <c r="T13" s="85" t="s">
        <v>177</v>
      </c>
      <c r="U13" s="87">
        <v>0.15384615384615385</v>
      </c>
      <c r="V13" s="85" t="s">
        <v>183</v>
      </c>
      <c r="W13" s="87">
        <v>0</v>
      </c>
      <c r="X13" s="85" t="s">
        <v>173</v>
      </c>
      <c r="Y13" s="88">
        <v>0.22879177377892032</v>
      </c>
      <c r="Z13" s="85" t="s">
        <v>177</v>
      </c>
      <c r="AA13" s="88">
        <v>0.17533718689788053</v>
      </c>
      <c r="AB13" s="85" t="s">
        <v>171</v>
      </c>
      <c r="AC13" s="88">
        <v>0.56221198156682028</v>
      </c>
      <c r="AD13" s="85" t="s">
        <v>129</v>
      </c>
      <c r="AE13" s="88">
        <v>0.25409836065573771</v>
      </c>
      <c r="AF13" s="85" t="s">
        <v>171</v>
      </c>
      <c r="AG13" s="88">
        <v>0.41232227488151657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-438.1</v>
      </c>
      <c r="D14" s="85" t="s">
        <v>223</v>
      </c>
      <c r="E14" s="97">
        <v>-12.35</v>
      </c>
      <c r="F14" s="85" t="s">
        <v>129</v>
      </c>
      <c r="G14" s="86">
        <v>2.2444444444444445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0.2381578947368421</v>
      </c>
      <c r="N14" s="85" t="s">
        <v>184</v>
      </c>
      <c r="O14" s="88">
        <v>0.22388059701492538</v>
      </c>
      <c r="P14" s="85" t="s">
        <v>172</v>
      </c>
      <c r="Q14" s="89">
        <v>6775.1091703056773</v>
      </c>
      <c r="R14" s="85" t="s">
        <v>222</v>
      </c>
      <c r="S14" s="89">
        <v>-12000</v>
      </c>
      <c r="T14" s="85" t="s">
        <v>184</v>
      </c>
      <c r="U14" s="87">
        <v>0.1875</v>
      </c>
      <c r="V14" s="85" t="s">
        <v>222</v>
      </c>
      <c r="W14" s="87">
        <v>0</v>
      </c>
      <c r="X14" s="85" t="s">
        <v>172</v>
      </c>
      <c r="Y14" s="88">
        <v>0.21321321321321321</v>
      </c>
      <c r="Z14" s="85" t="s">
        <v>129</v>
      </c>
      <c r="AA14" s="88">
        <v>0.16052631578947368</v>
      </c>
      <c r="AB14" s="85" t="s">
        <v>129</v>
      </c>
      <c r="AC14" s="88">
        <v>0.52112676056338025</v>
      </c>
      <c r="AD14" s="85" t="s">
        <v>223</v>
      </c>
      <c r="AE14" s="88">
        <v>0.25</v>
      </c>
      <c r="AF14" s="85" t="s">
        <v>127</v>
      </c>
      <c r="AG14" s="88">
        <v>0.41025641025641024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-1324.2</v>
      </c>
      <c r="D15" s="85" t="s">
        <v>129</v>
      </c>
      <c r="E15" s="97">
        <v>-14.713333333333335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200</v>
      </c>
      <c r="Q15" s="89">
        <v>6765.5172413793107</v>
      </c>
      <c r="R15" s="85" t="s">
        <v>223</v>
      </c>
      <c r="S15" s="89">
        <v>-12425</v>
      </c>
      <c r="T15" s="85" t="s">
        <v>129</v>
      </c>
      <c r="U15" s="87">
        <v>0.18888888888888888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678</v>
      </c>
      <c r="C2" s="151"/>
      <c r="E2" s="62" t="s">
        <v>67</v>
      </c>
      <c r="F2" s="59" t="s">
        <v>23</v>
      </c>
      <c r="G2" s="46">
        <v>1213</v>
      </c>
      <c r="H2" s="132">
        <f>IF(B$17=0,0,G2/B$17)</f>
        <v>0.72159428911362289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-16.296296296296298</v>
      </c>
      <c r="P2" s="118">
        <v>675</v>
      </c>
      <c r="Q2" s="102">
        <v>-11000</v>
      </c>
    </row>
    <row r="3" spans="1:17" x14ac:dyDescent="0.4">
      <c r="A3" s="55" t="s">
        <v>8</v>
      </c>
      <c r="B3" s="152">
        <v>5634</v>
      </c>
      <c r="C3" s="153"/>
      <c r="E3" s="63" t="s">
        <v>65</v>
      </c>
      <c r="F3" s="60" t="s">
        <v>21</v>
      </c>
      <c r="G3" s="47">
        <v>869</v>
      </c>
      <c r="H3" s="133">
        <f>IF(B$17=0,0,G3/B$17)</f>
        <v>0.51695419393218323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-6.0606060606060606</v>
      </c>
      <c r="P3" s="119">
        <v>660</v>
      </c>
      <c r="Q3" s="103">
        <v>-4000</v>
      </c>
    </row>
    <row r="4" spans="1:17" x14ac:dyDescent="0.4">
      <c r="A4" s="55" t="s">
        <v>6</v>
      </c>
      <c r="B4" s="154">
        <v>-1.0000000000000071</v>
      </c>
      <c r="C4" s="155"/>
      <c r="E4" s="63" t="s">
        <v>73</v>
      </c>
      <c r="F4" s="60" t="s">
        <v>28</v>
      </c>
      <c r="G4" s="47">
        <v>848</v>
      </c>
      <c r="H4" s="133">
        <f>IF(B$17=0,0,G4/B$17)</f>
        <v>0.50446162998215349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9.6618357487922708</v>
      </c>
      <c r="P4" s="119">
        <v>621</v>
      </c>
      <c r="Q4" s="103">
        <v>6000</v>
      </c>
    </row>
    <row r="5" spans="1:17" x14ac:dyDescent="0.4">
      <c r="A5" s="55" t="s">
        <v>7</v>
      </c>
      <c r="B5" s="156">
        <f>IF(B$2=0,0,B$4/B$2)</f>
        <v>-1.474926253687326E-3</v>
      </c>
      <c r="C5" s="157"/>
      <c r="E5" s="63" t="s">
        <v>245</v>
      </c>
      <c r="F5" s="60" t="s">
        <v>246</v>
      </c>
      <c r="G5" s="47">
        <v>687</v>
      </c>
      <c r="H5" s="133">
        <f>IF(B$17=0,0,G5/B$17)</f>
        <v>0.40868530636525879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7.0921985815602833</v>
      </c>
      <c r="P5" s="119">
        <v>564</v>
      </c>
      <c r="Q5" s="103">
        <v>4000</v>
      </c>
    </row>
    <row r="6" spans="1:17" x14ac:dyDescent="0.4">
      <c r="A6" s="55" t="s">
        <v>1</v>
      </c>
      <c r="B6" s="146">
        <f>IF(B$2=0,0,(B$7*1+B$8*2+B$9*3)/B$2)</f>
        <v>1.9955752212389382</v>
      </c>
      <c r="C6" s="147"/>
      <c r="E6" s="63" t="s">
        <v>69</v>
      </c>
      <c r="F6" s="60" t="s">
        <v>12</v>
      </c>
      <c r="G6" s="47">
        <v>527</v>
      </c>
      <c r="H6" s="133">
        <f>IF(B$17=0,0,G6/B$17)</f>
        <v>0.31350386674598452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-11.834319526627219</v>
      </c>
      <c r="P6" s="119">
        <v>507</v>
      </c>
      <c r="Q6" s="103">
        <v>-6000</v>
      </c>
    </row>
    <row r="7" spans="1:17" x14ac:dyDescent="0.4">
      <c r="A7" s="55" t="s">
        <v>2</v>
      </c>
      <c r="B7" s="47">
        <v>228</v>
      </c>
      <c r="C7" s="39">
        <f>IF(B$2=0,0,B7/B$2)</f>
        <v>0.33628318584070799</v>
      </c>
      <c r="E7" s="63" t="s">
        <v>68</v>
      </c>
      <c r="F7" s="60" t="s">
        <v>24</v>
      </c>
      <c r="G7" s="47">
        <v>508</v>
      </c>
      <c r="H7" s="133">
        <f>IF(B$17=0,0,G7/B$17)</f>
        <v>0.30220107079119574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22.075055187637968</v>
      </c>
      <c r="P7" s="120">
        <v>453</v>
      </c>
      <c r="Q7" s="104">
        <v>10000</v>
      </c>
    </row>
    <row r="8" spans="1:17" x14ac:dyDescent="0.4">
      <c r="A8" s="55" t="s">
        <v>3</v>
      </c>
      <c r="B8" s="47">
        <v>225</v>
      </c>
      <c r="C8" s="39">
        <f>IF(B$2=0,0,B8/B$2)</f>
        <v>0.33185840707964603</v>
      </c>
      <c r="E8" s="63" t="s">
        <v>70</v>
      </c>
      <c r="F8" s="60" t="s">
        <v>25</v>
      </c>
      <c r="G8" s="47">
        <v>295</v>
      </c>
      <c r="H8" s="133">
        <f>IF(B$17=0,0,G8/B$17)</f>
        <v>0.17549077929803689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225</v>
      </c>
      <c r="C9" s="40">
        <f t="shared" ref="C9" si="1">IF(B$2=0,0,B9/B$2)</f>
        <v>0.33185840707964603</v>
      </c>
      <c r="E9" s="63" t="s">
        <v>90</v>
      </c>
      <c r="F9" s="60" t="s">
        <v>45</v>
      </c>
      <c r="G9" s="47">
        <v>211</v>
      </c>
      <c r="H9" s="133">
        <f>IF(B$17=0,0,G9/B$17)</f>
        <v>0.1255205234979179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80</v>
      </c>
      <c r="C10" s="40">
        <f>IF(B$2=0,0,B10/B$2)</f>
        <v>0.11799410029498525</v>
      </c>
      <c r="E10" s="63" t="s">
        <v>66</v>
      </c>
      <c r="F10" s="60" t="s">
        <v>22</v>
      </c>
      <c r="G10" s="47">
        <v>202</v>
      </c>
      <c r="H10" s="133">
        <f>IF(B$17=0,0,G10/B$17)</f>
        <v>0.12016656751933373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-1.5876106194690256</v>
      </c>
      <c r="P10" s="118">
        <v>226</v>
      </c>
      <c r="Q10" s="106">
        <v>-358.79999999999978</v>
      </c>
    </row>
    <row r="11" spans="1:17" x14ac:dyDescent="0.4">
      <c r="A11" s="56" t="s">
        <v>140</v>
      </c>
      <c r="B11" s="48">
        <v>80</v>
      </c>
      <c r="C11" s="40">
        <f>IF(B$2=0,0,B11/B$2)</f>
        <v>0.11799410029498525</v>
      </c>
      <c r="E11" s="63" t="s">
        <v>71</v>
      </c>
      <c r="F11" s="60" t="s">
        <v>26</v>
      </c>
      <c r="G11" s="47">
        <v>166</v>
      </c>
      <c r="H11" s="133">
        <f>IF(B$17=0,0,G11/B$17)</f>
        <v>9.8750743604997027E-2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0.3641592920353981</v>
      </c>
      <c r="P11" s="119">
        <v>226</v>
      </c>
      <c r="Q11" s="107">
        <v>82.299999999999969</v>
      </c>
    </row>
    <row r="12" spans="1:17" x14ac:dyDescent="0.4">
      <c r="A12" s="57" t="s">
        <v>160</v>
      </c>
      <c r="B12" s="49">
        <v>56</v>
      </c>
      <c r="C12" s="42">
        <f>IF(B$2=0,0,B12/B$2)</f>
        <v>8.2595870206489674E-2</v>
      </c>
      <c r="E12" s="63" t="s">
        <v>72</v>
      </c>
      <c r="F12" s="60" t="s">
        <v>27</v>
      </c>
      <c r="G12" s="47">
        <v>117</v>
      </c>
      <c r="H12" s="133">
        <f>IF(B$17=0,0,G12/B$17)</f>
        <v>6.9601427721594292E-2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1.2190265486725662</v>
      </c>
      <c r="P12" s="120">
        <v>226</v>
      </c>
      <c r="Q12" s="108">
        <v>275.49999999999994</v>
      </c>
    </row>
    <row r="13" spans="1:17" x14ac:dyDescent="0.4">
      <c r="A13" s="58" t="s">
        <v>122</v>
      </c>
      <c r="B13" s="50">
        <v>1579</v>
      </c>
      <c r="C13" s="44">
        <f>IF(B$3=0,0,B13/B$3)</f>
        <v>0.28026269080582178</v>
      </c>
      <c r="E13" s="63" t="s">
        <v>87</v>
      </c>
      <c r="F13" s="60" t="s">
        <v>42</v>
      </c>
      <c r="G13" s="47">
        <v>97</v>
      </c>
      <c r="H13" s="133">
        <f>IF(B$17=0,0,G13/B$17)</f>
        <v>5.7703747769185007E-2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1162</v>
      </c>
      <c r="C14" s="39">
        <f>IF(B$3=0,0,B14/B$3)</f>
        <v>0.20624778132765353</v>
      </c>
      <c r="E14" s="63" t="s">
        <v>84</v>
      </c>
      <c r="F14" s="60" t="s">
        <v>39</v>
      </c>
      <c r="G14" s="47">
        <v>83</v>
      </c>
      <c r="H14" s="133">
        <f>IF(B$17=0,0,G14/B$17)</f>
        <v>4.9375371802498513E-2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910</v>
      </c>
      <c r="C15" s="37">
        <f>IF(B$13=0,0,B15/B$13)</f>
        <v>0.57631412286257122</v>
      </c>
      <c r="E15" s="63" t="s">
        <v>82</v>
      </c>
      <c r="F15" s="60" t="s">
        <v>37</v>
      </c>
      <c r="G15" s="47">
        <v>46</v>
      </c>
      <c r="H15" s="133">
        <f>IF(B$17=0,0,G15/B$17)</f>
        <v>2.7364663890541343E-2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22.064444444444469</v>
      </c>
      <c r="P15" s="118">
        <v>180</v>
      </c>
      <c r="Q15" s="106">
        <v>3971.6000000000045</v>
      </c>
    </row>
    <row r="16" spans="1:17" x14ac:dyDescent="0.4">
      <c r="A16" s="54" t="s">
        <v>125</v>
      </c>
      <c r="B16" s="46">
        <v>457</v>
      </c>
      <c r="C16" s="37">
        <f>IF(B$14=0,0,B16/B$14)</f>
        <v>0.39328743545611017</v>
      </c>
      <c r="E16" s="63" t="s">
        <v>79</v>
      </c>
      <c r="F16" s="60" t="s">
        <v>34</v>
      </c>
      <c r="G16" s="47">
        <v>45</v>
      </c>
      <c r="H16" s="133">
        <f>IF(B$17=0,0,G16/B$17)</f>
        <v>2.676977989292088E-2</v>
      </c>
      <c r="I16" s="94">
        <v>7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1681</v>
      </c>
      <c r="C17" s="37">
        <f>IF(B$3=0,0,B17/B$3)</f>
        <v>0.29836705715299966</v>
      </c>
      <c r="E17" s="63" t="s">
        <v>92</v>
      </c>
      <c r="F17" s="60" t="s">
        <v>47</v>
      </c>
      <c r="G17" s="47">
        <v>33</v>
      </c>
      <c r="H17" s="133">
        <f>IF(B$17=0,0,G17/B$17)</f>
        <v>1.9631171921475312E-2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13.168749999999998</v>
      </c>
      <c r="P17" s="119">
        <v>32</v>
      </c>
      <c r="Q17" s="107">
        <v>421.39999999999992</v>
      </c>
    </row>
    <row r="18" spans="1:17" x14ac:dyDescent="0.4">
      <c r="A18" s="55" t="s">
        <v>12</v>
      </c>
      <c r="B18" s="47">
        <v>728</v>
      </c>
      <c r="C18" s="39">
        <f>IF(B$17=0,0,B18/B$17)</f>
        <v>0.43307555026769778</v>
      </c>
      <c r="E18" s="63" t="s">
        <v>180</v>
      </c>
      <c r="F18" s="60" t="s">
        <v>181</v>
      </c>
      <c r="G18" s="47">
        <v>26</v>
      </c>
      <c r="H18" s="133">
        <f>IF(B$17=0,0,G18/B$17)</f>
        <v>1.5466983938132063E-2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9.846666666666664</v>
      </c>
      <c r="P18" s="119">
        <v>90</v>
      </c>
      <c r="Q18" s="107">
        <v>886.19999999999982</v>
      </c>
    </row>
    <row r="19" spans="1:17" x14ac:dyDescent="0.4">
      <c r="A19" s="55" t="s">
        <v>11</v>
      </c>
      <c r="B19" s="47">
        <v>953</v>
      </c>
      <c r="C19" s="39">
        <f>IF(B$17=0,0,B19/B$17)</f>
        <v>0.56692444973230216</v>
      </c>
      <c r="E19" s="63" t="s">
        <v>80</v>
      </c>
      <c r="F19" s="60" t="s">
        <v>35</v>
      </c>
      <c r="G19" s="47">
        <v>25</v>
      </c>
      <c r="H19" s="133">
        <f>IF(B$17=0,0,G19/B$17)</f>
        <v>1.4872099940511601E-2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5.2154761904761893</v>
      </c>
      <c r="P19" s="119">
        <v>252</v>
      </c>
      <c r="Q19" s="107">
        <v>1314.2999999999997</v>
      </c>
    </row>
    <row r="20" spans="1:17" x14ac:dyDescent="0.4">
      <c r="A20" s="55" t="s">
        <v>13</v>
      </c>
      <c r="B20" s="47">
        <v>943</v>
      </c>
      <c r="C20" s="39">
        <f>IF(B$3=0,0,B20/B$3)</f>
        <v>0.16737664181753639</v>
      </c>
      <c r="E20" s="63" t="s">
        <v>74</v>
      </c>
      <c r="F20" s="60" t="s">
        <v>29</v>
      </c>
      <c r="G20" s="47">
        <v>11</v>
      </c>
      <c r="H20" s="133">
        <f>IF(B$17=0,0,G20/B$17)</f>
        <v>6.5437239738251043E-3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0.74230769230769167</v>
      </c>
      <c r="P20" s="119">
        <v>156</v>
      </c>
      <c r="Q20" s="107">
        <v>115.7999999999999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9</v>
      </c>
      <c r="H21" s="133">
        <f>IF(B$17=0,0,G21/B$17)</f>
        <v>5.353955978584176E-3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-0.53932584269662653</v>
      </c>
      <c r="P21" s="119">
        <v>178</v>
      </c>
      <c r="Q21" s="107">
        <v>-95.999999999999531</v>
      </c>
    </row>
    <row r="22" spans="1:17" x14ac:dyDescent="0.4">
      <c r="A22" s="55" t="s">
        <v>192</v>
      </c>
      <c r="B22" s="47">
        <v>31</v>
      </c>
      <c r="C22" s="135">
        <v>3</v>
      </c>
      <c r="E22" s="63" t="s">
        <v>86</v>
      </c>
      <c r="F22" s="60" t="s">
        <v>41</v>
      </c>
      <c r="G22" s="47">
        <v>7</v>
      </c>
      <c r="H22" s="133">
        <f>IF(B$17=0,0,G22/B$17)</f>
        <v>4.1641879833432477E-3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8634.6222486615115</v>
      </c>
      <c r="C23" s="41">
        <v>14514800</v>
      </c>
      <c r="E23" s="63" t="s">
        <v>93</v>
      </c>
      <c r="F23" s="60" t="s">
        <v>48</v>
      </c>
      <c r="G23" s="47">
        <v>7</v>
      </c>
      <c r="H23" s="133">
        <f>IF(B$17=0,0,G23/B$17)</f>
        <v>4.1641879833432477E-3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-7.4676923076923076</v>
      </c>
      <c r="P23" s="119">
        <v>130</v>
      </c>
      <c r="Q23" s="107">
        <v>-970.8</v>
      </c>
    </row>
    <row r="24" spans="1:17" x14ac:dyDescent="0.4">
      <c r="A24" s="57" t="s">
        <v>14</v>
      </c>
      <c r="B24" s="52">
        <f>IF(B$20=0,0,C24/B$20)</f>
        <v>-8268.0805938494159</v>
      </c>
      <c r="C24" s="45">
        <v>-7796800</v>
      </c>
      <c r="E24" s="63" t="s">
        <v>75</v>
      </c>
      <c r="F24" s="60" t="s">
        <v>30</v>
      </c>
      <c r="G24" s="47">
        <v>6</v>
      </c>
      <c r="H24" s="133">
        <f>IF(B$17=0,0,G24/B$17)</f>
        <v>3.569303985722784E-3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-17.77581699346403</v>
      </c>
      <c r="P24" s="119">
        <v>306</v>
      </c>
      <c r="Q24" s="107">
        <v>-5439.3999999999933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3.569303985722784E-3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3.569303985722784E-3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2.4849130280440185E-3</v>
      </c>
      <c r="E27" s="63" t="s">
        <v>91</v>
      </c>
      <c r="F27" s="60" t="s">
        <v>46</v>
      </c>
      <c r="G27" s="47">
        <v>5</v>
      </c>
      <c r="H27" s="133">
        <f>IF(B$17=0,0,G27/B$17)</f>
        <v>2.9744199881023199E-3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2.3795359904818562E-3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2.3795359904818562E-3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1.1897679952409281E-3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1.1897679952409281E-3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5.9488399762046404E-4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5.9488399762046404E-4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  <row r="666" spans="11:12" x14ac:dyDescent="0.4">
      <c r="K666" s="38">
        <v>664</v>
      </c>
      <c r="L666" s="99">
        <v>-58.700000000000017</v>
      </c>
    </row>
    <row r="667" spans="11:12" x14ac:dyDescent="0.4">
      <c r="K667" s="38">
        <v>665</v>
      </c>
      <c r="L667" s="99">
        <v>-41.100000000000016</v>
      </c>
    </row>
    <row r="668" spans="11:12" x14ac:dyDescent="0.4">
      <c r="K668" s="38">
        <v>666</v>
      </c>
      <c r="L668" s="99">
        <v>-1.0000000000000142</v>
      </c>
    </row>
    <row r="669" spans="11:12" x14ac:dyDescent="0.4">
      <c r="K669" s="38">
        <v>667</v>
      </c>
      <c r="L669" s="99">
        <v>-2.9000000000000141</v>
      </c>
    </row>
    <row r="670" spans="11:12" x14ac:dyDescent="0.4">
      <c r="K670" s="38">
        <v>668</v>
      </c>
      <c r="L670" s="99">
        <v>31.79999999999999</v>
      </c>
    </row>
    <row r="671" spans="11:12" x14ac:dyDescent="0.4">
      <c r="K671" s="38">
        <v>669</v>
      </c>
      <c r="L671" s="99">
        <v>-1.0000000000000071</v>
      </c>
    </row>
    <row r="672" spans="11:12" x14ac:dyDescent="0.4">
      <c r="K672" s="38">
        <v>670</v>
      </c>
      <c r="L672" s="99">
        <v>10.599999999999993</v>
      </c>
    </row>
    <row r="673" spans="11:12" x14ac:dyDescent="0.4">
      <c r="K673" s="38">
        <v>671</v>
      </c>
      <c r="L673" s="99">
        <v>-44.800000000000004</v>
      </c>
    </row>
    <row r="674" spans="11:12" x14ac:dyDescent="0.4">
      <c r="K674" s="38">
        <v>672</v>
      </c>
      <c r="L674" s="99">
        <v>-1.0000000000000071</v>
      </c>
    </row>
    <row r="675" spans="11:12" x14ac:dyDescent="0.4">
      <c r="K675" s="38">
        <v>673</v>
      </c>
      <c r="L675" s="99">
        <v>-2.0000000000000071</v>
      </c>
    </row>
    <row r="676" spans="11:12" x14ac:dyDescent="0.4">
      <c r="K676" s="38">
        <v>674</v>
      </c>
      <c r="L676" s="99">
        <v>-60.000000000000007</v>
      </c>
    </row>
    <row r="677" spans="11:12" x14ac:dyDescent="0.4">
      <c r="K677" s="38">
        <v>675</v>
      </c>
      <c r="L677" s="99">
        <v>-1.0000000000000071</v>
      </c>
    </row>
    <row r="678" spans="11:12" x14ac:dyDescent="0.4">
      <c r="K678" s="38">
        <v>676</v>
      </c>
      <c r="L678" s="99">
        <v>-2.3000000000000069</v>
      </c>
    </row>
    <row r="679" spans="11:12" x14ac:dyDescent="0.4">
      <c r="K679" s="38">
        <v>677</v>
      </c>
      <c r="L679" s="99">
        <v>33.699999999999996</v>
      </c>
    </row>
    <row r="680" spans="11:12" x14ac:dyDescent="0.4">
      <c r="K680" s="38">
        <v>678</v>
      </c>
      <c r="L680" s="99">
        <v>-1.0000000000000071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153</v>
      </c>
      <c r="C2" s="151"/>
      <c r="E2" s="62" t="s">
        <v>67</v>
      </c>
      <c r="F2" s="59" t="s">
        <v>23</v>
      </c>
      <c r="G2" s="46">
        <v>305</v>
      </c>
      <c r="H2" s="132">
        <f>IF(B$17=0,0,G2/B$17)</f>
        <v>0.71095571095571097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2117.1052631578946</v>
      </c>
      <c r="P2" s="118">
        <v>152</v>
      </c>
      <c r="Q2" s="102">
        <v>321800</v>
      </c>
    </row>
    <row r="3" spans="1:17" x14ac:dyDescent="0.4">
      <c r="A3" s="55" t="s">
        <v>8</v>
      </c>
      <c r="B3" s="152">
        <v>1246</v>
      </c>
      <c r="C3" s="153"/>
      <c r="E3" s="63" t="s">
        <v>73</v>
      </c>
      <c r="F3" s="60" t="s">
        <v>28</v>
      </c>
      <c r="G3" s="47">
        <v>245</v>
      </c>
      <c r="H3" s="133">
        <f>IF(B$17=0,0,G3/B$17)</f>
        <v>0.57109557109557108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1435.1351351351352</v>
      </c>
      <c r="P3" s="119">
        <v>148</v>
      </c>
      <c r="Q3" s="103">
        <v>212400</v>
      </c>
    </row>
    <row r="4" spans="1:17" x14ac:dyDescent="0.4">
      <c r="A4" s="55" t="s">
        <v>6</v>
      </c>
      <c r="B4" s="154">
        <v>1812.8000000000006</v>
      </c>
      <c r="C4" s="155"/>
      <c r="E4" s="63" t="s">
        <v>65</v>
      </c>
      <c r="F4" s="60" t="s">
        <v>21</v>
      </c>
      <c r="G4" s="47">
        <v>205</v>
      </c>
      <c r="H4" s="133">
        <f>IF(B$17=0,0,G4/B$17)</f>
        <v>0.47785547785547783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776.59574468085111</v>
      </c>
      <c r="P4" s="119">
        <v>141</v>
      </c>
      <c r="Q4" s="103">
        <v>109500</v>
      </c>
    </row>
    <row r="5" spans="1:17" x14ac:dyDescent="0.4">
      <c r="A5" s="55" t="s">
        <v>7</v>
      </c>
      <c r="B5" s="156">
        <f>IF(B$2=0,0,B$4/B$2)</f>
        <v>11.8483660130719</v>
      </c>
      <c r="C5" s="157"/>
      <c r="E5" s="63" t="s">
        <v>245</v>
      </c>
      <c r="F5" s="60" t="s">
        <v>246</v>
      </c>
      <c r="G5" s="47">
        <v>179</v>
      </c>
      <c r="H5" s="133">
        <f>IF(B$17=0,0,G5/B$17)</f>
        <v>0.41724941724941728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2429.4573643410854</v>
      </c>
      <c r="P5" s="119">
        <v>129</v>
      </c>
      <c r="Q5" s="103">
        <v>313400</v>
      </c>
    </row>
    <row r="6" spans="1:17" x14ac:dyDescent="0.4">
      <c r="A6" s="55" t="s">
        <v>1</v>
      </c>
      <c r="B6" s="146">
        <f>IF(B$2=0,0,(B$7*1+B$8*2+B$9*3)/B$2)</f>
        <v>1.7516339869281046</v>
      </c>
      <c r="C6" s="147"/>
      <c r="E6" s="63" t="s">
        <v>68</v>
      </c>
      <c r="F6" s="60" t="s">
        <v>24</v>
      </c>
      <c r="G6" s="47">
        <v>120</v>
      </c>
      <c r="H6" s="133">
        <f>IF(B$17=0,0,G6/B$17)</f>
        <v>0.27972027972027974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198.24561403508773</v>
      </c>
      <c r="P6" s="119">
        <v>114</v>
      </c>
      <c r="Q6" s="103">
        <v>22600</v>
      </c>
    </row>
    <row r="7" spans="1:17" x14ac:dyDescent="0.4">
      <c r="A7" s="55" t="s">
        <v>2</v>
      </c>
      <c r="B7" s="47">
        <v>74</v>
      </c>
      <c r="C7" s="39">
        <f>IF(B$2=0,0,B7/B$2)</f>
        <v>0.48366013071895425</v>
      </c>
      <c r="E7" s="63" t="s">
        <v>69</v>
      </c>
      <c r="F7" s="60" t="s">
        <v>12</v>
      </c>
      <c r="G7" s="47">
        <v>115</v>
      </c>
      <c r="H7" s="133">
        <f>IF(B$17=0,0,G7/B$17)</f>
        <v>0.26806526806526809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879.79797979797979</v>
      </c>
      <c r="P7" s="120">
        <v>99</v>
      </c>
      <c r="Q7" s="104">
        <v>87100</v>
      </c>
    </row>
    <row r="8" spans="1:17" x14ac:dyDescent="0.4">
      <c r="A8" s="55" t="s">
        <v>3</v>
      </c>
      <c r="B8" s="47">
        <v>43</v>
      </c>
      <c r="C8" s="39">
        <f>IF(B$2=0,0,B8/B$2)</f>
        <v>0.28104575163398693</v>
      </c>
      <c r="E8" s="63" t="s">
        <v>70</v>
      </c>
      <c r="F8" s="60" t="s">
        <v>25</v>
      </c>
      <c r="G8" s="47">
        <v>69</v>
      </c>
      <c r="H8" s="133">
        <f>IF(B$17=0,0,G8/B$17)</f>
        <v>0.16083916083916083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0.23529411764705882</v>
      </c>
      <c r="E9" s="63" t="s">
        <v>90</v>
      </c>
      <c r="F9" s="60" t="s">
        <v>45</v>
      </c>
      <c r="G9" s="47">
        <v>68</v>
      </c>
      <c r="H9" s="133">
        <f>IF(B$17=0,0,G9/B$17)</f>
        <v>0.1585081585081585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9.8039215686274508E-2</v>
      </c>
      <c r="E10" s="63" t="s">
        <v>66</v>
      </c>
      <c r="F10" s="60" t="s">
        <v>22</v>
      </c>
      <c r="G10" s="47">
        <v>53</v>
      </c>
      <c r="H10" s="133">
        <f>IF(B$17=0,0,G10/B$17)</f>
        <v>0.12354312354312354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13.275</v>
      </c>
      <c r="P10" s="118">
        <v>48</v>
      </c>
      <c r="Q10" s="106">
        <v>637.20000000000005</v>
      </c>
    </row>
    <row r="11" spans="1:17" x14ac:dyDescent="0.4">
      <c r="A11" s="56" t="s">
        <v>140</v>
      </c>
      <c r="B11" s="48">
        <v>27</v>
      </c>
      <c r="C11" s="40">
        <f>IF(B$2=0,0,B11/B$2)</f>
        <v>0.17647058823529413</v>
      </c>
      <c r="E11" s="63" t="s">
        <v>71</v>
      </c>
      <c r="F11" s="60" t="s">
        <v>26</v>
      </c>
      <c r="G11" s="47">
        <v>37</v>
      </c>
      <c r="H11" s="133">
        <f>IF(B$17=0,0,G11/B$17)</f>
        <v>8.6247086247086241E-2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10.271111111111111</v>
      </c>
      <c r="P11" s="119">
        <v>45</v>
      </c>
      <c r="Q11" s="107">
        <v>462.2</v>
      </c>
    </row>
    <row r="12" spans="1:17" x14ac:dyDescent="0.4">
      <c r="A12" s="57" t="s">
        <v>160</v>
      </c>
      <c r="B12" s="49">
        <v>21</v>
      </c>
      <c r="C12" s="42">
        <f>IF(B$2=0,0,B12/B$2)</f>
        <v>0.13725490196078433</v>
      </c>
      <c r="E12" s="63" t="s">
        <v>87</v>
      </c>
      <c r="F12" s="60" t="s">
        <v>42</v>
      </c>
      <c r="G12" s="47">
        <v>32</v>
      </c>
      <c r="H12" s="133">
        <f>IF(B$17=0,0,G12/B$17)</f>
        <v>7.4592074592074592E-2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11.890000000000002</v>
      </c>
      <c r="P12" s="120">
        <v>60</v>
      </c>
      <c r="Q12" s="108">
        <v>713.40000000000009</v>
      </c>
    </row>
    <row r="13" spans="1:17" x14ac:dyDescent="0.4">
      <c r="A13" s="58" t="s">
        <v>122</v>
      </c>
      <c r="B13" s="50">
        <v>390</v>
      </c>
      <c r="C13" s="44">
        <f>IF(B$3=0,0,B13/B$3)</f>
        <v>0.3130016051364366</v>
      </c>
      <c r="E13" s="63" t="s">
        <v>72</v>
      </c>
      <c r="F13" s="60" t="s">
        <v>27</v>
      </c>
      <c r="G13" s="47">
        <v>30</v>
      </c>
      <c r="H13" s="133">
        <f>IF(B$17=0,0,G13/B$17)</f>
        <v>6.9930069930069935E-2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270</v>
      </c>
      <c r="C14" s="39">
        <f>IF(B$3=0,0,B14/B$3)</f>
        <v>0.21669341894060995</v>
      </c>
      <c r="E14" s="63" t="s">
        <v>84</v>
      </c>
      <c r="F14" s="60" t="s">
        <v>39</v>
      </c>
      <c r="G14" s="47">
        <v>25</v>
      </c>
      <c r="H14" s="133">
        <f>IF(B$17=0,0,G14/B$17)</f>
        <v>5.8275058275058272E-2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224</v>
      </c>
      <c r="C15" s="37">
        <f>IF(B$13=0,0,B15/B$13)</f>
        <v>0.57435897435897432</v>
      </c>
      <c r="E15" s="63" t="s">
        <v>180</v>
      </c>
      <c r="F15" s="60" t="s">
        <v>181</v>
      </c>
      <c r="G15" s="47">
        <v>15</v>
      </c>
      <c r="H15" s="133">
        <f>IF(B$17=0,0,G15/B$17)</f>
        <v>3.4965034965034968E-2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140</v>
      </c>
      <c r="C16" s="37">
        <f>IF(B$14=0,0,B16/B$14)</f>
        <v>0.51851851851851849</v>
      </c>
      <c r="E16" s="63" t="s">
        <v>79</v>
      </c>
      <c r="F16" s="60" t="s">
        <v>34</v>
      </c>
      <c r="G16" s="47">
        <v>12</v>
      </c>
      <c r="H16" s="133">
        <f>IF(B$17=0,0,G16/B$17)</f>
        <v>2.7972027972027972E-2</v>
      </c>
      <c r="I16" s="94">
        <v>6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429</v>
      </c>
      <c r="C17" s="37">
        <f>IF(B$3=0,0,B17/B$3)</f>
        <v>0.34430176565008025</v>
      </c>
      <c r="E17" s="63" t="s">
        <v>82</v>
      </c>
      <c r="F17" s="60" t="s">
        <v>37</v>
      </c>
      <c r="G17" s="47">
        <v>12</v>
      </c>
      <c r="H17" s="133">
        <f>IF(B$17=0,0,G17/B$17)</f>
        <v>2.7972027972027972E-2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27.735714285714291</v>
      </c>
      <c r="P17" s="119">
        <v>56</v>
      </c>
      <c r="Q17" s="107">
        <v>1553.2000000000003</v>
      </c>
    </row>
    <row r="18" spans="1:17" x14ac:dyDescent="0.4">
      <c r="A18" s="55" t="s">
        <v>12</v>
      </c>
      <c r="B18" s="47">
        <v>176</v>
      </c>
      <c r="C18" s="39">
        <f>IF(B$17=0,0,B18/B$17)</f>
        <v>0.41025641025641024</v>
      </c>
      <c r="E18" s="63" t="s">
        <v>92</v>
      </c>
      <c r="F18" s="60" t="s">
        <v>47</v>
      </c>
      <c r="G18" s="47">
        <v>9</v>
      </c>
      <c r="H18" s="133">
        <f>IF(B$17=0,0,G18/B$17)</f>
        <v>2.097902097902098E-2</v>
      </c>
      <c r="I18" s="94">
        <v>4</v>
      </c>
      <c r="K18" s="38">
        <v>16</v>
      </c>
      <c r="L18" s="99">
        <v>425.50000000000006</v>
      </c>
      <c r="N18" s="115" t="s">
        <v>173</v>
      </c>
      <c r="O18" s="125">
        <f>IF(P18=0,0,Q18/P18)</f>
        <v>21.768181818181816</v>
      </c>
      <c r="P18" s="119">
        <v>22</v>
      </c>
      <c r="Q18" s="107">
        <v>478.9</v>
      </c>
    </row>
    <row r="19" spans="1:17" x14ac:dyDescent="0.4">
      <c r="A19" s="55" t="s">
        <v>11</v>
      </c>
      <c r="B19" s="47">
        <v>253</v>
      </c>
      <c r="C19" s="39">
        <f>IF(B$17=0,0,B19/B$17)</f>
        <v>0.58974358974358976</v>
      </c>
      <c r="E19" s="63" t="s">
        <v>80</v>
      </c>
      <c r="F19" s="60" t="s">
        <v>35</v>
      </c>
      <c r="G19" s="47">
        <v>5</v>
      </c>
      <c r="H19" s="133">
        <f>IF(B$17=0,0,G19/B$17)</f>
        <v>1.1655011655011656E-2</v>
      </c>
      <c r="I19" s="94">
        <v>9</v>
      </c>
      <c r="K19" s="38">
        <v>17</v>
      </c>
      <c r="L19" s="99">
        <v>427.40000000000003</v>
      </c>
      <c r="N19" s="115" t="s">
        <v>177</v>
      </c>
      <c r="O19" s="125">
        <f>IF(P19=0,0,Q19/P19)</f>
        <v>21.61379310344828</v>
      </c>
      <c r="P19" s="119">
        <v>29</v>
      </c>
      <c r="Q19" s="107">
        <v>626.80000000000018</v>
      </c>
    </row>
    <row r="20" spans="1:17" x14ac:dyDescent="0.4">
      <c r="A20" s="55" t="s">
        <v>13</v>
      </c>
      <c r="B20" s="47">
        <v>196</v>
      </c>
      <c r="C20" s="39">
        <f>IF(B$3=0,0,B20/B$3)</f>
        <v>0.15730337078651685</v>
      </c>
      <c r="E20" s="63" t="s">
        <v>86</v>
      </c>
      <c r="F20" s="60" t="s">
        <v>41</v>
      </c>
      <c r="G20" s="47">
        <v>4</v>
      </c>
      <c r="H20" s="133">
        <f>IF(B$17=0,0,G20/B$17)</f>
        <v>9.324009324009324E-3</v>
      </c>
      <c r="I20" s="94">
        <v>2</v>
      </c>
      <c r="K20" s="38">
        <v>18</v>
      </c>
      <c r="L20" s="99">
        <v>429.3</v>
      </c>
      <c r="N20" s="115" t="s">
        <v>172</v>
      </c>
      <c r="O20" s="125">
        <f>IF(P20=0,0,Q20/P20)</f>
        <v>21.160465116279067</v>
      </c>
      <c r="P20" s="119">
        <v>43</v>
      </c>
      <c r="Q20" s="107">
        <v>909.89999999999986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3</v>
      </c>
      <c r="H21" s="133">
        <f>IF(B$17=0,0,G21/B$17)</f>
        <v>6.993006993006993E-3</v>
      </c>
      <c r="I21" s="94">
        <v>5</v>
      </c>
      <c r="K21" s="38">
        <v>19</v>
      </c>
      <c r="L21" s="99">
        <v>405.40000000000003</v>
      </c>
      <c r="N21" s="115" t="s">
        <v>184</v>
      </c>
      <c r="O21" s="125">
        <f>IF(P21=0,0,Q21/P21)</f>
        <v>20.054545454545448</v>
      </c>
      <c r="P21" s="119">
        <v>11</v>
      </c>
      <c r="Q21" s="107">
        <v>220.59999999999994</v>
      </c>
    </row>
    <row r="22" spans="1:17" x14ac:dyDescent="0.4">
      <c r="A22" s="55" t="s">
        <v>192</v>
      </c>
      <c r="B22" s="47">
        <v>39</v>
      </c>
      <c r="C22" s="135">
        <v>3</v>
      </c>
      <c r="E22" s="63" t="s">
        <v>78</v>
      </c>
      <c r="F22" s="60" t="s">
        <v>33</v>
      </c>
      <c r="G22" s="47">
        <v>2</v>
      </c>
      <c r="H22" s="133">
        <f>IF(B$17=0,0,G22/B$17)</f>
        <v>4.662004662004662E-3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18.795402298850576</v>
      </c>
      <c r="P22" s="119">
        <v>87</v>
      </c>
      <c r="Q22" s="107">
        <v>1635.2</v>
      </c>
    </row>
    <row r="23" spans="1:17" x14ac:dyDescent="0.4">
      <c r="A23" s="55" t="s">
        <v>5</v>
      </c>
      <c r="B23" s="51">
        <f>IF(B$17=0,0,C23/B$17)</f>
        <v>9096.7365967365968</v>
      </c>
      <c r="C23" s="41">
        <v>3902500</v>
      </c>
      <c r="E23" s="63" t="s">
        <v>91</v>
      </c>
      <c r="F23" s="60" t="s">
        <v>46</v>
      </c>
      <c r="G23" s="47">
        <v>2</v>
      </c>
      <c r="H23" s="133">
        <f>IF(B$17=0,0,G23/B$17)</f>
        <v>4.662004662004662E-3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-8253.0612244897966</v>
      </c>
      <c r="C24" s="45">
        <v>-1617600</v>
      </c>
      <c r="E24" s="63" t="s">
        <v>93</v>
      </c>
      <c r="F24" s="60" t="s">
        <v>48</v>
      </c>
      <c r="G24" s="47">
        <v>2</v>
      </c>
      <c r="H24" s="133">
        <f>IF(B$17=0,0,G24/B$17)</f>
        <v>4.662004662004662E-3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2.331002331002331E-3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2.331002331002331E-3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8.0256821829855537E-4</v>
      </c>
      <c r="E27" s="63" t="s">
        <v>88</v>
      </c>
      <c r="F27" s="60" t="s">
        <v>43</v>
      </c>
      <c r="G27" s="47">
        <v>1</v>
      </c>
      <c r="H27" s="133">
        <f>IF(B$17=0,0,G27/B$17)</f>
        <v>2.331002331002331E-3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2.331002331002331E-3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2.331002331002331E-3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  <row r="152" spans="11:12" x14ac:dyDescent="0.4">
      <c r="K152" s="38">
        <v>150</v>
      </c>
      <c r="L152" s="99">
        <v>1744.7000000000007</v>
      </c>
    </row>
    <row r="153" spans="11:12" x14ac:dyDescent="0.4">
      <c r="K153" s="38">
        <v>151</v>
      </c>
      <c r="L153" s="99">
        <v>1788.5000000000007</v>
      </c>
    </row>
    <row r="154" spans="11:12" x14ac:dyDescent="0.4">
      <c r="K154" s="38">
        <v>152</v>
      </c>
      <c r="L154" s="99">
        <v>1847.5000000000007</v>
      </c>
    </row>
    <row r="155" spans="11:12" x14ac:dyDescent="0.4">
      <c r="K155" s="38">
        <v>153</v>
      </c>
      <c r="L155" s="99">
        <v>1812.8000000000006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126</v>
      </c>
      <c r="C2" s="151"/>
      <c r="E2" s="62" t="s">
        <v>65</v>
      </c>
      <c r="F2" s="59" t="s">
        <v>21</v>
      </c>
      <c r="G2" s="46">
        <v>173</v>
      </c>
      <c r="H2" s="132">
        <f>IF(B$17=0,0,G2/B$17)</f>
        <v>0.61785714285714288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144.44444444444446</v>
      </c>
      <c r="P2" s="118">
        <v>126</v>
      </c>
      <c r="Q2" s="102">
        <v>18200</v>
      </c>
    </row>
    <row r="3" spans="1:17" x14ac:dyDescent="0.4">
      <c r="A3" s="55" t="s">
        <v>8</v>
      </c>
      <c r="B3" s="152">
        <v>1042</v>
      </c>
      <c r="C3" s="153"/>
      <c r="E3" s="63" t="s">
        <v>66</v>
      </c>
      <c r="F3" s="60" t="s">
        <v>22</v>
      </c>
      <c r="G3" s="47">
        <v>46</v>
      </c>
      <c r="H3" s="133">
        <f>IF(B$17=0,0,G3/B$17)</f>
        <v>0.16428571428571428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-2159.8360655737706</v>
      </c>
      <c r="P3" s="119">
        <v>122</v>
      </c>
      <c r="Q3" s="103">
        <v>-263500</v>
      </c>
    </row>
    <row r="4" spans="1:17" x14ac:dyDescent="0.4">
      <c r="A4" s="55" t="s">
        <v>6</v>
      </c>
      <c r="B4" s="154">
        <v>-438.1</v>
      </c>
      <c r="C4" s="155"/>
      <c r="E4" s="63" t="s">
        <v>67</v>
      </c>
      <c r="F4" s="60" t="s">
        <v>23</v>
      </c>
      <c r="G4" s="47">
        <v>215</v>
      </c>
      <c r="H4" s="133">
        <f>IF(B$17=0,0,G4/B$17)</f>
        <v>0.7678571428571429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378.81355932203388</v>
      </c>
      <c r="P4" s="119">
        <v>118</v>
      </c>
      <c r="Q4" s="103">
        <v>44700</v>
      </c>
    </row>
    <row r="5" spans="1:17" x14ac:dyDescent="0.4">
      <c r="A5" s="55" t="s">
        <v>7</v>
      </c>
      <c r="B5" s="156">
        <f>IF(B$2=0,0,B$4/B$2)</f>
        <v>-3.4769841269841271</v>
      </c>
      <c r="C5" s="157"/>
      <c r="E5" s="63" t="s">
        <v>68</v>
      </c>
      <c r="F5" s="60" t="s">
        <v>24</v>
      </c>
      <c r="G5" s="47">
        <v>107</v>
      </c>
      <c r="H5" s="133">
        <f>IF(B$17=0,0,G5/B$17)</f>
        <v>0.38214285714285712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-2.8846153846153846</v>
      </c>
      <c r="P5" s="119">
        <v>104</v>
      </c>
      <c r="Q5" s="103">
        <v>-300</v>
      </c>
    </row>
    <row r="6" spans="1:17" x14ac:dyDescent="0.4">
      <c r="A6" s="55" t="s">
        <v>1</v>
      </c>
      <c r="B6" s="146">
        <f>IF(B$2=0,0,(B$7*1+B$8*2+B$9*3)/B$2)</f>
        <v>2.0952380952380953</v>
      </c>
      <c r="C6" s="147"/>
      <c r="E6" s="63" t="s">
        <v>69</v>
      </c>
      <c r="F6" s="60" t="s">
        <v>12</v>
      </c>
      <c r="G6" s="47">
        <v>96</v>
      </c>
      <c r="H6" s="133">
        <f>IF(B$17=0,0,G6/B$17)</f>
        <v>0.34285714285714286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187.09677419354838</v>
      </c>
      <c r="P6" s="119">
        <v>93</v>
      </c>
      <c r="Q6" s="103">
        <v>17400</v>
      </c>
    </row>
    <row r="7" spans="1:17" x14ac:dyDescent="0.4">
      <c r="A7" s="55" t="s">
        <v>2</v>
      </c>
      <c r="B7" s="47">
        <v>33</v>
      </c>
      <c r="C7" s="39">
        <f>IF(B$2=0,0,B7/B$2)</f>
        <v>0.26190476190476192</v>
      </c>
      <c r="E7" s="63" t="s">
        <v>70</v>
      </c>
      <c r="F7" s="60" t="s">
        <v>25</v>
      </c>
      <c r="G7" s="47">
        <v>62</v>
      </c>
      <c r="H7" s="133">
        <f>IF(B$17=0,0,G7/B$17)</f>
        <v>0.22142857142857142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330.23255813953489</v>
      </c>
      <c r="P7" s="120">
        <v>86</v>
      </c>
      <c r="Q7" s="104">
        <v>28400</v>
      </c>
    </row>
    <row r="8" spans="1:17" x14ac:dyDescent="0.4">
      <c r="A8" s="55" t="s">
        <v>3</v>
      </c>
      <c r="B8" s="47">
        <v>48</v>
      </c>
      <c r="C8" s="39">
        <f>IF(B$2=0,0,B8/B$2)</f>
        <v>0.38095238095238093</v>
      </c>
      <c r="E8" s="63" t="s">
        <v>71</v>
      </c>
      <c r="F8" s="60" t="s">
        <v>26</v>
      </c>
      <c r="G8" s="47">
        <v>34</v>
      </c>
      <c r="H8" s="133">
        <f>IF(B$17=0,0,G8/B$17)</f>
        <v>0.12142857142857143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0.35714285714285715</v>
      </c>
      <c r="E9" s="63" t="s">
        <v>72</v>
      </c>
      <c r="F9" s="60" t="s">
        <v>27</v>
      </c>
      <c r="G9" s="47">
        <v>17</v>
      </c>
      <c r="H9" s="133">
        <f>IF(B$17=0,0,G9/B$17)</f>
        <v>6.0714285714285714E-2</v>
      </c>
      <c r="I9" s="94">
        <v>7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0.13492063492063491</v>
      </c>
      <c r="E10" s="63" t="s">
        <v>73</v>
      </c>
      <c r="F10" s="60" t="s">
        <v>28</v>
      </c>
      <c r="G10" s="47">
        <v>127</v>
      </c>
      <c r="H10" s="133">
        <f>IF(B$17=0,0,G10/B$17)</f>
        <v>0.45357142857142857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-7.3666666666666671</v>
      </c>
      <c r="P10" s="118">
        <v>63</v>
      </c>
      <c r="Q10" s="106">
        <v>-464.1</v>
      </c>
    </row>
    <row r="11" spans="1:17" x14ac:dyDescent="0.4">
      <c r="A11" s="56" t="s">
        <v>140</v>
      </c>
      <c r="B11" s="48">
        <v>11</v>
      </c>
      <c r="C11" s="40">
        <f>IF(B$2=0,0,B11/B$2)</f>
        <v>8.7301587301587297E-2</v>
      </c>
      <c r="E11" s="63" t="s">
        <v>74</v>
      </c>
      <c r="F11" s="60" t="s">
        <v>29</v>
      </c>
      <c r="G11" s="47">
        <v>2</v>
      </c>
      <c r="H11" s="133">
        <f>IF(B$17=0,0,G11/B$17)</f>
        <v>7.1428571428571426E-3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-3.2624999999999988</v>
      </c>
      <c r="P11" s="119">
        <v>32</v>
      </c>
      <c r="Q11" s="107">
        <v>-104.39999999999996</v>
      </c>
    </row>
    <row r="12" spans="1:17" x14ac:dyDescent="0.4">
      <c r="A12" s="57" t="s">
        <v>160</v>
      </c>
      <c r="B12" s="49">
        <v>8</v>
      </c>
      <c r="C12" s="42">
        <f>IF(B$2=0,0,B12/B$2)</f>
        <v>6.3492063492063489E-2</v>
      </c>
      <c r="E12" s="63" t="s">
        <v>75</v>
      </c>
      <c r="F12" s="60" t="s">
        <v>30</v>
      </c>
      <c r="G12" s="47">
        <v>2</v>
      </c>
      <c r="H12" s="133">
        <f>IF(B$17=0,0,G12/B$17)</f>
        <v>7.1428571428571426E-3</v>
      </c>
      <c r="I12" s="94">
        <v>2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312</v>
      </c>
      <c r="C13" s="44">
        <f>IF(B$3=0,0,B13/B$3)</f>
        <v>0.29942418426103645</v>
      </c>
      <c r="E13" s="63" t="s">
        <v>76</v>
      </c>
      <c r="F13" s="60" t="s">
        <v>31</v>
      </c>
      <c r="G13" s="47">
        <v>2</v>
      </c>
      <c r="H13" s="133">
        <f>IF(B$17=0,0,G13/B$17)</f>
        <v>7.1428571428571426E-3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184</v>
      </c>
      <c r="C14" s="39">
        <f>IF(B$3=0,0,B14/B$3)</f>
        <v>0.1765834932821497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182</v>
      </c>
      <c r="C15" s="37">
        <f>IF(B$13=0,0,B15/B$13)</f>
        <v>0.58333333333333337</v>
      </c>
      <c r="E15" s="63" t="s">
        <v>78</v>
      </c>
      <c r="F15" s="60" t="s">
        <v>33</v>
      </c>
      <c r="G15" s="47">
        <v>1</v>
      </c>
      <c r="H15" s="133">
        <f>IF(B$17=0,0,G15/B$17)</f>
        <v>3.5714285714285713E-3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53</v>
      </c>
      <c r="C16" s="37">
        <f>IF(B$14=0,0,B16/B$14)</f>
        <v>0.28804347826086957</v>
      </c>
      <c r="E16" s="63" t="s">
        <v>79</v>
      </c>
      <c r="F16" s="60" t="s">
        <v>34</v>
      </c>
      <c r="G16" s="47">
        <v>5</v>
      </c>
      <c r="H16" s="133">
        <f>IF(B$17=0,0,G16/B$17)</f>
        <v>1.7857142857142856E-2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280</v>
      </c>
      <c r="C17" s="37">
        <f>IF(B$3=0,0,B17/B$3)</f>
        <v>0.2687140115163148</v>
      </c>
      <c r="E17" s="63" t="s">
        <v>80</v>
      </c>
      <c r="F17" s="60" t="s">
        <v>35</v>
      </c>
      <c r="G17" s="47">
        <v>6</v>
      </c>
      <c r="H17" s="133">
        <f>IF(B$17=0,0,G17/B$17)</f>
        <v>2.1428571428571429E-2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>IF(P17=0,0,Q17/P17)</f>
        <v>5.672727272727272</v>
      </c>
      <c r="P17" s="119">
        <v>22</v>
      </c>
      <c r="Q17" s="107">
        <v>124.79999999999998</v>
      </c>
    </row>
    <row r="18" spans="1:17" x14ac:dyDescent="0.4">
      <c r="A18" s="55" t="s">
        <v>12</v>
      </c>
      <c r="B18" s="47">
        <v>119</v>
      </c>
      <c r="C18" s="39">
        <f>IF(B$17=0,0,B18/B$17)</f>
        <v>0.42499999999999999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>IF(P18=0,0,Q18/P18)</f>
        <v>-2.3171428571428518</v>
      </c>
      <c r="P18" s="119">
        <v>35</v>
      </c>
      <c r="Q18" s="107">
        <v>-81.09999999999981</v>
      </c>
    </row>
    <row r="19" spans="1:17" x14ac:dyDescent="0.4">
      <c r="A19" s="55" t="s">
        <v>11</v>
      </c>
      <c r="B19" s="47">
        <v>161</v>
      </c>
      <c r="C19" s="39">
        <f>IF(B$17=0,0,B19/B$17)</f>
        <v>0.57499999999999996</v>
      </c>
      <c r="E19" s="63" t="s">
        <v>82</v>
      </c>
      <c r="F19" s="60" t="s">
        <v>37</v>
      </c>
      <c r="G19" s="47">
        <v>8</v>
      </c>
      <c r="H19" s="133">
        <f>IF(B$17=0,0,G19/B$17)</f>
        <v>2.8571428571428571E-2</v>
      </c>
      <c r="I19" s="94">
        <v>4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178</v>
      </c>
      <c r="C20" s="39">
        <f>IF(B$3=0,0,B20/B$3)</f>
        <v>0.17082533589251439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3.5714285714285712E-2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>IF(P21=0,0,Q21/P21)</f>
        <v>-11.464</v>
      </c>
      <c r="P21" s="119">
        <v>25</v>
      </c>
      <c r="Q21" s="107">
        <v>-286.60000000000002</v>
      </c>
    </row>
    <row r="22" spans="1:17" x14ac:dyDescent="0.4">
      <c r="A22" s="55" t="s">
        <v>192</v>
      </c>
      <c r="B22" s="47">
        <v>24</v>
      </c>
      <c r="C22" s="135">
        <v>15</v>
      </c>
      <c r="E22" s="63" t="s">
        <v>85</v>
      </c>
      <c r="F22" s="60" t="s">
        <v>40</v>
      </c>
      <c r="G22" s="47">
        <v>1</v>
      </c>
      <c r="H22" s="133">
        <f>IF(B$17=0,0,G22/B$17)</f>
        <v>3.5714285714285713E-3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>IF(P22=0,0,Q22/P22)</f>
        <v>-18.795402298850576</v>
      </c>
      <c r="P22" s="119">
        <v>87</v>
      </c>
      <c r="Q22" s="107">
        <v>-1635.2</v>
      </c>
    </row>
    <row r="23" spans="1:17" x14ac:dyDescent="0.4">
      <c r="A23" s="55" t="s">
        <v>5</v>
      </c>
      <c r="B23" s="51">
        <f>IF(B$17=0,0,C23/B$17)</f>
        <v>9241.7857142857138</v>
      </c>
      <c r="C23" s="41">
        <v>2587700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-7806.7415730337079</v>
      </c>
      <c r="C24" s="45">
        <v>-1389600</v>
      </c>
      <c r="E24" s="63" t="s">
        <v>87</v>
      </c>
      <c r="F24" s="60" t="s">
        <v>42</v>
      </c>
      <c r="G24" s="47">
        <v>15</v>
      </c>
      <c r="H24" s="133">
        <f>IF(B$17=0,0,G24/B$17)</f>
        <v>5.3571428571428568E-2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3.5714285714285713E-3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4.7984644913627635E-3</v>
      </c>
      <c r="E27" s="63" t="s">
        <v>90</v>
      </c>
      <c r="F27" s="60" t="s">
        <v>45</v>
      </c>
      <c r="G27" s="47">
        <v>30</v>
      </c>
      <c r="H27" s="133">
        <f>IF(B$17=0,0,G27/B$17)</f>
        <v>0.10714285714285714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2.1428571428571429E-2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3.5714285714285713E-3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3.5714285714285713E-3</v>
      </c>
      <c r="I31" s="94">
        <v>5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3.5714285714285713E-3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1.7857142857142856E-2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0.42857142857142855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</sheetData>
  <sortState ref="E2:I12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</v>
      </c>
      <c r="C2" s="151"/>
      <c r="E2" s="62" t="s">
        <v>65</v>
      </c>
      <c r="F2" s="59" t="s">
        <v>21</v>
      </c>
      <c r="G2" s="46">
        <v>108</v>
      </c>
      <c r="H2" s="132">
        <f>IF(B$17=0,0,G2/B$17)</f>
        <v>0.59668508287292821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-3215.5555555555557</v>
      </c>
      <c r="P2" s="118">
        <v>90</v>
      </c>
      <c r="Q2" s="102">
        <v>-289400</v>
      </c>
    </row>
    <row r="3" spans="1:17" x14ac:dyDescent="0.4">
      <c r="A3" s="55" t="s">
        <v>8</v>
      </c>
      <c r="B3" s="152">
        <v>760</v>
      </c>
      <c r="C3" s="153"/>
      <c r="E3" s="63" t="s">
        <v>66</v>
      </c>
      <c r="F3" s="60" t="s">
        <v>22</v>
      </c>
      <c r="G3" s="47">
        <v>18</v>
      </c>
      <c r="H3" s="133">
        <f>IF(B$17=0,0,G3/B$17)</f>
        <v>9.9447513812154692E-2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-1106.8181818181818</v>
      </c>
      <c r="P3" s="119">
        <v>88</v>
      </c>
      <c r="Q3" s="103">
        <v>-97400</v>
      </c>
    </row>
    <row r="4" spans="1:17" x14ac:dyDescent="0.4">
      <c r="A4" s="55" t="s">
        <v>6</v>
      </c>
      <c r="B4" s="154">
        <v>-1324.2</v>
      </c>
      <c r="C4" s="155"/>
      <c r="E4" s="63" t="s">
        <v>67</v>
      </c>
      <c r="F4" s="60" t="s">
        <v>23</v>
      </c>
      <c r="G4" s="47">
        <v>144</v>
      </c>
      <c r="H4" s="133">
        <f>IF(B$17=0,0,G4/B$17)</f>
        <v>0.79558011049723754</v>
      </c>
      <c r="I4" s="94">
        <v>5</v>
      </c>
      <c r="K4" s="38">
        <v>2</v>
      </c>
      <c r="L4" s="99">
        <v>-3.3999999999999986</v>
      </c>
      <c r="N4" s="115" t="s">
        <v>134</v>
      </c>
      <c r="O4" s="122">
        <f t="shared" si="0"/>
        <v>-266.26506024096386</v>
      </c>
      <c r="P4" s="119">
        <v>83</v>
      </c>
      <c r="Q4" s="103">
        <v>-22100</v>
      </c>
    </row>
    <row r="5" spans="1:17" x14ac:dyDescent="0.4">
      <c r="A5" s="55" t="s">
        <v>7</v>
      </c>
      <c r="B5" s="156">
        <f>IF(B$2=0,0,B$4/B$2)</f>
        <v>-14.713333333333335</v>
      </c>
      <c r="C5" s="157"/>
      <c r="E5" s="63" t="s">
        <v>68</v>
      </c>
      <c r="F5" s="60" t="s">
        <v>24</v>
      </c>
      <c r="G5" s="47">
        <v>63</v>
      </c>
      <c r="H5" s="133">
        <f>IF(B$17=0,0,G5/B$17)</f>
        <v>0.34806629834254144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-4465.7534246575342</v>
      </c>
      <c r="P5" s="119">
        <v>73</v>
      </c>
      <c r="Q5" s="103">
        <v>-326000</v>
      </c>
    </row>
    <row r="6" spans="1:17" x14ac:dyDescent="0.4">
      <c r="A6" s="55" t="s">
        <v>1</v>
      </c>
      <c r="B6" s="146">
        <f>IF(B$2=0,0,(B$7*1+B$8*2+B$9*3)/B$2)</f>
        <v>2.2444444444444445</v>
      </c>
      <c r="C6" s="147"/>
      <c r="E6" s="63" t="s">
        <v>69</v>
      </c>
      <c r="F6" s="60" t="s">
        <v>12</v>
      </c>
      <c r="G6" s="47">
        <v>68</v>
      </c>
      <c r="H6" s="133">
        <f>IF(B$17=0,0,G6/B$17)</f>
        <v>0.37569060773480661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-1045.4545454545455</v>
      </c>
      <c r="P6" s="119">
        <v>66</v>
      </c>
      <c r="Q6" s="103">
        <v>-69000</v>
      </c>
    </row>
    <row r="7" spans="1:17" x14ac:dyDescent="0.4">
      <c r="A7" s="55" t="s">
        <v>2</v>
      </c>
      <c r="B7" s="47">
        <v>22</v>
      </c>
      <c r="C7" s="39">
        <f>IF(B$2=0,0,B7/B$2)</f>
        <v>0.24444444444444444</v>
      </c>
      <c r="E7" s="63" t="s">
        <v>70</v>
      </c>
      <c r="F7" s="60" t="s">
        <v>25</v>
      </c>
      <c r="G7" s="47">
        <v>36</v>
      </c>
      <c r="H7" s="133">
        <f>IF(B$17=0,0,G7/B$17)</f>
        <v>0.19889502762430938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-1223.3333333333333</v>
      </c>
      <c r="P7" s="120">
        <v>60</v>
      </c>
      <c r="Q7" s="104">
        <v>-73400</v>
      </c>
    </row>
    <row r="8" spans="1:17" x14ac:dyDescent="0.4">
      <c r="A8" s="55" t="s">
        <v>3</v>
      </c>
      <c r="B8" s="47">
        <v>24</v>
      </c>
      <c r="C8" s="39">
        <f>IF(B$2=0,0,B8/B$2)</f>
        <v>0.26666666666666666</v>
      </c>
      <c r="E8" s="63" t="s">
        <v>71</v>
      </c>
      <c r="F8" s="60" t="s">
        <v>26</v>
      </c>
      <c r="G8" s="47">
        <v>28</v>
      </c>
      <c r="H8" s="133">
        <f>IF(B$17=0,0,G8/B$17)</f>
        <v>0.15469613259668508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44</v>
      </c>
      <c r="C9" s="40">
        <f t="shared" ref="C9" si="1">IF(B$2=0,0,B9/B$2)</f>
        <v>0.48888888888888887</v>
      </c>
      <c r="E9" s="63" t="s">
        <v>72</v>
      </c>
      <c r="F9" s="60" t="s">
        <v>27</v>
      </c>
      <c r="G9" s="47">
        <v>20</v>
      </c>
      <c r="H9" s="133">
        <f>IF(B$17=0,0,G9/B$17)</f>
        <v>0.11049723756906077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0.18888888888888888</v>
      </c>
      <c r="E10" s="63" t="s">
        <v>73</v>
      </c>
      <c r="F10" s="60" t="s">
        <v>28</v>
      </c>
      <c r="G10" s="47">
        <v>65</v>
      </c>
      <c r="H10" s="133">
        <f>IF(B$17=0,0,G10/B$17)</f>
        <v>0.35911602209944754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-12.825000000000005</v>
      </c>
      <c r="P11" s="119">
        <v>36</v>
      </c>
      <c r="Q11" s="107">
        <v>-461.70000000000016</v>
      </c>
    </row>
    <row r="12" spans="1:17" x14ac:dyDescent="0.4">
      <c r="A12" s="57" t="s">
        <v>160</v>
      </c>
      <c r="B12" s="49">
        <v>7</v>
      </c>
      <c r="C12" s="42">
        <f>IF(B$2=0,0,B12/B$2)</f>
        <v>7.7777777777777779E-2</v>
      </c>
      <c r="E12" s="63" t="s">
        <v>75</v>
      </c>
      <c r="F12" s="60" t="s">
        <v>30</v>
      </c>
      <c r="G12" s="47">
        <v>2</v>
      </c>
      <c r="H12" s="133">
        <f>IF(B$17=0,0,G12/B$17)</f>
        <v>1.1049723756906077E-2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-14.199999999999998</v>
      </c>
      <c r="P12" s="120">
        <v>27</v>
      </c>
      <c r="Q12" s="108">
        <v>-383.39999999999992</v>
      </c>
    </row>
    <row r="13" spans="1:17" x14ac:dyDescent="0.4">
      <c r="A13" s="58" t="s">
        <v>122</v>
      </c>
      <c r="B13" s="50">
        <v>213</v>
      </c>
      <c r="C13" s="44">
        <f>IF(B$3=0,0,B13/B$3)</f>
        <v>0.28026315789473683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0.16052631578947368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</v>
      </c>
      <c r="C15" s="37">
        <f>IF(B$13=0,0,B15/B$13)</f>
        <v>0.52112676056338025</v>
      </c>
      <c r="E15" s="63" t="s">
        <v>78</v>
      </c>
      <c r="F15" s="60" t="s">
        <v>33</v>
      </c>
      <c r="G15" s="47">
        <v>1</v>
      </c>
      <c r="H15" s="133">
        <f>IF(B$17=0,0,G15/B$17)</f>
        <v>5.5248618784530384E-3</v>
      </c>
      <c r="I15" s="94">
        <v>1</v>
      </c>
      <c r="K15" s="38">
        <v>13</v>
      </c>
      <c r="L15" s="99">
        <v>-369.1</v>
      </c>
      <c r="N15" s="114" t="s">
        <v>223</v>
      </c>
      <c r="O15" s="124">
        <f t="shared" ref="O15:O22" si="2"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0.25409836065573771</v>
      </c>
      <c r="E16" s="63" t="s">
        <v>79</v>
      </c>
      <c r="F16" s="60" t="s">
        <v>34</v>
      </c>
      <c r="G16" s="47">
        <v>6</v>
      </c>
      <c r="H16" s="133">
        <f>IF(B$17=0,0,G16/B$17)</f>
        <v>3.3149171270718231E-2</v>
      </c>
      <c r="I16" s="94">
        <v>5</v>
      </c>
      <c r="K16" s="38">
        <v>14</v>
      </c>
      <c r="L16" s="99">
        <v>-394.6</v>
      </c>
      <c r="N16" s="115" t="s">
        <v>128</v>
      </c>
      <c r="O16" s="125">
        <f t="shared" si="2"/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0.2381578947368421</v>
      </c>
      <c r="E17" s="63" t="s">
        <v>80</v>
      </c>
      <c r="F17" s="60" t="s">
        <v>35</v>
      </c>
      <c r="G17" s="47">
        <v>1</v>
      </c>
      <c r="H17" s="133">
        <f>IF(B$17=0,0,G17/B$17)</f>
        <v>5.5248618784530384E-3</v>
      </c>
      <c r="I17" s="94">
        <v>10</v>
      </c>
      <c r="K17" s="38">
        <v>15</v>
      </c>
      <c r="L17" s="99">
        <v>-424.5</v>
      </c>
      <c r="N17" s="115" t="s">
        <v>177</v>
      </c>
      <c r="O17" s="125">
        <f t="shared" si="2"/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78</v>
      </c>
      <c r="C18" s="39">
        <f>IF(B$17=0,0,B18/B$17)</f>
        <v>0.43093922651933703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-20.717241379310344</v>
      </c>
      <c r="P18" s="119">
        <v>29</v>
      </c>
      <c r="Q18" s="107">
        <v>-600.79999999999995</v>
      </c>
    </row>
    <row r="19" spans="1:17" x14ac:dyDescent="0.4">
      <c r="A19" s="55" t="s">
        <v>11</v>
      </c>
      <c r="B19" s="47">
        <v>103</v>
      </c>
      <c r="C19" s="39">
        <f>IF(B$17=0,0,B19/B$17)</f>
        <v>0.56906077348066297</v>
      </c>
      <c r="E19" s="63" t="s">
        <v>82</v>
      </c>
      <c r="F19" s="60" t="s">
        <v>37</v>
      </c>
      <c r="G19" s="47">
        <v>4</v>
      </c>
      <c r="H19" s="133">
        <f>IF(B$17=0,0,G19/B$17)</f>
        <v>2.2099447513812154E-2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146</v>
      </c>
      <c r="C20" s="39">
        <f>IF(B$3=0,0,B20/B$3)</f>
        <v>0.19210526315789472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-27.735714285714295</v>
      </c>
      <c r="P20" s="119">
        <v>56</v>
      </c>
      <c r="Q20" s="107">
        <v>-1553.2000000000005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3.8674033149171269E-2</v>
      </c>
      <c r="I21" s="94">
        <v>8</v>
      </c>
      <c r="K21" s="38">
        <v>19</v>
      </c>
      <c r="L21" s="99">
        <v>-569.49999999999989</v>
      </c>
      <c r="N21" s="115" t="s">
        <v>172</v>
      </c>
      <c r="O21" s="125">
        <f t="shared" si="2"/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184</v>
      </c>
      <c r="O22" s="125">
        <f t="shared" si="2"/>
        <v>-64</v>
      </c>
      <c r="P22" s="119">
        <v>4</v>
      </c>
      <c r="Q22" s="107">
        <v>-256</v>
      </c>
    </row>
    <row r="23" spans="1:17" x14ac:dyDescent="0.4">
      <c r="A23" s="55" t="s">
        <v>5</v>
      </c>
      <c r="B23" s="51">
        <f>IF(B$17=0,0,C23/B$17)</f>
        <v>8701.1049723756914</v>
      </c>
      <c r="C23" s="41">
        <v>1574900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-9189.7260273972606</v>
      </c>
      <c r="C24" s="45">
        <v>-1341700</v>
      </c>
      <c r="E24" s="63" t="s">
        <v>87</v>
      </c>
      <c r="F24" s="60" t="s">
        <v>42</v>
      </c>
      <c r="G24" s="47">
        <v>10</v>
      </c>
      <c r="H24" s="133">
        <f>IF(B$17=0,0,G24/B$17)</f>
        <v>5.5248618784530384E-2</v>
      </c>
      <c r="I24" s="94">
        <v>6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1.1049723756906077E-2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5.5248618784530384E-3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1.3157894736842105E-3</v>
      </c>
      <c r="E27" s="63" t="s">
        <v>90</v>
      </c>
      <c r="F27" s="60" t="s">
        <v>45</v>
      </c>
      <c r="G27" s="47">
        <v>16</v>
      </c>
      <c r="H27" s="133">
        <f>IF(B$17=0,0,G27/B$17)</f>
        <v>8.8397790055248615E-2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5.5248618784530384E-3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5.5248618784530384E-3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1.1049723756906077E-2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8" t="s">
        <v>245</v>
      </c>
      <c r="F51" s="139" t="s">
        <v>246</v>
      </c>
      <c r="G51" s="48">
        <v>69</v>
      </c>
      <c r="H51" s="140">
        <f>IF(B$17=0,0,G51/B$17)</f>
        <v>0.38121546961325969</v>
      </c>
      <c r="I51" s="141">
        <v>9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</sheetData>
  <sortState ref="E2:I9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89</v>
      </c>
      <c r="C2" s="151"/>
      <c r="E2" s="62" t="s">
        <v>65</v>
      </c>
      <c r="F2" s="59" t="s">
        <v>21</v>
      </c>
      <c r="G2" s="46">
        <v>114</v>
      </c>
      <c r="H2" s="132">
        <f>IF(B$17=0,0,G2/B$17)</f>
        <v>0.54028436018957349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-675.28089887640454</v>
      </c>
      <c r="P2" s="118">
        <v>89</v>
      </c>
      <c r="Q2" s="102">
        <v>-60100</v>
      </c>
    </row>
    <row r="3" spans="1:17" x14ac:dyDescent="0.4">
      <c r="A3" s="55" t="s">
        <v>8</v>
      </c>
      <c r="B3" s="152">
        <v>744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0.13270142180094788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281.60919540229884</v>
      </c>
      <c r="P3" s="119">
        <v>87</v>
      </c>
      <c r="Q3" s="103">
        <v>24500</v>
      </c>
    </row>
    <row r="4" spans="1:17" x14ac:dyDescent="0.4">
      <c r="A4" s="55" t="s">
        <v>6</v>
      </c>
      <c r="B4" s="154">
        <v>32.000000000000028</v>
      </c>
      <c r="C4" s="155"/>
      <c r="E4" s="63" t="s">
        <v>67</v>
      </c>
      <c r="F4" s="60" t="s">
        <v>23</v>
      </c>
      <c r="G4" s="47">
        <v>175</v>
      </c>
      <c r="H4" s="133">
        <f>IF(B$17=0,0,G4/B$17)</f>
        <v>0.82938388625592419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1300</v>
      </c>
      <c r="P4" s="119">
        <v>80</v>
      </c>
      <c r="Q4" s="103">
        <v>104000</v>
      </c>
    </row>
    <row r="5" spans="1:17" x14ac:dyDescent="0.4">
      <c r="A5" s="55" t="s">
        <v>7</v>
      </c>
      <c r="B5" s="156">
        <f>IF(B$2=0,0,B$4/B$2)</f>
        <v>0.35955056179775313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0.33175355450236965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862.31884057971013</v>
      </c>
      <c r="P5" s="119">
        <v>69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2.0449438202247192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0.29857819905213268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-473.77049180327867</v>
      </c>
      <c r="P6" s="119">
        <v>61</v>
      </c>
      <c r="Q6" s="103">
        <v>-28900</v>
      </c>
    </row>
    <row r="7" spans="1:17" x14ac:dyDescent="0.4">
      <c r="A7" s="55" t="s">
        <v>2</v>
      </c>
      <c r="B7" s="47">
        <v>27</v>
      </c>
      <c r="C7" s="39">
        <f>IF(B$2=0,0,B7/B$2)</f>
        <v>0.30337078651685395</v>
      </c>
      <c r="E7" s="63" t="s">
        <v>70</v>
      </c>
      <c r="F7" s="60" t="s">
        <v>25</v>
      </c>
      <c r="G7" s="47">
        <v>41</v>
      </c>
      <c r="H7" s="133">
        <f>IF(B$17=0,0,G7/B$17)</f>
        <v>0.19431279620853081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-285.71428571428572</v>
      </c>
      <c r="P7" s="120">
        <v>56</v>
      </c>
      <c r="Q7" s="104">
        <v>-16000</v>
      </c>
    </row>
    <row r="8" spans="1:17" x14ac:dyDescent="0.4">
      <c r="A8" s="55" t="s">
        <v>3</v>
      </c>
      <c r="B8" s="47">
        <v>31</v>
      </c>
      <c r="C8" s="39">
        <f>IF(B$2=0,0,B8/B$2)</f>
        <v>0.34831460674157305</v>
      </c>
      <c r="E8" s="63" t="s">
        <v>71</v>
      </c>
      <c r="F8" s="60" t="s">
        <v>26</v>
      </c>
      <c r="G8" s="47">
        <v>22</v>
      </c>
      <c r="H8" s="133">
        <f>IF(B$17=0,0,G8/B$17)</f>
        <v>0.10426540284360189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0.34831460674157305</v>
      </c>
      <c r="E9" s="63" t="s">
        <v>72</v>
      </c>
      <c r="F9" s="60" t="s">
        <v>27</v>
      </c>
      <c r="G9" s="47">
        <v>13</v>
      </c>
      <c r="H9" s="133">
        <f>IF(B$17=0,0,G9/B$17)</f>
        <v>6.1611374407582936E-2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0.10112359550561797</v>
      </c>
      <c r="E10" s="63" t="s">
        <v>73</v>
      </c>
      <c r="F10" s="60" t="s">
        <v>28</v>
      </c>
      <c r="G10" s="47">
        <v>109</v>
      </c>
      <c r="H10" s="133">
        <f>IF(B$17=0,0,G10/B$17)</f>
        <v>0.51658767772511849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0.1348314606741573</v>
      </c>
      <c r="E11" s="63" t="s">
        <v>74</v>
      </c>
      <c r="F11" s="60" t="s">
        <v>29</v>
      </c>
      <c r="G11" s="47">
        <v>2</v>
      </c>
      <c r="H11" s="133">
        <f>IF(B$17=0,0,G11/B$17)</f>
        <v>9.4786729857819912E-3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6.741573033707865E-2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-1.0812500000000003</v>
      </c>
      <c r="P12" s="120">
        <v>32</v>
      </c>
      <c r="Q12" s="108">
        <v>-34.600000000000009</v>
      </c>
    </row>
    <row r="13" spans="1:17" x14ac:dyDescent="0.4">
      <c r="A13" s="58" t="s">
        <v>122</v>
      </c>
      <c r="B13" s="50">
        <v>217</v>
      </c>
      <c r="C13" s="44">
        <f>IF(B$3=0,0,B13/B$3)</f>
        <v>0.29166666666666669</v>
      </c>
      <c r="E13" s="63" t="s">
        <v>76</v>
      </c>
      <c r="F13" s="60" t="s">
        <v>31</v>
      </c>
      <c r="G13" s="47">
        <v>3</v>
      </c>
      <c r="H13" s="133">
        <f>IF(B$17=0,0,G13/B$17)</f>
        <v>1.4218009478672985E-2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0.18817204301075269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122</v>
      </c>
      <c r="C15" s="37">
        <f>IF(B$13=0,0,B15/B$13)</f>
        <v>0.56221198156682028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58</v>
      </c>
      <c r="C16" s="37">
        <f>IF(B$14=0,0,B16/B$14)</f>
        <v>0.41428571428571431</v>
      </c>
      <c r="E16" s="63" t="s">
        <v>79</v>
      </c>
      <c r="F16" s="60" t="s">
        <v>34</v>
      </c>
      <c r="G16" s="47">
        <v>9</v>
      </c>
      <c r="H16" s="133">
        <f>IF(B$17=0,0,G16/B$17)</f>
        <v>4.2654028436018961E-2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20.717241379310341</v>
      </c>
      <c r="P16" s="119">
        <v>29</v>
      </c>
      <c r="Q16" s="107">
        <v>600.79999999999984</v>
      </c>
    </row>
    <row r="17" spans="1:17" x14ac:dyDescent="0.4">
      <c r="A17" s="54" t="s">
        <v>10</v>
      </c>
      <c r="B17" s="46">
        <f>B19+B18</f>
        <v>211</v>
      </c>
      <c r="C17" s="37">
        <f>IF(B$3=0,0,B17/B$3)</f>
        <v>0.28360215053763443</v>
      </c>
      <c r="E17" s="63" t="s">
        <v>80</v>
      </c>
      <c r="F17" s="60" t="s">
        <v>35</v>
      </c>
      <c r="G17" s="47">
        <v>3</v>
      </c>
      <c r="H17" s="133">
        <f>IF(B$17=0,0,G17/B$17)</f>
        <v>1.4218009478672985E-2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87</v>
      </c>
      <c r="C18" s="39">
        <f>IF(B$17=0,0,B18/B$17)</f>
        <v>0.41232227488151657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124</v>
      </c>
      <c r="C19" s="39">
        <f>IF(B$17=0,0,B19/B$17)</f>
        <v>0.58767772511848337</v>
      </c>
      <c r="E19" s="63" t="s">
        <v>82</v>
      </c>
      <c r="F19" s="60" t="s">
        <v>37</v>
      </c>
      <c r="G19" s="47">
        <v>8</v>
      </c>
      <c r="H19" s="133">
        <f>IF(B$17=0,0,G19/B$17)</f>
        <v>3.7914691943127965E-2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130</v>
      </c>
      <c r="C20" s="39">
        <f>IF(B$3=0,0,B20/B$3)</f>
        <v>0.17473118279569894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5.2132701421800945E-2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9.4786729857819912E-3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9831.2796208530799</v>
      </c>
      <c r="C23" s="41">
        <v>2074400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-8504.6153846153848</v>
      </c>
      <c r="C24" s="45">
        <v>-1105600</v>
      </c>
      <c r="E24" s="63" t="s">
        <v>87</v>
      </c>
      <c r="F24" s="60" t="s">
        <v>42</v>
      </c>
      <c r="G24" s="47">
        <v>16</v>
      </c>
      <c r="H24" s="133">
        <f>IF(B$17=0,0,G24/B$17)</f>
        <v>7.582938388625593E-2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4.7393364928909956E-3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1.3440860215053765E-3</v>
      </c>
      <c r="E27" s="63" t="s">
        <v>90</v>
      </c>
      <c r="F27" s="60" t="s">
        <v>45</v>
      </c>
      <c r="G27" s="47">
        <v>35</v>
      </c>
      <c r="H27" s="133">
        <f>IF(B$17=0,0,G27/B$17)</f>
        <v>0.16587677725118483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2.843601895734597E-2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9.4786729857819912E-3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4.7393364928909956E-3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1.8957345971563982E-2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80</v>
      </c>
      <c r="H51" s="140">
        <f>IF(B$17=0,0,G51/B$17)</f>
        <v>0.37914691943127959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</sheetData>
  <sortState ref="E2:I9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78</v>
      </c>
      <c r="C2" s="151"/>
      <c r="E2" s="62" t="s">
        <v>67</v>
      </c>
      <c r="F2" s="59" t="s">
        <v>23</v>
      </c>
      <c r="G2" s="46">
        <v>151</v>
      </c>
      <c r="H2" s="132">
        <f>IF(B$17=0,0,G2/B$17)</f>
        <v>0.65938864628820959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630.76923076923072</v>
      </c>
      <c r="P2" s="118">
        <v>78</v>
      </c>
      <c r="Q2" s="102">
        <v>49200</v>
      </c>
    </row>
    <row r="3" spans="1:17" x14ac:dyDescent="0.4">
      <c r="A3" s="55" t="s">
        <v>8</v>
      </c>
      <c r="B3" s="152">
        <v>666</v>
      </c>
      <c r="C3" s="153"/>
      <c r="E3" s="63" t="s">
        <v>73</v>
      </c>
      <c r="F3" s="60" t="s">
        <v>28</v>
      </c>
      <c r="G3" s="47">
        <v>133</v>
      </c>
      <c r="H3" s="133">
        <f>IF(B$17=0,0,G3/B$17)</f>
        <v>0.58078602620087338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-897.43589743589746</v>
      </c>
      <c r="P3" s="119">
        <v>78</v>
      </c>
      <c r="Q3" s="103">
        <v>-70000</v>
      </c>
    </row>
    <row r="4" spans="1:17" x14ac:dyDescent="0.4">
      <c r="A4" s="55" t="s">
        <v>6</v>
      </c>
      <c r="B4" s="154">
        <v>-38.600000000000016</v>
      </c>
      <c r="C4" s="155"/>
      <c r="E4" s="63" t="s">
        <v>245</v>
      </c>
      <c r="F4" s="60" t="s">
        <v>246</v>
      </c>
      <c r="G4" s="47">
        <v>99</v>
      </c>
      <c r="H4" s="133">
        <f>IF(B$17=0,0,G4/B$17)</f>
        <v>0.43231441048034935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-1478.5714285714287</v>
      </c>
      <c r="P4" s="119">
        <v>70</v>
      </c>
      <c r="Q4" s="103">
        <v>-103500</v>
      </c>
    </row>
    <row r="5" spans="1:17" x14ac:dyDescent="0.4">
      <c r="A5" s="55" t="s">
        <v>7</v>
      </c>
      <c r="B5" s="156">
        <f>IF(B$2=0,0,B$4/B$2)</f>
        <v>-0.49487179487179506</v>
      </c>
      <c r="C5" s="157"/>
      <c r="E5" s="63" t="s">
        <v>65</v>
      </c>
      <c r="F5" s="60" t="s">
        <v>21</v>
      </c>
      <c r="G5" s="47">
        <v>79</v>
      </c>
      <c r="H5" s="133">
        <f>IF(B$17=0,0,G5/B$17)</f>
        <v>0.34497816593886466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740.90909090909088</v>
      </c>
      <c r="P5" s="119">
        <v>66</v>
      </c>
      <c r="Q5" s="103">
        <v>48900</v>
      </c>
    </row>
    <row r="6" spans="1:17" x14ac:dyDescent="0.4">
      <c r="A6" s="55" t="s">
        <v>1</v>
      </c>
      <c r="B6" s="146">
        <f>IF(B$2=0,0,(B$7*1+B$8*2+B$9*3)/B$2)</f>
        <v>2.0384615384615383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0.26200873362445415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900</v>
      </c>
      <c r="P6" s="119">
        <v>62</v>
      </c>
      <c r="Q6" s="103">
        <v>55800</v>
      </c>
    </row>
    <row r="7" spans="1:17" x14ac:dyDescent="0.4">
      <c r="A7" s="55" t="s">
        <v>2</v>
      </c>
      <c r="B7" s="47">
        <v>21</v>
      </c>
      <c r="C7" s="39">
        <f>IF(B$2=0,0,B7/B$2)</f>
        <v>0.26923076923076922</v>
      </c>
      <c r="E7" s="63" t="s">
        <v>68</v>
      </c>
      <c r="F7" s="60" t="s">
        <v>24</v>
      </c>
      <c r="G7" s="47">
        <v>40</v>
      </c>
      <c r="H7" s="133">
        <f>IF(B$17=0,0,G7/B$17)</f>
        <v>0.17467248908296942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-372.22222222222223</v>
      </c>
      <c r="P7" s="120">
        <v>54</v>
      </c>
      <c r="Q7" s="104">
        <v>-20100</v>
      </c>
    </row>
    <row r="8" spans="1:17" x14ac:dyDescent="0.4">
      <c r="A8" s="55" t="s">
        <v>3</v>
      </c>
      <c r="B8" s="47">
        <v>33</v>
      </c>
      <c r="C8" s="39">
        <f>IF(B$2=0,0,B8/B$2)</f>
        <v>0.42307692307692307</v>
      </c>
      <c r="E8" s="63" t="s">
        <v>70</v>
      </c>
      <c r="F8" s="60" t="s">
        <v>25</v>
      </c>
      <c r="G8" s="47">
        <v>33</v>
      </c>
      <c r="H8" s="133">
        <f>IF(B$17=0,0,G8/B$17)</f>
        <v>0.14410480349344978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0.30769230769230771</v>
      </c>
      <c r="E9" s="63" t="s">
        <v>66</v>
      </c>
      <c r="F9" s="60" t="s">
        <v>22</v>
      </c>
      <c r="G9" s="47">
        <v>26</v>
      </c>
      <c r="H9" s="133">
        <f>IF(B$17=0,0,G9/B$17)</f>
        <v>0.11353711790393013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5.128205128205128E-2</v>
      </c>
      <c r="E10" s="63" t="s">
        <v>72</v>
      </c>
      <c r="F10" s="60" t="s">
        <v>27</v>
      </c>
      <c r="G10" s="47">
        <v>19</v>
      </c>
      <c r="H10" s="133">
        <f>IF(B$17=0,0,G10/B$17)</f>
        <v>8.296943231441048E-2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-7.654545454545457</v>
      </c>
      <c r="P10" s="118">
        <v>22</v>
      </c>
      <c r="Q10" s="106">
        <v>-168.40000000000006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0.11538461538461539</v>
      </c>
      <c r="E11" s="63" t="s">
        <v>90</v>
      </c>
      <c r="F11" s="60" t="s">
        <v>45</v>
      </c>
      <c r="G11" s="47">
        <v>18</v>
      </c>
      <c r="H11" s="133">
        <f>IF(B$17=0,0,G11/B$17)</f>
        <v>7.8602620087336247E-2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5.0640000000000001</v>
      </c>
      <c r="P11" s="119">
        <v>25</v>
      </c>
      <c r="Q11" s="107">
        <v>126.6</v>
      </c>
    </row>
    <row r="12" spans="1:17" x14ac:dyDescent="0.4">
      <c r="A12" s="57" t="s">
        <v>160</v>
      </c>
      <c r="B12" s="49">
        <v>6</v>
      </c>
      <c r="C12" s="42">
        <f>IF(B$2=0,0,B12/B$2)</f>
        <v>7.6923076923076927E-2</v>
      </c>
      <c r="E12" s="63" t="s">
        <v>71</v>
      </c>
      <c r="F12" s="60" t="s">
        <v>26</v>
      </c>
      <c r="G12" s="47">
        <v>15</v>
      </c>
      <c r="H12" s="133">
        <f>IF(B$17=0,0,G12/B$17)</f>
        <v>6.5502183406113537E-2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0.10322580645161285</v>
      </c>
      <c r="P12" s="120">
        <v>31</v>
      </c>
      <c r="Q12" s="108">
        <v>3.1999999999999984</v>
      </c>
    </row>
    <row r="13" spans="1:17" x14ac:dyDescent="0.4">
      <c r="A13" s="58" t="s">
        <v>122</v>
      </c>
      <c r="B13" s="50">
        <v>142</v>
      </c>
      <c r="C13" s="44">
        <f>IF(B$3=0,0,B13/B$3)</f>
        <v>0.21321321321321321</v>
      </c>
      <c r="E13" s="63" t="s">
        <v>84</v>
      </c>
      <c r="F13" s="60" t="s">
        <v>39</v>
      </c>
      <c r="G13" s="47">
        <v>15</v>
      </c>
      <c r="H13" s="133">
        <f>IF(B$17=0,0,G13/B$17)</f>
        <v>6.5502183406113537E-2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0.29129129129129128</v>
      </c>
      <c r="E14" s="63" t="s">
        <v>82</v>
      </c>
      <c r="F14" s="60" t="s">
        <v>37</v>
      </c>
      <c r="G14" s="47">
        <v>8</v>
      </c>
      <c r="H14" s="133">
        <f>IF(B$17=0,0,G14/B$17)</f>
        <v>3.4934497816593885E-2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0.56338028169014087</v>
      </c>
      <c r="E15" s="63" t="s">
        <v>87</v>
      </c>
      <c r="F15" s="60" t="s">
        <v>42</v>
      </c>
      <c r="G15" s="47">
        <v>8</v>
      </c>
      <c r="H15" s="133">
        <f>IF(B$17=0,0,G15/B$17)</f>
        <v>3.4934497816593885E-2</v>
      </c>
      <c r="I15" s="94">
        <v>9</v>
      </c>
      <c r="K15" s="38">
        <v>13</v>
      </c>
      <c r="L15" s="99">
        <v>-3</v>
      </c>
      <c r="N15" s="114" t="s">
        <v>129</v>
      </c>
      <c r="O15" s="124">
        <f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82</v>
      </c>
      <c r="C16" s="37">
        <f>IF(B$14=0,0,B16/B$14)</f>
        <v>0.42268041237113402</v>
      </c>
      <c r="E16" s="63" t="s">
        <v>92</v>
      </c>
      <c r="F16" s="60" t="s">
        <v>47</v>
      </c>
      <c r="G16" s="47">
        <v>4</v>
      </c>
      <c r="H16" s="133">
        <f>IF(B$17=0,0,G16/B$17)</f>
        <v>1.7467248908296942E-2</v>
      </c>
      <c r="I16" s="94">
        <v>6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229</v>
      </c>
      <c r="C17" s="37">
        <f>IF(B$3=0,0,B17/B$3)</f>
        <v>0.34384384384384387</v>
      </c>
      <c r="E17" s="63" t="s">
        <v>79</v>
      </c>
      <c r="F17" s="60" t="s">
        <v>34</v>
      </c>
      <c r="G17" s="47">
        <v>3</v>
      </c>
      <c r="H17" s="133">
        <f>IF(B$17=0,0,G17/B$17)</f>
        <v>1.3100436681222707E-2</v>
      </c>
      <c r="I17" s="94">
        <v>10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0.42358078602620086</v>
      </c>
      <c r="E18" s="63" t="s">
        <v>80</v>
      </c>
      <c r="F18" s="60" t="s">
        <v>35</v>
      </c>
      <c r="G18" s="47">
        <v>3</v>
      </c>
      <c r="H18" s="133">
        <f>IF(B$17=0,0,G18/B$17)</f>
        <v>1.3100436681222707E-2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132</v>
      </c>
      <c r="C19" s="39">
        <f>IF(B$17=0,0,B19/B$17)</f>
        <v>0.57641921397379914</v>
      </c>
      <c r="E19" s="63" t="s">
        <v>74</v>
      </c>
      <c r="F19" s="60" t="s">
        <v>29</v>
      </c>
      <c r="G19" s="47">
        <v>1</v>
      </c>
      <c r="H19" s="133">
        <f>IF(B$17=0,0,G19/B$17)</f>
        <v>4.3668122270742356E-3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92</v>
      </c>
      <c r="C20" s="39">
        <f>IF(B$3=0,0,B20/B$3)</f>
        <v>0.13813813813813813</v>
      </c>
      <c r="E20" s="63" t="s">
        <v>75</v>
      </c>
      <c r="F20" s="60" t="s">
        <v>30</v>
      </c>
      <c r="G20" s="47">
        <v>1</v>
      </c>
      <c r="H20" s="133">
        <f>IF(B$17=0,0,G20/B$17)</f>
        <v>4.3668122270742356E-3</v>
      </c>
      <c r="I20" s="94">
        <v>4</v>
      </c>
      <c r="K20" s="38">
        <v>18</v>
      </c>
      <c r="L20" s="99">
        <v>-28.199999999999996</v>
      </c>
      <c r="N20" s="115" t="s">
        <v>200</v>
      </c>
      <c r="O20" s="125">
        <f>IF(P20=0,0,Q20/P20)</f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4.3668122270742356E-3</v>
      </c>
      <c r="I21" s="94">
        <v>6</v>
      </c>
      <c r="K21" s="38">
        <v>19</v>
      </c>
      <c r="L21" s="99">
        <v>29.200000000000003</v>
      </c>
      <c r="N21" s="115" t="s">
        <v>177</v>
      </c>
      <c r="O21" s="125">
        <f>IF(P21=0,0,Q21/P21)</f>
        <v>-3.7111111111111117</v>
      </c>
      <c r="P21" s="119">
        <v>18</v>
      </c>
      <c r="Q21" s="107">
        <v>-66.800000000000011</v>
      </c>
    </row>
    <row r="22" spans="1:17" x14ac:dyDescent="0.4">
      <c r="A22" s="55" t="s">
        <v>192</v>
      </c>
      <c r="B22" s="47">
        <v>23</v>
      </c>
      <c r="C22" s="135">
        <v>9</v>
      </c>
      <c r="E22" s="63" t="s">
        <v>88</v>
      </c>
      <c r="F22" s="60" t="s">
        <v>43</v>
      </c>
      <c r="G22" s="47">
        <v>1</v>
      </c>
      <c r="H22" s="133">
        <f>IF(B$17=0,0,G22/B$17)</f>
        <v>4.3668122270742356E-3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6775.1091703056773</v>
      </c>
      <c r="C23" s="41">
        <v>1551500</v>
      </c>
      <c r="E23" s="63" t="s">
        <v>91</v>
      </c>
      <c r="F23" s="60" t="s">
        <v>46</v>
      </c>
      <c r="G23" s="47">
        <v>1</v>
      </c>
      <c r="H23" s="133">
        <f>IF(B$17=0,0,G23/B$17)</f>
        <v>4.3668122270742356E-3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-21.160465116279067</v>
      </c>
      <c r="P23" s="119">
        <v>43</v>
      </c>
      <c r="Q23" s="107">
        <v>-909.89999999999986</v>
      </c>
    </row>
    <row r="24" spans="1:17" x14ac:dyDescent="0.4">
      <c r="A24" s="57" t="s">
        <v>14</v>
      </c>
      <c r="B24" s="52">
        <f>IF(B$20=0,0,C24/B$20)</f>
        <v>-8579.347826086956</v>
      </c>
      <c r="C24" s="45">
        <v>-789300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1.5015015015015015E-3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45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0.43103448275862066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-2853.3333333333335</v>
      </c>
      <c r="P2" s="118">
        <v>45</v>
      </c>
      <c r="Q2" s="102">
        <v>-128400</v>
      </c>
    </row>
    <row r="3" spans="1:17" x14ac:dyDescent="0.4">
      <c r="A3" s="55" t="s">
        <v>8</v>
      </c>
      <c r="B3" s="152">
        <v>389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7.7586206896551727E-2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2168.8888888888887</v>
      </c>
      <c r="P3" s="119">
        <v>45</v>
      </c>
      <c r="Q3" s="103">
        <v>97600</v>
      </c>
    </row>
    <row r="4" spans="1:17" x14ac:dyDescent="0.4">
      <c r="A4" s="55" t="s">
        <v>6</v>
      </c>
      <c r="B4" s="154">
        <v>-295.39999999999998</v>
      </c>
      <c r="C4" s="155"/>
      <c r="E4" s="63" t="s">
        <v>67</v>
      </c>
      <c r="F4" s="60" t="s">
        <v>23</v>
      </c>
      <c r="G4" s="47">
        <v>78</v>
      </c>
      <c r="H4" s="133">
        <f>IF(B$17=0,0,G4/B$17)</f>
        <v>0.67241379310344829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-865.11627906976742</v>
      </c>
      <c r="P4" s="119">
        <v>43</v>
      </c>
      <c r="Q4" s="103">
        <v>-37200</v>
      </c>
    </row>
    <row r="5" spans="1:17" x14ac:dyDescent="0.4">
      <c r="A5" s="55" t="s">
        <v>7</v>
      </c>
      <c r="B5" s="156">
        <f>IF(B$2=0,0,B$4/B$2)</f>
        <v>-6.5644444444444439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0.2413793103448276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-3805</v>
      </c>
      <c r="P5" s="119">
        <v>40</v>
      </c>
      <c r="Q5" s="103">
        <v>-152200</v>
      </c>
    </row>
    <row r="6" spans="1:17" x14ac:dyDescent="0.4">
      <c r="A6" s="55" t="s">
        <v>1</v>
      </c>
      <c r="B6" s="146">
        <f>IF(B$2=0,0,(B$7*1+B$8*2+B$9*3)/B$2)</f>
        <v>2.088888888888889</v>
      </c>
      <c r="C6" s="147"/>
      <c r="E6" s="63" t="s">
        <v>69</v>
      </c>
      <c r="F6" s="60" t="s">
        <v>12</v>
      </c>
      <c r="G6" s="47">
        <v>45</v>
      </c>
      <c r="H6" s="133">
        <f>IF(B$17=0,0,G6/B$17)</f>
        <v>0.38793103448275862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-205.55555555555554</v>
      </c>
      <c r="P6" s="119">
        <v>36</v>
      </c>
      <c r="Q6" s="103">
        <v>-7400</v>
      </c>
    </row>
    <row r="7" spans="1:17" x14ac:dyDescent="0.4">
      <c r="A7" s="55" t="s">
        <v>2</v>
      </c>
      <c r="B7" s="47">
        <v>13</v>
      </c>
      <c r="C7" s="39">
        <f>IF(B$2=0,0,B7/B$2)</f>
        <v>0.28888888888888886</v>
      </c>
      <c r="E7" s="63" t="s">
        <v>70</v>
      </c>
      <c r="F7" s="60" t="s">
        <v>25</v>
      </c>
      <c r="G7" s="47">
        <v>13</v>
      </c>
      <c r="H7" s="133">
        <f>IF(B$17=0,0,G7/B$17)</f>
        <v>0.11206896551724138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0.33333333333333331</v>
      </c>
      <c r="E8" s="63" t="s">
        <v>71</v>
      </c>
      <c r="F8" s="60" t="s">
        <v>26</v>
      </c>
      <c r="G8" s="47">
        <v>14</v>
      </c>
      <c r="H8" s="133">
        <f>IF(B$17=0,0,G8/B$17)</f>
        <v>0.1206896551724138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0.37777777777777777</v>
      </c>
      <c r="E9" s="63" t="s">
        <v>72</v>
      </c>
      <c r="F9" s="60" t="s">
        <v>27</v>
      </c>
      <c r="G9" s="47">
        <v>6</v>
      </c>
      <c r="H9" s="133">
        <f>IF(B$17=0,0,G9/B$17)</f>
        <v>5.1724137931034482E-2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0.1111111111111111</v>
      </c>
      <c r="E10" s="63" t="s">
        <v>73</v>
      </c>
      <c r="F10" s="60" t="s">
        <v>28</v>
      </c>
      <c r="G10" s="47">
        <v>61</v>
      </c>
      <c r="H10" s="133">
        <f>IF(B$17=0,0,G10/B$17)</f>
        <v>0.52586206896551724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6.6666666666666666E-2</v>
      </c>
      <c r="E11" s="63" t="s">
        <v>74</v>
      </c>
      <c r="F11" s="60" t="s">
        <v>29</v>
      </c>
      <c r="G11" s="47">
        <v>2</v>
      </c>
      <c r="H11" s="133">
        <f>IF(B$17=0,0,G11/B$17)</f>
        <v>1.7241379310344827E-2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4.4444444444444446E-2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0.22879177377892032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99</v>
      </c>
      <c r="C14" s="39">
        <f>IF(B$3=0,0,B14/B$3)</f>
        <v>0.25449871465295631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2</v>
      </c>
      <c r="H16" s="133">
        <f>IF(B$17=0,0,G16/B$17)</f>
        <v>1.7241379310344827E-2</v>
      </c>
      <c r="I16" s="94">
        <v>9</v>
      </c>
      <c r="K16" s="38">
        <v>14</v>
      </c>
      <c r="L16" s="99">
        <v>-269.99999999999994</v>
      </c>
      <c r="N16" s="115" t="s">
        <v>128</v>
      </c>
      <c r="O16" s="125">
        <f t="shared" si="2"/>
        <v>-5.6727272727272711</v>
      </c>
      <c r="P16" s="119">
        <v>22</v>
      </c>
      <c r="Q16" s="107">
        <v>-124.79999999999997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0.29820051413881749</v>
      </c>
      <c r="E17" s="63" t="s">
        <v>80</v>
      </c>
      <c r="F17" s="60" t="s">
        <v>35</v>
      </c>
      <c r="G17" s="47">
        <v>2</v>
      </c>
      <c r="H17" s="133">
        <f>IF(B$17=0,0,G17/B$17)</f>
        <v>1.7241379310344827E-2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0.50862068965517238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-11.647058823529409</v>
      </c>
      <c r="P18" s="119">
        <v>17</v>
      </c>
      <c r="Q18" s="107">
        <v>-197.99999999999997</v>
      </c>
    </row>
    <row r="19" spans="1:17" x14ac:dyDescent="0.4">
      <c r="A19" s="55" t="s">
        <v>11</v>
      </c>
      <c r="B19" s="47">
        <v>57</v>
      </c>
      <c r="C19" s="39">
        <f>IF(B$17=0,0,B19/B$17)</f>
        <v>0.49137931034482757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177</v>
      </c>
      <c r="O19" s="125">
        <f t="shared" si="2"/>
        <v>-13.028571428571427</v>
      </c>
      <c r="P19" s="119">
        <v>7</v>
      </c>
      <c r="Q19" s="107">
        <v>-91.199999999999989</v>
      </c>
    </row>
    <row r="20" spans="1:17" x14ac:dyDescent="0.4">
      <c r="A20" s="55" t="s">
        <v>13</v>
      </c>
      <c r="B20" s="47">
        <v>73</v>
      </c>
      <c r="C20" s="39">
        <f>IF(B$3=0,0,B20/B$3)</f>
        <v>0.18766066838046272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1.7241379310344827E-2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6945.6896551724139</v>
      </c>
      <c r="C23" s="41">
        <v>805700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-7787.6712328767126</v>
      </c>
      <c r="C24" s="45">
        <v>-568500</v>
      </c>
      <c r="E24" s="63" t="s">
        <v>87</v>
      </c>
      <c r="F24" s="60" t="s">
        <v>42</v>
      </c>
      <c r="G24" s="47">
        <v>4</v>
      </c>
      <c r="H24" s="133">
        <f>IF(B$17=0,0,G24/B$17)</f>
        <v>3.4482758620689655E-2</v>
      </c>
      <c r="I24" s="94">
        <v>10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8.6206896551724137E-3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5.1413881748071976E-3</v>
      </c>
      <c r="E27" s="63" t="s">
        <v>90</v>
      </c>
      <c r="F27" s="60" t="s">
        <v>45</v>
      </c>
      <c r="G27" s="47">
        <v>14</v>
      </c>
      <c r="H27" s="133">
        <f>IF(B$17=0,0,G27/B$17)</f>
        <v>0.1206896551724138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1.7241379310344827E-2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1.7241379310344827E-2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46</v>
      </c>
      <c r="H51" s="140">
        <f>IF(B$17=0,0,G51/B$17)</f>
        <v>0.39655172413793105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65</v>
      </c>
      <c r="C2" s="151"/>
      <c r="E2" s="62" t="s">
        <v>65</v>
      </c>
      <c r="F2" s="59" t="s">
        <v>21</v>
      </c>
      <c r="G2" s="46">
        <v>98</v>
      </c>
      <c r="H2" s="132">
        <f>IF(B$17=0,0,G2/B$17)</f>
        <v>0.62420382165605093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1382.8125</v>
      </c>
      <c r="P2" s="118">
        <v>64</v>
      </c>
      <c r="Q2" s="102">
        <v>88500</v>
      </c>
    </row>
    <row r="3" spans="1:17" x14ac:dyDescent="0.4">
      <c r="A3" s="55" t="s">
        <v>8</v>
      </c>
      <c r="B3" s="152">
        <v>519</v>
      </c>
      <c r="C3" s="153"/>
      <c r="E3" s="63" t="s">
        <v>67</v>
      </c>
      <c r="F3" s="60" t="s">
        <v>23</v>
      </c>
      <c r="G3" s="47">
        <v>90</v>
      </c>
      <c r="H3" s="133">
        <f>IF(B$17=0,0,G3/B$17)</f>
        <v>0.57324840764331209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1136.0655737704917</v>
      </c>
      <c r="P3" s="119">
        <v>61</v>
      </c>
      <c r="Q3" s="103">
        <v>69300</v>
      </c>
    </row>
    <row r="4" spans="1:17" x14ac:dyDescent="0.4">
      <c r="A4" s="55" t="s">
        <v>6</v>
      </c>
      <c r="B4" s="154">
        <v>323.60000000000002</v>
      </c>
      <c r="C4" s="155"/>
      <c r="E4" s="63" t="s">
        <v>245</v>
      </c>
      <c r="F4" s="60" t="s">
        <v>246</v>
      </c>
      <c r="G4" s="47">
        <v>68</v>
      </c>
      <c r="H4" s="133">
        <f>IF(B$17=0,0,G4/B$17)</f>
        <v>0.43312101910828027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-752.72727272727275</v>
      </c>
      <c r="P4" s="119">
        <v>55</v>
      </c>
      <c r="Q4" s="103">
        <v>-41400</v>
      </c>
    </row>
    <row r="5" spans="1:17" x14ac:dyDescent="0.4">
      <c r="A5" s="55" t="s">
        <v>7</v>
      </c>
      <c r="B5" s="156">
        <f>IF(B$2=0,0,B$4/B$2)</f>
        <v>4.9784615384615387</v>
      </c>
      <c r="C5" s="157"/>
      <c r="E5" s="63" t="s">
        <v>73</v>
      </c>
      <c r="F5" s="60" t="s">
        <v>28</v>
      </c>
      <c r="G5" s="47">
        <v>61</v>
      </c>
      <c r="H5" s="133">
        <f>IF(B$17=0,0,G5/B$17)</f>
        <v>0.38853503184713378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2473.5849056603774</v>
      </c>
      <c r="P5" s="119">
        <v>53</v>
      </c>
      <c r="Q5" s="103">
        <v>131100</v>
      </c>
    </row>
    <row r="6" spans="1:17" x14ac:dyDescent="0.4">
      <c r="A6" s="55" t="s">
        <v>1</v>
      </c>
      <c r="B6" s="146">
        <f>IF(B$2=0,0,(B$7*1+B$8*2+B$9*3)/B$2)</f>
        <v>1.8615384615384616</v>
      </c>
      <c r="C6" s="147"/>
      <c r="E6" s="63" t="s">
        <v>68</v>
      </c>
      <c r="F6" s="60" t="s">
        <v>24</v>
      </c>
      <c r="G6" s="47">
        <v>58</v>
      </c>
      <c r="H6" s="133">
        <f>IF(B$17=0,0,G6/B$17)</f>
        <v>0.36942675159235666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-1159.5744680851064</v>
      </c>
      <c r="P6" s="119">
        <v>47</v>
      </c>
      <c r="Q6" s="103">
        <v>-54500</v>
      </c>
    </row>
    <row r="7" spans="1:17" x14ac:dyDescent="0.4">
      <c r="A7" s="55" t="s">
        <v>2</v>
      </c>
      <c r="B7" s="47">
        <v>27</v>
      </c>
      <c r="C7" s="39">
        <f>IF(B$2=0,0,B7/B$2)</f>
        <v>0.41538461538461541</v>
      </c>
      <c r="E7" s="63" t="s">
        <v>69</v>
      </c>
      <c r="F7" s="60" t="s">
        <v>12</v>
      </c>
      <c r="G7" s="47">
        <v>51</v>
      </c>
      <c r="H7" s="133">
        <f>IF(B$17=0,0,G7/B$17)</f>
        <v>0.32484076433121017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276.92307692307691</v>
      </c>
      <c r="P7" s="120">
        <v>39</v>
      </c>
      <c r="Q7" s="104">
        <v>10800</v>
      </c>
    </row>
    <row r="8" spans="1:17" x14ac:dyDescent="0.4">
      <c r="A8" s="55" t="s">
        <v>3</v>
      </c>
      <c r="B8" s="47">
        <v>20</v>
      </c>
      <c r="C8" s="39">
        <f>IF(B$2=0,0,B8/B$2)</f>
        <v>0.30769230769230771</v>
      </c>
      <c r="E8" s="63" t="s">
        <v>70</v>
      </c>
      <c r="F8" s="60" t="s">
        <v>25</v>
      </c>
      <c r="G8" s="47">
        <v>27</v>
      </c>
      <c r="H8" s="133">
        <f>IF(B$17=0,0,G8/B$17)</f>
        <v>0.17197452229299362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0.27692307692307694</v>
      </c>
      <c r="E9" s="63" t="s">
        <v>66</v>
      </c>
      <c r="F9" s="60" t="s">
        <v>22</v>
      </c>
      <c r="G9" s="47">
        <v>19</v>
      </c>
      <c r="H9" s="133">
        <f>IF(B$17=0,0,G9/B$17)</f>
        <v>0.12101910828025478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0.15384615384615385</v>
      </c>
      <c r="E10" s="63" t="s">
        <v>90</v>
      </c>
      <c r="F10" s="60" t="s">
        <v>45</v>
      </c>
      <c r="G10" s="47">
        <v>17</v>
      </c>
      <c r="H10" s="133">
        <f>IF(B$17=0,0,G10/B$17)</f>
        <v>0.10828025477707007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5.723809523809523</v>
      </c>
      <c r="P10" s="118">
        <v>21</v>
      </c>
      <c r="Q10" s="106">
        <v>120.19999999999999</v>
      </c>
    </row>
    <row r="11" spans="1:17" x14ac:dyDescent="0.4">
      <c r="A11" s="56" t="s">
        <v>140</v>
      </c>
      <c r="B11" s="48">
        <v>9</v>
      </c>
      <c r="C11" s="40">
        <f>IF(B$2=0,0,B11/B$2)</f>
        <v>0.13846153846153847</v>
      </c>
      <c r="E11" s="63" t="s">
        <v>71</v>
      </c>
      <c r="F11" s="60" t="s">
        <v>26</v>
      </c>
      <c r="G11" s="47">
        <v>11</v>
      </c>
      <c r="H11" s="133">
        <f>IF(B$17=0,0,G11/B$17)</f>
        <v>7.0063694267515922E-2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11.691666666666668</v>
      </c>
      <c r="P11" s="119">
        <v>24</v>
      </c>
      <c r="Q11" s="107">
        <v>280.60000000000002</v>
      </c>
    </row>
    <row r="12" spans="1:17" x14ac:dyDescent="0.4">
      <c r="A12" s="57" t="s">
        <v>160</v>
      </c>
      <c r="B12" s="49">
        <v>5</v>
      </c>
      <c r="C12" s="42">
        <f>IF(B$2=0,0,B12/B$2)</f>
        <v>7.6923076923076927E-2</v>
      </c>
      <c r="E12" s="63" t="s">
        <v>72</v>
      </c>
      <c r="F12" s="60" t="s">
        <v>27</v>
      </c>
      <c r="G12" s="47">
        <v>9</v>
      </c>
      <c r="H12" s="133">
        <f>IF(B$17=0,0,G12/B$17)</f>
        <v>5.7324840764331211E-2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-3.8600000000000003</v>
      </c>
      <c r="P12" s="120">
        <v>20</v>
      </c>
      <c r="Q12" s="108">
        <v>-77.2</v>
      </c>
    </row>
    <row r="13" spans="1:17" x14ac:dyDescent="0.4">
      <c r="A13" s="58" t="s">
        <v>122</v>
      </c>
      <c r="B13" s="50">
        <v>153</v>
      </c>
      <c r="C13" s="44">
        <f>IF(B$3=0,0,B13/B$3)</f>
        <v>0.2947976878612717</v>
      </c>
      <c r="E13" s="63" t="s">
        <v>87</v>
      </c>
      <c r="F13" s="60" t="s">
        <v>42</v>
      </c>
      <c r="G13" s="47">
        <v>8</v>
      </c>
      <c r="H13" s="133">
        <f>IF(B$17=0,0,G13/B$17)</f>
        <v>5.0955414012738856E-2</v>
      </c>
      <c r="I13" s="94">
        <v>8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91</v>
      </c>
      <c r="C14" s="39">
        <f>IF(B$3=0,0,B14/B$3)</f>
        <v>0.17533718689788053</v>
      </c>
      <c r="E14" s="63" t="s">
        <v>84</v>
      </c>
      <c r="F14" s="60" t="s">
        <v>39</v>
      </c>
      <c r="G14" s="47">
        <v>7</v>
      </c>
      <c r="H14" s="133">
        <f>IF(B$17=0,0,G14/B$17)</f>
        <v>4.4585987261146494E-2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98</v>
      </c>
      <c r="C15" s="37">
        <f>IF(B$13=0,0,B15/B$13)</f>
        <v>0.64052287581699341</v>
      </c>
      <c r="E15" s="63" t="s">
        <v>79</v>
      </c>
      <c r="F15" s="60" t="s">
        <v>34</v>
      </c>
      <c r="G15" s="47">
        <v>5</v>
      </c>
      <c r="H15" s="133">
        <f>IF(B$17=0,0,G15/B$17)</f>
        <v>3.1847133757961783E-2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33</v>
      </c>
      <c r="C16" s="37">
        <f>IF(B$14=0,0,B16/B$14)</f>
        <v>0.36263736263736263</v>
      </c>
      <c r="E16" s="63" t="s">
        <v>92</v>
      </c>
      <c r="F16" s="60" t="s">
        <v>47</v>
      </c>
      <c r="G16" s="47">
        <v>5</v>
      </c>
      <c r="H16" s="133">
        <f>IF(B$17=0,0,G16/B$17)</f>
        <v>3.1847133757961783E-2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157</v>
      </c>
      <c r="C17" s="37">
        <f>IF(B$3=0,0,B17/B$3)</f>
        <v>0.30250481695568399</v>
      </c>
      <c r="E17" s="63" t="s">
        <v>82</v>
      </c>
      <c r="F17" s="60" t="s">
        <v>37</v>
      </c>
      <c r="G17" s="47">
        <v>4</v>
      </c>
      <c r="H17" s="133">
        <f>IF(B$17=0,0,G17/B$17)</f>
        <v>2.5477707006369428E-2</v>
      </c>
      <c r="I17" s="94">
        <v>8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0.45222929936305734</v>
      </c>
      <c r="E18" s="63" t="s">
        <v>86</v>
      </c>
      <c r="F18" s="60" t="s">
        <v>41</v>
      </c>
      <c r="G18" s="47">
        <v>3</v>
      </c>
      <c r="H18" s="133">
        <f>IF(B$17=0,0,G18/B$17)</f>
        <v>1.9108280254777069E-2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86</v>
      </c>
      <c r="C19" s="39">
        <f>IF(B$17=0,0,B19/B$17)</f>
        <v>0.54777070063694266</v>
      </c>
      <c r="E19" s="63" t="s">
        <v>80</v>
      </c>
      <c r="F19" s="60" t="s">
        <v>35</v>
      </c>
      <c r="G19" s="47">
        <v>2</v>
      </c>
      <c r="H19" s="133">
        <f>IF(B$17=0,0,G19/B$17)</f>
        <v>1.2738853503184714E-2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>IF(P19=0,0,Q19/P19)</f>
        <v>13.02857142857143</v>
      </c>
      <c r="P19" s="119">
        <v>7</v>
      </c>
      <c r="Q19" s="107">
        <v>91.200000000000017</v>
      </c>
    </row>
    <row r="20" spans="1:17" x14ac:dyDescent="0.4">
      <c r="A20" s="55" t="s">
        <v>13</v>
      </c>
      <c r="B20" s="47">
        <v>77</v>
      </c>
      <c r="C20" s="39">
        <f>IF(B$3=0,0,B20/B$3)</f>
        <v>0.14836223506743737</v>
      </c>
      <c r="E20" s="63" t="s">
        <v>91</v>
      </c>
      <c r="F20" s="60" t="s">
        <v>46</v>
      </c>
      <c r="G20" s="47">
        <v>2</v>
      </c>
      <c r="H20" s="133">
        <f>IF(B$17=0,0,G20/B$17)</f>
        <v>1.2738853503184714E-2</v>
      </c>
      <c r="I20" s="94">
        <v>1</v>
      </c>
      <c r="K20" s="38">
        <v>18</v>
      </c>
      <c r="L20" s="99">
        <v>-159</v>
      </c>
      <c r="N20" s="115" t="s">
        <v>128</v>
      </c>
      <c r="O20" s="125">
        <f>IF(P20=0,0,Q20/P20)</f>
        <v>11.464</v>
      </c>
      <c r="P20" s="119">
        <v>25</v>
      </c>
      <c r="Q20" s="107">
        <v>286.60000000000002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1</v>
      </c>
      <c r="H21" s="133">
        <f>IF(B$17=0,0,G21/B$17)</f>
        <v>6.369426751592357E-3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3.7111111111111086</v>
      </c>
      <c r="P21" s="119">
        <v>18</v>
      </c>
      <c r="Q21" s="107">
        <v>66.799999999999955</v>
      </c>
    </row>
    <row r="22" spans="1:17" x14ac:dyDescent="0.4">
      <c r="A22" s="55" t="s">
        <v>192</v>
      </c>
      <c r="B22" s="47">
        <v>45</v>
      </c>
      <c r="C22" s="135">
        <v>5</v>
      </c>
      <c r="E22" s="63" t="s">
        <v>76</v>
      </c>
      <c r="F22" s="60" t="s">
        <v>31</v>
      </c>
      <c r="G22" s="47">
        <v>1</v>
      </c>
      <c r="H22" s="133">
        <f>IF(B$17=0,0,G22/B$17)</f>
        <v>6.369426751592357E-3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-21.61379310344828</v>
      </c>
      <c r="P22" s="119">
        <v>29</v>
      </c>
      <c r="Q22" s="107">
        <v>-626.80000000000018</v>
      </c>
    </row>
    <row r="23" spans="1:17" x14ac:dyDescent="0.4">
      <c r="A23" s="55" t="s">
        <v>5</v>
      </c>
      <c r="B23" s="51">
        <f>IF(B$17=0,0,C23/B$17)</f>
        <v>8923.5668789808915</v>
      </c>
      <c r="C23" s="41">
        <v>1401000</v>
      </c>
      <c r="E23" s="63" t="s">
        <v>93</v>
      </c>
      <c r="F23" s="60" t="s">
        <v>48</v>
      </c>
      <c r="G23" s="47">
        <v>1</v>
      </c>
      <c r="H23" s="133">
        <f>IF(B$17=0,0,G23/B$17)</f>
        <v>6.369426751592357E-3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-7553.2467532467535</v>
      </c>
      <c r="C24" s="45">
        <v>-581600</v>
      </c>
      <c r="E24" s="63" t="s">
        <v>94</v>
      </c>
      <c r="F24" s="60" t="s">
        <v>49</v>
      </c>
      <c r="G24" s="47">
        <v>1</v>
      </c>
      <c r="H24" s="133">
        <f>IF(B$17=0,0,G24/B$17)</f>
        <v>6.369426751592357E-3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6.369426751592357E-3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5.7803468208092483E-3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  <row r="65" spans="11:12" x14ac:dyDescent="0.4">
      <c r="K65" s="38">
        <v>63</v>
      </c>
      <c r="L65" s="99">
        <v>345.6</v>
      </c>
    </row>
    <row r="66" spans="11:12" x14ac:dyDescent="0.4">
      <c r="K66" s="38">
        <v>64</v>
      </c>
      <c r="L66" s="99">
        <v>287.60000000000002</v>
      </c>
    </row>
    <row r="67" spans="11:12" x14ac:dyDescent="0.4">
      <c r="K67" s="38">
        <v>65</v>
      </c>
      <c r="L67" s="99">
        <v>323.60000000000002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</v>
      </c>
      <c r="C2" s="151"/>
      <c r="E2" s="62" t="s">
        <v>65</v>
      </c>
      <c r="F2" s="59" t="s">
        <v>21</v>
      </c>
      <c r="G2" s="46">
        <v>20</v>
      </c>
      <c r="H2" s="132">
        <f>IF(B$17=0,0,G2/B$17)</f>
        <v>0.54054054054054057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-256.25</v>
      </c>
      <c r="P2" s="118">
        <v>16</v>
      </c>
      <c r="Q2" s="102">
        <v>-4100</v>
      </c>
    </row>
    <row r="3" spans="1:17" x14ac:dyDescent="0.4">
      <c r="A3" s="55" t="s">
        <v>8</v>
      </c>
      <c r="B3" s="152">
        <v>134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2.7027027027027029E-2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-1175</v>
      </c>
      <c r="P3" s="119">
        <v>16</v>
      </c>
      <c r="Q3" s="103">
        <v>-18800</v>
      </c>
    </row>
    <row r="4" spans="1:17" x14ac:dyDescent="0.4">
      <c r="A4" s="55" t="s">
        <v>6</v>
      </c>
      <c r="B4" s="154">
        <v>-140.79999999999998</v>
      </c>
      <c r="C4" s="155"/>
      <c r="E4" s="63" t="s">
        <v>67</v>
      </c>
      <c r="F4" s="60" t="s">
        <v>23</v>
      </c>
      <c r="G4" s="47">
        <v>29</v>
      </c>
      <c r="H4" s="133">
        <f>IF(B$17=0,0,G4/B$17)</f>
        <v>0.78378378378378377</v>
      </c>
      <c r="I4" s="94">
        <v>5</v>
      </c>
      <c r="K4" s="38">
        <v>2</v>
      </c>
      <c r="L4" s="99">
        <v>-76.2</v>
      </c>
      <c r="N4" s="115" t="s">
        <v>134</v>
      </c>
      <c r="O4" s="122">
        <f t="shared" si="0"/>
        <v>537.5</v>
      </c>
      <c r="P4" s="119">
        <v>16</v>
      </c>
      <c r="Q4" s="103">
        <v>8600</v>
      </c>
    </row>
    <row r="5" spans="1:17" x14ac:dyDescent="0.4">
      <c r="A5" s="55" t="s">
        <v>7</v>
      </c>
      <c r="B5" s="156">
        <f>IF(B$2=0,0,B$4/B$2)</f>
        <v>-8.7999999999999989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0.1891891891891892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-4620</v>
      </c>
      <c r="P5" s="119">
        <v>15</v>
      </c>
      <c r="Q5" s="103">
        <v>-69300</v>
      </c>
    </row>
    <row r="6" spans="1:17" x14ac:dyDescent="0.4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0.35135135135135137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1806.6666666666667</v>
      </c>
      <c r="P6" s="119">
        <v>15</v>
      </c>
      <c r="Q6" s="103">
        <v>27100</v>
      </c>
    </row>
    <row r="7" spans="1:17" x14ac:dyDescent="0.4">
      <c r="A7" s="55" t="s">
        <v>2</v>
      </c>
      <c r="B7" s="47">
        <v>6</v>
      </c>
      <c r="C7" s="39">
        <f>IF(B$2=0,0,B7/B$2)</f>
        <v>0.375</v>
      </c>
      <c r="E7" s="63" t="s">
        <v>70</v>
      </c>
      <c r="F7" s="60" t="s">
        <v>25</v>
      </c>
      <c r="G7" s="47">
        <v>8</v>
      </c>
      <c r="H7" s="133">
        <f>IF(B$17=0,0,G7/B$17)</f>
        <v>0.21621621621621623</v>
      </c>
      <c r="I7" s="94">
        <v>2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0.125</v>
      </c>
      <c r="E8" s="63" t="s">
        <v>71</v>
      </c>
      <c r="F8" s="60" t="s">
        <v>26</v>
      </c>
      <c r="G8" s="47">
        <v>5</v>
      </c>
      <c r="H8" s="133">
        <f>IF(B$17=0,0,G8/B$17)</f>
        <v>0.13513513513513514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5.4054054054054057E-2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0.1875</v>
      </c>
      <c r="E10" s="63" t="s">
        <v>73</v>
      </c>
      <c r="F10" s="60" t="s">
        <v>28</v>
      </c>
      <c r="G10" s="47">
        <v>21</v>
      </c>
      <c r="H10" s="133">
        <f>IF(B$17=0,0,G10/B$17)</f>
        <v>0.56756756756756754</v>
      </c>
      <c r="I10" s="94">
        <v>6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2.7027027027027029E-2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-11.916666666666666</v>
      </c>
      <c r="P11" s="119">
        <v>6</v>
      </c>
      <c r="Q11" s="107">
        <v>-71.5</v>
      </c>
    </row>
    <row r="12" spans="1:17" x14ac:dyDescent="0.4">
      <c r="A12" s="57" t="s">
        <v>160</v>
      </c>
      <c r="B12" s="49">
        <v>1</v>
      </c>
      <c r="C12" s="42">
        <f>IF(B$2=0,0,B12/B$2)</f>
        <v>6.25E-2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32</v>
      </c>
      <c r="C13" s="44">
        <f>IF(B$3=0,0,B13/B$3)</f>
        <v>0.23880597014925373</v>
      </c>
      <c r="E13" s="63" t="s">
        <v>76</v>
      </c>
      <c r="F13" s="60" t="s">
        <v>31</v>
      </c>
      <c r="G13" s="47">
        <v>1</v>
      </c>
      <c r="H13" s="133">
        <f>IF(B$17=0,0,G13/B$17)</f>
        <v>2.7027027027027029E-2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0.20895522388059701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>IF(P15=0,0,Q15/P15)</f>
        <v>64</v>
      </c>
      <c r="P15" s="118">
        <v>4</v>
      </c>
      <c r="Q15" s="106">
        <v>256</v>
      </c>
    </row>
    <row r="16" spans="1:17" x14ac:dyDescent="0.4">
      <c r="A16" s="54" t="s">
        <v>125</v>
      </c>
      <c r="B16" s="46">
        <v>12</v>
      </c>
      <c r="C16" s="37">
        <f>IF(B$14=0,0,B16/B$14)</f>
        <v>0.42857142857142855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37</v>
      </c>
      <c r="C17" s="37">
        <f>IF(B$3=0,0,B17/B$3)</f>
        <v>0.27611940298507465</v>
      </c>
      <c r="E17" s="63" t="s">
        <v>80</v>
      </c>
      <c r="F17" s="60" t="s">
        <v>35</v>
      </c>
      <c r="G17" s="47">
        <v>2</v>
      </c>
      <c r="H17" s="133">
        <f>IF(B$17=0,0,G17/B$17)</f>
        <v>5.4054054054054057E-2</v>
      </c>
      <c r="I17" s="94">
        <v>1</v>
      </c>
      <c r="K17" s="38">
        <v>15</v>
      </c>
      <c r="L17" s="99">
        <v>-85.399999999999991</v>
      </c>
      <c r="N17" s="115" t="s">
        <v>127</v>
      </c>
      <c r="O17" s="125">
        <f>IF(P17=0,0,Q17/P17)</f>
        <v>-20.054545454545458</v>
      </c>
      <c r="P17" s="119">
        <v>11</v>
      </c>
      <c r="Q17" s="107">
        <v>-220.60000000000002</v>
      </c>
    </row>
    <row r="18" spans="1:17" x14ac:dyDescent="0.4">
      <c r="A18" s="55" t="s">
        <v>12</v>
      </c>
      <c r="B18" s="47">
        <v>19</v>
      </c>
      <c r="C18" s="39">
        <f>IF(B$17=0,0,B18/B$17)</f>
        <v>0.51351351351351349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-140.79999999999998</v>
      </c>
      <c r="N18" s="115" t="s">
        <v>177</v>
      </c>
      <c r="O18" s="125">
        <f>IF(P18=0,0,Q18/P18)</f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18</v>
      </c>
      <c r="C19" s="39">
        <f>IF(B$17=0,0,B19/B$17)</f>
        <v>0.48648648648648651</v>
      </c>
      <c r="E19" s="63" t="s">
        <v>82</v>
      </c>
      <c r="F19" s="60" t="s">
        <v>37</v>
      </c>
      <c r="G19" s="47">
        <v>1</v>
      </c>
      <c r="H19" s="133">
        <f>IF(B$17=0,0,G19/B$17)</f>
        <v>2.7027027027027029E-2</v>
      </c>
      <c r="I19" s="94">
        <v>7</v>
      </c>
      <c r="N19" s="115" t="s">
        <v>171</v>
      </c>
      <c r="O19" s="125">
        <f>IF(P19=0,0,Q19/P19)</f>
        <v>-25.400000000000002</v>
      </c>
      <c r="P19" s="119">
        <v>2</v>
      </c>
      <c r="Q19" s="107">
        <v>-50.800000000000004</v>
      </c>
    </row>
    <row r="20" spans="1:17" x14ac:dyDescent="0.4">
      <c r="A20" s="55" t="s">
        <v>13</v>
      </c>
      <c r="B20" s="47">
        <v>30</v>
      </c>
      <c r="C20" s="39">
        <f>IF(B$3=0,0,B20/B$3)</f>
        <v>0.22388059701492538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>IF(P20=0,0,Q20/P20)</f>
        <v>-28.642857142857142</v>
      </c>
      <c r="P20" s="119">
        <v>7</v>
      </c>
      <c r="Q20" s="107">
        <v>-200.5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0.10810810810810811</v>
      </c>
      <c r="I21" s="94">
        <v>2</v>
      </c>
      <c r="N21" s="115" t="s">
        <v>183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8135.135135135135</v>
      </c>
      <c r="C23" s="41">
        <v>301000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-8053.333333333333</v>
      </c>
      <c r="C24" s="45">
        <v>-241600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0.13513513513513514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2.7027027027027029E-2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13</v>
      </c>
      <c r="H51" s="140">
        <f>IF(B$17=0,0,G51/B$17)</f>
        <v>0.35135135135135137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-140.79999999999998</v>
      </c>
      <c r="C19" s="66">
        <v>-8.7999999999999989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  <row r="66" spans="1:17" x14ac:dyDescent="0.4">
      <c r="A66" s="69">
        <v>63</v>
      </c>
      <c r="B66" s="66">
        <v>345.6</v>
      </c>
      <c r="C66" s="66">
        <v>5.4857142857142858</v>
      </c>
      <c r="D66" s="71">
        <v>1.8571428571428572</v>
      </c>
      <c r="E66" s="67">
        <v>0.41269841269841268</v>
      </c>
      <c r="F66" s="67">
        <v>0.26984126984126983</v>
      </c>
      <c r="G66" s="67">
        <v>0.3061630218687873</v>
      </c>
      <c r="H66" s="67">
        <v>0.14910536779324055</v>
      </c>
      <c r="I66" s="68">
        <v>8912.9870129870123</v>
      </c>
      <c r="J66" s="68">
        <v>-7568</v>
      </c>
      <c r="K66" s="67">
        <v>0.14285714285714285</v>
      </c>
      <c r="L66" s="67">
        <v>0.14285714285714285</v>
      </c>
      <c r="M66" s="67">
        <v>0.2922465208747515</v>
      </c>
      <c r="N66" s="67">
        <v>0.17892644135188868</v>
      </c>
      <c r="O66" s="67">
        <v>0.65306122448979587</v>
      </c>
      <c r="P66" s="67">
        <v>0.36666666666666664</v>
      </c>
      <c r="Q66" s="67">
        <v>0.44805194805194803</v>
      </c>
    </row>
    <row r="67" spans="1:17" x14ac:dyDescent="0.4">
      <c r="A67" s="69">
        <v>64</v>
      </c>
      <c r="B67" s="66">
        <v>287.60000000000002</v>
      </c>
      <c r="C67" s="66">
        <v>4.4937500000000004</v>
      </c>
      <c r="D67" s="71">
        <v>1.875</v>
      </c>
      <c r="E67" s="67">
        <v>0.40625</v>
      </c>
      <c r="F67" s="67">
        <v>0.28125</v>
      </c>
      <c r="G67" s="67">
        <v>0.30078125</v>
      </c>
      <c r="H67" s="67">
        <v>0.1484375</v>
      </c>
      <c r="I67" s="68">
        <v>8912.9870129870123</v>
      </c>
      <c r="J67" s="68">
        <v>-7626.3157894736842</v>
      </c>
      <c r="K67" s="67">
        <v>0.15625</v>
      </c>
      <c r="L67" s="67">
        <v>0.140625</v>
      </c>
      <c r="M67" s="67">
        <v>0.29296875</v>
      </c>
      <c r="N67" s="67">
        <v>0.177734375</v>
      </c>
      <c r="O67" s="67">
        <v>0.64</v>
      </c>
      <c r="P67" s="67">
        <v>0.36263736263736263</v>
      </c>
      <c r="Q67" s="67">
        <v>0.44805194805194803</v>
      </c>
    </row>
    <row r="68" spans="1:17" x14ac:dyDescent="0.4">
      <c r="A68" s="69">
        <v>65</v>
      </c>
      <c r="B68" s="66">
        <v>323.60000000000002</v>
      </c>
      <c r="C68" s="66">
        <v>4.9784615384615387</v>
      </c>
      <c r="D68" s="71">
        <v>1.8615384615384616</v>
      </c>
      <c r="E68" s="67">
        <v>0.41538461538461541</v>
      </c>
      <c r="F68" s="67">
        <v>0.27692307692307694</v>
      </c>
      <c r="G68" s="67">
        <v>0.30250481695568399</v>
      </c>
      <c r="H68" s="67">
        <v>0.14836223506743737</v>
      </c>
      <c r="I68" s="68">
        <v>8923.5668789808915</v>
      </c>
      <c r="J68" s="68">
        <v>-7553.2467532467535</v>
      </c>
      <c r="K68" s="67">
        <v>0.15384615384615385</v>
      </c>
      <c r="L68" s="67">
        <v>0.13846153846153847</v>
      </c>
      <c r="M68" s="67">
        <v>0.2947976878612717</v>
      </c>
      <c r="N68" s="67">
        <v>0.17533718689788053</v>
      </c>
      <c r="O68" s="67">
        <v>0.64052287581699341</v>
      </c>
      <c r="P68" s="67">
        <v>0.36263736263736263</v>
      </c>
      <c r="Q68" s="67">
        <v>0.45222929936305734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  <row r="153" spans="1:17" x14ac:dyDescent="0.4">
      <c r="A153" s="69">
        <v>150</v>
      </c>
      <c r="B153" s="66">
        <v>1744.7000000000007</v>
      </c>
      <c r="C153" s="66">
        <v>11.631333333333338</v>
      </c>
      <c r="D153" s="71">
        <v>1.7533333333333334</v>
      </c>
      <c r="E153" s="67">
        <v>0.48</v>
      </c>
      <c r="F153" s="67">
        <v>0.23333333333333334</v>
      </c>
      <c r="G153" s="67">
        <v>0.34369885433715219</v>
      </c>
      <c r="H153" s="67">
        <v>0.15875613747954173</v>
      </c>
      <c r="I153" s="68">
        <v>9075.9523809523816</v>
      </c>
      <c r="J153" s="68">
        <v>-8265.4639175257726</v>
      </c>
      <c r="K153" s="67">
        <v>0.1</v>
      </c>
      <c r="L153" s="67">
        <v>0.16666666666666666</v>
      </c>
      <c r="M153" s="67">
        <v>0.31014729950900166</v>
      </c>
      <c r="N153" s="67">
        <v>0.21931260229132571</v>
      </c>
      <c r="O153" s="67">
        <v>0.57519788918205805</v>
      </c>
      <c r="P153" s="67">
        <v>0.5149253731343284</v>
      </c>
      <c r="Q153" s="67">
        <v>0.40714285714285714</v>
      </c>
    </row>
    <row r="154" spans="1:17" x14ac:dyDescent="0.4">
      <c r="A154" s="69">
        <v>151</v>
      </c>
      <c r="B154" s="66">
        <v>1788.5000000000007</v>
      </c>
      <c r="C154" s="66">
        <v>11.844370860927157</v>
      </c>
      <c r="D154" s="71">
        <v>1.7483443708609272</v>
      </c>
      <c r="E154" s="67">
        <v>0.48344370860927155</v>
      </c>
      <c r="F154" s="67">
        <v>0.23178807947019867</v>
      </c>
      <c r="G154" s="67">
        <v>0.34471544715447155</v>
      </c>
      <c r="H154" s="67">
        <v>0.15772357723577235</v>
      </c>
      <c r="I154" s="68">
        <v>9064.3867924528295</v>
      </c>
      <c r="J154" s="68">
        <v>-8265.4639175257726</v>
      </c>
      <c r="K154" s="67">
        <v>9.9337748344370855E-2</v>
      </c>
      <c r="L154" s="67">
        <v>0.17218543046357615</v>
      </c>
      <c r="M154" s="67">
        <v>0.31056910569105689</v>
      </c>
      <c r="N154" s="67">
        <v>0.21951219512195122</v>
      </c>
      <c r="O154" s="67">
        <v>0.5759162303664922</v>
      </c>
      <c r="P154" s="67">
        <v>0.51851851851851849</v>
      </c>
      <c r="Q154" s="67">
        <v>0.40801886792452829</v>
      </c>
    </row>
    <row r="155" spans="1:17" x14ac:dyDescent="0.4">
      <c r="A155" s="69">
        <v>152</v>
      </c>
      <c r="B155" s="66">
        <v>1847.5000000000007</v>
      </c>
      <c r="C155" s="66">
        <v>12.154605263157899</v>
      </c>
      <c r="D155" s="71">
        <v>1.743421052631579</v>
      </c>
      <c r="E155" s="67">
        <v>0.48684210526315791</v>
      </c>
      <c r="F155" s="67">
        <v>0.23026315789473684</v>
      </c>
      <c r="G155" s="67">
        <v>0.34543987086359967</v>
      </c>
      <c r="H155" s="67">
        <v>0.15738498789346247</v>
      </c>
      <c r="I155" s="68">
        <v>9089.9532710280382</v>
      </c>
      <c r="J155" s="68">
        <v>-8262.5641025641035</v>
      </c>
      <c r="K155" s="67">
        <v>9.8684210526315791E-2</v>
      </c>
      <c r="L155" s="67">
        <v>0.17763157894736842</v>
      </c>
      <c r="M155" s="67">
        <v>0.31234866828087166</v>
      </c>
      <c r="N155" s="67">
        <v>0.21791767554479419</v>
      </c>
      <c r="O155" s="67">
        <v>0.57622739018087854</v>
      </c>
      <c r="P155" s="67">
        <v>0.51851851851851849</v>
      </c>
      <c r="Q155" s="67">
        <v>0.40887850467289721</v>
      </c>
    </row>
    <row r="156" spans="1:17" x14ac:dyDescent="0.4">
      <c r="A156" s="69">
        <v>153</v>
      </c>
      <c r="B156" s="66">
        <v>1812.8000000000006</v>
      </c>
      <c r="C156" s="66">
        <v>11.8483660130719</v>
      </c>
      <c r="D156" s="71">
        <v>1.7516339869281046</v>
      </c>
      <c r="E156" s="67">
        <v>0.48366013071895425</v>
      </c>
      <c r="F156" s="67">
        <v>0.23529411764705882</v>
      </c>
      <c r="G156" s="67">
        <v>0.34430176565008025</v>
      </c>
      <c r="H156" s="67">
        <v>0.15730337078651685</v>
      </c>
      <c r="I156" s="68">
        <v>9096.7365967365968</v>
      </c>
      <c r="J156" s="68">
        <v>-8253.0612244897966</v>
      </c>
      <c r="K156" s="67">
        <v>9.8039215686274508E-2</v>
      </c>
      <c r="L156" s="67">
        <v>0.17647058823529413</v>
      </c>
      <c r="M156" s="67">
        <v>0.3130016051364366</v>
      </c>
      <c r="N156" s="67">
        <v>0.21669341894060995</v>
      </c>
      <c r="O156" s="67">
        <v>0.57435897435897432</v>
      </c>
      <c r="P156" s="67">
        <v>0.51851851851851849</v>
      </c>
      <c r="Q156" s="67">
        <v>0.41025641025641024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  <row r="225" spans="1:17" x14ac:dyDescent="0.4">
      <c r="A225" s="69">
        <v>222</v>
      </c>
      <c r="B225" s="66">
        <v>-1.0000000000000142</v>
      </c>
      <c r="C225" s="66">
        <v>-1.5015015015015227E-3</v>
      </c>
      <c r="D225" s="71">
        <v>1.9954954954954955</v>
      </c>
      <c r="E225" s="67">
        <v>0.33633633633633636</v>
      </c>
      <c r="F225" s="67">
        <v>0.33183183183183185</v>
      </c>
      <c r="G225" s="67">
        <v>0.29850207543764662</v>
      </c>
      <c r="H225" s="67">
        <v>0.16802021295794983</v>
      </c>
      <c r="I225" s="68">
        <v>8644.256348246674</v>
      </c>
      <c r="J225" s="68">
        <v>-8281.2030075187977</v>
      </c>
      <c r="K225" s="67">
        <v>0.11711711711711711</v>
      </c>
      <c r="L225" s="67">
        <v>0.11711711711711711</v>
      </c>
      <c r="M225" s="67">
        <v>0.27937195452084462</v>
      </c>
      <c r="N225" s="67">
        <v>0.20736329182458041</v>
      </c>
      <c r="O225" s="67">
        <v>0.57816537467700257</v>
      </c>
      <c r="P225" s="67">
        <v>0.39251523063533506</v>
      </c>
      <c r="Q225" s="67">
        <v>0.43107617896009676</v>
      </c>
    </row>
    <row r="226" spans="1:17" x14ac:dyDescent="0.4">
      <c r="A226" s="69">
        <v>223</v>
      </c>
      <c r="B226" s="66">
        <v>-1.0000000000000071</v>
      </c>
      <c r="C226" s="66">
        <v>-1.4947683109118193E-3</v>
      </c>
      <c r="D226" s="71">
        <v>1.9955156950672646</v>
      </c>
      <c r="E226" s="67">
        <v>0.33632286995515698</v>
      </c>
      <c r="F226" s="67">
        <v>0.33183856502242154</v>
      </c>
      <c r="G226" s="67">
        <v>0.29863358504135201</v>
      </c>
      <c r="H226" s="67">
        <v>0.16792520676015821</v>
      </c>
      <c r="I226" s="68">
        <v>8631.246237206502</v>
      </c>
      <c r="J226" s="68">
        <v>-8268.0942184154173</v>
      </c>
      <c r="K226" s="67">
        <v>0.11659192825112108</v>
      </c>
      <c r="L226" s="67">
        <v>0.11659192825112108</v>
      </c>
      <c r="M226" s="67">
        <v>0.27957569219705142</v>
      </c>
      <c r="N226" s="67">
        <v>0.20693994965839627</v>
      </c>
      <c r="O226" s="67">
        <v>0.5787781350482315</v>
      </c>
      <c r="P226" s="67">
        <v>0.39183318853171156</v>
      </c>
      <c r="Q226" s="67">
        <v>0.43166767007826612</v>
      </c>
    </row>
    <row r="227" spans="1:17" x14ac:dyDescent="0.4">
      <c r="A227" s="69">
        <v>224</v>
      </c>
      <c r="B227" s="66">
        <v>-1.0000000000000071</v>
      </c>
      <c r="C227" s="66">
        <v>-1.4880952380952486E-3</v>
      </c>
      <c r="D227" s="71">
        <v>1.9955357142857142</v>
      </c>
      <c r="E227" s="67">
        <v>0.33630952380952384</v>
      </c>
      <c r="F227" s="67">
        <v>0.33184523809523808</v>
      </c>
      <c r="G227" s="67">
        <v>0.29860365198711064</v>
      </c>
      <c r="H227" s="67">
        <v>0.16774078052273542</v>
      </c>
      <c r="I227" s="68">
        <v>8624.5803357314144</v>
      </c>
      <c r="J227" s="68">
        <v>-8266.2753468516548</v>
      </c>
      <c r="K227" s="67">
        <v>0.11755952380952381</v>
      </c>
      <c r="L227" s="67">
        <v>0.11755952380952381</v>
      </c>
      <c r="M227" s="67">
        <v>0.27980665950590761</v>
      </c>
      <c r="N227" s="67">
        <v>0.20658789831722163</v>
      </c>
      <c r="O227" s="67">
        <v>0.57837492002559177</v>
      </c>
      <c r="P227" s="67">
        <v>0.39254766031195842</v>
      </c>
      <c r="Q227" s="67">
        <v>0.43225419664268583</v>
      </c>
    </row>
    <row r="228" spans="1:17" x14ac:dyDescent="0.4">
      <c r="A228" s="69">
        <v>225</v>
      </c>
      <c r="B228" s="66">
        <v>-1.0000000000000071</v>
      </c>
      <c r="C228" s="66">
        <v>-1.481481481481492E-3</v>
      </c>
      <c r="D228" s="71">
        <v>1.9955555555555555</v>
      </c>
      <c r="E228" s="67">
        <v>0.33629629629629632</v>
      </c>
      <c r="F228" s="67">
        <v>0.33185185185185184</v>
      </c>
      <c r="G228" s="67">
        <v>0.29841439515410656</v>
      </c>
      <c r="H228" s="67">
        <v>0.16764653482985925</v>
      </c>
      <c r="I228" s="68">
        <v>8635.6417910447763</v>
      </c>
      <c r="J228" s="68">
        <v>-8276.7268862911787</v>
      </c>
      <c r="K228" s="67">
        <v>0.11851851851851852</v>
      </c>
      <c r="L228" s="67">
        <v>0.11851851851851852</v>
      </c>
      <c r="M228" s="67">
        <v>0.28006413682522713</v>
      </c>
      <c r="N228" s="67">
        <v>0.20630678781400322</v>
      </c>
      <c r="O228" s="67">
        <v>0.57697201017811706</v>
      </c>
      <c r="P228" s="67">
        <v>0.39291882556131263</v>
      </c>
      <c r="Q228" s="67">
        <v>0.43223880597014924</v>
      </c>
    </row>
    <row r="229" spans="1:17" x14ac:dyDescent="0.4">
      <c r="A229" s="69">
        <v>226</v>
      </c>
      <c r="B229" s="66">
        <v>-1.0000000000000071</v>
      </c>
      <c r="C229" s="66">
        <v>-1.474926253687326E-3</v>
      </c>
      <c r="D229" s="71">
        <v>1.9955752212389382</v>
      </c>
      <c r="E229" s="67">
        <v>0.33628318584070799</v>
      </c>
      <c r="F229" s="67">
        <v>0.33185840707964603</v>
      </c>
      <c r="G229" s="67">
        <v>0.29836705715299966</v>
      </c>
      <c r="H229" s="67">
        <v>0.16737664181753639</v>
      </c>
      <c r="I229" s="68">
        <v>8634.6222486615115</v>
      </c>
      <c r="J229" s="68">
        <v>-8268.0805938494159</v>
      </c>
      <c r="K229" s="67">
        <v>0.11799410029498525</v>
      </c>
      <c r="L229" s="67">
        <v>0.11799410029498525</v>
      </c>
      <c r="M229" s="67">
        <v>0.28026269080582178</v>
      </c>
      <c r="N229" s="67">
        <v>0.20624778132765353</v>
      </c>
      <c r="O229" s="67">
        <v>0.57631412286257122</v>
      </c>
      <c r="P229" s="67">
        <v>0.39328743545611017</v>
      </c>
      <c r="Q229" s="67">
        <v>0.43307555026769778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2019-06-15T15:54:34Z</dcterms:modified>
</cp:coreProperties>
</file>